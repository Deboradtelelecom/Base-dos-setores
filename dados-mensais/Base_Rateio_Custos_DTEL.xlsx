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REEMBOLSO GERAL" sheetId="6" state="visible" r:id="rId8"/>
  </sheets>
  <definedNames>
    <definedName function="false" hidden="true" localSheetId="0" name="_xlnm._FilterDatabase" vbProcedure="false">PARÂMETROS!$A$38:$J$638</definedName>
    <definedName function="false" hidden="true" localSheetId="5" name="_xlnm._FilterDatabase" vbProcedure="false">'REEMBOLSO GERAL'!$A$4:$H$4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<sst xmlns="http://schemas.openxmlformats.org/spreadsheetml/2006/main" count="27871" uniqueCount="764">
  <si>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</si>
  <si>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</si>
  <si>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</si>
  <si>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</si>
  <si>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</si>
  <si>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</si>
  <si>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</si>
  <si>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</si>
  <si>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</si>
  <si>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</si>
  <si>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</si>
  <si>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</si>
  <si>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</si>
  <si>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</si>
  <si>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</si>
  <si>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</si>
  <si>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</si>
  <si>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</si>
  <si>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</si>
  <si>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</si>
  <si>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</si>
  <si>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</si>
  <si>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</si>
  <si>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</si>
  <si>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</si>
  <si>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</si>
  <si>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</si>
  <si>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</si>
  <si>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</si>
  <si>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</si>
  <si>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</si>
  <si>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</si>
  <si>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</si>
  <si>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</si>
  <si>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</si>
  <si>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</si>
  <si>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</si>
  <si>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</si>
  <si>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</si>
  <si>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</si>
  <si>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</si>
  <si>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</si>
  <si>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</si>
  <si>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</si>
  <si>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</si>
  <si>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</si>
  <si>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</si>
  <si>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</si>
  <si>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</si>
  <si>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</si>
  <si>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</si>
  <si>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</si>
  <si>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</si>
  <si>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</si>
  <si>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</si>
  <si>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</si>
  <si>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</si>
  <si>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</si>
  <si>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</si>
  <si>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</si>
  <si>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</si>
  <si>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</si>
  <si>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</si>
  <si>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</si>
  <si>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</si>
  <si>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</si>
  <si>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</si>
  <si>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</si>
  <si>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</si>
  <si>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</si>
  <si>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</si>
  <si>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</si>
  <si>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</si>
  <si>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</si>
  <si>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</si>
  <si>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</si>
  <si>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</si>
  <si>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</si>
  <si>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</si>
  <si>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</si>
  <si>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</si>
  <si>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</si>
  <si>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</si>
  <si>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</si>
  <si>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</si>
  <si>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</si>
  <si>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</si>
  <si>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</si>
  <si>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Agosto/2026</t>
  </si>
  <si>
    <t xml:space="preserve">Backoffice Comercial Varejo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</si>
  <si>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</si>
  <si>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 A coluna "Nº de Funcionários/Clientes" mostra esse divisor (a base de rateio) usado para chegar ao Custo Unitário de cada linha.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</si>
  <si>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</si>
  <si>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</si>
  <si>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</si>
  <si>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</si>
  <si>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Nº de Funcionários/Clientes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</si>
  <si>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</si>
  <si>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</si>
  <si>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</si>
  <si>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</si>
  <si>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</si>
  <si>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</si>
  <si>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</si>
  <si>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</si>
  <si>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</si>
  <si>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</si>
  <si>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</si>
  <si>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</si>
  <si>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</si>
  <si>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</si>
  <si>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</si>
  <si>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</si>
  <si>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</si>
  <si>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</si>
  <si>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</si>
  <si>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</si>
  <si>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</si>
  <si>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</si>
  <si>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</si>
  <si>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</si>
  <si>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</si>
  <si>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</si>
  <si>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</si>
  <si>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</si>
  <si>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</si>
  <si>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</si>
  <si>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</si>
  <si>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</si>
  <si>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</si>
  <si>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</si>
  <si>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</si>
  <si>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</si>
  <si>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</si>
  <si>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Maio/2026</t>
  </si>
  <si>
    <t xml:space="preserve">Vendas</t>
  </si>
  <si>
    <t xml:space="preserve">TOTAL GERAL — Junho/2026</t>
  </si>
  <si>
    <t xml:space="preserve">TOTAL GERAL — Julho/2026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</si>
  <si>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</si>
  <si>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</si>
  <si>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</si>
  <si>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Desenvolvimento</t>
  </si>
  <si>
    <t xml:space="preserve">Desenvolvimento mantém e evolui os sistemas internos que atendem à operação e aos clientes</t>
  </si>
  <si>
    <t xml:space="preserve">Configuração</t>
  </si>
  <si>
    <t xml:space="preserve">Configuração dá suporte técnico de rede (operadores de redes) e escala com o nº de clientes ativos</t>
  </si>
  <si>
    <t xml:space="preserve">TOTAL GERAL — Agosto/2026</t>
  </si>
  <si>
    <t xml:space="preserve">Projetista</t>
  </si>
  <si>
    <t xml:space="preserve">Sub-setor de projetistas, separado da Engenharia (função Projetista na folha trabalhista); cobrado apenas o custo próprio de projetistas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</si>
  <si>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</si>
  <si>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</si>
  <si>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</si>
  <si>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</si>
  <si>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</si>
  <si>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</si>
  <si>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</si>
  <si>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</si>
  <si>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Licença Google Workspace</t>
  </si>
  <si>
    <t xml:space="preserve">Custo Variável</t>
  </si>
  <si>
    <t xml:space="preserve">Rescisões trabalhistas</t>
  </si>
  <si>
    <t xml:space="preserve">Sistema de assinatura eletronica (autentique) (TIC)</t>
  </si>
  <si>
    <t xml:space="preserve">Software de sistema eletronico de alarme (administrativo)</t>
  </si>
  <si>
    <t xml:space="preserve">Software Power BI Dynamics (f001796)</t>
  </si>
  <si>
    <t xml:space="preserve">Água e esgoto (rateio)</t>
  </si>
  <si>
    <t xml:space="preserve">Chip móvel corporativo</t>
  </si>
  <si>
    <t xml:space="preserve">Custo de gestão administrativa (rateado — Renata Thaysa dos Santos Cunha)</t>
  </si>
  <si>
    <t xml:space="preserve">Despesas com DP</t>
  </si>
  <si>
    <t xml:space="preserve">Despesas com RH</t>
  </si>
  <si>
    <t xml:space="preserve">Despesas com SST</t>
  </si>
  <si>
    <t xml:space="preserve">Energia elétrica (rateio)</t>
  </si>
  <si>
    <t xml:space="preserve">Folha de pagamento (salários)</t>
  </si>
  <si>
    <t xml:space="preserve">Gympass</t>
  </si>
  <si>
    <t xml:space="preserve">Instalações - corredores (rateio)</t>
  </si>
  <si>
    <t xml:space="preserve">Licença de e-mail corporativo</t>
  </si>
  <si>
    <t xml:space="preserve">Stargrid</t>
  </si>
  <si>
    <t xml:space="preserve">Exames médicos</t>
  </si>
  <si>
    <t xml:space="preserve">Fardamento novo</t>
  </si>
  <si>
    <t xml:space="preserve">Fardamento substituição</t>
  </si>
  <si>
    <t xml:space="preserve">Material de escritório (suprimentos de informática)</t>
  </si>
  <si>
    <t xml:space="preserve">Material de uso coletivo (copa/limpeza)</t>
  </si>
  <si>
    <t xml:space="preserve">Telefonia móvel corporativa</t>
  </si>
  <si>
    <t xml:space="preserve">Custo de gestão administrativa (rateado — Ayrton da Silva Lima)</t>
  </si>
  <si>
    <t xml:space="preserve">Impressora (rateio equipe Relacionamento)</t>
  </si>
  <si>
    <t xml:space="preserve">Software MATRIX (rateio equipe Relacionamento)</t>
  </si>
  <si>
    <t xml:space="preserve">Impressora</t>
  </si>
  <si>
    <t xml:space="preserve">Rateio de transporte coletivo</t>
  </si>
  <si>
    <t xml:space="preserve">Agendor (válido por 3 meses)</t>
  </si>
  <si>
    <t xml:space="preserve">Consumo de combustível</t>
  </si>
  <si>
    <t xml:space="preserve">Datlo</t>
  </si>
  <si>
    <t xml:space="preserve">Devolução de fardamento</t>
  </si>
  <si>
    <t xml:space="preserve">Dynamics (f001796)</t>
  </si>
  <si>
    <t xml:space="preserve">E-mail do departamento</t>
  </si>
  <si>
    <t xml:space="preserve">Endomarketing</t>
  </si>
  <si>
    <t xml:space="preserve">Linhas moveis (FIQUE MÓVEL)</t>
  </si>
  <si>
    <t xml:space="preserve">Marketing direto</t>
  </si>
  <si>
    <t xml:space="preserve">Novo Fardamento</t>
  </si>
  <si>
    <t xml:space="preserve">Plataforma de licitações (pago anual em julho, ref. 12 meses)</t>
  </si>
  <si>
    <t xml:space="preserve">Rescisões/Despesas Trabalhistas extra folha</t>
  </si>
  <si>
    <t xml:space="preserve">Salesforce</t>
  </si>
  <si>
    <t xml:space="preserve">Substituição extra de Fardamento</t>
  </si>
  <si>
    <t xml:space="preserve">Combustível de frota</t>
  </si>
  <si>
    <t xml:space="preserve">Auditoria contábil externa (fiber finance)</t>
  </si>
  <si>
    <t xml:space="preserve">Consultoria contábil PJ (Wadson Genuíno)</t>
  </si>
  <si>
    <t xml:space="preserve">Licenças de software/sistemas corporativos (Contabilidade)</t>
  </si>
  <si>
    <t xml:space="preserve">Alimentação (compras semanais para a cozinha)</t>
  </si>
  <si>
    <t xml:space="preserve">Crédito — Refeições pagas pelos colaboradores (valor simbólico, Refeitório)</t>
  </si>
  <si>
    <t xml:space="preserve">Custo de gestão administrativa (rateado — Cryslaine Fonseca Rosal)</t>
  </si>
  <si>
    <t xml:space="preserve">Gás de cozinha (compras mensais para a cozinha)</t>
  </si>
  <si>
    <t xml:space="preserve">Material de limpeza (compras mensais para distribuição — Cozinha)</t>
  </si>
  <si>
    <t xml:space="preserve">Viagens e hospedagem corporativas</t>
  </si>
  <si>
    <t xml:space="preserve">Homologações e rescisões</t>
  </si>
  <si>
    <t xml:space="preserve">Licenças de software/sistemas corporativos (DP)</t>
  </si>
  <si>
    <t xml:space="preserve">Sistema de ponto eletrônico (KAIROS) (DP)</t>
  </si>
  <si>
    <t xml:space="preserve">Software Dominio portal do empregado (DP)</t>
  </si>
  <si>
    <t xml:space="preserve">Software exclusivo B2D (Arquivar) (DP)</t>
  </si>
  <si>
    <t xml:space="preserve">Software de geolocalização (Engenharia)</t>
  </si>
  <si>
    <t xml:space="preserve">Licenças de software/sistemas corporativos (Financeiro)</t>
  </si>
  <si>
    <t xml:space="preserve">Plataforma do aplicativo Vexpenses (financeiro)</t>
  </si>
  <si>
    <t xml:space="preserve">EPIs - Equipamento de Proteção Individual</t>
  </si>
  <si>
    <t xml:space="preserve">Consultoria Jurídica</t>
  </si>
  <si>
    <t xml:space="preserve">Combustível de frota (gerador e veículos sem condutor identificado)</t>
  </si>
  <si>
    <t xml:space="preserve">Custo de gestão administrativa (rateado — Demetrius Ribeiro de Aquino)</t>
  </si>
  <si>
    <t xml:space="preserve">Manutenção de veículos</t>
  </si>
  <si>
    <t xml:space="preserve">Software Full time (Logística)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</si>
  <si>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</si>
  <si>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</si>
  <si>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</si>
  <si>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Licenças de software/sistemas corporativos (Engenharia)</t>
  </si>
  <si>
    <t xml:space="preserve">Ações de endomarketing</t>
  </si>
  <si>
    <t xml:space="preserve">Fardamento novo (compra corporativa)</t>
  </si>
  <si>
    <t xml:space="preserve">Fardamento substituição (compra corporativa)</t>
  </si>
  <si>
    <t xml:space="preserve">Pesquisa de clima organizacional</t>
  </si>
  <si>
    <t xml:space="preserve">Plataforma de comunicação interna (Useflow) (RH)</t>
  </si>
  <si>
    <t xml:space="preserve">Recrutamento e seleção</t>
  </si>
  <si>
    <t xml:space="preserve">Software exclusivo fiberschool (RH)</t>
  </si>
  <si>
    <t xml:space="preserve">Software RH1000 (RH)</t>
  </si>
  <si>
    <t xml:space="preserve">Treinamento e capacitação</t>
  </si>
  <si>
    <t xml:space="preserve">Médico do trabalho</t>
  </si>
  <si>
    <t xml:space="preserve">Software de sistema eletronico de alarme</t>
  </si>
  <si>
    <t xml:space="preserve">Software Dlocal (trafego pago)</t>
  </si>
  <si>
    <t xml:space="preserve">Software Lorensi marketing (f000987)</t>
  </si>
  <si>
    <t xml:space="preserve">Despesas SST exames</t>
  </si>
  <si>
    <t xml:space="preserve">Folha Trabalhista com impostos do mês</t>
  </si>
  <si>
    <t xml:space="preserve">Sistema de emissão de notas fiscais (Contabilidade)</t>
  </si>
  <si>
    <t xml:space="preserve">Exames admissionais/demissionais</t>
  </si>
  <si>
    <t xml:space="preserve">Plataforma do aplicativo Vexpenses</t>
  </si>
  <si>
    <t xml:space="preserve">Custo de gestão administrativa (rateado — Josadark José do Nascimento)</t>
  </si>
  <si>
    <t xml:space="preserve">Licenças de software/sistemas corporativos (NOC)</t>
  </si>
  <si>
    <t xml:space="preserve">Disparos feito pela meta</t>
  </si>
  <si>
    <t xml:space="preserve">Software Google brasil (trafego pago)</t>
  </si>
  <si>
    <t xml:space="preserve">Telefonia de entrada Algar</t>
  </si>
  <si>
    <t xml:space="preserve">Vexpenses</t>
  </si>
  <si>
    <t xml:space="preserve">Auditoria contábil externa</t>
  </si>
  <si>
    <t xml:space="preserve">Sistema de ponto eletrônico (DP)</t>
  </si>
  <si>
    <t xml:space="preserve">Cursos contratados</t>
  </si>
  <si>
    <t xml:space="preserve">Software ronda sistema eletrônico (Engenharia)</t>
  </si>
  <si>
    <t xml:space="preserve">Sistema de CRM de retenção</t>
  </si>
  <si>
    <t xml:space="preserve">Suporte técnico - links dedicados (Orbix - operação interna Dtel)</t>
  </si>
  <si>
    <t xml:space="preserve">Software MATRIX (f000892)</t>
  </si>
  <si>
    <t xml:space="preserve">Televendas - comissão/incentivo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</si>
  <si>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</si>
  <si>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</si>
  <si>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</si>
  <si>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</si>
  <si>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</si>
  <si>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</si>
  <si>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</si>
  <si>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</si>
  <si>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</si>
  <si>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</si>
  <si>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</si>
  <si>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</si>
  <si>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</si>
  <si>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</si>
  <si>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</si>
  <si>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</si>
  <si>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</si>
  <si>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</si>
  <si>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</si>
  <si>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</si>
  <si>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</si>
  <si>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</si>
  <si>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</si>
  <si>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</si>
  <si>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</si>
  <si>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</si>
  <si>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</si>
  <si>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</si>
  <si>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</si>
  <si>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</si>
  <si>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</si>
  <si>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</si>
  <si>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</si>
  <si>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</si>
  <si>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</si>
  <si>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</si>
  <si>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</si>
  <si>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</si>
  <si>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</si>
  <si>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</si>
  <si>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</si>
  <si>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(EQUIPE 'VENDAS PAP ELTHON' completa na folha de Junho, R$183.933,95, já subtraídos os 3 motoristas: Pedro Moreira do Amaral R$4.741,11, Alvaro Henrique de Sousa R$4.859,05, Felipe Lopes de Souza R$5.374,25) | Corrigido 21/09/2026: valor anterior (R$59.982,06) usava cruzamento por nome incompleto.</t>
  </si>
  <si>
    <t xml:space="preserve">Vale Transporte</t>
  </si>
  <si>
    <t xml:space="preserve">Estimado (fatia proporcional ao nº de colaboradores da equipe, sem taxa fixa por pessoa), fatia de 39 colaboradores da equipe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</si>
  <si>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</si>
  <si>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</si>
  <si>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</si>
  <si>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</si>
  <si>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</si>
  <si>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</si>
  <si>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</si>
  <si>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Estimado (fatia proporcional ao nº de colaboradores da equipe, sem taxa fixa por pessoa), fatia de 9 colaboradores da equipe</t>
  </si>
  <si>
    <t xml:space="preserve">Real (cruzado por nome, 7/7 encontrados)</t>
  </si>
  <si>
    <t xml:space="preserve">Estimado (fatia proporcional ao nº de colaboradores da equipe, sem taxa fixa por pessoa), fatia de 7 colaboradores da equipe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</si>
  <si>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</si>
  <si>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</si>
  <si>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Estimado (fatia proporcional ao nº de colaboradores da equipe, sem taxa fixa por pessoa), fatia de 11 colaboradores da equipe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</si>
  <si>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</si>
  <si>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(direto do comercial rateio.xlsx, aba julho26 = despesas reais de Junho) | Corrigido 21/09/2026: valor anterior (R$2.763,14) usava cruzamento por nome incompleto.</t>
  </si>
  <si>
    <t xml:space="preserve">Real (residual: EQUIPE 'VENDAS PAP TARCIZIO' completa na folha de Junho, R$114.414,31, menos José Zenildo da Silva R$5.227,07, menos Souza e Silva R$14.534,18 (real, comercial rateio.xlsx) e Solon Araújo R$2.755,29 (linha já existente)) | Corrigido 21/09/2026: valor anterior (R$57.354,94) usava cruzamento por nome incompleto.</t>
  </si>
  <si>
    <t xml:space="preserve">Estimado (fatia proporcional ao nº de colaboradores da equipe, sem taxa fixa por pessoa), fatia de 18 colaboradores da equipe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</si>
  <si>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</si>
  <si>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1/2 encontrados)</t>
  </si>
  <si>
    <t xml:space="preserve">Real (direto do comercial rateio.xlsx, aba julho26 = despesas reais de Junho) | Corrigido 21/09/2026: valor anterior (R$11.931,77) usava cruzamento por nome incompleto.</t>
  </si>
  <si>
    <t xml:space="preserve">Estimado (fatia proporcional ao nº de colaboradores da equipe, sem taxa fixa por pessoa), fatia de 5 colaboradores da equipe</t>
  </si>
  <si>
    <t xml:space="preserve">Real (direto do comercial rateio.xlsx, aba julho26 = despesas reais de Junho) | Corrigido 21/09/2026: valor anterior (R$18.416,45) usava cruzamento por nome incompleto (7/8 encontrados).</t>
  </si>
  <si>
    <t xml:space="preserve">Estimado (fatia proporcional ao nº de colaboradores da equipe, sem taxa fixa por pessoa), fatia de 8 colaboradores da equipe</t>
  </si>
  <si>
    <t xml:space="preserve">Real (direto do comercial rateio.xlsx, aba julho26 = despesas reais de Junho) | Corrigido 21/09/2026: valor anterior (R$17.518,73) usava cruzamento por nome incompleto (5/11 encontrados).</t>
  </si>
  <si>
    <t xml:space="preserve">Real (cruzado por nome, 1/1 encontrados)</t>
  </si>
  <si>
    <t xml:space="preserve">Real (EQUIPE 'VENDAS PAP ELTHON' completa na folha de Maio, R$178.152,33, já subtraídos os 3 motoristas com linha própria: Pedro Moreira do Amaral R$3.706,20, Alvaro Henrique de Sousa R$5.488,35, Felipe Lopes de Souza R$4.503,24) | Corrigido 21/09/2026: valor anterior (R$70.601,08) usava cruzamento por nome incompleto.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</si>
  <si>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</si>
  <si>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</si>
  <si>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</si>
  <si>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</si>
  <si>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</si>
  <si>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</si>
  <si>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</si>
  <si>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</si>
  <si>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Real (direto do comercial rateio.xlsx, aba junho26 = despesas reais de Maio) | Corrigido 21/09/2026: valor anterior (R$2.735,78) usava cruzamento por nome incompleto.</t>
  </si>
  <si>
    <t xml:space="preserve">Devolução fardamento</t>
  </si>
  <si>
    <t xml:space="preserve">Estimado (fatia proporcional ao nº de colaboradores da equipe, sem taxa fixa por pessoa), fatia de 2 colaboradores da equipe</t>
  </si>
  <si>
    <t xml:space="preserve">E-mail do departamento (1)</t>
  </si>
  <si>
    <t xml:space="preserve">Real (residual: EQUIPE 'VENDAS PAP TARCIZIO' completa na folha de Maio, R$126.085,89, menos José Zenildo da Silva R$3.706,20 (linha própria), menos Souza e Silva R$14.607,01 (real, comercial rateio.xlsx) e Solon Araújo R$1.622,63 (linha já existente)) | Corrigido 21/09/2026: valor anterior (R$66.963,98) usava cruzamento por nome incompleto.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</si>
  <si>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</si>
  <si>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Real (direto do comercial rateio.xlsx, aba junho26 = despesas reais de Maio) | Corrigido 21/09/2026: valor anterior (R$12.198,75) usava cruzamento por nome incompleto.</t>
  </si>
  <si>
    <t xml:space="preserve">Real (direto do comercial rateio.xlsx, aba junho26 = despesas reais de Maio) | Corrigido 21/09/2026: valor anterior (R$15.180,54) usava cruzamento por nome incompleto (7/8 encontrados).</t>
  </si>
  <si>
    <t xml:space="preserve">Real (direto do comercial rateio.xlsx, aba junho26 = despesas reais de Maio) | Corrigido 21/09/2026: valor anterior (R$13.708,49) usava cruzamento por nome incompleto (5/11 encontrados).</t>
  </si>
  <si>
    <t xml:space="preserve">E-mail do departamento (4 email)</t>
  </si>
  <si>
    <t xml:space="preserve">Real (EQUIPE 'VENDAS PAP ELTHON' completa na folha de Julho, R$194.571,79, já subtraídos os 3 motoristas: Pedro Moreira do Amaral R$4.661,82, Alvaro Henrique de Sousa R$5.436,76, Felipe Lopes de Souza R$4.661,82) | Corrigido 21/09/2026: valor anterior (R$81.072,34) usava cruzamento por nome incompleto (50 de X colaboradores).</t>
  </si>
  <si>
    <t xml:space="preserve">Estimado (fatia proporcional a folha real do coordenador), fatia de 47 colaboradores da equipe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</si>
  <si>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</si>
  <si>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</si>
  <si>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</si>
  <si>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</si>
  <si>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Estimado (fatia proporcional a folha real do coordenador), fatia de 5 colaboradores da equipe</t>
  </si>
  <si>
    <t xml:space="preserve">Real (cruzado por nome, equipe Lucas Bonifácio - VENDAS PAP, 6 colaboradores)</t>
  </si>
  <si>
    <t xml:space="preserve">Estimado (fatia proporcional a folha real do coordenador), fatia de 6 colaboradores da equipe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</si>
  <si>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</si>
  <si>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Estimado (fatia proporcional a folha real do coordenador), fatia de 11 colaboradores da equipe</t>
  </si>
  <si>
    <t xml:space="preserve">Real (residual: EQUIPE 'VENDAS PAP TARCIZIO' completa na folha de Julho, R$95.960,75, menos José Zenildo da Silva R$4.661,82, menos Souza e Silva R$12.642,93 (real, comercial rateio.xlsx); sem linha de Solon Araújo em Julho) | Corrigido 21/09/2026: valor anterior (R$34.886,04) usava cruzamento por nome incompleto.</t>
  </si>
  <si>
    <t xml:space="preserve">Estimado (fatia proporcional a folha real do coordenador), fatia de 17 colaboradores da equipe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</si>
  <si>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</si>
  <si>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(direto do comercial rateio.xlsx, aba Ago26 = despesas reais de Julho) | Corrigido 21/09/2026: valor anterior (R$24.757,86) usava cruzamento por nome incompleto.</t>
  </si>
  <si>
    <t xml:space="preserve">Real (100% do total da empresa, único coordenador)</t>
  </si>
  <si>
    <t xml:space="preserve">Real (direto do comercial rateio.xlsx, aba Ago26 = despesas reais de Julho) | Corrigido 21/09/2026: valor anterior (R$5.461,35) usava cruzamento por nome incompleto.</t>
  </si>
  <si>
    <t xml:space="preserve">Real (direto do comercial rateio.xlsx, aba Ago26 = despesas reais de Julho) | Corrigido 21/09/2026: valor anterior (R$30.952,41) usava cruzamento por nome incompleto.</t>
  </si>
  <si>
    <t xml:space="preserve">Real (direto do comercial rateio.xlsx, aba Ago26 = despesas reais de Julho) | Corrigido 21/09/2026: valor anterior (R$9.667,49) usava cruzamento por nome incompleto.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</si>
  <si>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</si>
  <si>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</si>
  <si>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</si>
  <si>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</si>
  <si>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</si>
  <si>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</si>
  <si>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</si>
  <si>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</si>
  <si>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</si>
  <si>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</si>
  <si>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</si>
  <si>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</si>
  <si>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</si>
  <si>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</si>
  <si>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</si>
  <si>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</si>
  <si>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Real (cruzado por nome, EQUIPE 'VENDAS PAP ELTHON' na folha de Agosto, 46 colaboradores) | Subtraído o custo de folha de Pedro Moreira do Amaral (R$9.185,57), Felipe Lopes de Souza (R$9.140,36) e Alvaro Henrique de Sousa (R$6.756,78), que têm linha própria de van/kombi, para não contar 2x.</t>
  </si>
  <si>
    <t xml:space="preserve">Real (cruzado por nome, folha de Agosto)</t>
  </si>
  <si>
    <t xml:space="preserve">Estimado (fatia proporcional ao saldo de Vale Transporte da DTEL após alocar Lucas Bonifácio e Michelangelo por nome: R$1.080,00 restantes ÷ headcount de Elthon/Gabriel/Tarcizio, 46 de 76)</t>
  </si>
  <si>
    <t xml:space="preserve">Real (taxa fixa por colaborador, quantidade = equipe real VENDAS PAP, folha de Agosto)</t>
  </si>
  <si>
    <t xml:space="preserve">Estimado (fatia proporcional ao headcount real da equipe: 46 de 99)</t>
  </si>
  <si>
    <t xml:space="preserve">Consumo de combustível (equipe Elthon)</t>
  </si>
  <si>
    <t xml:space="preserve">Real (cruzado por nome, planilha 'Combustivel - jul26.xlsx', Julho/2026: combustível R$3.029,10; sem manutenção lançada em Julho para esta placa/QYO9C25) | Substitui o valor somado anterior de 'Consumo de combustível 4 VANs' (R$15.059,14), agora separado em 4 linhas por motorista (Pedro Moreira, Felipe Lopes, Jose Zenildo, Clovis Mendes).</t>
  </si>
  <si>
    <t xml:space="preserve">Combustível executivo (Jean Pereira da Silva)</t>
  </si>
  <si>
    <t xml:space="preserve">Combustível executivo (Rayanne Meneses de Carvalho)</t>
  </si>
  <si>
    <t xml:space="preserve">Real (cruzado por nome, planilha 'Combustivel - jul26.xlsx', Julho/2026: combustível R$2.732,56 + manutenção R$1.116,85 = R$3.849,41) | Ajustado 21/09/2026: incluída manutenção (planilha 'Combustivel - jul26.xlsx', dados de Julho/2026, convenção mês-seguinte já usada nos demais custos do Comercial Varejo); rastreio e licenciamento não entram.</t>
  </si>
  <si>
    <t xml:space="preserve">Real (cruzado por nome, aba GABRIEL da 'EQUIPE DE VENDAS PAP ATUALIZADA', 8 de 8 colaboradores ativos encontrados na folha de Agosto)</t>
  </si>
  <si>
    <t xml:space="preserve">Estimado (fatia proporcional ao saldo de Vale Transporte da DTEL após alocar Lucas Bonifácio e Michelangelo por nome: R$1.080,00 restantes ÷ headcount de Elthon/Gabriel/Tarcizio, 8 de 76)</t>
  </si>
  <si>
    <t xml:space="preserve">Real (taxa fixa por colaborador, quantidade = equipe real, aba GABRIEL)</t>
  </si>
  <si>
    <t xml:space="preserve">Estimado (fatia proporcional ao headcount real da equipe: 8 de 99)</t>
  </si>
  <si>
    <t xml:space="preserve">Real (taxa fixa por colaborador, quantidade = equipe real)</t>
  </si>
  <si>
    <t xml:space="preserve">Real (cruzado por nome, aba LUCAS da 'EQUIPE DE VENDAS PAP ATUALIZADA', 7 de 8 colaboradores ativos encontrados na folha de Agosto — 1 sem correspondência: Erica Pereira dos Santos)</t>
  </si>
  <si>
    <t xml:space="preserve">Real (cruzado por nome, planilha VALE TRANSPORTE.xlsx, Julho/2026, 3 colaboradores da equipe: Jéssica Alves de Oliveira, Lais Fernanda Santos da Silva, Tais Santos de Santana)</t>
  </si>
  <si>
    <t xml:space="preserve">Real (taxa fixa por colaborador, quantidade = equipe real, aba LUCAS)</t>
  </si>
  <si>
    <t xml:space="preserve">Combustível executivo (Nedson Cirilo Targino Gomes)</t>
  </si>
  <si>
    <t xml:space="preserve">Real (cruzado por nome, aba MICHELANGELO da 'EQUIPE DE VENDAS PAP ATUALIZADA' — seções DTEL, sem Voicenet — 14 de 15 colaboradores ativos encontrados na folha de Agosto; 1 sem correspondência: Eliú Vishent Alves Moreira da Silva)</t>
  </si>
  <si>
    <t xml:space="preserve">Real (cruzado por nome, folha de Agosto — em férias parcial 06/07 a 04/08)</t>
  </si>
  <si>
    <t xml:space="preserve">Real (cruzado por nome, planilha VALE TRANSPORTE.xlsx, Julho/2026, 5 colaboradores da equipe: Jakeline Domingos da Silva Barros, Kallyne Giovanna Arruda da Silva, Katielle Marques de Lira, Lucas da Silva Serpa, Thiago José da Silva)</t>
  </si>
  <si>
    <t xml:space="preserve">Real (taxa fixa por colaborador, quantidade = equipe real, aba MICHELANGELO/DTEL)</t>
  </si>
  <si>
    <t xml:space="preserve">Estimado (fatia proporcional ao headcount real da equipe: 15 de 99)</t>
  </si>
  <si>
    <t xml:space="preserve">Real (cruzado por nome, aba MICHELANGELO/Voicenet — 2 de 2 colaboradores ativos encontrados na folha de Agosto; valor confere exatamente com o total já lançado no comercial rateio.xlsx)</t>
  </si>
  <si>
    <t xml:space="preserve">Real (taxa fixa por colaborador, quantidade = comercial rateio.xlsx, Nº Colaboradores Voicenet)</t>
  </si>
  <si>
    <t xml:space="preserve">Real (taxa fixa por colaborador, quantidade = comercial rateio.xlsx)</t>
  </si>
  <si>
    <t xml:space="preserve">Real (direto do comercial rateio.xlsx)</t>
  </si>
  <si>
    <t xml:space="preserve">Estimado (fatia proporcional ao total da EQUIPE 'VENDAS PAP TARCIZIO' na folha de Agosto, R$103.817,48 já sem José Zenildo da Silva — dividido 22/26 para DTEL e 4/26 para Souza e Silva, conforme Nº Colaboradores do comercial rateio.xlsx)</t>
  </si>
  <si>
    <t xml:space="preserve">Estimado (fatia proporcional ao saldo de Vale Transporte da DTEL após alocar Lucas Bonifácio e Michelangelo por nome: R$1.080,00 restantes ÷ headcount de Elthon/Gabriel/Tarcizio, 22 de 76)</t>
  </si>
  <si>
    <t xml:space="preserve">Real (taxa fixa por colaborador, quantidade = 26 colaboradores da equipe VENDAS PAP TARCIZIO menos 4 de Souza e Silva)</t>
  </si>
  <si>
    <t xml:space="preserve">Real (taxa fixa por colaborador, mesma quantidade)</t>
  </si>
  <si>
    <t xml:space="preserve">Estimado (fatia proporcional ao headcount real da equipe: 22 de 99)</t>
  </si>
  <si>
    <t xml:space="preserve">Consumo de combustível (equipe Tarcizio)</t>
  </si>
  <si>
    <t xml:space="preserve">Real (taxa fixa por colaborador, quantidade = Nº Colaboradores do comercial rateio.xlsx)</t>
  </si>
  <si>
    <t xml:space="preserve">Real (direto do comercial rateio.xlsx, 10 colaboradores)</t>
  </si>
  <si>
    <t xml:space="preserve">Real (cruzado por nome, folha de Agosto — não está na equipe VENDAS PAP TIAGO, tem tag própria na folha)</t>
  </si>
  <si>
    <t xml:space="preserve">Real (cruzado por nome, planilha 'Combustivel - jul26.xlsx', Julho/2026: combustível R$2.709,83; sem manutenção lançada em Julho para esta placa/UHV9A41, valor mantido)</t>
  </si>
  <si>
    <t xml:space="preserve">Real (direto do comercial rateio.xlsx, 12 colaboradores)</t>
  </si>
  <si>
    <t xml:space="preserve">Real (direto do comercial rateio.xlsx — confirmado também via cruzamento por nome na planilha VALE TRANSPORTE.xlsx, Julho/2026: soma exata R$2.896,00)</t>
  </si>
  <si>
    <t xml:space="preserve">Consumo de combustível (Jefferson de Freitas Santos)</t>
  </si>
  <si>
    <t xml:space="preserve">Consumo de combustível (Camila Cordeiro da Silva)</t>
  </si>
  <si>
    <t xml:space="preserve">Consumo de combustível (Katherine)</t>
  </si>
  <si>
    <t xml:space="preserve">Real (direto do comercial rateio.xlsx — sem sobrenome/correspondência na folha para confirmar o nome completo)</t>
  </si>
  <si>
    <t xml:space="preserve">Real (cruzado por nome, planilha RESCISÕES.xlsx, Julho/2026, 3 colaboradores da equipe: Jose Allan da Silva Ribeiro, Lais Mavila da Silva Pereira, Grazielly Karla Ferreira da Silva)</t>
  </si>
  <si>
    <t xml:space="preserve">Real (direto da planilha RESCISÕES.xlsx, Julho/2026 — DX2 é exclusiva da equipe Tiago, 4 rescisões: Andrews Kaik Araujo Caravaggio, Maria Gilmara Barbosa de Oliveira, Allef Pablo Santos de Lima, Renan Vasconcelos Silva)</t>
  </si>
  <si>
    <t xml:space="preserve">Real (direto da planilha RESCISÕES.xlsx, Julho/2026 — Soares e Silva é exclusiva da equipe Tiago, 6 rescisões: Adriel Ekstainy Ferreira da Motta, Lenini da Silva Matos, Fabiana da Silva Antunes, Elaine Cristina dos Santos, Mikaella Oliveira da Silva, Katherine Silva de Andrade)</t>
  </si>
  <si>
    <t xml:space="preserve">Real (direto da planilha RESCISÕES.xlsx, Julho/2026 — Voicenet é exclusiva da equipe Michelangelo, 2 rescisões: Jose Carlos dos Santos, Edivaldo Santos de Lima)</t>
  </si>
  <si>
    <t xml:space="preserve">Real (direto da planilha RESCISÕES.xlsx, Julho/2026, e confere com o valor já lançado no comercial rateio.xlsx aba Ago26 — 1 rescisão: Fabiano Santos Alves Bezerra). Combinação Vitor Lins/Soares e Lins não tinha nenhuma linha no bloco de Agosto até agora — os demais itens (RH/DP/SST/Fardamento/Fique Móvel/Gympass/Stargrid) vieram zerados no comercial rateio.xlsx este mês, por isso só esta linha foi criada.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</si>
  <si>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</si>
  <si>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</si>
  <si>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</si>
  <si>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</si>
  <si>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</si>
  <si>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</si>
  <si>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</si>
  <si>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</si>
  <si>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</si>
  <si>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Todas as empresas</t>
  </si>
  <si>
    <t xml:space="preserve">Real (cruzado por nome, planilha 'Combustivel - jul26.xlsx', Julho/2026: combustível R$3.304,69; sem manutenção lançada em Julho para esta placa/SOX3H27) | Parte da separação da linha somada 'Consumo de combustível 4 VANs' (R$15.059,14) em 4 linhas por motorista.</t>
  </si>
  <si>
    <t xml:space="preserve">Real (cruzado por nome, planilha 'Combustivel - jul26.xlsx', Julho/2026: combustível R$4.067,27 + manutenção R$4.500,00 = R$8.567,27) | Parte da separação da linha somada 'Consumo de combustível 4 VANs' (R$15.059,14); esta linha específica não existia em Agosto antes.</t>
  </si>
  <si>
    <t xml:space="preserve">Real (cruzado por nome, planilha 'Combustivel - jul26.xlsx', Julho/2026: combustível R$4.658,08 + manutenção R$6.855,00 = R$11.513,08; veículo faturado para ORBIX no arquivo de origem, tratado como uso próprio DTEL conforme regra já estabelecida do projeto) | Parte da separação da linha somada 'Consumo de combustível 4 VANs' (R$15.059,14); esta linha específica não existia em Agosto antes.</t>
  </si>
  <si>
    <t xml:space="preserve">REEMBOLSO GERAL — CUSTOS POR SETOR E EMPRESA (Base Geral 2026, aba Reembolso Geral)</t>
  </si>
  <si>
    <t xml:space="preserve">Extraído da Base Geral 2026.xlsx (aba Reembolso Geral). O Setor já vem cruzado com o nome padrão da Plataforma quando havia correspondência clara com um setor existente em CUSTOS MENSAIS (ex.: RH, Marketing, TIC, Segurança do Trabalho). Setores sem correspondente direto (ex.: Administrativo/taxa de administração, Licitação, Frota, Comercial ambíguo entre Corporativo/Varejo) permaneceram com o nome original — não foram forçados a encaixar em nenhum setor existente. Esta aba é só de referência — não altera nenhum valor de CUSTOS MENSAIS.</t>
  </si>
  <si>
    <t xml:space="preserve">Valor Total</t>
  </si>
  <si>
    <t xml:space="preserve">Observação (forma de cálculo)</t>
  </si>
  <si>
    <t xml:space="preserve">ABRIL/2026</t>
  </si>
  <si>
    <t xml:space="preserve">Adm Atendimento</t>
  </si>
  <si>
    <t xml:space="preserve">Adm atendimento presencial</t>
  </si>
  <si>
    <t xml:space="preserve">Cálculo por número de clientes ativos</t>
  </si>
  <si>
    <t xml:space="preserve">Adm Qualidade</t>
  </si>
  <si>
    <t xml:space="preserve">Atendimento</t>
  </si>
  <si>
    <t xml:space="preserve">Material de escritório</t>
  </si>
  <si>
    <t xml:space="preserve">Capa de carnê</t>
  </si>
  <si>
    <t xml:space="preserve">Material de uso coletivo</t>
  </si>
  <si>
    <t xml:space="preserve">Água mineral</t>
  </si>
  <si>
    <t xml:space="preserve">Porta panfleto</t>
  </si>
  <si>
    <t xml:space="preserve">Promotor autonomo Erika sonara</t>
  </si>
  <si>
    <t xml:space="preserve">Comissionamento de vendas realizadas na h&amp;a paga pela Dtel fev.</t>
  </si>
  <si>
    <t xml:space="preserve">Agua mineral</t>
  </si>
  <si>
    <t xml:space="preserve">Caixa de resma</t>
  </si>
  <si>
    <t xml:space="preserve">Serviços do C.O.E distribuição de serviços</t>
  </si>
  <si>
    <t xml:space="preserve">Comercial</t>
  </si>
  <si>
    <t xml:space="preserve">Consultas e análises de crédito</t>
  </si>
  <si>
    <t xml:space="preserve">Vendas cadastradas e consultadas pelo argos</t>
  </si>
  <si>
    <t xml:space="preserve">Despesa do consultor BARTOLOMEU</t>
  </si>
  <si>
    <t xml:space="preserve">Despesa trabalhista e combustivel do consultor dividido pelo total de vendas</t>
  </si>
  <si>
    <t xml:space="preserve">Despesa do consultor PAULO MELO</t>
  </si>
  <si>
    <t xml:space="preserve">Despesa trabalhista e combustível do consultor dividido pelo total de vendas</t>
  </si>
  <si>
    <t xml:space="preserve">Despesa do consultor PEDRO GREGO</t>
  </si>
  <si>
    <t xml:space="preserve">Despesa trabalhista e combustível do consultor dividido pelo total de vendas (cliente 12195,12634,12408)</t>
  </si>
  <si>
    <t xml:space="preserve">Despesa do coordenador TIAGO, pela gestão da equipe</t>
  </si>
  <si>
    <t xml:space="preserve">Crédito por despesa com combustível e utilização de veÍculo dx2</t>
  </si>
  <si>
    <t xml:space="preserve">Crédito por participação do coordenador na base h&amp;a e soares e silva</t>
  </si>
  <si>
    <t xml:space="preserve">Vendas da equipe DX2 porta a porta P/ H&amp;A</t>
  </si>
  <si>
    <t xml:space="preserve">Vendas instaladas</t>
  </si>
  <si>
    <t xml:space="preserve">Vendas da equipe Dtel porta a porta</t>
  </si>
  <si>
    <t xml:space="preserve">Vendas da equipe Dx2 porta a porta p/ Dtel</t>
  </si>
  <si>
    <t xml:space="preserve">Vendas da equipe H&amp;A porta a porta P/ DX2</t>
  </si>
  <si>
    <t xml:space="preserve">Vendas da equipe VOICENET porta a porta P/  DX2</t>
  </si>
  <si>
    <t xml:space="preserve">Comissão de manutenção da Totum</t>
  </si>
  <si>
    <t xml:space="preserve">Conselho regional de enfermagem de PE</t>
  </si>
  <si>
    <t xml:space="preserve">71 Batalhão De Infantaria Motorizado</t>
  </si>
  <si>
    <t xml:space="preserve">Despesa trabalhista e combustível do consultor dividido pelo total de vendas (cliente 29895,29928,29948,29974,29930)</t>
  </si>
  <si>
    <t xml:space="preserve">Despesa trabalhista e combustível do consultor dividido pelo total de vendas(cliente 30172,29955,30042)</t>
  </si>
  <si>
    <t xml:space="preserve">Despesa trabalhista e combustível do consultor dividido pelo total de vendas (ciente 29740,30064,30038,30076)</t>
  </si>
  <si>
    <t xml:space="preserve">Despesa com combustÍvel e utilização de veiculo dx2</t>
  </si>
  <si>
    <t xml:space="preserve">Despesa trabalhista dividida pela quantidade de vendas</t>
  </si>
  <si>
    <t xml:space="preserve">Vendas da equipe DX2 para H&amp;A</t>
  </si>
  <si>
    <t xml:space="preserve">Vendas da equipe H&amp;A P/ VOICENET</t>
  </si>
  <si>
    <t xml:space="preserve">Vendas da equipe H&amp;A para Dtel</t>
  </si>
  <si>
    <t xml:space="preserve">Vendas da equipe H&amp;A para Dx2</t>
  </si>
  <si>
    <t xml:space="preserve">Vendas da equipe H&amp;A para soares e silva</t>
  </si>
  <si>
    <t xml:space="preserve">Despesa trabalhista e combustível do consultor dividido pelo total de vendas(cliente 7777)</t>
  </si>
  <si>
    <t xml:space="preserve">Vendas da equipe Soares e lins p/ Dtel</t>
  </si>
  <si>
    <t xml:space="preserve">Vendas da equipe Soares e lins p/ solon</t>
  </si>
  <si>
    <t xml:space="preserve">Vendas da equipe voicenet P/ SOARES E LINS</t>
  </si>
  <si>
    <t xml:space="preserve">Despesa trabalhista e combustÍvel do consultor dividido pelo total de vendas (cliente 11663,11670,11886)</t>
  </si>
  <si>
    <t xml:space="preserve">Despesa trabalhista e combustÍvel dividida pela quantidade de vendas(cliente 12023,11614)</t>
  </si>
  <si>
    <t xml:space="preserve">Despesa trabalhista e combustÍvel dividida pela quantidade de vendas (cliente 11395,11810)</t>
  </si>
  <si>
    <t xml:space="preserve">Despesa com combustÍvel e utilização de veÍculo dx2</t>
  </si>
  <si>
    <t xml:space="preserve">Despesa trabalhista e pela quantidade de vendas</t>
  </si>
  <si>
    <t xml:space="preserve">Vendas da equipe Dtel porta a porta p/ Soares e silva</t>
  </si>
  <si>
    <t xml:space="preserve">Vendas da equipe H&amp;A para Soares e Silva</t>
  </si>
  <si>
    <t xml:space="preserve">Vendas da equipe Soares e Silva p/ DTEL</t>
  </si>
  <si>
    <t xml:space="preserve">Vendas da equipe soares e lins porta a porta p/ Soares e silva</t>
  </si>
  <si>
    <t xml:space="preserve">Despesa trabalhista e combustível do consultor dividido pelo total de vendas (cliente 28304,27900)</t>
  </si>
  <si>
    <t xml:space="preserve">Despesa trabalhista e combustível dividida pela quantidade de vendas(cliente 28844)</t>
  </si>
  <si>
    <t xml:space="preserve">Despesa trabalhista e combustível dividida pela quantidade de vendas (cliente 28561,28511,28473,28474)</t>
  </si>
  <si>
    <t xml:space="preserve">Despesa do coordenador TARCIZIO, pela gestão da equipe</t>
  </si>
  <si>
    <t xml:space="preserve">Despesa com combustivel e utilização carro dtel</t>
  </si>
  <si>
    <t xml:space="preserve">Vendas da equipe Litoral p/ Dtel</t>
  </si>
  <si>
    <t xml:space="preserve">Vendas da equipe Voicenet p/ Solon</t>
  </si>
  <si>
    <t xml:space="preserve">Vendas da equipe da soares e lins para Solon</t>
  </si>
  <si>
    <t xml:space="preserve">Despesa trabalhista e combustível do consultor dividido pelo total de vendas (9691,9772,9805)</t>
  </si>
  <si>
    <t xml:space="preserve">Despesa trabalhista e combustivel dividida pela quantidade de vendas</t>
  </si>
  <si>
    <t xml:space="preserve">Despesa com combustível e utilização carro dtel</t>
  </si>
  <si>
    <t xml:space="preserve">Vendas da equipe Souza e silva p/ DTEL</t>
  </si>
  <si>
    <t xml:space="preserve">Despesa trabalhista e combustivel dividida pela quantidade de vendas (cliente 15595)</t>
  </si>
  <si>
    <t xml:space="preserve">Despesa trabalhista e combustivel do consultor dividido pelo total de vendas(cliente 15826, 15746)</t>
  </si>
  <si>
    <t xml:space="preserve">Despesa trabalhista e combustivel dividida pela quantidade de vendas(cliente 15745,15735)</t>
  </si>
  <si>
    <t xml:space="preserve">Vendas da equipe H&amp;A p/ voice</t>
  </si>
  <si>
    <t xml:space="preserve">Vendas da equipe Voicenet para Dtel</t>
  </si>
  <si>
    <t xml:space="preserve">Vendas da equipe da Voicenet para S &amp; L</t>
  </si>
  <si>
    <t xml:space="preserve">Vendas da equipe voicenet p/ Solon</t>
  </si>
  <si>
    <t xml:space="preserve">Serviços de configuração e suporte ao Técnico</t>
  </si>
  <si>
    <t xml:space="preserve">Setor de Desenvolvimento</t>
  </si>
  <si>
    <t xml:space="preserve">Uso mútuo de Postes</t>
  </si>
  <si>
    <t xml:space="preserve">Contrato das empresas que está em nome da Dtel</t>
  </si>
  <si>
    <t xml:space="preserve">Despesas da equipe de Engenharia</t>
  </si>
  <si>
    <t xml:space="preserve">Combustível, alimentação</t>
  </si>
  <si>
    <t xml:space="preserve">Serviços realizados pelo estoque</t>
  </si>
  <si>
    <t xml:space="preserve">Serviços de marcação de equipamentos</t>
  </si>
  <si>
    <t xml:space="preserve">Horas trabalhas em serviços realizado da oficina Dtel p/ soares e silva</t>
  </si>
  <si>
    <t xml:space="preserve">Horas trabalhas em serviços realizado da oficina Dtel p/ litoral</t>
  </si>
  <si>
    <t xml:space="preserve">Frota</t>
  </si>
  <si>
    <t xml:space="preserve">Abastecimento</t>
  </si>
  <si>
    <t xml:space="preserve">Abastecimento da van da dx2 com cartao Dtel</t>
  </si>
  <si>
    <t xml:space="preserve">Locação de veículos</t>
  </si>
  <si>
    <t xml:space="preserve">Veiculos Dtel emprestado para serviços na DX2 (2 carros)</t>
  </si>
  <si>
    <t xml:space="preserve">Rastreamento veicular</t>
  </si>
  <si>
    <t xml:space="preserve">Rastreamento dos veículos</t>
  </si>
  <si>
    <t xml:space="preserve">Transporte de produtos</t>
  </si>
  <si>
    <t xml:space="preserve">Transportes entre CD01 e empresas no rateio da rota</t>
  </si>
  <si>
    <t xml:space="preserve">Troca de Oleo e Filtro</t>
  </si>
  <si>
    <t xml:space="preserve">Manutenção veicular</t>
  </si>
  <si>
    <t xml:space="preserve">Abastecimento de 2 veiculos</t>
  </si>
  <si>
    <t xml:space="preserve">Veiculos Dtel emprestado para serviços 2 carros</t>
  </si>
  <si>
    <t xml:space="preserve">Manutenção de veiculo</t>
  </si>
  <si>
    <t xml:space="preserve">Troca de Óleo e Filtro</t>
  </si>
  <si>
    <t xml:space="preserve">Reboque de carro</t>
  </si>
  <si>
    <t xml:space="preserve">Abastecimento de veiculos</t>
  </si>
  <si>
    <t xml:space="preserve">Instalação</t>
  </si>
  <si>
    <t xml:space="preserve">KM rodado para serviços técnicos DX2 para SOLON</t>
  </si>
  <si>
    <t xml:space="preserve">Serviços das equipes dx2 p/ solon</t>
  </si>
  <si>
    <t xml:space="preserve">KM rodado para serviços técnicos Dx2 p/ Soares &amp; silva</t>
  </si>
  <si>
    <t xml:space="preserve">Serviços das equipes dx2 p/ soares e silva</t>
  </si>
  <si>
    <t xml:space="preserve">Serviços técnicos da DX2 P/ SOLON</t>
  </si>
  <si>
    <t xml:space="preserve">Serviços das equipes técnicas Dx2 p/ solon</t>
  </si>
  <si>
    <t xml:space="preserve">Serviços técnicos da Dx2 p/ Soares &amp; Silva</t>
  </si>
  <si>
    <t xml:space="preserve">Serviços das equipes técnicas Dx2 p/ soares e silva</t>
  </si>
  <si>
    <t xml:space="preserve">Serviços técnicos da DX2 P/ H&amp;A</t>
  </si>
  <si>
    <t xml:space="preserve">Deslocamento de equipes</t>
  </si>
  <si>
    <t xml:space="preserve">km rodado da equipe DX2 para H&amp;A</t>
  </si>
  <si>
    <t xml:space="preserve">Serviços das equipes técnicas Dtel</t>
  </si>
  <si>
    <t xml:space="preserve">KM rodado para serviços técnicos Dtel p/ S&amp;L</t>
  </si>
  <si>
    <t xml:space="preserve">Deslocamento de equipes dtel</t>
  </si>
  <si>
    <t xml:space="preserve">KM rodado para serviços técnicos S&amp;L para DTEL</t>
  </si>
  <si>
    <t xml:space="preserve">Deslocamento de equipes soares e lins</t>
  </si>
  <si>
    <t xml:space="preserve">KM rodado para serviços técnicos da S&amp;L para DTEL</t>
  </si>
  <si>
    <t xml:space="preserve">Serviços técnicos da Dtel para S&amp;L</t>
  </si>
  <si>
    <t xml:space="preserve">Serviços da equipe técnica</t>
  </si>
  <si>
    <t xml:space="preserve">Serviços técnicos da S&amp;L para DTEL</t>
  </si>
  <si>
    <t xml:space="preserve">Supervisor JOSUE DE MOURA SILVA JUNIOR</t>
  </si>
  <si>
    <t xml:space="preserve">Despesa dividida entre s&amp;l e dtel pelo supervisor JOSUE estar assumindo as bases</t>
  </si>
  <si>
    <t xml:space="preserve">KM rodado para serviços técnicos Dx2 p/ soares e silva</t>
  </si>
  <si>
    <t xml:space="preserve">Serviços técnicos da Dx2 p/ soares e silva</t>
  </si>
  <si>
    <t xml:space="preserve">Serviços das equipes técnicas</t>
  </si>
  <si>
    <t xml:space="preserve">KM rodado para serviços técnicos Souza e Silva p/ Solon</t>
  </si>
  <si>
    <t xml:space="preserve">Deslocamento de equipes da DTEL</t>
  </si>
  <si>
    <t xml:space="preserve">KM rodado para serviços técnicos dx2 p/ Solon</t>
  </si>
  <si>
    <t xml:space="preserve">Serviços técnicos da Dx2 p/ Solon</t>
  </si>
  <si>
    <t xml:space="preserve">Serviços técnicos da Souza p/ Solon</t>
  </si>
  <si>
    <t xml:space="preserve">KM rodado para serviços técnicos Souza e silva p/ soares e silva</t>
  </si>
  <si>
    <t xml:space="preserve">Serviços técnicos da Souza e silva p/ soares e silva</t>
  </si>
  <si>
    <t xml:space="preserve">Serviços das equipes técnicas da Dtel</t>
  </si>
  <si>
    <t xml:space="preserve">Gestão Regional MICHELANGELO</t>
  </si>
  <si>
    <t xml:space="preserve">KM rodado para serviços técnicos Dtel para Voicenet</t>
  </si>
  <si>
    <t xml:space="preserve">KM rodado para serviços técnicos Voicenet p/ Dtel</t>
  </si>
  <si>
    <t xml:space="preserve">Serviços técnicos da Dtel para voice net</t>
  </si>
  <si>
    <t xml:space="preserve">Serviços técnicos da voicenet p/ Dtel</t>
  </si>
  <si>
    <t xml:space="preserve">Licitação</t>
  </si>
  <si>
    <t xml:space="preserve">Conselho Regional De Enfermagem De Alagoas</t>
  </si>
  <si>
    <t xml:space="preserve">Mensalidade recebida pela H&amp;A (parcela abril)</t>
  </si>
  <si>
    <t xml:space="preserve">Conselho Regional de Enfermagem de Pernambuco - Coren PE</t>
  </si>
  <si>
    <t xml:space="preserve">Conselho regional de farmacia dos estado de pernambuco</t>
  </si>
  <si>
    <t xml:space="preserve">Câmara de vereadores-Vitória de Stº Antão</t>
  </si>
  <si>
    <t xml:space="preserve">Mensalidade recebida pela H&amp;A (parcela maio)</t>
  </si>
  <si>
    <t xml:space="preserve">FUNDO MUNICIPAL DE ASSISTÊNCIA SOCIAL DE PRIMAVERA</t>
  </si>
  <si>
    <t xml:space="preserve">Fundo Municipal De Saude De Primavera</t>
  </si>
  <si>
    <t xml:space="preserve">Municipio De Primavera</t>
  </si>
  <si>
    <t xml:space="preserve">AGÊNCIA REGULADORA DOS SERVIÇOS PÚBLICOS DO ESTADO DE ALAGOAS - ARSAL</t>
  </si>
  <si>
    <t xml:space="preserve">Mensalidade recebida pela Dtel (parcela abril)</t>
  </si>
  <si>
    <t xml:space="preserve">Imposto pago pela h&amp;a sob o recebimento da licitação</t>
  </si>
  <si>
    <t xml:space="preserve">Conselho regional de farmacia do estado de PE</t>
  </si>
  <si>
    <t xml:space="preserve">Imposto pago pela h&amp;a, pelo recebimento da licitação</t>
  </si>
  <si>
    <t xml:space="preserve">Manutenção predial</t>
  </si>
  <si>
    <t xml:space="preserve">Serviços executados para verificação de tacaimbó, e manut. de alarme e sensor loja pesqueira, despesa com comb. e colab.</t>
  </si>
  <si>
    <t xml:space="preserve">Despesa com combust. e colaborador para manutenção de ar condicionado do estoque</t>
  </si>
  <si>
    <t xml:space="preserve">Serviços executados</t>
  </si>
  <si>
    <t xml:space="preserve">Serviços executados, despesa com combustÍvel e colaborador para reforma pop b, e passagem de tubulação de condensadora</t>
  </si>
  <si>
    <t xml:space="preserve">Despesa com material, combust, e colaborador para manut. de ar, e manut. de telhado</t>
  </si>
  <si>
    <t xml:space="preserve">Serviços executados despesas com comb. e colaborador para urgencia na base</t>
  </si>
  <si>
    <t xml:space="preserve">Vendas do site Mundiale</t>
  </si>
  <si>
    <t xml:space="preserve">Vendas instaladas do impulsionamento site mundiale (VENDAS MUNDIALE - MAIO 2026.xlsx)</t>
  </si>
  <si>
    <t xml:space="preserve">Vendas instaladas do impulsionamento site mundiale</t>
  </si>
  <si>
    <t xml:space="preserve">Fardamentos</t>
  </si>
  <si>
    <t xml:space="preserve">Solicitações de fardamentos administrativos</t>
  </si>
  <si>
    <t xml:space="preserve">Treinamentos/integração</t>
  </si>
  <si>
    <t xml:space="preserve">Despesas com seleção, treinamentos...</t>
  </si>
  <si>
    <t xml:space="preserve">Despesa com integração/alimentação</t>
  </si>
  <si>
    <t xml:space="preserve">Despesa de alimentação de colaboradores em integração</t>
  </si>
  <si>
    <t xml:space="preserve">Relacionamento</t>
  </si>
  <si>
    <t xml:space="preserve">Relacionamento Dtel</t>
  </si>
  <si>
    <t xml:space="preserve">Equipamentos de Segurança</t>
  </si>
  <si>
    <t xml:space="preserve">Devolução de Crédito</t>
  </si>
  <si>
    <t xml:space="preserve">EPI, EPC, Fardamento</t>
  </si>
  <si>
    <t xml:space="preserve">Km rodado Segurança e Saúde do Trabalho dtel p/ H&amp;a</t>
  </si>
  <si>
    <t xml:space="preserve">Deslocamento da equipe para Horas cursos de normas e reciclagem ou visitas</t>
  </si>
  <si>
    <t xml:space="preserve">Saude e segurança no trabalho</t>
  </si>
  <si>
    <t xml:space="preserve">Rateio do departamento (despesa por colaborador, mês de jan fev e março)</t>
  </si>
  <si>
    <t xml:space="preserve">Serviços prestados pela equipe Segurança do trabalho dtel p/ h&amp;a</t>
  </si>
  <si>
    <t xml:space="preserve">Serviços da equipe para Horas cursos de normas e reciclagem ou visitas</t>
  </si>
  <si>
    <t xml:space="preserve">Km rodado Segurança e Saúde do Trabalho dtel p/ soares e lins</t>
  </si>
  <si>
    <t xml:space="preserve">Serviços prestados pela equipe Segurança do trabalho</t>
  </si>
  <si>
    <t xml:space="preserve">Km rodado Segurança e Saúde do Trabalho soares e silva p/ Dtel</t>
  </si>
  <si>
    <t xml:space="preserve">Km rodado Segurança e Saúde do Trabalho soares e silva p/ LITORAL</t>
  </si>
  <si>
    <t xml:space="preserve">Serviços prestados pela equipe Segurança do trabalho soares e silva p/ LITORAL</t>
  </si>
  <si>
    <t xml:space="preserve">Serviços prestados pela equipe Segurança do trabalho soares e silva p/ dtel</t>
  </si>
  <si>
    <t xml:space="preserve">Km rodado Segurança e Saúde do Trabalho dtel p/ voice net</t>
  </si>
  <si>
    <t xml:space="preserve">E-mail Dtel</t>
  </si>
  <si>
    <t xml:space="preserve">Utilização de email corporativo</t>
  </si>
  <si>
    <t xml:space="preserve">MAIO/2026</t>
  </si>
  <si>
    <t xml:space="preserve">Preenchido da planilha de materiais (materiais recebidos em 05-2026.xlsx)</t>
  </si>
  <si>
    <t xml:space="preserve">Vendas cadastradas e consultadas pelo argos (Consultas e analise de credito - Maio26.xlsx)</t>
  </si>
  <si>
    <t xml:space="preserve">Serviços executados em projeto neoenergia (800 pontos)</t>
  </si>
  <si>
    <t xml:space="preserve">Mensalidade recebida pela H&amp;A (parcela junho)</t>
  </si>
  <si>
    <t xml:space="preserve">Serviços para verificação de tacaimbó, e projeto de expansão de pesqueira</t>
  </si>
  <si>
    <t xml:space="preserve">Despesa com combust. e colaborador para manutenção de ar condicionado e instalação de led da fachada</t>
  </si>
  <si>
    <t xml:space="preserve">Serviços executados, despesa com combustÍvel e colaborador inst. dos aramados do pop novo, troca de retificadora</t>
  </si>
  <si>
    <t xml:space="preserve">Vendas instaladas do impulsionamento site mundiale (VENDAS MUNDIALE - junho26.xlsx)</t>
  </si>
  <si>
    <t xml:space="preserve">EPI/Equipamentos do mês (CUSTO DE SEGURANÇA - MAIO26.xlsx)</t>
  </si>
  <si>
    <t xml:space="preserve">JUNHO/2026</t>
  </si>
  <si>
    <t xml:space="preserve">Preenchido da planilha de materiais (materiais recebidos em 06-2026.xlsx)</t>
  </si>
  <si>
    <t xml:space="preserve">Vendas cadastradas e consultadas pelo argos (Consultas e analise de credito - junho26.xlsx)</t>
  </si>
  <si>
    <t xml:space="preserve">Despesa com alimentação da itinerante pap</t>
  </si>
  <si>
    <t xml:space="preserve">Crédito por despesa com alimentação da equipe Dx2, em inauguração de loja h&amp;a</t>
  </si>
  <si>
    <t xml:space="preserve">Despesa da van DX2</t>
  </si>
  <si>
    <t xml:space="preserve">Crédito por despesa com combustivel da van</t>
  </si>
  <si>
    <t xml:space="preserve">Vendas comercial varejo.xlsx (maio/2026)</t>
  </si>
  <si>
    <t xml:space="preserve">Despesa com alimentação da equipe Dx2, em inauguração de loja h&amp;a</t>
  </si>
  <si>
    <t xml:space="preserve">Despesa com combustÍvel e utilização da van dx2</t>
  </si>
  <si>
    <t xml:space="preserve">Despesa trabalhista e combustÍvel do consultor dividido pelo total de vendas</t>
  </si>
  <si>
    <t xml:space="preserve">Despesa trabalhista e combustÍvel dividida pela quantidade de vendas</t>
  </si>
  <si>
    <t xml:space="preserve">Vendas da equipe voicenet porta a porta p/ Soares e silva</t>
  </si>
  <si>
    <t xml:space="preserve">Despesa trabalhista e combustível dividida pela quantidade de vendas</t>
  </si>
  <si>
    <t xml:space="preserve">Vendas da equipe da Voicenet para soares e silva</t>
  </si>
  <si>
    <t xml:space="preserve">Manutenção de veículo</t>
  </si>
  <si>
    <t xml:space="preserve">Transporte de produtos - Frota.xlsx (referente maio/2026)</t>
  </si>
  <si>
    <t xml:space="preserve">Transporte de produtos - Frota.xlsx (referente junho/2026)</t>
  </si>
  <si>
    <t xml:space="preserve">Referente MAIO/2026 - não cobrado em maio</t>
  </si>
  <si>
    <t xml:space="preserve">KM rodado para serviços técnicos DX2 p/ Soares &amp; silva</t>
  </si>
  <si>
    <t xml:space="preserve">Serviços técnicos da DX2 p/ Soares &amp; Silva</t>
  </si>
  <si>
    <t xml:space="preserve">Fundo Municipal de assistencia social de primavera</t>
  </si>
  <si>
    <t xml:space="preserve">Agência reguladora dos serviços públicos do estado de Alagoas - ARSAL</t>
  </si>
  <si>
    <t xml:space="preserve">Mensalidade recebida pela Dtel (parcela junho)</t>
  </si>
  <si>
    <t xml:space="preserve">EPI/Equipamentos do mês (CUSTO DE SEGURANÇA - JUN26.xlsx)</t>
  </si>
  <si>
    <t xml:space="preserve">EPI/Equipamentos do mês</t>
  </si>
  <si>
    <t xml:space="preserve">Serviços prestados pela equipe Segurança do trabalho soares e silva p/ litoral</t>
  </si>
  <si>
    <t xml:space="preserve">JULHO/2026</t>
  </si>
  <si>
    <t xml:space="preserve">Vendas cadastradas e consultadas pelo argos (Consulta e analise de crédito - Jul26.xlsx)</t>
  </si>
  <si>
    <t xml:space="preserve">Vendas comercial varejo.xlsx (junho/2026)</t>
  </si>
  <si>
    <t xml:space="preserve">Vendas da equipe solon p/ Dtel</t>
  </si>
  <si>
    <t xml:space="preserve">Vendas comercial varejo</t>
  </si>
  <si>
    <t xml:space="preserve">Transporte de produtos - Frota.xlsx</t>
  </si>
  <si>
    <t xml:space="preserve">Serviços técnicos da Dtel para voicenet</t>
  </si>
  <si>
    <t xml:space="preserve">Mensalidade recebida pela H&amp;A (parcela julho)</t>
  </si>
  <si>
    <t xml:space="preserve">Despesa com combust. e colaborador para verificação obra tacaimbó</t>
  </si>
  <si>
    <t xml:space="preserve">Despesa com material, combust., e colaborador para finalização pop b maceió</t>
  </si>
  <si>
    <t xml:space="preserve">Despesa com combust. e colaborador para verificação edf estação madalena</t>
  </si>
  <si>
    <t xml:space="preserve">Vendas instaladas do impulsionamento site mundiale (VENDAS MUNDIALE jul26.xlsx)</t>
  </si>
  <si>
    <t xml:space="preserve">EPI/Equipamentos do mês (CUSTO DE SEGURANÇA - JUl26.xlsx)</t>
  </si>
  <si>
    <t xml:space="preserve">Serviços prestados pela equipe Seg. soares e silva p/ dtel</t>
  </si>
  <si>
    <t xml:space="preserve">Custo do departamento de RH</t>
  </si>
  <si>
    <t xml:space="preserve">Cálculo por número de funcionários ativos</t>
  </si>
  <si>
    <t xml:space="preserve">Custo do departamento de DP</t>
  </si>
  <si>
    <t xml:space="preserve">SST Administrativo</t>
  </si>
  <si>
    <t xml:space="preserve">Cálculo por número de funcionários ativos — taxa corrigida em 15/09/2026 (estava desatualizada, de antes da correção do custo de Segurança do Trabalho de Julho; agora bate com a aba SETORES)</t>
  </si>
  <si>
    <t xml:space="preserve">Setor de TIC</t>
  </si>
  <si>
    <t xml:space="preserve">Setor de Marketing</t>
  </si>
  <si>
    <t xml:space="preserve">Custo do departamento Administrativo</t>
  </si>
  <si>
    <t xml:space="preserve">Cálculo por número de funcionários ativos (sem quantidade exata para H&amp;A)</t>
  </si>
  <si>
    <t xml:space="preserve">Reembolso por receita recebida</t>
  </si>
  <si>
    <t xml:space="preserve">Taxa de administração de 6% e 1% de utilização da marca (7% sobre a receita recebida) — fonte: Base Geral 2026.xlsx</t>
  </si>
  <si>
    <t xml:space="preserve">AGOSTO/2026</t>
  </si>
  <si>
    <t xml:space="preserve">Mensalidade recebida pela H&amp;A (parcela agosto)</t>
  </si>
  <si>
    <t xml:space="preserve">Logistica</t>
  </si>
  <si>
    <t xml:space="preserve">Administração da Engenharia</t>
  </si>
  <si>
    <t xml:space="preserve">Cálculo por número de clientes ativos (apenas Engenharia — Projetista cobrado em linha própria)</t>
  </si>
  <si>
    <t xml:space="preserve">Taxa de administração de 6% e 1% de utilização da marca (7% sobre a receita recebida) — valores informados pela Débora (11/09/2026)</t>
  </si>
  <si>
    <t xml:space="preserve">Cálculo por número de vendas do setor (rateio uniforme por empresa) — critério alterado de Clientes para Vendas a pedido da Débora (11/09/2026)</t>
  </si>
  <si>
    <t xml:space="preserve">Cálculo: Remuneração Bruta / Custo Total c/ Encargos (folha, equipe Comercial+Vendas Corporativo) arredondado = % de encargos; (Remuneração Bruta - Comissão por Recorrência) x (1+%) / Total de vendas (segmento Empresarial+Operadoras, excluindo ISP) = valor unitário; Quantidade = vendas do setor para cada empresa no mês (LISTAGEM POR CLIENTE) — critério confirmado com a Débora em 16/09/2026 (Qtd deixa de ser uniforme=1 e passa a refletir as vendas reais por empresa).</t>
  </si>
  <si>
    <t xml:space="preserve">Cálculo por número de funcionários ativos — criado em 15/09/2026 (linha não existia para Maio/Junho; quantidade PARÂMETROS, exceto H&amp;A=37 fixo a pedido da Débora)</t>
  </si>
  <si>
    <t xml:space="preserve">vendas cadastradas e consultadas pelo argos (Consultas e analise de credito - ago26.xlsx)</t>
  </si>
  <si>
    <t xml:space="preserve">Vendas instaladas do impulsionamento site mundiale (VENDAS MUNDIALE - agosto 26.xlsx (Agosto2026))</t>
  </si>
  <si>
    <t xml:space="preserve">vendas cadastradas e consultadas pelo argos</t>
  </si>
  <si>
    <t xml:space="preserve">Crédito por despesa com combustível da van</t>
  </si>
  <si>
    <t xml:space="preserve">despesa com combustível e utilização de veiculo soares e silva</t>
  </si>
  <si>
    <t xml:space="preserve">Vendas da equipe Dtel porta a porta </t>
  </si>
  <si>
    <t xml:space="preserve">rastreamento dos veículos</t>
  </si>
  <si>
    <t xml:space="preserve">manutenção veicular</t>
  </si>
  <si>
    <t xml:space="preserve">Despesa com material, combust., e colaborador para verificação obra tacaimbó, passagem de circuito de iluminação da loja de tacaimbó/ montagem do pop / circuito de alarme / instalação de luminarias / instalação de alarme e cameras / instalação de ar condicionado</t>
  </si>
  <si>
    <t xml:space="preserve">Utilização de e-mail corporativo</t>
  </si>
  <si>
    <t xml:space="preserve">Comissão de manutenção da Totum </t>
  </si>
  <si>
    <t xml:space="preserve">despesa com combustível e utilização da van dx2</t>
  </si>
  <si>
    <t xml:space="preserve">despesa trabalhista dividida pela quantidade de vendas</t>
  </si>
  <si>
    <t xml:space="preserve">Vendas comercial varejo.xlsx</t>
  </si>
  <si>
    <t xml:space="preserve">despesa com alimentação da equipe Dx2, em inauguração de loja h&amp;a</t>
  </si>
  <si>
    <t xml:space="preserve">transportes entre CD01 e empresas no rateio da rota</t>
  </si>
  <si>
    <t xml:space="preserve">Rateio do departamento</t>
  </si>
  <si>
    <t xml:space="preserve">Crédito por despesa com combustível e utilização de veÍculo soares e silva</t>
  </si>
  <si>
    <t xml:space="preserve">despesa trabalhista e pela quantidade de vendas</t>
  </si>
  <si>
    <t xml:space="preserve">Vendas comercial varejo.xlsx (julho/2026)</t>
  </si>
  <si>
    <t xml:space="preserve">mensalidade recebida pela Dtel (parcela)</t>
  </si>
  <si>
    <t xml:space="preserve">mensalidade recebida pela H&amp;A (parcela julho)</t>
  </si>
  <si>
    <t xml:space="preserve">Despesa com material, combust., e colaborador para mudança de pop</t>
  </si>
  <si>
    <t xml:space="preserve">EPI/Equipamentos do mês (CUSTO DE SEGURANÇA - ago26.xlsx)</t>
  </si>
  <si>
    <t xml:space="preserve">despesa com combustível e utilização carro dtel</t>
  </si>
  <si>
    <t xml:space="preserve">Despesa com combust. e colaborador para manutenção do ar condicionado da loja de camela</t>
  </si>
  <si>
    <t xml:space="preserve">Vendas comercial varejo.xlsx (juLho/2026)</t>
  </si>
  <si>
    <t xml:space="preserve">mensalidade recebida pela H&amp;A (parcela agosto)</t>
  </si>
  <si>
    <t xml:space="preserve">despesa de alimentação de colaboradores em integração</t>
  </si>
  <si>
    <t xml:space="preserve">Custo do setor de vendas corporativo</t>
  </si>
  <si>
    <t xml:space="preserve">Despesa por vendas da equipe do corporativo</t>
  </si>
  <si>
    <t xml:space="preserve">Vendas da equipe Voicenet porta a porta P/ H&amp;A</t>
  </si>
  <si>
    <t xml:space="preserve">Despesas por prestação de serviços</t>
  </si>
  <si>
    <t xml:space="preserve">Despesa de claudio com alimentação e comb. em emergencia em garanhuns em julho que não foi cobrado</t>
  </si>
  <si>
    <t xml:space="preserve">Vendas da equipe Souza e Silva p/ Soares e Silva</t>
  </si>
  <si>
    <t xml:space="preserve">Vendas da equipe Soares e Silva p/ Souza e Silva</t>
  </si>
  <si>
    <t xml:space="preserve">Panfletos</t>
  </si>
  <si>
    <t xml:space="preserve">mensalidade recebida pela H&amp;A (parcela maio)</t>
  </si>
  <si>
    <t xml:space="preserve">mensalidade recebida pela H&amp;A (parcela junho)</t>
  </si>
  <si>
    <t xml:space="preserve">despesa trabalhista e combustível do consultor dividido pelo total de vendas(cliente 15826, 15746)</t>
  </si>
  <si>
    <t xml:space="preserve">despesa trabalhista e combustível dividida pela quantidade de vendas(cliente 15745,15735)</t>
  </si>
  <si>
    <t xml:space="preserve">Saldo restante de reembolso</t>
  </si>
  <si>
    <t xml:space="preserve">Parcela de reembolso gerado menor que o valor enviado no e-mail de reembolso de março</t>
  </si>
  <si>
    <t xml:space="preserve">despesa trabalhista e combustível dividida pela quantidade de vendas</t>
  </si>
  <si>
    <t xml:space="preserve">despesa trabalhista e combustível do consultor dividido pelo total de vendas</t>
  </si>
  <si>
    <t xml:space="preserve">despesa trabalhista e combustível dividida pela quantidade de vendas (cliente 15595)</t>
  </si>
  <si>
    <t xml:space="preserve">vendas cadastradas e consultadas pelo argos (Consulta e analise de crédito - Jul26.xlsx)</t>
  </si>
  <si>
    <t xml:space="preserve">mensalidade recebida pela Dtel (parcela julho)</t>
  </si>
  <si>
    <t xml:space="preserve">Despesa da equipe do corporativo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</si>
</sst>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#,##0"/>
    <numFmt numFmtId="170" formatCode="_-&quot;R$ &quot;* #,##0.00_-;&quot;-R$ &quot;* #,##0.00_-;_-&quot;R$ &quot;* \-??_-;_-@_-"/>
    <numFmt numFmtId="171" formatCode="mmm\-yy"/>
    <numFmt numFmtId="172" formatCode="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10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i val="true"/>
      <sz val="10"/>
      <color rgb="FF0000FF"/>
      <name val="Arial"/>
      <family val="2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libri"/>
      <family val="0"/>
      <charset val="1"/>
    </font>
    <font>
      <sz val="9"/>
      <name val="Calibri"/>
      <family val="0"/>
      <charset val="1"/>
    </font>
    <font>
      <b val="true"/>
      <sz val="10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9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4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9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1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1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ables/table1.xml><?xml version="1.0" encoding="utf-8"?>
<table xmlns="http://schemas.openxmlformats.org/spreadsheetml/2006/main" id="1" name="CustosMensais" displayName="CustosMensais" ref="A4:H2642" headerRowCount="1" totalsRowCount="0" totalsRowShown="0">
  <autoFilter ref="A4:H2642"/>
  <tableColumns count="8">
    <tableColumn id="1" name="Setor"/>
    <tableColumn id="2" name="Categoria"/>
    <tableColumn id="3" name="Descrição do Custo"/>
    <tableColumn id="4" name="Quantidade"/>
    <tableColumn id="5" name="Valor Unitário"/>
    <tableColumn id="6" name="Total do Mês "/>
    <tableColumn id="7" name="Critério de Rateio"/>
    <tableColumn id="8" name="Mê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12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IFERROR(B8/SUMIFS($B$8:$B$907,$G$8:$G$907,G8),0)</f>
        <v>0.0330779140128206</v>
      </c>
      <c r="E8" s="9" t="n">
        <f aca="false">IFERROR(C8/SUMIFS($C$8:$C$907,$G$8:$G$907,G8),0)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IFERROR(B9/SUMIFS($B$8:$B$907,$G$8:$G$907,G9),0)</f>
        <v>0.0688657021294068</v>
      </c>
      <c r="E9" s="14" t="n">
        <f aca="false">IFERROR(C9/SUMIFS($C$8:$C$907,$G$8:$G$907,G9),0)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IFERROR(B10/SUMIFS($B$8:$B$907,$G$8:$G$907,G10),0)</f>
        <v>0.0741160832054526</v>
      </c>
      <c r="E10" s="9" t="n">
        <f aca="false">IFERROR(C10/SUMIFS($C$8:$C$907,$G$8:$G$907,G10),0)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IFERROR(B11/SUMIFS($B$8:$B$907,$G$8:$G$907,G11),0)</f>
        <v>0.0190101774249011</v>
      </c>
      <c r="E11" s="14" t="n">
        <f aca="false">IFERROR(C11/SUMIFS($C$8:$C$907,$G$8:$G$907,G11),0)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IFERROR(B12/SUMIFS($B$8:$B$907,$G$8:$G$907,G12),0)</f>
        <v>0.0330214583023255</v>
      </c>
      <c r="E12" s="9" t="n">
        <f aca="false">IFERROR(C12/SUMIFS($C$8:$C$907,$G$8:$G$907,G12),0)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IFERROR(B13/SUMIFS($B$8:$B$907,$G$8:$G$907,G13),0)</f>
        <v>0.0243734699219372</v>
      </c>
      <c r="E13" s="14" t="n">
        <f aca="false">IFERROR(C13/SUMIFS($C$8:$C$907,$G$8:$G$907,G13),0)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IFERROR(B14/SUMIFS($B$8:$B$907,$G$8:$G$907,G14),0)</f>
        <v>0.0246095574385531</v>
      </c>
      <c r="E14" s="9" t="n">
        <f aca="false">IFERROR(C14/SUMIFS($C$8:$C$907,$G$8:$G$907,G14),0)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IFERROR(B15/SUMIFS($B$8:$B$907,$G$8:$G$907,G15),0)</f>
        <v>0.722925637564603</v>
      </c>
      <c r="E15" s="14" t="n">
        <f aca="false">IFERROR(C15/SUMIFS($C$8:$C$907,$G$8:$G$907,G15),0)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IFERROR(B17/SUMIFS($B$8:$B$907,$G$8:$G$907,G17),0)</f>
        <v>0.0328233861399593</v>
      </c>
      <c r="E17" s="9" t="n">
        <f aca="false">IFERROR(C17/SUMIFS($C$8:$C$907,$G$8:$G$907,G17),0)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IFERROR(B18/SUMIFS($B$8:$B$907,$G$8:$G$907,G18),0)</f>
        <v>0.0700476148165183</v>
      </c>
      <c r="E18" s="14" t="n">
        <f aca="false">IFERROR(C18/SUMIFS($C$8:$C$907,$G$8:$G$907,G18),0)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IFERROR(B19/SUMIFS($B$8:$B$907,$G$8:$G$907,G19),0)</f>
        <v>0.074903176237541</v>
      </c>
      <c r="E19" s="9" t="n">
        <f aca="false">IFERROR(C19/SUMIFS($C$8:$C$907,$G$8:$G$907,G19),0)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IFERROR(B20/SUMIFS($B$8:$B$907,$G$8:$G$907,G20),0)</f>
        <v>0.0190772865303904</v>
      </c>
      <c r="E20" s="14" t="n">
        <f aca="false">IFERROR(C20/SUMIFS($C$8:$C$907,$G$8:$G$907,G20),0)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IFERROR(B21/SUMIFS($B$8:$B$907,$G$8:$G$907,G21),0)</f>
        <v>0.0334296779858567</v>
      </c>
      <c r="E21" s="9" t="n">
        <f aca="false">IFERROR(C21/SUMIFS($C$8:$C$907,$G$8:$G$907,G21),0)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IFERROR(B22/SUMIFS($B$8:$B$907,$G$8:$G$907,G22),0)</f>
        <v>0.0247220726818484</v>
      </c>
      <c r="E22" s="14" t="n">
        <f aca="false">IFERROR(C22/SUMIFS($C$8:$C$907,$G$8:$G$907,G22),0)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IFERROR(B23/SUMIFS($B$8:$B$907,$G$8:$G$907,G23),0)</f>
        <v>0.0249938586817334</v>
      </c>
      <c r="E23" s="9" t="n">
        <f aca="false">IFERROR(C23/SUMIFS($C$8:$C$907,$G$8:$G$907,G23),0)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IFERROR(B24/SUMIFS($B$8:$B$907,$G$8:$G$907,G24),0)</f>
        <v>0.720002926926153</v>
      </c>
      <c r="E24" s="14" t="n">
        <f aca="false">IFERROR(C24/SUMIFS($C$8:$C$907,$G$8:$G$907,G24),0)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IFERROR(B26/SUMIFS($B$8:$B$907,$G$8:$G$907,G26),0)</f>
        <v>0.0326962494602737</v>
      </c>
      <c r="E26" s="9" t="n">
        <f aca="false">IFERROR(C26/SUMIFS($C$8:$C$907,$G$8:$G$907,G26),0)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IFERROR(B27/SUMIFS($B$8:$B$907,$G$8:$G$907,G27),0)</f>
        <v>0.06714940121395</v>
      </c>
      <c r="E27" s="14" t="n">
        <f aca="false">IFERROR(C27/SUMIFS($C$8:$C$907,$G$8:$G$907,G27),0)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IFERROR(B28/SUMIFS($B$8:$B$907,$G$8:$G$907,G28),0)</f>
        <v>0.0729015191745537</v>
      </c>
      <c r="E28" s="9" t="n">
        <f aca="false">IFERROR(C28/SUMIFS($C$8:$C$907,$G$8:$G$907,G28),0)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IFERROR(B29/SUMIFS($B$8:$B$907,$G$8:$G$907,G29),0)</f>
        <v>0.0186856981205116</v>
      </c>
      <c r="E29" s="14" t="n">
        <f aca="false">IFERROR(C29/SUMIFS($C$8:$C$907,$G$8:$G$907,G29),0)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IFERROR(B30/SUMIFS($B$8:$B$907,$G$8:$G$907,G30),0)</f>
        <v>0.0325969894436972</v>
      </c>
      <c r="E30" s="9" t="n">
        <f aca="false">IFERROR(C30/SUMIFS($C$8:$C$907,$G$8:$G$907,G30),0)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IFERROR(B31/SUMIFS($B$8:$B$907,$G$8:$G$907,G31),0)</f>
        <v>0.0238472189824856</v>
      </c>
      <c r="E31" s="14" t="n">
        <f aca="false">IFERROR(C31/SUMIFS($C$8:$C$907,$G$8:$G$907,G31),0)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IFERROR(B32/SUMIFS($B$8:$B$907,$G$8:$G$907,G32),0)</f>
        <v>0.0238521819833144</v>
      </c>
      <c r="E32" s="9" t="n">
        <f aca="false">IFERROR(C32/SUMIFS($C$8:$C$907,$G$8:$G$907,G32),0)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IFERROR(B33/SUMIFS($B$8:$B$907,$G$8:$G$907,G33),0)</f>
        <v>0.728270741621214</v>
      </c>
      <c r="E33" s="14" t="n">
        <f aca="false">IFERROR(C33/SUMIFS($C$8:$C$907,$G$8:$G$907,G33),0)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IF(B39="Clientes",SUMIFS(PARÂMETROS!$D$8:$D$907,PARÂMETROS!$A$8:$A$907,C39,PARÂMETROS!$G$8:$G$907,J39),SUMIFS(PARÂMETROS!$E$8:$E$907,PARÂMETROS!$A$8:$A$907,C39,PARÂMETROS!$G$8:$G$907,J39))</f>
        <v>0.0330779140128206</v>
      </c>
      <c r="E39" s="21" t="n">
        <f aca="false">SUMIFS(SETORES!$D:$D,SETORES!$A:$A,A39,SETORES!$F:$F,J39)</f>
        <v>70674.8511</v>
      </c>
      <c r="F39" s="21" t="n">
        <f aca="false">IFERROR(D39*E39,0)</f>
        <v>2337.7766475547</v>
      </c>
      <c r="G39" s="9" t="n">
        <f aca="false">SUMIFS(PARÂMETROS!$F$8:$F$907,PARÂMETROS!$A$8:$A$907,C39,PARÂMETROS!$G$8:$G$907,J39)</f>
        <v>0</v>
      </c>
      <c r="H39" s="21" t="n">
        <f aca="false">IFERROR(F39*G39,0)</f>
        <v>0</v>
      </c>
      <c r="I39" s="21" t="n">
        <f aca="false">F39+H39</f>
        <v>2337.7766475547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IF(B40="Clientes",SUMIFS(PARÂMETROS!$D$8:$D$907,PARÂMETROS!$A$8:$A$907,C40,PARÂMETROS!$G$8:$G$907,J40),SUMIFS(PARÂMETROS!$E$8:$E$907,PARÂMETROS!$A$8:$A$907,C40,PARÂMETROS!$G$8:$G$907,J40))</f>
        <v>0.0688657021294068</v>
      </c>
      <c r="E40" s="22" t="n">
        <f aca="false">SUMIFS(SETORES!$D:$D,SETORES!$A:$A,A40,SETORES!$F:$F,J40)</f>
        <v>70674.8511</v>
      </c>
      <c r="F40" s="22" t="n">
        <f aca="false">IFERROR(D40*E40,0)</f>
        <v>4867.07324389278</v>
      </c>
      <c r="G40" s="14" t="n">
        <f aca="false">SUMIFS(PARÂMETROS!$F$8:$F$907,PARÂMETROS!$A$8:$A$907,C40,PARÂMETROS!$G$8:$G$907,J40)</f>
        <v>0</v>
      </c>
      <c r="H40" s="22" t="n">
        <f aca="false">IFERROR(F40*G40,0)</f>
        <v>0</v>
      </c>
      <c r="I40" s="22" t="n">
        <f aca="false">F40+H40</f>
        <v>4867.07324389278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IF(B41="Clientes",SUMIFS(PARÂMETROS!$D$8:$D$907,PARÂMETROS!$A$8:$A$907,C41,PARÂMETROS!$G$8:$G$907,J41),SUMIFS(PARÂMETROS!$E$8:$E$907,PARÂMETROS!$A$8:$A$907,C41,PARÂMETROS!$G$8:$G$907,J41))</f>
        <v>0.0741160832054526</v>
      </c>
      <c r="E41" s="21" t="n">
        <f aca="false">SUMIFS(SETORES!$D:$D,SETORES!$A:$A,A41,SETORES!$F:$F,J41)</f>
        <v>70674.8511</v>
      </c>
      <c r="F41" s="21" t="n">
        <f aca="false">IFERROR(D41*E41,0)</f>
        <v>5238.14314466057</v>
      </c>
      <c r="G41" s="9" t="n">
        <f aca="false">SUMIFS(PARÂMETROS!$F$8:$F$907,PARÂMETROS!$A$8:$A$907,C41,PARÂMETROS!$G$8:$G$907,J41)</f>
        <v>0</v>
      </c>
      <c r="H41" s="21" t="n">
        <f aca="false">IFERROR(F41*G41,0)</f>
        <v>0</v>
      </c>
      <c r="I41" s="21" t="n">
        <f aca="false">F41+H41</f>
        <v>5238.14314466057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IF(B42="Clientes",SUMIFS(PARÂMETROS!$D$8:$D$907,PARÂMETROS!$A$8:$A$907,C42,PARÂMETROS!$G$8:$G$907,J42),SUMIFS(PARÂMETROS!$E$8:$E$907,PARÂMETROS!$A$8:$A$907,C42,PARÂMETROS!$G$8:$G$907,J42))</f>
        <v>0.0190101774249011</v>
      </c>
      <c r="E42" s="22" t="n">
        <f aca="false">SUMIFS(SETORES!$D:$D,SETORES!$A:$A,A42,SETORES!$F:$F,J42)</f>
        <v>70674.8511</v>
      </c>
      <c r="F42" s="22" t="n">
        <f aca="false">IFERROR(D42*E42,0)</f>
        <v>1343.54145888947</v>
      </c>
      <c r="G42" s="14" t="n">
        <f aca="false">SUMIFS(PARÂMETROS!$F$8:$F$907,PARÂMETROS!$A$8:$A$907,C42,PARÂMETROS!$G$8:$G$907,J42)</f>
        <v>0</v>
      </c>
      <c r="H42" s="22" t="n">
        <f aca="false">IFERROR(F42*G42,0)</f>
        <v>0</v>
      </c>
      <c r="I42" s="22" t="n">
        <f aca="false">F42+H42</f>
        <v>1343.54145888947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IF(B43="Clientes",SUMIFS(PARÂMETROS!$D$8:$D$907,PARÂMETROS!$A$8:$A$907,C43,PARÂMETROS!$G$8:$G$907,J43),SUMIFS(PARÂMETROS!$E$8:$E$907,PARÂMETROS!$A$8:$A$907,C43,PARÂMETROS!$G$8:$G$907,J43))</f>
        <v>0.0330214583023255</v>
      </c>
      <c r="E43" s="21" t="n">
        <f aca="false">SUMIFS(SETORES!$D:$D,SETORES!$A:$A,A43,SETORES!$F:$F,J43)</f>
        <v>70674.8511</v>
      </c>
      <c r="F43" s="21" t="n">
        <f aca="false">IFERROR(D43*E43,0)</f>
        <v>2333.78664862171</v>
      </c>
      <c r="G43" s="9" t="n">
        <f aca="false">SUMIFS(PARÂMETROS!$F$8:$F$907,PARÂMETROS!$A$8:$A$907,C43,PARÂMETROS!$G$8:$G$907,J43)</f>
        <v>0</v>
      </c>
      <c r="H43" s="21" t="n">
        <f aca="false">IFERROR(F43*G43,0)</f>
        <v>0</v>
      </c>
      <c r="I43" s="21" t="n">
        <f aca="false">F43+H43</f>
        <v>2333.78664862171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IF(B44="Clientes",SUMIFS(PARÂMETROS!$D$8:$D$907,PARÂMETROS!$A$8:$A$907,C44,PARÂMETROS!$G$8:$G$907,J44),SUMIFS(PARÂMETROS!$E$8:$E$907,PARÂMETROS!$A$8:$A$907,C44,PARÂMETROS!$G$8:$G$907,J44))</f>
        <v>0.0243734699219372</v>
      </c>
      <c r="E44" s="22" t="n">
        <f aca="false">SUMIFS(SETORES!$D:$D,SETORES!$A:$A,A44,SETORES!$F:$F,J44)</f>
        <v>70674.8511</v>
      </c>
      <c r="F44" s="22" t="n">
        <f aca="false">IFERROR(D44*E44,0)</f>
        <v>1722.59135752324</v>
      </c>
      <c r="G44" s="14" t="n">
        <f aca="false">SUMIFS(PARÂMETROS!$F$8:$F$907,PARÂMETROS!$A$8:$A$907,C44,PARÂMETROS!$G$8:$G$907,J44)</f>
        <v>0</v>
      </c>
      <c r="H44" s="22" t="n">
        <f aca="false">IFERROR(F44*G44,0)</f>
        <v>0</v>
      </c>
      <c r="I44" s="22" t="n">
        <f aca="false">F44+H44</f>
        <v>1722.59135752324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IF(B45="Clientes",SUMIFS(PARÂMETROS!$D$8:$D$907,PARÂMETROS!$A$8:$A$907,C45,PARÂMETROS!$G$8:$G$907,J45),SUMIFS(PARÂMETROS!$E$8:$E$907,PARÂMETROS!$A$8:$A$907,C45,PARÂMETROS!$G$8:$G$907,J45))</f>
        <v>0.0246095574385531</v>
      </c>
      <c r="E45" s="21" t="n">
        <f aca="false">SUMIFS(SETORES!$D:$D,SETORES!$A:$A,A45,SETORES!$F:$F,J45)</f>
        <v>70674.8511</v>
      </c>
      <c r="F45" s="21" t="n">
        <f aca="false">IFERROR(D45*E45,0)</f>
        <v>1739.27680760664</v>
      </c>
      <c r="G45" s="9" t="n">
        <f aca="false">SUMIFS(PARÂMETROS!$F$8:$F$907,PARÂMETROS!$A$8:$A$907,C45,PARÂMETROS!$G$8:$G$907,J45)</f>
        <v>0</v>
      </c>
      <c r="H45" s="21" t="n">
        <f aca="false">IFERROR(F45*G45,0)</f>
        <v>0</v>
      </c>
      <c r="I45" s="21" t="n">
        <f aca="false">F45+H45</f>
        <v>1739.27680760664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IF(B46="Clientes",SUMIFS(PARÂMETROS!$D$8:$D$907,PARÂMETROS!$A$8:$A$907,C46,PARÂMETROS!$G$8:$G$907,J46),SUMIFS(PARÂMETROS!$E$8:$E$907,PARÂMETROS!$A$8:$A$907,C46,PARÂMETROS!$G$8:$G$907,J46))</f>
        <v>0.722925637564603</v>
      </c>
      <c r="E46" s="22" t="n">
        <f aca="false">SUMIFS(SETORES!$D:$D,SETORES!$A:$A,A46,SETORES!$F:$F,J46)</f>
        <v>70674.8511</v>
      </c>
      <c r="F46" s="22" t="n">
        <f aca="false">IFERROR(D46*E46,0)</f>
        <v>51092.6617912509</v>
      </c>
      <c r="G46" s="14" t="n">
        <f aca="false">SUMIFS(PARÂMETROS!$F$8:$F$907,PARÂMETROS!$A$8:$A$907,C46,PARÂMETROS!$G$8:$G$907,J46)</f>
        <v>0</v>
      </c>
      <c r="H46" s="22" t="n">
        <f aca="false">IFERROR(F46*G46,0)</f>
        <v>0</v>
      </c>
      <c r="I46" s="22" t="n">
        <f aca="false">F46+H46</f>
        <v>51092.6617912509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IF(B47="Clientes",SUMIFS(PARÂMETROS!$D$8:$D$907,PARÂMETROS!$A$8:$A$907,C47,PARÂMETROS!$G$8:$G$907,J47),SUMIFS(PARÂMETROS!$E$8:$E$907,PARÂMETROS!$A$8:$A$907,C47,PARÂMETROS!$G$8:$G$907,J47))</f>
        <v>0.0324118207816969</v>
      </c>
      <c r="E47" s="21" t="n">
        <f aca="false">SUMIFS(SETORES!$D:$D,SETORES!$A:$A,A47,SETORES!$F:$F,J47)</f>
        <v>36632.674356</v>
      </c>
      <c r="F47" s="21" t="n">
        <f aca="false">IFERROR(D47*E47,0)</f>
        <v>1187.33167598093</v>
      </c>
      <c r="G47" s="9" t="n">
        <f aca="false">SUMIFS(PARÂMETROS!$F$8:$F$907,PARÂMETROS!$A$8:$A$907,C47,PARÂMETROS!$G$8:$G$907,J47)</f>
        <v>0</v>
      </c>
      <c r="H47" s="21" t="n">
        <f aca="false">IFERROR(F47*G47,0)</f>
        <v>0</v>
      </c>
      <c r="I47" s="21" t="n">
        <f aca="false">F47+H47</f>
        <v>1187.33167598093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IF(B48="Clientes",SUMIFS(PARÂMETROS!$D$8:$D$907,PARÂMETROS!$A$8:$A$907,C48,PARÂMETROS!$G$8:$G$907,J48),SUMIFS(PARÂMETROS!$E$8:$E$907,PARÂMETROS!$A$8:$A$907,C48,PARÂMETROS!$G$8:$G$907,J48))</f>
        <v>0.0305052430886559</v>
      </c>
      <c r="E48" s="22" t="n">
        <f aca="false">SUMIFS(SETORES!$D:$D,SETORES!$A:$A,A48,SETORES!$F:$F,J48)</f>
        <v>36632.674356</v>
      </c>
      <c r="F48" s="22" t="n">
        <f aca="false">IFERROR(D48*E48,0)</f>
        <v>1117.48863621735</v>
      </c>
      <c r="G48" s="14" t="n">
        <f aca="false">SUMIFS(PARÂMETROS!$F$8:$F$907,PARÂMETROS!$A$8:$A$907,C48,PARÂMETROS!$G$8:$G$907,J48)</f>
        <v>0</v>
      </c>
      <c r="H48" s="22" t="n">
        <f aca="false">IFERROR(F48*G48,0)</f>
        <v>0</v>
      </c>
      <c r="I48" s="22" t="n">
        <f aca="false">F48+H48</f>
        <v>1117.48863621735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IF(B49="Clientes",SUMIFS(PARÂMETROS!$D$8:$D$907,PARÂMETROS!$A$8:$A$907,C49,PARÂMETROS!$G$8:$G$907,J49),SUMIFS(PARÂMETROS!$E$8:$E$907,PARÂMETROS!$A$8:$A$907,C49,PARÂMETROS!$G$8:$G$907,J49))</f>
        <v>0.0400381315538608</v>
      </c>
      <c r="E49" s="21" t="n">
        <f aca="false">SUMIFS(SETORES!$D:$D,SETORES!$A:$A,A49,SETORES!$F:$F,J49)</f>
        <v>36632.674356</v>
      </c>
      <c r="F49" s="21" t="n">
        <f aca="false">IFERROR(D49*E49,0)</f>
        <v>1466.70383503527</v>
      </c>
      <c r="G49" s="9" t="n">
        <f aca="false">SUMIFS(PARÂMETROS!$F$8:$F$907,PARÂMETROS!$A$8:$A$907,C49,PARÂMETROS!$G$8:$G$907,J49)</f>
        <v>0</v>
      </c>
      <c r="H49" s="21" t="n">
        <f aca="false">IFERROR(F49*G49,0)</f>
        <v>0</v>
      </c>
      <c r="I49" s="21" t="n">
        <f aca="false">F49+H49</f>
        <v>1466.70383503527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IF(B50="Clientes",SUMIFS(PARÂMETROS!$D$8:$D$907,PARÂMETROS!$A$8:$A$907,C50,PARÂMETROS!$G$8:$G$907,J50),SUMIFS(PARÂMETROS!$E$8:$E$907,PARÂMETROS!$A$8:$A$907,C50,PARÂMETROS!$G$8:$G$907,J50))</f>
        <v>0.0104861773117255</v>
      </c>
      <c r="E50" s="22" t="n">
        <f aca="false">SUMIFS(SETORES!$D:$D,SETORES!$A:$A,A50,SETORES!$F:$F,J50)</f>
        <v>36632.674356</v>
      </c>
      <c r="F50" s="22" t="n">
        <f aca="false">IFERROR(D50*E50,0)</f>
        <v>384.136718699714</v>
      </c>
      <c r="G50" s="14" t="n">
        <f aca="false">SUMIFS(PARÂMETROS!$F$8:$F$907,PARÂMETROS!$A$8:$A$907,C50,PARÂMETROS!$G$8:$G$907,J50)</f>
        <v>0</v>
      </c>
      <c r="H50" s="22" t="n">
        <f aca="false">IFERROR(F50*G50,0)</f>
        <v>0</v>
      </c>
      <c r="I50" s="22" t="n">
        <f aca="false">F50+H50</f>
        <v>384.136718699714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IF(B51="Clientes",SUMIFS(PARÂMETROS!$D$8:$D$907,PARÂMETROS!$A$8:$A$907,C51,PARÂMETROS!$G$8:$G$907,J51),SUMIFS(PARÂMETROS!$E$8:$E$907,PARÂMETROS!$A$8:$A$907,C51,PARÂMETROS!$G$8:$G$907,J51))</f>
        <v>0.0400381315538608</v>
      </c>
      <c r="E51" s="21" t="n">
        <f aca="false">SUMIFS(SETORES!$D:$D,SETORES!$A:$A,A51,SETORES!$F:$F,J51)</f>
        <v>36632.674356</v>
      </c>
      <c r="F51" s="21" t="n">
        <f aca="false">IFERROR(D51*E51,0)</f>
        <v>1466.70383503527</v>
      </c>
      <c r="G51" s="9" t="n">
        <f aca="false">SUMIFS(PARÂMETROS!$F$8:$F$907,PARÂMETROS!$A$8:$A$907,C51,PARÂMETROS!$G$8:$G$907,J51)</f>
        <v>0</v>
      </c>
      <c r="H51" s="21" t="n">
        <f aca="false">IFERROR(F51*G51,0)</f>
        <v>0</v>
      </c>
      <c r="I51" s="21" t="n">
        <f aca="false">F51+H51</f>
        <v>1466.70383503527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IF(B52="Clientes",SUMIFS(PARÂMETROS!$D$8:$D$907,PARÂMETROS!$A$8:$A$907,C52,PARÂMETROS!$G$8:$G$907,J52),SUMIFS(PARÂMETROS!$E$8:$E$907,PARÂMETROS!$A$8:$A$907,C52,PARÂMETROS!$G$8:$G$907,J52))</f>
        <v>0.0171591992373689</v>
      </c>
      <c r="E52" s="22" t="n">
        <f aca="false">SUMIFS(SETORES!$D:$D,SETORES!$A:$A,A52,SETORES!$F:$F,J52)</f>
        <v>36632.674356</v>
      </c>
      <c r="F52" s="22" t="n">
        <f aca="false">IFERROR(D52*E52,0)</f>
        <v>628.587357872259</v>
      </c>
      <c r="G52" s="14" t="n">
        <f aca="false">SUMIFS(PARÂMETROS!$F$8:$F$907,PARÂMETROS!$A$8:$A$907,C52,PARÂMETROS!$G$8:$G$907,J52)</f>
        <v>0</v>
      </c>
      <c r="H52" s="22" t="n">
        <f aca="false">IFERROR(F52*G52,0)</f>
        <v>0</v>
      </c>
      <c r="I52" s="22" t="n">
        <f aca="false">F52+H52</f>
        <v>628.587357872259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IF(B53="Clientes",SUMIFS(PARÂMETROS!$D$8:$D$907,PARÂMETROS!$A$8:$A$907,C53,PARÂMETROS!$G$8:$G$907,J53),SUMIFS(PARÂMETROS!$E$8:$E$907,PARÂMETROS!$A$8:$A$907,C53,PARÂMETROS!$G$8:$G$907,J53))</f>
        <v>0.0162059103908484</v>
      </c>
      <c r="E53" s="21" t="n">
        <f aca="false">SUMIFS(SETORES!$D:$D,SETORES!$A:$A,A53,SETORES!$F:$F,J53)</f>
        <v>36632.674356</v>
      </c>
      <c r="F53" s="21" t="n">
        <f aca="false">IFERROR(D53*E53,0)</f>
        <v>593.665837990467</v>
      </c>
      <c r="G53" s="9" t="n">
        <f aca="false">SUMIFS(PARÂMETROS!$F$8:$F$907,PARÂMETROS!$A$8:$A$907,C53,PARÂMETROS!$G$8:$G$907,J53)</f>
        <v>0</v>
      </c>
      <c r="H53" s="21" t="n">
        <f aca="false">IFERROR(F53*G53,0)</f>
        <v>0</v>
      </c>
      <c r="I53" s="21" t="n">
        <f aca="false">F53+H53</f>
        <v>593.665837990467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IF(B54="Clientes",SUMIFS(PARÂMETROS!$D$8:$D$907,PARÂMETROS!$A$8:$A$907,C54,PARÂMETROS!$G$8:$G$907,J54),SUMIFS(PARÂMETROS!$E$8:$E$907,PARÂMETROS!$A$8:$A$907,C54,PARÂMETROS!$G$8:$G$907,J54))</f>
        <v>0.813155386081983</v>
      </c>
      <c r="E54" s="22" t="n">
        <f aca="false">SUMIFS(SETORES!$D:$D,SETORES!$A:$A,A54,SETORES!$F:$F,J54)</f>
        <v>36632.674356</v>
      </c>
      <c r="F54" s="22" t="n">
        <f aca="false">IFERROR(D54*E54,0)</f>
        <v>29788.0564591687</v>
      </c>
      <c r="G54" s="14" t="n">
        <f aca="false">SUMIFS(PARÂMETROS!$F$8:$F$907,PARÂMETROS!$A$8:$A$907,C54,PARÂMETROS!$G$8:$G$907,J54)</f>
        <v>0</v>
      </c>
      <c r="H54" s="22" t="n">
        <f aca="false">IFERROR(F54*G54,0)</f>
        <v>0</v>
      </c>
      <c r="I54" s="22" t="n">
        <f aca="false">F54+H54</f>
        <v>29788.0564591687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IF(B55="Clientes",SUMIFS(PARÂMETROS!$D$8:$D$907,PARÂMETROS!$A$8:$A$907,C55,PARÂMETROS!$G$8:$G$907,J55),SUMIFS(PARÂMETROS!$E$8:$E$907,PARÂMETROS!$A$8:$A$907,C55,PARÂMETROS!$G$8:$G$907,J55))</f>
        <v>0.0324118207816969</v>
      </c>
      <c r="E55" s="21" t="n">
        <f aca="false">SUMIFS(SETORES!$D:$D,SETORES!$A:$A,A55,SETORES!$F:$F,J55)</f>
        <v>55639.2755</v>
      </c>
      <c r="F55" s="21" t="n">
        <f aca="false">IFERROR(D55*E55,0)</f>
        <v>1803.37022592946</v>
      </c>
      <c r="G55" s="9" t="n">
        <f aca="false">SUMIFS(PARÂMETROS!$F$8:$F$907,PARÂMETROS!$A$8:$A$907,C55,PARÂMETROS!$G$8:$G$907,J55)</f>
        <v>0</v>
      </c>
      <c r="H55" s="21" t="n">
        <f aca="false">IFERROR(F55*G55,0)</f>
        <v>0</v>
      </c>
      <c r="I55" s="21" t="n">
        <f aca="false">F55+H55</f>
        <v>1803.37022592946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IF(B56="Clientes",SUMIFS(PARÂMETROS!$D$8:$D$907,PARÂMETROS!$A$8:$A$907,C56,PARÂMETROS!$G$8:$G$907,J56),SUMIFS(PARÂMETROS!$E$8:$E$907,PARÂMETROS!$A$8:$A$907,C56,PARÂMETROS!$G$8:$G$907,J56))</f>
        <v>0.0305052430886559</v>
      </c>
      <c r="E56" s="22" t="n">
        <f aca="false">SUMIFS(SETORES!$D:$D,SETORES!$A:$A,A56,SETORES!$F:$F,J56)</f>
        <v>55639.2755</v>
      </c>
      <c r="F56" s="22" t="n">
        <f aca="false">IFERROR(D56*E56,0)</f>
        <v>1697.28962440419</v>
      </c>
      <c r="G56" s="14" t="n">
        <f aca="false">SUMIFS(PARÂMETROS!$F$8:$F$907,PARÂMETROS!$A$8:$A$907,C56,PARÂMETROS!$G$8:$G$907,J56)</f>
        <v>0</v>
      </c>
      <c r="H56" s="22" t="n">
        <f aca="false">IFERROR(F56*G56,0)</f>
        <v>0</v>
      </c>
      <c r="I56" s="22" t="n">
        <f aca="false">F56+H56</f>
        <v>1697.28962440419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IF(B57="Clientes",SUMIFS(PARÂMETROS!$D$8:$D$907,PARÂMETROS!$A$8:$A$907,C57,PARÂMETROS!$G$8:$G$907,J57),SUMIFS(PARÂMETROS!$E$8:$E$907,PARÂMETROS!$A$8:$A$907,C57,PARÂMETROS!$G$8:$G$907,J57))</f>
        <v>0.0400381315538608</v>
      </c>
      <c r="E57" s="21" t="n">
        <f aca="false">SUMIFS(SETORES!$D:$D,SETORES!$A:$A,A57,SETORES!$F:$F,J57)</f>
        <v>55639.2755</v>
      </c>
      <c r="F57" s="21" t="n">
        <f aca="false">IFERROR(D57*E57,0)</f>
        <v>2227.69263203051</v>
      </c>
      <c r="G57" s="9" t="n">
        <f aca="false">SUMIFS(PARÂMETROS!$F$8:$F$907,PARÂMETROS!$A$8:$A$907,C57,PARÂMETROS!$G$8:$G$907,J57)</f>
        <v>0</v>
      </c>
      <c r="H57" s="21" t="n">
        <f aca="false">IFERROR(F57*G57,0)</f>
        <v>0</v>
      </c>
      <c r="I57" s="21" t="n">
        <f aca="false">F57+H57</f>
        <v>2227.69263203051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IF(B58="Clientes",SUMIFS(PARÂMETROS!$D$8:$D$907,PARÂMETROS!$A$8:$A$907,C58,PARÂMETROS!$G$8:$G$907,J58),SUMIFS(PARÂMETROS!$E$8:$E$907,PARÂMETROS!$A$8:$A$907,C58,PARÂMETROS!$G$8:$G$907,J58))</f>
        <v>0.0104861773117255</v>
      </c>
      <c r="E58" s="22" t="n">
        <f aca="false">SUMIFS(SETORES!$D:$D,SETORES!$A:$A,A58,SETORES!$F:$F,J58)</f>
        <v>55639.2755</v>
      </c>
      <c r="F58" s="22" t="n">
        <f aca="false">IFERROR(D58*E58,0)</f>
        <v>583.443308388942</v>
      </c>
      <c r="G58" s="14" t="n">
        <f aca="false">SUMIFS(PARÂMETROS!$F$8:$F$907,PARÂMETROS!$A$8:$A$907,C58,PARÂMETROS!$G$8:$G$907,J58)</f>
        <v>0</v>
      </c>
      <c r="H58" s="22" t="n">
        <f aca="false">IFERROR(F58*G58,0)</f>
        <v>0</v>
      </c>
      <c r="I58" s="22" t="n">
        <f aca="false">F58+H58</f>
        <v>583.443308388942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IF(B59="Clientes",SUMIFS(PARÂMETROS!$D$8:$D$907,PARÂMETROS!$A$8:$A$907,C59,PARÂMETROS!$G$8:$G$907,J59),SUMIFS(PARÂMETROS!$E$8:$E$907,PARÂMETROS!$A$8:$A$907,C59,PARÂMETROS!$G$8:$G$907,J59))</f>
        <v>0.0400381315538608</v>
      </c>
      <c r="E59" s="21" t="n">
        <f aca="false">SUMIFS(SETORES!$D:$D,SETORES!$A:$A,A59,SETORES!$F:$F,J59)</f>
        <v>55639.2755</v>
      </c>
      <c r="F59" s="21" t="n">
        <f aca="false">IFERROR(D59*E59,0)</f>
        <v>2227.69263203051</v>
      </c>
      <c r="G59" s="9" t="n">
        <f aca="false">SUMIFS(PARÂMETROS!$F$8:$F$907,PARÂMETROS!$A$8:$A$907,C59,PARÂMETROS!$G$8:$G$907,J59)</f>
        <v>0</v>
      </c>
      <c r="H59" s="21" t="n">
        <f aca="false">IFERROR(F59*G59,0)</f>
        <v>0</v>
      </c>
      <c r="I59" s="21" t="n">
        <f aca="false">F59+H59</f>
        <v>2227.69263203051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IF(B60="Clientes",SUMIFS(PARÂMETROS!$D$8:$D$907,PARÂMETROS!$A$8:$A$907,C60,PARÂMETROS!$G$8:$G$907,J60),SUMIFS(PARÂMETROS!$E$8:$E$907,PARÂMETROS!$A$8:$A$907,C60,PARÂMETROS!$G$8:$G$907,J60))</f>
        <v>0.0171591992373689</v>
      </c>
      <c r="E60" s="22" t="n">
        <f aca="false">SUMIFS(SETORES!$D:$D,SETORES!$A:$A,A60,SETORES!$F:$F,J60)</f>
        <v>55639.2755</v>
      </c>
      <c r="F60" s="22" t="n">
        <f aca="false">IFERROR(D60*E60,0)</f>
        <v>954.725413727359</v>
      </c>
      <c r="G60" s="14" t="n">
        <f aca="false">SUMIFS(PARÂMETROS!$F$8:$F$907,PARÂMETROS!$A$8:$A$907,C60,PARÂMETROS!$G$8:$G$907,J60)</f>
        <v>0</v>
      </c>
      <c r="H60" s="22" t="n">
        <f aca="false">IFERROR(F60*G60,0)</f>
        <v>0</v>
      </c>
      <c r="I60" s="22" t="n">
        <f aca="false">F60+H60</f>
        <v>954.725413727359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IF(B61="Clientes",SUMIFS(PARÂMETROS!$D$8:$D$907,PARÂMETROS!$A$8:$A$907,C61,PARÂMETROS!$G$8:$G$907,J61),SUMIFS(PARÂMETROS!$E$8:$E$907,PARÂMETROS!$A$8:$A$907,C61,PARÂMETROS!$G$8:$G$907,J61))</f>
        <v>0.0162059103908484</v>
      </c>
      <c r="E61" s="21" t="n">
        <f aca="false">SUMIFS(SETORES!$D:$D,SETORES!$A:$A,A61,SETORES!$F:$F,J61)</f>
        <v>55639.2755</v>
      </c>
      <c r="F61" s="21" t="n">
        <f aca="false">IFERROR(D61*E61,0)</f>
        <v>901.685112964728</v>
      </c>
      <c r="G61" s="9" t="n">
        <f aca="false">SUMIFS(PARÂMETROS!$F$8:$F$907,PARÂMETROS!$A$8:$A$907,C61,PARÂMETROS!$G$8:$G$907,J61)</f>
        <v>0</v>
      </c>
      <c r="H61" s="21" t="n">
        <f aca="false">IFERROR(F61*G61,0)</f>
        <v>0</v>
      </c>
      <c r="I61" s="21" t="n">
        <f aca="false">F61+H61</f>
        <v>901.685112964728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IF(B62="Clientes",SUMIFS(PARÂMETROS!$D$8:$D$907,PARÂMETROS!$A$8:$A$907,C62,PARÂMETROS!$G$8:$G$907,J62),SUMIFS(PARÂMETROS!$E$8:$E$907,PARÂMETROS!$A$8:$A$907,C62,PARÂMETROS!$G$8:$G$907,J62))</f>
        <v>0.813155386081983</v>
      </c>
      <c r="E62" s="22" t="n">
        <f aca="false">SUMIFS(SETORES!$D:$D,SETORES!$A:$A,A62,SETORES!$F:$F,J62)</f>
        <v>55639.2755</v>
      </c>
      <c r="F62" s="22" t="n">
        <f aca="false">IFERROR(D62*E62,0)</f>
        <v>45243.3765505243</v>
      </c>
      <c r="G62" s="14" t="n">
        <f aca="false">SUMIFS(PARÂMETROS!$F$8:$F$907,PARÂMETROS!$A$8:$A$907,C62,PARÂMETROS!$G$8:$G$907,J62)</f>
        <v>0</v>
      </c>
      <c r="H62" s="22" t="n">
        <f aca="false">IFERROR(F62*G62,0)</f>
        <v>0</v>
      </c>
      <c r="I62" s="22" t="n">
        <f aca="false">F62+H62</f>
        <v>45243.3765505243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IF(B63="Clientes",SUMIFS(PARÂMETROS!$D$8:$D$907,PARÂMETROS!$A$8:$A$907,C63,PARÂMETROS!$G$8:$G$907,J63),SUMIFS(PARÂMETROS!$E$8:$E$907,PARÂMETROS!$A$8:$A$907,C63,PARÂMETROS!$G$8:$G$907,J63))</f>
        <v>0.0330779140128206</v>
      </c>
      <c r="E63" s="21" t="n">
        <f aca="false">SUMIFS(SETORES!$D:$D,SETORES!$A:$A,A63,SETORES!$F:$F,J63)</f>
        <v>40053.35292</v>
      </c>
      <c r="F63" s="21" t="n">
        <f aca="false">IFERROR(D63*E63,0)</f>
        <v>1324.88136381292</v>
      </c>
      <c r="G63" s="9" t="n">
        <f aca="false">SUMIFS(PARÂMETROS!$F$8:$F$907,PARÂMETROS!$A$8:$A$907,C63,PARÂMETROS!$G$8:$G$907,J63)</f>
        <v>0</v>
      </c>
      <c r="H63" s="21" t="n">
        <f aca="false">IFERROR(F63*G63,0)</f>
        <v>0</v>
      </c>
      <c r="I63" s="21" t="n">
        <f aca="false">F63+H63</f>
        <v>1324.88136381292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IF(B64="Clientes",SUMIFS(PARÂMETROS!$D$8:$D$907,PARÂMETROS!$A$8:$A$907,C64,PARÂMETROS!$G$8:$G$907,J64),SUMIFS(PARÂMETROS!$E$8:$E$907,PARÂMETROS!$A$8:$A$907,C64,PARÂMETROS!$G$8:$G$907,J64))</f>
        <v>0.0688657021294068</v>
      </c>
      <c r="E64" s="22" t="n">
        <f aca="false">SUMIFS(SETORES!$D:$D,SETORES!$A:$A,A64,SETORES!$F:$F,J64)</f>
        <v>40053.35292</v>
      </c>
      <c r="F64" s="22" t="n">
        <f aca="false">IFERROR(D64*E64,0)</f>
        <v>2758.30227147272</v>
      </c>
      <c r="G64" s="14" t="n">
        <f aca="false">SUMIFS(PARÂMETROS!$F$8:$F$907,PARÂMETROS!$A$8:$A$907,C64,PARÂMETROS!$G$8:$G$907,J64)</f>
        <v>0</v>
      </c>
      <c r="H64" s="22" t="n">
        <f aca="false">IFERROR(F64*G64,0)</f>
        <v>0</v>
      </c>
      <c r="I64" s="22" t="n">
        <f aca="false">F64+H64</f>
        <v>2758.30227147272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IF(B65="Clientes",SUMIFS(PARÂMETROS!$D$8:$D$907,PARÂMETROS!$A$8:$A$907,C65,PARÂMETROS!$G$8:$G$907,J65),SUMIFS(PARÂMETROS!$E$8:$E$907,PARÂMETROS!$A$8:$A$907,C65,PARÂMETROS!$G$8:$G$907,J65))</f>
        <v>0.0741160832054526</v>
      </c>
      <c r="E65" s="21" t="n">
        <f aca="false">SUMIFS(SETORES!$D:$D,SETORES!$A:$A,A65,SETORES!$F:$F,J65)</f>
        <v>40053.35292</v>
      </c>
      <c r="F65" s="21" t="n">
        <f aca="false">IFERROR(D65*E65,0)</f>
        <v>2968.59763767608</v>
      </c>
      <c r="G65" s="9" t="n">
        <f aca="false">SUMIFS(PARÂMETROS!$F$8:$F$907,PARÂMETROS!$A$8:$A$907,C65,PARÂMETROS!$G$8:$G$907,J65)</f>
        <v>0</v>
      </c>
      <c r="H65" s="21" t="n">
        <f aca="false">IFERROR(F65*G65,0)</f>
        <v>0</v>
      </c>
      <c r="I65" s="21" t="n">
        <f aca="false">F65+H65</f>
        <v>2968.59763767608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IF(B66="Clientes",SUMIFS(PARÂMETROS!$D$8:$D$907,PARÂMETROS!$A$8:$A$907,C66,PARÂMETROS!$G$8:$G$907,J66),SUMIFS(PARÂMETROS!$E$8:$E$907,PARÂMETROS!$A$8:$A$907,C66,PARÂMETROS!$G$8:$G$907,J66))</f>
        <v>0.0190101774249011</v>
      </c>
      <c r="E66" s="22" t="n">
        <f aca="false">SUMIFS(SETORES!$D:$D,SETORES!$A:$A,A66,SETORES!$F:$F,J66)</f>
        <v>40053.35292</v>
      </c>
      <c r="F66" s="22" t="n">
        <f aca="false">IFERROR(D66*E66,0)</f>
        <v>761.42134547138</v>
      </c>
      <c r="G66" s="14" t="n">
        <f aca="false">SUMIFS(PARÂMETROS!$F$8:$F$907,PARÂMETROS!$A$8:$A$907,C66,PARÂMETROS!$G$8:$G$907,J66)</f>
        <v>0</v>
      </c>
      <c r="H66" s="22" t="n">
        <f aca="false">IFERROR(F66*G66,0)</f>
        <v>0</v>
      </c>
      <c r="I66" s="22" t="n">
        <f aca="false">F66+H66</f>
        <v>761.42134547138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IF(B67="Clientes",SUMIFS(PARÂMETROS!$D$8:$D$907,PARÂMETROS!$A$8:$A$907,C67,PARÂMETROS!$G$8:$G$907,J67),SUMIFS(PARÂMETROS!$E$8:$E$907,PARÂMETROS!$A$8:$A$907,C67,PARÂMETROS!$G$8:$G$907,J67))</f>
        <v>0.0330214583023255</v>
      </c>
      <c r="E67" s="21" t="n">
        <f aca="false">SUMIFS(SETORES!$D:$D,SETORES!$A:$A,A67,SETORES!$F:$F,J67)</f>
        <v>40053.35292</v>
      </c>
      <c r="F67" s="21" t="n">
        <f aca="false">IFERROR(D67*E67,0)</f>
        <v>1322.62012331611</v>
      </c>
      <c r="G67" s="9" t="n">
        <f aca="false">SUMIFS(PARÂMETROS!$F$8:$F$907,PARÂMETROS!$A$8:$A$907,C67,PARÂMETROS!$G$8:$G$907,J67)</f>
        <v>0</v>
      </c>
      <c r="H67" s="21" t="n">
        <f aca="false">IFERROR(F67*G67,0)</f>
        <v>0</v>
      </c>
      <c r="I67" s="21" t="n">
        <f aca="false">F67+H67</f>
        <v>1322.62012331611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IF(B68="Clientes",SUMIFS(PARÂMETROS!$D$8:$D$907,PARÂMETROS!$A$8:$A$907,C68,PARÂMETROS!$G$8:$G$907,J68),SUMIFS(PARÂMETROS!$E$8:$E$907,PARÂMETROS!$A$8:$A$907,C68,PARÂMETROS!$G$8:$G$907,J68))</f>
        <v>0.0243734699219372</v>
      </c>
      <c r="E68" s="22" t="n">
        <f aca="false">SUMIFS(SETORES!$D:$D,SETORES!$A:$A,A68,SETORES!$F:$F,J68)</f>
        <v>40053.35292</v>
      </c>
      <c r="F68" s="22" t="n">
        <f aca="false">IFERROR(D68*E68,0)</f>
        <v>976.239192668354</v>
      </c>
      <c r="G68" s="14" t="n">
        <f aca="false">SUMIFS(PARÂMETROS!$F$8:$F$907,PARÂMETROS!$A$8:$A$907,C68,PARÂMETROS!$G$8:$G$907,J68)</f>
        <v>0</v>
      </c>
      <c r="H68" s="22" t="n">
        <f aca="false">IFERROR(F68*G68,0)</f>
        <v>0</v>
      </c>
      <c r="I68" s="22" t="n">
        <f aca="false">F68+H68</f>
        <v>976.239192668354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IF(B69="Clientes",SUMIFS(PARÂMETROS!$D$8:$D$907,PARÂMETROS!$A$8:$A$907,C69,PARÂMETROS!$G$8:$G$907,J69),SUMIFS(PARÂMETROS!$E$8:$E$907,PARÂMETROS!$A$8:$A$907,C69,PARÂMETROS!$G$8:$G$907,J69))</f>
        <v>0.0246095574385531</v>
      </c>
      <c r="E69" s="21" t="n">
        <f aca="false">SUMIFS(SETORES!$D:$D,SETORES!$A:$A,A69,SETORES!$F:$F,J69)</f>
        <v>40053.35292</v>
      </c>
      <c r="F69" s="21" t="n">
        <f aca="false">IFERROR(D69*E69,0)</f>
        <v>985.695289291378</v>
      </c>
      <c r="G69" s="9" t="n">
        <f aca="false">SUMIFS(PARÂMETROS!$F$8:$F$907,PARÂMETROS!$A$8:$A$907,C69,PARÂMETROS!$G$8:$G$907,J69)</f>
        <v>0</v>
      </c>
      <c r="H69" s="21" t="n">
        <f aca="false">IFERROR(F69*G69,0)</f>
        <v>0</v>
      </c>
      <c r="I69" s="21" t="n">
        <f aca="false">F69+H69</f>
        <v>985.695289291378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IF(B70="Clientes",SUMIFS(PARÂMETROS!$D$8:$D$907,PARÂMETROS!$A$8:$A$907,C70,PARÂMETROS!$G$8:$G$907,J70),SUMIFS(PARÂMETROS!$E$8:$E$907,PARÂMETROS!$A$8:$A$907,C70,PARÂMETROS!$G$8:$G$907,J70))</f>
        <v>0.722925637564603</v>
      </c>
      <c r="E70" s="22" t="n">
        <f aca="false">SUMIFS(SETORES!$D:$D,SETORES!$A:$A,A70,SETORES!$F:$F,J70)</f>
        <v>40053.35292</v>
      </c>
      <c r="F70" s="22" t="n">
        <f aca="false">IFERROR(D70*E70,0)</f>
        <v>28955.5956962911</v>
      </c>
      <c r="G70" s="14" t="n">
        <f aca="false">SUMIFS(PARÂMETROS!$F$8:$F$907,PARÂMETROS!$A$8:$A$907,C70,PARÂMETROS!$G$8:$G$907,J70)</f>
        <v>0</v>
      </c>
      <c r="H70" s="22" t="n">
        <f aca="false">IFERROR(F70*G70,0)</f>
        <v>0</v>
      </c>
      <c r="I70" s="22" t="n">
        <f aca="false">F70+H70</f>
        <v>28955.5956962911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IF(B71="Clientes",SUMIFS(PARÂMETROS!$D$8:$D$907,PARÂMETROS!$A$8:$A$907,C71,PARÂMETROS!$G$8:$G$907,J71),SUMIFS(PARÂMETROS!$E$8:$E$907,PARÂMETROS!$A$8:$A$907,C71,PARÂMETROS!$G$8:$G$907,J71))</f>
        <v>0.0330779140128206</v>
      </c>
      <c r="E71" s="21" t="n">
        <f aca="false">SUMIFS(SETORES!$D:$D,SETORES!$A:$A,A71,SETORES!$F:$F,J71)</f>
        <v>17219.4689</v>
      </c>
      <c r="F71" s="21" t="n">
        <f aca="false">IFERROR(D71*E71,0)</f>
        <v>569.584111620638</v>
      </c>
      <c r="G71" s="9" t="n">
        <f aca="false">SUMIFS(PARÂMETROS!$F$8:$F$907,PARÂMETROS!$A$8:$A$907,C71,PARÂMETROS!$G$8:$G$907,J71)</f>
        <v>0</v>
      </c>
      <c r="H71" s="21" t="n">
        <f aca="false">IFERROR(F71*G71,0)</f>
        <v>0</v>
      </c>
      <c r="I71" s="21" t="n">
        <f aca="false">F71+H71</f>
        <v>569.584111620638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IF(B72="Clientes",SUMIFS(PARÂMETROS!$D$8:$D$907,PARÂMETROS!$A$8:$A$907,C72,PARÂMETROS!$G$8:$G$907,J72),SUMIFS(PARÂMETROS!$E$8:$E$907,PARÂMETROS!$A$8:$A$907,C72,PARÂMETROS!$G$8:$G$907,J72))</f>
        <v>0.0688657021294068</v>
      </c>
      <c r="E72" s="22" t="n">
        <f aca="false">SUMIFS(SETORES!$D:$D,SETORES!$A:$A,A72,SETORES!$F:$F,J72)</f>
        <v>17219.4689</v>
      </c>
      <c r="F72" s="22" t="n">
        <f aca="false">IFERROR(D72*E72,0)</f>
        <v>1185.83081609398</v>
      </c>
      <c r="G72" s="14" t="n">
        <f aca="false">SUMIFS(PARÂMETROS!$F$8:$F$907,PARÂMETROS!$A$8:$A$907,C72,PARÂMETROS!$G$8:$G$907,J72)</f>
        <v>0</v>
      </c>
      <c r="H72" s="22" t="n">
        <f aca="false">IFERROR(F72*G72,0)</f>
        <v>0</v>
      </c>
      <c r="I72" s="22" t="n">
        <f aca="false">F72+H72</f>
        <v>1185.83081609398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IF(B73="Clientes",SUMIFS(PARÂMETROS!$D$8:$D$907,PARÂMETROS!$A$8:$A$907,C73,PARÂMETROS!$G$8:$G$907,J73),SUMIFS(PARÂMETROS!$E$8:$E$907,PARÂMETROS!$A$8:$A$907,C73,PARÂMETROS!$G$8:$G$907,J73))</f>
        <v>0.0741160832054526</v>
      </c>
      <c r="E73" s="21" t="n">
        <f aca="false">SUMIFS(SETORES!$D:$D,SETORES!$A:$A,A73,SETORES!$F:$F,J73)</f>
        <v>17219.4689</v>
      </c>
      <c r="F73" s="21" t="n">
        <f aca="false">IFERROR(D73*E73,0)</f>
        <v>1276.2395897461</v>
      </c>
      <c r="G73" s="9" t="n">
        <f aca="false">SUMIFS(PARÂMETROS!$F$8:$F$907,PARÂMETROS!$A$8:$A$907,C73,PARÂMETROS!$G$8:$G$907,J73)</f>
        <v>0</v>
      </c>
      <c r="H73" s="21" t="n">
        <f aca="false">IFERROR(F73*G73,0)</f>
        <v>0</v>
      </c>
      <c r="I73" s="21" t="n">
        <f aca="false">F73+H73</f>
        <v>1276.2395897461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IF(B74="Clientes",SUMIFS(PARÂMETROS!$D$8:$D$907,PARÂMETROS!$A$8:$A$907,C74,PARÂMETROS!$G$8:$G$907,J74),SUMIFS(PARÂMETROS!$E$8:$E$907,PARÂMETROS!$A$8:$A$907,C74,PARÂMETROS!$G$8:$G$907,J74))</f>
        <v>0.0190101774249011</v>
      </c>
      <c r="E74" s="22" t="n">
        <f aca="false">SUMIFS(SETORES!$D:$D,SETORES!$A:$A,A74,SETORES!$F:$F,J74)</f>
        <v>17219.4689</v>
      </c>
      <c r="F74" s="22" t="n">
        <f aca="false">IFERROR(D74*E74,0)</f>
        <v>327.345158951566</v>
      </c>
      <c r="G74" s="14" t="n">
        <f aca="false">SUMIFS(PARÂMETROS!$F$8:$F$907,PARÂMETROS!$A$8:$A$907,C74,PARÂMETROS!$G$8:$G$907,J74)</f>
        <v>0</v>
      </c>
      <c r="H74" s="22" t="n">
        <f aca="false">IFERROR(F74*G74,0)</f>
        <v>0</v>
      </c>
      <c r="I74" s="22" t="n">
        <f aca="false">F74+H74</f>
        <v>327.345158951566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IF(B75="Clientes",SUMIFS(PARÂMETROS!$D$8:$D$907,PARÂMETROS!$A$8:$A$907,C75,PARÂMETROS!$G$8:$G$907,J75),SUMIFS(PARÂMETROS!$E$8:$E$907,PARÂMETROS!$A$8:$A$907,C75,PARÂMETROS!$G$8:$G$907,J75))</f>
        <v>0.0330214583023255</v>
      </c>
      <c r="E75" s="21" t="n">
        <f aca="false">SUMIFS(SETORES!$D:$D,SETORES!$A:$A,A75,SETORES!$F:$F,J75)</f>
        <v>17219.4689</v>
      </c>
      <c r="F75" s="21" t="n">
        <f aca="false">IFERROR(D75*E75,0)</f>
        <v>568.61197426954</v>
      </c>
      <c r="G75" s="9" t="n">
        <f aca="false">SUMIFS(PARÂMETROS!$F$8:$F$907,PARÂMETROS!$A$8:$A$907,C75,PARÂMETROS!$G$8:$G$907,J75)</f>
        <v>0</v>
      </c>
      <c r="H75" s="21" t="n">
        <f aca="false">IFERROR(F75*G75,0)</f>
        <v>0</v>
      </c>
      <c r="I75" s="21" t="n">
        <f aca="false">F75+H75</f>
        <v>568.61197426954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IF(B76="Clientes",SUMIFS(PARÂMETROS!$D$8:$D$907,PARÂMETROS!$A$8:$A$907,C76,PARÂMETROS!$G$8:$G$907,J76),SUMIFS(PARÂMETROS!$E$8:$E$907,PARÂMETROS!$A$8:$A$907,C76,PARÂMETROS!$G$8:$G$907,J76))</f>
        <v>0.0243734699219372</v>
      </c>
      <c r="E76" s="22" t="n">
        <f aca="false">SUMIFS(SETORES!$D:$D,SETORES!$A:$A,A76,SETORES!$F:$F,J76)</f>
        <v>17219.4689</v>
      </c>
      <c r="F76" s="22" t="n">
        <f aca="false">IFERROR(D76*E76,0)</f>
        <v>419.698207305882</v>
      </c>
      <c r="G76" s="14" t="n">
        <f aca="false">SUMIFS(PARÂMETROS!$F$8:$F$907,PARÂMETROS!$A$8:$A$907,C76,PARÂMETROS!$G$8:$G$907,J76)</f>
        <v>0</v>
      </c>
      <c r="H76" s="22" t="n">
        <f aca="false">IFERROR(F76*G76,0)</f>
        <v>0</v>
      </c>
      <c r="I76" s="22" t="n">
        <f aca="false">F76+H76</f>
        <v>419.698207305882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IF(B77="Clientes",SUMIFS(PARÂMETROS!$D$8:$D$907,PARÂMETROS!$A$8:$A$907,C77,PARÂMETROS!$G$8:$G$907,J77),SUMIFS(PARÂMETROS!$E$8:$E$907,PARÂMETROS!$A$8:$A$907,C77,PARÂMETROS!$G$8:$G$907,J77))</f>
        <v>0.0246095574385531</v>
      </c>
      <c r="E77" s="21" t="n">
        <f aca="false">SUMIFS(SETORES!$D:$D,SETORES!$A:$A,A77,SETORES!$F:$F,J77)</f>
        <v>17219.4689</v>
      </c>
      <c r="F77" s="21" t="n">
        <f aca="false">IFERROR(D77*E77,0)</f>
        <v>423.763508955929</v>
      </c>
      <c r="G77" s="9" t="n">
        <f aca="false">SUMIFS(PARÂMETROS!$F$8:$F$907,PARÂMETROS!$A$8:$A$907,C77,PARÂMETROS!$G$8:$G$907,J77)</f>
        <v>0</v>
      </c>
      <c r="H77" s="21" t="n">
        <f aca="false">IFERROR(F77*G77,0)</f>
        <v>0</v>
      </c>
      <c r="I77" s="21" t="n">
        <f aca="false">F77+H77</f>
        <v>423.763508955929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IF(B78="Clientes",SUMIFS(PARÂMETROS!$D$8:$D$907,PARÂMETROS!$A$8:$A$907,C78,PARÂMETROS!$G$8:$G$907,J78),SUMIFS(PARÂMETROS!$E$8:$E$907,PARÂMETROS!$A$8:$A$907,C78,PARÂMETROS!$G$8:$G$907,J78))</f>
        <v>0.722925637564603</v>
      </c>
      <c r="E78" s="22" t="n">
        <f aca="false">SUMIFS(SETORES!$D:$D,SETORES!$A:$A,A78,SETORES!$F:$F,J78)</f>
        <v>17219.4689</v>
      </c>
      <c r="F78" s="22" t="n">
        <f aca="false">IFERROR(D78*E78,0)</f>
        <v>12448.3955330564</v>
      </c>
      <c r="G78" s="14" t="n">
        <f aca="false">SUMIFS(PARÂMETROS!$F$8:$F$907,PARÂMETROS!$A$8:$A$907,C78,PARÂMETROS!$G$8:$G$907,J78)</f>
        <v>0</v>
      </c>
      <c r="H78" s="22" t="n">
        <f aca="false">IFERROR(F78*G78,0)</f>
        <v>0</v>
      </c>
      <c r="I78" s="22" t="n">
        <f aca="false">F78+H78</f>
        <v>12448.3955330564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IF(B79="Clientes",SUMIFS(PARÂMETROS!$D$8:$D$907,PARÂMETROS!$A$8:$A$907,C79,PARÂMETROS!$G$8:$G$907,J79),SUMIFS(PARÂMETROS!$E$8:$E$907,PARÂMETROS!$A$8:$A$907,C79,PARÂMETROS!$G$8:$G$907,J79))</f>
        <v>0.0330779140128206</v>
      </c>
      <c r="E79" s="21" t="n">
        <f aca="false">SUMIFS(SETORES!$D:$D,SETORES!$A:$A,A79,SETORES!$F:$F,J79)</f>
        <v>71800.2255</v>
      </c>
      <c r="F79" s="21" t="n">
        <f aca="false">IFERROR(D79*E79,0)</f>
        <v>2375.00168519013</v>
      </c>
      <c r="G79" s="9" t="n">
        <f aca="false">SUMIFS(PARÂMETROS!$F$8:$F$907,PARÂMETROS!$A$8:$A$907,C79,PARÂMETROS!$G$8:$G$907,J79)</f>
        <v>0</v>
      </c>
      <c r="H79" s="21" t="n">
        <f aca="false">IFERROR(F79*G79,0)</f>
        <v>0</v>
      </c>
      <c r="I79" s="21" t="n">
        <f aca="false">F79+H79</f>
        <v>2375.00168519013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IF(B80="Clientes",SUMIFS(PARÂMETROS!$D$8:$D$907,PARÂMETROS!$A$8:$A$907,C80,PARÂMETROS!$G$8:$G$907,J80),SUMIFS(PARÂMETROS!$E$8:$E$907,PARÂMETROS!$A$8:$A$907,C80,PARÂMETROS!$G$8:$G$907,J80))</f>
        <v>0.0688657021294068</v>
      </c>
      <c r="E80" s="22" t="n">
        <f aca="false">SUMIFS(SETORES!$D:$D,SETORES!$A:$A,A80,SETORES!$F:$F,J80)</f>
        <v>71800.2255</v>
      </c>
      <c r="F80" s="22" t="n">
        <f aca="false">IFERROR(D80*E80,0)</f>
        <v>4944.57294210724</v>
      </c>
      <c r="G80" s="14" t="n">
        <f aca="false">SUMIFS(PARÂMETROS!$F$8:$F$907,PARÂMETROS!$A$8:$A$907,C80,PARÂMETROS!$G$8:$G$907,J80)</f>
        <v>0</v>
      </c>
      <c r="H80" s="22" t="n">
        <f aca="false">IFERROR(F80*G80,0)</f>
        <v>0</v>
      </c>
      <c r="I80" s="22" t="n">
        <f aca="false">F80+H80</f>
        <v>4944.57294210724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IF(B81="Clientes",SUMIFS(PARÂMETROS!$D$8:$D$907,PARÂMETROS!$A$8:$A$907,C81,PARÂMETROS!$G$8:$G$907,J81),SUMIFS(PARÂMETROS!$E$8:$E$907,PARÂMETROS!$A$8:$A$907,C81,PARÂMETROS!$G$8:$G$907,J81))</f>
        <v>0.0741160832054526</v>
      </c>
      <c r="E81" s="21" t="n">
        <f aca="false">SUMIFS(SETORES!$D:$D,SETORES!$A:$A,A81,SETORES!$F:$F,J81)</f>
        <v>71800.2255</v>
      </c>
      <c r="F81" s="21" t="n">
        <f aca="false">IFERROR(D81*E81,0)</f>
        <v>5321.55148732826</v>
      </c>
      <c r="G81" s="9" t="n">
        <f aca="false">SUMIFS(PARÂMETROS!$F$8:$F$907,PARÂMETROS!$A$8:$A$907,C81,PARÂMETROS!$G$8:$G$907,J81)</f>
        <v>0</v>
      </c>
      <c r="H81" s="21" t="n">
        <f aca="false">IFERROR(F81*G81,0)</f>
        <v>0</v>
      </c>
      <c r="I81" s="21" t="n">
        <f aca="false">F81+H81</f>
        <v>5321.55148732826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IF(B82="Clientes",SUMIFS(PARÂMETROS!$D$8:$D$907,PARÂMETROS!$A$8:$A$907,C82,PARÂMETROS!$G$8:$G$907,J82),SUMIFS(PARÂMETROS!$E$8:$E$907,PARÂMETROS!$A$8:$A$907,C82,PARÂMETROS!$G$8:$G$907,J82))</f>
        <v>0.0190101774249011</v>
      </c>
      <c r="E82" s="22" t="n">
        <f aca="false">SUMIFS(SETORES!$D:$D,SETORES!$A:$A,A82,SETORES!$F:$F,J82)</f>
        <v>71800.2255</v>
      </c>
      <c r="F82" s="22" t="n">
        <f aca="false">IFERROR(D82*E82,0)</f>
        <v>1364.93502590291</v>
      </c>
      <c r="G82" s="14" t="n">
        <f aca="false">SUMIFS(PARÂMETROS!$F$8:$F$907,PARÂMETROS!$A$8:$A$907,C82,PARÂMETROS!$G$8:$G$907,J82)</f>
        <v>0</v>
      </c>
      <c r="H82" s="22" t="n">
        <f aca="false">IFERROR(F82*G82,0)</f>
        <v>0</v>
      </c>
      <c r="I82" s="22" t="n">
        <f aca="false">F82+H82</f>
        <v>1364.93502590291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IF(B83="Clientes",SUMIFS(PARÂMETROS!$D$8:$D$907,PARÂMETROS!$A$8:$A$907,C83,PARÂMETROS!$G$8:$G$907,J83),SUMIFS(PARÂMETROS!$E$8:$E$907,PARÂMETROS!$A$8:$A$907,C83,PARÂMETROS!$G$8:$G$907,J83))</f>
        <v>0.0330214583023255</v>
      </c>
      <c r="E83" s="21" t="n">
        <f aca="false">SUMIFS(SETORES!$D:$D,SETORES!$A:$A,A83,SETORES!$F:$F,J83)</f>
        <v>71800.2255</v>
      </c>
      <c r="F83" s="21" t="n">
        <f aca="false">IFERROR(D83*E83,0)</f>
        <v>2370.94815244582</v>
      </c>
      <c r="G83" s="9" t="n">
        <f aca="false">SUMIFS(PARÂMETROS!$F$8:$F$907,PARÂMETROS!$A$8:$A$907,C83,PARÂMETROS!$G$8:$G$907,J83)</f>
        <v>0</v>
      </c>
      <c r="H83" s="21" t="n">
        <f aca="false">IFERROR(F83*G83,0)</f>
        <v>0</v>
      </c>
      <c r="I83" s="21" t="n">
        <f aca="false">F83+H83</f>
        <v>2370.94815244582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IF(B84="Clientes",SUMIFS(PARÂMETROS!$D$8:$D$907,PARÂMETROS!$A$8:$A$907,C84,PARÂMETROS!$G$8:$G$907,J84),SUMIFS(PARÂMETROS!$E$8:$E$907,PARÂMETROS!$A$8:$A$907,C84,PARÂMETROS!$G$8:$G$907,J84))</f>
        <v>0.0243734699219372</v>
      </c>
      <c r="E84" s="22" t="n">
        <f aca="false">SUMIFS(SETORES!$D:$D,SETORES!$A:$A,A84,SETORES!$F:$F,J84)</f>
        <v>71800.2255</v>
      </c>
      <c r="F84" s="22" t="n">
        <f aca="false">IFERROR(D84*E84,0)</f>
        <v>1750.02063661255</v>
      </c>
      <c r="G84" s="14" t="n">
        <f aca="false">SUMIFS(PARÂMETROS!$F$8:$F$907,PARÂMETROS!$A$8:$A$907,C84,PARÂMETROS!$G$8:$G$907,J84)</f>
        <v>0</v>
      </c>
      <c r="H84" s="22" t="n">
        <f aca="false">IFERROR(F84*G84,0)</f>
        <v>0</v>
      </c>
      <c r="I84" s="22" t="n">
        <f aca="false">F84+H84</f>
        <v>1750.02063661255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IF(B85="Clientes",SUMIFS(PARÂMETROS!$D$8:$D$907,PARÂMETROS!$A$8:$A$907,C85,PARÂMETROS!$G$8:$G$907,J85),SUMIFS(PARÂMETROS!$E$8:$E$907,PARÂMETROS!$A$8:$A$907,C85,PARÂMETROS!$G$8:$G$907,J85))</f>
        <v>0.0246095574385531</v>
      </c>
      <c r="E85" s="21" t="n">
        <f aca="false">SUMIFS(SETORES!$D:$D,SETORES!$A:$A,A85,SETORES!$F:$F,J85)</f>
        <v>71800.2255</v>
      </c>
      <c r="F85" s="21" t="n">
        <f aca="false">IFERROR(D85*E85,0)</f>
        <v>1766.97177354331</v>
      </c>
      <c r="G85" s="9" t="n">
        <f aca="false">SUMIFS(PARÂMETROS!$F$8:$F$907,PARÂMETROS!$A$8:$A$907,C85,PARÂMETROS!$G$8:$G$907,J85)</f>
        <v>0</v>
      </c>
      <c r="H85" s="21" t="n">
        <f aca="false">IFERROR(F85*G85,0)</f>
        <v>0</v>
      </c>
      <c r="I85" s="21" t="n">
        <f aca="false">F85+H85</f>
        <v>1766.97177354331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IF(B86="Clientes",SUMIFS(PARÂMETROS!$D$8:$D$907,PARÂMETROS!$A$8:$A$907,C86,PARÂMETROS!$G$8:$G$907,J86),SUMIFS(PARÂMETROS!$E$8:$E$907,PARÂMETROS!$A$8:$A$907,C86,PARÂMETROS!$G$8:$G$907,J86))</f>
        <v>0.722925637564603</v>
      </c>
      <c r="E86" s="22" t="n">
        <f aca="false">SUMIFS(SETORES!$D:$D,SETORES!$A:$A,A86,SETORES!$F:$F,J86)</f>
        <v>71800.2255</v>
      </c>
      <c r="F86" s="22" t="n">
        <f aca="false">IFERROR(D86*E86,0)</f>
        <v>51906.2237968698</v>
      </c>
      <c r="G86" s="14" t="n">
        <f aca="false">SUMIFS(PARÂMETROS!$F$8:$F$907,PARÂMETROS!$A$8:$A$907,C86,PARÂMETROS!$G$8:$G$907,J86)</f>
        <v>0</v>
      </c>
      <c r="H86" s="22" t="n">
        <f aca="false">IFERROR(F86*G86,0)</f>
        <v>0</v>
      </c>
      <c r="I86" s="22" t="n">
        <f aca="false">F86+H86</f>
        <v>51906.2237968698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IF(B87="Clientes",SUMIFS(PARÂMETROS!$D$8:$D$907,PARÂMETROS!$A$8:$A$907,C87,PARÂMETROS!$G$8:$G$907,J87),SUMIFS(PARÂMETROS!$E$8:$E$907,PARÂMETROS!$A$8:$A$907,C87,PARÂMETROS!$G$8:$G$907,J87))</f>
        <v>0.0330779140128206</v>
      </c>
      <c r="E87" s="21" t="n">
        <f aca="false">SUMIFS(SETORES!$D:$D,SETORES!$A:$A,A87,SETORES!$F:$F,J87)</f>
        <v>179714.214106</v>
      </c>
      <c r="F87" s="21" t="n">
        <f aca="false">IFERROR(D87*E87,0)</f>
        <v>5944.5713210799</v>
      </c>
      <c r="G87" s="9" t="n">
        <f aca="false">SUMIFS(PARÂMETROS!$F$8:$F$907,PARÂMETROS!$A$8:$A$907,C87,PARÂMETROS!$G$8:$G$907,J87)</f>
        <v>0</v>
      </c>
      <c r="H87" s="21" t="n">
        <f aca="false">IFERROR(F87*G87,0)</f>
        <v>0</v>
      </c>
      <c r="I87" s="21" t="n">
        <f aca="false">F87+H87</f>
        <v>5944.5713210799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IF(B88="Clientes",SUMIFS(PARÂMETROS!$D$8:$D$907,PARÂMETROS!$A$8:$A$907,C88,PARÂMETROS!$G$8:$G$907,J88),SUMIFS(PARÂMETROS!$E$8:$E$907,PARÂMETROS!$A$8:$A$907,C88,PARÂMETROS!$G$8:$G$907,J88))</f>
        <v>0.0688657021294068</v>
      </c>
      <c r="E88" s="22" t="n">
        <f aca="false">SUMIFS(SETORES!$D:$D,SETORES!$A:$A,A88,SETORES!$F:$F,J88)</f>
        <v>179714.214106</v>
      </c>
      <c r="F88" s="22" t="n">
        <f aca="false">IFERROR(D88*E88,0)</f>
        <v>12376.1455370442</v>
      </c>
      <c r="G88" s="14" t="n">
        <f aca="false">SUMIFS(PARÂMETROS!$F$8:$F$907,PARÂMETROS!$A$8:$A$907,C88,PARÂMETROS!$G$8:$G$907,J88)</f>
        <v>0</v>
      </c>
      <c r="H88" s="22" t="n">
        <f aca="false">IFERROR(F88*G88,0)</f>
        <v>0</v>
      </c>
      <c r="I88" s="22" t="n">
        <f aca="false">F88+H88</f>
        <v>12376.1455370442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IF(B89="Clientes",SUMIFS(PARÂMETROS!$D$8:$D$907,PARÂMETROS!$A$8:$A$907,C89,PARÂMETROS!$G$8:$G$907,J89),SUMIFS(PARÂMETROS!$E$8:$E$907,PARÂMETROS!$A$8:$A$907,C89,PARÂMETROS!$G$8:$G$907,J89))</f>
        <v>0.0741160832054526</v>
      </c>
      <c r="E89" s="21" t="n">
        <f aca="false">SUMIFS(SETORES!$D:$D,SETORES!$A:$A,A89,SETORES!$F:$F,J89)</f>
        <v>179714.214106</v>
      </c>
      <c r="F89" s="21" t="n">
        <f aca="false">IFERROR(D89*E89,0)</f>
        <v>13319.7136458828</v>
      </c>
      <c r="G89" s="9" t="n">
        <f aca="false">SUMIFS(PARÂMETROS!$F$8:$F$907,PARÂMETROS!$A$8:$A$907,C89,PARÂMETROS!$G$8:$G$907,J89)</f>
        <v>0</v>
      </c>
      <c r="H89" s="21" t="n">
        <f aca="false">IFERROR(F89*G89,0)</f>
        <v>0</v>
      </c>
      <c r="I89" s="21" t="n">
        <f aca="false">F89+H89</f>
        <v>13319.7136458828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IF(B90="Clientes",SUMIFS(PARÂMETROS!$D$8:$D$907,PARÂMETROS!$A$8:$A$907,C90,PARÂMETROS!$G$8:$G$907,J90),SUMIFS(PARÂMETROS!$E$8:$E$907,PARÂMETROS!$A$8:$A$907,C90,PARÂMETROS!$G$8:$G$907,J90))</f>
        <v>0.0190101774249011</v>
      </c>
      <c r="E90" s="22" t="n">
        <f aca="false">SUMIFS(SETORES!$D:$D,SETORES!$A:$A,A90,SETORES!$F:$F,J90)</f>
        <v>179714.214106</v>
      </c>
      <c r="F90" s="22" t="n">
        <f aca="false">IFERROR(D90*E90,0)</f>
        <v>3416.39909593172</v>
      </c>
      <c r="G90" s="14" t="n">
        <f aca="false">SUMIFS(PARÂMETROS!$F$8:$F$907,PARÂMETROS!$A$8:$A$907,C90,PARÂMETROS!$G$8:$G$907,J90)</f>
        <v>0</v>
      </c>
      <c r="H90" s="22" t="n">
        <f aca="false">IFERROR(F90*G90,0)</f>
        <v>0</v>
      </c>
      <c r="I90" s="22" t="n">
        <f aca="false">F90+H90</f>
        <v>3416.39909593172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IF(B91="Clientes",SUMIFS(PARÂMETROS!$D$8:$D$907,PARÂMETROS!$A$8:$A$907,C91,PARÂMETROS!$G$8:$G$907,J91),SUMIFS(PARÂMETROS!$E$8:$E$907,PARÂMETROS!$A$8:$A$907,C91,PARÂMETROS!$G$8:$G$907,J91))</f>
        <v>0.0330214583023255</v>
      </c>
      <c r="E91" s="21" t="n">
        <f aca="false">SUMIFS(SETORES!$D:$D,SETORES!$A:$A,A91,SETORES!$F:$F,J91)</f>
        <v>179714.214106</v>
      </c>
      <c r="F91" s="21" t="n">
        <f aca="false">IFERROR(D91*E91,0)</f>
        <v>5934.42542743647</v>
      </c>
      <c r="G91" s="9" t="n">
        <f aca="false">SUMIFS(PARÂMETROS!$F$8:$F$907,PARÂMETROS!$A$8:$A$907,C91,PARÂMETROS!$G$8:$G$907,J91)</f>
        <v>0</v>
      </c>
      <c r="H91" s="21" t="n">
        <f aca="false">IFERROR(F91*G91,0)</f>
        <v>0</v>
      </c>
      <c r="I91" s="21" t="n">
        <f aca="false">F91+H91</f>
        <v>5934.42542743647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IF(B92="Clientes",SUMIFS(PARÂMETROS!$D$8:$D$907,PARÂMETROS!$A$8:$A$907,C92,PARÂMETROS!$G$8:$G$907,J92),SUMIFS(PARÂMETROS!$E$8:$E$907,PARÂMETROS!$A$8:$A$907,C92,PARÂMETROS!$G$8:$G$907,J92))</f>
        <v>0.0243734699219372</v>
      </c>
      <c r="E92" s="22" t="n">
        <f aca="false">SUMIFS(SETORES!$D:$D,SETORES!$A:$A,A92,SETORES!$F:$F,J92)</f>
        <v>179714.214106</v>
      </c>
      <c r="F92" s="22" t="n">
        <f aca="false">IFERROR(D92*E92,0)</f>
        <v>4380.25899205716</v>
      </c>
      <c r="G92" s="14" t="n">
        <f aca="false">SUMIFS(PARÂMETROS!$F$8:$F$907,PARÂMETROS!$A$8:$A$907,C92,PARÂMETROS!$G$8:$G$907,J92)</f>
        <v>0</v>
      </c>
      <c r="H92" s="22" t="n">
        <f aca="false">IFERROR(F92*G92,0)</f>
        <v>0</v>
      </c>
      <c r="I92" s="22" t="n">
        <f aca="false">F92+H92</f>
        <v>4380.25899205716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IF(B93="Clientes",SUMIFS(PARÂMETROS!$D$8:$D$907,PARÂMETROS!$A$8:$A$907,C93,PARÂMETROS!$G$8:$G$907,J93),SUMIFS(PARÂMETROS!$E$8:$E$907,PARÂMETROS!$A$8:$A$907,C93,PARÂMETROS!$G$8:$G$907,J93))</f>
        <v>0.0246095574385531</v>
      </c>
      <c r="E93" s="21" t="n">
        <f aca="false">SUMIFS(SETORES!$D:$D,SETORES!$A:$A,A93,SETORES!$F:$F,J93)</f>
        <v>179714.214106</v>
      </c>
      <c r="F93" s="21" t="n">
        <f aca="false">IFERROR(D93*E93,0)</f>
        <v>4422.68727456604</v>
      </c>
      <c r="G93" s="9" t="n">
        <f aca="false">SUMIFS(PARÂMETROS!$F$8:$F$907,PARÂMETROS!$A$8:$A$907,C93,PARÂMETROS!$G$8:$G$907,J93)</f>
        <v>0</v>
      </c>
      <c r="H93" s="21" t="n">
        <f aca="false">IFERROR(F93*G93,0)</f>
        <v>0</v>
      </c>
      <c r="I93" s="21" t="n">
        <f aca="false">F93+H93</f>
        <v>4422.68727456604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IF(B94="Clientes",SUMIFS(PARÂMETROS!$D$8:$D$907,PARÂMETROS!$A$8:$A$907,C94,PARÂMETROS!$G$8:$G$907,J94),SUMIFS(PARÂMETROS!$E$8:$E$907,PARÂMETROS!$A$8:$A$907,C94,PARÂMETROS!$G$8:$G$907,J94))</f>
        <v>0.722925637564603</v>
      </c>
      <c r="E94" s="22" t="n">
        <f aca="false">SUMIFS(SETORES!$D:$D,SETORES!$A:$A,A94,SETORES!$F:$F,J94)</f>
        <v>179714.214106</v>
      </c>
      <c r="F94" s="22" t="n">
        <f aca="false">IFERROR(D94*E94,0)</f>
        <v>129920.012812002</v>
      </c>
      <c r="G94" s="14" t="n">
        <f aca="false">SUMIFS(PARÂMETROS!$F$8:$F$907,PARÂMETROS!$A$8:$A$907,C94,PARÂMETROS!$G$8:$G$907,J94)</f>
        <v>0</v>
      </c>
      <c r="H94" s="22" t="n">
        <f aca="false">IFERROR(F94*G94,0)</f>
        <v>0</v>
      </c>
      <c r="I94" s="22" t="n">
        <f aca="false">F94+H94</f>
        <v>129920.012812002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IF(B95="Clientes",SUMIFS(PARÂMETROS!$D$8:$D$907,PARÂMETROS!$A$8:$A$907,C95,PARÂMETROS!$G$8:$G$907,J95),SUMIFS(PARÂMETROS!$E$8:$E$907,PARÂMETROS!$A$8:$A$907,C95,PARÂMETROS!$G$8:$G$907,J95))</f>
        <v>0.0330779140128206</v>
      </c>
      <c r="E95" s="21" t="n">
        <f aca="false">SUMIFS(SETORES!$D:$D,SETORES!$A:$A,A95,SETORES!$F:$F,J95)</f>
        <v>44286.736051</v>
      </c>
      <c r="F95" s="21" t="n">
        <f aca="false">IFERROR(D95*E95,0)</f>
        <v>1464.91284700346</v>
      </c>
      <c r="G95" s="9" t="n">
        <f aca="false">SUMIFS(PARÂMETROS!$F$8:$F$907,PARÂMETROS!$A$8:$A$907,C95,PARÂMETROS!$G$8:$G$907,J95)</f>
        <v>0</v>
      </c>
      <c r="H95" s="21" t="n">
        <f aca="false">IFERROR(F95*G95,0)</f>
        <v>0</v>
      </c>
      <c r="I95" s="21" t="n">
        <f aca="false">F95+H95</f>
        <v>1464.91284700346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IF(B96="Clientes",SUMIFS(PARÂMETROS!$D$8:$D$907,PARÂMETROS!$A$8:$A$907,C96,PARÂMETROS!$G$8:$G$907,J96),SUMIFS(PARÂMETROS!$E$8:$E$907,PARÂMETROS!$A$8:$A$907,C96,PARÂMETROS!$G$8:$G$907,J96))</f>
        <v>0.0688657021294068</v>
      </c>
      <c r="E96" s="22" t="n">
        <f aca="false">SUMIFS(SETORES!$D:$D,SETORES!$A:$A,A96,SETORES!$F:$F,J96)</f>
        <v>44286.736051</v>
      </c>
      <c r="F96" s="22" t="n">
        <f aca="false">IFERROR(D96*E96,0)</f>
        <v>3049.83717317183</v>
      </c>
      <c r="G96" s="14" t="n">
        <f aca="false">SUMIFS(PARÂMETROS!$F$8:$F$907,PARÂMETROS!$A$8:$A$907,C96,PARÂMETROS!$G$8:$G$907,J96)</f>
        <v>0</v>
      </c>
      <c r="H96" s="22" t="n">
        <f aca="false">IFERROR(F96*G96,0)</f>
        <v>0</v>
      </c>
      <c r="I96" s="22" t="n">
        <f aca="false">F96+H96</f>
        <v>3049.83717317183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IF(B97="Clientes",SUMIFS(PARÂMETROS!$D$8:$D$907,PARÂMETROS!$A$8:$A$907,C97,PARÂMETROS!$G$8:$G$907,J97),SUMIFS(PARÂMETROS!$E$8:$E$907,PARÂMETROS!$A$8:$A$907,C97,PARÂMETROS!$G$8:$G$907,J97))</f>
        <v>0.0741160832054526</v>
      </c>
      <c r="E97" s="21" t="n">
        <f aca="false">SUMIFS(SETORES!$D:$D,SETORES!$A:$A,A97,SETORES!$F:$F,J97)</f>
        <v>44286.736051</v>
      </c>
      <c r="F97" s="21" t="n">
        <f aca="false">IFERROR(D97*E97,0)</f>
        <v>3282.35941405383</v>
      </c>
      <c r="G97" s="9" t="n">
        <f aca="false">SUMIFS(PARÂMETROS!$F$8:$F$907,PARÂMETROS!$A$8:$A$907,C97,PARÂMETROS!$G$8:$G$907,J97)</f>
        <v>0</v>
      </c>
      <c r="H97" s="21" t="n">
        <f aca="false">IFERROR(F97*G97,0)</f>
        <v>0</v>
      </c>
      <c r="I97" s="21" t="n">
        <f aca="false">F97+H97</f>
        <v>3282.35941405383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IF(B98="Clientes",SUMIFS(PARÂMETROS!$D$8:$D$907,PARÂMETROS!$A$8:$A$907,C98,PARÂMETROS!$G$8:$G$907,J98),SUMIFS(PARÂMETROS!$E$8:$E$907,PARÂMETROS!$A$8:$A$907,C98,PARÂMETROS!$G$8:$G$907,J98))</f>
        <v>0.0190101774249011</v>
      </c>
      <c r="E98" s="22" t="n">
        <f aca="false">SUMIFS(SETORES!$D:$D,SETORES!$A:$A,A98,SETORES!$F:$F,J98)</f>
        <v>44286.736051</v>
      </c>
      <c r="F98" s="22" t="n">
        <f aca="false">IFERROR(D98*E98,0)</f>
        <v>841.898709899273</v>
      </c>
      <c r="G98" s="14" t="n">
        <f aca="false">SUMIFS(PARÂMETROS!$F$8:$F$907,PARÂMETROS!$A$8:$A$907,C98,PARÂMETROS!$G$8:$G$907,J98)</f>
        <v>0</v>
      </c>
      <c r="H98" s="22" t="n">
        <f aca="false">IFERROR(F98*G98,0)</f>
        <v>0</v>
      </c>
      <c r="I98" s="22" t="n">
        <f aca="false">F98+H98</f>
        <v>841.898709899273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IF(B99="Clientes",SUMIFS(PARÂMETROS!$D$8:$D$907,PARÂMETROS!$A$8:$A$907,C99,PARÂMETROS!$G$8:$G$907,J99),SUMIFS(PARÂMETROS!$E$8:$E$907,PARÂMETROS!$A$8:$A$907,C99,PARÂMETROS!$G$8:$G$907,J99))</f>
        <v>0.0330214583023255</v>
      </c>
      <c r="E99" s="21" t="n">
        <f aca="false">SUMIFS(SETORES!$D:$D,SETORES!$A:$A,A99,SETORES!$F:$F,J99)</f>
        <v>44286.736051</v>
      </c>
      <c r="F99" s="21" t="n">
        <f aca="false">IFERROR(D99*E99,0)</f>
        <v>1462.41260785419</v>
      </c>
      <c r="G99" s="9" t="n">
        <f aca="false">SUMIFS(PARÂMETROS!$F$8:$F$907,PARÂMETROS!$A$8:$A$907,C99,PARÂMETROS!$G$8:$G$907,J99)</f>
        <v>0</v>
      </c>
      <c r="H99" s="21" t="n">
        <f aca="false">IFERROR(F99*G99,0)</f>
        <v>0</v>
      </c>
      <c r="I99" s="21" t="n">
        <f aca="false">F99+H99</f>
        <v>1462.41260785419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IF(B100="Clientes",SUMIFS(PARÂMETROS!$D$8:$D$907,PARÂMETROS!$A$8:$A$907,C100,PARÂMETROS!$G$8:$G$907,J100),SUMIFS(PARÂMETROS!$E$8:$E$907,PARÂMETROS!$A$8:$A$907,C100,PARÂMETROS!$G$8:$G$907,J100))</f>
        <v>0.0243734699219372</v>
      </c>
      <c r="E100" s="22" t="n">
        <f aca="false">SUMIFS(SETORES!$D:$D,SETORES!$A:$A,A100,SETORES!$F:$F,J100)</f>
        <v>44286.736051</v>
      </c>
      <c r="F100" s="22" t="n">
        <f aca="false">IFERROR(D100*E100,0)</f>
        <v>1079.42142907982</v>
      </c>
      <c r="G100" s="14" t="n">
        <f aca="false">SUMIFS(PARÂMETROS!$F$8:$F$907,PARÂMETROS!$A$8:$A$907,C100,PARÂMETROS!$G$8:$G$907,J100)</f>
        <v>0</v>
      </c>
      <c r="H100" s="22" t="n">
        <f aca="false">IFERROR(F100*G100,0)</f>
        <v>0</v>
      </c>
      <c r="I100" s="22" t="n">
        <f aca="false">F100+H100</f>
        <v>1079.42142907982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IF(B101="Clientes",SUMIFS(PARÂMETROS!$D$8:$D$907,PARÂMETROS!$A$8:$A$907,C101,PARÂMETROS!$G$8:$G$907,J101),SUMIFS(PARÂMETROS!$E$8:$E$907,PARÂMETROS!$A$8:$A$907,C101,PARÂMETROS!$G$8:$G$907,J101))</f>
        <v>0.0246095574385531</v>
      </c>
      <c r="E101" s="21" t="n">
        <f aca="false">SUMIFS(SETORES!$D:$D,SETORES!$A:$A,A101,SETORES!$F:$F,J101)</f>
        <v>44286.736051</v>
      </c>
      <c r="F101" s="21" t="n">
        <f aca="false">IFERROR(D101*E101,0)</f>
        <v>1089.87697461312</v>
      </c>
      <c r="G101" s="9" t="n">
        <f aca="false">SUMIFS(PARÂMETROS!$F$8:$F$907,PARÂMETROS!$A$8:$A$907,C101,PARÂMETROS!$G$8:$G$907,J101)</f>
        <v>0</v>
      </c>
      <c r="H101" s="21" t="n">
        <f aca="false">IFERROR(F101*G101,0)</f>
        <v>0</v>
      </c>
      <c r="I101" s="21" t="n">
        <f aca="false">F101+H101</f>
        <v>1089.87697461312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IF(B102="Clientes",SUMIFS(PARÂMETROS!$D$8:$D$907,PARÂMETROS!$A$8:$A$907,C102,PARÂMETROS!$G$8:$G$907,J102),SUMIFS(PARÂMETROS!$E$8:$E$907,PARÂMETROS!$A$8:$A$907,C102,PARÂMETROS!$G$8:$G$907,J102))</f>
        <v>0.722925637564603</v>
      </c>
      <c r="E102" s="22" t="n">
        <f aca="false">SUMIFS(SETORES!$D:$D,SETORES!$A:$A,A102,SETORES!$F:$F,J102)</f>
        <v>44286.736051</v>
      </c>
      <c r="F102" s="22" t="n">
        <f aca="false">IFERROR(D102*E102,0)</f>
        <v>32016.0168953245</v>
      </c>
      <c r="G102" s="14" t="n">
        <f aca="false">SUMIFS(PARÂMETROS!$F$8:$F$907,PARÂMETROS!$A$8:$A$907,C102,PARÂMETROS!$G$8:$G$907,J102)</f>
        <v>0</v>
      </c>
      <c r="H102" s="22" t="n">
        <f aca="false">IFERROR(F102*G102,0)</f>
        <v>0</v>
      </c>
      <c r="I102" s="22" t="n">
        <f aca="false">F102+H102</f>
        <v>32016.0168953245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IF(B103="Clientes",SUMIFS(PARÂMETROS!$D$8:$D$907,PARÂMETROS!$A$8:$A$907,C103,PARÂMETROS!$G$8:$G$907,J103),SUMIFS(PARÂMETROS!$E$8:$E$907,PARÂMETROS!$A$8:$A$907,C103,PARÂMETROS!$G$8:$G$907,J103))</f>
        <v>0.0330779140128206</v>
      </c>
      <c r="E103" s="21" t="n">
        <f aca="false">SUMIFS(SETORES!$D:$D,SETORES!$A:$A,A103,SETORES!$F:$F,J103)</f>
        <v>53069.948556</v>
      </c>
      <c r="F103" s="21" t="n">
        <f aca="false">IFERROR(D103*E103,0)</f>
        <v>1755.44319500018</v>
      </c>
      <c r="G103" s="9" t="n">
        <f aca="false">SUMIFS(PARÂMETROS!$F$8:$F$907,PARÂMETROS!$A$8:$A$907,C103,PARÂMETROS!$G$8:$G$907,J103)</f>
        <v>0</v>
      </c>
      <c r="H103" s="21" t="n">
        <f aca="false">IFERROR(F103*G103,0)</f>
        <v>0</v>
      </c>
      <c r="I103" s="21" t="n">
        <f aca="false">F103+H103</f>
        <v>1755.44319500018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IF(B104="Clientes",SUMIFS(PARÂMETROS!$D$8:$D$907,PARÂMETROS!$A$8:$A$907,C104,PARÂMETROS!$G$8:$G$907,J104),SUMIFS(PARÂMETROS!$E$8:$E$907,PARÂMETROS!$A$8:$A$907,C104,PARÂMETROS!$G$8:$G$907,J104))</f>
        <v>0.0688657021294068</v>
      </c>
      <c r="E104" s="22" t="n">
        <f aca="false">SUMIFS(SETORES!$D:$D,SETORES!$A:$A,A104,SETORES!$F:$F,J104)</f>
        <v>53069.948556</v>
      </c>
      <c r="F104" s="22" t="n">
        <f aca="false">IFERROR(D104*E104,0)</f>
        <v>3654.69926928044</v>
      </c>
      <c r="G104" s="14" t="n">
        <f aca="false">SUMIFS(PARÂMETROS!$F$8:$F$907,PARÂMETROS!$A$8:$A$907,C104,PARÂMETROS!$G$8:$G$907,J104)</f>
        <v>0</v>
      </c>
      <c r="H104" s="22" t="n">
        <f aca="false">IFERROR(F104*G104,0)</f>
        <v>0</v>
      </c>
      <c r="I104" s="22" t="n">
        <f aca="false">F104+H104</f>
        <v>3654.69926928044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IF(B105="Clientes",SUMIFS(PARÂMETROS!$D$8:$D$907,PARÂMETROS!$A$8:$A$907,C105,PARÂMETROS!$G$8:$G$907,J105),SUMIFS(PARÂMETROS!$E$8:$E$907,PARÂMETROS!$A$8:$A$907,C105,PARÂMETROS!$G$8:$G$907,J105))</f>
        <v>0.0741160832054526</v>
      </c>
      <c r="E105" s="21" t="n">
        <f aca="false">SUMIFS(SETORES!$D:$D,SETORES!$A:$A,A105,SETORES!$F:$F,J105)</f>
        <v>53069.948556</v>
      </c>
      <c r="F105" s="21" t="n">
        <f aca="false">IFERROR(D105*E105,0)</f>
        <v>3933.33672288559</v>
      </c>
      <c r="G105" s="9" t="n">
        <f aca="false">SUMIFS(PARÂMETROS!$F$8:$F$907,PARÂMETROS!$A$8:$A$907,C105,PARÂMETROS!$G$8:$G$907,J105)</f>
        <v>0</v>
      </c>
      <c r="H105" s="21" t="n">
        <f aca="false">IFERROR(F105*G105,0)</f>
        <v>0</v>
      </c>
      <c r="I105" s="21" t="n">
        <f aca="false">F105+H105</f>
        <v>3933.33672288559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IF(B106="Clientes",SUMIFS(PARÂMETROS!$D$8:$D$907,PARÂMETROS!$A$8:$A$907,C106,PARÂMETROS!$G$8:$G$907,J106),SUMIFS(PARÂMETROS!$E$8:$E$907,PARÂMETROS!$A$8:$A$907,C106,PARÂMETROS!$G$8:$G$907,J106))</f>
        <v>0.0190101774249011</v>
      </c>
      <c r="E106" s="22" t="n">
        <f aca="false">SUMIFS(SETORES!$D:$D,SETORES!$A:$A,A106,SETORES!$F:$F,J106)</f>
        <v>53069.948556</v>
      </c>
      <c r="F106" s="22" t="n">
        <f aca="false">IFERROR(D106*E106,0)</f>
        <v>1008.86913797993</v>
      </c>
      <c r="G106" s="14" t="n">
        <f aca="false">SUMIFS(PARÂMETROS!$F$8:$F$907,PARÂMETROS!$A$8:$A$907,C106,PARÂMETROS!$G$8:$G$907,J106)</f>
        <v>0</v>
      </c>
      <c r="H106" s="22" t="n">
        <f aca="false">IFERROR(F106*G106,0)</f>
        <v>0</v>
      </c>
      <c r="I106" s="22" t="n">
        <f aca="false">F106+H106</f>
        <v>1008.86913797993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IF(B107="Clientes",SUMIFS(PARÂMETROS!$D$8:$D$907,PARÂMETROS!$A$8:$A$907,C107,PARÂMETROS!$G$8:$G$907,J107),SUMIFS(PARÂMETROS!$E$8:$E$907,PARÂMETROS!$A$8:$A$907,C107,PARÂMETROS!$G$8:$G$907,J107))</f>
        <v>0.0330214583023255</v>
      </c>
      <c r="E107" s="21" t="n">
        <f aca="false">SUMIFS(SETORES!$D:$D,SETORES!$A:$A,A107,SETORES!$F:$F,J107)</f>
        <v>53069.948556</v>
      </c>
      <c r="F107" s="21" t="n">
        <f aca="false">IFERROR(D107*E107,0)</f>
        <v>1752.44709334851</v>
      </c>
      <c r="G107" s="9" t="n">
        <f aca="false">SUMIFS(PARÂMETROS!$F$8:$F$907,PARÂMETROS!$A$8:$A$907,C107,PARÂMETROS!$G$8:$G$907,J107)</f>
        <v>0</v>
      </c>
      <c r="H107" s="21" t="n">
        <f aca="false">IFERROR(F107*G107,0)</f>
        <v>0</v>
      </c>
      <c r="I107" s="21" t="n">
        <f aca="false">F107+H107</f>
        <v>1752.44709334851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IF(B108="Clientes",SUMIFS(PARÂMETROS!$D$8:$D$907,PARÂMETROS!$A$8:$A$907,C108,PARÂMETROS!$G$8:$G$907,J108),SUMIFS(PARÂMETROS!$E$8:$E$907,PARÂMETROS!$A$8:$A$907,C108,PARÂMETROS!$G$8:$G$907,J108))</f>
        <v>0.0243734699219372</v>
      </c>
      <c r="E108" s="22" t="n">
        <f aca="false">SUMIFS(SETORES!$D:$D,SETORES!$A:$A,A108,SETORES!$F:$F,J108)</f>
        <v>53069.948556</v>
      </c>
      <c r="F108" s="22" t="n">
        <f aca="false">IFERROR(D108*E108,0)</f>
        <v>1293.49879488842</v>
      </c>
      <c r="G108" s="14" t="n">
        <f aca="false">SUMIFS(PARÂMETROS!$F$8:$F$907,PARÂMETROS!$A$8:$A$907,C108,PARÂMETROS!$G$8:$G$907,J108)</f>
        <v>0</v>
      </c>
      <c r="H108" s="22" t="n">
        <f aca="false">IFERROR(F108*G108,0)</f>
        <v>0</v>
      </c>
      <c r="I108" s="22" t="n">
        <f aca="false">F108+H108</f>
        <v>1293.49879488842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IF(B109="Clientes",SUMIFS(PARÂMETROS!$D$8:$D$907,PARÂMETROS!$A$8:$A$907,C109,PARÂMETROS!$G$8:$G$907,J109),SUMIFS(PARÂMETROS!$E$8:$E$907,PARÂMETROS!$A$8:$A$907,C109,PARÂMETROS!$G$8:$G$907,J109))</f>
        <v>0.0246095574385531</v>
      </c>
      <c r="E109" s="21" t="n">
        <f aca="false">SUMIFS(SETORES!$D:$D,SETORES!$A:$A,A109,SETORES!$F:$F,J109)</f>
        <v>53069.948556</v>
      </c>
      <c r="F109" s="21" t="n">
        <f aca="false">IFERROR(D109*E109,0)</f>
        <v>1306.02794724994</v>
      </c>
      <c r="G109" s="9" t="n">
        <f aca="false">SUMIFS(PARÂMETROS!$F$8:$F$907,PARÂMETROS!$A$8:$A$907,C109,PARÂMETROS!$G$8:$G$907,J109)</f>
        <v>0</v>
      </c>
      <c r="H109" s="21" t="n">
        <f aca="false">IFERROR(F109*G109,0)</f>
        <v>0</v>
      </c>
      <c r="I109" s="21" t="n">
        <f aca="false">F109+H109</f>
        <v>1306.02794724994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IF(B110="Clientes",SUMIFS(PARÂMETROS!$D$8:$D$907,PARÂMETROS!$A$8:$A$907,C110,PARÂMETROS!$G$8:$G$907,J110),SUMIFS(PARÂMETROS!$E$8:$E$907,PARÂMETROS!$A$8:$A$907,C110,PARÂMETROS!$G$8:$G$907,J110))</f>
        <v>0.722925637564603</v>
      </c>
      <c r="E110" s="22" t="n">
        <f aca="false">SUMIFS(SETORES!$D:$D,SETORES!$A:$A,A110,SETORES!$F:$F,J110)</f>
        <v>53069.948556</v>
      </c>
      <c r="F110" s="22" t="n">
        <f aca="false">IFERROR(D110*E110,0)</f>
        <v>38365.626395367</v>
      </c>
      <c r="G110" s="14" t="n">
        <f aca="false">SUMIFS(PARÂMETROS!$F$8:$F$907,PARÂMETROS!$A$8:$A$907,C110,PARÂMETROS!$G$8:$G$907,J110)</f>
        <v>0</v>
      </c>
      <c r="H110" s="22" t="n">
        <f aca="false">IFERROR(F110*G110,0)</f>
        <v>0</v>
      </c>
      <c r="I110" s="22" t="n">
        <f aca="false">F110+H110</f>
        <v>38365.626395367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IF(B111="Clientes",SUMIFS(PARÂMETROS!$D$8:$D$907,PARÂMETROS!$A$8:$A$907,C111,PARÂMETROS!$G$8:$G$907,J111),SUMIFS(PARÂMETROS!$E$8:$E$907,PARÂMETROS!$A$8:$A$907,C111,PARÂMETROS!$G$8:$G$907,J111))</f>
        <v>0.0330779140128206</v>
      </c>
      <c r="E111" s="21" t="n">
        <f aca="false">SUMIFS(SETORES!$D:$D,SETORES!$A:$A,A111,SETORES!$F:$F,J111)</f>
        <v>38110.164356</v>
      </c>
      <c r="F111" s="21" t="n">
        <f aca="false">IFERROR(D111*E111,0)</f>
        <v>1260.60473958223</v>
      </c>
      <c r="G111" s="9" t="n">
        <f aca="false">SUMIFS(PARÂMETROS!$F$8:$F$907,PARÂMETROS!$A$8:$A$907,C111,PARÂMETROS!$G$8:$G$907,J111)</f>
        <v>0</v>
      </c>
      <c r="H111" s="21" t="n">
        <f aca="false">IFERROR(F111*G111,0)</f>
        <v>0</v>
      </c>
      <c r="I111" s="21" t="n">
        <f aca="false">F111+H111</f>
        <v>1260.60473958223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IF(B112="Clientes",SUMIFS(PARÂMETROS!$D$8:$D$907,PARÂMETROS!$A$8:$A$907,C112,PARÂMETROS!$G$8:$G$907,J112),SUMIFS(PARÂMETROS!$E$8:$E$907,PARÂMETROS!$A$8:$A$907,C112,PARÂMETROS!$G$8:$G$907,J112))</f>
        <v>0.0688657021294068</v>
      </c>
      <c r="E112" s="22" t="n">
        <f aca="false">SUMIFS(SETORES!$D:$D,SETORES!$A:$A,A112,SETORES!$F:$F,J112)</f>
        <v>38110.164356</v>
      </c>
      <c r="F112" s="22" t="n">
        <f aca="false">IFERROR(D112*E112,0)</f>
        <v>2624.48322664303</v>
      </c>
      <c r="G112" s="14" t="n">
        <f aca="false">SUMIFS(PARÂMETROS!$F$8:$F$907,PARÂMETROS!$A$8:$A$907,C112,PARÂMETROS!$G$8:$G$907,J112)</f>
        <v>0</v>
      </c>
      <c r="H112" s="22" t="n">
        <f aca="false">IFERROR(F112*G112,0)</f>
        <v>0</v>
      </c>
      <c r="I112" s="22" t="n">
        <f aca="false">F112+H112</f>
        <v>2624.48322664303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IF(B113="Clientes",SUMIFS(PARÂMETROS!$D$8:$D$907,PARÂMETROS!$A$8:$A$907,C113,PARÂMETROS!$G$8:$G$907,J113),SUMIFS(PARÂMETROS!$E$8:$E$907,PARÂMETROS!$A$8:$A$907,C113,PARÂMETROS!$G$8:$G$907,J113))</f>
        <v>0.0741160832054526</v>
      </c>
      <c r="E113" s="21" t="n">
        <f aca="false">SUMIFS(SETORES!$D:$D,SETORES!$A:$A,A113,SETORES!$F:$F,J113)</f>
        <v>38110.164356</v>
      </c>
      <c r="F113" s="21" t="n">
        <f aca="false">IFERROR(D113*E113,0)</f>
        <v>2824.57611238277</v>
      </c>
      <c r="G113" s="9" t="n">
        <f aca="false">SUMIFS(PARÂMETROS!$F$8:$F$907,PARÂMETROS!$A$8:$A$907,C113,PARÂMETROS!$G$8:$G$907,J113)</f>
        <v>0</v>
      </c>
      <c r="H113" s="21" t="n">
        <f aca="false">IFERROR(F113*G113,0)</f>
        <v>0</v>
      </c>
      <c r="I113" s="21" t="n">
        <f aca="false">F113+H113</f>
        <v>2824.57611238277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IF(B114="Clientes",SUMIFS(PARÂMETROS!$D$8:$D$907,PARÂMETROS!$A$8:$A$907,C114,PARÂMETROS!$G$8:$G$907,J114),SUMIFS(PARÂMETROS!$E$8:$E$907,PARÂMETROS!$A$8:$A$907,C114,PARÂMETROS!$G$8:$G$907,J114))</f>
        <v>0.0190101774249011</v>
      </c>
      <c r="E114" s="22" t="n">
        <f aca="false">SUMIFS(SETORES!$D:$D,SETORES!$A:$A,A114,SETORES!$F:$F,J114)</f>
        <v>38110.164356</v>
      </c>
      <c r="F114" s="22" t="n">
        <f aca="false">IFERROR(D114*E114,0)</f>
        <v>724.480986099701</v>
      </c>
      <c r="G114" s="14" t="n">
        <f aca="false">SUMIFS(PARÂMETROS!$F$8:$F$907,PARÂMETROS!$A$8:$A$907,C114,PARÂMETROS!$G$8:$G$907,J114)</f>
        <v>0</v>
      </c>
      <c r="H114" s="22" t="n">
        <f aca="false">IFERROR(F114*G114,0)</f>
        <v>0</v>
      </c>
      <c r="I114" s="22" t="n">
        <f aca="false">F114+H114</f>
        <v>724.480986099701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IF(B115="Clientes",SUMIFS(PARÂMETROS!$D$8:$D$907,PARÂMETROS!$A$8:$A$907,C115,PARÂMETROS!$G$8:$G$907,J115),SUMIFS(PARÂMETROS!$E$8:$E$907,PARÂMETROS!$A$8:$A$907,C115,PARÂMETROS!$G$8:$G$907,J115))</f>
        <v>0.0330214583023255</v>
      </c>
      <c r="E115" s="21" t="n">
        <f aca="false">SUMIFS(SETORES!$D:$D,SETORES!$A:$A,A115,SETORES!$F:$F,J115)</f>
        <v>38110.164356</v>
      </c>
      <c r="F115" s="21" t="n">
        <f aca="false">IFERROR(D115*E115,0)</f>
        <v>1258.45320317642</v>
      </c>
      <c r="G115" s="9" t="n">
        <f aca="false">SUMIFS(PARÂMETROS!$F$8:$F$907,PARÂMETROS!$A$8:$A$907,C115,PARÂMETROS!$G$8:$G$907,J115)</f>
        <v>0</v>
      </c>
      <c r="H115" s="21" t="n">
        <f aca="false">IFERROR(F115*G115,0)</f>
        <v>0</v>
      </c>
      <c r="I115" s="21" t="n">
        <f aca="false">F115+H115</f>
        <v>1258.45320317642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IF(B116="Clientes",SUMIFS(PARÂMETROS!$D$8:$D$907,PARÂMETROS!$A$8:$A$907,C116,PARÂMETROS!$G$8:$G$907,J116),SUMIFS(PARÂMETROS!$E$8:$E$907,PARÂMETROS!$A$8:$A$907,C116,PARÂMETROS!$G$8:$G$907,J116))</f>
        <v>0.0243734699219372</v>
      </c>
      <c r="E116" s="22" t="n">
        <f aca="false">SUMIFS(SETORES!$D:$D,SETORES!$A:$A,A116,SETORES!$F:$F,J116)</f>
        <v>38110.164356</v>
      </c>
      <c r="F116" s="22" t="n">
        <f aca="false">IFERROR(D116*E116,0)</f>
        <v>928.876944651047</v>
      </c>
      <c r="G116" s="14" t="n">
        <f aca="false">SUMIFS(PARÂMETROS!$F$8:$F$907,PARÂMETROS!$A$8:$A$907,C116,PARÂMETROS!$G$8:$G$907,J116)</f>
        <v>0</v>
      </c>
      <c r="H116" s="22" t="n">
        <f aca="false">IFERROR(F116*G116,0)</f>
        <v>0</v>
      </c>
      <c r="I116" s="22" t="n">
        <f aca="false">F116+H116</f>
        <v>928.876944651047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IF(B117="Clientes",SUMIFS(PARÂMETROS!$D$8:$D$907,PARÂMETROS!$A$8:$A$907,C117,PARÂMETROS!$G$8:$G$907,J117),SUMIFS(PARÂMETROS!$E$8:$E$907,PARÂMETROS!$A$8:$A$907,C117,PARÂMETROS!$G$8:$G$907,J117))</f>
        <v>0.0246095574385531</v>
      </c>
      <c r="E117" s="21" t="n">
        <f aca="false">SUMIFS(SETORES!$D:$D,SETORES!$A:$A,A117,SETORES!$F:$F,J117)</f>
        <v>38110.164356</v>
      </c>
      <c r="F117" s="21" t="n">
        <f aca="false">IFERROR(D117*E117,0)</f>
        <v>937.874278711681</v>
      </c>
      <c r="G117" s="9" t="n">
        <f aca="false">SUMIFS(PARÂMETROS!$F$8:$F$907,PARÂMETROS!$A$8:$A$907,C117,PARÂMETROS!$G$8:$G$907,J117)</f>
        <v>0</v>
      </c>
      <c r="H117" s="21" t="n">
        <f aca="false">IFERROR(F117*G117,0)</f>
        <v>0</v>
      </c>
      <c r="I117" s="21" t="n">
        <f aca="false">F117+H117</f>
        <v>937.874278711681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IF(B118="Clientes",SUMIFS(PARÂMETROS!$D$8:$D$907,PARÂMETROS!$A$8:$A$907,C118,PARÂMETROS!$G$8:$G$907,J118),SUMIFS(PARÂMETROS!$E$8:$E$907,PARÂMETROS!$A$8:$A$907,C118,PARÂMETROS!$G$8:$G$907,J118))</f>
        <v>0.722925637564603</v>
      </c>
      <c r="E118" s="22" t="n">
        <f aca="false">SUMIFS(SETORES!$D:$D,SETORES!$A:$A,A118,SETORES!$F:$F,J118)</f>
        <v>38110.164356</v>
      </c>
      <c r="F118" s="22" t="n">
        <f aca="false">IFERROR(D118*E118,0)</f>
        <v>27550.8148647531</v>
      </c>
      <c r="G118" s="14" t="n">
        <f aca="false">SUMIFS(PARÂMETROS!$F$8:$F$907,PARÂMETROS!$A$8:$A$907,C118,PARÂMETROS!$G$8:$G$907,J118)</f>
        <v>0</v>
      </c>
      <c r="H118" s="22" t="n">
        <f aca="false">IFERROR(F118*G118,0)</f>
        <v>0</v>
      </c>
      <c r="I118" s="22" t="n">
        <f aca="false">F118+H118</f>
        <v>27550.8148647531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IF(B119="Clientes",SUMIFS(PARÂMETROS!$D$8:$D$907,PARÂMETROS!$A$8:$A$907,C119,PARÂMETROS!$G$8:$G$907,J119),SUMIFS(PARÂMETROS!$E$8:$E$907,PARÂMETROS!$A$8:$A$907,C119,PARÂMETROS!$G$8:$G$907,J119))</f>
        <v>0.0330779140128206</v>
      </c>
      <c r="E119" s="21" t="n">
        <f aca="false">SUMIFS(SETORES!$D:$D,SETORES!$A:$A,A119,SETORES!$F:$F,J119)</f>
        <v>18248.008564</v>
      </c>
      <c r="F119" s="21" t="n">
        <f aca="false">IFERROR(D119*E119,0)</f>
        <v>603.606058185206</v>
      </c>
      <c r="G119" s="9" t="n">
        <f aca="false">SUMIFS(PARÂMETROS!$F$8:$F$907,PARÂMETROS!$A$8:$A$907,C119,PARÂMETROS!$G$8:$G$907,J119)</f>
        <v>0</v>
      </c>
      <c r="H119" s="21" t="n">
        <f aca="false">IFERROR(F119*G119,0)</f>
        <v>0</v>
      </c>
      <c r="I119" s="21" t="n">
        <f aca="false">F119+H119</f>
        <v>603.606058185206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IF(B120="Clientes",SUMIFS(PARÂMETROS!$D$8:$D$907,PARÂMETROS!$A$8:$A$907,C120,PARÂMETROS!$G$8:$G$907,J120),SUMIFS(PARÂMETROS!$E$8:$E$907,PARÂMETROS!$A$8:$A$907,C120,PARÂMETROS!$G$8:$G$907,J120))</f>
        <v>0.0688657021294068</v>
      </c>
      <c r="E120" s="22" t="n">
        <f aca="false">SUMIFS(SETORES!$D:$D,SETORES!$A:$A,A120,SETORES!$F:$F,J120)</f>
        <v>18248.008564</v>
      </c>
      <c r="F120" s="22" t="n">
        <f aca="false">IFERROR(D120*E120,0)</f>
        <v>1256.66192222329</v>
      </c>
      <c r="G120" s="14" t="n">
        <f aca="false">SUMIFS(PARÂMETROS!$F$8:$F$907,PARÂMETROS!$A$8:$A$907,C120,PARÂMETROS!$G$8:$G$907,J120)</f>
        <v>0</v>
      </c>
      <c r="H120" s="22" t="n">
        <f aca="false">IFERROR(F120*G120,0)</f>
        <v>0</v>
      </c>
      <c r="I120" s="22" t="n">
        <f aca="false">F120+H120</f>
        <v>1256.66192222329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IF(B121="Clientes",SUMIFS(PARÂMETROS!$D$8:$D$907,PARÂMETROS!$A$8:$A$907,C121,PARÂMETROS!$G$8:$G$907,J121),SUMIFS(PARÂMETROS!$E$8:$E$907,PARÂMETROS!$A$8:$A$907,C121,PARÂMETROS!$G$8:$G$907,J121))</f>
        <v>0.0741160832054526</v>
      </c>
      <c r="E121" s="21" t="n">
        <f aca="false">SUMIFS(SETORES!$D:$D,SETORES!$A:$A,A121,SETORES!$F:$F,J121)</f>
        <v>18248.008564</v>
      </c>
      <c r="F121" s="21" t="n">
        <f aca="false">IFERROR(D121*E121,0)</f>
        <v>1352.47092106324</v>
      </c>
      <c r="G121" s="9" t="n">
        <f aca="false">SUMIFS(PARÂMETROS!$F$8:$F$907,PARÂMETROS!$A$8:$A$907,C121,PARÂMETROS!$G$8:$G$907,J121)</f>
        <v>0</v>
      </c>
      <c r="H121" s="21" t="n">
        <f aca="false">IFERROR(F121*G121,0)</f>
        <v>0</v>
      </c>
      <c r="I121" s="21" t="n">
        <f aca="false">F121+H121</f>
        <v>1352.47092106324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IF(B122="Clientes",SUMIFS(PARÂMETROS!$D$8:$D$907,PARÂMETROS!$A$8:$A$907,C122,PARÂMETROS!$G$8:$G$907,J122),SUMIFS(PARÂMETROS!$E$8:$E$907,PARÂMETROS!$A$8:$A$907,C122,PARÂMETROS!$G$8:$G$907,J122))</f>
        <v>0.0190101774249011</v>
      </c>
      <c r="E122" s="22" t="n">
        <f aca="false">SUMIFS(SETORES!$D:$D,SETORES!$A:$A,A122,SETORES!$F:$F,J122)</f>
        <v>18248.008564</v>
      </c>
      <c r="F122" s="22" t="n">
        <f aca="false">IFERROR(D122*E122,0)</f>
        <v>346.897880452754</v>
      </c>
      <c r="G122" s="14" t="n">
        <f aca="false">SUMIFS(PARÂMETROS!$F$8:$F$907,PARÂMETROS!$A$8:$A$907,C122,PARÂMETROS!$G$8:$G$907,J122)</f>
        <v>0</v>
      </c>
      <c r="H122" s="22" t="n">
        <f aca="false">IFERROR(F122*G122,0)</f>
        <v>0</v>
      </c>
      <c r="I122" s="22" t="n">
        <f aca="false">F122+H122</f>
        <v>346.897880452754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IF(B123="Clientes",SUMIFS(PARÂMETROS!$D$8:$D$907,PARÂMETROS!$A$8:$A$907,C123,PARÂMETROS!$G$8:$G$907,J123),SUMIFS(PARÂMETROS!$E$8:$E$907,PARÂMETROS!$A$8:$A$907,C123,PARÂMETROS!$G$8:$G$907,J123))</f>
        <v>0.0330214583023255</v>
      </c>
      <c r="E123" s="21" t="n">
        <f aca="false">SUMIFS(SETORES!$D:$D,SETORES!$A:$A,A123,SETORES!$F:$F,J123)</f>
        <v>18248.008564</v>
      </c>
      <c r="F123" s="21" t="n">
        <f aca="false">IFERROR(D123*E123,0)</f>
        <v>602.575853896604</v>
      </c>
      <c r="G123" s="9" t="n">
        <f aca="false">SUMIFS(PARÂMETROS!$F$8:$F$907,PARÂMETROS!$A$8:$A$907,C123,PARÂMETROS!$G$8:$G$907,J123)</f>
        <v>0</v>
      </c>
      <c r="H123" s="21" t="n">
        <f aca="false">IFERROR(F123*G123,0)</f>
        <v>0</v>
      </c>
      <c r="I123" s="21" t="n">
        <f aca="false">F123+H123</f>
        <v>602.575853896604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IF(B124="Clientes",SUMIFS(PARÂMETROS!$D$8:$D$907,PARÂMETROS!$A$8:$A$907,C124,PARÂMETROS!$G$8:$G$907,J124),SUMIFS(PARÂMETROS!$E$8:$E$907,PARÂMETROS!$A$8:$A$907,C124,PARÂMETROS!$G$8:$G$907,J124))</f>
        <v>0.0243734699219372</v>
      </c>
      <c r="E124" s="22" t="n">
        <f aca="false">SUMIFS(SETORES!$D:$D,SETORES!$A:$A,A124,SETORES!$F:$F,J124)</f>
        <v>18248.008564</v>
      </c>
      <c r="F124" s="22" t="n">
        <f aca="false">IFERROR(D124*E124,0)</f>
        <v>444.767287869906</v>
      </c>
      <c r="G124" s="14" t="n">
        <f aca="false">SUMIFS(PARÂMETROS!$F$8:$F$907,PARÂMETROS!$A$8:$A$907,C124,PARÂMETROS!$G$8:$G$907,J124)</f>
        <v>0</v>
      </c>
      <c r="H124" s="22" t="n">
        <f aca="false">IFERROR(F124*G124,0)</f>
        <v>0</v>
      </c>
      <c r="I124" s="22" t="n">
        <f aca="false">F124+H124</f>
        <v>444.767287869906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IF(B125="Clientes",SUMIFS(PARÂMETROS!$D$8:$D$907,PARÂMETROS!$A$8:$A$907,C125,PARÂMETROS!$G$8:$G$907,J125),SUMIFS(PARÂMETROS!$E$8:$E$907,PARÂMETROS!$A$8:$A$907,C125,PARÂMETROS!$G$8:$G$907,J125))</f>
        <v>0.0246095574385531</v>
      </c>
      <c r="E125" s="21" t="n">
        <f aca="false">SUMIFS(SETORES!$D:$D,SETORES!$A:$A,A125,SETORES!$F:$F,J125)</f>
        <v>18248.008564</v>
      </c>
      <c r="F125" s="21" t="n">
        <f aca="false">IFERROR(D125*E125,0)</f>
        <v>449.075414894967</v>
      </c>
      <c r="G125" s="9" t="n">
        <f aca="false">SUMIFS(PARÂMETROS!$F$8:$F$907,PARÂMETROS!$A$8:$A$907,C125,PARÂMETROS!$G$8:$G$907,J125)</f>
        <v>0</v>
      </c>
      <c r="H125" s="21" t="n">
        <f aca="false">IFERROR(F125*G125,0)</f>
        <v>0</v>
      </c>
      <c r="I125" s="21" t="n">
        <f aca="false">F125+H125</f>
        <v>449.075414894967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IF(B126="Clientes",SUMIFS(PARÂMETROS!$D$8:$D$907,PARÂMETROS!$A$8:$A$907,C126,PARÂMETROS!$G$8:$G$907,J126),SUMIFS(PARÂMETROS!$E$8:$E$907,PARÂMETROS!$A$8:$A$907,C126,PARÂMETROS!$G$8:$G$907,J126))</f>
        <v>0.722925637564603</v>
      </c>
      <c r="E126" s="22" t="n">
        <f aca="false">SUMIFS(SETORES!$D:$D,SETORES!$A:$A,A126,SETORES!$F:$F,J126)</f>
        <v>18248.008564</v>
      </c>
      <c r="F126" s="22" t="n">
        <f aca="false">IFERROR(D126*E126,0)</f>
        <v>13191.953225414</v>
      </c>
      <c r="G126" s="14" t="n">
        <f aca="false">SUMIFS(PARÂMETROS!$F$8:$F$907,PARÂMETROS!$A$8:$A$907,C126,PARÂMETROS!$G$8:$G$907,J126)</f>
        <v>0</v>
      </c>
      <c r="H126" s="22" t="n">
        <f aca="false">IFERROR(F126*G126,0)</f>
        <v>0</v>
      </c>
      <c r="I126" s="22" t="n">
        <f aca="false">F126+H126</f>
        <v>13191.953225414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IF(B127="Clientes",SUMIFS(PARÂMETROS!$D$8:$D$907,PARÂMETROS!$A$8:$A$907,C127,PARÂMETROS!$G$8:$G$907,J127),SUMIFS(PARÂMETROS!$E$8:$E$907,PARÂMETROS!$A$8:$A$907,C127,PARÂMETROS!$G$8:$G$907,J127))</f>
        <v>0.0330779140128206</v>
      </c>
      <c r="E127" s="21" t="n">
        <f aca="false">SUMIFS(SETORES!$D:$D,SETORES!$A:$A,A127,SETORES!$F:$F,J127)</f>
        <v>28741.9277887408</v>
      </c>
      <c r="F127" s="21" t="n">
        <f aca="false">IFERROR(D127*E127,0)</f>
        <v>950.723015958667</v>
      </c>
      <c r="G127" s="9" t="n">
        <f aca="false">SUMIFS(PARÂMETROS!$F$8:$F$907,PARÂMETROS!$A$8:$A$907,C127,PARÂMETROS!$G$8:$G$907,J127)</f>
        <v>0</v>
      </c>
      <c r="H127" s="21" t="n">
        <f aca="false">IFERROR(F127*G127,0)</f>
        <v>0</v>
      </c>
      <c r="I127" s="21" t="n">
        <f aca="false">F127+H127</f>
        <v>950.723015958667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IF(B128="Clientes",SUMIFS(PARÂMETROS!$D$8:$D$907,PARÂMETROS!$A$8:$A$907,C128,PARÂMETROS!$G$8:$G$907,J128),SUMIFS(PARÂMETROS!$E$8:$E$907,PARÂMETROS!$A$8:$A$907,C128,PARÂMETROS!$G$8:$G$907,J128))</f>
        <v>0.0688657021294068</v>
      </c>
      <c r="E128" s="22" t="n">
        <f aca="false">SUMIFS(SETORES!$D:$D,SETORES!$A:$A,A128,SETORES!$F:$F,J128)</f>
        <v>28741.9277887408</v>
      </c>
      <c r="F128" s="22" t="n">
        <f aca="false">IFERROR(D128*E128,0)</f>
        <v>1979.33303772434</v>
      </c>
      <c r="G128" s="14" t="n">
        <f aca="false">SUMIFS(PARÂMETROS!$F$8:$F$907,PARÂMETROS!$A$8:$A$907,C128,PARÂMETROS!$G$8:$G$907,J128)</f>
        <v>0</v>
      </c>
      <c r="H128" s="22" t="n">
        <f aca="false">IFERROR(F128*G128,0)</f>
        <v>0</v>
      </c>
      <c r="I128" s="22" t="n">
        <f aca="false">F128+H128</f>
        <v>1979.33303772434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IF(B129="Clientes",SUMIFS(PARÂMETROS!$D$8:$D$907,PARÂMETROS!$A$8:$A$907,C129,PARÂMETROS!$G$8:$G$907,J129),SUMIFS(PARÂMETROS!$E$8:$E$907,PARÂMETROS!$A$8:$A$907,C129,PARÂMETROS!$G$8:$G$907,J129))</f>
        <v>0.0741160832054526</v>
      </c>
      <c r="E129" s="21" t="n">
        <f aca="false">SUMIFS(SETORES!$D:$D,SETORES!$A:$A,A129,SETORES!$F:$F,J129)</f>
        <v>28741.9277887408</v>
      </c>
      <c r="F129" s="21" t="n">
        <f aca="false">IFERROR(D129*E129,0)</f>
        <v>2130.23911147542</v>
      </c>
      <c r="G129" s="9" t="n">
        <f aca="false">SUMIFS(PARÂMETROS!$F$8:$F$907,PARÂMETROS!$A$8:$A$907,C129,PARÂMETROS!$G$8:$G$907,J129)</f>
        <v>0</v>
      </c>
      <c r="H129" s="21" t="n">
        <f aca="false">IFERROR(F129*G129,0)</f>
        <v>0</v>
      </c>
      <c r="I129" s="21" t="n">
        <f aca="false">F129+H129</f>
        <v>2130.23911147542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IF(B130="Clientes",SUMIFS(PARÂMETROS!$D$8:$D$907,PARÂMETROS!$A$8:$A$907,C130,PARÂMETROS!$G$8:$G$907,J130),SUMIFS(PARÂMETROS!$E$8:$E$907,PARÂMETROS!$A$8:$A$907,C130,PARÂMETROS!$G$8:$G$907,J130))</f>
        <v>0.0190101774249011</v>
      </c>
      <c r="E130" s="22" t="n">
        <f aca="false">SUMIFS(SETORES!$D:$D,SETORES!$A:$A,A130,SETORES!$F:$F,J130)</f>
        <v>28741.9277887408</v>
      </c>
      <c r="F130" s="22" t="n">
        <f aca="false">IFERROR(D130*E130,0)</f>
        <v>546.389146797657</v>
      </c>
      <c r="G130" s="14" t="n">
        <f aca="false">SUMIFS(PARÂMETROS!$F$8:$F$907,PARÂMETROS!$A$8:$A$907,C130,PARÂMETROS!$G$8:$G$907,J130)</f>
        <v>0</v>
      </c>
      <c r="H130" s="22" t="n">
        <f aca="false">IFERROR(F130*G130,0)</f>
        <v>0</v>
      </c>
      <c r="I130" s="22" t="n">
        <f aca="false">F130+H130</f>
        <v>546.389146797657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IF(B131="Clientes",SUMIFS(PARÂMETROS!$D$8:$D$907,PARÂMETROS!$A$8:$A$907,C131,PARÂMETROS!$G$8:$G$907,J131),SUMIFS(PARÂMETROS!$E$8:$E$907,PARÂMETROS!$A$8:$A$907,C131,PARÂMETROS!$G$8:$G$907,J131))</f>
        <v>0.0330214583023255</v>
      </c>
      <c r="E131" s="21" t="n">
        <f aca="false">SUMIFS(SETORES!$D:$D,SETORES!$A:$A,A131,SETORES!$F:$F,J131)</f>
        <v>28741.9277887408</v>
      </c>
      <c r="F131" s="21" t="n">
        <f aca="false">IFERROR(D131*E131,0)</f>
        <v>949.100370004354</v>
      </c>
      <c r="G131" s="9" t="n">
        <f aca="false">SUMIFS(PARÂMETROS!$F$8:$F$907,PARÂMETROS!$A$8:$A$907,C131,PARÂMETROS!$G$8:$G$907,J131)</f>
        <v>0</v>
      </c>
      <c r="H131" s="21" t="n">
        <f aca="false">IFERROR(F131*G131,0)</f>
        <v>0</v>
      </c>
      <c r="I131" s="21" t="n">
        <f aca="false">F131+H131</f>
        <v>949.100370004354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IF(B132="Clientes",SUMIFS(PARÂMETROS!$D$8:$D$907,PARÂMETROS!$A$8:$A$907,C132,PARÂMETROS!$G$8:$G$907,J132),SUMIFS(PARÂMETROS!$E$8:$E$907,PARÂMETROS!$A$8:$A$907,C132,PARÂMETROS!$G$8:$G$907,J132))</f>
        <v>0.0243734699219372</v>
      </c>
      <c r="E132" s="22" t="n">
        <f aca="false">SUMIFS(SETORES!$D:$D,SETORES!$A:$A,A132,SETORES!$F:$F,J132)</f>
        <v>28741.9277887408</v>
      </c>
      <c r="F132" s="22" t="n">
        <f aca="false">IFERROR(D132*E132,0)</f>
        <v>700.540512457363</v>
      </c>
      <c r="G132" s="14" t="n">
        <f aca="false">SUMIFS(PARÂMETROS!$F$8:$F$907,PARÂMETROS!$A$8:$A$907,C132,PARÂMETROS!$G$8:$G$907,J132)</f>
        <v>0</v>
      </c>
      <c r="H132" s="22" t="n">
        <f aca="false">IFERROR(F132*G132,0)</f>
        <v>0</v>
      </c>
      <c r="I132" s="22" t="n">
        <f aca="false">F132+H132</f>
        <v>700.540512457363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IF(B133="Clientes",SUMIFS(PARÂMETROS!$D$8:$D$907,PARÂMETROS!$A$8:$A$907,C133,PARÂMETROS!$G$8:$G$907,J133),SUMIFS(PARÂMETROS!$E$8:$E$907,PARÂMETROS!$A$8:$A$907,C133,PARÂMETROS!$G$8:$G$907,J133))</f>
        <v>0.0246095574385531</v>
      </c>
      <c r="E133" s="21" t="n">
        <f aca="false">SUMIFS(SETORES!$D:$D,SETORES!$A:$A,A133,SETORES!$F:$F,J133)</f>
        <v>28741.9277887408</v>
      </c>
      <c r="F133" s="21" t="n">
        <f aca="false">IFERROR(D133*E133,0)</f>
        <v>707.326122811762</v>
      </c>
      <c r="G133" s="9" t="n">
        <f aca="false">SUMIFS(PARÂMETROS!$F$8:$F$907,PARÂMETROS!$A$8:$A$907,C133,PARÂMETROS!$G$8:$G$907,J133)</f>
        <v>0</v>
      </c>
      <c r="H133" s="21" t="n">
        <f aca="false">IFERROR(F133*G133,0)</f>
        <v>0</v>
      </c>
      <c r="I133" s="21" t="n">
        <f aca="false">F133+H133</f>
        <v>707.326122811762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IF(B134="Clientes",SUMIFS(PARÂMETROS!$D$8:$D$907,PARÂMETROS!$A$8:$A$907,C134,PARÂMETROS!$G$8:$G$907,J134),SUMIFS(PARÂMETROS!$E$8:$E$907,PARÂMETROS!$A$8:$A$907,C134,PARÂMETROS!$G$8:$G$907,J134))</f>
        <v>0.722925637564603</v>
      </c>
      <c r="E134" s="22" t="n">
        <f aca="false">SUMIFS(SETORES!$D:$D,SETORES!$A:$A,A134,SETORES!$F:$F,J134)</f>
        <v>28741.9277887408</v>
      </c>
      <c r="F134" s="22" t="n">
        <f aca="false">IFERROR(D134*E134,0)</f>
        <v>20778.2764715112</v>
      </c>
      <c r="G134" s="14" t="n">
        <f aca="false">SUMIFS(PARÂMETROS!$F$8:$F$907,PARÂMETROS!$A$8:$A$907,C134,PARÂMETROS!$G$8:$G$907,J134)</f>
        <v>0</v>
      </c>
      <c r="H134" s="22" t="n">
        <f aca="false">IFERROR(F134*G134,0)</f>
        <v>0</v>
      </c>
      <c r="I134" s="22" t="n">
        <f aca="false">F134+H134</f>
        <v>20778.2764715112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IF(B135="Clientes",SUMIFS(PARÂMETROS!$D$8:$D$907,PARÂMETROS!$A$8:$A$907,C135,PARÂMETROS!$G$8:$G$907,J135),SUMIFS(PARÂMETROS!$E$8:$E$907,PARÂMETROS!$A$8:$A$907,C135,PARÂMETROS!$G$8:$G$907,J135))</f>
        <v>0.0330779140128206</v>
      </c>
      <c r="E135" s="21" t="n">
        <f aca="false">SUMIFS(SETORES!$D:$D,SETORES!$A:$A,A135,SETORES!$F:$F,J135)</f>
        <v>24421.9904</v>
      </c>
      <c r="F135" s="21" t="n">
        <f aca="false">IFERROR(D135*E135,0)</f>
        <v>807.82849847313</v>
      </c>
      <c r="G135" s="9" t="n">
        <f aca="false">SUMIFS(PARÂMETROS!$F$8:$F$907,PARÂMETROS!$A$8:$A$907,C135,PARÂMETROS!$G$8:$G$907,J135)</f>
        <v>0</v>
      </c>
      <c r="H135" s="21" t="n">
        <f aca="false">IFERROR(F135*G135,0)</f>
        <v>0</v>
      </c>
      <c r="I135" s="21" t="n">
        <f aca="false">F135+H135</f>
        <v>807.82849847313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IF(B136="Clientes",SUMIFS(PARÂMETROS!$D$8:$D$907,PARÂMETROS!$A$8:$A$907,C136,PARÂMETROS!$G$8:$G$907,J136),SUMIFS(PARÂMETROS!$E$8:$E$907,PARÂMETROS!$A$8:$A$907,C136,PARÂMETROS!$G$8:$G$907,J136))</f>
        <v>0.0688657021294068</v>
      </c>
      <c r="E136" s="22" t="n">
        <f aca="false">SUMIFS(SETORES!$D:$D,SETORES!$A:$A,A136,SETORES!$F:$F,J136)</f>
        <v>24421.9904</v>
      </c>
      <c r="F136" s="22" t="n">
        <f aca="false">IFERROR(D136*E136,0)</f>
        <v>1681.83751629363</v>
      </c>
      <c r="G136" s="14" t="n">
        <f aca="false">SUMIFS(PARÂMETROS!$F$8:$F$907,PARÂMETROS!$A$8:$A$907,C136,PARÂMETROS!$G$8:$G$907,J136)</f>
        <v>0</v>
      </c>
      <c r="H136" s="22" t="n">
        <f aca="false">IFERROR(F136*G136,0)</f>
        <v>0</v>
      </c>
      <c r="I136" s="22" t="n">
        <f aca="false">F136+H136</f>
        <v>1681.83751629363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IF(B137="Clientes",SUMIFS(PARÂMETROS!$D$8:$D$907,PARÂMETROS!$A$8:$A$907,C137,PARÂMETROS!$G$8:$G$907,J137),SUMIFS(PARÂMETROS!$E$8:$E$907,PARÂMETROS!$A$8:$A$907,C137,PARÂMETROS!$G$8:$G$907,J137))</f>
        <v>0.0741160832054526</v>
      </c>
      <c r="E137" s="21" t="n">
        <f aca="false">SUMIFS(SETORES!$D:$D,SETORES!$A:$A,A137,SETORES!$F:$F,J137)</f>
        <v>24421.9904</v>
      </c>
      <c r="F137" s="21" t="n">
        <f aca="false">IFERROR(D137*E137,0)</f>
        <v>1810.06227252916</v>
      </c>
      <c r="G137" s="9" t="n">
        <f aca="false">SUMIFS(PARÂMETROS!$F$8:$F$907,PARÂMETROS!$A$8:$A$907,C137,PARÂMETROS!$G$8:$G$907,J137)</f>
        <v>0</v>
      </c>
      <c r="H137" s="21" t="n">
        <f aca="false">IFERROR(F137*G137,0)</f>
        <v>0</v>
      </c>
      <c r="I137" s="21" t="n">
        <f aca="false">F137+H137</f>
        <v>1810.06227252916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IF(B138="Clientes",SUMIFS(PARÂMETROS!$D$8:$D$907,PARÂMETROS!$A$8:$A$907,C138,PARÂMETROS!$G$8:$G$907,J138),SUMIFS(PARÂMETROS!$E$8:$E$907,PARÂMETROS!$A$8:$A$907,C138,PARÂMETROS!$G$8:$G$907,J138))</f>
        <v>0.0190101774249011</v>
      </c>
      <c r="E138" s="22" t="n">
        <f aca="false">SUMIFS(SETORES!$D:$D,SETORES!$A:$A,A138,SETORES!$F:$F,J138)</f>
        <v>24421.9904</v>
      </c>
      <c r="F138" s="22" t="n">
        <f aca="false">IFERROR(D138*E138,0)</f>
        <v>464.266370573231</v>
      </c>
      <c r="G138" s="14" t="n">
        <f aca="false">SUMIFS(PARÂMETROS!$F$8:$F$907,PARÂMETROS!$A$8:$A$907,C138,PARÂMETROS!$G$8:$G$907,J138)</f>
        <v>0</v>
      </c>
      <c r="H138" s="22" t="n">
        <f aca="false">IFERROR(F138*G138,0)</f>
        <v>0</v>
      </c>
      <c r="I138" s="22" t="n">
        <f aca="false">F138+H138</f>
        <v>464.266370573231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IF(B139="Clientes",SUMIFS(PARÂMETROS!$D$8:$D$907,PARÂMETROS!$A$8:$A$907,C139,PARÂMETROS!$G$8:$G$907,J139),SUMIFS(PARÂMETROS!$E$8:$E$907,PARÂMETROS!$A$8:$A$907,C139,PARÂMETROS!$G$8:$G$907,J139))</f>
        <v>0.0330214583023255</v>
      </c>
      <c r="E139" s="21" t="n">
        <f aca="false">SUMIFS(SETORES!$D:$D,SETORES!$A:$A,A139,SETORES!$F:$F,J139)</f>
        <v>24421.9904</v>
      </c>
      <c r="F139" s="21" t="n">
        <f aca="false">IFERROR(D139*E139,0)</f>
        <v>806.449737653393</v>
      </c>
      <c r="G139" s="9" t="n">
        <f aca="false">SUMIFS(PARÂMETROS!$F$8:$F$907,PARÂMETROS!$A$8:$A$907,C139,PARÂMETROS!$G$8:$G$907,J139)</f>
        <v>0</v>
      </c>
      <c r="H139" s="21" t="n">
        <f aca="false">IFERROR(F139*G139,0)</f>
        <v>0</v>
      </c>
      <c r="I139" s="21" t="n">
        <f aca="false">F139+H139</f>
        <v>806.449737653393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IF(B140="Clientes",SUMIFS(PARÂMETROS!$D$8:$D$907,PARÂMETROS!$A$8:$A$907,C140,PARÂMETROS!$G$8:$G$907,J140),SUMIFS(PARÂMETROS!$E$8:$E$907,PARÂMETROS!$A$8:$A$907,C140,PARÂMETROS!$G$8:$G$907,J140))</f>
        <v>0.0243734699219372</v>
      </c>
      <c r="E140" s="22" t="n">
        <f aca="false">SUMIFS(SETORES!$D:$D,SETORES!$A:$A,A140,SETORES!$F:$F,J140)</f>
        <v>24421.9904</v>
      </c>
      <c r="F140" s="22" t="n">
        <f aca="false">IFERROR(D140*E140,0)</f>
        <v>595.248648448238</v>
      </c>
      <c r="G140" s="14" t="n">
        <f aca="false">SUMIFS(PARÂMETROS!$F$8:$F$907,PARÂMETROS!$A$8:$A$907,C140,PARÂMETROS!$G$8:$G$907,J140)</f>
        <v>0</v>
      </c>
      <c r="H140" s="22" t="n">
        <f aca="false">IFERROR(F140*G140,0)</f>
        <v>0</v>
      </c>
      <c r="I140" s="22" t="n">
        <f aca="false">F140+H140</f>
        <v>595.248648448238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IF(B141="Clientes",SUMIFS(PARÂMETROS!$D$8:$D$907,PARÂMETROS!$A$8:$A$907,C141,PARÂMETROS!$G$8:$G$907,J141),SUMIFS(PARÂMETROS!$E$8:$E$907,PARÂMETROS!$A$8:$A$907,C141,PARÂMETROS!$G$8:$G$907,J141))</f>
        <v>0.0246095574385531</v>
      </c>
      <c r="E141" s="21" t="n">
        <f aca="false">SUMIFS(SETORES!$D:$D,SETORES!$A:$A,A141,SETORES!$F:$F,J141)</f>
        <v>24421.9904</v>
      </c>
      <c r="F141" s="21" t="n">
        <f aca="false">IFERROR(D141*E141,0)</f>
        <v>601.014375512592</v>
      </c>
      <c r="G141" s="9" t="n">
        <f aca="false">SUMIFS(PARÂMETROS!$F$8:$F$907,PARÂMETROS!$A$8:$A$907,C141,PARÂMETROS!$G$8:$G$907,J141)</f>
        <v>0</v>
      </c>
      <c r="H141" s="21" t="n">
        <f aca="false">IFERROR(F141*G141,0)</f>
        <v>0</v>
      </c>
      <c r="I141" s="21" t="n">
        <f aca="false">F141+H141</f>
        <v>601.014375512592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IF(B142="Clientes",SUMIFS(PARÂMETROS!$D$8:$D$907,PARÂMETROS!$A$8:$A$907,C142,PARÂMETROS!$G$8:$G$907,J142),SUMIFS(PARÂMETROS!$E$8:$E$907,PARÂMETROS!$A$8:$A$907,C142,PARÂMETROS!$G$8:$G$907,J142))</f>
        <v>0.722925637564603</v>
      </c>
      <c r="E142" s="22" t="n">
        <f aca="false">SUMIFS(SETORES!$D:$D,SETORES!$A:$A,A142,SETORES!$F:$F,J142)</f>
        <v>24421.9904</v>
      </c>
      <c r="F142" s="22" t="n">
        <f aca="false">IFERROR(D142*E142,0)</f>
        <v>17655.2829805166</v>
      </c>
      <c r="G142" s="14" t="n">
        <f aca="false">SUMIFS(PARÂMETROS!$F$8:$F$907,PARÂMETROS!$A$8:$A$907,C142,PARÂMETROS!$G$8:$G$907,J142)</f>
        <v>0</v>
      </c>
      <c r="H142" s="22" t="n">
        <f aca="false">IFERROR(F142*G142,0)</f>
        <v>0</v>
      </c>
      <c r="I142" s="22" t="n">
        <f aca="false">F142+H142</f>
        <v>17655.2829805166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IF(B143="Clientes",SUMIFS(PARÂMETROS!$D$8:$D$907,PARÂMETROS!$A$8:$A$907,C143,PARÂMETROS!$G$8:$G$907,J143),SUMIFS(PARÂMETROS!$E$8:$E$907,PARÂMETROS!$A$8:$A$907,C143,PARÂMETROS!$G$8:$G$907,J143))</f>
        <v>0.0324118207816969</v>
      </c>
      <c r="E143" s="21" t="n">
        <f aca="false">SUMIFS(SETORES!$D:$D,SETORES!$A:$A,A143,SETORES!$F:$F,J143)</f>
        <v>51377.7106</v>
      </c>
      <c r="F143" s="21" t="n">
        <f aca="false">IFERROR(D143*E143,0)</f>
        <v>1665.24514814109</v>
      </c>
      <c r="G143" s="9" t="n">
        <f aca="false">SUMIFS(PARÂMETROS!$F$8:$F$907,PARÂMETROS!$A$8:$A$907,C143,PARÂMETROS!$G$8:$G$907,J143)</f>
        <v>0</v>
      </c>
      <c r="H143" s="21" t="n">
        <f aca="false">IFERROR(F143*G143,0)</f>
        <v>0</v>
      </c>
      <c r="I143" s="21" t="n">
        <f aca="false">F143+H143</f>
        <v>1665.24514814109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IF(B144="Clientes",SUMIFS(PARÂMETROS!$D$8:$D$907,PARÂMETROS!$A$8:$A$907,C144,PARÂMETROS!$G$8:$G$907,J144),SUMIFS(PARÂMETROS!$E$8:$E$907,PARÂMETROS!$A$8:$A$907,C144,PARÂMETROS!$G$8:$G$907,J144))</f>
        <v>0.0305052430886559</v>
      </c>
      <c r="E144" s="22" t="n">
        <f aca="false">SUMIFS(SETORES!$D:$D,SETORES!$A:$A,A144,SETORES!$F:$F,J144)</f>
        <v>51377.7106</v>
      </c>
      <c r="F144" s="22" t="n">
        <f aca="false">IFERROR(D144*E144,0)</f>
        <v>1567.28955119161</v>
      </c>
      <c r="G144" s="14" t="n">
        <f aca="false">SUMIFS(PARÂMETROS!$F$8:$F$907,PARÂMETROS!$A$8:$A$907,C144,PARÂMETROS!$G$8:$G$907,J144)</f>
        <v>0</v>
      </c>
      <c r="H144" s="22" t="n">
        <f aca="false">IFERROR(F144*G144,0)</f>
        <v>0</v>
      </c>
      <c r="I144" s="22" t="n">
        <f aca="false">F144+H144</f>
        <v>1567.28955119161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IF(B145="Clientes",SUMIFS(PARÂMETROS!$D$8:$D$907,PARÂMETROS!$A$8:$A$907,C145,PARÂMETROS!$G$8:$G$907,J145),SUMIFS(PARÂMETROS!$E$8:$E$907,PARÂMETROS!$A$8:$A$907,C145,PARÂMETROS!$G$8:$G$907,J145))</f>
        <v>0.0400381315538608</v>
      </c>
      <c r="E145" s="21" t="n">
        <f aca="false">SUMIFS(SETORES!$D:$D,SETORES!$A:$A,A145,SETORES!$F:$F,J145)</f>
        <v>51377.7106</v>
      </c>
      <c r="F145" s="21" t="n">
        <f aca="false">IFERROR(D145*E145,0)</f>
        <v>2057.06753593899</v>
      </c>
      <c r="G145" s="9" t="n">
        <f aca="false">SUMIFS(PARÂMETROS!$F$8:$F$907,PARÂMETROS!$A$8:$A$907,C145,PARÂMETROS!$G$8:$G$907,J145)</f>
        <v>0</v>
      </c>
      <c r="H145" s="21" t="n">
        <f aca="false">IFERROR(F145*G145,0)</f>
        <v>0</v>
      </c>
      <c r="I145" s="21" t="n">
        <f aca="false">F145+H145</f>
        <v>2057.06753593899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IF(B146="Clientes",SUMIFS(PARÂMETROS!$D$8:$D$907,PARÂMETROS!$A$8:$A$907,C146,PARÂMETROS!$G$8:$G$907,J146),SUMIFS(PARÂMETROS!$E$8:$E$907,PARÂMETROS!$A$8:$A$907,C146,PARÂMETROS!$G$8:$G$907,J146))</f>
        <v>0.0104861773117255</v>
      </c>
      <c r="E146" s="22" t="n">
        <f aca="false">SUMIFS(SETORES!$D:$D,SETORES!$A:$A,A146,SETORES!$F:$F,J146)</f>
        <v>51377.7106</v>
      </c>
      <c r="F146" s="22" t="n">
        <f aca="false">IFERROR(D146*E146,0)</f>
        <v>538.755783222116</v>
      </c>
      <c r="G146" s="14" t="n">
        <f aca="false">SUMIFS(PARÂMETROS!$F$8:$F$907,PARÂMETROS!$A$8:$A$907,C146,PARÂMETROS!$G$8:$G$907,J146)</f>
        <v>0</v>
      </c>
      <c r="H146" s="22" t="n">
        <f aca="false">IFERROR(F146*G146,0)</f>
        <v>0</v>
      </c>
      <c r="I146" s="22" t="n">
        <f aca="false">F146+H146</f>
        <v>538.755783222116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IF(B147="Clientes",SUMIFS(PARÂMETROS!$D$8:$D$907,PARÂMETROS!$A$8:$A$907,C147,PARÂMETROS!$G$8:$G$907,J147),SUMIFS(PARÂMETROS!$E$8:$E$907,PARÂMETROS!$A$8:$A$907,C147,PARÂMETROS!$G$8:$G$907,J147))</f>
        <v>0.0400381315538608</v>
      </c>
      <c r="E147" s="21" t="n">
        <f aca="false">SUMIFS(SETORES!$D:$D,SETORES!$A:$A,A147,SETORES!$F:$F,J147)</f>
        <v>51377.7106</v>
      </c>
      <c r="F147" s="21" t="n">
        <f aca="false">IFERROR(D147*E147,0)</f>
        <v>2057.06753593899</v>
      </c>
      <c r="G147" s="9" t="n">
        <f aca="false">SUMIFS(PARÂMETROS!$F$8:$F$907,PARÂMETROS!$A$8:$A$907,C147,PARÂMETROS!$G$8:$G$907,J147)</f>
        <v>0</v>
      </c>
      <c r="H147" s="21" t="n">
        <f aca="false">IFERROR(F147*G147,0)</f>
        <v>0</v>
      </c>
      <c r="I147" s="21" t="n">
        <f aca="false">F147+H147</f>
        <v>2057.06753593899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IF(B148="Clientes",SUMIFS(PARÂMETROS!$D$8:$D$907,PARÂMETROS!$A$8:$A$907,C148,PARÂMETROS!$G$8:$G$907,J148),SUMIFS(PARÂMETROS!$E$8:$E$907,PARÂMETROS!$A$8:$A$907,C148,PARÂMETROS!$G$8:$G$907,J148))</f>
        <v>0.0171591992373689</v>
      </c>
      <c r="E148" s="22" t="n">
        <f aca="false">SUMIFS(SETORES!$D:$D,SETORES!$A:$A,A148,SETORES!$F:$F,J148)</f>
        <v>51377.7106</v>
      </c>
      <c r="F148" s="22" t="n">
        <f aca="false">IFERROR(D148*E148,0)</f>
        <v>881.600372545281</v>
      </c>
      <c r="G148" s="14" t="n">
        <f aca="false">SUMIFS(PARÂMETROS!$F$8:$F$907,PARÂMETROS!$A$8:$A$907,C148,PARÂMETROS!$G$8:$G$907,J148)</f>
        <v>0</v>
      </c>
      <c r="H148" s="22" t="n">
        <f aca="false">IFERROR(F148*G148,0)</f>
        <v>0</v>
      </c>
      <c r="I148" s="22" t="n">
        <f aca="false">F148+H148</f>
        <v>881.600372545281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IF(B149="Clientes",SUMIFS(PARÂMETROS!$D$8:$D$907,PARÂMETROS!$A$8:$A$907,C149,PARÂMETROS!$G$8:$G$907,J149),SUMIFS(PARÂMETROS!$E$8:$E$907,PARÂMETROS!$A$8:$A$907,C149,PARÂMETROS!$G$8:$G$907,J149))</f>
        <v>0.0162059103908484</v>
      </c>
      <c r="E149" s="21" t="n">
        <f aca="false">SUMIFS(SETORES!$D:$D,SETORES!$A:$A,A149,SETORES!$F:$F,J149)</f>
        <v>51377.7106</v>
      </c>
      <c r="F149" s="21" t="n">
        <f aca="false">IFERROR(D149*E149,0)</f>
        <v>832.622574070543</v>
      </c>
      <c r="G149" s="9" t="n">
        <f aca="false">SUMIFS(PARÂMETROS!$F$8:$F$907,PARÂMETROS!$A$8:$A$907,C149,PARÂMETROS!$G$8:$G$907,J149)</f>
        <v>0</v>
      </c>
      <c r="H149" s="21" t="n">
        <f aca="false">IFERROR(F149*G149,0)</f>
        <v>0</v>
      </c>
      <c r="I149" s="21" t="n">
        <f aca="false">F149+H149</f>
        <v>832.622574070543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IF(B150="Clientes",SUMIFS(PARÂMETROS!$D$8:$D$907,PARÂMETROS!$A$8:$A$907,C150,PARÂMETROS!$G$8:$G$907,J150),SUMIFS(PARÂMETROS!$E$8:$E$907,PARÂMETROS!$A$8:$A$907,C150,PARÂMETROS!$G$8:$G$907,J150))</f>
        <v>0.813155386081983</v>
      </c>
      <c r="E150" s="22" t="n">
        <f aca="false">SUMIFS(SETORES!$D:$D,SETORES!$A:$A,A150,SETORES!$F:$F,J150)</f>
        <v>51377.7106</v>
      </c>
      <c r="F150" s="22" t="n">
        <f aca="false">IFERROR(D150*E150,0)</f>
        <v>41778.0620989514</v>
      </c>
      <c r="G150" s="14" t="n">
        <f aca="false">SUMIFS(PARÂMETROS!$F$8:$F$907,PARÂMETROS!$A$8:$A$907,C150,PARÂMETROS!$G$8:$G$907,J150)</f>
        <v>0</v>
      </c>
      <c r="H150" s="22" t="n">
        <f aca="false">IFERROR(F150*G150,0)</f>
        <v>0</v>
      </c>
      <c r="I150" s="22" t="n">
        <f aca="false">F150+H150</f>
        <v>41778.0620989514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IF(B151="Clientes",SUMIFS(PARÂMETROS!$D$8:$D$907,PARÂMETROS!$A$8:$A$907,C151,PARÂMETROS!$G$8:$G$907,J151),SUMIFS(PARÂMETROS!$E$8:$E$907,PARÂMETROS!$A$8:$A$907,C151,PARÂMETROS!$G$8:$G$907,J151))</f>
        <v>0.0330779140128206</v>
      </c>
      <c r="E151" s="21" t="n">
        <f aca="false">SUMIFS(SETORES!$D:$D,SETORES!$A:$A,A151,SETORES!$F:$F,J151)</f>
        <v>74359.0007</v>
      </c>
      <c r="F151" s="21" t="n">
        <f aca="false">IFERROR(D151*E151,0)</f>
        <v>2459.64063123387</v>
      </c>
      <c r="G151" s="9" t="n">
        <f aca="false">SUMIFS(PARÂMETROS!$F$8:$F$907,PARÂMETROS!$A$8:$A$907,C151,PARÂMETROS!$G$8:$G$907,J151)</f>
        <v>0</v>
      </c>
      <c r="H151" s="21" t="n">
        <f aca="false">IFERROR(F151*G151,0)</f>
        <v>0</v>
      </c>
      <c r="I151" s="21" t="n">
        <f aca="false">F151+H151</f>
        <v>2459.64063123387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IF(B152="Clientes",SUMIFS(PARÂMETROS!$D$8:$D$907,PARÂMETROS!$A$8:$A$907,C152,PARÂMETROS!$G$8:$G$907,J152),SUMIFS(PARÂMETROS!$E$8:$E$907,PARÂMETROS!$A$8:$A$907,C152,PARÂMETROS!$G$8:$G$907,J152))</f>
        <v>0.0688657021294068</v>
      </c>
      <c r="E152" s="22" t="n">
        <f aca="false">SUMIFS(SETORES!$D:$D,SETORES!$A:$A,A152,SETORES!$F:$F,J152)</f>
        <v>74359.0007</v>
      </c>
      <c r="F152" s="22" t="n">
        <f aca="false">IFERROR(D152*E152,0)</f>
        <v>5120.78479284655</v>
      </c>
      <c r="G152" s="14" t="n">
        <f aca="false">SUMIFS(PARÂMETROS!$F$8:$F$907,PARÂMETROS!$A$8:$A$907,C152,PARÂMETROS!$G$8:$G$907,J152)</f>
        <v>0</v>
      </c>
      <c r="H152" s="22" t="n">
        <f aca="false">IFERROR(F152*G152,0)</f>
        <v>0</v>
      </c>
      <c r="I152" s="22" t="n">
        <f aca="false">F152+H152</f>
        <v>5120.78479284655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IF(B153="Clientes",SUMIFS(PARÂMETROS!$D$8:$D$907,PARÂMETROS!$A$8:$A$907,C153,PARÂMETROS!$G$8:$G$907,J153),SUMIFS(PARÂMETROS!$E$8:$E$907,PARÂMETROS!$A$8:$A$907,C153,PARÂMETROS!$G$8:$G$907,J153))</f>
        <v>0.0741160832054526</v>
      </c>
      <c r="E153" s="21" t="n">
        <f aca="false">SUMIFS(SETORES!$D:$D,SETORES!$A:$A,A153,SETORES!$F:$F,J153)</f>
        <v>74359.0007</v>
      </c>
      <c r="F153" s="21" t="n">
        <f aca="false">IFERROR(D153*E153,0)</f>
        <v>5511.19788295551</v>
      </c>
      <c r="G153" s="9" t="n">
        <f aca="false">SUMIFS(PARÂMETROS!$F$8:$F$907,PARÂMETROS!$A$8:$A$907,C153,PARÂMETROS!$G$8:$G$907,J153)</f>
        <v>0</v>
      </c>
      <c r="H153" s="21" t="n">
        <f aca="false">IFERROR(F153*G153,0)</f>
        <v>0</v>
      </c>
      <c r="I153" s="21" t="n">
        <f aca="false">F153+H153</f>
        <v>5511.19788295551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IF(B154="Clientes",SUMIFS(PARÂMETROS!$D$8:$D$907,PARÂMETROS!$A$8:$A$907,C154,PARÂMETROS!$G$8:$G$907,J154),SUMIFS(PARÂMETROS!$E$8:$E$907,PARÂMETROS!$A$8:$A$907,C154,PARÂMETROS!$G$8:$G$907,J154))</f>
        <v>0.0190101774249011</v>
      </c>
      <c r="E154" s="22" t="n">
        <f aca="false">SUMIFS(SETORES!$D:$D,SETORES!$A:$A,A154,SETORES!$F:$F,J154)</f>
        <v>74359.0007</v>
      </c>
      <c r="F154" s="22" t="n">
        <f aca="false">IFERROR(D154*E154,0)</f>
        <v>1413.57779644534</v>
      </c>
      <c r="G154" s="14" t="n">
        <f aca="false">SUMIFS(PARÂMETROS!$F$8:$F$907,PARÂMETROS!$A$8:$A$907,C154,PARÂMETROS!$G$8:$G$907,J154)</f>
        <v>0</v>
      </c>
      <c r="H154" s="22" t="n">
        <f aca="false">IFERROR(F154*G154,0)</f>
        <v>0</v>
      </c>
      <c r="I154" s="22" t="n">
        <f aca="false">F154+H154</f>
        <v>1413.57779644534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IF(B155="Clientes",SUMIFS(PARÂMETROS!$D$8:$D$907,PARÂMETROS!$A$8:$A$907,C155,PARÂMETROS!$G$8:$G$907,J155),SUMIFS(PARÂMETROS!$E$8:$E$907,PARÂMETROS!$A$8:$A$907,C155,PARÂMETROS!$G$8:$G$907,J155))</f>
        <v>0.0330214583023255</v>
      </c>
      <c r="E155" s="21" t="n">
        <f aca="false">SUMIFS(SETORES!$D:$D,SETORES!$A:$A,A155,SETORES!$F:$F,J155)</f>
        <v>74359.0007</v>
      </c>
      <c r="F155" s="21" t="n">
        <f aca="false">IFERROR(D155*E155,0)</f>
        <v>2455.44264101764</v>
      </c>
      <c r="G155" s="9" t="n">
        <f aca="false">SUMIFS(PARÂMETROS!$F$8:$F$907,PARÂMETROS!$A$8:$A$907,C155,PARÂMETROS!$G$8:$G$907,J155)</f>
        <v>0</v>
      </c>
      <c r="H155" s="21" t="n">
        <f aca="false">IFERROR(F155*G155,0)</f>
        <v>0</v>
      </c>
      <c r="I155" s="21" t="n">
        <f aca="false">F155+H155</f>
        <v>2455.44264101764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IF(B156="Clientes",SUMIFS(PARÂMETROS!$D$8:$D$907,PARÂMETROS!$A$8:$A$907,C156,PARÂMETROS!$G$8:$G$907,J156),SUMIFS(PARÂMETROS!$E$8:$E$907,PARÂMETROS!$A$8:$A$907,C156,PARÂMETROS!$G$8:$G$907,J156))</f>
        <v>0.0243734699219372</v>
      </c>
      <c r="E156" s="22" t="n">
        <f aca="false">SUMIFS(SETORES!$D:$D,SETORES!$A:$A,A156,SETORES!$F:$F,J156)</f>
        <v>74359.0007</v>
      </c>
      <c r="F156" s="22" t="n">
        <f aca="false">IFERROR(D156*E156,0)</f>
        <v>1812.38686698675</v>
      </c>
      <c r="G156" s="14" t="n">
        <f aca="false">SUMIFS(PARÂMETROS!$F$8:$F$907,PARÂMETROS!$A$8:$A$907,C156,PARÂMETROS!$G$8:$G$907,J156)</f>
        <v>0</v>
      </c>
      <c r="H156" s="22" t="n">
        <f aca="false">IFERROR(F156*G156,0)</f>
        <v>0</v>
      </c>
      <c r="I156" s="22" t="n">
        <f aca="false">F156+H156</f>
        <v>1812.38686698675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IF(B157="Clientes",SUMIFS(PARÂMETROS!$D$8:$D$907,PARÂMETROS!$A$8:$A$907,C157,PARÂMETROS!$G$8:$G$907,J157),SUMIFS(PARÂMETROS!$E$8:$E$907,PARÂMETROS!$A$8:$A$907,C157,PARÂMETROS!$G$8:$G$907,J157))</f>
        <v>0.0246095574385531</v>
      </c>
      <c r="E157" s="21" t="n">
        <f aca="false">SUMIFS(SETORES!$D:$D,SETORES!$A:$A,A157,SETORES!$F:$F,J157)</f>
        <v>74359.0007</v>
      </c>
      <c r="F157" s="21" t="n">
        <f aca="false">IFERROR(D157*E157,0)</f>
        <v>1829.94209880006</v>
      </c>
      <c r="G157" s="9" t="n">
        <f aca="false">SUMIFS(PARÂMETROS!$F$8:$F$907,PARÂMETROS!$A$8:$A$907,C157,PARÂMETROS!$G$8:$G$907,J157)</f>
        <v>0</v>
      </c>
      <c r="H157" s="21" t="n">
        <f aca="false">IFERROR(F157*G157,0)</f>
        <v>0</v>
      </c>
      <c r="I157" s="21" t="n">
        <f aca="false">F157+H157</f>
        <v>1829.94209880006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IF(B158="Clientes",SUMIFS(PARÂMETROS!$D$8:$D$907,PARÂMETROS!$A$8:$A$907,C158,PARÂMETROS!$G$8:$G$907,J158),SUMIFS(PARÂMETROS!$E$8:$E$907,PARÂMETROS!$A$8:$A$907,C158,PARÂMETROS!$G$8:$G$907,J158))</f>
        <v>0.722925637564603</v>
      </c>
      <c r="E158" s="22" t="n">
        <f aca="false">SUMIFS(SETORES!$D:$D,SETORES!$A:$A,A158,SETORES!$F:$F,J158)</f>
        <v>74359.0007</v>
      </c>
      <c r="F158" s="22" t="n">
        <f aca="false">IFERROR(D158*E158,0)</f>
        <v>53756.0279897143</v>
      </c>
      <c r="G158" s="14" t="n">
        <f aca="false">SUMIFS(PARÂMETROS!$F$8:$F$907,PARÂMETROS!$A$8:$A$907,C158,PARÂMETROS!$G$8:$G$907,J158)</f>
        <v>0</v>
      </c>
      <c r="H158" s="22" t="n">
        <f aca="false">IFERROR(F158*G158,0)</f>
        <v>0</v>
      </c>
      <c r="I158" s="22" t="n">
        <f aca="false">F158+H158</f>
        <v>53756.0279897143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IF(B159="Clientes",SUMIFS(PARÂMETROS!$D$8:$D$907,PARÂMETROS!$A$8:$A$907,C159,PARÂMETROS!$G$8:$G$907,J159),SUMIFS(PARÂMETROS!$E$8:$E$907,PARÂMETROS!$A$8:$A$907,C159,PARÂMETROS!$G$8:$G$907,J159))</f>
        <v>0.0330779140128206</v>
      </c>
      <c r="E159" s="21" t="n">
        <f aca="false">SUMIFS(SETORES!$D:$D,SETORES!$A:$A,A159,SETORES!$F:$F,J159)</f>
        <v>188228.35</v>
      </c>
      <c r="F159" s="21" t="n">
        <f aca="false">IFERROR(D159*E159,0)</f>
        <v>6226.2011760751</v>
      </c>
      <c r="G159" s="9" t="n">
        <f aca="false">SUMIFS(PARÂMETROS!$F$8:$F$907,PARÂMETROS!$A$8:$A$907,C159,PARÂMETROS!$G$8:$G$907,J159)</f>
        <v>0</v>
      </c>
      <c r="H159" s="21" t="n">
        <f aca="false">IFERROR(F159*G159,0)</f>
        <v>0</v>
      </c>
      <c r="I159" s="21" t="n">
        <f aca="false">F159+H159</f>
        <v>6226.2011760751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IF(B160="Clientes",SUMIFS(PARÂMETROS!$D$8:$D$907,PARÂMETROS!$A$8:$A$907,C160,PARÂMETROS!$G$8:$G$907,J160),SUMIFS(PARÂMETROS!$E$8:$E$907,PARÂMETROS!$A$8:$A$907,C160,PARÂMETROS!$G$8:$G$907,J160))</f>
        <v>0.0688657021294068</v>
      </c>
      <c r="E160" s="22" t="n">
        <f aca="false">SUMIFS(SETORES!$D:$D,SETORES!$A:$A,A160,SETORES!$F:$F,J160)</f>
        <v>188228.35</v>
      </c>
      <c r="F160" s="22" t="n">
        <f aca="false">IFERROR(D160*E160,0)</f>
        <v>12962.4774834097</v>
      </c>
      <c r="G160" s="14" t="n">
        <f aca="false">SUMIFS(PARÂMETROS!$F$8:$F$907,PARÂMETROS!$A$8:$A$907,C160,PARÂMETROS!$G$8:$G$907,J160)</f>
        <v>0</v>
      </c>
      <c r="H160" s="22" t="n">
        <f aca="false">IFERROR(F160*G160,0)</f>
        <v>0</v>
      </c>
      <c r="I160" s="22" t="n">
        <f aca="false">F160+H160</f>
        <v>12962.4774834097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IF(B161="Clientes",SUMIFS(PARÂMETROS!$D$8:$D$907,PARÂMETROS!$A$8:$A$907,C161,PARÂMETROS!$G$8:$G$907,J161),SUMIFS(PARÂMETROS!$E$8:$E$907,PARÂMETROS!$A$8:$A$907,C161,PARÂMETROS!$G$8:$G$907,J161))</f>
        <v>0.0741160832054526</v>
      </c>
      <c r="E161" s="21" t="n">
        <f aca="false">SUMIFS(SETORES!$D:$D,SETORES!$A:$A,A161,SETORES!$F:$F,J161)</f>
        <v>188228.35</v>
      </c>
      <c r="F161" s="21" t="n">
        <f aca="false">IFERROR(D161*E161,0)</f>
        <v>13950.7480502251</v>
      </c>
      <c r="G161" s="9" t="n">
        <f aca="false">SUMIFS(PARÂMETROS!$F$8:$F$907,PARÂMETROS!$A$8:$A$907,C161,PARÂMETROS!$G$8:$G$907,J161)</f>
        <v>0</v>
      </c>
      <c r="H161" s="21" t="n">
        <f aca="false">IFERROR(F161*G161,0)</f>
        <v>0</v>
      </c>
      <c r="I161" s="21" t="n">
        <f aca="false">F161+H161</f>
        <v>13950.7480502251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IF(B162="Clientes",SUMIFS(PARÂMETROS!$D$8:$D$907,PARÂMETROS!$A$8:$A$907,C162,PARÂMETROS!$G$8:$G$907,J162),SUMIFS(PARÂMETROS!$E$8:$E$907,PARÂMETROS!$A$8:$A$907,C162,PARÂMETROS!$G$8:$G$907,J162))</f>
        <v>0.0190101774249011</v>
      </c>
      <c r="E162" s="22" t="n">
        <f aca="false">SUMIFS(SETORES!$D:$D,SETORES!$A:$A,A162,SETORES!$F:$F,J162)</f>
        <v>188228.35</v>
      </c>
      <c r="F162" s="22" t="n">
        <f aca="false">IFERROR(D162*E162,0)</f>
        <v>3578.25432989638</v>
      </c>
      <c r="G162" s="14" t="n">
        <f aca="false">SUMIFS(PARÂMETROS!$F$8:$F$907,PARÂMETROS!$A$8:$A$907,C162,PARÂMETROS!$G$8:$G$907,J162)</f>
        <v>0</v>
      </c>
      <c r="H162" s="22" t="n">
        <f aca="false">IFERROR(F162*G162,0)</f>
        <v>0</v>
      </c>
      <c r="I162" s="22" t="n">
        <f aca="false">F162+H162</f>
        <v>3578.25432989638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IF(B163="Clientes",SUMIFS(PARÂMETROS!$D$8:$D$907,PARÂMETROS!$A$8:$A$907,C163,PARÂMETROS!$G$8:$G$907,J163),SUMIFS(PARÂMETROS!$E$8:$E$907,PARÂMETROS!$A$8:$A$907,C163,PARÂMETROS!$G$8:$G$907,J163))</f>
        <v>0.0330214583023255</v>
      </c>
      <c r="E163" s="21" t="n">
        <f aca="false">SUMIFS(SETORES!$D:$D,SETORES!$A:$A,A163,SETORES!$F:$F,J163)</f>
        <v>188228.35</v>
      </c>
      <c r="F163" s="21" t="n">
        <f aca="false">IFERROR(D163*E163,0)</f>
        <v>6215.57461084052</v>
      </c>
      <c r="G163" s="9" t="n">
        <f aca="false">SUMIFS(PARÂMETROS!$F$8:$F$907,PARÂMETROS!$A$8:$A$907,C163,PARÂMETROS!$G$8:$G$907,J163)</f>
        <v>0</v>
      </c>
      <c r="H163" s="21" t="n">
        <f aca="false">IFERROR(F163*G163,0)</f>
        <v>0</v>
      </c>
      <c r="I163" s="21" t="n">
        <f aca="false">F163+H163</f>
        <v>6215.57461084052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IF(B164="Clientes",SUMIFS(PARÂMETROS!$D$8:$D$907,PARÂMETROS!$A$8:$A$907,C164,PARÂMETROS!$G$8:$G$907,J164),SUMIFS(PARÂMETROS!$E$8:$E$907,PARÂMETROS!$A$8:$A$907,C164,PARÂMETROS!$G$8:$G$907,J164))</f>
        <v>0.0243734699219372</v>
      </c>
      <c r="E164" s="22" t="n">
        <f aca="false">SUMIFS(SETORES!$D:$D,SETORES!$A:$A,A164,SETORES!$F:$F,J164)</f>
        <v>188228.35</v>
      </c>
      <c r="F164" s="22" t="n">
        <f aca="false">IFERROR(D164*E164,0)</f>
        <v>4587.77802718086</v>
      </c>
      <c r="G164" s="14" t="n">
        <f aca="false">SUMIFS(PARÂMETROS!$F$8:$F$907,PARÂMETROS!$A$8:$A$907,C164,PARÂMETROS!$G$8:$G$907,J164)</f>
        <v>0</v>
      </c>
      <c r="H164" s="22" t="n">
        <f aca="false">IFERROR(F164*G164,0)</f>
        <v>0</v>
      </c>
      <c r="I164" s="22" t="n">
        <f aca="false">F164+H164</f>
        <v>4587.77802718086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IF(B165="Clientes",SUMIFS(PARÂMETROS!$D$8:$D$907,PARÂMETROS!$A$8:$A$907,C165,PARÂMETROS!$G$8:$G$907,J165),SUMIFS(PARÂMETROS!$E$8:$E$907,PARÂMETROS!$A$8:$A$907,C165,PARÂMETROS!$G$8:$G$907,J165))</f>
        <v>0.0246095574385531</v>
      </c>
      <c r="E165" s="21" t="n">
        <f aca="false">SUMIFS(SETORES!$D:$D,SETORES!$A:$A,A165,SETORES!$F:$F,J165)</f>
        <v>188228.35</v>
      </c>
      <c r="F165" s="21" t="n">
        <f aca="false">IFERROR(D165*E165,0)</f>
        <v>4632.21639088907</v>
      </c>
      <c r="G165" s="9" t="n">
        <f aca="false">SUMIFS(PARÂMETROS!$F$8:$F$907,PARÂMETROS!$A$8:$A$907,C165,PARÂMETROS!$G$8:$G$907,J165)</f>
        <v>0</v>
      </c>
      <c r="H165" s="21" t="n">
        <f aca="false">IFERROR(F165*G165,0)</f>
        <v>0</v>
      </c>
      <c r="I165" s="21" t="n">
        <f aca="false">F165+H165</f>
        <v>4632.21639088907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IF(B166="Clientes",SUMIFS(PARÂMETROS!$D$8:$D$907,PARÂMETROS!$A$8:$A$907,C166,PARÂMETROS!$G$8:$G$907,J166),SUMIFS(PARÂMETROS!$E$8:$E$907,PARÂMETROS!$A$8:$A$907,C166,PARÂMETROS!$G$8:$G$907,J166))</f>
        <v>0.722925637564603</v>
      </c>
      <c r="E166" s="22" t="n">
        <f aca="false">SUMIFS(SETORES!$D:$D,SETORES!$A:$A,A166,SETORES!$F:$F,J166)</f>
        <v>188228.35</v>
      </c>
      <c r="F166" s="22" t="n">
        <f aca="false">IFERROR(D166*E166,0)</f>
        <v>136075.099931483</v>
      </c>
      <c r="G166" s="14" t="n">
        <f aca="false">SUMIFS(PARÂMETROS!$F$8:$F$907,PARÂMETROS!$A$8:$A$907,C166,PARÂMETROS!$G$8:$G$907,J166)</f>
        <v>0</v>
      </c>
      <c r="H166" s="22" t="n">
        <f aca="false">IFERROR(F166*G166,0)</f>
        <v>0</v>
      </c>
      <c r="I166" s="22" t="n">
        <f aca="false">F166+H166</f>
        <v>136075.099931483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IF(B167="Clientes",SUMIFS(PARÂMETROS!$D$8:$D$907,PARÂMETROS!$A$8:$A$907,C167,PARÂMETROS!$G$8:$G$907,J167),SUMIFS(PARÂMETROS!$E$8:$E$907,PARÂMETROS!$A$8:$A$907,C167,PARÂMETROS!$G$8:$G$907,J167))</f>
        <v>0.0330779140128206</v>
      </c>
      <c r="E167" s="21" t="n">
        <f aca="false">SUMIFS(SETORES!$D:$D,SETORES!$A:$A,A167,SETORES!$F:$F,J167)</f>
        <v>129568.99</v>
      </c>
      <c r="F167" s="21" t="n">
        <f aca="false">IFERROR(D167*E167,0)</f>
        <v>4285.87190994801</v>
      </c>
      <c r="G167" s="9" t="n">
        <f aca="false">SUMIFS(PARÂMETROS!$F$8:$F$907,PARÂMETROS!$A$8:$A$907,C167,PARÂMETROS!$G$8:$G$907,J167)</f>
        <v>0</v>
      </c>
      <c r="H167" s="21" t="n">
        <f aca="false">IFERROR(F167*G167,0)</f>
        <v>0</v>
      </c>
      <c r="I167" s="21" t="n">
        <f aca="false">F167+H167</f>
        <v>4285.87190994801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IF(B168="Clientes",SUMIFS(PARÂMETROS!$D$8:$D$907,PARÂMETROS!$A$8:$A$907,C168,PARÂMETROS!$G$8:$G$907,J168),SUMIFS(PARÂMETROS!$E$8:$E$907,PARÂMETROS!$A$8:$A$907,C168,PARÂMETROS!$G$8:$G$907,J168))</f>
        <v>0.0688657021294068</v>
      </c>
      <c r="E168" s="22" t="n">
        <f aca="false">SUMIFS(SETORES!$D:$D,SETORES!$A:$A,A168,SETORES!$F:$F,J168)</f>
        <v>129568.99</v>
      </c>
      <c r="F168" s="22" t="n">
        <f aca="false">IFERROR(D168*E168,0)</f>
        <v>8922.85947054808</v>
      </c>
      <c r="G168" s="14" t="n">
        <f aca="false">SUMIFS(PARÂMETROS!$F$8:$F$907,PARÂMETROS!$A$8:$A$907,C168,PARÂMETROS!$G$8:$G$907,J168)</f>
        <v>0</v>
      </c>
      <c r="H168" s="22" t="n">
        <f aca="false">IFERROR(F168*G168,0)</f>
        <v>0</v>
      </c>
      <c r="I168" s="22" t="n">
        <f aca="false">F168+H168</f>
        <v>8922.85947054808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IF(B169="Clientes",SUMIFS(PARÂMETROS!$D$8:$D$907,PARÂMETROS!$A$8:$A$907,C169,PARÂMETROS!$G$8:$G$907,J169),SUMIFS(PARÂMETROS!$E$8:$E$907,PARÂMETROS!$A$8:$A$907,C169,PARÂMETROS!$G$8:$G$907,J169))</f>
        <v>0.0741160832054526</v>
      </c>
      <c r="E169" s="21" t="n">
        <f aca="false">SUMIFS(SETORES!$D:$D,SETORES!$A:$A,A169,SETORES!$F:$F,J169)</f>
        <v>129568.99</v>
      </c>
      <c r="F169" s="21" t="n">
        <f aca="false">IFERROR(D169*E169,0)</f>
        <v>9603.14604368646</v>
      </c>
      <c r="G169" s="9" t="n">
        <f aca="false">SUMIFS(PARÂMETROS!$F$8:$F$907,PARÂMETROS!$A$8:$A$907,C169,PARÂMETROS!$G$8:$G$907,J169)</f>
        <v>0</v>
      </c>
      <c r="H169" s="21" t="n">
        <f aca="false">IFERROR(F169*G169,0)</f>
        <v>0</v>
      </c>
      <c r="I169" s="21" t="n">
        <f aca="false">F169+H169</f>
        <v>9603.14604368646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IF(B170="Clientes",SUMIFS(PARÂMETROS!$D$8:$D$907,PARÂMETROS!$A$8:$A$907,C170,PARÂMETROS!$G$8:$G$907,J170),SUMIFS(PARÂMETROS!$E$8:$E$907,PARÂMETROS!$A$8:$A$907,C170,PARÂMETROS!$G$8:$G$907,J170))</f>
        <v>0.0190101774249011</v>
      </c>
      <c r="E170" s="22" t="n">
        <f aca="false">SUMIFS(SETORES!$D:$D,SETORES!$A:$A,A170,SETORES!$F:$F,J170)</f>
        <v>129568.99</v>
      </c>
      <c r="F170" s="22" t="n">
        <f aca="false">IFERROR(D170*E170,0)</f>
        <v>2463.12948866523</v>
      </c>
      <c r="G170" s="14" t="n">
        <f aca="false">SUMIFS(PARÂMETROS!$F$8:$F$907,PARÂMETROS!$A$8:$A$907,C170,PARÂMETROS!$G$8:$G$907,J170)</f>
        <v>0</v>
      </c>
      <c r="H170" s="22" t="n">
        <f aca="false">IFERROR(F170*G170,0)</f>
        <v>0</v>
      </c>
      <c r="I170" s="22" t="n">
        <f aca="false">F170+H170</f>
        <v>2463.12948866523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IF(B171="Clientes",SUMIFS(PARÂMETROS!$D$8:$D$907,PARÂMETROS!$A$8:$A$907,C171,PARÂMETROS!$G$8:$G$907,J171),SUMIFS(PARÂMETROS!$E$8:$E$907,PARÂMETROS!$A$8:$A$907,C171,PARÂMETROS!$G$8:$G$907,J171))</f>
        <v>0.0330214583023255</v>
      </c>
      <c r="E171" s="21" t="n">
        <f aca="false">SUMIFS(SETORES!$D:$D,SETORES!$A:$A,A171,SETORES!$F:$F,J171)</f>
        <v>129568.99</v>
      </c>
      <c r="F171" s="21" t="n">
        <f aca="false">IFERROR(D171*E171,0)</f>
        <v>4278.55700055942</v>
      </c>
      <c r="G171" s="9" t="n">
        <f aca="false">SUMIFS(PARÂMETROS!$F$8:$F$907,PARÂMETROS!$A$8:$A$907,C171,PARÂMETROS!$G$8:$G$907,J171)</f>
        <v>0</v>
      </c>
      <c r="H171" s="21" t="n">
        <f aca="false">IFERROR(F171*G171,0)</f>
        <v>0</v>
      </c>
      <c r="I171" s="21" t="n">
        <f aca="false">F171+H171</f>
        <v>4278.55700055942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IF(B172="Clientes",SUMIFS(PARÂMETROS!$D$8:$D$907,PARÂMETROS!$A$8:$A$907,C172,PARÂMETROS!$G$8:$G$907,J172),SUMIFS(PARÂMETROS!$E$8:$E$907,PARÂMETROS!$A$8:$A$907,C172,PARÂMETROS!$G$8:$G$907,J172))</f>
        <v>0.0243734699219372</v>
      </c>
      <c r="E172" s="22" t="n">
        <f aca="false">SUMIFS(SETORES!$D:$D,SETORES!$A:$A,A172,SETORES!$F:$F,J172)</f>
        <v>129568.99</v>
      </c>
      <c r="F172" s="22" t="n">
        <f aca="false">IFERROR(D172*E172,0)</f>
        <v>3158.04588058078</v>
      </c>
      <c r="G172" s="14" t="n">
        <f aca="false">SUMIFS(PARÂMETROS!$F$8:$F$907,PARÂMETROS!$A$8:$A$907,C172,PARÂMETROS!$G$8:$G$907,J172)</f>
        <v>0</v>
      </c>
      <c r="H172" s="22" t="n">
        <f aca="false">IFERROR(F172*G172,0)</f>
        <v>0</v>
      </c>
      <c r="I172" s="22" t="n">
        <f aca="false">F172+H172</f>
        <v>3158.04588058078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IF(B173="Clientes",SUMIFS(PARÂMETROS!$D$8:$D$907,PARÂMETROS!$A$8:$A$907,C173,PARÂMETROS!$G$8:$G$907,J173),SUMIFS(PARÂMETROS!$E$8:$E$907,PARÂMETROS!$A$8:$A$907,C173,PARÂMETROS!$G$8:$G$907,J173))</f>
        <v>0.0246095574385531</v>
      </c>
      <c r="E173" s="21" t="n">
        <f aca="false">SUMIFS(SETORES!$D:$D,SETORES!$A:$A,A173,SETORES!$F:$F,J173)</f>
        <v>129568.99</v>
      </c>
      <c r="F173" s="21" t="n">
        <f aca="false">IFERROR(D173*E173,0)</f>
        <v>3188.63550166031</v>
      </c>
      <c r="G173" s="9" t="n">
        <f aca="false">SUMIFS(PARÂMETROS!$F$8:$F$907,PARÂMETROS!$A$8:$A$907,C173,PARÂMETROS!$G$8:$G$907,J173)</f>
        <v>0</v>
      </c>
      <c r="H173" s="21" t="n">
        <f aca="false">IFERROR(F173*G173,0)</f>
        <v>0</v>
      </c>
      <c r="I173" s="21" t="n">
        <f aca="false">F173+H173</f>
        <v>3188.63550166031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IF(B174="Clientes",SUMIFS(PARÂMETROS!$D$8:$D$907,PARÂMETROS!$A$8:$A$907,C174,PARÂMETROS!$G$8:$G$907,J174),SUMIFS(PARÂMETROS!$E$8:$E$907,PARÂMETROS!$A$8:$A$907,C174,PARÂMETROS!$G$8:$G$907,J174))</f>
        <v>0.722925637564603</v>
      </c>
      <c r="E174" s="22" t="n">
        <f aca="false">SUMIFS(SETORES!$D:$D,SETORES!$A:$A,A174,SETORES!$F:$F,J174)</f>
        <v>129568.99</v>
      </c>
      <c r="F174" s="22" t="n">
        <f aca="false">IFERROR(D174*E174,0)</f>
        <v>93668.7447043517</v>
      </c>
      <c r="G174" s="14" t="n">
        <f aca="false">SUMIFS(PARÂMETROS!$F$8:$F$907,PARÂMETROS!$A$8:$A$907,C174,PARÂMETROS!$G$8:$G$907,J174)</f>
        <v>0</v>
      </c>
      <c r="H174" s="22" t="n">
        <f aca="false">IFERROR(F174*G174,0)</f>
        <v>0</v>
      </c>
      <c r="I174" s="22" t="n">
        <f aca="false">F174+H174</f>
        <v>93668.7447043517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IF(B175="Clientes",SUMIFS(PARÂMETROS!$D$8:$D$907,PARÂMETROS!$A$8:$A$907,C175,PARÂMETROS!$G$8:$G$907,J175),SUMIFS(PARÂMETROS!$E$8:$E$907,PARÂMETROS!$A$8:$A$907,C175,PARÂMETROS!$G$8:$G$907,J175))</f>
        <v>0.0330779140128206</v>
      </c>
      <c r="E175" s="21" t="n">
        <f aca="false">SUMIFS(SETORES!$D:$D,SETORES!$A:$A,A175,SETORES!$F:$F,J175)</f>
        <v>134329.156757</v>
      </c>
      <c r="F175" s="21" t="n">
        <f aca="false">IFERROR(D175*E175,0)</f>
        <v>4443.32829662274</v>
      </c>
      <c r="G175" s="9" t="n">
        <f aca="false">SUMIFS(PARÂMETROS!$F$8:$F$907,PARÂMETROS!$A$8:$A$907,C175,PARÂMETROS!$G$8:$G$907,J175)</f>
        <v>0</v>
      </c>
      <c r="H175" s="21" t="n">
        <f aca="false">IFERROR(F175*G175,0)</f>
        <v>0</v>
      </c>
      <c r="I175" s="21" t="n">
        <f aca="false">F175+H175</f>
        <v>4443.32829662274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IF(B176="Clientes",SUMIFS(PARÂMETROS!$D$8:$D$907,PARÂMETROS!$A$8:$A$907,C176,PARÂMETROS!$G$8:$G$907,J176),SUMIFS(PARÂMETROS!$E$8:$E$907,PARÂMETROS!$A$8:$A$907,C176,PARÂMETROS!$G$8:$G$907,J176))</f>
        <v>0.0688657021294068</v>
      </c>
      <c r="E176" s="22" t="n">
        <f aca="false">SUMIFS(SETORES!$D:$D,SETORES!$A:$A,A176,SETORES!$F:$F,J176)</f>
        <v>134329.156757</v>
      </c>
      <c r="F176" s="22" t="n">
        <f aca="false">IFERROR(D176*E176,0)</f>
        <v>9250.67169652195</v>
      </c>
      <c r="G176" s="14" t="n">
        <f aca="false">SUMIFS(PARÂMETROS!$F$8:$F$907,PARÂMETROS!$A$8:$A$907,C176,PARÂMETROS!$G$8:$G$907,J176)</f>
        <v>0</v>
      </c>
      <c r="H176" s="22" t="n">
        <f aca="false">IFERROR(F176*G176,0)</f>
        <v>0</v>
      </c>
      <c r="I176" s="22" t="n">
        <f aca="false">F176+H176</f>
        <v>9250.67169652195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IF(B177="Clientes",SUMIFS(PARÂMETROS!$D$8:$D$907,PARÂMETROS!$A$8:$A$907,C177,PARÂMETROS!$G$8:$G$907,J177),SUMIFS(PARÂMETROS!$E$8:$E$907,PARÂMETROS!$A$8:$A$907,C177,PARÂMETROS!$G$8:$G$907,J177))</f>
        <v>0.0741160832054526</v>
      </c>
      <c r="E177" s="21" t="n">
        <f aca="false">SUMIFS(SETORES!$D:$D,SETORES!$A:$A,A177,SETORES!$F:$F,J177)</f>
        <v>134329.156757</v>
      </c>
      <c r="F177" s="21" t="n">
        <f aca="false">IFERROR(D177*E177,0)</f>
        <v>9955.9509591201</v>
      </c>
      <c r="G177" s="9" t="n">
        <f aca="false">SUMIFS(PARÂMETROS!$F$8:$F$907,PARÂMETROS!$A$8:$A$907,C177,PARÂMETROS!$G$8:$G$907,J177)</f>
        <v>0</v>
      </c>
      <c r="H177" s="21" t="n">
        <f aca="false">IFERROR(F177*G177,0)</f>
        <v>0</v>
      </c>
      <c r="I177" s="21" t="n">
        <f aca="false">F177+H177</f>
        <v>9955.9509591201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IF(B178="Clientes",SUMIFS(PARÂMETROS!$D$8:$D$907,PARÂMETROS!$A$8:$A$907,C178,PARÂMETROS!$G$8:$G$907,J178),SUMIFS(PARÂMETROS!$E$8:$E$907,PARÂMETROS!$A$8:$A$907,C178,PARÂMETROS!$G$8:$G$907,J178))</f>
        <v>0.0190101774249011</v>
      </c>
      <c r="E178" s="22" t="n">
        <f aca="false">SUMIFS(SETORES!$D:$D,SETORES!$A:$A,A178,SETORES!$F:$F,J178)</f>
        <v>134329.156757</v>
      </c>
      <c r="F178" s="22" t="n">
        <f aca="false">IFERROR(D178*E178,0)</f>
        <v>2553.62110328792</v>
      </c>
      <c r="G178" s="14" t="n">
        <f aca="false">SUMIFS(PARÂMETROS!$F$8:$F$907,PARÂMETROS!$A$8:$A$907,C178,PARÂMETROS!$G$8:$G$907,J178)</f>
        <v>0</v>
      </c>
      <c r="H178" s="22" t="n">
        <f aca="false">IFERROR(F178*G178,0)</f>
        <v>0</v>
      </c>
      <c r="I178" s="22" t="n">
        <f aca="false">F178+H178</f>
        <v>2553.62110328792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IF(B179="Clientes",SUMIFS(PARÂMETROS!$D$8:$D$907,PARÂMETROS!$A$8:$A$907,C179,PARÂMETROS!$G$8:$G$907,J179),SUMIFS(PARÂMETROS!$E$8:$E$907,PARÂMETROS!$A$8:$A$907,C179,PARÂMETROS!$G$8:$G$907,J179))</f>
        <v>0.0330214583023255</v>
      </c>
      <c r="E179" s="21" t="n">
        <f aca="false">SUMIFS(SETORES!$D:$D,SETORES!$A:$A,A179,SETORES!$F:$F,J179)</f>
        <v>134329.156757</v>
      </c>
      <c r="F179" s="21" t="n">
        <f aca="false">IFERROR(D179*E179,0)</f>
        <v>4435.74464863782</v>
      </c>
      <c r="G179" s="9" t="n">
        <f aca="false">SUMIFS(PARÂMETROS!$F$8:$F$907,PARÂMETROS!$A$8:$A$907,C179,PARÂMETROS!$G$8:$G$907,J179)</f>
        <v>0</v>
      </c>
      <c r="H179" s="21" t="n">
        <f aca="false">IFERROR(F179*G179,0)</f>
        <v>0</v>
      </c>
      <c r="I179" s="21" t="n">
        <f aca="false">F179+H179</f>
        <v>4435.74464863782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IF(B180="Clientes",SUMIFS(PARÂMETROS!$D$8:$D$907,PARÂMETROS!$A$8:$A$907,C180,PARÂMETROS!$G$8:$G$907,J180),SUMIFS(PARÂMETROS!$E$8:$E$907,PARÂMETROS!$A$8:$A$907,C180,PARÂMETROS!$G$8:$G$907,J180))</f>
        <v>0.0243734699219372</v>
      </c>
      <c r="E180" s="22" t="n">
        <f aca="false">SUMIFS(SETORES!$D:$D,SETORES!$A:$A,A180,SETORES!$F:$F,J180)</f>
        <v>134329.156757</v>
      </c>
      <c r="F180" s="22" t="n">
        <f aca="false">IFERROR(D180*E180,0)</f>
        <v>3274.06766185592</v>
      </c>
      <c r="G180" s="14" t="n">
        <f aca="false">SUMIFS(PARÂMETROS!$F$8:$F$907,PARÂMETROS!$A$8:$A$907,C180,PARÂMETROS!$G$8:$G$907,J180)</f>
        <v>0</v>
      </c>
      <c r="H180" s="22" t="n">
        <f aca="false">IFERROR(F180*G180,0)</f>
        <v>0</v>
      </c>
      <c r="I180" s="22" t="n">
        <f aca="false">F180+H180</f>
        <v>3274.06766185592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IF(B181="Clientes",SUMIFS(PARÂMETROS!$D$8:$D$907,PARÂMETROS!$A$8:$A$907,C181,PARÂMETROS!$G$8:$G$907,J181),SUMIFS(PARÂMETROS!$E$8:$E$907,PARÂMETROS!$A$8:$A$907,C181,PARÂMETROS!$G$8:$G$907,J181))</f>
        <v>0.0246095574385531</v>
      </c>
      <c r="E181" s="21" t="n">
        <f aca="false">SUMIFS(SETORES!$D:$D,SETORES!$A:$A,A181,SETORES!$F:$F,J181)</f>
        <v>134329.156757</v>
      </c>
      <c r="F181" s="21" t="n">
        <f aca="false">IFERROR(D181*E181,0)</f>
        <v>3305.78109888379</v>
      </c>
      <c r="G181" s="9" t="n">
        <f aca="false">SUMIFS(PARÂMETROS!$F$8:$F$907,PARÂMETROS!$A$8:$A$907,C181,PARÂMETROS!$G$8:$G$907,J181)</f>
        <v>0</v>
      </c>
      <c r="H181" s="21" t="n">
        <f aca="false">IFERROR(F181*G181,0)</f>
        <v>0</v>
      </c>
      <c r="I181" s="21" t="n">
        <f aca="false">F181+H181</f>
        <v>3305.78109888379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IF(B182="Clientes",SUMIFS(PARÂMETROS!$D$8:$D$907,PARÂMETROS!$A$8:$A$907,C182,PARÂMETROS!$G$8:$G$907,J182),SUMIFS(PARÂMETROS!$E$8:$E$907,PARÂMETROS!$A$8:$A$907,C182,PARÂMETROS!$G$8:$G$907,J182))</f>
        <v>0.722925637564603</v>
      </c>
      <c r="E182" s="22" t="n">
        <f aca="false">SUMIFS(SETORES!$D:$D,SETORES!$A:$A,A182,SETORES!$F:$F,J182)</f>
        <v>134329.156757</v>
      </c>
      <c r="F182" s="22" t="n">
        <f aca="false">IFERROR(D182*E182,0)</f>
        <v>97109.9912920698</v>
      </c>
      <c r="G182" s="14" t="n">
        <f aca="false">SUMIFS(PARÂMETROS!$F$8:$F$907,PARÂMETROS!$A$8:$A$907,C182,PARÂMETROS!$G$8:$G$907,J182)</f>
        <v>0</v>
      </c>
      <c r="H182" s="22" t="n">
        <f aca="false">IFERROR(F182*G182,0)</f>
        <v>0</v>
      </c>
      <c r="I182" s="22" t="n">
        <f aca="false">F182+H182</f>
        <v>97109.9912920698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IF(B183="Clientes",SUMIFS(PARÂMETROS!$D$8:$D$907,PARÂMETROS!$A$8:$A$907,C183,PARÂMETROS!$G$8:$G$907,J183),SUMIFS(PARÂMETROS!$E$8:$E$907,PARÂMETROS!$A$8:$A$907,C183,PARÂMETROS!$G$8:$G$907,J183))</f>
        <v>0.0330779140128206</v>
      </c>
      <c r="E183" s="21" t="n">
        <f aca="false">SUMIFS(SETORES!$D:$D,SETORES!$A:$A,A183,SETORES!$F:$F,J183)</f>
        <v>33959.055043</v>
      </c>
      <c r="F183" s="21" t="n">
        <f aca="false">IFERROR(D183*E183,0)</f>
        <v>1123.294702669</v>
      </c>
      <c r="G183" s="9" t="n">
        <f aca="false">SUMIFS(PARÂMETROS!$F$8:$F$907,PARÂMETROS!$A$8:$A$907,C183,PARÂMETROS!$G$8:$G$907,J183)</f>
        <v>0</v>
      </c>
      <c r="H183" s="21" t="n">
        <f aca="false">IFERROR(F183*G183,0)</f>
        <v>0</v>
      </c>
      <c r="I183" s="21" t="n">
        <f aca="false">F183+H183</f>
        <v>1123.294702669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IF(B184="Clientes",SUMIFS(PARÂMETROS!$D$8:$D$907,PARÂMETROS!$A$8:$A$907,C184,PARÂMETROS!$G$8:$G$907,J184),SUMIFS(PARÂMETROS!$E$8:$E$907,PARÂMETROS!$A$8:$A$907,C184,PARÂMETROS!$G$8:$G$907,J184))</f>
        <v>0.0688657021294068</v>
      </c>
      <c r="E184" s="22" t="n">
        <f aca="false">SUMIFS(SETORES!$D:$D,SETORES!$A:$A,A184,SETORES!$F:$F,J184)</f>
        <v>33959.055043</v>
      </c>
      <c r="F184" s="22" t="n">
        <f aca="false">IFERROR(D184*E184,0)</f>
        <v>2338.61416918737</v>
      </c>
      <c r="G184" s="14" t="n">
        <f aca="false">SUMIFS(PARÂMETROS!$F$8:$F$907,PARÂMETROS!$A$8:$A$907,C184,PARÂMETROS!$G$8:$G$907,J184)</f>
        <v>0</v>
      </c>
      <c r="H184" s="22" t="n">
        <f aca="false">IFERROR(F184*G184,0)</f>
        <v>0</v>
      </c>
      <c r="I184" s="22" t="n">
        <f aca="false">F184+H184</f>
        <v>2338.61416918737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IF(B185="Clientes",SUMIFS(PARÂMETROS!$D$8:$D$907,PARÂMETROS!$A$8:$A$907,C185,PARÂMETROS!$G$8:$G$907,J185),SUMIFS(PARÂMETROS!$E$8:$E$907,PARÂMETROS!$A$8:$A$907,C185,PARÂMETROS!$G$8:$G$907,J185))</f>
        <v>0.0741160832054526</v>
      </c>
      <c r="E185" s="21" t="n">
        <f aca="false">SUMIFS(SETORES!$D:$D,SETORES!$A:$A,A185,SETORES!$F:$F,J185)</f>
        <v>33959.055043</v>
      </c>
      <c r="F185" s="21" t="n">
        <f aca="false">IFERROR(D185*E185,0)</f>
        <v>2516.91214914553</v>
      </c>
      <c r="G185" s="9" t="n">
        <f aca="false">SUMIFS(PARÂMETROS!$F$8:$F$907,PARÂMETROS!$A$8:$A$907,C185,PARÂMETROS!$G$8:$G$907,J185)</f>
        <v>0</v>
      </c>
      <c r="H185" s="21" t="n">
        <f aca="false">IFERROR(F185*G185,0)</f>
        <v>0</v>
      </c>
      <c r="I185" s="21" t="n">
        <f aca="false">F185+H185</f>
        <v>2516.91214914553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IF(B186="Clientes",SUMIFS(PARÂMETROS!$D$8:$D$907,PARÂMETROS!$A$8:$A$907,C186,PARÂMETROS!$G$8:$G$907,J186),SUMIFS(PARÂMETROS!$E$8:$E$907,PARÂMETROS!$A$8:$A$907,C186,PARÂMETROS!$G$8:$G$907,J186))</f>
        <v>0.0190101774249011</v>
      </c>
      <c r="E186" s="22" t="n">
        <f aca="false">SUMIFS(SETORES!$D:$D,SETORES!$A:$A,A186,SETORES!$F:$F,J186)</f>
        <v>33959.055043</v>
      </c>
      <c r="F186" s="22" t="n">
        <f aca="false">IFERROR(D186*E186,0)</f>
        <v>645.567661549412</v>
      </c>
      <c r="G186" s="14" t="n">
        <f aca="false">SUMIFS(PARÂMETROS!$F$8:$F$907,PARÂMETROS!$A$8:$A$907,C186,PARÂMETROS!$G$8:$G$907,J186)</f>
        <v>0</v>
      </c>
      <c r="H186" s="22" t="n">
        <f aca="false">IFERROR(F186*G186,0)</f>
        <v>0</v>
      </c>
      <c r="I186" s="22" t="n">
        <f aca="false">F186+H186</f>
        <v>645.567661549412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IF(B187="Clientes",SUMIFS(PARÂMETROS!$D$8:$D$907,PARÂMETROS!$A$8:$A$907,C187,PARÂMETROS!$G$8:$G$907,J187),SUMIFS(PARÂMETROS!$E$8:$E$907,PARÂMETROS!$A$8:$A$907,C187,PARÂMETROS!$G$8:$G$907,J187))</f>
        <v>0.0330214583023255</v>
      </c>
      <c r="E187" s="21" t="n">
        <f aca="false">SUMIFS(SETORES!$D:$D,SETORES!$A:$A,A187,SETORES!$F:$F,J187)</f>
        <v>33959.055043</v>
      </c>
      <c r="F187" s="21" t="n">
        <f aca="false">IFERROR(D187*E187,0)</f>
        <v>1121.3775200888</v>
      </c>
      <c r="G187" s="9" t="n">
        <f aca="false">SUMIFS(PARÂMETROS!$F$8:$F$907,PARÂMETROS!$A$8:$A$907,C187,PARÂMETROS!$G$8:$G$907,J187)</f>
        <v>0</v>
      </c>
      <c r="H187" s="21" t="n">
        <f aca="false">IFERROR(F187*G187,0)</f>
        <v>0</v>
      </c>
      <c r="I187" s="21" t="n">
        <f aca="false">F187+H187</f>
        <v>1121.3775200888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IF(B188="Clientes",SUMIFS(PARÂMETROS!$D$8:$D$907,PARÂMETROS!$A$8:$A$907,C188,PARÂMETROS!$G$8:$G$907,J188),SUMIFS(PARÂMETROS!$E$8:$E$907,PARÂMETROS!$A$8:$A$907,C188,PARÂMETROS!$G$8:$G$907,J188))</f>
        <v>0.0243734699219372</v>
      </c>
      <c r="E188" s="22" t="n">
        <f aca="false">SUMIFS(SETORES!$D:$D,SETORES!$A:$A,A188,SETORES!$F:$F,J188)</f>
        <v>33959.055043</v>
      </c>
      <c r="F188" s="22" t="n">
        <f aca="false">IFERROR(D188*E188,0)</f>
        <v>827.700006667969</v>
      </c>
      <c r="G188" s="14" t="n">
        <f aca="false">SUMIFS(PARÂMETROS!$F$8:$F$907,PARÂMETROS!$A$8:$A$907,C188,PARÂMETROS!$G$8:$G$907,J188)</f>
        <v>0</v>
      </c>
      <c r="H188" s="22" t="n">
        <f aca="false">IFERROR(F188*G188,0)</f>
        <v>0</v>
      </c>
      <c r="I188" s="22" t="n">
        <f aca="false">F188+H188</f>
        <v>827.700006667969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IF(B189="Clientes",SUMIFS(PARÂMETROS!$D$8:$D$907,PARÂMETROS!$A$8:$A$907,C189,PARÂMETROS!$G$8:$G$907,J189),SUMIFS(PARÂMETROS!$E$8:$E$907,PARÂMETROS!$A$8:$A$907,C189,PARÂMETROS!$G$8:$G$907,J189))</f>
        <v>0.0246095574385531</v>
      </c>
      <c r="E189" s="21" t="n">
        <f aca="false">SUMIFS(SETORES!$D:$D,SETORES!$A:$A,A189,SETORES!$F:$F,J189)</f>
        <v>33959.055043</v>
      </c>
      <c r="F189" s="21" t="n">
        <f aca="false">IFERROR(D189*E189,0)</f>
        <v>835.717315639694</v>
      </c>
      <c r="G189" s="9" t="n">
        <f aca="false">SUMIFS(PARÂMETROS!$F$8:$F$907,PARÂMETROS!$A$8:$A$907,C189,PARÂMETROS!$G$8:$G$907,J189)</f>
        <v>0</v>
      </c>
      <c r="H189" s="21" t="n">
        <f aca="false">IFERROR(F189*G189,0)</f>
        <v>0</v>
      </c>
      <c r="I189" s="21" t="n">
        <f aca="false">F189+H189</f>
        <v>835.717315639694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IF(B190="Clientes",SUMIFS(PARÂMETROS!$D$8:$D$907,PARÂMETROS!$A$8:$A$907,C190,PARÂMETROS!$G$8:$G$907,J190),SUMIFS(PARÂMETROS!$E$8:$E$907,PARÂMETROS!$A$8:$A$907,C190,PARÂMETROS!$G$8:$G$907,J190))</f>
        <v>0.722925637564603</v>
      </c>
      <c r="E190" s="22" t="n">
        <f aca="false">SUMIFS(SETORES!$D:$D,SETORES!$A:$A,A190,SETORES!$F:$F,J190)</f>
        <v>33959.055043</v>
      </c>
      <c r="F190" s="22" t="n">
        <f aca="false">IFERROR(D190*E190,0)</f>
        <v>24549.8715180522</v>
      </c>
      <c r="G190" s="14" t="n">
        <f aca="false">SUMIFS(PARÂMETROS!$F$8:$F$907,PARÂMETROS!$A$8:$A$907,C190,PARÂMETROS!$G$8:$G$907,J190)</f>
        <v>0</v>
      </c>
      <c r="H190" s="22" t="n">
        <f aca="false">IFERROR(F190*G190,0)</f>
        <v>0</v>
      </c>
      <c r="I190" s="22" t="n">
        <f aca="false">F190+H190</f>
        <v>24549.8715180522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IF(B191="Clientes",SUMIFS(PARÂMETROS!$D$8:$D$907,PARÂMETROS!$A$8:$A$907,C191,PARÂMETROS!$G$8:$G$907,J191),SUMIFS(PARÂMETROS!$E$8:$E$907,PARÂMETROS!$A$8:$A$907,C191,PARÂMETROS!$G$8:$G$907,J191))</f>
        <v>0.0330779140128206</v>
      </c>
      <c r="E191" s="21" t="n">
        <f aca="false">SUMIFS(SETORES!$D:$D,SETORES!$A:$A,A191,SETORES!$F:$F,J191)</f>
        <v>85495.6712</v>
      </c>
      <c r="F191" s="21" t="n">
        <f aca="false">IFERROR(D191*E191,0)</f>
        <v>2828.01846042198</v>
      </c>
      <c r="G191" s="9" t="n">
        <f aca="false">SUMIFS(PARÂMETROS!$F$8:$F$907,PARÂMETROS!$A$8:$A$907,C191,PARÂMETROS!$G$8:$G$907,J191)</f>
        <v>0</v>
      </c>
      <c r="H191" s="21" t="n">
        <f aca="false">IFERROR(F191*G191,0)</f>
        <v>0</v>
      </c>
      <c r="I191" s="21" t="n">
        <f aca="false">F191+H191</f>
        <v>2828.01846042198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IF(B192="Clientes",SUMIFS(PARÂMETROS!$D$8:$D$907,PARÂMETROS!$A$8:$A$907,C192,PARÂMETROS!$G$8:$G$907,J192),SUMIFS(PARÂMETROS!$E$8:$E$907,PARÂMETROS!$A$8:$A$907,C192,PARÂMETROS!$G$8:$G$907,J192))</f>
        <v>0.0688657021294068</v>
      </c>
      <c r="E192" s="22" t="n">
        <f aca="false">SUMIFS(SETORES!$D:$D,SETORES!$A:$A,A192,SETORES!$F:$F,J192)</f>
        <v>85495.6712</v>
      </c>
      <c r="F192" s="22" t="n">
        <f aca="false">IFERROR(D192*E192,0)</f>
        <v>5887.7194262129</v>
      </c>
      <c r="G192" s="14" t="n">
        <f aca="false">SUMIFS(PARÂMETROS!$F$8:$F$907,PARÂMETROS!$A$8:$A$907,C192,PARÂMETROS!$G$8:$G$907,J192)</f>
        <v>0</v>
      </c>
      <c r="H192" s="22" t="n">
        <f aca="false">IFERROR(F192*G192,0)</f>
        <v>0</v>
      </c>
      <c r="I192" s="22" t="n">
        <f aca="false">F192+H192</f>
        <v>5887.7194262129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IF(B193="Clientes",SUMIFS(PARÂMETROS!$D$8:$D$907,PARÂMETROS!$A$8:$A$907,C193,PARÂMETROS!$G$8:$G$907,J193),SUMIFS(PARÂMETROS!$E$8:$E$907,PARÂMETROS!$A$8:$A$907,C193,PARÂMETROS!$G$8:$G$907,J193))</f>
        <v>0.0741160832054526</v>
      </c>
      <c r="E193" s="21" t="n">
        <f aca="false">SUMIFS(SETORES!$D:$D,SETORES!$A:$A,A193,SETORES!$F:$F,J193)</f>
        <v>85495.6712</v>
      </c>
      <c r="F193" s="21" t="n">
        <f aca="false">IFERROR(D193*E193,0)</f>
        <v>6336.60428036522</v>
      </c>
      <c r="G193" s="9" t="n">
        <f aca="false">SUMIFS(PARÂMETROS!$F$8:$F$907,PARÂMETROS!$A$8:$A$907,C193,PARÂMETROS!$G$8:$G$907,J193)</f>
        <v>0</v>
      </c>
      <c r="H193" s="21" t="n">
        <f aca="false">IFERROR(F193*G193,0)</f>
        <v>0</v>
      </c>
      <c r="I193" s="21" t="n">
        <f aca="false">F193+H193</f>
        <v>6336.60428036522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IF(B194="Clientes",SUMIFS(PARÂMETROS!$D$8:$D$907,PARÂMETROS!$A$8:$A$907,C194,PARÂMETROS!$G$8:$G$907,J194),SUMIFS(PARÂMETROS!$E$8:$E$907,PARÂMETROS!$A$8:$A$907,C194,PARÂMETROS!$G$8:$G$907,J194))</f>
        <v>0.0190101774249011</v>
      </c>
      <c r="E194" s="22" t="n">
        <f aca="false">SUMIFS(SETORES!$D:$D,SETORES!$A:$A,A194,SETORES!$F:$F,J194)</f>
        <v>85495.6712</v>
      </c>
      <c r="F194" s="22" t="n">
        <f aca="false">IFERROR(D194*E194,0)</f>
        <v>1625.28787857301</v>
      </c>
      <c r="G194" s="14" t="n">
        <f aca="false">SUMIFS(PARÂMETROS!$F$8:$F$907,PARÂMETROS!$A$8:$A$907,C194,PARÂMETROS!$G$8:$G$907,J194)</f>
        <v>0</v>
      </c>
      <c r="H194" s="22" t="n">
        <f aca="false">IFERROR(F194*G194,0)</f>
        <v>0</v>
      </c>
      <c r="I194" s="22" t="n">
        <f aca="false">F194+H194</f>
        <v>1625.28787857301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IF(B195="Clientes",SUMIFS(PARÂMETROS!$D$8:$D$907,PARÂMETROS!$A$8:$A$907,C195,PARÂMETROS!$G$8:$G$907,J195),SUMIFS(PARÂMETROS!$E$8:$E$907,PARÂMETROS!$A$8:$A$907,C195,PARÂMETROS!$G$8:$G$907,J195))</f>
        <v>0.0330214583023255</v>
      </c>
      <c r="E195" s="21" t="n">
        <f aca="false">SUMIFS(SETORES!$D:$D,SETORES!$A:$A,A195,SETORES!$F:$F,J195)</f>
        <v>85495.6712</v>
      </c>
      <c r="F195" s="21" t="n">
        <f aca="false">IFERROR(D195*E195,0)</f>
        <v>2823.19174156013</v>
      </c>
      <c r="G195" s="9" t="n">
        <f aca="false">SUMIFS(PARÂMETROS!$F$8:$F$907,PARÂMETROS!$A$8:$A$907,C195,PARÂMETROS!$G$8:$G$907,J195)</f>
        <v>0</v>
      </c>
      <c r="H195" s="21" t="n">
        <f aca="false">IFERROR(F195*G195,0)</f>
        <v>0</v>
      </c>
      <c r="I195" s="21" t="n">
        <f aca="false">F195+H195</f>
        <v>2823.19174156013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IF(B196="Clientes",SUMIFS(PARÂMETROS!$D$8:$D$907,PARÂMETROS!$A$8:$A$907,C196,PARÂMETROS!$G$8:$G$907,J196),SUMIFS(PARÂMETROS!$E$8:$E$907,PARÂMETROS!$A$8:$A$907,C196,PARÂMETROS!$G$8:$G$907,J196))</f>
        <v>0.0243734699219372</v>
      </c>
      <c r="E196" s="22" t="n">
        <f aca="false">SUMIFS(SETORES!$D:$D,SETORES!$A:$A,A196,SETORES!$F:$F,J196)</f>
        <v>85495.6712</v>
      </c>
      <c r="F196" s="22" t="n">
        <f aca="false">IFERROR(D196*E196,0)</f>
        <v>2083.82617044903</v>
      </c>
      <c r="G196" s="14" t="n">
        <f aca="false">SUMIFS(PARÂMETROS!$F$8:$F$907,PARÂMETROS!$A$8:$A$907,C196,PARÂMETROS!$G$8:$G$907,J196)</f>
        <v>0</v>
      </c>
      <c r="H196" s="22" t="n">
        <f aca="false">IFERROR(F196*G196,0)</f>
        <v>0</v>
      </c>
      <c r="I196" s="22" t="n">
        <f aca="false">F196+H196</f>
        <v>2083.82617044903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IF(B197="Clientes",SUMIFS(PARÂMETROS!$D$8:$D$907,PARÂMETROS!$A$8:$A$907,C197,PARÂMETROS!$G$8:$G$907,J197),SUMIFS(PARÂMETROS!$E$8:$E$907,PARÂMETROS!$A$8:$A$907,C197,PARÂMETROS!$G$8:$G$907,J197))</f>
        <v>0.0246095574385531</v>
      </c>
      <c r="E197" s="21" t="n">
        <f aca="false">SUMIFS(SETORES!$D:$D,SETORES!$A:$A,A197,SETORES!$F:$F,J197)</f>
        <v>85495.6712</v>
      </c>
      <c r="F197" s="21" t="n">
        <f aca="false">IFERROR(D197*E197,0)</f>
        <v>2104.01063114405</v>
      </c>
      <c r="G197" s="9" t="n">
        <f aca="false">SUMIFS(PARÂMETROS!$F$8:$F$907,PARÂMETROS!$A$8:$A$907,C197,PARÂMETROS!$G$8:$G$907,J197)</f>
        <v>0</v>
      </c>
      <c r="H197" s="21" t="n">
        <f aca="false">IFERROR(F197*G197,0)</f>
        <v>0</v>
      </c>
      <c r="I197" s="21" t="n">
        <f aca="false">F197+H197</f>
        <v>2104.01063114405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IF(B198="Clientes",SUMIFS(PARÂMETROS!$D$8:$D$907,PARÂMETROS!$A$8:$A$907,C198,PARÂMETROS!$G$8:$G$907,J198),SUMIFS(PARÂMETROS!$E$8:$E$907,PARÂMETROS!$A$8:$A$907,C198,PARÂMETROS!$G$8:$G$907,J198))</f>
        <v>0.722925637564603</v>
      </c>
      <c r="E198" s="22" t="n">
        <f aca="false">SUMIFS(SETORES!$D:$D,SETORES!$A:$A,A198,SETORES!$F:$F,J198)</f>
        <v>85495.6712</v>
      </c>
      <c r="F198" s="22" t="n">
        <f aca="false">IFERROR(D198*E198,0)</f>
        <v>61807.0126112737</v>
      </c>
      <c r="G198" s="14" t="n">
        <f aca="false">SUMIFS(PARÂMETROS!$F$8:$F$907,PARÂMETROS!$A$8:$A$907,C198,PARÂMETROS!$G$8:$G$907,J198)</f>
        <v>0</v>
      </c>
      <c r="H198" s="22" t="n">
        <f aca="false">IFERROR(F198*G198,0)</f>
        <v>0</v>
      </c>
      <c r="I198" s="22" t="n">
        <f aca="false">F198+H198</f>
        <v>61807.0126112737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IF(B199="Clientes",SUMIFS(PARÂMETROS!$D$8:$D$907,PARÂMETROS!$A$8:$A$907,C199,PARÂMETROS!$G$8:$G$907,J199),SUMIFS(PARÂMETROS!$E$8:$E$907,PARÂMETROS!$A$8:$A$907,C199,PARÂMETROS!$G$8:$G$907,J199))</f>
        <v>0.0330779140128206</v>
      </c>
      <c r="E199" s="21" t="n">
        <f aca="false">SUMIFS(SETORES!$D:$D,SETORES!$A:$A,A199,SETORES!$F:$F,J199)</f>
        <v>157287.158118445</v>
      </c>
      <c r="F199" s="21" t="n">
        <f aca="false">IFERROR(D199*E199,0)</f>
        <v>5202.73109156284</v>
      </c>
      <c r="G199" s="9" t="n">
        <f aca="false">SUMIFS(PARÂMETROS!$F$8:$F$907,PARÂMETROS!$A$8:$A$907,C199,PARÂMETROS!$G$8:$G$907,J199)</f>
        <v>0</v>
      </c>
      <c r="H199" s="21" t="n">
        <f aca="false">IFERROR(F199*G199,0)</f>
        <v>0</v>
      </c>
      <c r="I199" s="21" t="n">
        <f aca="false">F199+H199</f>
        <v>5202.73109156284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IF(B200="Clientes",SUMIFS(PARÂMETROS!$D$8:$D$907,PARÂMETROS!$A$8:$A$907,C200,PARÂMETROS!$G$8:$G$907,J200),SUMIFS(PARÂMETROS!$E$8:$E$907,PARÂMETROS!$A$8:$A$907,C200,PARÂMETROS!$G$8:$G$907,J200))</f>
        <v>0.0688657021294068</v>
      </c>
      <c r="E200" s="22" t="n">
        <f aca="false">SUMIFS(SETORES!$D:$D,SETORES!$A:$A,A200,SETORES!$F:$F,J200)</f>
        <v>157287.158118445</v>
      </c>
      <c r="F200" s="22" t="n">
        <f aca="false">IFERROR(D200*E200,0)</f>
        <v>10831.6905797657</v>
      </c>
      <c r="G200" s="14" t="n">
        <f aca="false">SUMIFS(PARÂMETROS!$F$8:$F$907,PARÂMETROS!$A$8:$A$907,C200,PARÂMETROS!$G$8:$G$907,J200)</f>
        <v>0</v>
      </c>
      <c r="H200" s="22" t="n">
        <f aca="false">IFERROR(F200*G200,0)</f>
        <v>0</v>
      </c>
      <c r="I200" s="22" t="n">
        <f aca="false">F200+H200</f>
        <v>10831.6905797657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IF(B201="Clientes",SUMIFS(PARÂMETROS!$D$8:$D$907,PARÂMETROS!$A$8:$A$907,C201,PARÂMETROS!$G$8:$G$907,J201),SUMIFS(PARÂMETROS!$E$8:$E$907,PARÂMETROS!$A$8:$A$907,C201,PARÂMETROS!$G$8:$G$907,J201))</f>
        <v>0.0741160832054526</v>
      </c>
      <c r="E201" s="21" t="n">
        <f aca="false">SUMIFS(SETORES!$D:$D,SETORES!$A:$A,A201,SETORES!$F:$F,J201)</f>
        <v>157287.158118445</v>
      </c>
      <c r="F201" s="21" t="n">
        <f aca="false">IFERROR(D201*E201,0)</f>
        <v>11657.5080982558</v>
      </c>
      <c r="G201" s="9" t="n">
        <f aca="false">SUMIFS(PARÂMETROS!$F$8:$F$907,PARÂMETROS!$A$8:$A$907,C201,PARÂMETROS!$G$8:$G$907,J201)</f>
        <v>0</v>
      </c>
      <c r="H201" s="21" t="n">
        <f aca="false">IFERROR(F201*G201,0)</f>
        <v>0</v>
      </c>
      <c r="I201" s="21" t="n">
        <f aca="false">F201+H201</f>
        <v>11657.5080982558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IF(B202="Clientes",SUMIFS(PARÂMETROS!$D$8:$D$907,PARÂMETROS!$A$8:$A$907,C202,PARÂMETROS!$G$8:$G$907,J202),SUMIFS(PARÂMETROS!$E$8:$E$907,PARÂMETROS!$A$8:$A$907,C202,PARÂMETROS!$G$8:$G$907,J202))</f>
        <v>0.0190101774249011</v>
      </c>
      <c r="E202" s="22" t="n">
        <f aca="false">SUMIFS(SETORES!$D:$D,SETORES!$A:$A,A202,SETORES!$F:$F,J202)</f>
        <v>157287.158118445</v>
      </c>
      <c r="F202" s="22" t="n">
        <f aca="false">IFERROR(D202*E202,0)</f>
        <v>2990.05678249011</v>
      </c>
      <c r="G202" s="14" t="n">
        <f aca="false">SUMIFS(PARÂMETROS!$F$8:$F$907,PARÂMETROS!$A$8:$A$907,C202,PARÂMETROS!$G$8:$G$907,J202)</f>
        <v>0</v>
      </c>
      <c r="H202" s="22" t="n">
        <f aca="false">IFERROR(F202*G202,0)</f>
        <v>0</v>
      </c>
      <c r="I202" s="22" t="n">
        <f aca="false">F202+H202</f>
        <v>2990.05678249011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IF(B203="Clientes",SUMIFS(PARÂMETROS!$D$8:$D$907,PARÂMETROS!$A$8:$A$907,C203,PARÂMETROS!$G$8:$G$907,J203),SUMIFS(PARÂMETROS!$E$8:$E$907,PARÂMETROS!$A$8:$A$907,C203,PARÂMETROS!$G$8:$G$907,J203))</f>
        <v>0.0330214583023255</v>
      </c>
      <c r="E203" s="21" t="n">
        <f aca="false">SUMIFS(SETORES!$D:$D,SETORES!$A:$A,A203,SETORES!$F:$F,J203)</f>
        <v>157287.158118445</v>
      </c>
      <c r="F203" s="21" t="n">
        <f aca="false">IFERROR(D203*E203,0)</f>
        <v>5193.8513332995</v>
      </c>
      <c r="G203" s="9" t="n">
        <f aca="false">SUMIFS(PARÂMETROS!$F$8:$F$907,PARÂMETROS!$A$8:$A$907,C203,PARÂMETROS!$G$8:$G$907,J203)</f>
        <v>0</v>
      </c>
      <c r="H203" s="21" t="n">
        <f aca="false">IFERROR(F203*G203,0)</f>
        <v>0</v>
      </c>
      <c r="I203" s="21" t="n">
        <f aca="false">F203+H203</f>
        <v>5193.8513332995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IF(B204="Clientes",SUMIFS(PARÂMETROS!$D$8:$D$907,PARÂMETROS!$A$8:$A$907,C204,PARÂMETROS!$G$8:$G$907,J204),SUMIFS(PARÂMETROS!$E$8:$E$907,PARÂMETROS!$A$8:$A$907,C204,PARÂMETROS!$G$8:$G$907,J204))</f>
        <v>0.0243734699219372</v>
      </c>
      <c r="E204" s="22" t="n">
        <f aca="false">SUMIFS(SETORES!$D:$D,SETORES!$A:$A,A204,SETORES!$F:$F,J204)</f>
        <v>157287.158118445</v>
      </c>
      <c r="F204" s="22" t="n">
        <f aca="false">IFERROR(D204*E204,0)</f>
        <v>3833.63381750689</v>
      </c>
      <c r="G204" s="14" t="n">
        <f aca="false">SUMIFS(PARÂMETROS!$F$8:$F$907,PARÂMETROS!$A$8:$A$907,C204,PARÂMETROS!$G$8:$G$907,J204)</f>
        <v>0</v>
      </c>
      <c r="H204" s="22" t="n">
        <f aca="false">IFERROR(F204*G204,0)</f>
        <v>0</v>
      </c>
      <c r="I204" s="22" t="n">
        <f aca="false">F204+H204</f>
        <v>3833.63381750689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IF(B205="Clientes",SUMIFS(PARÂMETROS!$D$8:$D$907,PARÂMETROS!$A$8:$A$907,C205,PARÂMETROS!$G$8:$G$907,J205),SUMIFS(PARÂMETROS!$E$8:$E$907,PARÂMETROS!$A$8:$A$907,C205,PARÂMETROS!$G$8:$G$907,J205))</f>
        <v>0.0246095574385531</v>
      </c>
      <c r="E205" s="21" t="n">
        <f aca="false">SUMIFS(SETORES!$D:$D,SETORES!$A:$A,A205,SETORES!$F:$F,J205)</f>
        <v>157287.158118445</v>
      </c>
      <c r="F205" s="21" t="n">
        <f aca="false">IFERROR(D205*E205,0)</f>
        <v>3870.76735206265</v>
      </c>
      <c r="G205" s="9" t="n">
        <f aca="false">SUMIFS(PARÂMETROS!$F$8:$F$907,PARÂMETROS!$A$8:$A$907,C205,PARÂMETROS!$G$8:$G$907,J205)</f>
        <v>0</v>
      </c>
      <c r="H205" s="21" t="n">
        <f aca="false">IFERROR(F205*G205,0)</f>
        <v>0</v>
      </c>
      <c r="I205" s="21" t="n">
        <f aca="false">F205+H205</f>
        <v>3870.76735206265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IF(B206="Clientes",SUMIFS(PARÂMETROS!$D$8:$D$907,PARÂMETROS!$A$8:$A$907,C206,PARÂMETROS!$G$8:$G$907,J206),SUMIFS(PARÂMETROS!$E$8:$E$907,PARÂMETROS!$A$8:$A$907,C206,PARÂMETROS!$G$8:$G$907,J206))</f>
        <v>0.722925637564603</v>
      </c>
      <c r="E206" s="22" t="n">
        <f aca="false">SUMIFS(SETORES!$D:$D,SETORES!$A:$A,A206,SETORES!$F:$F,J206)</f>
        <v>157287.158118445</v>
      </c>
      <c r="F206" s="22" t="n">
        <f aca="false">IFERROR(D206*E206,0)</f>
        <v>113706.919063501</v>
      </c>
      <c r="G206" s="14" t="n">
        <f aca="false">SUMIFS(PARÂMETROS!$F$8:$F$907,PARÂMETROS!$A$8:$A$907,C206,PARÂMETROS!$G$8:$G$907,J206)</f>
        <v>0</v>
      </c>
      <c r="H206" s="22" t="n">
        <f aca="false">IFERROR(F206*G206,0)</f>
        <v>0</v>
      </c>
      <c r="I206" s="22" t="n">
        <f aca="false">F206+H206</f>
        <v>113706.919063501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IF(B207="Clientes",SUMIFS(PARÂMETROS!$D$8:$D$907,PARÂMETROS!$A$8:$A$907,C207,PARÂMETROS!$G$8:$G$907,J207),SUMIFS(PARÂMETROS!$E$8:$E$907,PARÂMETROS!$A$8:$A$907,C207,PARÂMETROS!$G$8:$G$907,J207))</f>
        <v>0.0330779140128206</v>
      </c>
      <c r="E207" s="21" t="n">
        <f aca="false">SUMIFS(SETORES!$D:$D,SETORES!$A:$A,A207,SETORES!$F:$F,J207)</f>
        <v>36358.913446</v>
      </c>
      <c r="F207" s="21" t="n">
        <f aca="false">IFERROR(D207*E207,0)</f>
        <v>1202.67701256637</v>
      </c>
      <c r="G207" s="9" t="n">
        <f aca="false">SUMIFS(PARÂMETROS!$F$8:$F$907,PARÂMETROS!$A$8:$A$907,C207,PARÂMETROS!$G$8:$G$907,J207)</f>
        <v>0</v>
      </c>
      <c r="H207" s="21" t="n">
        <f aca="false">IFERROR(F207*G207,0)</f>
        <v>0</v>
      </c>
      <c r="I207" s="21" t="n">
        <f aca="false">F207+H207</f>
        <v>1202.67701256637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IF(B208="Clientes",SUMIFS(PARÂMETROS!$D$8:$D$907,PARÂMETROS!$A$8:$A$907,C208,PARÂMETROS!$G$8:$G$907,J208),SUMIFS(PARÂMETROS!$E$8:$E$907,PARÂMETROS!$A$8:$A$907,C208,PARÂMETROS!$G$8:$G$907,J208))</f>
        <v>0.0688657021294068</v>
      </c>
      <c r="E208" s="22" t="n">
        <f aca="false">SUMIFS(SETORES!$D:$D,SETORES!$A:$A,A208,SETORES!$F:$F,J208)</f>
        <v>36358.913446</v>
      </c>
      <c r="F208" s="22" t="n">
        <f aca="false">IFERROR(D208*E208,0)</f>
        <v>2503.88210312112</v>
      </c>
      <c r="G208" s="14" t="n">
        <f aca="false">SUMIFS(PARÂMETROS!$F$8:$F$907,PARÂMETROS!$A$8:$A$907,C208,PARÂMETROS!$G$8:$G$907,J208)</f>
        <v>0</v>
      </c>
      <c r="H208" s="22" t="n">
        <f aca="false">IFERROR(F208*G208,0)</f>
        <v>0</v>
      </c>
      <c r="I208" s="22" t="n">
        <f aca="false">F208+H208</f>
        <v>2503.88210312112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IF(B209="Clientes",SUMIFS(PARÂMETROS!$D$8:$D$907,PARÂMETROS!$A$8:$A$907,C209,PARÂMETROS!$G$8:$G$907,J209),SUMIFS(PARÂMETROS!$E$8:$E$907,PARÂMETROS!$A$8:$A$907,C209,PARÂMETROS!$G$8:$G$907,J209))</f>
        <v>0.0741160832054526</v>
      </c>
      <c r="E209" s="21" t="n">
        <f aca="false">SUMIFS(SETORES!$D:$D,SETORES!$A:$A,A209,SETORES!$F:$F,J209)</f>
        <v>36358.913446</v>
      </c>
      <c r="F209" s="21" t="n">
        <f aca="false">IFERROR(D209*E209,0)</f>
        <v>2694.78025422359</v>
      </c>
      <c r="G209" s="9" t="n">
        <f aca="false">SUMIFS(PARÂMETROS!$F$8:$F$907,PARÂMETROS!$A$8:$A$907,C209,PARÂMETROS!$G$8:$G$907,J209)</f>
        <v>0</v>
      </c>
      <c r="H209" s="21" t="n">
        <f aca="false">IFERROR(F209*G209,0)</f>
        <v>0</v>
      </c>
      <c r="I209" s="21" t="n">
        <f aca="false">F209+H209</f>
        <v>2694.78025422359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IF(B210="Clientes",SUMIFS(PARÂMETROS!$D$8:$D$907,PARÂMETROS!$A$8:$A$907,C210,PARÂMETROS!$G$8:$G$907,J210),SUMIFS(PARÂMETROS!$E$8:$E$907,PARÂMETROS!$A$8:$A$907,C210,PARÂMETROS!$G$8:$G$907,J210))</f>
        <v>0.0190101774249011</v>
      </c>
      <c r="E210" s="22" t="n">
        <f aca="false">SUMIFS(SETORES!$D:$D,SETORES!$A:$A,A210,SETORES!$F:$F,J210)</f>
        <v>36358.913446</v>
      </c>
      <c r="F210" s="22" t="n">
        <f aca="false">IFERROR(D210*E210,0)</f>
        <v>691.189395585081</v>
      </c>
      <c r="G210" s="14" t="n">
        <f aca="false">SUMIFS(PARÂMETROS!$F$8:$F$907,PARÂMETROS!$A$8:$A$907,C210,PARÂMETROS!$G$8:$G$907,J210)</f>
        <v>0</v>
      </c>
      <c r="H210" s="22" t="n">
        <f aca="false">IFERROR(F210*G210,0)</f>
        <v>0</v>
      </c>
      <c r="I210" s="22" t="n">
        <f aca="false">F210+H210</f>
        <v>691.189395585081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IF(B211="Clientes",SUMIFS(PARÂMETROS!$D$8:$D$907,PARÂMETROS!$A$8:$A$907,C211,PARÂMETROS!$G$8:$G$907,J211),SUMIFS(PARÂMETROS!$E$8:$E$907,PARÂMETROS!$A$8:$A$907,C211,PARÂMETROS!$G$8:$G$907,J211))</f>
        <v>0.0330214583023255</v>
      </c>
      <c r="E211" s="21" t="n">
        <f aca="false">SUMIFS(SETORES!$D:$D,SETORES!$A:$A,A211,SETORES!$F:$F,J211)</f>
        <v>36358.913446</v>
      </c>
      <c r="F211" s="21" t="n">
        <f aca="false">IFERROR(D211*E211,0)</f>
        <v>1200.62434427495</v>
      </c>
      <c r="G211" s="9" t="n">
        <f aca="false">SUMIFS(PARÂMETROS!$F$8:$F$907,PARÂMETROS!$A$8:$A$907,C211,PARÂMETROS!$G$8:$G$907,J211)</f>
        <v>0</v>
      </c>
      <c r="H211" s="21" t="n">
        <f aca="false">IFERROR(F211*G211,0)</f>
        <v>0</v>
      </c>
      <c r="I211" s="21" t="n">
        <f aca="false">F211+H211</f>
        <v>1200.62434427495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IF(B212="Clientes",SUMIFS(PARÂMETROS!$D$8:$D$907,PARÂMETROS!$A$8:$A$907,C212,PARÂMETROS!$G$8:$G$907,J212),SUMIFS(PARÂMETROS!$E$8:$E$907,PARÂMETROS!$A$8:$A$907,C212,PARÂMETROS!$G$8:$G$907,J212))</f>
        <v>0.0243734699219372</v>
      </c>
      <c r="E212" s="22" t="n">
        <f aca="false">SUMIFS(SETORES!$D:$D,SETORES!$A:$A,A212,SETORES!$F:$F,J212)</f>
        <v>36358.913446</v>
      </c>
      <c r="F212" s="22" t="n">
        <f aca="false">IFERROR(D212*E212,0)</f>
        <v>886.192883270397</v>
      </c>
      <c r="G212" s="14" t="n">
        <f aca="false">SUMIFS(PARÂMETROS!$F$8:$F$907,PARÂMETROS!$A$8:$A$907,C212,PARÂMETROS!$G$8:$G$907,J212)</f>
        <v>0</v>
      </c>
      <c r="H212" s="22" t="n">
        <f aca="false">IFERROR(F212*G212,0)</f>
        <v>0</v>
      </c>
      <c r="I212" s="22" t="n">
        <f aca="false">F212+H212</f>
        <v>886.192883270397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IF(B213="Clientes",SUMIFS(PARÂMETROS!$D$8:$D$907,PARÂMETROS!$A$8:$A$907,C213,PARÂMETROS!$G$8:$G$907,J213),SUMIFS(PARÂMETROS!$E$8:$E$907,PARÂMETROS!$A$8:$A$907,C213,PARÂMETROS!$G$8:$G$907,J213))</f>
        <v>0.0246095574385531</v>
      </c>
      <c r="E213" s="21" t="n">
        <f aca="false">SUMIFS(SETORES!$D:$D,SETORES!$A:$A,A213,SETORES!$F:$F,J213)</f>
        <v>36358.913446</v>
      </c>
      <c r="F213" s="21" t="n">
        <f aca="false">IFERROR(D213*E213,0)</f>
        <v>894.776768852717</v>
      </c>
      <c r="G213" s="9" t="n">
        <f aca="false">SUMIFS(PARÂMETROS!$F$8:$F$907,PARÂMETROS!$A$8:$A$907,C213,PARÂMETROS!$G$8:$G$907,J213)</f>
        <v>0</v>
      </c>
      <c r="H213" s="21" t="n">
        <f aca="false">IFERROR(F213*G213,0)</f>
        <v>0</v>
      </c>
      <c r="I213" s="21" t="n">
        <f aca="false">F213+H213</f>
        <v>894.776768852717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IF(B214="Clientes",SUMIFS(PARÂMETROS!$D$8:$D$907,PARÂMETROS!$A$8:$A$907,C214,PARÂMETROS!$G$8:$G$907,J214),SUMIFS(PARÂMETROS!$E$8:$E$907,PARÂMETROS!$A$8:$A$907,C214,PARÂMETROS!$G$8:$G$907,J214))</f>
        <v>0.722925637564603</v>
      </c>
      <c r="E214" s="22" t="n">
        <f aca="false">SUMIFS(SETORES!$D:$D,SETORES!$A:$A,A214,SETORES!$F:$F,J214)</f>
        <v>36358.913446</v>
      </c>
      <c r="F214" s="22" t="n">
        <f aca="false">IFERROR(D214*E214,0)</f>
        <v>26284.7906841058</v>
      </c>
      <c r="G214" s="14" t="n">
        <f aca="false">SUMIFS(PARÂMETROS!$F$8:$F$907,PARÂMETROS!$A$8:$A$907,C214,PARÂMETROS!$G$8:$G$907,J214)</f>
        <v>0</v>
      </c>
      <c r="H214" s="22" t="n">
        <f aca="false">IFERROR(F214*G214,0)</f>
        <v>0</v>
      </c>
      <c r="I214" s="22" t="n">
        <f aca="false">F214+H214</f>
        <v>26284.7906841058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IF(B215="Clientes",SUMIFS(PARÂMETROS!$D$8:$D$907,PARÂMETROS!$A$8:$A$907,C215,PARÂMETROS!$G$8:$G$907,J215),SUMIFS(PARÂMETROS!$E$8:$E$907,PARÂMETROS!$A$8:$A$907,C215,PARÂMETROS!$G$8:$G$907,J215))</f>
        <v>0.0330779140128206</v>
      </c>
      <c r="E215" s="21" t="n">
        <f aca="false">SUMIFS(SETORES!$D:$D,SETORES!$A:$A,A215,SETORES!$F:$F,J215)</f>
        <v>131632.083886</v>
      </c>
      <c r="F215" s="21" t="n">
        <f aca="false">IFERROR(D215*E215,0)</f>
        <v>4354.11475210949</v>
      </c>
      <c r="G215" s="9" t="n">
        <f aca="false">SUMIFS(PARÂMETROS!$F$8:$F$907,PARÂMETROS!$A$8:$A$907,C215,PARÂMETROS!$G$8:$G$907,J215)</f>
        <v>0</v>
      </c>
      <c r="H215" s="21" t="n">
        <f aca="false">IFERROR(F215*G215,0)</f>
        <v>0</v>
      </c>
      <c r="I215" s="21" t="n">
        <f aca="false">F215+H215</f>
        <v>4354.11475210949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IF(B216="Clientes",SUMIFS(PARÂMETROS!$D$8:$D$907,PARÂMETROS!$A$8:$A$907,C216,PARÂMETROS!$G$8:$G$907,J216),SUMIFS(PARÂMETROS!$E$8:$E$907,PARÂMETROS!$A$8:$A$907,C216,PARÂMETROS!$G$8:$G$907,J216))</f>
        <v>0.0688657021294068</v>
      </c>
      <c r="E216" s="22" t="n">
        <f aca="false">SUMIFS(SETORES!$D:$D,SETORES!$A:$A,A216,SETORES!$F:$F,J216)</f>
        <v>131632.083886</v>
      </c>
      <c r="F216" s="22" t="n">
        <f aca="false">IFERROR(D216*E216,0)</f>
        <v>9064.93587956636</v>
      </c>
      <c r="G216" s="14" t="n">
        <f aca="false">SUMIFS(PARÂMETROS!$F$8:$F$907,PARÂMETROS!$A$8:$A$907,C216,PARÂMETROS!$G$8:$G$907,J216)</f>
        <v>0</v>
      </c>
      <c r="H216" s="22" t="n">
        <f aca="false">IFERROR(F216*G216,0)</f>
        <v>0</v>
      </c>
      <c r="I216" s="22" t="n">
        <f aca="false">F216+H216</f>
        <v>9064.93587956636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IF(B217="Clientes",SUMIFS(PARÂMETROS!$D$8:$D$907,PARÂMETROS!$A$8:$A$907,C217,PARÂMETROS!$G$8:$G$907,J217),SUMIFS(PARÂMETROS!$E$8:$E$907,PARÂMETROS!$A$8:$A$907,C217,PARÂMETROS!$G$8:$G$907,J217))</f>
        <v>0.0741160832054526</v>
      </c>
      <c r="E217" s="21" t="n">
        <f aca="false">SUMIFS(SETORES!$D:$D,SETORES!$A:$A,A217,SETORES!$F:$F,J217)</f>
        <v>131632.083886</v>
      </c>
      <c r="F217" s="21" t="n">
        <f aca="false">IFERROR(D217*E217,0)</f>
        <v>9756.05448180189</v>
      </c>
      <c r="G217" s="9" t="n">
        <f aca="false">SUMIFS(PARÂMETROS!$F$8:$F$907,PARÂMETROS!$A$8:$A$907,C217,PARÂMETROS!$G$8:$G$907,J217)</f>
        <v>0</v>
      </c>
      <c r="H217" s="21" t="n">
        <f aca="false">IFERROR(F217*G217,0)</f>
        <v>0</v>
      </c>
      <c r="I217" s="21" t="n">
        <f aca="false">F217+H217</f>
        <v>9756.05448180189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IF(B218="Clientes",SUMIFS(PARÂMETROS!$D$8:$D$907,PARÂMETROS!$A$8:$A$907,C218,PARÂMETROS!$G$8:$G$907,J218),SUMIFS(PARÂMETROS!$E$8:$E$907,PARÂMETROS!$A$8:$A$907,C218,PARÂMETROS!$G$8:$G$907,J218))</f>
        <v>0.0190101774249011</v>
      </c>
      <c r="E218" s="22" t="n">
        <f aca="false">SUMIFS(SETORES!$D:$D,SETORES!$A:$A,A218,SETORES!$F:$F,J218)</f>
        <v>131632.083886</v>
      </c>
      <c r="F218" s="22" t="n">
        <f aca="false">IFERROR(D218*E218,0)</f>
        <v>2502.34926948232</v>
      </c>
      <c r="G218" s="14" t="n">
        <f aca="false">SUMIFS(PARÂMETROS!$F$8:$F$907,PARÂMETROS!$A$8:$A$907,C218,PARÂMETROS!$G$8:$G$907,J218)</f>
        <v>0</v>
      </c>
      <c r="H218" s="22" t="n">
        <f aca="false">IFERROR(F218*G218,0)</f>
        <v>0</v>
      </c>
      <c r="I218" s="22" t="n">
        <f aca="false">F218+H218</f>
        <v>2502.34926948232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IF(B219="Clientes",SUMIFS(PARÂMETROS!$D$8:$D$907,PARÂMETROS!$A$8:$A$907,C219,PARÂMETROS!$G$8:$G$907,J219),SUMIFS(PARÂMETROS!$E$8:$E$907,PARÂMETROS!$A$8:$A$907,C219,PARÂMETROS!$G$8:$G$907,J219))</f>
        <v>0.0330214583023255</v>
      </c>
      <c r="E219" s="21" t="n">
        <f aca="false">SUMIFS(SETORES!$D:$D,SETORES!$A:$A,A219,SETORES!$F:$F,J219)</f>
        <v>131632.083886</v>
      </c>
      <c r="F219" s="21" t="n">
        <f aca="false">IFERROR(D219*E219,0)</f>
        <v>4346.68336928976</v>
      </c>
      <c r="G219" s="9" t="n">
        <f aca="false">SUMIFS(PARÂMETROS!$F$8:$F$907,PARÂMETROS!$A$8:$A$907,C219,PARÂMETROS!$G$8:$G$907,J219)</f>
        <v>0</v>
      </c>
      <c r="H219" s="21" t="n">
        <f aca="false">IFERROR(F219*G219,0)</f>
        <v>0</v>
      </c>
      <c r="I219" s="21" t="n">
        <f aca="false">F219+H219</f>
        <v>4346.68336928976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IF(B220="Clientes",SUMIFS(PARÂMETROS!$D$8:$D$907,PARÂMETROS!$A$8:$A$907,C220,PARÂMETROS!$G$8:$G$907,J220),SUMIFS(PARÂMETROS!$E$8:$E$907,PARÂMETROS!$A$8:$A$907,C220,PARÂMETROS!$G$8:$G$907,J220))</f>
        <v>0.0243734699219372</v>
      </c>
      <c r="E220" s="22" t="n">
        <f aca="false">SUMIFS(SETORES!$D:$D,SETORES!$A:$A,A220,SETORES!$F:$F,J220)</f>
        <v>131632.083886</v>
      </c>
      <c r="F220" s="22" t="n">
        <f aca="false">IFERROR(D220*E220,0)</f>
        <v>3208.33063735733</v>
      </c>
      <c r="G220" s="14" t="n">
        <f aca="false">SUMIFS(PARÂMETROS!$F$8:$F$907,PARÂMETROS!$A$8:$A$907,C220,PARÂMETROS!$G$8:$G$907,J220)</f>
        <v>0</v>
      </c>
      <c r="H220" s="22" t="n">
        <f aca="false">IFERROR(F220*G220,0)</f>
        <v>0</v>
      </c>
      <c r="I220" s="22" t="n">
        <f aca="false">F220+H220</f>
        <v>3208.33063735733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IF(B221="Clientes",SUMIFS(PARÂMETROS!$D$8:$D$907,PARÂMETROS!$A$8:$A$907,C221,PARÂMETROS!$G$8:$G$907,J221),SUMIFS(PARÂMETROS!$E$8:$E$907,PARÂMETROS!$A$8:$A$907,C221,PARÂMETROS!$G$8:$G$907,J221))</f>
        <v>0.0246095574385531</v>
      </c>
      <c r="E221" s="21" t="n">
        <f aca="false">SUMIFS(SETORES!$D:$D,SETORES!$A:$A,A221,SETORES!$F:$F,J221)</f>
        <v>131632.083886</v>
      </c>
      <c r="F221" s="21" t="n">
        <f aca="false">IFERROR(D221*E221,0)</f>
        <v>3239.40732914896</v>
      </c>
      <c r="G221" s="9" t="n">
        <f aca="false">SUMIFS(PARÂMETROS!$F$8:$F$907,PARÂMETROS!$A$8:$A$907,C221,PARÂMETROS!$G$8:$G$907,J221)</f>
        <v>0</v>
      </c>
      <c r="H221" s="21" t="n">
        <f aca="false">IFERROR(F221*G221,0)</f>
        <v>0</v>
      </c>
      <c r="I221" s="21" t="n">
        <f aca="false">F221+H221</f>
        <v>3239.40732914896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IF(B222="Clientes",SUMIFS(PARÂMETROS!$D$8:$D$907,PARÂMETROS!$A$8:$A$907,C222,PARÂMETROS!$G$8:$G$907,J222),SUMIFS(PARÂMETROS!$E$8:$E$907,PARÂMETROS!$A$8:$A$907,C222,PARÂMETROS!$G$8:$G$907,J222))</f>
        <v>0.722925637564603</v>
      </c>
      <c r="E222" s="22" t="n">
        <f aca="false">SUMIFS(SETORES!$D:$D,SETORES!$A:$A,A222,SETORES!$F:$F,J222)</f>
        <v>131632.083886</v>
      </c>
      <c r="F222" s="22" t="n">
        <f aca="false">IFERROR(D222*E222,0)</f>
        <v>95160.2081672439</v>
      </c>
      <c r="G222" s="14" t="n">
        <f aca="false">SUMIFS(PARÂMETROS!$F$8:$F$907,PARÂMETROS!$A$8:$A$907,C222,PARÂMETROS!$G$8:$G$907,J222)</f>
        <v>0</v>
      </c>
      <c r="H222" s="22" t="n">
        <f aca="false">IFERROR(F222*G222,0)</f>
        <v>0</v>
      </c>
      <c r="I222" s="22" t="n">
        <f aca="false">F222+H222</f>
        <v>95160.2081672439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IF(B223="Clientes",SUMIFS(PARÂMETROS!$D$8:$D$907,PARÂMETROS!$A$8:$A$907,C223,PARÂMETROS!$G$8:$G$907,J223),SUMIFS(PARÂMETROS!$E$8:$E$907,PARÂMETROS!$A$8:$A$907,C223,PARÂMETROS!$G$8:$G$907,J223))</f>
        <v>0.0330779140128206</v>
      </c>
      <c r="E223" s="21" t="n">
        <f aca="false">SUMIFS(SETORES!$D:$D,SETORES!$A:$A,A223,SETORES!$F:$F,J223)</f>
        <v>144169.76804</v>
      </c>
      <c r="F223" s="21" t="n">
        <f aca="false">IFERROR(D223*E223,0)</f>
        <v>4768.83519047541</v>
      </c>
      <c r="G223" s="9" t="n">
        <f aca="false">SUMIFS(PARÂMETROS!$F$8:$F$907,PARÂMETROS!$A$8:$A$907,C223,PARÂMETROS!$G$8:$G$907,J223)</f>
        <v>0</v>
      </c>
      <c r="H223" s="21" t="n">
        <f aca="false">IFERROR(F223*G223,0)</f>
        <v>0</v>
      </c>
      <c r="I223" s="21" t="n">
        <f aca="false">F223+H223</f>
        <v>4768.83519047541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IF(B224="Clientes",SUMIFS(PARÂMETROS!$D$8:$D$907,PARÂMETROS!$A$8:$A$907,C224,PARÂMETROS!$G$8:$G$907,J224),SUMIFS(PARÂMETROS!$E$8:$E$907,PARÂMETROS!$A$8:$A$907,C224,PARÂMETROS!$G$8:$G$907,J224))</f>
        <v>0.0688657021294068</v>
      </c>
      <c r="E224" s="22" t="n">
        <f aca="false">SUMIFS(SETORES!$D:$D,SETORES!$A:$A,A224,SETORES!$F:$F,J224)</f>
        <v>144169.76804</v>
      </c>
      <c r="F224" s="22" t="n">
        <f aca="false">IFERROR(D224*E224,0)</f>
        <v>9928.3523019083</v>
      </c>
      <c r="G224" s="14" t="n">
        <f aca="false">SUMIFS(PARÂMETROS!$F$8:$F$907,PARÂMETROS!$A$8:$A$907,C224,PARÂMETROS!$G$8:$G$907,J224)</f>
        <v>0</v>
      </c>
      <c r="H224" s="22" t="n">
        <f aca="false">IFERROR(F224*G224,0)</f>
        <v>0</v>
      </c>
      <c r="I224" s="22" t="n">
        <f aca="false">F224+H224</f>
        <v>9928.3523019083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IF(B225="Clientes",SUMIFS(PARÂMETROS!$D$8:$D$907,PARÂMETROS!$A$8:$A$907,C225,PARÂMETROS!$G$8:$G$907,J225),SUMIFS(PARÂMETROS!$E$8:$E$907,PARÂMETROS!$A$8:$A$907,C225,PARÂMETROS!$G$8:$G$907,J225))</f>
        <v>0.0741160832054526</v>
      </c>
      <c r="E225" s="21" t="n">
        <f aca="false">SUMIFS(SETORES!$D:$D,SETORES!$A:$A,A225,SETORES!$F:$F,J225)</f>
        <v>144169.76804</v>
      </c>
      <c r="F225" s="21" t="n">
        <f aca="false">IFERROR(D225*E225,0)</f>
        <v>10685.2985237634</v>
      </c>
      <c r="G225" s="9" t="n">
        <f aca="false">SUMIFS(PARÂMETROS!$F$8:$F$907,PARÂMETROS!$A$8:$A$907,C225,PARÂMETROS!$G$8:$G$907,J225)</f>
        <v>0</v>
      </c>
      <c r="H225" s="21" t="n">
        <f aca="false">IFERROR(F225*G225,0)</f>
        <v>0</v>
      </c>
      <c r="I225" s="21" t="n">
        <f aca="false">F225+H225</f>
        <v>10685.2985237634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IF(B226="Clientes",SUMIFS(PARÂMETROS!$D$8:$D$907,PARÂMETROS!$A$8:$A$907,C226,PARÂMETROS!$G$8:$G$907,J226),SUMIFS(PARÂMETROS!$E$8:$E$907,PARÂMETROS!$A$8:$A$907,C226,PARÂMETROS!$G$8:$G$907,J226))</f>
        <v>0.0190101774249011</v>
      </c>
      <c r="E226" s="22" t="n">
        <f aca="false">SUMIFS(SETORES!$D:$D,SETORES!$A:$A,A226,SETORES!$F:$F,J226)</f>
        <v>144169.76804</v>
      </c>
      <c r="F226" s="22" t="n">
        <f aca="false">IFERROR(D226*E226,0)</f>
        <v>2740.69286974723</v>
      </c>
      <c r="G226" s="14" t="n">
        <f aca="false">SUMIFS(PARÂMETROS!$F$8:$F$907,PARÂMETROS!$A$8:$A$907,C226,PARÂMETROS!$G$8:$G$907,J226)</f>
        <v>0</v>
      </c>
      <c r="H226" s="22" t="n">
        <f aca="false">IFERROR(F226*G226,0)</f>
        <v>0</v>
      </c>
      <c r="I226" s="22" t="n">
        <f aca="false">F226+H226</f>
        <v>2740.69286974723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IF(B227="Clientes",SUMIFS(PARÂMETROS!$D$8:$D$907,PARÂMETROS!$A$8:$A$907,C227,PARÂMETROS!$G$8:$G$907,J227),SUMIFS(PARÂMETROS!$E$8:$E$907,PARÂMETROS!$A$8:$A$907,C227,PARÂMETROS!$G$8:$G$907,J227))</f>
        <v>0.0330214583023255</v>
      </c>
      <c r="E227" s="21" t="n">
        <f aca="false">SUMIFS(SETORES!$D:$D,SETORES!$A:$A,A227,SETORES!$F:$F,J227)</f>
        <v>144169.76804</v>
      </c>
      <c r="F227" s="21" t="n">
        <f aca="false">IFERROR(D227*E227,0)</f>
        <v>4760.69598378879</v>
      </c>
      <c r="G227" s="9" t="n">
        <f aca="false">SUMIFS(PARÂMETROS!$F$8:$F$907,PARÂMETROS!$A$8:$A$907,C227,PARÂMETROS!$G$8:$G$907,J227)</f>
        <v>0</v>
      </c>
      <c r="H227" s="21" t="n">
        <f aca="false">IFERROR(F227*G227,0)</f>
        <v>0</v>
      </c>
      <c r="I227" s="21" t="n">
        <f aca="false">F227+H227</f>
        <v>4760.69598378879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IF(B228="Clientes",SUMIFS(PARÂMETROS!$D$8:$D$907,PARÂMETROS!$A$8:$A$907,C228,PARÂMETROS!$G$8:$G$907,J228),SUMIFS(PARÂMETROS!$E$8:$E$907,PARÂMETROS!$A$8:$A$907,C228,PARÂMETROS!$G$8:$G$907,J228))</f>
        <v>0.0243734699219372</v>
      </c>
      <c r="E228" s="22" t="n">
        <f aca="false">SUMIFS(SETORES!$D:$D,SETORES!$A:$A,A228,SETORES!$F:$F,J228)</f>
        <v>144169.76804</v>
      </c>
      <c r="F228" s="22" t="n">
        <f aca="false">IFERROR(D228*E228,0)</f>
        <v>3513.9175049756</v>
      </c>
      <c r="G228" s="14" t="n">
        <f aca="false">SUMIFS(PARÂMETROS!$F$8:$F$907,PARÂMETROS!$A$8:$A$907,C228,PARÂMETROS!$G$8:$G$907,J228)</f>
        <v>0</v>
      </c>
      <c r="H228" s="22" t="n">
        <f aca="false">IFERROR(F228*G228,0)</f>
        <v>0</v>
      </c>
      <c r="I228" s="22" t="n">
        <f aca="false">F228+H228</f>
        <v>3513.9175049756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IF(B229="Clientes",SUMIFS(PARÂMETROS!$D$8:$D$907,PARÂMETROS!$A$8:$A$907,C229,PARÂMETROS!$G$8:$G$907,J229),SUMIFS(PARÂMETROS!$E$8:$E$907,PARÂMETROS!$A$8:$A$907,C229,PARÂMETROS!$G$8:$G$907,J229))</f>
        <v>0.0246095574385531</v>
      </c>
      <c r="E229" s="21" t="n">
        <f aca="false">SUMIFS(SETORES!$D:$D,SETORES!$A:$A,A229,SETORES!$F:$F,J229)</f>
        <v>144169.76804</v>
      </c>
      <c r="F229" s="21" t="n">
        <f aca="false">IFERROR(D229*E229,0)</f>
        <v>3547.95418748326</v>
      </c>
      <c r="G229" s="9" t="n">
        <f aca="false">SUMIFS(PARÂMETROS!$F$8:$F$907,PARÂMETROS!$A$8:$A$907,C229,PARÂMETROS!$G$8:$G$907,J229)</f>
        <v>0</v>
      </c>
      <c r="H229" s="21" t="n">
        <f aca="false">IFERROR(F229*G229,0)</f>
        <v>0</v>
      </c>
      <c r="I229" s="21" t="n">
        <f aca="false">F229+H229</f>
        <v>3547.95418748326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IF(B230="Clientes",SUMIFS(PARÂMETROS!$D$8:$D$907,PARÂMETROS!$A$8:$A$907,C230,PARÂMETROS!$G$8:$G$907,J230),SUMIFS(PARÂMETROS!$E$8:$E$907,PARÂMETROS!$A$8:$A$907,C230,PARÂMETROS!$G$8:$G$907,J230))</f>
        <v>0.722925637564603</v>
      </c>
      <c r="E230" s="22" t="n">
        <f aca="false">SUMIFS(SETORES!$D:$D,SETORES!$A:$A,A230,SETORES!$F:$F,J230)</f>
        <v>144169.76804</v>
      </c>
      <c r="F230" s="22" t="n">
        <f aca="false">IFERROR(D230*E230,0)</f>
        <v>104224.021477858</v>
      </c>
      <c r="G230" s="14" t="n">
        <f aca="false">SUMIFS(PARÂMETROS!$F$8:$F$907,PARÂMETROS!$A$8:$A$907,C230,PARÂMETROS!$G$8:$G$907,J230)</f>
        <v>0</v>
      </c>
      <c r="H230" s="22" t="n">
        <f aca="false">IFERROR(F230*G230,0)</f>
        <v>0</v>
      </c>
      <c r="I230" s="22" t="n">
        <f aca="false">F230+H230</f>
        <v>104224.021477858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IF(B231="Clientes",SUMIFS(PARÂMETROS!$D$8:$D$907,PARÂMETROS!$A$8:$A$907,C231,PARÂMETROS!$G$8:$G$907,J231),SUMIFS(PARÂMETROS!$E$8:$E$907,PARÂMETROS!$A$8:$A$907,C231,PARÂMETROS!$G$8:$G$907,J231))</f>
        <v>0.0324118207816969</v>
      </c>
      <c r="E231" s="21" t="n">
        <f aca="false">SUMIFS(SETORES!$D:$D,SETORES!$A:$A,A231,SETORES!$F:$F,J231)</f>
        <v>23776.15</v>
      </c>
      <c r="F231" s="21" t="n">
        <f aca="false">IFERROR(D231*E231,0)</f>
        <v>770.628312678742</v>
      </c>
      <c r="G231" s="9" t="n">
        <f aca="false">SUMIFS(PARÂMETROS!$F$8:$F$907,PARÂMETROS!$A$8:$A$907,C231,PARÂMETROS!$G$8:$G$907,J231)</f>
        <v>0</v>
      </c>
      <c r="H231" s="21" t="n">
        <f aca="false">IFERROR(F231*G231,0)</f>
        <v>0</v>
      </c>
      <c r="I231" s="21" t="n">
        <f aca="false">F231+H231</f>
        <v>770.628312678742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IF(B232="Clientes",SUMIFS(PARÂMETROS!$D$8:$D$907,PARÂMETROS!$A$8:$A$907,C232,PARÂMETROS!$G$8:$G$907,J232),SUMIFS(PARÂMETROS!$E$8:$E$907,PARÂMETROS!$A$8:$A$907,C232,PARÂMETROS!$G$8:$G$907,J232))</f>
        <v>0.0305052430886559</v>
      </c>
      <c r="E232" s="22" t="n">
        <f aca="false">SUMIFS(SETORES!$D:$D,SETORES!$A:$A,A232,SETORES!$F:$F,J232)</f>
        <v>23776.15</v>
      </c>
      <c r="F232" s="22" t="n">
        <f aca="false">IFERROR(D232*E232,0)</f>
        <v>725.297235462345</v>
      </c>
      <c r="G232" s="14" t="n">
        <f aca="false">SUMIFS(PARÂMETROS!$F$8:$F$907,PARÂMETROS!$A$8:$A$907,C232,PARÂMETROS!$G$8:$G$907,J232)</f>
        <v>0</v>
      </c>
      <c r="H232" s="22" t="n">
        <f aca="false">IFERROR(F232*G232,0)</f>
        <v>0</v>
      </c>
      <c r="I232" s="22" t="n">
        <f aca="false">F232+H232</f>
        <v>725.297235462345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IF(B233="Clientes",SUMIFS(PARÂMETROS!$D$8:$D$907,PARÂMETROS!$A$8:$A$907,C233,PARÂMETROS!$G$8:$G$907,J233),SUMIFS(PARÂMETROS!$E$8:$E$907,PARÂMETROS!$A$8:$A$907,C233,PARÂMETROS!$G$8:$G$907,J233))</f>
        <v>0.0400381315538608</v>
      </c>
      <c r="E233" s="21" t="n">
        <f aca="false">SUMIFS(SETORES!$D:$D,SETORES!$A:$A,A233,SETORES!$F:$F,J233)</f>
        <v>23776.15</v>
      </c>
      <c r="F233" s="21" t="n">
        <f aca="false">IFERROR(D233*E233,0)</f>
        <v>951.952621544328</v>
      </c>
      <c r="G233" s="9" t="n">
        <f aca="false">SUMIFS(PARÂMETROS!$F$8:$F$907,PARÂMETROS!$A$8:$A$907,C233,PARÂMETROS!$G$8:$G$907,J233)</f>
        <v>0</v>
      </c>
      <c r="H233" s="21" t="n">
        <f aca="false">IFERROR(F233*G233,0)</f>
        <v>0</v>
      </c>
      <c r="I233" s="21" t="n">
        <f aca="false">F233+H233</f>
        <v>951.952621544328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IF(B234="Clientes",SUMIFS(PARÂMETROS!$D$8:$D$907,PARÂMETROS!$A$8:$A$907,C234,PARÂMETROS!$G$8:$G$907,J234),SUMIFS(PARÂMETROS!$E$8:$E$907,PARÂMETROS!$A$8:$A$907,C234,PARÂMETROS!$G$8:$G$907,J234))</f>
        <v>0.0104861773117255</v>
      </c>
      <c r="E234" s="22" t="n">
        <f aca="false">SUMIFS(SETORES!$D:$D,SETORES!$A:$A,A234,SETORES!$F:$F,J234)</f>
        <v>23776.15</v>
      </c>
      <c r="F234" s="22" t="n">
        <f aca="false">IFERROR(D234*E234,0)</f>
        <v>249.320924690181</v>
      </c>
      <c r="G234" s="14" t="n">
        <f aca="false">SUMIFS(PARÂMETROS!$F$8:$F$907,PARÂMETROS!$A$8:$A$907,C234,PARÂMETROS!$G$8:$G$907,J234)</f>
        <v>0</v>
      </c>
      <c r="H234" s="22" t="n">
        <f aca="false">IFERROR(F234*G234,0)</f>
        <v>0</v>
      </c>
      <c r="I234" s="22" t="n">
        <f aca="false">F234+H234</f>
        <v>249.320924690181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IF(B235="Clientes",SUMIFS(PARÂMETROS!$D$8:$D$907,PARÂMETROS!$A$8:$A$907,C235,PARÂMETROS!$G$8:$G$907,J235),SUMIFS(PARÂMETROS!$E$8:$E$907,PARÂMETROS!$A$8:$A$907,C235,PARÂMETROS!$G$8:$G$907,J235))</f>
        <v>0.0400381315538608</v>
      </c>
      <c r="E235" s="21" t="n">
        <f aca="false">SUMIFS(SETORES!$D:$D,SETORES!$A:$A,A235,SETORES!$F:$F,J235)</f>
        <v>23776.15</v>
      </c>
      <c r="F235" s="21" t="n">
        <f aca="false">IFERROR(D235*E235,0)</f>
        <v>951.952621544328</v>
      </c>
      <c r="G235" s="9" t="n">
        <f aca="false">SUMIFS(PARÂMETROS!$F$8:$F$907,PARÂMETROS!$A$8:$A$907,C235,PARÂMETROS!$G$8:$G$907,J235)</f>
        <v>0</v>
      </c>
      <c r="H235" s="21" t="n">
        <f aca="false">IFERROR(F235*G235,0)</f>
        <v>0</v>
      </c>
      <c r="I235" s="21" t="n">
        <f aca="false">F235+H235</f>
        <v>951.952621544328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IF(B236="Clientes",SUMIFS(PARÂMETROS!$D$8:$D$907,PARÂMETROS!$A$8:$A$907,C236,PARÂMETROS!$G$8:$G$907,J236),SUMIFS(PARÂMETROS!$E$8:$E$907,PARÂMETROS!$A$8:$A$907,C236,PARÂMETROS!$G$8:$G$907,J236))</f>
        <v>0.0171591992373689</v>
      </c>
      <c r="E236" s="22" t="n">
        <f aca="false">SUMIFS(SETORES!$D:$D,SETORES!$A:$A,A236,SETORES!$F:$F,J236)</f>
        <v>23776.15</v>
      </c>
      <c r="F236" s="22" t="n">
        <f aca="false">IFERROR(D236*E236,0)</f>
        <v>407.979694947569</v>
      </c>
      <c r="G236" s="14" t="n">
        <f aca="false">SUMIFS(PARÂMETROS!$F$8:$F$907,PARÂMETROS!$A$8:$A$907,C236,PARÂMETROS!$G$8:$G$907,J236)</f>
        <v>0</v>
      </c>
      <c r="H236" s="22" t="n">
        <f aca="false">IFERROR(F236*G236,0)</f>
        <v>0</v>
      </c>
      <c r="I236" s="22" t="n">
        <f aca="false">F236+H236</f>
        <v>407.979694947569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IF(B237="Clientes",SUMIFS(PARÂMETROS!$D$8:$D$907,PARÂMETROS!$A$8:$A$907,C237,PARÂMETROS!$G$8:$G$907,J237),SUMIFS(PARÂMETROS!$E$8:$E$907,PARÂMETROS!$A$8:$A$907,C237,PARÂMETROS!$G$8:$G$907,J237))</f>
        <v>0.0162059103908484</v>
      </c>
      <c r="E237" s="21" t="n">
        <f aca="false">SUMIFS(SETORES!$D:$D,SETORES!$A:$A,A237,SETORES!$F:$F,J237)</f>
        <v>23776.15</v>
      </c>
      <c r="F237" s="21" t="n">
        <f aca="false">IFERROR(D237*E237,0)</f>
        <v>385.314156339371</v>
      </c>
      <c r="G237" s="9" t="n">
        <f aca="false">SUMIFS(PARÂMETROS!$F$8:$F$907,PARÂMETROS!$A$8:$A$907,C237,PARÂMETROS!$G$8:$G$907,J237)</f>
        <v>0</v>
      </c>
      <c r="H237" s="21" t="n">
        <f aca="false">IFERROR(F237*G237,0)</f>
        <v>0</v>
      </c>
      <c r="I237" s="21" t="n">
        <f aca="false">F237+H237</f>
        <v>385.314156339371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IF(B238="Clientes",SUMIFS(PARÂMETROS!$D$8:$D$907,PARÂMETROS!$A$8:$A$907,C238,PARÂMETROS!$G$8:$G$907,J238),SUMIFS(PARÂMETROS!$E$8:$E$907,PARÂMETROS!$A$8:$A$907,C238,PARÂMETROS!$G$8:$G$907,J238))</f>
        <v>0.813155386081983</v>
      </c>
      <c r="E238" s="22" t="n">
        <f aca="false">SUMIFS(SETORES!$D:$D,SETORES!$A:$A,A238,SETORES!$F:$F,J238)</f>
        <v>23776.15</v>
      </c>
      <c r="F238" s="22" t="n">
        <f aca="false">IFERROR(D238*E238,0)</f>
        <v>19333.7044327931</v>
      </c>
      <c r="G238" s="14" t="n">
        <f aca="false">SUMIFS(PARÂMETROS!$F$8:$F$907,PARÂMETROS!$A$8:$A$907,C238,PARÂMETROS!$G$8:$G$907,J238)</f>
        <v>0</v>
      </c>
      <c r="H238" s="22" t="n">
        <f aca="false">IFERROR(F238*G238,0)</f>
        <v>0</v>
      </c>
      <c r="I238" s="22" t="n">
        <f aca="false">F238+H238</f>
        <v>19333.7044327931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IF(B239="Clientes",SUMIFS(PARÂMETROS!$D$8:$D$907,PARÂMETROS!$A$8:$A$907,C239,PARÂMETROS!$G$8:$G$907,J239),SUMIFS(PARÂMETROS!$E$8:$E$907,PARÂMETROS!$A$8:$A$907,C239,PARÂMETROS!$G$8:$G$907,J239))</f>
        <v>0.0328233861399593</v>
      </c>
      <c r="E239" s="21" t="n">
        <f aca="false">SUMIFS(SETORES!$D:$D,SETORES!$A:$A,A239,SETORES!$F:$F,J239)</f>
        <v>48782.8532</v>
      </c>
      <c r="F239" s="21" t="n">
        <f aca="false">IFERROR(D239*E239,0)</f>
        <v>1601.21842759255</v>
      </c>
      <c r="G239" s="9" t="n">
        <f aca="false">SUMIFS(PARÂMETROS!$F$8:$F$907,PARÂMETROS!$A$8:$A$907,C239,PARÂMETROS!$G$8:$G$907,J239)</f>
        <v>0</v>
      </c>
      <c r="H239" s="21" t="n">
        <f aca="false">IFERROR(F239*G239,0)</f>
        <v>0</v>
      </c>
      <c r="I239" s="21" t="n">
        <f aca="false">F239+H239</f>
        <v>1601.21842759255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IF(B240="Clientes",SUMIFS(PARÂMETROS!$D$8:$D$907,PARÂMETROS!$A$8:$A$907,C240,PARÂMETROS!$G$8:$G$907,J240),SUMIFS(PARÂMETROS!$E$8:$E$907,PARÂMETROS!$A$8:$A$907,C240,PARÂMETROS!$G$8:$G$907,J240))</f>
        <v>0.0700476148165183</v>
      </c>
      <c r="E240" s="22" t="n">
        <f aca="false">SUMIFS(SETORES!$D:$D,SETORES!$A:$A,A240,SETORES!$F:$F,J240)</f>
        <v>48782.8532</v>
      </c>
      <c r="F240" s="22" t="n">
        <f aca="false">IFERROR(D240*E240,0)</f>
        <v>3417.12251060436</v>
      </c>
      <c r="G240" s="14" t="n">
        <f aca="false">SUMIFS(PARÂMETROS!$F$8:$F$907,PARÂMETROS!$A$8:$A$907,C240,PARÂMETROS!$G$8:$G$907,J240)</f>
        <v>0</v>
      </c>
      <c r="H240" s="22" t="n">
        <f aca="false">IFERROR(F240*G240,0)</f>
        <v>0</v>
      </c>
      <c r="I240" s="22" t="n">
        <f aca="false">F240+H240</f>
        <v>3417.12251060436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IF(B241="Clientes",SUMIFS(PARÂMETROS!$D$8:$D$907,PARÂMETROS!$A$8:$A$907,C241,PARÂMETROS!$G$8:$G$907,J241),SUMIFS(PARÂMETROS!$E$8:$E$907,PARÂMETROS!$A$8:$A$907,C241,PARÂMETROS!$G$8:$G$907,J241))</f>
        <v>0.074903176237541</v>
      </c>
      <c r="E241" s="21" t="n">
        <f aca="false">SUMIFS(SETORES!$D:$D,SETORES!$A:$A,A241,SETORES!$F:$F,J241)</f>
        <v>48782.8532</v>
      </c>
      <c r="F241" s="21" t="n">
        <f aca="false">IFERROR(D241*E241,0)</f>
        <v>3653.99065060969</v>
      </c>
      <c r="G241" s="9" t="n">
        <f aca="false">SUMIFS(PARÂMETROS!$F$8:$F$907,PARÂMETROS!$A$8:$A$907,C241,PARÂMETROS!$G$8:$G$907,J241)</f>
        <v>0</v>
      </c>
      <c r="H241" s="21" t="n">
        <f aca="false">IFERROR(F241*G241,0)</f>
        <v>0</v>
      </c>
      <c r="I241" s="21" t="n">
        <f aca="false">F241+H241</f>
        <v>3653.99065060969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IF(B242="Clientes",SUMIFS(PARÂMETROS!$D$8:$D$907,PARÂMETROS!$A$8:$A$907,C242,PARÂMETROS!$G$8:$G$907,J242),SUMIFS(PARÂMETROS!$E$8:$E$907,PARÂMETROS!$A$8:$A$907,C242,PARÂMETROS!$G$8:$G$907,J242))</f>
        <v>0.0190772865303904</v>
      </c>
      <c r="E242" s="22" t="n">
        <f aca="false">SUMIFS(SETORES!$D:$D,SETORES!$A:$A,A242,SETORES!$F:$F,J242)</f>
        <v>48782.8532</v>
      </c>
      <c r="F242" s="22" t="n">
        <f aca="false">IFERROR(D242*E242,0)</f>
        <v>930.644468266371</v>
      </c>
      <c r="G242" s="14" t="n">
        <f aca="false">SUMIFS(PARÂMETROS!$F$8:$F$907,PARÂMETROS!$A$8:$A$907,C242,PARÂMETROS!$G$8:$G$907,J242)</f>
        <v>0</v>
      </c>
      <c r="H242" s="22" t="n">
        <f aca="false">IFERROR(F242*G242,0)</f>
        <v>0</v>
      </c>
      <c r="I242" s="22" t="n">
        <f aca="false">F242+H242</f>
        <v>930.644468266371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IF(B243="Clientes",SUMIFS(PARÂMETROS!$D$8:$D$907,PARÂMETROS!$A$8:$A$907,C243,PARÂMETROS!$G$8:$G$907,J243),SUMIFS(PARÂMETROS!$E$8:$E$907,PARÂMETROS!$A$8:$A$907,C243,PARÂMETROS!$G$8:$G$907,J243))</f>
        <v>0.0334296779858567</v>
      </c>
      <c r="E243" s="21" t="n">
        <f aca="false">SUMIFS(SETORES!$D:$D,SETORES!$A:$A,A243,SETORES!$F:$F,J243)</f>
        <v>48782.8532</v>
      </c>
      <c r="F243" s="21" t="n">
        <f aca="false">IFERROR(D243*E243,0)</f>
        <v>1630.79507370732</v>
      </c>
      <c r="G243" s="9" t="n">
        <f aca="false">SUMIFS(PARÂMETROS!$F$8:$F$907,PARÂMETROS!$A$8:$A$907,C243,PARÂMETROS!$G$8:$G$907,J243)</f>
        <v>0</v>
      </c>
      <c r="H243" s="21" t="n">
        <f aca="false">IFERROR(F243*G243,0)</f>
        <v>0</v>
      </c>
      <c r="I243" s="21" t="n">
        <f aca="false">F243+H243</f>
        <v>1630.79507370732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IF(B244="Clientes",SUMIFS(PARÂMETROS!$D$8:$D$907,PARÂMETROS!$A$8:$A$907,C244,PARÂMETROS!$G$8:$G$907,J244),SUMIFS(PARÂMETROS!$E$8:$E$907,PARÂMETROS!$A$8:$A$907,C244,PARÂMETROS!$G$8:$G$907,J244))</f>
        <v>0.0247220726818484</v>
      </c>
      <c r="E244" s="22" t="n">
        <f aca="false">SUMIFS(SETORES!$D:$D,SETORES!$A:$A,A244,SETORES!$F:$F,J244)</f>
        <v>48782.8532</v>
      </c>
      <c r="F244" s="22" t="n">
        <f aca="false">IFERROR(D244*E244,0)</f>
        <v>1206.01324243834</v>
      </c>
      <c r="G244" s="14" t="n">
        <f aca="false">SUMIFS(PARÂMETROS!$F$8:$F$907,PARÂMETROS!$A$8:$A$907,C244,PARÂMETROS!$G$8:$G$907,J244)</f>
        <v>0</v>
      </c>
      <c r="H244" s="22" t="n">
        <f aca="false">IFERROR(F244*G244,0)</f>
        <v>0</v>
      </c>
      <c r="I244" s="22" t="n">
        <f aca="false">F244+H244</f>
        <v>1206.01324243834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IF(B245="Clientes",SUMIFS(PARÂMETROS!$D$8:$D$907,PARÂMETROS!$A$8:$A$907,C245,PARÂMETROS!$G$8:$G$907,J245),SUMIFS(PARÂMETROS!$E$8:$E$907,PARÂMETROS!$A$8:$A$907,C245,PARÂMETROS!$G$8:$G$907,J245))</f>
        <v>0.0249938586817334</v>
      </c>
      <c r="E245" s="21" t="n">
        <f aca="false">SUMIFS(SETORES!$D:$D,SETORES!$A:$A,A245,SETORES!$F:$F,J245)</f>
        <v>48782.8532</v>
      </c>
      <c r="F245" s="21" t="n">
        <f aca="false">IFERROR(D245*E245,0)</f>
        <v>1219.27173897254</v>
      </c>
      <c r="G245" s="9" t="n">
        <f aca="false">SUMIFS(PARÂMETROS!$F$8:$F$907,PARÂMETROS!$A$8:$A$907,C245,PARÂMETROS!$G$8:$G$907,J245)</f>
        <v>0</v>
      </c>
      <c r="H245" s="21" t="n">
        <f aca="false">IFERROR(F245*G245,0)</f>
        <v>0</v>
      </c>
      <c r="I245" s="21" t="n">
        <f aca="false">F245+H245</f>
        <v>1219.27173897254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IF(B246="Clientes",SUMIFS(PARÂMETROS!$D$8:$D$907,PARÂMETROS!$A$8:$A$907,C246,PARÂMETROS!$G$8:$G$907,J246),SUMIFS(PARÂMETROS!$E$8:$E$907,PARÂMETROS!$A$8:$A$907,C246,PARÂMETROS!$G$8:$G$907,J246))</f>
        <v>0.720002926926153</v>
      </c>
      <c r="E246" s="22" t="n">
        <f aca="false">SUMIFS(SETORES!$D:$D,SETORES!$A:$A,A246,SETORES!$F:$F,J246)</f>
        <v>48782.8532</v>
      </c>
      <c r="F246" s="22" t="n">
        <f aca="false">IFERROR(D246*E246,0)</f>
        <v>35123.7970878088</v>
      </c>
      <c r="G246" s="14" t="n">
        <f aca="false">SUMIFS(PARÂMETROS!$F$8:$F$907,PARÂMETROS!$A$8:$A$907,C246,PARÂMETROS!$G$8:$G$907,J246)</f>
        <v>0</v>
      </c>
      <c r="H246" s="22" t="n">
        <f aca="false">IFERROR(F246*G246,0)</f>
        <v>0</v>
      </c>
      <c r="I246" s="22" t="n">
        <f aca="false">F246+H246</f>
        <v>35123.7970878088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IF(B247="Clientes",SUMIFS(PARÂMETROS!$D$8:$D$907,PARÂMETROS!$A$8:$A$907,C247,PARÂMETROS!$G$8:$G$907,J247),SUMIFS(PARÂMETROS!$E$8:$E$907,PARÂMETROS!$A$8:$A$907,C247,PARÂMETROS!$G$8:$G$907,J247))</f>
        <v>0.0332383665716999</v>
      </c>
      <c r="E247" s="21" t="n">
        <f aca="false">SUMIFS(SETORES!$D:$D,SETORES!$A:$A,A247,SETORES!$F:$F,J247)</f>
        <v>30023.397644</v>
      </c>
      <c r="F247" s="21" t="n">
        <f aca="false">IFERROR(D247*E247,0)</f>
        <v>997.928696619183</v>
      </c>
      <c r="G247" s="9" t="n">
        <f aca="false">SUMIFS(PARÂMETROS!$F$8:$F$907,PARÂMETROS!$A$8:$A$907,C247,PARÂMETROS!$G$8:$G$907,J247)</f>
        <v>0</v>
      </c>
      <c r="H247" s="21" t="n">
        <f aca="false">IFERROR(F247*G247,0)</f>
        <v>0</v>
      </c>
      <c r="I247" s="21" t="n">
        <f aca="false">F247+H247</f>
        <v>997.928696619183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IF(B248="Clientes",SUMIFS(PARÂMETROS!$D$8:$D$907,PARÂMETROS!$A$8:$A$907,C248,PARÂMETROS!$G$8:$G$907,J248),SUMIFS(PARÂMETROS!$E$8:$E$907,PARÂMETROS!$A$8:$A$907,C248,PARÂMETROS!$G$8:$G$907,J248))</f>
        <v>0.0332383665716999</v>
      </c>
      <c r="E248" s="22" t="n">
        <f aca="false">SUMIFS(SETORES!$D:$D,SETORES!$A:$A,A248,SETORES!$F:$F,J248)</f>
        <v>30023.397644</v>
      </c>
      <c r="F248" s="22" t="n">
        <f aca="false">IFERROR(D248*E248,0)</f>
        <v>997.928696619183</v>
      </c>
      <c r="G248" s="14" t="n">
        <f aca="false">SUMIFS(PARÂMETROS!$F$8:$F$907,PARÂMETROS!$A$8:$A$907,C248,PARÂMETROS!$G$8:$G$907,J248)</f>
        <v>0</v>
      </c>
      <c r="H248" s="22" t="n">
        <f aca="false">IFERROR(F248*G248,0)</f>
        <v>0</v>
      </c>
      <c r="I248" s="22" t="n">
        <f aca="false">F248+H248</f>
        <v>997.928696619183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IF(B249="Clientes",SUMIFS(PARÂMETROS!$D$8:$D$907,PARÂMETROS!$A$8:$A$907,C249,PARÂMETROS!$G$8:$G$907,J249),SUMIFS(PARÂMETROS!$E$8:$E$907,PARÂMETROS!$A$8:$A$907,C249,PARÂMETROS!$G$8:$G$907,J249))</f>
        <v>0.0398860398860399</v>
      </c>
      <c r="E249" s="21" t="n">
        <f aca="false">SUMIFS(SETORES!$D:$D,SETORES!$A:$A,A249,SETORES!$F:$F,J249)</f>
        <v>30023.397644</v>
      </c>
      <c r="F249" s="21" t="n">
        <f aca="false">IFERROR(D249*E249,0)</f>
        <v>1197.51443594302</v>
      </c>
      <c r="G249" s="9" t="n">
        <f aca="false">SUMIFS(PARÂMETROS!$F$8:$F$907,PARÂMETROS!$A$8:$A$907,C249,PARÂMETROS!$G$8:$G$907,J249)</f>
        <v>0</v>
      </c>
      <c r="H249" s="21" t="n">
        <f aca="false">IFERROR(F249*G249,0)</f>
        <v>0</v>
      </c>
      <c r="I249" s="21" t="n">
        <f aca="false">F249+H249</f>
        <v>1197.51443594302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IF(B250="Clientes",SUMIFS(PARÂMETROS!$D$8:$D$907,PARÂMETROS!$A$8:$A$907,C250,PARÂMETROS!$G$8:$G$907,J250),SUMIFS(PARÂMETROS!$E$8:$E$907,PARÂMETROS!$A$8:$A$907,C250,PARÂMETROS!$G$8:$G$907,J250))</f>
        <v>0.0104463437796771</v>
      </c>
      <c r="E250" s="22" t="n">
        <f aca="false">SUMIFS(SETORES!$D:$D,SETORES!$A:$A,A250,SETORES!$F:$F,J250)</f>
        <v>30023.397644</v>
      </c>
      <c r="F250" s="22" t="n">
        <f aca="false">IFERROR(D250*E250,0)</f>
        <v>313.634733223172</v>
      </c>
      <c r="G250" s="14" t="n">
        <f aca="false">SUMIFS(PARÂMETROS!$F$8:$F$907,PARÂMETROS!$A$8:$A$907,C250,PARÂMETROS!$G$8:$G$907,J250)</f>
        <v>0</v>
      </c>
      <c r="H250" s="22" t="n">
        <f aca="false">IFERROR(F250*G250,0)</f>
        <v>0</v>
      </c>
      <c r="I250" s="22" t="n">
        <f aca="false">F250+H250</f>
        <v>313.634733223172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IF(B251="Clientes",SUMIFS(PARÂMETROS!$D$8:$D$907,PARÂMETROS!$A$8:$A$907,C251,PARÂMETROS!$G$8:$G$907,J251),SUMIFS(PARÂMETROS!$E$8:$E$907,PARÂMETROS!$A$8:$A$907,C251,PARÂMETROS!$G$8:$G$907,J251))</f>
        <v>0.0398860398860399</v>
      </c>
      <c r="E251" s="21" t="n">
        <f aca="false">SUMIFS(SETORES!$D:$D,SETORES!$A:$A,A251,SETORES!$F:$F,J251)</f>
        <v>30023.397644</v>
      </c>
      <c r="F251" s="21" t="n">
        <f aca="false">IFERROR(D251*E251,0)</f>
        <v>1197.51443594302</v>
      </c>
      <c r="G251" s="9" t="n">
        <f aca="false">SUMIFS(PARÂMETROS!$F$8:$F$907,PARÂMETROS!$A$8:$A$907,C251,PARÂMETROS!$G$8:$G$907,J251)</f>
        <v>0</v>
      </c>
      <c r="H251" s="21" t="n">
        <f aca="false">IFERROR(F251*G251,0)</f>
        <v>0</v>
      </c>
      <c r="I251" s="21" t="n">
        <f aca="false">F251+H251</f>
        <v>1197.51443594302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IF(B252="Clientes",SUMIFS(PARÂMETROS!$D$8:$D$907,PARÂMETROS!$A$8:$A$907,C252,PARÂMETROS!$G$8:$G$907,J252),SUMIFS(PARÂMETROS!$E$8:$E$907,PARÂMETROS!$A$8:$A$907,C252,PARÂMETROS!$G$8:$G$907,J252))</f>
        <v>0.0170940170940171</v>
      </c>
      <c r="E252" s="22" t="n">
        <f aca="false">SUMIFS(SETORES!$D:$D,SETORES!$A:$A,A252,SETORES!$F:$F,J252)</f>
        <v>30023.397644</v>
      </c>
      <c r="F252" s="22" t="n">
        <f aca="false">IFERROR(D252*E252,0)</f>
        <v>513.220472547009</v>
      </c>
      <c r="G252" s="14" t="n">
        <f aca="false">SUMIFS(PARÂMETROS!$F$8:$F$907,PARÂMETROS!$A$8:$A$907,C252,PARÂMETROS!$G$8:$G$907,J252)</f>
        <v>0</v>
      </c>
      <c r="H252" s="22" t="n">
        <f aca="false">IFERROR(F252*G252,0)</f>
        <v>0</v>
      </c>
      <c r="I252" s="22" t="n">
        <f aca="false">F252+H252</f>
        <v>513.220472547009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IF(B253="Clientes",SUMIFS(PARÂMETROS!$D$8:$D$907,PARÂMETROS!$A$8:$A$907,C253,PARÂMETROS!$G$8:$G$907,J253),SUMIFS(PARÂMETROS!$E$8:$E$907,PARÂMETROS!$A$8:$A$907,C253,PARÂMETROS!$G$8:$G$907,J253))</f>
        <v>0.0189933523266857</v>
      </c>
      <c r="E253" s="21" t="n">
        <f aca="false">SUMIFS(SETORES!$D:$D,SETORES!$A:$A,A253,SETORES!$F:$F,J253)</f>
        <v>30023.397644</v>
      </c>
      <c r="F253" s="21" t="n">
        <f aca="false">IFERROR(D253*E253,0)</f>
        <v>570.244969496676</v>
      </c>
      <c r="G253" s="9" t="n">
        <f aca="false">SUMIFS(PARÂMETROS!$F$8:$F$907,PARÂMETROS!$A$8:$A$907,C253,PARÂMETROS!$G$8:$G$907,J253)</f>
        <v>0</v>
      </c>
      <c r="H253" s="21" t="n">
        <f aca="false">IFERROR(F253*G253,0)</f>
        <v>0</v>
      </c>
      <c r="I253" s="21" t="n">
        <f aca="false">F253+H253</f>
        <v>570.244969496676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IF(B254="Clientes",SUMIFS(PARÂMETROS!$D$8:$D$907,PARÂMETROS!$A$8:$A$907,C254,PARÂMETROS!$G$8:$G$907,J254),SUMIFS(PARÂMETROS!$E$8:$E$907,PARÂMETROS!$A$8:$A$907,C254,PARÂMETROS!$G$8:$G$907,J254))</f>
        <v>0.807217473884141</v>
      </c>
      <c r="E254" s="22" t="n">
        <f aca="false">SUMIFS(SETORES!$D:$D,SETORES!$A:$A,A254,SETORES!$F:$F,J254)</f>
        <v>30023.397644</v>
      </c>
      <c r="F254" s="22" t="n">
        <f aca="false">IFERROR(D254*E254,0)</f>
        <v>24235.4112036087</v>
      </c>
      <c r="G254" s="14" t="n">
        <f aca="false">SUMIFS(PARÂMETROS!$F$8:$F$907,PARÂMETROS!$A$8:$A$907,C254,PARÂMETROS!$G$8:$G$907,J254)</f>
        <v>0</v>
      </c>
      <c r="H254" s="22" t="n">
        <f aca="false">IFERROR(F254*G254,0)</f>
        <v>0</v>
      </c>
      <c r="I254" s="22" t="n">
        <f aca="false">F254+H254</f>
        <v>24235.4112036087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IF(B255="Clientes",SUMIFS(PARÂMETROS!$D$8:$D$907,PARÂMETROS!$A$8:$A$907,C255,PARÂMETROS!$G$8:$G$907,J255),SUMIFS(PARÂMETROS!$E$8:$E$907,PARÂMETROS!$A$8:$A$907,C255,PARÂMETROS!$G$8:$G$907,J255))</f>
        <v>0.0332383665716999</v>
      </c>
      <c r="E255" s="21" t="n">
        <f aca="false">SUMIFS(SETORES!$D:$D,SETORES!$A:$A,A255,SETORES!$F:$F,J255)</f>
        <v>49826.4459</v>
      </c>
      <c r="F255" s="21" t="n">
        <f aca="false">IFERROR(D255*E255,0)</f>
        <v>1656.14967378917</v>
      </c>
      <c r="G255" s="9" t="n">
        <f aca="false">SUMIFS(PARÂMETROS!$F$8:$F$907,PARÂMETROS!$A$8:$A$907,C255,PARÂMETROS!$G$8:$G$907,J255)</f>
        <v>0</v>
      </c>
      <c r="H255" s="21" t="n">
        <f aca="false">IFERROR(F255*G255,0)</f>
        <v>0</v>
      </c>
      <c r="I255" s="21" t="n">
        <f aca="false">F255+H255</f>
        <v>1656.14967378917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IF(B256="Clientes",SUMIFS(PARÂMETROS!$D$8:$D$907,PARÂMETROS!$A$8:$A$907,C256,PARÂMETROS!$G$8:$G$907,J256),SUMIFS(PARÂMETROS!$E$8:$E$907,PARÂMETROS!$A$8:$A$907,C256,PARÂMETROS!$G$8:$G$907,J256))</f>
        <v>0.0332383665716999</v>
      </c>
      <c r="E256" s="22" t="n">
        <f aca="false">SUMIFS(SETORES!$D:$D,SETORES!$A:$A,A256,SETORES!$F:$F,J256)</f>
        <v>49826.4459</v>
      </c>
      <c r="F256" s="22" t="n">
        <f aca="false">IFERROR(D256*E256,0)</f>
        <v>1656.14967378917</v>
      </c>
      <c r="G256" s="14" t="n">
        <f aca="false">SUMIFS(PARÂMETROS!$F$8:$F$907,PARÂMETROS!$A$8:$A$907,C256,PARÂMETROS!$G$8:$G$907,J256)</f>
        <v>0</v>
      </c>
      <c r="H256" s="22" t="n">
        <f aca="false">IFERROR(F256*G256,0)</f>
        <v>0</v>
      </c>
      <c r="I256" s="22" t="n">
        <f aca="false">F256+H256</f>
        <v>1656.14967378917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IF(B257="Clientes",SUMIFS(PARÂMETROS!$D$8:$D$907,PARÂMETROS!$A$8:$A$907,C257,PARÂMETROS!$G$8:$G$907,J257),SUMIFS(PARÂMETROS!$E$8:$E$907,PARÂMETROS!$A$8:$A$907,C257,PARÂMETROS!$G$8:$G$907,J257))</f>
        <v>0.0398860398860399</v>
      </c>
      <c r="E257" s="21" t="n">
        <f aca="false">SUMIFS(SETORES!$D:$D,SETORES!$A:$A,A257,SETORES!$F:$F,J257)</f>
        <v>49826.4459</v>
      </c>
      <c r="F257" s="21" t="n">
        <f aca="false">IFERROR(D257*E257,0)</f>
        <v>1987.37960854701</v>
      </c>
      <c r="G257" s="9" t="n">
        <f aca="false">SUMIFS(PARÂMETROS!$F$8:$F$907,PARÂMETROS!$A$8:$A$907,C257,PARÂMETROS!$G$8:$G$907,J257)</f>
        <v>0</v>
      </c>
      <c r="H257" s="21" t="n">
        <f aca="false">IFERROR(F257*G257,0)</f>
        <v>0</v>
      </c>
      <c r="I257" s="21" t="n">
        <f aca="false">F257+H257</f>
        <v>1987.37960854701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IF(B258="Clientes",SUMIFS(PARÂMETROS!$D$8:$D$907,PARÂMETROS!$A$8:$A$907,C258,PARÂMETROS!$G$8:$G$907,J258),SUMIFS(PARÂMETROS!$E$8:$E$907,PARÂMETROS!$A$8:$A$907,C258,PARÂMETROS!$G$8:$G$907,J258))</f>
        <v>0.0104463437796771</v>
      </c>
      <c r="E258" s="22" t="n">
        <f aca="false">SUMIFS(SETORES!$D:$D,SETORES!$A:$A,A258,SETORES!$F:$F,J258)</f>
        <v>49826.4459</v>
      </c>
      <c r="F258" s="22" t="n">
        <f aca="false">IFERROR(D258*E258,0)</f>
        <v>520.504183190883</v>
      </c>
      <c r="G258" s="14" t="n">
        <f aca="false">SUMIFS(PARÂMETROS!$F$8:$F$907,PARÂMETROS!$A$8:$A$907,C258,PARÂMETROS!$G$8:$G$907,J258)</f>
        <v>0</v>
      </c>
      <c r="H258" s="22" t="n">
        <f aca="false">IFERROR(F258*G258,0)</f>
        <v>0</v>
      </c>
      <c r="I258" s="22" t="n">
        <f aca="false">F258+H258</f>
        <v>520.504183190883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IF(B259="Clientes",SUMIFS(PARÂMETROS!$D$8:$D$907,PARÂMETROS!$A$8:$A$907,C259,PARÂMETROS!$G$8:$G$907,J259),SUMIFS(PARÂMETROS!$E$8:$E$907,PARÂMETROS!$A$8:$A$907,C259,PARÂMETROS!$G$8:$G$907,J259))</f>
        <v>0.0398860398860399</v>
      </c>
      <c r="E259" s="21" t="n">
        <f aca="false">SUMIFS(SETORES!$D:$D,SETORES!$A:$A,A259,SETORES!$F:$F,J259)</f>
        <v>49826.4459</v>
      </c>
      <c r="F259" s="21" t="n">
        <f aca="false">IFERROR(D259*E259,0)</f>
        <v>1987.37960854701</v>
      </c>
      <c r="G259" s="9" t="n">
        <f aca="false">SUMIFS(PARÂMETROS!$F$8:$F$907,PARÂMETROS!$A$8:$A$907,C259,PARÂMETROS!$G$8:$G$907,J259)</f>
        <v>0</v>
      </c>
      <c r="H259" s="21" t="n">
        <f aca="false">IFERROR(F259*G259,0)</f>
        <v>0</v>
      </c>
      <c r="I259" s="21" t="n">
        <f aca="false">F259+H259</f>
        <v>1987.37960854701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IF(B260="Clientes",SUMIFS(PARÂMETROS!$D$8:$D$907,PARÂMETROS!$A$8:$A$907,C260,PARÂMETROS!$G$8:$G$907,J260),SUMIFS(PARÂMETROS!$E$8:$E$907,PARÂMETROS!$A$8:$A$907,C260,PARÂMETROS!$G$8:$G$907,J260))</f>
        <v>0.0170940170940171</v>
      </c>
      <c r="E260" s="22" t="n">
        <f aca="false">SUMIFS(SETORES!$D:$D,SETORES!$A:$A,A260,SETORES!$F:$F,J260)</f>
        <v>49826.4459</v>
      </c>
      <c r="F260" s="22" t="n">
        <f aca="false">IFERROR(D260*E260,0)</f>
        <v>851.734117948718</v>
      </c>
      <c r="G260" s="14" t="n">
        <f aca="false">SUMIFS(PARÂMETROS!$F$8:$F$907,PARÂMETROS!$A$8:$A$907,C260,PARÂMETROS!$G$8:$G$907,J260)</f>
        <v>0</v>
      </c>
      <c r="H260" s="22" t="n">
        <f aca="false">IFERROR(F260*G260,0)</f>
        <v>0</v>
      </c>
      <c r="I260" s="22" t="n">
        <f aca="false">F260+H260</f>
        <v>851.734117948718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IF(B261="Clientes",SUMIFS(PARÂMETROS!$D$8:$D$907,PARÂMETROS!$A$8:$A$907,C261,PARÂMETROS!$G$8:$G$907,J261),SUMIFS(PARÂMETROS!$E$8:$E$907,PARÂMETROS!$A$8:$A$907,C261,PARÂMETROS!$G$8:$G$907,J261))</f>
        <v>0.0189933523266857</v>
      </c>
      <c r="E261" s="21" t="n">
        <f aca="false">SUMIFS(SETORES!$D:$D,SETORES!$A:$A,A261,SETORES!$F:$F,J261)</f>
        <v>49826.4459</v>
      </c>
      <c r="F261" s="21" t="n">
        <f aca="false">IFERROR(D261*E261,0)</f>
        <v>946.371242165242</v>
      </c>
      <c r="G261" s="9" t="n">
        <f aca="false">SUMIFS(PARÂMETROS!$F$8:$F$907,PARÂMETROS!$A$8:$A$907,C261,PARÂMETROS!$G$8:$G$907,J261)</f>
        <v>0</v>
      </c>
      <c r="H261" s="21" t="n">
        <f aca="false">IFERROR(F261*G261,0)</f>
        <v>0</v>
      </c>
      <c r="I261" s="21" t="n">
        <f aca="false">F261+H261</f>
        <v>946.371242165242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IF(B262="Clientes",SUMIFS(PARÂMETROS!$D$8:$D$907,PARÂMETROS!$A$8:$A$907,C262,PARÂMETROS!$G$8:$G$907,J262),SUMIFS(PARÂMETROS!$E$8:$E$907,PARÂMETROS!$A$8:$A$907,C262,PARÂMETROS!$G$8:$G$907,J262))</f>
        <v>0.807217473884141</v>
      </c>
      <c r="E262" s="22" t="n">
        <f aca="false">SUMIFS(SETORES!$D:$D,SETORES!$A:$A,A262,SETORES!$F:$F,J262)</f>
        <v>49826.4459</v>
      </c>
      <c r="F262" s="22" t="n">
        <f aca="false">IFERROR(D262*E262,0)</f>
        <v>40220.7777920228</v>
      </c>
      <c r="G262" s="14" t="n">
        <f aca="false">SUMIFS(PARÂMETROS!$F$8:$F$907,PARÂMETROS!$A$8:$A$907,C262,PARÂMETROS!$G$8:$G$907,J262)</f>
        <v>0</v>
      </c>
      <c r="H262" s="22" t="n">
        <f aca="false">IFERROR(F262*G262,0)</f>
        <v>0</v>
      </c>
      <c r="I262" s="22" t="n">
        <f aca="false">F262+H262</f>
        <v>40220.7777920228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IF(B263="Clientes",SUMIFS(PARÂMETROS!$D$8:$D$907,PARÂMETROS!$A$8:$A$907,C263,PARÂMETROS!$G$8:$G$907,J263),SUMIFS(PARÂMETROS!$E$8:$E$907,PARÂMETROS!$A$8:$A$907,C263,PARÂMETROS!$G$8:$G$907,J263))</f>
        <v>0.0328233861399593</v>
      </c>
      <c r="E263" s="21" t="n">
        <f aca="false">SUMIFS(SETORES!$D:$D,SETORES!$A:$A,A263,SETORES!$F:$F,J263)</f>
        <v>35247.309555</v>
      </c>
      <c r="F263" s="21" t="n">
        <f aca="false">IFERROR(D263*E263,0)</f>
        <v>1156.93605191844</v>
      </c>
      <c r="G263" s="9" t="n">
        <f aca="false">SUMIFS(PARÂMETROS!$F$8:$F$907,PARÂMETROS!$A$8:$A$907,C263,PARÂMETROS!$G$8:$G$907,J263)</f>
        <v>0</v>
      </c>
      <c r="H263" s="21" t="n">
        <f aca="false">IFERROR(F263*G263,0)</f>
        <v>0</v>
      </c>
      <c r="I263" s="21" t="n">
        <f aca="false">F263+H263</f>
        <v>1156.93605191844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IF(B264="Clientes",SUMIFS(PARÂMETROS!$D$8:$D$907,PARÂMETROS!$A$8:$A$907,C264,PARÂMETROS!$G$8:$G$907,J264),SUMIFS(PARÂMETROS!$E$8:$E$907,PARÂMETROS!$A$8:$A$907,C264,PARÂMETROS!$G$8:$G$907,J264))</f>
        <v>0.0700476148165183</v>
      </c>
      <c r="E264" s="22" t="n">
        <f aca="false">SUMIFS(SETORES!$D:$D,SETORES!$A:$A,A264,SETORES!$F:$F,J264)</f>
        <v>35247.309555</v>
      </c>
      <c r="F264" s="22" t="n">
        <f aca="false">IFERROR(D264*E264,0)</f>
        <v>2468.98996302723</v>
      </c>
      <c r="G264" s="14" t="n">
        <f aca="false">SUMIFS(PARÂMETROS!$F$8:$F$907,PARÂMETROS!$A$8:$A$907,C264,PARÂMETROS!$G$8:$G$907,J264)</f>
        <v>0</v>
      </c>
      <c r="H264" s="22" t="n">
        <f aca="false">IFERROR(F264*G264,0)</f>
        <v>0</v>
      </c>
      <c r="I264" s="22" t="n">
        <f aca="false">F264+H264</f>
        <v>2468.98996302723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IF(B265="Clientes",SUMIFS(PARÂMETROS!$D$8:$D$907,PARÂMETROS!$A$8:$A$907,C265,PARÂMETROS!$G$8:$G$907,J265),SUMIFS(PARÂMETROS!$E$8:$E$907,PARÂMETROS!$A$8:$A$907,C265,PARÂMETROS!$G$8:$G$907,J265))</f>
        <v>0.074903176237541</v>
      </c>
      <c r="E265" s="21" t="n">
        <f aca="false">SUMIFS(SETORES!$D:$D,SETORES!$A:$A,A265,SETORES!$F:$F,J265)</f>
        <v>35247.309555</v>
      </c>
      <c r="F265" s="21" t="n">
        <f aca="false">IFERROR(D265*E265,0)</f>
        <v>2640.13543949733</v>
      </c>
      <c r="G265" s="9" t="n">
        <f aca="false">SUMIFS(PARÂMETROS!$F$8:$F$907,PARÂMETROS!$A$8:$A$907,C265,PARÂMETROS!$G$8:$G$907,J265)</f>
        <v>0</v>
      </c>
      <c r="H265" s="21" t="n">
        <f aca="false">IFERROR(F265*G265,0)</f>
        <v>0</v>
      </c>
      <c r="I265" s="21" t="n">
        <f aca="false">F265+H265</f>
        <v>2640.13543949733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IF(B266="Clientes",SUMIFS(PARÂMETROS!$D$8:$D$907,PARÂMETROS!$A$8:$A$907,C266,PARÂMETROS!$G$8:$G$907,J266),SUMIFS(PARÂMETROS!$E$8:$E$907,PARÂMETROS!$A$8:$A$907,C266,PARÂMETROS!$G$8:$G$907,J266))</f>
        <v>0.0190772865303904</v>
      </c>
      <c r="E266" s="22" t="n">
        <f aca="false">SUMIFS(SETORES!$D:$D,SETORES!$A:$A,A266,SETORES!$F:$F,J266)</f>
        <v>35247.309555</v>
      </c>
      <c r="F266" s="22" t="n">
        <f aca="false">IFERROR(D266*E266,0)</f>
        <v>672.423023806102</v>
      </c>
      <c r="G266" s="14" t="n">
        <f aca="false">SUMIFS(PARÂMETROS!$F$8:$F$907,PARÂMETROS!$A$8:$A$907,C266,PARÂMETROS!$G$8:$G$907,J266)</f>
        <v>0</v>
      </c>
      <c r="H266" s="22" t="n">
        <f aca="false">IFERROR(F266*G266,0)</f>
        <v>0</v>
      </c>
      <c r="I266" s="22" t="n">
        <f aca="false">F266+H266</f>
        <v>672.423023806102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IF(B267="Clientes",SUMIFS(PARÂMETROS!$D$8:$D$907,PARÂMETROS!$A$8:$A$907,C267,PARÂMETROS!$G$8:$G$907,J267),SUMIFS(PARÂMETROS!$E$8:$E$907,PARÂMETROS!$A$8:$A$907,C267,PARÂMETROS!$G$8:$G$907,J267))</f>
        <v>0.0334296779858567</v>
      </c>
      <c r="E267" s="21" t="n">
        <f aca="false">SUMIFS(SETORES!$D:$D,SETORES!$A:$A,A267,SETORES!$F:$F,J267)</f>
        <v>35247.309555</v>
      </c>
      <c r="F267" s="21" t="n">
        <f aca="false">IFERROR(D267*E267,0)</f>
        <v>1178.30620829146</v>
      </c>
      <c r="G267" s="9" t="n">
        <f aca="false">SUMIFS(PARÂMETROS!$F$8:$F$907,PARÂMETROS!$A$8:$A$907,C267,PARÂMETROS!$G$8:$G$907,J267)</f>
        <v>0</v>
      </c>
      <c r="H267" s="21" t="n">
        <f aca="false">IFERROR(F267*G267,0)</f>
        <v>0</v>
      </c>
      <c r="I267" s="21" t="n">
        <f aca="false">F267+H267</f>
        <v>1178.30620829146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IF(B268="Clientes",SUMIFS(PARÂMETROS!$D$8:$D$907,PARÂMETROS!$A$8:$A$907,C268,PARÂMETROS!$G$8:$G$907,J268),SUMIFS(PARÂMETROS!$E$8:$E$907,PARÂMETROS!$A$8:$A$907,C268,PARÂMETROS!$G$8:$G$907,J268))</f>
        <v>0.0247220726818484</v>
      </c>
      <c r="E268" s="22" t="n">
        <f aca="false">SUMIFS(SETORES!$D:$D,SETORES!$A:$A,A268,SETORES!$F:$F,J268)</f>
        <v>35247.309555</v>
      </c>
      <c r="F268" s="22" t="n">
        <f aca="false">IFERROR(D268*E268,0)</f>
        <v>871.386548658318</v>
      </c>
      <c r="G268" s="14" t="n">
        <f aca="false">SUMIFS(PARÂMETROS!$F$8:$F$907,PARÂMETROS!$A$8:$A$907,C268,PARÂMETROS!$G$8:$G$907,J268)</f>
        <v>0</v>
      </c>
      <c r="H268" s="22" t="n">
        <f aca="false">IFERROR(F268*G268,0)</f>
        <v>0</v>
      </c>
      <c r="I268" s="22" t="n">
        <f aca="false">F268+H268</f>
        <v>871.386548658318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IF(B269="Clientes",SUMIFS(PARÂMETROS!$D$8:$D$907,PARÂMETROS!$A$8:$A$907,C269,PARÂMETROS!$G$8:$G$907,J269),SUMIFS(PARÂMETROS!$E$8:$E$907,PARÂMETROS!$A$8:$A$907,C269,PARÂMETROS!$G$8:$G$907,J269))</f>
        <v>0.0249938586817334</v>
      </c>
      <c r="E269" s="21" t="n">
        <f aca="false">SUMIFS(SETORES!$D:$D,SETORES!$A:$A,A269,SETORES!$F:$F,J269)</f>
        <v>35247.309555</v>
      </c>
      <c r="F269" s="21" t="n">
        <f aca="false">IFERROR(D269*E269,0)</f>
        <v>880.96627392898</v>
      </c>
      <c r="G269" s="9" t="n">
        <f aca="false">SUMIFS(PARÂMETROS!$F$8:$F$907,PARÂMETROS!$A$8:$A$907,C269,PARÂMETROS!$G$8:$G$907,J269)</f>
        <v>0</v>
      </c>
      <c r="H269" s="21" t="n">
        <f aca="false">IFERROR(F269*G269,0)</f>
        <v>0</v>
      </c>
      <c r="I269" s="21" t="n">
        <f aca="false">F269+H269</f>
        <v>880.96627392898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IF(B270="Clientes",SUMIFS(PARÂMETROS!$D$8:$D$907,PARÂMETROS!$A$8:$A$907,C270,PARÂMETROS!$G$8:$G$907,J270),SUMIFS(PARÂMETROS!$E$8:$E$907,PARÂMETROS!$A$8:$A$907,C270,PARÂMETROS!$G$8:$G$907,J270))</f>
        <v>0.720002926926153</v>
      </c>
      <c r="E270" s="22" t="n">
        <f aca="false">SUMIFS(SETORES!$D:$D,SETORES!$A:$A,A270,SETORES!$F:$F,J270)</f>
        <v>35247.309555</v>
      </c>
      <c r="F270" s="22" t="n">
        <f aca="false">IFERROR(D270*E270,0)</f>
        <v>25378.1660458721</v>
      </c>
      <c r="G270" s="14" t="n">
        <f aca="false">SUMIFS(PARÂMETROS!$F$8:$F$907,PARÂMETROS!$A$8:$A$907,C270,PARÂMETROS!$G$8:$G$907,J270)</f>
        <v>0</v>
      </c>
      <c r="H270" s="22" t="n">
        <f aca="false">IFERROR(F270*G270,0)</f>
        <v>0</v>
      </c>
      <c r="I270" s="22" t="n">
        <f aca="false">F270+H270</f>
        <v>25378.1660458721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IF(B271="Clientes",SUMIFS(PARÂMETROS!$D$8:$D$907,PARÂMETROS!$A$8:$A$907,C271,PARÂMETROS!$G$8:$G$907,J271),SUMIFS(PARÂMETROS!$E$8:$E$907,PARÂMETROS!$A$8:$A$907,C271,PARÂMETROS!$G$8:$G$907,J271))</f>
        <v>0.0328233861399593</v>
      </c>
      <c r="E271" s="21" t="n">
        <f aca="false">SUMIFS(SETORES!$D:$D,SETORES!$A:$A,A271,SETORES!$F:$F,J271)</f>
        <v>16366.8932</v>
      </c>
      <c r="F271" s="21" t="n">
        <f aca="false">IFERROR(D271*E271,0)</f>
        <v>537.216855415075</v>
      </c>
      <c r="G271" s="9" t="n">
        <f aca="false">SUMIFS(PARÂMETROS!$F$8:$F$907,PARÂMETROS!$A$8:$A$907,C271,PARÂMETROS!$G$8:$G$907,J271)</f>
        <v>0</v>
      </c>
      <c r="H271" s="21" t="n">
        <f aca="false">IFERROR(F271*G271,0)</f>
        <v>0</v>
      </c>
      <c r="I271" s="21" t="n">
        <f aca="false">F271+H271</f>
        <v>537.216855415075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IF(B272="Clientes",SUMIFS(PARÂMETROS!$D$8:$D$907,PARÂMETROS!$A$8:$A$907,C272,PARÂMETROS!$G$8:$G$907,J272),SUMIFS(PARÂMETROS!$E$8:$E$907,PARÂMETROS!$A$8:$A$907,C272,PARÂMETROS!$G$8:$G$907,J272))</f>
        <v>0.0700476148165183</v>
      </c>
      <c r="E272" s="22" t="n">
        <f aca="false">SUMIFS(SETORES!$D:$D,SETORES!$A:$A,A272,SETORES!$F:$F,J272)</f>
        <v>16366.8932</v>
      </c>
      <c r="F272" s="22" t="n">
        <f aca="false">IFERROR(D272*E272,0)</f>
        <v>1146.46183061669</v>
      </c>
      <c r="G272" s="14" t="n">
        <f aca="false">SUMIFS(PARÂMETROS!$F$8:$F$907,PARÂMETROS!$A$8:$A$907,C272,PARÂMETROS!$G$8:$G$907,J272)</f>
        <v>0</v>
      </c>
      <c r="H272" s="22" t="n">
        <f aca="false">IFERROR(F272*G272,0)</f>
        <v>0</v>
      </c>
      <c r="I272" s="22" t="n">
        <f aca="false">F272+H272</f>
        <v>1146.46183061669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IF(B273="Clientes",SUMIFS(PARÂMETROS!$D$8:$D$907,PARÂMETROS!$A$8:$A$907,C273,PARÂMETROS!$G$8:$G$907,J273),SUMIFS(PARÂMETROS!$E$8:$E$907,PARÂMETROS!$A$8:$A$907,C273,PARÂMETROS!$G$8:$G$907,J273))</f>
        <v>0.074903176237541</v>
      </c>
      <c r="E273" s="21" t="n">
        <f aca="false">SUMIFS(SETORES!$D:$D,SETORES!$A:$A,A273,SETORES!$F:$F,J273)</f>
        <v>16366.8932</v>
      </c>
      <c r="F273" s="21" t="n">
        <f aca="false">IFERROR(D273*E273,0)</f>
        <v>1225.93228582061</v>
      </c>
      <c r="G273" s="9" t="n">
        <f aca="false">SUMIFS(PARÂMETROS!$F$8:$F$907,PARÂMETROS!$A$8:$A$907,C273,PARÂMETROS!$G$8:$G$907,J273)</f>
        <v>0</v>
      </c>
      <c r="H273" s="21" t="n">
        <f aca="false">IFERROR(F273*G273,0)</f>
        <v>0</v>
      </c>
      <c r="I273" s="21" t="n">
        <f aca="false">F273+H273</f>
        <v>1225.93228582061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IF(B274="Clientes",SUMIFS(PARÂMETROS!$D$8:$D$907,PARÂMETROS!$A$8:$A$907,C274,PARÂMETROS!$G$8:$G$907,J274),SUMIFS(PARÂMETROS!$E$8:$E$907,PARÂMETROS!$A$8:$A$907,C274,PARÂMETROS!$G$8:$G$907,J274))</f>
        <v>0.0190772865303904</v>
      </c>
      <c r="E274" s="22" t="n">
        <f aca="false">SUMIFS(SETORES!$D:$D,SETORES!$A:$A,A274,SETORES!$F:$F,J274)</f>
        <v>16366.8932</v>
      </c>
      <c r="F274" s="22" t="n">
        <f aca="false">IFERROR(D274*E274,0)</f>
        <v>312.235911188698</v>
      </c>
      <c r="G274" s="14" t="n">
        <f aca="false">SUMIFS(PARÂMETROS!$F$8:$F$907,PARÂMETROS!$A$8:$A$907,C274,PARÂMETROS!$G$8:$G$907,J274)</f>
        <v>0</v>
      </c>
      <c r="H274" s="22" t="n">
        <f aca="false">IFERROR(F274*G274,0)</f>
        <v>0</v>
      </c>
      <c r="I274" s="22" t="n">
        <f aca="false">F274+H274</f>
        <v>312.235911188698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IF(B275="Clientes",SUMIFS(PARÂMETROS!$D$8:$D$907,PARÂMETROS!$A$8:$A$907,C275,PARÂMETROS!$G$8:$G$907,J275),SUMIFS(PARÂMETROS!$E$8:$E$907,PARÂMETROS!$A$8:$A$907,C275,PARÂMETROS!$G$8:$G$907,J275))</f>
        <v>0.0334296779858567</v>
      </c>
      <c r="E275" s="21" t="n">
        <f aca="false">SUMIFS(SETORES!$D:$D,SETORES!$A:$A,A275,SETORES!$F:$F,J275)</f>
        <v>16366.8932</v>
      </c>
      <c r="F275" s="21" t="n">
        <f aca="false">IFERROR(D275*E275,0)</f>
        <v>547.139969304907</v>
      </c>
      <c r="G275" s="9" t="n">
        <f aca="false">SUMIFS(PARÂMETROS!$F$8:$F$907,PARÂMETROS!$A$8:$A$907,C275,PARÂMETROS!$G$8:$G$907,J275)</f>
        <v>0</v>
      </c>
      <c r="H275" s="21" t="n">
        <f aca="false">IFERROR(F275*G275,0)</f>
        <v>0</v>
      </c>
      <c r="I275" s="21" t="n">
        <f aca="false">F275+H275</f>
        <v>547.139969304907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IF(B276="Clientes",SUMIFS(PARÂMETROS!$D$8:$D$907,PARÂMETROS!$A$8:$A$907,C276,PARÂMETROS!$G$8:$G$907,J276),SUMIFS(PARÂMETROS!$E$8:$E$907,PARÂMETROS!$A$8:$A$907,C276,PARÂMETROS!$G$8:$G$907,J276))</f>
        <v>0.0247220726818484</v>
      </c>
      <c r="E276" s="22" t="n">
        <f aca="false">SUMIFS(SETORES!$D:$D,SETORES!$A:$A,A276,SETORES!$F:$F,J276)</f>
        <v>16366.8932</v>
      </c>
      <c r="F276" s="22" t="n">
        <f aca="false">IFERROR(D276*E276,0)</f>
        <v>404.62352326645</v>
      </c>
      <c r="G276" s="14" t="n">
        <f aca="false">SUMIFS(PARÂMETROS!$F$8:$F$907,PARÂMETROS!$A$8:$A$907,C276,PARÂMETROS!$G$8:$G$907,J276)</f>
        <v>0</v>
      </c>
      <c r="H276" s="22" t="n">
        <f aca="false">IFERROR(F276*G276,0)</f>
        <v>0</v>
      </c>
      <c r="I276" s="22" t="n">
        <f aca="false">F276+H276</f>
        <v>404.62352326645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IF(B277="Clientes",SUMIFS(PARÂMETROS!$D$8:$D$907,PARÂMETROS!$A$8:$A$907,C277,PARÂMETROS!$G$8:$G$907,J277),SUMIFS(PARÂMETROS!$E$8:$E$907,PARÂMETROS!$A$8:$A$907,C277,PARÂMETROS!$G$8:$G$907,J277))</f>
        <v>0.0249938586817334</v>
      </c>
      <c r="E277" s="21" t="n">
        <f aca="false">SUMIFS(SETORES!$D:$D,SETORES!$A:$A,A277,SETORES!$F:$F,J277)</f>
        <v>16366.8932</v>
      </c>
      <c r="F277" s="21" t="n">
        <f aca="false">IFERROR(D277*E277,0)</f>
        <v>409.071815699823</v>
      </c>
      <c r="G277" s="9" t="n">
        <f aca="false">SUMIFS(PARÂMETROS!$F$8:$F$907,PARÂMETROS!$A$8:$A$907,C277,PARÂMETROS!$G$8:$G$907,J277)</f>
        <v>0</v>
      </c>
      <c r="H277" s="21" t="n">
        <f aca="false">IFERROR(F277*G277,0)</f>
        <v>0</v>
      </c>
      <c r="I277" s="21" t="n">
        <f aca="false">F277+H277</f>
        <v>409.071815699823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IF(B278="Clientes",SUMIFS(PARÂMETROS!$D$8:$D$907,PARÂMETROS!$A$8:$A$907,C278,PARÂMETROS!$G$8:$G$907,J278),SUMIFS(PARÂMETROS!$E$8:$E$907,PARÂMETROS!$A$8:$A$907,C278,PARÂMETROS!$G$8:$G$907,J278))</f>
        <v>0.720002926926153</v>
      </c>
      <c r="E278" s="22" t="n">
        <f aca="false">SUMIFS(SETORES!$D:$D,SETORES!$A:$A,A278,SETORES!$F:$F,J278)</f>
        <v>16366.8932</v>
      </c>
      <c r="F278" s="22" t="n">
        <f aca="false">IFERROR(D278*E278,0)</f>
        <v>11784.2110086877</v>
      </c>
      <c r="G278" s="14" t="n">
        <f aca="false">SUMIFS(PARÂMETROS!$F$8:$F$907,PARÂMETROS!$A$8:$A$907,C278,PARÂMETROS!$G$8:$G$907,J278)</f>
        <v>0</v>
      </c>
      <c r="H278" s="22" t="n">
        <f aca="false">IFERROR(F278*G278,0)</f>
        <v>0</v>
      </c>
      <c r="I278" s="22" t="n">
        <f aca="false">F278+H278</f>
        <v>11784.2110086877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IF(B279="Clientes",SUMIFS(PARÂMETROS!$D$8:$D$907,PARÂMETROS!$A$8:$A$907,C279,PARÂMETROS!$G$8:$G$907,J279),SUMIFS(PARÂMETROS!$E$8:$E$907,PARÂMETROS!$A$8:$A$907,C279,PARÂMETROS!$G$8:$G$907,J279))</f>
        <v>0.0328233861399593</v>
      </c>
      <c r="E279" s="21" t="n">
        <f aca="false">SUMIFS(SETORES!$D:$D,SETORES!$A:$A,A279,SETORES!$F:$F,J279)</f>
        <v>71467.0056</v>
      </c>
      <c r="F279" s="21" t="n">
        <f aca="false">IFERROR(D279*E279,0)</f>
        <v>2345.78912107544</v>
      </c>
      <c r="G279" s="9" t="n">
        <f aca="false">SUMIFS(PARÂMETROS!$F$8:$F$907,PARÂMETROS!$A$8:$A$907,C279,PARÂMETROS!$G$8:$G$907,J279)</f>
        <v>0</v>
      </c>
      <c r="H279" s="21" t="n">
        <f aca="false">IFERROR(F279*G279,0)</f>
        <v>0</v>
      </c>
      <c r="I279" s="21" t="n">
        <f aca="false">F279+H279</f>
        <v>2345.78912107544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IF(B280="Clientes",SUMIFS(PARÂMETROS!$D$8:$D$907,PARÂMETROS!$A$8:$A$907,C280,PARÂMETROS!$G$8:$G$907,J280),SUMIFS(PARÂMETROS!$E$8:$E$907,PARÂMETROS!$A$8:$A$907,C280,PARÂMETROS!$G$8:$G$907,J280))</f>
        <v>0.0700476148165183</v>
      </c>
      <c r="E280" s="22" t="n">
        <f aca="false">SUMIFS(SETORES!$D:$D,SETORES!$A:$A,A280,SETORES!$F:$F,J280)</f>
        <v>71467.0056</v>
      </c>
      <c r="F280" s="22" t="n">
        <f aca="false">IFERROR(D280*E280,0)</f>
        <v>5006.09328035876</v>
      </c>
      <c r="G280" s="14" t="n">
        <f aca="false">SUMIFS(PARÂMETROS!$F$8:$F$907,PARÂMETROS!$A$8:$A$907,C280,PARÂMETROS!$G$8:$G$907,J280)</f>
        <v>0</v>
      </c>
      <c r="H280" s="22" t="n">
        <f aca="false">IFERROR(F280*G280,0)</f>
        <v>0</v>
      </c>
      <c r="I280" s="22" t="n">
        <f aca="false">F280+H280</f>
        <v>5006.09328035876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IF(B281="Clientes",SUMIFS(PARÂMETROS!$D$8:$D$907,PARÂMETROS!$A$8:$A$907,C281,PARÂMETROS!$G$8:$G$907,J281),SUMIFS(PARÂMETROS!$E$8:$E$907,PARÂMETROS!$A$8:$A$907,C281,PARÂMETROS!$G$8:$G$907,J281))</f>
        <v>0.074903176237541</v>
      </c>
      <c r="E281" s="21" t="n">
        <f aca="false">SUMIFS(SETORES!$D:$D,SETORES!$A:$A,A281,SETORES!$F:$F,J281)</f>
        <v>71467.0056</v>
      </c>
      <c r="F281" s="21" t="n">
        <f aca="false">IFERROR(D281*E281,0)</f>
        <v>5353.10571562613</v>
      </c>
      <c r="G281" s="9" t="n">
        <f aca="false">SUMIFS(PARÂMETROS!$F$8:$F$907,PARÂMETROS!$A$8:$A$907,C281,PARÂMETROS!$G$8:$G$907,J281)</f>
        <v>0</v>
      </c>
      <c r="H281" s="21" t="n">
        <f aca="false">IFERROR(F281*G281,0)</f>
        <v>0</v>
      </c>
      <c r="I281" s="21" t="n">
        <f aca="false">F281+H281</f>
        <v>5353.10571562613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IF(B282="Clientes",SUMIFS(PARÂMETROS!$D$8:$D$907,PARÂMETROS!$A$8:$A$907,C282,PARÂMETROS!$G$8:$G$907,J282),SUMIFS(PARÂMETROS!$E$8:$E$907,PARÂMETROS!$A$8:$A$907,C282,PARÂMETROS!$G$8:$G$907,J282))</f>
        <v>0.0190772865303904</v>
      </c>
      <c r="E282" s="22" t="n">
        <f aca="false">SUMIFS(SETORES!$D:$D,SETORES!$A:$A,A282,SETORES!$F:$F,J282)</f>
        <v>71467.0056</v>
      </c>
      <c r="F282" s="22" t="n">
        <f aca="false">IFERROR(D282*E282,0)</f>
        <v>1363.39654330021</v>
      </c>
      <c r="G282" s="14" t="n">
        <f aca="false">SUMIFS(PARÂMETROS!$F$8:$F$907,PARÂMETROS!$A$8:$A$907,C282,PARÂMETROS!$G$8:$G$907,J282)</f>
        <v>0</v>
      </c>
      <c r="H282" s="22" t="n">
        <f aca="false">IFERROR(F282*G282,0)</f>
        <v>0</v>
      </c>
      <c r="I282" s="22" t="n">
        <f aca="false">F282+H282</f>
        <v>1363.39654330021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IF(B283="Clientes",SUMIFS(PARÂMETROS!$D$8:$D$907,PARÂMETROS!$A$8:$A$907,C283,PARÂMETROS!$G$8:$G$907,J283),SUMIFS(PARÂMETROS!$E$8:$E$907,PARÂMETROS!$A$8:$A$907,C283,PARÂMETROS!$G$8:$G$907,J283))</f>
        <v>0.0334296779858567</v>
      </c>
      <c r="E283" s="21" t="n">
        <f aca="false">SUMIFS(SETORES!$D:$D,SETORES!$A:$A,A283,SETORES!$F:$F,J283)</f>
        <v>71467.0056</v>
      </c>
      <c r="F283" s="21" t="n">
        <f aca="false">IFERROR(D283*E283,0)</f>
        <v>2389.11898382142</v>
      </c>
      <c r="G283" s="9" t="n">
        <f aca="false">SUMIFS(PARÂMETROS!$F$8:$F$907,PARÂMETROS!$A$8:$A$907,C283,PARÂMETROS!$G$8:$G$907,J283)</f>
        <v>0</v>
      </c>
      <c r="H283" s="21" t="n">
        <f aca="false">IFERROR(F283*G283,0)</f>
        <v>0</v>
      </c>
      <c r="I283" s="21" t="n">
        <f aca="false">F283+H283</f>
        <v>2389.11898382142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IF(B284="Clientes",SUMIFS(PARÂMETROS!$D$8:$D$907,PARÂMETROS!$A$8:$A$907,C284,PARÂMETROS!$G$8:$G$907,J284),SUMIFS(PARÂMETROS!$E$8:$E$907,PARÂMETROS!$A$8:$A$907,C284,PARÂMETROS!$G$8:$G$907,J284))</f>
        <v>0.0247220726818484</v>
      </c>
      <c r="E284" s="22" t="n">
        <f aca="false">SUMIFS(SETORES!$D:$D,SETORES!$A:$A,A284,SETORES!$F:$F,J284)</f>
        <v>71467.0056</v>
      </c>
      <c r="F284" s="22" t="n">
        <f aca="false">IFERROR(D284*E284,0)</f>
        <v>1766.81250679726</v>
      </c>
      <c r="G284" s="14" t="n">
        <f aca="false">SUMIFS(PARÂMETROS!$F$8:$F$907,PARÂMETROS!$A$8:$A$907,C284,PARÂMETROS!$G$8:$G$907,J284)</f>
        <v>0</v>
      </c>
      <c r="H284" s="22" t="n">
        <f aca="false">IFERROR(F284*G284,0)</f>
        <v>0</v>
      </c>
      <c r="I284" s="22" t="n">
        <f aca="false">F284+H284</f>
        <v>1766.81250679726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IF(B285="Clientes",SUMIFS(PARÂMETROS!$D$8:$D$907,PARÂMETROS!$A$8:$A$907,C285,PARÂMETROS!$G$8:$G$907,J285),SUMIFS(PARÂMETROS!$E$8:$E$907,PARÂMETROS!$A$8:$A$907,C285,PARÂMETROS!$G$8:$G$907,J285))</f>
        <v>0.0249938586817334</v>
      </c>
      <c r="E285" s="21" t="n">
        <f aca="false">SUMIFS(SETORES!$D:$D,SETORES!$A:$A,A285,SETORES!$F:$F,J285)</f>
        <v>71467.0056</v>
      </c>
      <c r="F285" s="21" t="n">
        <f aca="false">IFERROR(D285*E285,0)</f>
        <v>1786.23623837305</v>
      </c>
      <c r="G285" s="9" t="n">
        <f aca="false">SUMIFS(PARÂMETROS!$F$8:$F$907,PARÂMETROS!$A$8:$A$907,C285,PARÂMETROS!$G$8:$G$907,J285)</f>
        <v>0</v>
      </c>
      <c r="H285" s="21" t="n">
        <f aca="false">IFERROR(F285*G285,0)</f>
        <v>0</v>
      </c>
      <c r="I285" s="21" t="n">
        <f aca="false">F285+H285</f>
        <v>1786.23623837305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IF(B286="Clientes",SUMIFS(PARÂMETROS!$D$8:$D$907,PARÂMETROS!$A$8:$A$907,C286,PARÂMETROS!$G$8:$G$907,J286),SUMIFS(PARÂMETROS!$E$8:$E$907,PARÂMETROS!$A$8:$A$907,C286,PARÂMETROS!$G$8:$G$907,J286))</f>
        <v>0.720002926926153</v>
      </c>
      <c r="E286" s="22" t="n">
        <f aca="false">SUMIFS(SETORES!$D:$D,SETORES!$A:$A,A286,SETORES!$F:$F,J286)</f>
        <v>71467.0056</v>
      </c>
      <c r="F286" s="22" t="n">
        <f aca="false">IFERROR(D286*E286,0)</f>
        <v>51456.4532106477</v>
      </c>
      <c r="G286" s="14" t="n">
        <f aca="false">SUMIFS(PARÂMETROS!$F$8:$F$907,PARÂMETROS!$A$8:$A$907,C286,PARÂMETROS!$G$8:$G$907,J286)</f>
        <v>0</v>
      </c>
      <c r="H286" s="22" t="n">
        <f aca="false">IFERROR(F286*G286,0)</f>
        <v>0</v>
      </c>
      <c r="I286" s="22" t="n">
        <f aca="false">F286+H286</f>
        <v>51456.4532106477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IF(B287="Clientes",SUMIFS(PARÂMETROS!$D$8:$D$907,PARÂMETROS!$A$8:$A$907,C287,PARÂMETROS!$G$8:$G$907,J287),SUMIFS(PARÂMETROS!$E$8:$E$907,PARÂMETROS!$A$8:$A$907,C287,PARÂMETROS!$G$8:$G$907,J287))</f>
        <v>0.0328233861399593</v>
      </c>
      <c r="E287" s="21" t="n">
        <f aca="false">SUMIFS(SETORES!$D:$D,SETORES!$A:$A,A287,SETORES!$F:$F,J287)</f>
        <v>153380.796264</v>
      </c>
      <c r="F287" s="21" t="n">
        <f aca="false">IFERROR(D287*E287,0)</f>
        <v>5034.47710222771</v>
      </c>
      <c r="G287" s="9" t="n">
        <f aca="false">SUMIFS(PARÂMETROS!$F$8:$F$907,PARÂMETROS!$A$8:$A$907,C287,PARÂMETROS!$G$8:$G$907,J287)</f>
        <v>0</v>
      </c>
      <c r="H287" s="21" t="n">
        <f aca="false">IFERROR(F287*G287,0)</f>
        <v>0</v>
      </c>
      <c r="I287" s="21" t="n">
        <f aca="false">F287+H287</f>
        <v>5034.47710222771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IF(B288="Clientes",SUMIFS(PARÂMETROS!$D$8:$D$907,PARÂMETROS!$A$8:$A$907,C288,PARÂMETROS!$G$8:$G$907,J288),SUMIFS(PARÂMETROS!$E$8:$E$907,PARÂMETROS!$A$8:$A$907,C288,PARÂMETROS!$G$8:$G$907,J288))</f>
        <v>0.0700476148165183</v>
      </c>
      <c r="E288" s="22" t="n">
        <f aca="false">SUMIFS(SETORES!$D:$D,SETORES!$A:$A,A288,SETORES!$F:$F,J288)</f>
        <v>153380.796264</v>
      </c>
      <c r="F288" s="22" t="n">
        <f aca="false">IFERROR(D288*E288,0)</f>
        <v>10743.9589369515</v>
      </c>
      <c r="G288" s="14" t="n">
        <f aca="false">SUMIFS(PARÂMETROS!$F$8:$F$907,PARÂMETROS!$A$8:$A$907,C288,PARÂMETROS!$G$8:$G$907,J288)</f>
        <v>0</v>
      </c>
      <c r="H288" s="22" t="n">
        <f aca="false">IFERROR(F288*G288,0)</f>
        <v>0</v>
      </c>
      <c r="I288" s="22" t="n">
        <f aca="false">F288+H288</f>
        <v>10743.9589369515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IF(B289="Clientes",SUMIFS(PARÂMETROS!$D$8:$D$907,PARÂMETROS!$A$8:$A$907,C289,PARÂMETROS!$G$8:$G$907,J289),SUMIFS(PARÂMETROS!$E$8:$E$907,PARÂMETROS!$A$8:$A$907,C289,PARÂMETROS!$G$8:$G$907,J289))</f>
        <v>0.074903176237541</v>
      </c>
      <c r="E289" s="21" t="n">
        <f aca="false">SUMIFS(SETORES!$D:$D,SETORES!$A:$A,A289,SETORES!$F:$F,J289)</f>
        <v>153380.796264</v>
      </c>
      <c r="F289" s="21" t="n">
        <f aca="false">IFERROR(D289*E289,0)</f>
        <v>11488.7088140168</v>
      </c>
      <c r="G289" s="9" t="n">
        <f aca="false">SUMIFS(PARÂMETROS!$F$8:$F$907,PARÂMETROS!$A$8:$A$907,C289,PARÂMETROS!$G$8:$G$907,J289)</f>
        <v>0</v>
      </c>
      <c r="H289" s="21" t="n">
        <f aca="false">IFERROR(F289*G289,0)</f>
        <v>0</v>
      </c>
      <c r="I289" s="21" t="n">
        <f aca="false">F289+H289</f>
        <v>11488.7088140168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IF(B290="Clientes",SUMIFS(PARÂMETROS!$D$8:$D$907,PARÂMETROS!$A$8:$A$907,C290,PARÂMETROS!$G$8:$G$907,J290),SUMIFS(PARÂMETROS!$E$8:$E$907,PARÂMETROS!$A$8:$A$907,C290,PARÂMETROS!$G$8:$G$907,J290))</f>
        <v>0.0190772865303904</v>
      </c>
      <c r="E290" s="22" t="n">
        <f aca="false">SUMIFS(SETORES!$D:$D,SETORES!$A:$A,A290,SETORES!$F:$F,J290)</f>
        <v>153380.796264</v>
      </c>
      <c r="F290" s="22" t="n">
        <f aca="false">IFERROR(D290*E290,0)</f>
        <v>2926.08939858776</v>
      </c>
      <c r="G290" s="14" t="n">
        <f aca="false">SUMIFS(PARÂMETROS!$F$8:$F$907,PARÂMETROS!$A$8:$A$907,C290,PARÂMETROS!$G$8:$G$907,J290)</f>
        <v>0</v>
      </c>
      <c r="H290" s="22" t="n">
        <f aca="false">IFERROR(F290*G290,0)</f>
        <v>0</v>
      </c>
      <c r="I290" s="22" t="n">
        <f aca="false">F290+H290</f>
        <v>2926.08939858776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IF(B291="Clientes",SUMIFS(PARÂMETROS!$D$8:$D$907,PARÂMETROS!$A$8:$A$907,C291,PARÂMETROS!$G$8:$G$907,J291),SUMIFS(PARÂMETROS!$E$8:$E$907,PARÂMETROS!$A$8:$A$907,C291,PARÂMETROS!$G$8:$G$907,J291))</f>
        <v>0.0334296779858567</v>
      </c>
      <c r="E291" s="21" t="n">
        <f aca="false">SUMIFS(SETORES!$D:$D,SETORES!$A:$A,A291,SETORES!$F:$F,J291)</f>
        <v>153380.796264</v>
      </c>
      <c r="F291" s="21" t="n">
        <f aca="false">IFERROR(D291*E291,0)</f>
        <v>5127.47062831981</v>
      </c>
      <c r="G291" s="9" t="n">
        <f aca="false">SUMIFS(PARÂMETROS!$F$8:$F$907,PARÂMETROS!$A$8:$A$907,C291,PARÂMETROS!$G$8:$G$907,J291)</f>
        <v>0</v>
      </c>
      <c r="H291" s="21" t="n">
        <f aca="false">IFERROR(F291*G291,0)</f>
        <v>0</v>
      </c>
      <c r="I291" s="21" t="n">
        <f aca="false">F291+H291</f>
        <v>5127.47062831981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IF(B292="Clientes",SUMIFS(PARÂMETROS!$D$8:$D$907,PARÂMETROS!$A$8:$A$907,C292,PARÂMETROS!$G$8:$G$907,J292),SUMIFS(PARÂMETROS!$E$8:$E$907,PARÂMETROS!$A$8:$A$907,C292,PARÂMETROS!$G$8:$G$907,J292))</f>
        <v>0.0247220726818484</v>
      </c>
      <c r="E292" s="22" t="n">
        <f aca="false">SUMIFS(SETORES!$D:$D,SETORES!$A:$A,A292,SETORES!$F:$F,J292)</f>
        <v>153380.796264</v>
      </c>
      <c r="F292" s="22" t="n">
        <f aca="false">IFERROR(D292*E292,0)</f>
        <v>3791.89119323838</v>
      </c>
      <c r="G292" s="14" t="n">
        <f aca="false">SUMIFS(PARÂMETROS!$F$8:$F$907,PARÂMETROS!$A$8:$A$907,C292,PARÂMETROS!$G$8:$G$907,J292)</f>
        <v>0</v>
      </c>
      <c r="H292" s="22" t="n">
        <f aca="false">IFERROR(F292*G292,0)</f>
        <v>0</v>
      </c>
      <c r="I292" s="22" t="n">
        <f aca="false">F292+H292</f>
        <v>3791.89119323838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IF(B293="Clientes",SUMIFS(PARÂMETROS!$D$8:$D$907,PARÂMETROS!$A$8:$A$907,C293,PARÂMETROS!$G$8:$G$907,J293),SUMIFS(PARÂMETROS!$E$8:$E$907,PARÂMETROS!$A$8:$A$907,C293,PARÂMETROS!$G$8:$G$907,J293))</f>
        <v>0.0249938586817334</v>
      </c>
      <c r="E293" s="21" t="n">
        <f aca="false">SUMIFS(SETORES!$D:$D,SETORES!$A:$A,A293,SETORES!$F:$F,J293)</f>
        <v>153380.796264</v>
      </c>
      <c r="F293" s="21" t="n">
        <f aca="false">IFERROR(D293*E293,0)</f>
        <v>3833.57794631415</v>
      </c>
      <c r="G293" s="9" t="n">
        <f aca="false">SUMIFS(PARÂMETROS!$F$8:$F$907,PARÂMETROS!$A$8:$A$907,C293,PARÂMETROS!$G$8:$G$907,J293)</f>
        <v>0</v>
      </c>
      <c r="H293" s="21" t="n">
        <f aca="false">IFERROR(F293*G293,0)</f>
        <v>0</v>
      </c>
      <c r="I293" s="21" t="n">
        <f aca="false">F293+H293</f>
        <v>3833.57794631415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IF(B294="Clientes",SUMIFS(PARÂMETROS!$D$8:$D$907,PARÂMETROS!$A$8:$A$907,C294,PARÂMETROS!$G$8:$G$907,J294),SUMIFS(PARÂMETROS!$E$8:$E$907,PARÂMETROS!$A$8:$A$907,C294,PARÂMETROS!$G$8:$G$907,J294))</f>
        <v>0.720002926926153</v>
      </c>
      <c r="E294" s="22" t="n">
        <f aca="false">SUMIFS(SETORES!$D:$D,SETORES!$A:$A,A294,SETORES!$F:$F,J294)</f>
        <v>153380.796264</v>
      </c>
      <c r="F294" s="22" t="n">
        <f aca="false">IFERROR(D294*E294,0)</f>
        <v>110434.622244344</v>
      </c>
      <c r="G294" s="14" t="n">
        <f aca="false">SUMIFS(PARÂMETROS!$F$8:$F$907,PARÂMETROS!$A$8:$A$907,C294,PARÂMETROS!$G$8:$G$907,J294)</f>
        <v>0</v>
      </c>
      <c r="H294" s="22" t="n">
        <f aca="false">IFERROR(F294*G294,0)</f>
        <v>0</v>
      </c>
      <c r="I294" s="22" t="n">
        <f aca="false">F294+H294</f>
        <v>110434.622244344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IF(B295="Clientes",SUMIFS(PARÂMETROS!$D$8:$D$907,PARÂMETROS!$A$8:$A$907,C295,PARÂMETROS!$G$8:$G$907,J295),SUMIFS(PARÂMETROS!$E$8:$E$907,PARÂMETROS!$A$8:$A$907,C295,PARÂMETROS!$G$8:$G$907,J295))</f>
        <v>0.0328233861399593</v>
      </c>
      <c r="E295" s="21" t="n">
        <f aca="false">SUMIFS(SETORES!$D:$D,SETORES!$A:$A,A295,SETORES!$F:$F,J295)</f>
        <v>43385.321577</v>
      </c>
      <c r="F295" s="21" t="n">
        <f aca="false">IFERROR(D295*E295,0)</f>
        <v>1424.05316292818</v>
      </c>
      <c r="G295" s="9" t="n">
        <f aca="false">SUMIFS(PARÂMETROS!$F$8:$F$907,PARÂMETROS!$A$8:$A$907,C295,PARÂMETROS!$G$8:$G$907,J295)</f>
        <v>0</v>
      </c>
      <c r="H295" s="21" t="n">
        <f aca="false">IFERROR(F295*G295,0)</f>
        <v>0</v>
      </c>
      <c r="I295" s="21" t="n">
        <f aca="false">F295+H295</f>
        <v>1424.05316292818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IF(B296="Clientes",SUMIFS(PARÂMETROS!$D$8:$D$907,PARÂMETROS!$A$8:$A$907,C296,PARÂMETROS!$G$8:$G$907,J296),SUMIFS(PARÂMETROS!$E$8:$E$907,PARÂMETROS!$A$8:$A$907,C296,PARÂMETROS!$G$8:$G$907,J296))</f>
        <v>0.0700476148165183</v>
      </c>
      <c r="E296" s="22" t="n">
        <f aca="false">SUMIFS(SETORES!$D:$D,SETORES!$A:$A,A296,SETORES!$F:$F,J296)</f>
        <v>43385.321577</v>
      </c>
      <c r="F296" s="22" t="n">
        <f aca="false">IFERROR(D296*E296,0)</f>
        <v>3039.03829451648</v>
      </c>
      <c r="G296" s="14" t="n">
        <f aca="false">SUMIFS(PARÂMETROS!$F$8:$F$907,PARÂMETROS!$A$8:$A$907,C296,PARÂMETROS!$G$8:$G$907,J296)</f>
        <v>0</v>
      </c>
      <c r="H296" s="22" t="n">
        <f aca="false">IFERROR(F296*G296,0)</f>
        <v>0</v>
      </c>
      <c r="I296" s="22" t="n">
        <f aca="false">F296+H296</f>
        <v>3039.03829451648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IF(B297="Clientes",SUMIFS(PARÂMETROS!$D$8:$D$907,PARÂMETROS!$A$8:$A$907,C297,PARÂMETROS!$G$8:$G$907,J297),SUMIFS(PARÂMETROS!$E$8:$E$907,PARÂMETROS!$A$8:$A$907,C297,PARÂMETROS!$G$8:$G$907,J297))</f>
        <v>0.074903176237541</v>
      </c>
      <c r="E297" s="21" t="n">
        <f aca="false">SUMIFS(SETORES!$D:$D,SETORES!$A:$A,A297,SETORES!$F:$F,J297)</f>
        <v>43385.321577</v>
      </c>
      <c r="F297" s="21" t="n">
        <f aca="false">IFERROR(D297*E297,0)</f>
        <v>3249.69838820442</v>
      </c>
      <c r="G297" s="9" t="n">
        <f aca="false">SUMIFS(PARÂMETROS!$F$8:$F$907,PARÂMETROS!$A$8:$A$907,C297,PARÂMETROS!$G$8:$G$907,J297)</f>
        <v>0</v>
      </c>
      <c r="H297" s="21" t="n">
        <f aca="false">IFERROR(F297*G297,0)</f>
        <v>0</v>
      </c>
      <c r="I297" s="21" t="n">
        <f aca="false">F297+H297</f>
        <v>3249.69838820442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IF(B298="Clientes",SUMIFS(PARÂMETROS!$D$8:$D$907,PARÂMETROS!$A$8:$A$907,C298,PARÂMETROS!$G$8:$G$907,J298),SUMIFS(PARÂMETROS!$E$8:$E$907,PARÂMETROS!$A$8:$A$907,C298,PARÂMETROS!$G$8:$G$907,J298))</f>
        <v>0.0190772865303904</v>
      </c>
      <c r="E298" s="22" t="n">
        <f aca="false">SUMIFS(SETORES!$D:$D,SETORES!$A:$A,A298,SETORES!$F:$F,J298)</f>
        <v>43385.321577</v>
      </c>
      <c r="F298" s="22" t="n">
        <f aca="false">IFERROR(D298*E298,0)</f>
        <v>827.674210937557</v>
      </c>
      <c r="G298" s="14" t="n">
        <f aca="false">SUMIFS(PARÂMETROS!$F$8:$F$907,PARÂMETROS!$A$8:$A$907,C298,PARÂMETROS!$G$8:$G$907,J298)</f>
        <v>0</v>
      </c>
      <c r="H298" s="22" t="n">
        <f aca="false">IFERROR(F298*G298,0)</f>
        <v>0</v>
      </c>
      <c r="I298" s="22" t="n">
        <f aca="false">F298+H298</f>
        <v>827.674210937557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IF(B299="Clientes",SUMIFS(PARÂMETROS!$D$8:$D$907,PARÂMETROS!$A$8:$A$907,C299,PARÂMETROS!$G$8:$G$907,J299),SUMIFS(PARÂMETROS!$E$8:$E$907,PARÂMETROS!$A$8:$A$907,C299,PARÂMETROS!$G$8:$G$907,J299))</f>
        <v>0.0334296779858567</v>
      </c>
      <c r="E299" s="21" t="n">
        <f aca="false">SUMIFS(SETORES!$D:$D,SETORES!$A:$A,A299,SETORES!$F:$F,J299)</f>
        <v>43385.321577</v>
      </c>
      <c r="F299" s="21" t="n">
        <f aca="false">IFERROR(D299*E299,0)</f>
        <v>1450.35732963195</v>
      </c>
      <c r="G299" s="9" t="n">
        <f aca="false">SUMIFS(PARÂMETROS!$F$8:$F$907,PARÂMETROS!$A$8:$A$907,C299,PARÂMETROS!$G$8:$G$907,J299)</f>
        <v>0</v>
      </c>
      <c r="H299" s="21" t="n">
        <f aca="false">IFERROR(F299*G299,0)</f>
        <v>0</v>
      </c>
      <c r="I299" s="21" t="n">
        <f aca="false">F299+H299</f>
        <v>1450.35732963195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IF(B300="Clientes",SUMIFS(PARÂMETROS!$D$8:$D$907,PARÂMETROS!$A$8:$A$907,C300,PARÂMETROS!$G$8:$G$907,J300),SUMIFS(PARÂMETROS!$E$8:$E$907,PARÂMETROS!$A$8:$A$907,C300,PARÂMETROS!$G$8:$G$907,J300))</f>
        <v>0.0247220726818484</v>
      </c>
      <c r="E300" s="22" t="n">
        <f aca="false">SUMIFS(SETORES!$D:$D,SETORES!$A:$A,A300,SETORES!$F:$F,J300)</f>
        <v>43385.321577</v>
      </c>
      <c r="F300" s="22" t="n">
        <f aca="false">IFERROR(D300*E300,0)</f>
        <v>1072.57507335196</v>
      </c>
      <c r="G300" s="14" t="n">
        <f aca="false">SUMIFS(PARÂMETROS!$F$8:$F$907,PARÂMETROS!$A$8:$A$907,C300,PARÂMETROS!$G$8:$G$907,J300)</f>
        <v>0</v>
      </c>
      <c r="H300" s="22" t="n">
        <f aca="false">IFERROR(F300*G300,0)</f>
        <v>0</v>
      </c>
      <c r="I300" s="22" t="n">
        <f aca="false">F300+H300</f>
        <v>1072.57507335196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IF(B301="Clientes",SUMIFS(PARÂMETROS!$D$8:$D$907,PARÂMETROS!$A$8:$A$907,C301,PARÂMETROS!$G$8:$G$907,J301),SUMIFS(PARÂMETROS!$E$8:$E$907,PARÂMETROS!$A$8:$A$907,C301,PARÂMETROS!$G$8:$G$907,J301))</f>
        <v>0.0249938586817334</v>
      </c>
      <c r="E301" s="21" t="n">
        <f aca="false">SUMIFS(SETORES!$D:$D,SETORES!$A:$A,A301,SETORES!$F:$F,J301)</f>
        <v>43385.321577</v>
      </c>
      <c r="F301" s="21" t="n">
        <f aca="false">IFERROR(D301*E301,0)</f>
        <v>1084.3665963571</v>
      </c>
      <c r="G301" s="9" t="n">
        <f aca="false">SUMIFS(PARÂMETROS!$F$8:$F$907,PARÂMETROS!$A$8:$A$907,C301,PARÂMETROS!$G$8:$G$907,J301)</f>
        <v>0</v>
      </c>
      <c r="H301" s="21" t="n">
        <f aca="false">IFERROR(F301*G301,0)</f>
        <v>0</v>
      </c>
      <c r="I301" s="21" t="n">
        <f aca="false">F301+H301</f>
        <v>1084.3665963571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IF(B302="Clientes",SUMIFS(PARÂMETROS!$D$8:$D$907,PARÂMETROS!$A$8:$A$907,C302,PARÂMETROS!$G$8:$G$907,J302),SUMIFS(PARÂMETROS!$E$8:$E$907,PARÂMETROS!$A$8:$A$907,C302,PARÂMETROS!$G$8:$G$907,J302))</f>
        <v>0.720002926926153</v>
      </c>
      <c r="E302" s="22" t="n">
        <f aca="false">SUMIFS(SETORES!$D:$D,SETORES!$A:$A,A302,SETORES!$F:$F,J302)</f>
        <v>43385.321577</v>
      </c>
      <c r="F302" s="22" t="n">
        <f aca="false">IFERROR(D302*E302,0)</f>
        <v>31237.5585210724</v>
      </c>
      <c r="G302" s="14" t="n">
        <f aca="false">SUMIFS(PARÂMETROS!$F$8:$F$907,PARÂMETROS!$A$8:$A$907,C302,PARÂMETROS!$G$8:$G$907,J302)</f>
        <v>0</v>
      </c>
      <c r="H302" s="22" t="n">
        <f aca="false">IFERROR(F302*G302,0)</f>
        <v>0</v>
      </c>
      <c r="I302" s="22" t="n">
        <f aca="false">F302+H302</f>
        <v>31237.5585210724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IF(B303="Clientes",SUMIFS(PARÂMETROS!$D$8:$D$907,PARÂMETROS!$A$8:$A$907,C303,PARÂMETROS!$G$8:$G$907,J303),SUMIFS(PARÂMETROS!$E$8:$E$907,PARÂMETROS!$A$8:$A$907,C303,PARÂMETROS!$G$8:$G$907,J303))</f>
        <v>0.0328233861399593</v>
      </c>
      <c r="E303" s="21" t="n">
        <f aca="false">SUMIFS(SETORES!$D:$D,SETORES!$A:$A,A303,SETORES!$F:$F,J303)</f>
        <v>37959.882964</v>
      </c>
      <c r="F303" s="21" t="n">
        <f aca="false">IFERROR(D303*E303,0)</f>
        <v>1245.97189635504</v>
      </c>
      <c r="G303" s="9" t="n">
        <f aca="false">SUMIFS(PARÂMETROS!$F$8:$F$907,PARÂMETROS!$A$8:$A$907,C303,PARÂMETROS!$G$8:$G$907,J303)</f>
        <v>0</v>
      </c>
      <c r="H303" s="21" t="n">
        <f aca="false">IFERROR(F303*G303,0)</f>
        <v>0</v>
      </c>
      <c r="I303" s="21" t="n">
        <f aca="false">F303+H303</f>
        <v>1245.97189635504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IF(B304="Clientes",SUMIFS(PARÂMETROS!$D$8:$D$907,PARÂMETROS!$A$8:$A$907,C304,PARÂMETROS!$G$8:$G$907,J304),SUMIFS(PARÂMETROS!$E$8:$E$907,PARÂMETROS!$A$8:$A$907,C304,PARÂMETROS!$G$8:$G$907,J304))</f>
        <v>0.0700476148165183</v>
      </c>
      <c r="E304" s="22" t="n">
        <f aca="false">SUMIFS(SETORES!$D:$D,SETORES!$A:$A,A304,SETORES!$F:$F,J304)</f>
        <v>37959.882964</v>
      </c>
      <c r="F304" s="22" t="n">
        <f aca="false">IFERROR(D304*E304,0)</f>
        <v>2658.99926034239</v>
      </c>
      <c r="G304" s="14" t="n">
        <f aca="false">SUMIFS(PARÂMETROS!$F$8:$F$907,PARÂMETROS!$A$8:$A$907,C304,PARÂMETROS!$G$8:$G$907,J304)</f>
        <v>0</v>
      </c>
      <c r="H304" s="22" t="n">
        <f aca="false">IFERROR(F304*G304,0)</f>
        <v>0</v>
      </c>
      <c r="I304" s="22" t="n">
        <f aca="false">F304+H304</f>
        <v>2658.99926034239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IF(B305="Clientes",SUMIFS(PARÂMETROS!$D$8:$D$907,PARÂMETROS!$A$8:$A$907,C305,PARÂMETROS!$G$8:$G$907,J305),SUMIFS(PARÂMETROS!$E$8:$E$907,PARÂMETROS!$A$8:$A$907,C305,PARÂMETROS!$G$8:$G$907,J305))</f>
        <v>0.074903176237541</v>
      </c>
      <c r="E305" s="21" t="n">
        <f aca="false">SUMIFS(SETORES!$D:$D,SETORES!$A:$A,A305,SETORES!$F:$F,J305)</f>
        <v>37959.882964</v>
      </c>
      <c r="F305" s="21" t="n">
        <f aca="false">IFERROR(D305*E305,0)</f>
        <v>2843.31580360892</v>
      </c>
      <c r="G305" s="9" t="n">
        <f aca="false">SUMIFS(PARÂMETROS!$F$8:$F$907,PARÂMETROS!$A$8:$A$907,C305,PARÂMETROS!$G$8:$G$907,J305)</f>
        <v>0</v>
      </c>
      <c r="H305" s="21" t="n">
        <f aca="false">IFERROR(F305*G305,0)</f>
        <v>0</v>
      </c>
      <c r="I305" s="21" t="n">
        <f aca="false">F305+H305</f>
        <v>2843.31580360892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IF(B306="Clientes",SUMIFS(PARÂMETROS!$D$8:$D$907,PARÂMETROS!$A$8:$A$907,C306,PARÂMETROS!$G$8:$G$907,J306),SUMIFS(PARÂMETROS!$E$8:$E$907,PARÂMETROS!$A$8:$A$907,C306,PARÂMETROS!$G$8:$G$907,J306))</f>
        <v>0.0190772865303904</v>
      </c>
      <c r="E306" s="22" t="n">
        <f aca="false">SUMIFS(SETORES!$D:$D,SETORES!$A:$A,A306,SETORES!$F:$F,J306)</f>
        <v>37959.882964</v>
      </c>
      <c r="F306" s="22" t="n">
        <f aca="false">IFERROR(D306*E306,0)</f>
        <v>724.171563964312</v>
      </c>
      <c r="G306" s="14" t="n">
        <f aca="false">SUMIFS(PARÂMETROS!$F$8:$F$907,PARÂMETROS!$A$8:$A$907,C306,PARÂMETROS!$G$8:$G$907,J306)</f>
        <v>0</v>
      </c>
      <c r="H306" s="22" t="n">
        <f aca="false">IFERROR(F306*G306,0)</f>
        <v>0</v>
      </c>
      <c r="I306" s="22" t="n">
        <f aca="false">F306+H306</f>
        <v>724.171563964312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IF(B307="Clientes",SUMIFS(PARÂMETROS!$D$8:$D$907,PARÂMETROS!$A$8:$A$907,C307,PARÂMETROS!$G$8:$G$907,J307),SUMIFS(PARÂMETROS!$E$8:$E$907,PARÂMETROS!$A$8:$A$907,C307,PARÂMETROS!$G$8:$G$907,J307))</f>
        <v>0.0334296779858567</v>
      </c>
      <c r="E307" s="21" t="n">
        <f aca="false">SUMIFS(SETORES!$D:$D,SETORES!$A:$A,A307,SETORES!$F:$F,J307)</f>
        <v>37959.882964</v>
      </c>
      <c r="F307" s="21" t="n">
        <f aca="false">IFERROR(D307*E307,0)</f>
        <v>1268.98666386733</v>
      </c>
      <c r="G307" s="9" t="n">
        <f aca="false">SUMIFS(PARÂMETROS!$F$8:$F$907,PARÂMETROS!$A$8:$A$907,C307,PARÂMETROS!$G$8:$G$907,J307)</f>
        <v>0</v>
      </c>
      <c r="H307" s="21" t="n">
        <f aca="false">IFERROR(F307*G307,0)</f>
        <v>0</v>
      </c>
      <c r="I307" s="21" t="n">
        <f aca="false">F307+H307</f>
        <v>1268.98666386733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IF(B308="Clientes",SUMIFS(PARÂMETROS!$D$8:$D$907,PARÂMETROS!$A$8:$A$907,C308,PARÂMETROS!$G$8:$G$907,J308),SUMIFS(PARÂMETROS!$E$8:$E$907,PARÂMETROS!$A$8:$A$907,C308,PARÂMETROS!$G$8:$G$907,J308))</f>
        <v>0.0247220726818484</v>
      </c>
      <c r="E308" s="22" t="n">
        <f aca="false">SUMIFS(SETORES!$D:$D,SETORES!$A:$A,A308,SETORES!$F:$F,J308)</f>
        <v>37959.882964</v>
      </c>
      <c r="F308" s="22" t="n">
        <f aca="false">IFERROR(D308*E308,0)</f>
        <v>938.446985630465</v>
      </c>
      <c r="G308" s="14" t="n">
        <f aca="false">SUMIFS(PARÂMETROS!$F$8:$F$907,PARÂMETROS!$A$8:$A$907,C308,PARÂMETROS!$G$8:$G$907,J308)</f>
        <v>0</v>
      </c>
      <c r="H308" s="22" t="n">
        <f aca="false">IFERROR(F308*G308,0)</f>
        <v>0</v>
      </c>
      <c r="I308" s="22" t="n">
        <f aca="false">F308+H308</f>
        <v>938.446985630465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IF(B309="Clientes",SUMIFS(PARÂMETROS!$D$8:$D$907,PARÂMETROS!$A$8:$A$907,C309,PARÂMETROS!$G$8:$G$907,J309),SUMIFS(PARÂMETROS!$E$8:$E$907,PARÂMETROS!$A$8:$A$907,C309,PARÂMETROS!$G$8:$G$907,J309))</f>
        <v>0.0249938586817334</v>
      </c>
      <c r="E309" s="21" t="n">
        <f aca="false">SUMIFS(SETORES!$D:$D,SETORES!$A:$A,A309,SETORES!$F:$F,J309)</f>
        <v>37959.882964</v>
      </c>
      <c r="F309" s="21" t="n">
        <f aca="false">IFERROR(D309*E309,0)</f>
        <v>948.763950377354</v>
      </c>
      <c r="G309" s="9" t="n">
        <f aca="false">SUMIFS(PARÂMETROS!$F$8:$F$907,PARÂMETROS!$A$8:$A$907,C309,PARÂMETROS!$G$8:$G$907,J309)</f>
        <v>0</v>
      </c>
      <c r="H309" s="21" t="n">
        <f aca="false">IFERROR(F309*G309,0)</f>
        <v>0</v>
      </c>
      <c r="I309" s="21" t="n">
        <f aca="false">F309+H309</f>
        <v>948.763950377354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IF(B310="Clientes",SUMIFS(PARÂMETROS!$D$8:$D$907,PARÂMETROS!$A$8:$A$907,C310,PARÂMETROS!$G$8:$G$907,J310),SUMIFS(PARÂMETROS!$E$8:$E$907,PARÂMETROS!$A$8:$A$907,C310,PARÂMETROS!$G$8:$G$907,J310))</f>
        <v>0.720002926926153</v>
      </c>
      <c r="E310" s="22" t="n">
        <f aca="false">SUMIFS(SETORES!$D:$D,SETORES!$A:$A,A310,SETORES!$F:$F,J310)</f>
        <v>37959.882964</v>
      </c>
      <c r="F310" s="22" t="n">
        <f aca="false">IFERROR(D310*E310,0)</f>
        <v>27331.2268398542</v>
      </c>
      <c r="G310" s="14" t="n">
        <f aca="false">SUMIFS(PARÂMETROS!$F$8:$F$907,PARÂMETROS!$A$8:$A$907,C310,PARÂMETROS!$G$8:$G$907,J310)</f>
        <v>0</v>
      </c>
      <c r="H310" s="22" t="n">
        <f aca="false">IFERROR(F310*G310,0)</f>
        <v>0</v>
      </c>
      <c r="I310" s="22" t="n">
        <f aca="false">F310+H310</f>
        <v>27331.2268398542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IF(B311="Clientes",SUMIFS(PARÂMETROS!$D$8:$D$907,PARÂMETROS!$A$8:$A$907,C311,PARÂMETROS!$G$8:$G$907,J311),SUMIFS(PARÂMETROS!$E$8:$E$907,PARÂMETROS!$A$8:$A$907,C311,PARÂMETROS!$G$8:$G$907,J311))</f>
        <v>0.0328233861399593</v>
      </c>
      <c r="E311" s="21" t="n">
        <f aca="false">SUMIFS(SETORES!$D:$D,SETORES!$A:$A,A311,SETORES!$F:$F,J311)</f>
        <v>27353.279555</v>
      </c>
      <c r="F311" s="21" t="n">
        <f aca="false">IFERROR(D311*E311,0)</f>
        <v>897.82725702802</v>
      </c>
      <c r="G311" s="9" t="n">
        <f aca="false">SUMIFS(PARÂMETROS!$F$8:$F$907,PARÂMETROS!$A$8:$A$907,C311,PARÂMETROS!$G$8:$G$907,J311)</f>
        <v>0</v>
      </c>
      <c r="H311" s="21" t="n">
        <f aca="false">IFERROR(F311*G311,0)</f>
        <v>0</v>
      </c>
      <c r="I311" s="21" t="n">
        <f aca="false">F311+H311</f>
        <v>897.82725702802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IF(B312="Clientes",SUMIFS(PARÂMETROS!$D$8:$D$907,PARÂMETROS!$A$8:$A$907,C312,PARÂMETROS!$G$8:$G$907,J312),SUMIFS(PARÂMETROS!$E$8:$E$907,PARÂMETROS!$A$8:$A$907,C312,PARÂMETROS!$G$8:$G$907,J312))</f>
        <v>0.0700476148165183</v>
      </c>
      <c r="E312" s="22" t="n">
        <f aca="false">SUMIFS(SETORES!$D:$D,SETORES!$A:$A,A312,SETORES!$F:$F,J312)</f>
        <v>27353.279555</v>
      </c>
      <c r="F312" s="22" t="n">
        <f aca="false">IFERROR(D312*E312,0)</f>
        <v>1916.03199023719</v>
      </c>
      <c r="G312" s="14" t="n">
        <f aca="false">SUMIFS(PARÂMETROS!$F$8:$F$907,PARÂMETROS!$A$8:$A$907,C312,PARÂMETROS!$G$8:$G$907,J312)</f>
        <v>0</v>
      </c>
      <c r="H312" s="22" t="n">
        <f aca="false">IFERROR(F312*G312,0)</f>
        <v>0</v>
      </c>
      <c r="I312" s="22" t="n">
        <f aca="false">F312+H312</f>
        <v>1916.03199023719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IF(B313="Clientes",SUMIFS(PARÂMETROS!$D$8:$D$907,PARÂMETROS!$A$8:$A$907,C313,PARÂMETROS!$G$8:$G$907,J313),SUMIFS(PARÂMETROS!$E$8:$E$907,PARÂMETROS!$A$8:$A$907,C313,PARÂMETROS!$G$8:$G$907,J313))</f>
        <v>0.074903176237541</v>
      </c>
      <c r="E313" s="21" t="n">
        <f aca="false">SUMIFS(SETORES!$D:$D,SETORES!$A:$A,A313,SETORES!$F:$F,J313)</f>
        <v>27353.279555</v>
      </c>
      <c r="F313" s="21" t="n">
        <f aca="false">IFERROR(D313*E313,0)</f>
        <v>2048.84751918289</v>
      </c>
      <c r="G313" s="9" t="n">
        <f aca="false">SUMIFS(PARÂMETROS!$F$8:$F$907,PARÂMETROS!$A$8:$A$907,C313,PARÂMETROS!$G$8:$G$907,J313)</f>
        <v>0</v>
      </c>
      <c r="H313" s="21" t="n">
        <f aca="false">IFERROR(F313*G313,0)</f>
        <v>0</v>
      </c>
      <c r="I313" s="21" t="n">
        <f aca="false">F313+H313</f>
        <v>2048.84751918289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IF(B314="Clientes",SUMIFS(PARÂMETROS!$D$8:$D$907,PARÂMETROS!$A$8:$A$907,C314,PARÂMETROS!$G$8:$G$907,J314),SUMIFS(PARÂMETROS!$E$8:$E$907,PARÂMETROS!$A$8:$A$907,C314,PARÂMETROS!$G$8:$G$907,J314))</f>
        <v>0.0190772865303904</v>
      </c>
      <c r="E314" s="22" t="n">
        <f aca="false">SUMIFS(SETORES!$D:$D,SETORES!$A:$A,A314,SETORES!$F:$F,J314)</f>
        <v>27353.279555</v>
      </c>
      <c r="F314" s="22" t="n">
        <f aca="false">IFERROR(D314*E314,0)</f>
        <v>521.826351616604</v>
      </c>
      <c r="G314" s="14" t="n">
        <f aca="false">SUMIFS(PARÂMETROS!$F$8:$F$907,PARÂMETROS!$A$8:$A$907,C314,PARÂMETROS!$G$8:$G$907,J314)</f>
        <v>0</v>
      </c>
      <c r="H314" s="22" t="n">
        <f aca="false">IFERROR(F314*G314,0)</f>
        <v>0</v>
      </c>
      <c r="I314" s="22" t="n">
        <f aca="false">F314+H314</f>
        <v>521.826351616604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IF(B315="Clientes",SUMIFS(PARÂMETROS!$D$8:$D$907,PARÂMETROS!$A$8:$A$907,C315,PARÂMETROS!$G$8:$G$907,J315),SUMIFS(PARÂMETROS!$E$8:$E$907,PARÂMETROS!$A$8:$A$907,C315,PARÂMETROS!$G$8:$G$907,J315))</f>
        <v>0.0334296779858567</v>
      </c>
      <c r="E315" s="21" t="n">
        <f aca="false">SUMIFS(SETORES!$D:$D,SETORES!$A:$A,A315,SETORES!$F:$F,J315)</f>
        <v>27353.279555</v>
      </c>
      <c r="F315" s="21" t="n">
        <f aca="false">IFERROR(D315*E315,0)</f>
        <v>914.411327380767</v>
      </c>
      <c r="G315" s="9" t="n">
        <f aca="false">SUMIFS(PARÂMETROS!$F$8:$F$907,PARÂMETROS!$A$8:$A$907,C315,PARÂMETROS!$G$8:$G$907,J315)</f>
        <v>0</v>
      </c>
      <c r="H315" s="21" t="n">
        <f aca="false">IFERROR(F315*G315,0)</f>
        <v>0</v>
      </c>
      <c r="I315" s="21" t="n">
        <f aca="false">F315+H315</f>
        <v>914.411327380767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IF(B316="Clientes",SUMIFS(PARÂMETROS!$D$8:$D$907,PARÂMETROS!$A$8:$A$907,C316,PARÂMETROS!$G$8:$G$907,J316),SUMIFS(PARÂMETROS!$E$8:$E$907,PARÂMETROS!$A$8:$A$907,C316,PARÂMETROS!$G$8:$G$907,J316))</f>
        <v>0.0247220726818484</v>
      </c>
      <c r="E316" s="22" t="n">
        <f aca="false">SUMIFS(SETORES!$D:$D,SETORES!$A:$A,A316,SETORES!$F:$F,J316)</f>
        <v>27353.279555</v>
      </c>
      <c r="F316" s="22" t="n">
        <f aca="false">IFERROR(D316*E316,0)</f>
        <v>676.229765245627</v>
      </c>
      <c r="G316" s="14" t="n">
        <f aca="false">SUMIFS(PARÂMETROS!$F$8:$F$907,PARÂMETROS!$A$8:$A$907,C316,PARÂMETROS!$G$8:$G$907,J316)</f>
        <v>0</v>
      </c>
      <c r="H316" s="22" t="n">
        <f aca="false">IFERROR(F316*G316,0)</f>
        <v>0</v>
      </c>
      <c r="I316" s="22" t="n">
        <f aca="false">F316+H316</f>
        <v>676.229765245627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IF(B317="Clientes",SUMIFS(PARÂMETROS!$D$8:$D$907,PARÂMETROS!$A$8:$A$907,C317,PARÂMETROS!$G$8:$G$907,J317),SUMIFS(PARÂMETROS!$E$8:$E$907,PARÂMETROS!$A$8:$A$907,C317,PARÂMETROS!$G$8:$G$907,J317))</f>
        <v>0.0249938586817334</v>
      </c>
      <c r="E317" s="21" t="n">
        <f aca="false">SUMIFS(SETORES!$D:$D,SETORES!$A:$A,A317,SETORES!$F:$F,J317)</f>
        <v>27353.279555</v>
      </c>
      <c r="F317" s="21" t="n">
        <f aca="false">IFERROR(D317*E317,0)</f>
        <v>683.664003679617</v>
      </c>
      <c r="G317" s="9" t="n">
        <f aca="false">SUMIFS(PARÂMETROS!$F$8:$F$907,PARÂMETROS!$A$8:$A$907,C317,PARÂMETROS!$G$8:$G$907,J317)</f>
        <v>0</v>
      </c>
      <c r="H317" s="21" t="n">
        <f aca="false">IFERROR(F317*G317,0)</f>
        <v>0</v>
      </c>
      <c r="I317" s="21" t="n">
        <f aca="false">F317+H317</f>
        <v>683.664003679617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IF(B318="Clientes",SUMIFS(PARÂMETROS!$D$8:$D$907,PARÂMETROS!$A$8:$A$907,C318,PARÂMETROS!$G$8:$G$907,J318),SUMIFS(PARÂMETROS!$E$8:$E$907,PARÂMETROS!$A$8:$A$907,C318,PARÂMETROS!$G$8:$G$907,J318))</f>
        <v>0.720002926926153</v>
      </c>
      <c r="E318" s="22" t="n">
        <f aca="false">SUMIFS(SETORES!$D:$D,SETORES!$A:$A,A318,SETORES!$F:$F,J318)</f>
        <v>27353.279555</v>
      </c>
      <c r="F318" s="22" t="n">
        <f aca="false">IFERROR(D318*E318,0)</f>
        <v>19694.4413406293</v>
      </c>
      <c r="G318" s="14" t="n">
        <f aca="false">SUMIFS(PARÂMETROS!$F$8:$F$907,PARÂMETROS!$A$8:$A$907,C318,PARÂMETROS!$G$8:$G$907,J318)</f>
        <v>0</v>
      </c>
      <c r="H318" s="22" t="n">
        <f aca="false">IFERROR(F318*G318,0)</f>
        <v>0</v>
      </c>
      <c r="I318" s="22" t="n">
        <f aca="false">F318+H318</f>
        <v>19694.4413406293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IF(B319="Clientes",SUMIFS(PARÂMETROS!$D$8:$D$907,PARÂMETROS!$A$8:$A$907,C319,PARÂMETROS!$G$8:$G$907,J319),SUMIFS(PARÂMETROS!$E$8:$E$907,PARÂMETROS!$A$8:$A$907,C319,PARÂMETROS!$G$8:$G$907,J319))</f>
        <v>0.0328233861399593</v>
      </c>
      <c r="E319" s="21" t="n">
        <f aca="false">SUMIFS(SETORES!$D:$D,SETORES!$A:$A,A319,SETORES!$F:$F,J319)</f>
        <v>18230.291911</v>
      </c>
      <c r="F319" s="21" t="n">
        <f aca="false">IFERROR(D319*E319,0)</f>
        <v>598.37991083893</v>
      </c>
      <c r="G319" s="9" t="n">
        <f aca="false">SUMIFS(PARÂMETROS!$F$8:$F$907,PARÂMETROS!$A$8:$A$907,C319,PARÂMETROS!$G$8:$G$907,J319)</f>
        <v>0</v>
      </c>
      <c r="H319" s="21" t="n">
        <f aca="false">IFERROR(F319*G319,0)</f>
        <v>0</v>
      </c>
      <c r="I319" s="21" t="n">
        <f aca="false">F319+H319</f>
        <v>598.37991083893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IF(B320="Clientes",SUMIFS(PARÂMETROS!$D$8:$D$907,PARÂMETROS!$A$8:$A$907,C320,PARÂMETROS!$G$8:$G$907,J320),SUMIFS(PARÂMETROS!$E$8:$E$907,PARÂMETROS!$A$8:$A$907,C320,PARÂMETROS!$G$8:$G$907,J320))</f>
        <v>0.0700476148165183</v>
      </c>
      <c r="E320" s="22" t="n">
        <f aca="false">SUMIFS(SETORES!$D:$D,SETORES!$A:$A,A320,SETORES!$F:$F,J320)</f>
        <v>18230.291911</v>
      </c>
      <c r="F320" s="22" t="n">
        <f aca="false">IFERROR(D320*E320,0)</f>
        <v>1276.98846577442</v>
      </c>
      <c r="G320" s="14" t="n">
        <f aca="false">SUMIFS(PARÂMETROS!$F$8:$F$907,PARÂMETROS!$A$8:$A$907,C320,PARÂMETROS!$G$8:$G$907,J320)</f>
        <v>0</v>
      </c>
      <c r="H320" s="22" t="n">
        <f aca="false">IFERROR(F320*G320,0)</f>
        <v>0</v>
      </c>
      <c r="I320" s="22" t="n">
        <f aca="false">F320+H320</f>
        <v>1276.98846577442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IF(B321="Clientes",SUMIFS(PARÂMETROS!$D$8:$D$907,PARÂMETROS!$A$8:$A$907,C321,PARÂMETROS!$G$8:$G$907,J321),SUMIFS(PARÂMETROS!$E$8:$E$907,PARÂMETROS!$A$8:$A$907,C321,PARÂMETROS!$G$8:$G$907,J321))</f>
        <v>0.074903176237541</v>
      </c>
      <c r="E321" s="21" t="n">
        <f aca="false">SUMIFS(SETORES!$D:$D,SETORES!$A:$A,A321,SETORES!$F:$F,J321)</f>
        <v>18230.291911</v>
      </c>
      <c r="F321" s="21" t="n">
        <f aca="false">IFERROR(D321*E321,0)</f>
        <v>1365.50676787145</v>
      </c>
      <c r="G321" s="9" t="n">
        <f aca="false">SUMIFS(PARÂMETROS!$F$8:$F$907,PARÂMETROS!$A$8:$A$907,C321,PARÂMETROS!$G$8:$G$907,J321)</f>
        <v>0</v>
      </c>
      <c r="H321" s="21" t="n">
        <f aca="false">IFERROR(F321*G321,0)</f>
        <v>0</v>
      </c>
      <c r="I321" s="21" t="n">
        <f aca="false">F321+H321</f>
        <v>1365.50676787145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IF(B322="Clientes",SUMIFS(PARÂMETROS!$D$8:$D$907,PARÂMETROS!$A$8:$A$907,C322,PARÂMETROS!$G$8:$G$907,J322),SUMIFS(PARÂMETROS!$E$8:$E$907,PARÂMETROS!$A$8:$A$907,C322,PARÂMETROS!$G$8:$G$907,J322))</f>
        <v>0.0190772865303904</v>
      </c>
      <c r="E322" s="22" t="n">
        <f aca="false">SUMIFS(SETORES!$D:$D,SETORES!$A:$A,A322,SETORES!$F:$F,J322)</f>
        <v>18230.291911</v>
      </c>
      <c r="F322" s="22" t="n">
        <f aca="false">IFERROR(D322*E322,0)</f>
        <v>347.784502318805</v>
      </c>
      <c r="G322" s="14" t="n">
        <f aca="false">SUMIFS(PARÂMETROS!$F$8:$F$907,PARÂMETROS!$A$8:$A$907,C322,PARÂMETROS!$G$8:$G$907,J322)</f>
        <v>0</v>
      </c>
      <c r="H322" s="22" t="n">
        <f aca="false">IFERROR(F322*G322,0)</f>
        <v>0</v>
      </c>
      <c r="I322" s="22" t="n">
        <f aca="false">F322+H322</f>
        <v>347.784502318805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IF(B323="Clientes",SUMIFS(PARÂMETROS!$D$8:$D$907,PARÂMETROS!$A$8:$A$907,C323,PARÂMETROS!$G$8:$G$907,J323),SUMIFS(PARÂMETROS!$E$8:$E$907,PARÂMETROS!$A$8:$A$907,C323,PARÂMETROS!$G$8:$G$907,J323))</f>
        <v>0.0334296779858567</v>
      </c>
      <c r="E323" s="21" t="n">
        <f aca="false">SUMIFS(SETORES!$D:$D,SETORES!$A:$A,A323,SETORES!$F:$F,J323)</f>
        <v>18230.291911</v>
      </c>
      <c r="F323" s="21" t="n">
        <f aca="false">IFERROR(D323*E323,0)</f>
        <v>609.432788172898</v>
      </c>
      <c r="G323" s="9" t="n">
        <f aca="false">SUMIFS(PARÂMETROS!$F$8:$F$907,PARÂMETROS!$A$8:$A$907,C323,PARÂMETROS!$G$8:$G$907,J323)</f>
        <v>0</v>
      </c>
      <c r="H323" s="21" t="n">
        <f aca="false">IFERROR(F323*G323,0)</f>
        <v>0</v>
      </c>
      <c r="I323" s="21" t="n">
        <f aca="false">F323+H323</f>
        <v>609.432788172898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IF(B324="Clientes",SUMIFS(PARÂMETROS!$D$8:$D$907,PARÂMETROS!$A$8:$A$907,C324,PARÂMETROS!$G$8:$G$907,J324),SUMIFS(PARÂMETROS!$E$8:$E$907,PARÂMETROS!$A$8:$A$907,C324,PARÂMETROS!$G$8:$G$907,J324))</f>
        <v>0.0247220726818484</v>
      </c>
      <c r="E324" s="22" t="n">
        <f aca="false">SUMIFS(SETORES!$D:$D,SETORES!$A:$A,A324,SETORES!$F:$F,J324)</f>
        <v>18230.291911</v>
      </c>
      <c r="F324" s="22" t="n">
        <f aca="false">IFERROR(D324*E324,0)</f>
        <v>450.690601635054</v>
      </c>
      <c r="G324" s="14" t="n">
        <f aca="false">SUMIFS(PARÂMETROS!$F$8:$F$907,PARÂMETROS!$A$8:$A$907,C324,PARÂMETROS!$G$8:$G$907,J324)</f>
        <v>0</v>
      </c>
      <c r="H324" s="22" t="n">
        <f aca="false">IFERROR(F324*G324,0)</f>
        <v>0</v>
      </c>
      <c r="I324" s="22" t="n">
        <f aca="false">F324+H324</f>
        <v>450.690601635054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IF(B325="Clientes",SUMIFS(PARÂMETROS!$D$8:$D$907,PARÂMETROS!$A$8:$A$907,C325,PARÂMETROS!$G$8:$G$907,J325),SUMIFS(PARÂMETROS!$E$8:$E$907,PARÂMETROS!$A$8:$A$907,C325,PARÂMETROS!$G$8:$G$907,J325))</f>
        <v>0.0249938586817334</v>
      </c>
      <c r="E325" s="21" t="n">
        <f aca="false">SUMIFS(SETORES!$D:$D,SETORES!$A:$A,A325,SETORES!$F:$F,J325)</f>
        <v>18230.291911</v>
      </c>
      <c r="F325" s="21" t="n">
        <f aca="false">IFERROR(D325*E325,0)</f>
        <v>455.645339750281</v>
      </c>
      <c r="G325" s="9" t="n">
        <f aca="false">SUMIFS(PARÂMETROS!$F$8:$F$907,PARÂMETROS!$A$8:$A$907,C325,PARÂMETROS!$G$8:$G$907,J325)</f>
        <v>0</v>
      </c>
      <c r="H325" s="21" t="n">
        <f aca="false">IFERROR(F325*G325,0)</f>
        <v>0</v>
      </c>
      <c r="I325" s="21" t="n">
        <f aca="false">F325+H325</f>
        <v>455.645339750281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IF(B326="Clientes",SUMIFS(PARÂMETROS!$D$8:$D$907,PARÂMETROS!$A$8:$A$907,C326,PARÂMETROS!$G$8:$G$907,J326),SUMIFS(PARÂMETROS!$E$8:$E$907,PARÂMETROS!$A$8:$A$907,C326,PARÂMETROS!$G$8:$G$907,J326))</f>
        <v>0.720002926926153</v>
      </c>
      <c r="E326" s="22" t="n">
        <f aca="false">SUMIFS(SETORES!$D:$D,SETORES!$A:$A,A326,SETORES!$F:$F,J326)</f>
        <v>18230.291911</v>
      </c>
      <c r="F326" s="22" t="n">
        <f aca="false">IFERROR(D326*E326,0)</f>
        <v>13125.8635346382</v>
      </c>
      <c r="G326" s="14" t="n">
        <f aca="false">SUMIFS(PARÂMETROS!$F$8:$F$907,PARÂMETROS!$A$8:$A$907,C326,PARÂMETROS!$G$8:$G$907,J326)</f>
        <v>0</v>
      </c>
      <c r="H326" s="22" t="n">
        <f aca="false">IFERROR(F326*G326,0)</f>
        <v>0</v>
      </c>
      <c r="I326" s="22" t="n">
        <f aca="false">F326+H326</f>
        <v>13125.8635346382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IF(B327="Clientes",SUMIFS(PARÂMETROS!$D$8:$D$907,PARÂMETROS!$A$8:$A$907,C327,PARÂMETROS!$G$8:$G$907,J327),SUMIFS(PARÂMETROS!$E$8:$E$907,PARÂMETROS!$A$8:$A$907,C327,PARÂMETROS!$G$8:$G$907,J327))</f>
        <v>0.0328233861399593</v>
      </c>
      <c r="E327" s="21" t="n">
        <f aca="false">SUMIFS(SETORES!$D:$D,SETORES!$A:$A,A327,SETORES!$F:$F,J327)</f>
        <v>27698.6271997778</v>
      </c>
      <c r="F327" s="21" t="n">
        <f aca="false">IFERROR(D327*E327,0)</f>
        <v>909.162736125087</v>
      </c>
      <c r="G327" s="9" t="n">
        <f aca="false">SUMIFS(PARÂMETROS!$F$8:$F$907,PARÂMETROS!$A$8:$A$907,C327,PARÂMETROS!$G$8:$G$907,J327)</f>
        <v>0</v>
      </c>
      <c r="H327" s="21" t="n">
        <f aca="false">IFERROR(F327*G327,0)</f>
        <v>0</v>
      </c>
      <c r="I327" s="21" t="n">
        <f aca="false">F327+H327</f>
        <v>909.162736125087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IF(B328="Clientes",SUMIFS(PARÂMETROS!$D$8:$D$907,PARÂMETROS!$A$8:$A$907,C328,PARÂMETROS!$G$8:$G$907,J328),SUMIFS(PARÂMETROS!$E$8:$E$907,PARÂMETROS!$A$8:$A$907,C328,PARÂMETROS!$G$8:$G$907,J328))</f>
        <v>0.0700476148165183</v>
      </c>
      <c r="E328" s="22" t="n">
        <f aca="false">SUMIFS(SETORES!$D:$D,SETORES!$A:$A,A328,SETORES!$F:$F,J328)</f>
        <v>27698.6271997778</v>
      </c>
      <c r="F328" s="22" t="n">
        <f aca="false">IFERROR(D328*E328,0)</f>
        <v>1940.22276903637</v>
      </c>
      <c r="G328" s="14" t="n">
        <f aca="false">SUMIFS(PARÂMETROS!$F$8:$F$907,PARÂMETROS!$A$8:$A$907,C328,PARÂMETROS!$G$8:$G$907,J328)</f>
        <v>0</v>
      </c>
      <c r="H328" s="22" t="n">
        <f aca="false">IFERROR(F328*G328,0)</f>
        <v>0</v>
      </c>
      <c r="I328" s="22" t="n">
        <f aca="false">F328+H328</f>
        <v>1940.22276903637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IF(B329="Clientes",SUMIFS(PARÂMETROS!$D$8:$D$907,PARÂMETROS!$A$8:$A$907,C329,PARÂMETROS!$G$8:$G$907,J329),SUMIFS(PARÂMETROS!$E$8:$E$907,PARÂMETROS!$A$8:$A$907,C329,PARÂMETROS!$G$8:$G$907,J329))</f>
        <v>0.074903176237541</v>
      </c>
      <c r="E329" s="21" t="n">
        <f aca="false">SUMIFS(SETORES!$D:$D,SETORES!$A:$A,A329,SETORES!$F:$F,J329)</f>
        <v>27698.6271997778</v>
      </c>
      <c r="F329" s="21" t="n">
        <f aca="false">IFERROR(D329*E329,0)</f>
        <v>2074.7151546829</v>
      </c>
      <c r="G329" s="9" t="n">
        <f aca="false">SUMIFS(PARÂMETROS!$F$8:$F$907,PARÂMETROS!$A$8:$A$907,C329,PARÂMETROS!$G$8:$G$907,J329)</f>
        <v>0</v>
      </c>
      <c r="H329" s="21" t="n">
        <f aca="false">IFERROR(F329*G329,0)</f>
        <v>0</v>
      </c>
      <c r="I329" s="21" t="n">
        <f aca="false">F329+H329</f>
        <v>2074.7151546829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IF(B330="Clientes",SUMIFS(PARÂMETROS!$D$8:$D$907,PARÂMETROS!$A$8:$A$907,C330,PARÂMETROS!$G$8:$G$907,J330),SUMIFS(PARÂMETROS!$E$8:$E$907,PARÂMETROS!$A$8:$A$907,C330,PARÂMETROS!$G$8:$G$907,J330))</f>
        <v>0.0190772865303904</v>
      </c>
      <c r="E330" s="22" t="n">
        <f aca="false">SUMIFS(SETORES!$D:$D,SETORES!$A:$A,A330,SETORES!$F:$F,J330)</f>
        <v>27698.6271997778</v>
      </c>
      <c r="F330" s="22" t="n">
        <f aca="false">IFERROR(D330*E330,0)</f>
        <v>528.414647588626</v>
      </c>
      <c r="G330" s="14" t="n">
        <f aca="false">SUMIFS(PARÂMETROS!$F$8:$F$907,PARÂMETROS!$A$8:$A$907,C330,PARÂMETROS!$G$8:$G$907,J330)</f>
        <v>0</v>
      </c>
      <c r="H330" s="22" t="n">
        <f aca="false">IFERROR(F330*G330,0)</f>
        <v>0</v>
      </c>
      <c r="I330" s="22" t="n">
        <f aca="false">F330+H330</f>
        <v>528.414647588626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IF(B331="Clientes",SUMIFS(PARÂMETROS!$D$8:$D$907,PARÂMETROS!$A$8:$A$907,C331,PARÂMETROS!$G$8:$G$907,J331),SUMIFS(PARÂMETROS!$E$8:$E$907,PARÂMETROS!$A$8:$A$907,C331,PARÂMETROS!$G$8:$G$907,J331))</f>
        <v>0.0334296779858567</v>
      </c>
      <c r="E331" s="21" t="n">
        <f aca="false">SUMIFS(SETORES!$D:$D,SETORES!$A:$A,A331,SETORES!$F:$F,J331)</f>
        <v>27698.6271997778</v>
      </c>
      <c r="F331" s="21" t="n">
        <f aca="false">IFERROR(D331*E331,0)</f>
        <v>925.956187938863</v>
      </c>
      <c r="G331" s="9" t="n">
        <f aca="false">SUMIFS(PARÂMETROS!$F$8:$F$907,PARÂMETROS!$A$8:$A$907,C331,PARÂMETROS!$G$8:$G$907,J331)</f>
        <v>0</v>
      </c>
      <c r="H331" s="21" t="n">
        <f aca="false">IFERROR(F331*G331,0)</f>
        <v>0</v>
      </c>
      <c r="I331" s="21" t="n">
        <f aca="false">F331+H331</f>
        <v>925.956187938863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IF(B332="Clientes",SUMIFS(PARÂMETROS!$D$8:$D$907,PARÂMETROS!$A$8:$A$907,C332,PARÂMETROS!$G$8:$G$907,J332),SUMIFS(PARÂMETROS!$E$8:$E$907,PARÂMETROS!$A$8:$A$907,C332,PARÂMETROS!$G$8:$G$907,J332))</f>
        <v>0.0247220726818484</v>
      </c>
      <c r="E332" s="22" t="n">
        <f aca="false">SUMIFS(SETORES!$D:$D,SETORES!$A:$A,A332,SETORES!$F:$F,J332)</f>
        <v>27698.6271997778</v>
      </c>
      <c r="F332" s="22" t="n">
        <f aca="false">IFERROR(D332*E332,0)</f>
        <v>684.767474820329</v>
      </c>
      <c r="G332" s="14" t="n">
        <f aca="false">SUMIFS(PARÂMETROS!$F$8:$F$907,PARÂMETROS!$A$8:$A$907,C332,PARÂMETROS!$G$8:$G$907,J332)</f>
        <v>0</v>
      </c>
      <c r="H332" s="22" t="n">
        <f aca="false">IFERROR(F332*G332,0)</f>
        <v>0</v>
      </c>
      <c r="I332" s="22" t="n">
        <f aca="false">F332+H332</f>
        <v>684.767474820329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IF(B333="Clientes",SUMIFS(PARÂMETROS!$D$8:$D$907,PARÂMETROS!$A$8:$A$907,C333,PARÂMETROS!$G$8:$G$907,J333),SUMIFS(PARÂMETROS!$E$8:$E$907,PARÂMETROS!$A$8:$A$907,C333,PARÂMETROS!$G$8:$G$907,J333))</f>
        <v>0.0249938586817334</v>
      </c>
      <c r="E333" s="21" t="n">
        <f aca="false">SUMIFS(SETORES!$D:$D,SETORES!$A:$A,A333,SETORES!$F:$F,J333)</f>
        <v>27698.6271997778</v>
      </c>
      <c r="F333" s="21" t="n">
        <f aca="false">IFERROR(D333*E333,0)</f>
        <v>692.295573909262</v>
      </c>
      <c r="G333" s="9" t="n">
        <f aca="false">SUMIFS(PARÂMETROS!$F$8:$F$907,PARÂMETROS!$A$8:$A$907,C333,PARÂMETROS!$G$8:$G$907,J333)</f>
        <v>0</v>
      </c>
      <c r="H333" s="21" t="n">
        <f aca="false">IFERROR(F333*G333,0)</f>
        <v>0</v>
      </c>
      <c r="I333" s="21" t="n">
        <f aca="false">F333+H333</f>
        <v>692.295573909262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IF(B334="Clientes",SUMIFS(PARÂMETROS!$D$8:$D$907,PARÂMETROS!$A$8:$A$907,C334,PARÂMETROS!$G$8:$G$907,J334),SUMIFS(PARÂMETROS!$E$8:$E$907,PARÂMETROS!$A$8:$A$907,C334,PARÂMETROS!$G$8:$G$907,J334))</f>
        <v>0.720002926926153</v>
      </c>
      <c r="E334" s="22" t="n">
        <f aca="false">SUMIFS(SETORES!$D:$D,SETORES!$A:$A,A334,SETORES!$F:$F,J334)</f>
        <v>27698.6271997778</v>
      </c>
      <c r="F334" s="22" t="n">
        <f aca="false">IFERROR(D334*E334,0)</f>
        <v>19943.0926556764</v>
      </c>
      <c r="G334" s="14" t="n">
        <f aca="false">SUMIFS(PARÂMETROS!$F$8:$F$907,PARÂMETROS!$A$8:$A$907,C334,PARÂMETROS!$G$8:$G$907,J334)</f>
        <v>0</v>
      </c>
      <c r="H334" s="22" t="n">
        <f aca="false">IFERROR(F334*G334,0)</f>
        <v>0</v>
      </c>
      <c r="I334" s="22" t="n">
        <f aca="false">F334+H334</f>
        <v>19943.0926556764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IF(B335="Clientes",SUMIFS(PARÂMETROS!$D$8:$D$907,PARÂMETROS!$A$8:$A$907,C335,PARÂMETROS!$G$8:$G$907,J335),SUMIFS(PARÂMETROS!$E$8:$E$907,PARÂMETROS!$A$8:$A$907,C335,PARÂMETROS!$G$8:$G$907,J335))</f>
        <v>0.0328233861399593</v>
      </c>
      <c r="E335" s="21" t="n">
        <f aca="false">SUMIFS(SETORES!$D:$D,SETORES!$A:$A,A335,SETORES!$F:$F,J335)</f>
        <v>22548.92</v>
      </c>
      <c r="F335" s="21" t="n">
        <f aca="false">IFERROR(D335*E335,0)</f>
        <v>740.131908199052</v>
      </c>
      <c r="G335" s="9" t="n">
        <f aca="false">SUMIFS(PARÂMETROS!$F$8:$F$907,PARÂMETROS!$A$8:$A$907,C335,PARÂMETROS!$G$8:$G$907,J335)</f>
        <v>0</v>
      </c>
      <c r="H335" s="21" t="n">
        <f aca="false">IFERROR(F335*G335,0)</f>
        <v>0</v>
      </c>
      <c r="I335" s="21" t="n">
        <f aca="false">F335+H335</f>
        <v>740.131908199052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IF(B336="Clientes",SUMIFS(PARÂMETROS!$D$8:$D$907,PARÂMETROS!$A$8:$A$907,C336,PARÂMETROS!$G$8:$G$907,J336),SUMIFS(PARÂMETROS!$E$8:$E$907,PARÂMETROS!$A$8:$A$907,C336,PARÂMETROS!$G$8:$G$907,J336))</f>
        <v>0.0700476148165183</v>
      </c>
      <c r="E336" s="22" t="n">
        <f aca="false">SUMIFS(SETORES!$D:$D,SETORES!$A:$A,A336,SETORES!$F:$F,J336)</f>
        <v>22548.92</v>
      </c>
      <c r="F336" s="22" t="n">
        <f aca="false">IFERROR(D336*E336,0)</f>
        <v>1579.49806268849</v>
      </c>
      <c r="G336" s="14" t="n">
        <f aca="false">SUMIFS(PARÂMETROS!$F$8:$F$907,PARÂMETROS!$A$8:$A$907,C336,PARÂMETROS!$G$8:$G$907,J336)</f>
        <v>0</v>
      </c>
      <c r="H336" s="22" t="n">
        <f aca="false">IFERROR(F336*G336,0)</f>
        <v>0</v>
      </c>
      <c r="I336" s="22" t="n">
        <f aca="false">F336+H336</f>
        <v>1579.49806268849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IF(B337="Clientes",SUMIFS(PARÂMETROS!$D$8:$D$907,PARÂMETROS!$A$8:$A$907,C337,PARÂMETROS!$G$8:$G$907,J337),SUMIFS(PARÂMETROS!$E$8:$E$907,PARÂMETROS!$A$8:$A$907,C337,PARÂMETROS!$G$8:$G$907,J337))</f>
        <v>0.074903176237541</v>
      </c>
      <c r="E337" s="21" t="n">
        <f aca="false">SUMIFS(SETORES!$D:$D,SETORES!$A:$A,A337,SETORES!$F:$F,J337)</f>
        <v>22548.92</v>
      </c>
      <c r="F337" s="21" t="n">
        <f aca="false">IFERROR(D337*E337,0)</f>
        <v>1688.98572872621</v>
      </c>
      <c r="G337" s="9" t="n">
        <f aca="false">SUMIFS(PARÂMETROS!$F$8:$F$907,PARÂMETROS!$A$8:$A$907,C337,PARÂMETROS!$G$8:$G$907,J337)</f>
        <v>0</v>
      </c>
      <c r="H337" s="21" t="n">
        <f aca="false">IFERROR(F337*G337,0)</f>
        <v>0</v>
      </c>
      <c r="I337" s="21" t="n">
        <f aca="false">F337+H337</f>
        <v>1688.98572872621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IF(B338="Clientes",SUMIFS(PARÂMETROS!$D$8:$D$907,PARÂMETROS!$A$8:$A$907,C338,PARÂMETROS!$G$8:$G$907,J338),SUMIFS(PARÂMETROS!$E$8:$E$907,PARÂMETROS!$A$8:$A$907,C338,PARÂMETROS!$G$8:$G$907,J338))</f>
        <v>0.0190772865303904</v>
      </c>
      <c r="E338" s="22" t="n">
        <f aca="false">SUMIFS(SETORES!$D:$D,SETORES!$A:$A,A338,SETORES!$F:$F,J338)</f>
        <v>22548.92</v>
      </c>
      <c r="F338" s="22" t="n">
        <f aca="false">IFERROR(D338*E338,0)</f>
        <v>430.17220779085</v>
      </c>
      <c r="G338" s="14" t="n">
        <f aca="false">SUMIFS(PARÂMETROS!$F$8:$F$907,PARÂMETROS!$A$8:$A$907,C338,PARÂMETROS!$G$8:$G$907,J338)</f>
        <v>0</v>
      </c>
      <c r="H338" s="22" t="n">
        <f aca="false">IFERROR(F338*G338,0)</f>
        <v>0</v>
      </c>
      <c r="I338" s="22" t="n">
        <f aca="false">F338+H338</f>
        <v>430.17220779085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IF(B339="Clientes",SUMIFS(PARÂMETROS!$D$8:$D$907,PARÂMETROS!$A$8:$A$907,C339,PARÂMETROS!$G$8:$G$907,J339),SUMIFS(PARÂMETROS!$E$8:$E$907,PARÂMETROS!$A$8:$A$907,C339,PARÂMETROS!$G$8:$G$907,J339))</f>
        <v>0.0334296779858567</v>
      </c>
      <c r="E339" s="21" t="n">
        <f aca="false">SUMIFS(SETORES!$D:$D,SETORES!$A:$A,A339,SETORES!$F:$F,J339)</f>
        <v>22548.92</v>
      </c>
      <c r="F339" s="21" t="n">
        <f aca="false">IFERROR(D339*E339,0)</f>
        <v>753.803134528843</v>
      </c>
      <c r="G339" s="9" t="n">
        <f aca="false">SUMIFS(PARÂMETROS!$F$8:$F$907,PARÂMETROS!$A$8:$A$907,C339,PARÂMETROS!$G$8:$G$907,J339)</f>
        <v>0</v>
      </c>
      <c r="H339" s="21" t="n">
        <f aca="false">IFERROR(F339*G339,0)</f>
        <v>0</v>
      </c>
      <c r="I339" s="21" t="n">
        <f aca="false">F339+H339</f>
        <v>753.803134528843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IF(B340="Clientes",SUMIFS(PARÂMETROS!$D$8:$D$907,PARÂMETROS!$A$8:$A$907,C340,PARÂMETROS!$G$8:$G$907,J340),SUMIFS(PARÂMETROS!$E$8:$E$907,PARÂMETROS!$A$8:$A$907,C340,PARÂMETROS!$G$8:$G$907,J340))</f>
        <v>0.0247220726818484</v>
      </c>
      <c r="E340" s="22" t="n">
        <f aca="false">SUMIFS(SETORES!$D:$D,SETORES!$A:$A,A340,SETORES!$F:$F,J340)</f>
        <v>22548.92</v>
      </c>
      <c r="F340" s="22" t="n">
        <f aca="false">IFERROR(D340*E340,0)</f>
        <v>557.456039137184</v>
      </c>
      <c r="G340" s="14" t="n">
        <f aca="false">SUMIFS(PARÂMETROS!$F$8:$F$907,PARÂMETROS!$A$8:$A$907,C340,PARÂMETROS!$G$8:$G$907,J340)</f>
        <v>0</v>
      </c>
      <c r="H340" s="22" t="n">
        <f aca="false">IFERROR(F340*G340,0)</f>
        <v>0</v>
      </c>
      <c r="I340" s="22" t="n">
        <f aca="false">F340+H340</f>
        <v>557.456039137184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IF(B341="Clientes",SUMIFS(PARÂMETROS!$D$8:$D$907,PARÂMETROS!$A$8:$A$907,C341,PARÂMETROS!$G$8:$G$907,J341),SUMIFS(PARÂMETROS!$E$8:$E$907,PARÂMETROS!$A$8:$A$907,C341,PARÂMETROS!$G$8:$G$907,J341))</f>
        <v>0.0249938586817334</v>
      </c>
      <c r="E341" s="21" t="n">
        <f aca="false">SUMIFS(SETORES!$D:$D,SETORES!$A:$A,A341,SETORES!$F:$F,J341)</f>
        <v>22548.92</v>
      </c>
      <c r="F341" s="21" t="n">
        <f aca="false">IFERROR(D341*E341,0)</f>
        <v>563.584519905711</v>
      </c>
      <c r="G341" s="9" t="n">
        <f aca="false">SUMIFS(PARÂMETROS!$F$8:$F$907,PARÂMETROS!$A$8:$A$907,C341,PARÂMETROS!$G$8:$G$907,J341)</f>
        <v>0</v>
      </c>
      <c r="H341" s="21" t="n">
        <f aca="false">IFERROR(F341*G341,0)</f>
        <v>0</v>
      </c>
      <c r="I341" s="21" t="n">
        <f aca="false">F341+H341</f>
        <v>563.584519905711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IF(B342="Clientes",SUMIFS(PARÂMETROS!$D$8:$D$907,PARÂMETROS!$A$8:$A$907,C342,PARÂMETROS!$G$8:$G$907,J342),SUMIFS(PARÂMETROS!$E$8:$E$907,PARÂMETROS!$A$8:$A$907,C342,PARÂMETROS!$G$8:$G$907,J342))</f>
        <v>0.720002926926153</v>
      </c>
      <c r="E342" s="22" t="n">
        <f aca="false">SUMIFS(SETORES!$D:$D,SETORES!$A:$A,A342,SETORES!$F:$F,J342)</f>
        <v>22548.92</v>
      </c>
      <c r="F342" s="22" t="n">
        <f aca="false">IFERROR(D342*E342,0)</f>
        <v>16235.2883990237</v>
      </c>
      <c r="G342" s="14" t="n">
        <f aca="false">SUMIFS(PARÂMETROS!$F$8:$F$907,PARÂMETROS!$A$8:$A$907,C342,PARÂMETROS!$G$8:$G$907,J342)</f>
        <v>0</v>
      </c>
      <c r="H342" s="22" t="n">
        <f aca="false">IFERROR(F342*G342,0)</f>
        <v>0</v>
      </c>
      <c r="I342" s="22" t="n">
        <f aca="false">F342+H342</f>
        <v>16235.2883990237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IF(B343="Clientes",SUMIFS(PARÂMETROS!$D$8:$D$907,PARÂMETROS!$A$8:$A$907,C343,PARÂMETROS!$G$8:$G$907,J343),SUMIFS(PARÂMETROS!$E$8:$E$907,PARÂMETROS!$A$8:$A$907,C343,PARÂMETROS!$G$8:$G$907,J343))</f>
        <v>0.0332383665716999</v>
      </c>
      <c r="E343" s="21" t="n">
        <f aca="false">SUMIFS(SETORES!$D:$D,SETORES!$A:$A,A343,SETORES!$F:$F,J343)</f>
        <v>53968.47</v>
      </c>
      <c r="F343" s="21" t="n">
        <f aca="false">IFERROR(D343*E343,0)</f>
        <v>1793.82378917379</v>
      </c>
      <c r="G343" s="9" t="n">
        <f aca="false">SUMIFS(PARÂMETROS!$F$8:$F$907,PARÂMETROS!$A$8:$A$907,C343,PARÂMETROS!$G$8:$G$907,J343)</f>
        <v>0</v>
      </c>
      <c r="H343" s="21" t="n">
        <f aca="false">IFERROR(F343*G343,0)</f>
        <v>0</v>
      </c>
      <c r="I343" s="21" t="n">
        <f aca="false">F343+H343</f>
        <v>1793.82378917379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IF(B344="Clientes",SUMIFS(PARÂMETROS!$D$8:$D$907,PARÂMETROS!$A$8:$A$907,C344,PARÂMETROS!$G$8:$G$907,J344),SUMIFS(PARÂMETROS!$E$8:$E$907,PARÂMETROS!$A$8:$A$907,C344,PARÂMETROS!$G$8:$G$907,J344))</f>
        <v>0.0332383665716999</v>
      </c>
      <c r="E344" s="22" t="n">
        <f aca="false">SUMIFS(SETORES!$D:$D,SETORES!$A:$A,A344,SETORES!$F:$F,J344)</f>
        <v>53968.47</v>
      </c>
      <c r="F344" s="22" t="n">
        <f aca="false">IFERROR(D344*E344,0)</f>
        <v>1793.82378917379</v>
      </c>
      <c r="G344" s="14" t="n">
        <f aca="false">SUMIFS(PARÂMETROS!$F$8:$F$907,PARÂMETROS!$A$8:$A$907,C344,PARÂMETROS!$G$8:$G$907,J344)</f>
        <v>0</v>
      </c>
      <c r="H344" s="22" t="n">
        <f aca="false">IFERROR(F344*G344,0)</f>
        <v>0</v>
      </c>
      <c r="I344" s="22" t="n">
        <f aca="false">F344+H344</f>
        <v>1793.82378917379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IF(B345="Clientes",SUMIFS(PARÂMETROS!$D$8:$D$907,PARÂMETROS!$A$8:$A$907,C345,PARÂMETROS!$G$8:$G$907,J345),SUMIFS(PARÂMETROS!$E$8:$E$907,PARÂMETROS!$A$8:$A$907,C345,PARÂMETROS!$G$8:$G$907,J345))</f>
        <v>0.0398860398860399</v>
      </c>
      <c r="E345" s="21" t="n">
        <f aca="false">SUMIFS(SETORES!$D:$D,SETORES!$A:$A,A345,SETORES!$F:$F,J345)</f>
        <v>53968.47</v>
      </c>
      <c r="F345" s="21" t="n">
        <f aca="false">IFERROR(D345*E345,0)</f>
        <v>2152.58854700855</v>
      </c>
      <c r="G345" s="9" t="n">
        <f aca="false">SUMIFS(PARÂMETROS!$F$8:$F$907,PARÂMETROS!$A$8:$A$907,C345,PARÂMETROS!$G$8:$G$907,J345)</f>
        <v>0</v>
      </c>
      <c r="H345" s="21" t="n">
        <f aca="false">IFERROR(F345*G345,0)</f>
        <v>0</v>
      </c>
      <c r="I345" s="21" t="n">
        <f aca="false">F345+H345</f>
        <v>2152.58854700855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IF(B346="Clientes",SUMIFS(PARÂMETROS!$D$8:$D$907,PARÂMETROS!$A$8:$A$907,C346,PARÂMETROS!$G$8:$G$907,J346),SUMIFS(PARÂMETROS!$E$8:$E$907,PARÂMETROS!$A$8:$A$907,C346,PARÂMETROS!$G$8:$G$907,J346))</f>
        <v>0.0104463437796771</v>
      </c>
      <c r="E346" s="22" t="n">
        <f aca="false">SUMIFS(SETORES!$D:$D,SETORES!$A:$A,A346,SETORES!$F:$F,J346)</f>
        <v>53968.47</v>
      </c>
      <c r="F346" s="22" t="n">
        <f aca="false">IFERROR(D346*E346,0)</f>
        <v>563.773190883191</v>
      </c>
      <c r="G346" s="14" t="n">
        <f aca="false">SUMIFS(PARÂMETROS!$F$8:$F$907,PARÂMETROS!$A$8:$A$907,C346,PARÂMETROS!$G$8:$G$907,J346)</f>
        <v>0</v>
      </c>
      <c r="H346" s="22" t="n">
        <f aca="false">IFERROR(F346*G346,0)</f>
        <v>0</v>
      </c>
      <c r="I346" s="22" t="n">
        <f aca="false">F346+H346</f>
        <v>563.773190883191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IF(B347="Clientes",SUMIFS(PARÂMETROS!$D$8:$D$907,PARÂMETROS!$A$8:$A$907,C347,PARÂMETROS!$G$8:$G$907,J347),SUMIFS(PARÂMETROS!$E$8:$E$907,PARÂMETROS!$A$8:$A$907,C347,PARÂMETROS!$G$8:$G$907,J347))</f>
        <v>0.0398860398860399</v>
      </c>
      <c r="E347" s="21" t="n">
        <f aca="false">SUMIFS(SETORES!$D:$D,SETORES!$A:$A,A347,SETORES!$F:$F,J347)</f>
        <v>53968.47</v>
      </c>
      <c r="F347" s="21" t="n">
        <f aca="false">IFERROR(D347*E347,0)</f>
        <v>2152.58854700855</v>
      </c>
      <c r="G347" s="9" t="n">
        <f aca="false">SUMIFS(PARÂMETROS!$F$8:$F$907,PARÂMETROS!$A$8:$A$907,C347,PARÂMETROS!$G$8:$G$907,J347)</f>
        <v>0</v>
      </c>
      <c r="H347" s="21" t="n">
        <f aca="false">IFERROR(F347*G347,0)</f>
        <v>0</v>
      </c>
      <c r="I347" s="21" t="n">
        <f aca="false">F347+H347</f>
        <v>2152.58854700855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IF(B348="Clientes",SUMIFS(PARÂMETROS!$D$8:$D$907,PARÂMETROS!$A$8:$A$907,C348,PARÂMETROS!$G$8:$G$907,J348),SUMIFS(PARÂMETROS!$E$8:$E$907,PARÂMETROS!$A$8:$A$907,C348,PARÂMETROS!$G$8:$G$907,J348))</f>
        <v>0.0170940170940171</v>
      </c>
      <c r="E348" s="22" t="n">
        <f aca="false">SUMIFS(SETORES!$D:$D,SETORES!$A:$A,A348,SETORES!$F:$F,J348)</f>
        <v>53968.47</v>
      </c>
      <c r="F348" s="22" t="n">
        <f aca="false">IFERROR(D348*E348,0)</f>
        <v>922.537948717949</v>
      </c>
      <c r="G348" s="14" t="n">
        <f aca="false">SUMIFS(PARÂMETROS!$F$8:$F$907,PARÂMETROS!$A$8:$A$907,C348,PARÂMETROS!$G$8:$G$907,J348)</f>
        <v>0</v>
      </c>
      <c r="H348" s="22" t="n">
        <f aca="false">IFERROR(F348*G348,0)</f>
        <v>0</v>
      </c>
      <c r="I348" s="22" t="n">
        <f aca="false">F348+H348</f>
        <v>922.537948717949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IF(B349="Clientes",SUMIFS(PARÂMETROS!$D$8:$D$907,PARÂMETROS!$A$8:$A$907,C349,PARÂMETROS!$G$8:$G$907,J349),SUMIFS(PARÂMETROS!$E$8:$E$907,PARÂMETROS!$A$8:$A$907,C349,PARÂMETROS!$G$8:$G$907,J349))</f>
        <v>0.0189933523266857</v>
      </c>
      <c r="E349" s="21" t="n">
        <f aca="false">SUMIFS(SETORES!$D:$D,SETORES!$A:$A,A349,SETORES!$F:$F,J349)</f>
        <v>53968.47</v>
      </c>
      <c r="F349" s="21" t="n">
        <f aca="false">IFERROR(D349*E349,0)</f>
        <v>1025.04216524217</v>
      </c>
      <c r="G349" s="9" t="n">
        <f aca="false">SUMIFS(PARÂMETROS!$F$8:$F$907,PARÂMETROS!$A$8:$A$907,C349,PARÂMETROS!$G$8:$G$907,J349)</f>
        <v>0</v>
      </c>
      <c r="H349" s="21" t="n">
        <f aca="false">IFERROR(F349*G349,0)</f>
        <v>0</v>
      </c>
      <c r="I349" s="21" t="n">
        <f aca="false">F349+H349</f>
        <v>1025.04216524217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IF(B350="Clientes",SUMIFS(PARÂMETROS!$D$8:$D$907,PARÂMETROS!$A$8:$A$907,C350,PARÂMETROS!$G$8:$G$907,J350),SUMIFS(PARÂMETROS!$E$8:$E$907,PARÂMETROS!$A$8:$A$907,C350,PARÂMETROS!$G$8:$G$907,J350))</f>
        <v>0.807217473884141</v>
      </c>
      <c r="E350" s="22" t="n">
        <f aca="false">SUMIFS(SETORES!$D:$D,SETORES!$A:$A,A350,SETORES!$F:$F,J350)</f>
        <v>53968.47</v>
      </c>
      <c r="F350" s="22" t="n">
        <f aca="false">IFERROR(D350*E350,0)</f>
        <v>43564.292022792</v>
      </c>
      <c r="G350" s="14" t="n">
        <f aca="false">SUMIFS(PARÂMETROS!$F$8:$F$907,PARÂMETROS!$A$8:$A$907,C350,PARÂMETROS!$G$8:$G$907,J350)</f>
        <v>0</v>
      </c>
      <c r="H350" s="22" t="n">
        <f aca="false">IFERROR(F350*G350,0)</f>
        <v>0</v>
      </c>
      <c r="I350" s="22" t="n">
        <f aca="false">F350+H350</f>
        <v>43564.292022792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IF(B351="Clientes",SUMIFS(PARÂMETROS!$D$8:$D$907,PARÂMETROS!$A$8:$A$907,C351,PARÂMETROS!$G$8:$G$907,J351),SUMIFS(PARÂMETROS!$E$8:$E$907,PARÂMETROS!$A$8:$A$907,C351,PARÂMETROS!$G$8:$G$907,J351))</f>
        <v>0.0328233861399593</v>
      </c>
      <c r="E351" s="21" t="n">
        <f aca="false">SUMIFS(SETORES!$D:$D,SETORES!$A:$A,A351,SETORES!$F:$F,J351)</f>
        <v>73343.73</v>
      </c>
      <c r="F351" s="21" t="n">
        <f aca="false">IFERROR(D351*E351,0)</f>
        <v>2407.38957073492</v>
      </c>
      <c r="G351" s="9" t="n">
        <f aca="false">SUMIFS(PARÂMETROS!$F$8:$F$907,PARÂMETROS!$A$8:$A$907,C351,PARÂMETROS!$G$8:$G$907,J351)</f>
        <v>0</v>
      </c>
      <c r="H351" s="21" t="n">
        <f aca="false">IFERROR(F351*G351,0)</f>
        <v>0</v>
      </c>
      <c r="I351" s="21" t="n">
        <f aca="false">F351+H351</f>
        <v>2407.38957073492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IF(B352="Clientes",SUMIFS(PARÂMETROS!$D$8:$D$907,PARÂMETROS!$A$8:$A$907,C352,PARÂMETROS!$G$8:$G$907,J352),SUMIFS(PARÂMETROS!$E$8:$E$907,PARÂMETROS!$A$8:$A$907,C352,PARÂMETROS!$G$8:$G$907,J352))</f>
        <v>0.0700476148165183</v>
      </c>
      <c r="E352" s="22" t="n">
        <f aca="false">SUMIFS(SETORES!$D:$D,SETORES!$A:$A,A352,SETORES!$F:$F,J352)</f>
        <v>73343.73</v>
      </c>
      <c r="F352" s="22" t="n">
        <f aca="false">IFERROR(D352*E352,0)</f>
        <v>5137.55334824672</v>
      </c>
      <c r="G352" s="14" t="n">
        <f aca="false">SUMIFS(PARÂMETROS!$F$8:$F$907,PARÂMETROS!$A$8:$A$907,C352,PARÂMETROS!$G$8:$G$907,J352)</f>
        <v>0</v>
      </c>
      <c r="H352" s="22" t="n">
        <f aca="false">IFERROR(F352*G352,0)</f>
        <v>0</v>
      </c>
      <c r="I352" s="22" t="n">
        <f aca="false">F352+H352</f>
        <v>5137.55334824672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IF(B353="Clientes",SUMIFS(PARÂMETROS!$D$8:$D$907,PARÂMETROS!$A$8:$A$907,C353,PARÂMETROS!$G$8:$G$907,J353),SUMIFS(PARÂMETROS!$E$8:$E$907,PARÂMETROS!$A$8:$A$907,C353,PARÂMETROS!$G$8:$G$907,J353))</f>
        <v>0.074903176237541</v>
      </c>
      <c r="E353" s="21" t="n">
        <f aca="false">SUMIFS(SETORES!$D:$D,SETORES!$A:$A,A353,SETORES!$F:$F,J353)</f>
        <v>73343.73</v>
      </c>
      <c r="F353" s="21" t="n">
        <f aca="false">IFERROR(D353*E353,0)</f>
        <v>5493.67833410862</v>
      </c>
      <c r="G353" s="9" t="n">
        <f aca="false">SUMIFS(PARÂMETROS!$F$8:$F$907,PARÂMETROS!$A$8:$A$907,C353,PARÂMETROS!$G$8:$G$907,J353)</f>
        <v>0</v>
      </c>
      <c r="H353" s="21" t="n">
        <f aca="false">IFERROR(F353*G353,0)</f>
        <v>0</v>
      </c>
      <c r="I353" s="21" t="n">
        <f aca="false">F353+H353</f>
        <v>5493.67833410862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IF(B354="Clientes",SUMIFS(PARÂMETROS!$D$8:$D$907,PARÂMETROS!$A$8:$A$907,C354,PARÂMETROS!$G$8:$G$907,J354),SUMIFS(PARÂMETROS!$E$8:$E$907,PARÂMETROS!$A$8:$A$907,C354,PARÂMETROS!$G$8:$G$907,J354))</f>
        <v>0.0190772865303904</v>
      </c>
      <c r="E354" s="22" t="n">
        <f aca="false">SUMIFS(SETORES!$D:$D,SETORES!$A:$A,A354,SETORES!$F:$F,J354)</f>
        <v>73343.73</v>
      </c>
      <c r="F354" s="22" t="n">
        <f aca="false">IFERROR(D354*E354,0)</f>
        <v>1399.19935241759</v>
      </c>
      <c r="G354" s="14" t="n">
        <f aca="false">SUMIFS(PARÂMETROS!$F$8:$F$907,PARÂMETROS!$A$8:$A$907,C354,PARÂMETROS!$G$8:$G$907,J354)</f>
        <v>0</v>
      </c>
      <c r="H354" s="22" t="n">
        <f aca="false">IFERROR(F354*G354,0)</f>
        <v>0</v>
      </c>
      <c r="I354" s="22" t="n">
        <f aca="false">F354+H354</f>
        <v>1399.19935241759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IF(B355="Clientes",SUMIFS(PARÂMETROS!$D$8:$D$907,PARÂMETROS!$A$8:$A$907,C355,PARÂMETROS!$G$8:$G$907,J355),SUMIFS(PARÂMETROS!$E$8:$E$907,PARÂMETROS!$A$8:$A$907,C355,PARÂMETROS!$G$8:$G$907,J355))</f>
        <v>0.0334296779858567</v>
      </c>
      <c r="E355" s="21" t="n">
        <f aca="false">SUMIFS(SETORES!$D:$D,SETORES!$A:$A,A355,SETORES!$F:$F,J355)</f>
        <v>73343.73</v>
      </c>
      <c r="F355" s="21" t="n">
        <f aca="false">IFERROR(D355*E355,0)</f>
        <v>2451.85727618162</v>
      </c>
      <c r="G355" s="9" t="n">
        <f aca="false">SUMIFS(PARÂMETROS!$F$8:$F$907,PARÂMETROS!$A$8:$A$907,C355,PARÂMETROS!$G$8:$G$907,J355)</f>
        <v>0</v>
      </c>
      <c r="H355" s="21" t="n">
        <f aca="false">IFERROR(F355*G355,0)</f>
        <v>0</v>
      </c>
      <c r="I355" s="21" t="n">
        <f aca="false">F355+H355</f>
        <v>2451.85727618162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IF(B356="Clientes",SUMIFS(PARÂMETROS!$D$8:$D$907,PARÂMETROS!$A$8:$A$907,C356,PARÂMETROS!$G$8:$G$907,J356),SUMIFS(PARÂMETROS!$E$8:$E$907,PARÂMETROS!$A$8:$A$907,C356,PARÂMETROS!$G$8:$G$907,J356))</f>
        <v>0.0247220726818484</v>
      </c>
      <c r="E356" s="22" t="n">
        <f aca="false">SUMIFS(SETORES!$D:$D,SETORES!$A:$A,A356,SETORES!$F:$F,J356)</f>
        <v>73343.73</v>
      </c>
      <c r="F356" s="22" t="n">
        <f aca="false">IFERROR(D356*E356,0)</f>
        <v>1813.20902381786</v>
      </c>
      <c r="G356" s="14" t="n">
        <f aca="false">SUMIFS(PARÂMETROS!$F$8:$F$907,PARÂMETROS!$A$8:$A$907,C356,PARÂMETROS!$G$8:$G$907,J356)</f>
        <v>0</v>
      </c>
      <c r="H356" s="22" t="n">
        <f aca="false">IFERROR(F356*G356,0)</f>
        <v>0</v>
      </c>
      <c r="I356" s="22" t="n">
        <f aca="false">F356+H356</f>
        <v>1813.20902381786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IF(B357="Clientes",SUMIFS(PARÂMETROS!$D$8:$D$907,PARÂMETROS!$A$8:$A$907,C357,PARÂMETROS!$G$8:$G$907,J357),SUMIFS(PARÂMETROS!$E$8:$E$907,PARÂMETROS!$A$8:$A$907,C357,PARÂMETROS!$G$8:$G$907,J357))</f>
        <v>0.0249938586817334</v>
      </c>
      <c r="E357" s="21" t="n">
        <f aca="false">SUMIFS(SETORES!$D:$D,SETORES!$A:$A,A357,SETORES!$F:$F,J357)</f>
        <v>73343.73</v>
      </c>
      <c r="F357" s="21" t="n">
        <f aca="false">IFERROR(D357*E357,0)</f>
        <v>1833.14282281121</v>
      </c>
      <c r="G357" s="9" t="n">
        <f aca="false">SUMIFS(PARÂMETROS!$F$8:$F$907,PARÂMETROS!$A$8:$A$907,C357,PARÂMETROS!$G$8:$G$907,J357)</f>
        <v>0</v>
      </c>
      <c r="H357" s="21" t="n">
        <f aca="false">IFERROR(F357*G357,0)</f>
        <v>0</v>
      </c>
      <c r="I357" s="21" t="n">
        <f aca="false">F357+H357</f>
        <v>1833.14282281121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IF(B358="Clientes",SUMIFS(PARÂMETROS!$D$8:$D$907,PARÂMETROS!$A$8:$A$907,C358,PARÂMETROS!$G$8:$G$907,J358),SUMIFS(PARÂMETROS!$E$8:$E$907,PARÂMETROS!$A$8:$A$907,C358,PARÂMETROS!$G$8:$G$907,J358))</f>
        <v>0.720002926926153</v>
      </c>
      <c r="E358" s="22" t="n">
        <f aca="false">SUMIFS(SETORES!$D:$D,SETORES!$A:$A,A358,SETORES!$F:$F,J358)</f>
        <v>73343.73</v>
      </c>
      <c r="F358" s="22" t="n">
        <f aca="false">IFERROR(D358*E358,0)</f>
        <v>52807.7002716815</v>
      </c>
      <c r="G358" s="14" t="n">
        <f aca="false">SUMIFS(PARÂMETROS!$F$8:$F$907,PARÂMETROS!$A$8:$A$907,C358,PARÂMETROS!$G$8:$G$907,J358)</f>
        <v>0</v>
      </c>
      <c r="H358" s="22" t="n">
        <f aca="false">IFERROR(F358*G358,0)</f>
        <v>0</v>
      </c>
      <c r="I358" s="22" t="n">
        <f aca="false">F358+H358</f>
        <v>52807.7002716815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IF(B359="Clientes",SUMIFS(PARÂMETROS!$D$8:$D$907,PARÂMETROS!$A$8:$A$907,C359,PARÂMETROS!$G$8:$G$907,J359),SUMIFS(PARÂMETROS!$E$8:$E$907,PARÂMETROS!$A$8:$A$907,C359,PARÂMETROS!$G$8:$G$907,J359))</f>
        <v>0.0328233861399593</v>
      </c>
      <c r="E359" s="21" t="n">
        <f aca="false">SUMIFS(SETORES!$D:$D,SETORES!$A:$A,A359,SETORES!$F:$F,J359)</f>
        <v>184735.25</v>
      </c>
      <c r="F359" s="21" t="n">
        <f aca="false">IFERROR(D359*E359,0)</f>
        <v>6063.63644441192</v>
      </c>
      <c r="G359" s="9" t="n">
        <f aca="false">SUMIFS(PARÂMETROS!$F$8:$F$907,PARÂMETROS!$A$8:$A$907,C359,PARÂMETROS!$G$8:$G$907,J359)</f>
        <v>0</v>
      </c>
      <c r="H359" s="21" t="n">
        <f aca="false">IFERROR(F359*G359,0)</f>
        <v>0</v>
      </c>
      <c r="I359" s="21" t="n">
        <f aca="false">F359+H359</f>
        <v>6063.63644441192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IF(B360="Clientes",SUMIFS(PARÂMETROS!$D$8:$D$907,PARÂMETROS!$A$8:$A$907,C360,PARÂMETROS!$G$8:$G$907,J360),SUMIFS(PARÂMETROS!$E$8:$E$907,PARÂMETROS!$A$8:$A$907,C360,PARÂMETROS!$G$8:$G$907,J360))</f>
        <v>0.0700476148165183</v>
      </c>
      <c r="E360" s="22" t="n">
        <f aca="false">SUMIFS(SETORES!$D:$D,SETORES!$A:$A,A360,SETORES!$F:$F,J360)</f>
        <v>184735.25</v>
      </c>
      <c r="F360" s="22" t="n">
        <f aca="false">IFERROR(D360*E360,0)</f>
        <v>12940.2636350332</v>
      </c>
      <c r="G360" s="14" t="n">
        <f aca="false">SUMIFS(PARÂMETROS!$F$8:$F$907,PARÂMETROS!$A$8:$A$907,C360,PARÂMETROS!$G$8:$G$907,J360)</f>
        <v>0</v>
      </c>
      <c r="H360" s="22" t="n">
        <f aca="false">IFERROR(F360*G360,0)</f>
        <v>0</v>
      </c>
      <c r="I360" s="22" t="n">
        <f aca="false">F360+H360</f>
        <v>12940.2636350332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IF(B361="Clientes",SUMIFS(PARÂMETROS!$D$8:$D$907,PARÂMETROS!$A$8:$A$907,C361,PARÂMETROS!$G$8:$G$907,J361),SUMIFS(PARÂMETROS!$E$8:$E$907,PARÂMETROS!$A$8:$A$907,C361,PARÂMETROS!$G$8:$G$907,J361))</f>
        <v>0.074903176237541</v>
      </c>
      <c r="E361" s="21" t="n">
        <f aca="false">SUMIFS(SETORES!$D:$D,SETORES!$A:$A,A361,SETORES!$F:$F,J361)</f>
        <v>184735.25</v>
      </c>
      <c r="F361" s="21" t="n">
        <f aca="false">IFERROR(D361*E361,0)</f>
        <v>13837.2569880362</v>
      </c>
      <c r="G361" s="9" t="n">
        <f aca="false">SUMIFS(PARÂMETROS!$F$8:$F$907,PARÂMETROS!$A$8:$A$907,C361,PARÂMETROS!$G$8:$G$907,J361)</f>
        <v>0</v>
      </c>
      <c r="H361" s="21" t="n">
        <f aca="false">IFERROR(F361*G361,0)</f>
        <v>0</v>
      </c>
      <c r="I361" s="21" t="n">
        <f aca="false">F361+H361</f>
        <v>13837.2569880362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IF(B362="Clientes",SUMIFS(PARÂMETROS!$D$8:$D$907,PARÂMETROS!$A$8:$A$907,C362,PARÂMETROS!$G$8:$G$907,J362),SUMIFS(PARÂMETROS!$E$8:$E$907,PARÂMETROS!$A$8:$A$907,C362,PARÂMETROS!$G$8:$G$907,J362))</f>
        <v>0.0190772865303904</v>
      </c>
      <c r="E362" s="22" t="n">
        <f aca="false">SUMIFS(SETORES!$D:$D,SETORES!$A:$A,A362,SETORES!$F:$F,J362)</f>
        <v>184735.25</v>
      </c>
      <c r="F362" s="22" t="n">
        <f aca="false">IFERROR(D362*E362,0)</f>
        <v>3524.2472965133</v>
      </c>
      <c r="G362" s="14" t="n">
        <f aca="false">SUMIFS(PARÂMETROS!$F$8:$F$907,PARÂMETROS!$A$8:$A$907,C362,PARÂMETROS!$G$8:$G$907,J362)</f>
        <v>0</v>
      </c>
      <c r="H362" s="22" t="n">
        <f aca="false">IFERROR(F362*G362,0)</f>
        <v>0</v>
      </c>
      <c r="I362" s="22" t="n">
        <f aca="false">F362+H362</f>
        <v>3524.2472965133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IF(B363="Clientes",SUMIFS(PARÂMETROS!$D$8:$D$907,PARÂMETROS!$A$8:$A$907,C363,PARÂMETROS!$G$8:$G$907,J363),SUMIFS(PARÂMETROS!$E$8:$E$907,PARÂMETROS!$A$8:$A$907,C363,PARÂMETROS!$G$8:$G$907,J363))</f>
        <v>0.0334296779858567</v>
      </c>
      <c r="E363" s="21" t="n">
        <f aca="false">SUMIFS(SETORES!$D:$D,SETORES!$A:$A,A363,SETORES!$F:$F,J363)</f>
        <v>184735.25</v>
      </c>
      <c r="F363" s="21" t="n">
        <f aca="false">IFERROR(D363*E363,0)</f>
        <v>6175.63992013673</v>
      </c>
      <c r="G363" s="9" t="n">
        <f aca="false">SUMIFS(PARÂMETROS!$F$8:$F$907,PARÂMETROS!$A$8:$A$907,C363,PARÂMETROS!$G$8:$G$907,J363)</f>
        <v>0</v>
      </c>
      <c r="H363" s="21" t="n">
        <f aca="false">IFERROR(F363*G363,0)</f>
        <v>0</v>
      </c>
      <c r="I363" s="21" t="n">
        <f aca="false">F363+H363</f>
        <v>6175.63992013673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IF(B364="Clientes",SUMIFS(PARÂMETROS!$D$8:$D$907,PARÂMETROS!$A$8:$A$907,C364,PARÂMETROS!$G$8:$G$907,J364),SUMIFS(PARÂMETROS!$E$8:$E$907,PARÂMETROS!$A$8:$A$907,C364,PARÂMETROS!$G$8:$G$907,J364))</f>
        <v>0.0247220726818484</v>
      </c>
      <c r="E364" s="22" t="n">
        <f aca="false">SUMIFS(SETORES!$D:$D,SETORES!$A:$A,A364,SETORES!$F:$F,J364)</f>
        <v>184735.25</v>
      </c>
      <c r="F364" s="22" t="n">
        <f aca="false">IFERROR(D364*E364,0)</f>
        <v>4567.03827739943</v>
      </c>
      <c r="G364" s="14" t="n">
        <f aca="false">SUMIFS(PARÂMETROS!$F$8:$F$907,PARÂMETROS!$A$8:$A$907,C364,PARÂMETROS!$G$8:$G$907,J364)</f>
        <v>0</v>
      </c>
      <c r="H364" s="22" t="n">
        <f aca="false">IFERROR(F364*G364,0)</f>
        <v>0</v>
      </c>
      <c r="I364" s="22" t="n">
        <f aca="false">F364+H364</f>
        <v>4567.03827739943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IF(B365="Clientes",SUMIFS(PARÂMETROS!$D$8:$D$907,PARÂMETROS!$A$8:$A$907,C365,PARÂMETROS!$G$8:$G$907,J365),SUMIFS(PARÂMETROS!$E$8:$E$907,PARÂMETROS!$A$8:$A$907,C365,PARÂMETROS!$G$8:$G$907,J365))</f>
        <v>0.0249938586817334</v>
      </c>
      <c r="E365" s="21" t="n">
        <f aca="false">SUMIFS(SETORES!$D:$D,SETORES!$A:$A,A365,SETORES!$F:$F,J365)</f>
        <v>184735.25</v>
      </c>
      <c r="F365" s="21" t="n">
        <f aca="false">IFERROR(D365*E365,0)</f>
        <v>4617.24673203468</v>
      </c>
      <c r="G365" s="9" t="n">
        <f aca="false">SUMIFS(PARÂMETROS!$F$8:$F$907,PARÂMETROS!$A$8:$A$907,C365,PARÂMETROS!$G$8:$G$907,J365)</f>
        <v>0</v>
      </c>
      <c r="H365" s="21" t="n">
        <f aca="false">IFERROR(F365*G365,0)</f>
        <v>0</v>
      </c>
      <c r="I365" s="21" t="n">
        <f aca="false">F365+H365</f>
        <v>4617.24673203468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IF(B366="Clientes",SUMIFS(PARÂMETROS!$D$8:$D$907,PARÂMETROS!$A$8:$A$907,C366,PARÂMETROS!$G$8:$G$907,J366),SUMIFS(PARÂMETROS!$E$8:$E$907,PARÂMETROS!$A$8:$A$907,C366,PARÂMETROS!$G$8:$G$907,J366))</f>
        <v>0.720002926926153</v>
      </c>
      <c r="E366" s="22" t="n">
        <f aca="false">SUMIFS(SETORES!$D:$D,SETORES!$A:$A,A366,SETORES!$F:$F,J366)</f>
        <v>184735.25</v>
      </c>
      <c r="F366" s="22" t="n">
        <f aca="false">IFERROR(D366*E366,0)</f>
        <v>133009.920706435</v>
      </c>
      <c r="G366" s="14" t="n">
        <f aca="false">SUMIFS(PARÂMETROS!$F$8:$F$907,PARÂMETROS!$A$8:$A$907,C366,PARÂMETROS!$G$8:$G$907,J366)</f>
        <v>0</v>
      </c>
      <c r="H366" s="22" t="n">
        <f aca="false">IFERROR(F366*G366,0)</f>
        <v>0</v>
      </c>
      <c r="I366" s="22" t="n">
        <f aca="false">F366+H366</f>
        <v>133009.920706435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IF(B367="Clientes",SUMIFS(PARÂMETROS!$D$8:$D$907,PARÂMETROS!$A$8:$A$907,C367,PARÂMETROS!$G$8:$G$907,J367),SUMIFS(PARÂMETROS!$E$8:$E$907,PARÂMETROS!$A$8:$A$907,C367,PARÂMETROS!$G$8:$G$907,J367))</f>
        <v>0.0328233861399593</v>
      </c>
      <c r="E367" s="21" t="n">
        <f aca="false">SUMIFS(SETORES!$D:$D,SETORES!$A:$A,A367,SETORES!$F:$F,J367)</f>
        <v>137420.52</v>
      </c>
      <c r="F367" s="21" t="n">
        <f aca="false">IFERROR(D367*E367,0)</f>
        <v>4510.60679151401</v>
      </c>
      <c r="G367" s="9" t="n">
        <f aca="false">SUMIFS(PARÂMETROS!$F$8:$F$907,PARÂMETROS!$A$8:$A$907,C367,PARÂMETROS!$G$8:$G$907,J367)</f>
        <v>0</v>
      </c>
      <c r="H367" s="21" t="n">
        <f aca="false">IFERROR(F367*G367,0)</f>
        <v>0</v>
      </c>
      <c r="I367" s="21" t="n">
        <f aca="false">F367+H367</f>
        <v>4510.60679151401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IF(B368="Clientes",SUMIFS(PARÂMETROS!$D$8:$D$907,PARÂMETROS!$A$8:$A$907,C368,PARÂMETROS!$G$8:$G$907,J368),SUMIFS(PARÂMETROS!$E$8:$E$907,PARÂMETROS!$A$8:$A$907,C368,PARÂMETROS!$G$8:$G$907,J368))</f>
        <v>0.0700476148165183</v>
      </c>
      <c r="E368" s="22" t="n">
        <f aca="false">SUMIFS(SETORES!$D:$D,SETORES!$A:$A,A368,SETORES!$F:$F,J368)</f>
        <v>137420.52</v>
      </c>
      <c r="F368" s="22" t="n">
        <f aca="false">IFERROR(D368*E368,0)</f>
        <v>9625.97965284565</v>
      </c>
      <c r="G368" s="14" t="n">
        <f aca="false">SUMIFS(PARÂMETROS!$F$8:$F$907,PARÂMETROS!$A$8:$A$907,C368,PARÂMETROS!$G$8:$G$907,J368)</f>
        <v>0</v>
      </c>
      <c r="H368" s="22" t="n">
        <f aca="false">IFERROR(F368*G368,0)</f>
        <v>0</v>
      </c>
      <c r="I368" s="22" t="n">
        <f aca="false">F368+H368</f>
        <v>9625.97965284565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IF(B369="Clientes",SUMIFS(PARÂMETROS!$D$8:$D$907,PARÂMETROS!$A$8:$A$907,C369,PARÂMETROS!$G$8:$G$907,J369),SUMIFS(PARÂMETROS!$E$8:$E$907,PARÂMETROS!$A$8:$A$907,C369,PARÂMETROS!$G$8:$G$907,J369))</f>
        <v>0.074903176237541</v>
      </c>
      <c r="E369" s="21" t="n">
        <f aca="false">SUMIFS(SETORES!$D:$D,SETORES!$A:$A,A369,SETORES!$F:$F,J369)</f>
        <v>137420.52</v>
      </c>
      <c r="F369" s="21" t="n">
        <f aca="false">IFERROR(D369*E369,0)</f>
        <v>10293.2334282145</v>
      </c>
      <c r="G369" s="9" t="n">
        <f aca="false">SUMIFS(PARÂMETROS!$F$8:$F$907,PARÂMETROS!$A$8:$A$907,C369,PARÂMETROS!$G$8:$G$907,J369)</f>
        <v>0</v>
      </c>
      <c r="H369" s="21" t="n">
        <f aca="false">IFERROR(F369*G369,0)</f>
        <v>0</v>
      </c>
      <c r="I369" s="21" t="n">
        <f aca="false">F369+H369</f>
        <v>10293.2334282145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IF(B370="Clientes",SUMIFS(PARÂMETROS!$D$8:$D$907,PARÂMETROS!$A$8:$A$907,C370,PARÂMETROS!$G$8:$G$907,J370),SUMIFS(PARÂMETROS!$E$8:$E$907,PARÂMETROS!$A$8:$A$907,C370,PARÂMETROS!$G$8:$G$907,J370))</f>
        <v>0.0190772865303904</v>
      </c>
      <c r="E370" s="22" t="n">
        <f aca="false">SUMIFS(SETORES!$D:$D,SETORES!$A:$A,A370,SETORES!$F:$F,J370)</f>
        <v>137420.52</v>
      </c>
      <c r="F370" s="22" t="n">
        <f aca="false">IFERROR(D370*E370,0)</f>
        <v>2621.61063519524</v>
      </c>
      <c r="G370" s="14" t="n">
        <f aca="false">SUMIFS(PARÂMETROS!$F$8:$F$907,PARÂMETROS!$A$8:$A$907,C370,PARÂMETROS!$G$8:$G$907,J370)</f>
        <v>0</v>
      </c>
      <c r="H370" s="22" t="n">
        <f aca="false">IFERROR(F370*G370,0)</f>
        <v>0</v>
      </c>
      <c r="I370" s="22" t="n">
        <f aca="false">F370+H370</f>
        <v>2621.61063519524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IF(B371="Clientes",SUMIFS(PARÂMETROS!$D$8:$D$907,PARÂMETROS!$A$8:$A$907,C371,PARÂMETROS!$G$8:$G$907,J371),SUMIFS(PARÂMETROS!$E$8:$E$907,PARÂMETROS!$A$8:$A$907,C371,PARÂMETROS!$G$8:$G$907,J371))</f>
        <v>0.0334296779858567</v>
      </c>
      <c r="E371" s="21" t="n">
        <f aca="false">SUMIFS(SETORES!$D:$D,SETORES!$A:$A,A371,SETORES!$F:$F,J371)</f>
        <v>137420.52</v>
      </c>
      <c r="F371" s="21" t="n">
        <f aca="false">IFERROR(D371*E371,0)</f>
        <v>4593.92373224898</v>
      </c>
      <c r="G371" s="9" t="n">
        <f aca="false">SUMIFS(PARÂMETROS!$F$8:$F$907,PARÂMETROS!$A$8:$A$907,C371,PARÂMETROS!$G$8:$G$907,J371)</f>
        <v>0</v>
      </c>
      <c r="H371" s="21" t="n">
        <f aca="false">IFERROR(F371*G371,0)</f>
        <v>0</v>
      </c>
      <c r="I371" s="21" t="n">
        <f aca="false">F371+H371</f>
        <v>4593.92373224898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IF(B372="Clientes",SUMIFS(PARÂMETROS!$D$8:$D$907,PARÂMETROS!$A$8:$A$907,C372,PARÂMETROS!$G$8:$G$907,J372),SUMIFS(PARÂMETROS!$E$8:$E$907,PARÂMETROS!$A$8:$A$907,C372,PARÂMETROS!$G$8:$G$907,J372))</f>
        <v>0.0247220726818484</v>
      </c>
      <c r="E372" s="22" t="n">
        <f aca="false">SUMIFS(SETORES!$D:$D,SETORES!$A:$A,A372,SETORES!$F:$F,J372)</f>
        <v>137420.52</v>
      </c>
      <c r="F372" s="22" t="n">
        <f aca="false">IFERROR(D372*E372,0)</f>
        <v>3397.3200834174</v>
      </c>
      <c r="G372" s="14" t="n">
        <f aca="false">SUMIFS(PARÂMETROS!$F$8:$F$907,PARÂMETROS!$A$8:$A$907,C372,PARÂMETROS!$G$8:$G$907,J372)</f>
        <v>0</v>
      </c>
      <c r="H372" s="22" t="n">
        <f aca="false">IFERROR(F372*G372,0)</f>
        <v>0</v>
      </c>
      <c r="I372" s="22" t="n">
        <f aca="false">F372+H372</f>
        <v>3397.3200834174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IF(B373="Clientes",SUMIFS(PARÂMETROS!$D$8:$D$907,PARÂMETROS!$A$8:$A$907,C373,PARÂMETROS!$G$8:$G$907,J373),SUMIFS(PARÂMETROS!$E$8:$E$907,PARÂMETROS!$A$8:$A$907,C373,PARÂMETROS!$G$8:$G$907,J373))</f>
        <v>0.0249938586817334</v>
      </c>
      <c r="E373" s="21" t="n">
        <f aca="false">SUMIFS(SETORES!$D:$D,SETORES!$A:$A,A373,SETORES!$F:$F,J373)</f>
        <v>137420.52</v>
      </c>
      <c r="F373" s="21" t="n">
        <f aca="false">IFERROR(D373*E373,0)</f>
        <v>3434.66905685031</v>
      </c>
      <c r="G373" s="9" t="n">
        <f aca="false">SUMIFS(PARÂMETROS!$F$8:$F$907,PARÂMETROS!$A$8:$A$907,C373,PARÂMETROS!$G$8:$G$907,J373)</f>
        <v>0</v>
      </c>
      <c r="H373" s="21" t="n">
        <f aca="false">IFERROR(F373*G373,0)</f>
        <v>0</v>
      </c>
      <c r="I373" s="21" t="n">
        <f aca="false">F373+H373</f>
        <v>3434.66905685031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IF(B374="Clientes",SUMIFS(PARÂMETROS!$D$8:$D$907,PARÂMETROS!$A$8:$A$907,C374,PARÂMETROS!$G$8:$G$907,J374),SUMIFS(PARÂMETROS!$E$8:$E$907,PARÂMETROS!$A$8:$A$907,C374,PARÂMETROS!$G$8:$G$907,J374))</f>
        <v>0.720002926926153</v>
      </c>
      <c r="E374" s="22" t="n">
        <f aca="false">SUMIFS(SETORES!$D:$D,SETORES!$A:$A,A374,SETORES!$F:$F,J374)</f>
        <v>137420.52</v>
      </c>
      <c r="F374" s="22" t="n">
        <f aca="false">IFERROR(D374*E374,0)</f>
        <v>98943.1766197139</v>
      </c>
      <c r="G374" s="14" t="n">
        <f aca="false">SUMIFS(PARÂMETROS!$F$8:$F$907,PARÂMETROS!$A$8:$A$907,C374,PARÂMETROS!$G$8:$G$907,J374)</f>
        <v>0</v>
      </c>
      <c r="H374" s="22" t="n">
        <f aca="false">IFERROR(F374*G374,0)</f>
        <v>0</v>
      </c>
      <c r="I374" s="22" t="n">
        <f aca="false">F374+H374</f>
        <v>98943.1766197139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IF(B375="Clientes",SUMIFS(PARÂMETROS!$D$8:$D$907,PARÂMETROS!$A$8:$A$907,C375,PARÂMETROS!$G$8:$G$907,J375),SUMIFS(PARÂMETROS!$E$8:$E$907,PARÂMETROS!$A$8:$A$907,C375,PARÂMETROS!$G$8:$G$907,J375))</f>
        <v>0.0328233861399593</v>
      </c>
      <c r="E375" s="21" t="n">
        <f aca="false">SUMIFS(SETORES!$D:$D,SETORES!$A:$A,A375,SETORES!$F:$F,J375)</f>
        <v>121872.420789</v>
      </c>
      <c r="F375" s="21" t="n">
        <f aca="false">IFERROR(D375*E375,0)</f>
        <v>4000.26552736895</v>
      </c>
      <c r="G375" s="9" t="n">
        <f aca="false">SUMIFS(PARÂMETROS!$F$8:$F$907,PARÂMETROS!$A$8:$A$907,C375,PARÂMETROS!$G$8:$G$907,J375)</f>
        <v>0</v>
      </c>
      <c r="H375" s="21" t="n">
        <f aca="false">IFERROR(F375*G375,0)</f>
        <v>0</v>
      </c>
      <c r="I375" s="21" t="n">
        <f aca="false">F375+H375</f>
        <v>4000.26552736895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IF(B376="Clientes",SUMIFS(PARÂMETROS!$D$8:$D$907,PARÂMETROS!$A$8:$A$907,C376,PARÂMETROS!$G$8:$G$907,J376),SUMIFS(PARÂMETROS!$E$8:$E$907,PARÂMETROS!$A$8:$A$907,C376,PARÂMETROS!$G$8:$G$907,J376))</f>
        <v>0.0700476148165183</v>
      </c>
      <c r="E376" s="22" t="n">
        <f aca="false">SUMIFS(SETORES!$D:$D,SETORES!$A:$A,A376,SETORES!$F:$F,J376)</f>
        <v>121872.420789</v>
      </c>
      <c r="F376" s="22" t="n">
        <f aca="false">IFERROR(D376*E376,0)</f>
        <v>8536.87238818451</v>
      </c>
      <c r="G376" s="14" t="n">
        <f aca="false">SUMIFS(PARÂMETROS!$F$8:$F$907,PARÂMETROS!$A$8:$A$907,C376,PARÂMETROS!$G$8:$G$907,J376)</f>
        <v>0</v>
      </c>
      <c r="H376" s="22" t="n">
        <f aca="false">IFERROR(F376*G376,0)</f>
        <v>0</v>
      </c>
      <c r="I376" s="22" t="n">
        <f aca="false">F376+H376</f>
        <v>8536.87238818451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IF(B377="Clientes",SUMIFS(PARÂMETROS!$D$8:$D$907,PARÂMETROS!$A$8:$A$907,C377,PARÂMETROS!$G$8:$G$907,J377),SUMIFS(PARÂMETROS!$E$8:$E$907,PARÂMETROS!$A$8:$A$907,C377,PARÂMETROS!$G$8:$G$907,J377))</f>
        <v>0.074903176237541</v>
      </c>
      <c r="E377" s="21" t="n">
        <f aca="false">SUMIFS(SETORES!$D:$D,SETORES!$A:$A,A377,SETORES!$F:$F,J377)</f>
        <v>121872.420789</v>
      </c>
      <c r="F377" s="21" t="n">
        <f aca="false">IFERROR(D377*E377,0)</f>
        <v>9128.63141285422</v>
      </c>
      <c r="G377" s="9" t="n">
        <f aca="false">SUMIFS(PARÂMETROS!$F$8:$F$907,PARÂMETROS!$A$8:$A$907,C377,PARÂMETROS!$G$8:$G$907,J377)</f>
        <v>0</v>
      </c>
      <c r="H377" s="21" t="n">
        <f aca="false">IFERROR(F377*G377,0)</f>
        <v>0</v>
      </c>
      <c r="I377" s="21" t="n">
        <f aca="false">F377+H377</f>
        <v>9128.63141285422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IF(B378="Clientes",SUMIFS(PARÂMETROS!$D$8:$D$907,PARÂMETROS!$A$8:$A$907,C378,PARÂMETROS!$G$8:$G$907,J378),SUMIFS(PARÂMETROS!$E$8:$E$907,PARÂMETROS!$A$8:$A$907,C378,PARÂMETROS!$G$8:$G$907,J378))</f>
        <v>0.0190772865303904</v>
      </c>
      <c r="E378" s="22" t="n">
        <f aca="false">SUMIFS(SETORES!$D:$D,SETORES!$A:$A,A378,SETORES!$F:$F,J378)</f>
        <v>121872.420789</v>
      </c>
      <c r="F378" s="22" t="n">
        <f aca="false">IFERROR(D378*E378,0)</f>
        <v>2324.99509154406</v>
      </c>
      <c r="G378" s="14" t="n">
        <f aca="false">SUMIFS(PARÂMETROS!$F$8:$F$907,PARÂMETROS!$A$8:$A$907,C378,PARÂMETROS!$G$8:$G$907,J378)</f>
        <v>0</v>
      </c>
      <c r="H378" s="22" t="n">
        <f aca="false">IFERROR(F378*G378,0)</f>
        <v>0</v>
      </c>
      <c r="I378" s="22" t="n">
        <f aca="false">F378+H378</f>
        <v>2324.99509154406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IF(B379="Clientes",SUMIFS(PARÂMETROS!$D$8:$D$907,PARÂMETROS!$A$8:$A$907,C379,PARÂMETROS!$G$8:$G$907,J379),SUMIFS(PARÂMETROS!$E$8:$E$907,PARÂMETROS!$A$8:$A$907,C379,PARÂMETROS!$G$8:$G$907,J379))</f>
        <v>0.0334296779858567</v>
      </c>
      <c r="E379" s="21" t="n">
        <f aca="false">SUMIFS(SETORES!$D:$D,SETORES!$A:$A,A379,SETORES!$F:$F,J379)</f>
        <v>121872.420789</v>
      </c>
      <c r="F379" s="21" t="n">
        <f aca="false">IFERROR(D379*E379,0)</f>
        <v>4074.15578233309</v>
      </c>
      <c r="G379" s="9" t="n">
        <f aca="false">SUMIFS(PARÂMETROS!$F$8:$F$907,PARÂMETROS!$A$8:$A$907,C379,PARÂMETROS!$G$8:$G$907,J379)</f>
        <v>0</v>
      </c>
      <c r="H379" s="21" t="n">
        <f aca="false">IFERROR(F379*G379,0)</f>
        <v>0</v>
      </c>
      <c r="I379" s="21" t="n">
        <f aca="false">F379+H379</f>
        <v>4074.15578233309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IF(B380="Clientes",SUMIFS(PARÂMETROS!$D$8:$D$907,PARÂMETROS!$A$8:$A$907,C380,PARÂMETROS!$G$8:$G$907,J380),SUMIFS(PARÂMETROS!$E$8:$E$907,PARÂMETROS!$A$8:$A$907,C380,PARÂMETROS!$G$8:$G$907,J380))</f>
        <v>0.0247220726818484</v>
      </c>
      <c r="E380" s="22" t="n">
        <f aca="false">SUMIFS(SETORES!$D:$D,SETORES!$A:$A,A380,SETORES!$F:$F,J380)</f>
        <v>121872.420789</v>
      </c>
      <c r="F380" s="22" t="n">
        <f aca="false">IFERROR(D380*E380,0)</f>
        <v>3012.93884465846</v>
      </c>
      <c r="G380" s="14" t="n">
        <f aca="false">SUMIFS(PARÂMETROS!$F$8:$F$907,PARÂMETROS!$A$8:$A$907,C380,PARÂMETROS!$G$8:$G$907,J380)</f>
        <v>0</v>
      </c>
      <c r="H380" s="22" t="n">
        <f aca="false">IFERROR(F380*G380,0)</f>
        <v>0</v>
      </c>
      <c r="I380" s="22" t="n">
        <f aca="false">F380+H380</f>
        <v>3012.93884465846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IF(B381="Clientes",SUMIFS(PARÂMETROS!$D$8:$D$907,PARÂMETROS!$A$8:$A$907,C381,PARÂMETROS!$G$8:$G$907,J381),SUMIFS(PARÂMETROS!$E$8:$E$907,PARÂMETROS!$A$8:$A$907,C381,PARÂMETROS!$G$8:$G$907,J381))</f>
        <v>0.0249938586817334</v>
      </c>
      <c r="E381" s="21" t="n">
        <f aca="false">SUMIFS(SETORES!$D:$D,SETORES!$A:$A,A381,SETORES!$F:$F,J381)</f>
        <v>121872.420789</v>
      </c>
      <c r="F381" s="21" t="n">
        <f aca="false">IFERROR(D381*E381,0)</f>
        <v>3046.06206240101</v>
      </c>
      <c r="G381" s="9" t="n">
        <f aca="false">SUMIFS(PARÂMETROS!$F$8:$F$907,PARÂMETROS!$A$8:$A$907,C381,PARÂMETROS!$G$8:$G$907,J381)</f>
        <v>0</v>
      </c>
      <c r="H381" s="21" t="n">
        <f aca="false">IFERROR(F381*G381,0)</f>
        <v>0</v>
      </c>
      <c r="I381" s="21" t="n">
        <f aca="false">F381+H381</f>
        <v>3046.06206240101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IF(B382="Clientes",SUMIFS(PARÂMETROS!$D$8:$D$907,PARÂMETROS!$A$8:$A$907,C382,PARÂMETROS!$G$8:$G$907,J382),SUMIFS(PARÂMETROS!$E$8:$E$907,PARÂMETROS!$A$8:$A$907,C382,PARÂMETROS!$G$8:$G$907,J382))</f>
        <v>0.720002926926153</v>
      </c>
      <c r="E382" s="22" t="n">
        <f aca="false">SUMIFS(SETORES!$D:$D,SETORES!$A:$A,A382,SETORES!$F:$F,J382)</f>
        <v>121872.420789</v>
      </c>
      <c r="F382" s="22" t="n">
        <f aca="false">IFERROR(D382*E382,0)</f>
        <v>87748.4996796557</v>
      </c>
      <c r="G382" s="14" t="n">
        <f aca="false">SUMIFS(PARÂMETROS!$F$8:$F$907,PARÂMETROS!$A$8:$A$907,C382,PARÂMETROS!$G$8:$G$907,J382)</f>
        <v>0</v>
      </c>
      <c r="H382" s="22" t="n">
        <f aca="false">IFERROR(F382*G382,0)</f>
        <v>0</v>
      </c>
      <c r="I382" s="22" t="n">
        <f aca="false">F382+H382</f>
        <v>87748.4996796557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IF(B383="Clientes",SUMIFS(PARÂMETROS!$D$8:$D$907,PARÂMETROS!$A$8:$A$907,C383,PARÂMETROS!$G$8:$G$907,J383),SUMIFS(PARÂMETROS!$E$8:$E$907,PARÂMETROS!$A$8:$A$907,C383,PARÂMETROS!$G$8:$G$907,J383))</f>
        <v>0.0328233861399593</v>
      </c>
      <c r="E383" s="21" t="n">
        <f aca="false">SUMIFS(SETORES!$D:$D,SETORES!$A:$A,A383,SETORES!$F:$F,J383)</f>
        <v>30291.239211</v>
      </c>
      <c r="F383" s="21" t="n">
        <f aca="false">IFERROR(D383*E383,0)</f>
        <v>994.26104128053</v>
      </c>
      <c r="G383" s="9" t="n">
        <f aca="false">SUMIFS(PARÂMETROS!$F$8:$F$907,PARÂMETROS!$A$8:$A$907,C383,PARÂMETROS!$G$8:$G$907,J383)</f>
        <v>0</v>
      </c>
      <c r="H383" s="21" t="n">
        <f aca="false">IFERROR(F383*G383,0)</f>
        <v>0</v>
      </c>
      <c r="I383" s="21" t="n">
        <f aca="false">F383+H383</f>
        <v>994.26104128053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IF(B384="Clientes",SUMIFS(PARÂMETROS!$D$8:$D$907,PARÂMETROS!$A$8:$A$907,C384,PARÂMETROS!$G$8:$G$907,J384),SUMIFS(PARÂMETROS!$E$8:$E$907,PARÂMETROS!$A$8:$A$907,C384,PARÂMETROS!$G$8:$G$907,J384))</f>
        <v>0.0700476148165183</v>
      </c>
      <c r="E384" s="22" t="n">
        <f aca="false">SUMIFS(SETORES!$D:$D,SETORES!$A:$A,A384,SETORES!$F:$F,J384)</f>
        <v>30291.239211</v>
      </c>
      <c r="F384" s="22" t="n">
        <f aca="false">IFERROR(D384*E384,0)</f>
        <v>2121.82905656714</v>
      </c>
      <c r="G384" s="14" t="n">
        <f aca="false">SUMIFS(PARÂMETROS!$F$8:$F$907,PARÂMETROS!$A$8:$A$907,C384,PARÂMETROS!$G$8:$G$907,J384)</f>
        <v>0</v>
      </c>
      <c r="H384" s="22" t="n">
        <f aca="false">IFERROR(F384*G384,0)</f>
        <v>0</v>
      </c>
      <c r="I384" s="22" t="n">
        <f aca="false">F384+H384</f>
        <v>2121.82905656714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IF(B385="Clientes",SUMIFS(PARÂMETROS!$D$8:$D$907,PARÂMETROS!$A$8:$A$907,C385,PARÂMETROS!$G$8:$G$907,J385),SUMIFS(PARÂMETROS!$E$8:$E$907,PARÂMETROS!$A$8:$A$907,C385,PARÂMETROS!$G$8:$G$907,J385))</f>
        <v>0.074903176237541</v>
      </c>
      <c r="E385" s="21" t="n">
        <f aca="false">SUMIFS(SETORES!$D:$D,SETORES!$A:$A,A385,SETORES!$F:$F,J385)</f>
        <v>30291.239211</v>
      </c>
      <c r="F385" s="21" t="n">
        <f aca="false">IFERROR(D385*E385,0)</f>
        <v>2268.91002907504</v>
      </c>
      <c r="G385" s="9" t="n">
        <f aca="false">SUMIFS(PARÂMETROS!$F$8:$F$907,PARÂMETROS!$A$8:$A$907,C385,PARÂMETROS!$G$8:$G$907,J385)</f>
        <v>0</v>
      </c>
      <c r="H385" s="21" t="n">
        <f aca="false">IFERROR(F385*G385,0)</f>
        <v>0</v>
      </c>
      <c r="I385" s="21" t="n">
        <f aca="false">F385+H385</f>
        <v>2268.91002907504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IF(B386="Clientes",SUMIFS(PARÂMETROS!$D$8:$D$907,PARÂMETROS!$A$8:$A$907,C386,PARÂMETROS!$G$8:$G$907,J386),SUMIFS(PARÂMETROS!$E$8:$E$907,PARÂMETROS!$A$8:$A$907,C386,PARÂMETROS!$G$8:$G$907,J386))</f>
        <v>0.0190772865303904</v>
      </c>
      <c r="E386" s="22" t="n">
        <f aca="false">SUMIFS(SETORES!$D:$D,SETORES!$A:$A,A386,SETORES!$F:$F,J386)</f>
        <v>30291.239211</v>
      </c>
      <c r="F386" s="22" t="n">
        <f aca="false">IFERROR(D386*E386,0)</f>
        <v>577.874649788843</v>
      </c>
      <c r="G386" s="14" t="n">
        <f aca="false">SUMIFS(PARÂMETROS!$F$8:$F$907,PARÂMETROS!$A$8:$A$907,C386,PARÂMETROS!$G$8:$G$907,J386)</f>
        <v>0</v>
      </c>
      <c r="H386" s="22" t="n">
        <f aca="false">IFERROR(F386*G386,0)</f>
        <v>0</v>
      </c>
      <c r="I386" s="22" t="n">
        <f aca="false">F386+H386</f>
        <v>577.874649788843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IF(B387="Clientes",SUMIFS(PARÂMETROS!$D$8:$D$907,PARÂMETROS!$A$8:$A$907,C387,PARÂMETROS!$G$8:$G$907,J387),SUMIFS(PARÂMETROS!$E$8:$E$907,PARÂMETROS!$A$8:$A$907,C387,PARÂMETROS!$G$8:$G$907,J387))</f>
        <v>0.0334296779858567</v>
      </c>
      <c r="E387" s="21" t="n">
        <f aca="false">SUMIFS(SETORES!$D:$D,SETORES!$A:$A,A387,SETORES!$F:$F,J387)</f>
        <v>30291.239211</v>
      </c>
      <c r="F387" s="21" t="n">
        <f aca="false">IFERROR(D387*E387,0)</f>
        <v>1012.62637261629</v>
      </c>
      <c r="G387" s="9" t="n">
        <f aca="false">SUMIFS(PARÂMETROS!$F$8:$F$907,PARÂMETROS!$A$8:$A$907,C387,PARÂMETROS!$G$8:$G$907,J387)</f>
        <v>0</v>
      </c>
      <c r="H387" s="21" t="n">
        <f aca="false">IFERROR(F387*G387,0)</f>
        <v>0</v>
      </c>
      <c r="I387" s="21" t="n">
        <f aca="false">F387+H387</f>
        <v>1012.62637261629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IF(B388="Clientes",SUMIFS(PARÂMETROS!$D$8:$D$907,PARÂMETROS!$A$8:$A$907,C388,PARÂMETROS!$G$8:$G$907,J388),SUMIFS(PARÂMETROS!$E$8:$E$907,PARÂMETROS!$A$8:$A$907,C388,PARÂMETROS!$G$8:$G$907,J388))</f>
        <v>0.0247220726818484</v>
      </c>
      <c r="E388" s="22" t="n">
        <f aca="false">SUMIFS(SETORES!$D:$D,SETORES!$A:$A,A388,SETORES!$F:$F,J388)</f>
        <v>30291.239211</v>
      </c>
      <c r="F388" s="22" t="n">
        <f aca="false">IFERROR(D388*E388,0)</f>
        <v>748.862217397597</v>
      </c>
      <c r="G388" s="14" t="n">
        <f aca="false">SUMIFS(PARÂMETROS!$F$8:$F$907,PARÂMETROS!$A$8:$A$907,C388,PARÂMETROS!$G$8:$G$907,J388)</f>
        <v>0</v>
      </c>
      <c r="H388" s="22" t="n">
        <f aca="false">IFERROR(F388*G388,0)</f>
        <v>0</v>
      </c>
      <c r="I388" s="22" t="n">
        <f aca="false">F388+H388</f>
        <v>748.862217397597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IF(B389="Clientes",SUMIFS(PARÂMETROS!$D$8:$D$907,PARÂMETROS!$A$8:$A$907,C389,PARÂMETROS!$G$8:$G$907,J389),SUMIFS(PARÂMETROS!$E$8:$E$907,PARÂMETROS!$A$8:$A$907,C389,PARÂMETROS!$G$8:$G$907,J389))</f>
        <v>0.0249938586817334</v>
      </c>
      <c r="E389" s="21" t="n">
        <f aca="false">SUMIFS(SETORES!$D:$D,SETORES!$A:$A,A389,SETORES!$F:$F,J389)</f>
        <v>30291.239211</v>
      </c>
      <c r="F389" s="21" t="n">
        <f aca="false">IFERROR(D389*E389,0)</f>
        <v>757.094952134315</v>
      </c>
      <c r="G389" s="9" t="n">
        <f aca="false">SUMIFS(PARÂMETROS!$F$8:$F$907,PARÂMETROS!$A$8:$A$907,C389,PARÂMETROS!$G$8:$G$907,J389)</f>
        <v>0</v>
      </c>
      <c r="H389" s="21" t="n">
        <f aca="false">IFERROR(F389*G389,0)</f>
        <v>0</v>
      </c>
      <c r="I389" s="21" t="n">
        <f aca="false">F389+H389</f>
        <v>757.094952134315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IF(B390="Clientes",SUMIFS(PARÂMETROS!$D$8:$D$907,PARÂMETROS!$A$8:$A$907,C390,PARÂMETROS!$G$8:$G$907,J390),SUMIFS(PARÂMETROS!$E$8:$E$907,PARÂMETROS!$A$8:$A$907,C390,PARÂMETROS!$G$8:$G$907,J390))</f>
        <v>0.720002926926153</v>
      </c>
      <c r="E390" s="22" t="n">
        <f aca="false">SUMIFS(SETORES!$D:$D,SETORES!$A:$A,A390,SETORES!$F:$F,J390)</f>
        <v>30291.239211</v>
      </c>
      <c r="F390" s="22" t="n">
        <f aca="false">IFERROR(D390*E390,0)</f>
        <v>21809.7808921402</v>
      </c>
      <c r="G390" s="14" t="n">
        <f aca="false">SUMIFS(PARÂMETROS!$F$8:$F$907,PARÂMETROS!$A$8:$A$907,C390,PARÂMETROS!$G$8:$G$907,J390)</f>
        <v>0</v>
      </c>
      <c r="H390" s="22" t="n">
        <f aca="false">IFERROR(F390*G390,0)</f>
        <v>0</v>
      </c>
      <c r="I390" s="22" t="n">
        <f aca="false">F390+H390</f>
        <v>21809.7808921402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IF(B391="Clientes",SUMIFS(PARÂMETROS!$D$8:$D$907,PARÂMETROS!$A$8:$A$907,C391,PARÂMETROS!$G$8:$G$907,J391),SUMIFS(PARÂMETROS!$E$8:$E$907,PARÂMETROS!$A$8:$A$907,C391,PARÂMETROS!$G$8:$G$907,J391))</f>
        <v>0.0328233861399593</v>
      </c>
      <c r="E391" s="21" t="n">
        <f aca="false">SUMIFS(SETORES!$D:$D,SETORES!$A:$A,A391,SETORES!$F:$F,J391)</f>
        <v>79377.16</v>
      </c>
      <c r="F391" s="21" t="n">
        <f aca="false">IFERROR(D391*E391,0)</f>
        <v>2605.42717337334</v>
      </c>
      <c r="G391" s="9" t="n">
        <f aca="false">SUMIFS(PARÂMETROS!$F$8:$F$907,PARÂMETROS!$A$8:$A$907,C391,PARÂMETROS!$G$8:$G$907,J391)</f>
        <v>0</v>
      </c>
      <c r="H391" s="21" t="n">
        <f aca="false">IFERROR(F391*G391,0)</f>
        <v>0</v>
      </c>
      <c r="I391" s="21" t="n">
        <f aca="false">F391+H391</f>
        <v>2605.42717337334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IF(B392="Clientes",SUMIFS(PARÂMETROS!$D$8:$D$907,PARÂMETROS!$A$8:$A$907,C392,PARÂMETROS!$G$8:$G$907,J392),SUMIFS(PARÂMETROS!$E$8:$E$907,PARÂMETROS!$A$8:$A$907,C392,PARÂMETROS!$G$8:$G$907,J392))</f>
        <v>0.0700476148165183</v>
      </c>
      <c r="E392" s="22" t="n">
        <f aca="false">SUMIFS(SETORES!$D:$D,SETORES!$A:$A,A392,SETORES!$F:$F,J392)</f>
        <v>79377.16</v>
      </c>
      <c r="F392" s="22" t="n">
        <f aca="false">IFERROR(D392*E392,0)</f>
        <v>5560.18072890915</v>
      </c>
      <c r="G392" s="14" t="n">
        <f aca="false">SUMIFS(PARÂMETROS!$F$8:$F$907,PARÂMETROS!$A$8:$A$907,C392,PARÂMETROS!$G$8:$G$907,J392)</f>
        <v>0</v>
      </c>
      <c r="H392" s="22" t="n">
        <f aca="false">IFERROR(F392*G392,0)</f>
        <v>0</v>
      </c>
      <c r="I392" s="22" t="n">
        <f aca="false">F392+H392</f>
        <v>5560.18072890915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IF(B393="Clientes",SUMIFS(PARÂMETROS!$D$8:$D$907,PARÂMETROS!$A$8:$A$907,C393,PARÂMETROS!$G$8:$G$907,J393),SUMIFS(PARÂMETROS!$E$8:$E$907,PARÂMETROS!$A$8:$A$907,C393,PARÂMETROS!$G$8:$G$907,J393))</f>
        <v>0.074903176237541</v>
      </c>
      <c r="E393" s="21" t="n">
        <f aca="false">SUMIFS(SETORES!$D:$D,SETORES!$A:$A,A393,SETORES!$F:$F,J393)</f>
        <v>79377.16</v>
      </c>
      <c r="F393" s="21" t="n">
        <f aca="false">IFERROR(D393*E393,0)</f>
        <v>5945.60140471549</v>
      </c>
      <c r="G393" s="9" t="n">
        <f aca="false">SUMIFS(PARÂMETROS!$F$8:$F$907,PARÂMETROS!$A$8:$A$907,C393,PARÂMETROS!$G$8:$G$907,J393)</f>
        <v>0</v>
      </c>
      <c r="H393" s="21" t="n">
        <f aca="false">IFERROR(F393*G393,0)</f>
        <v>0</v>
      </c>
      <c r="I393" s="21" t="n">
        <f aca="false">F393+H393</f>
        <v>5945.60140471549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IF(B394="Clientes",SUMIFS(PARÂMETROS!$D$8:$D$907,PARÂMETROS!$A$8:$A$907,C394,PARÂMETROS!$G$8:$G$907,J394),SUMIFS(PARÂMETROS!$E$8:$E$907,PARÂMETROS!$A$8:$A$907,C394,PARÂMETROS!$G$8:$G$907,J394))</f>
        <v>0.0190772865303904</v>
      </c>
      <c r="E394" s="22" t="n">
        <f aca="false">SUMIFS(SETORES!$D:$D,SETORES!$A:$A,A394,SETORES!$F:$F,J394)</f>
        <v>79377.16</v>
      </c>
      <c r="F394" s="22" t="n">
        <f aca="false">IFERROR(D394*E394,0)</f>
        <v>1514.30082528864</v>
      </c>
      <c r="G394" s="14" t="n">
        <f aca="false">SUMIFS(PARÂMETROS!$F$8:$F$907,PARÂMETROS!$A$8:$A$907,C394,PARÂMETROS!$G$8:$G$907,J394)</f>
        <v>0</v>
      </c>
      <c r="H394" s="22" t="n">
        <f aca="false">IFERROR(F394*G394,0)</f>
        <v>0</v>
      </c>
      <c r="I394" s="22" t="n">
        <f aca="false">F394+H394</f>
        <v>1514.30082528864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IF(B395="Clientes",SUMIFS(PARÂMETROS!$D$8:$D$907,PARÂMETROS!$A$8:$A$907,C395,PARÂMETROS!$G$8:$G$907,J395),SUMIFS(PARÂMETROS!$E$8:$E$907,PARÂMETROS!$A$8:$A$907,C395,PARÂMETROS!$G$8:$G$907,J395))</f>
        <v>0.0334296779858567</v>
      </c>
      <c r="E395" s="21" t="n">
        <f aca="false">SUMIFS(SETORES!$D:$D,SETORES!$A:$A,A395,SETORES!$F:$F,J395)</f>
        <v>79377.16</v>
      </c>
      <c r="F395" s="21" t="n">
        <f aca="false">IFERROR(D395*E395,0)</f>
        <v>2653.55289823182</v>
      </c>
      <c r="G395" s="9" t="n">
        <f aca="false">SUMIFS(PARÂMETROS!$F$8:$F$907,PARÂMETROS!$A$8:$A$907,C395,PARÂMETROS!$G$8:$G$907,J395)</f>
        <v>0</v>
      </c>
      <c r="H395" s="21" t="n">
        <f aca="false">IFERROR(F395*G395,0)</f>
        <v>0</v>
      </c>
      <c r="I395" s="21" t="n">
        <f aca="false">F395+H395</f>
        <v>2653.55289823182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IF(B396="Clientes",SUMIFS(PARÂMETROS!$D$8:$D$907,PARÂMETROS!$A$8:$A$907,C396,PARÂMETROS!$G$8:$G$907,J396),SUMIFS(PARÂMETROS!$E$8:$E$907,PARÂMETROS!$A$8:$A$907,C396,PARÂMETROS!$G$8:$G$907,J396))</f>
        <v>0.0247220726818484</v>
      </c>
      <c r="E396" s="22" t="n">
        <f aca="false">SUMIFS(SETORES!$D:$D,SETORES!$A:$A,A396,SETORES!$F:$F,J396)</f>
        <v>79377.16</v>
      </c>
      <c r="F396" s="22" t="n">
        <f aca="false">IFERROR(D396*E396,0)</f>
        <v>1962.36791879871</v>
      </c>
      <c r="G396" s="14" t="n">
        <f aca="false">SUMIFS(PARÂMETROS!$F$8:$F$907,PARÂMETROS!$A$8:$A$907,C396,PARÂMETROS!$G$8:$G$907,J396)</f>
        <v>0</v>
      </c>
      <c r="H396" s="22" t="n">
        <f aca="false">IFERROR(F396*G396,0)</f>
        <v>0</v>
      </c>
      <c r="I396" s="22" t="n">
        <f aca="false">F396+H396</f>
        <v>1962.36791879871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IF(B397="Clientes",SUMIFS(PARÂMETROS!$D$8:$D$907,PARÂMETROS!$A$8:$A$907,C397,PARÂMETROS!$G$8:$G$907,J397),SUMIFS(PARÂMETROS!$E$8:$E$907,PARÂMETROS!$A$8:$A$907,C397,PARÂMETROS!$G$8:$G$907,J397))</f>
        <v>0.0249938586817334</v>
      </c>
      <c r="E397" s="21" t="n">
        <f aca="false">SUMIFS(SETORES!$D:$D,SETORES!$A:$A,A397,SETORES!$F:$F,J397)</f>
        <v>79377.16</v>
      </c>
      <c r="F397" s="21" t="n">
        <f aca="false">IFERROR(D397*E397,0)</f>
        <v>1983.94151959734</v>
      </c>
      <c r="G397" s="9" t="n">
        <f aca="false">SUMIFS(PARÂMETROS!$F$8:$F$907,PARÂMETROS!$A$8:$A$907,C397,PARÂMETROS!$G$8:$G$907,J397)</f>
        <v>0</v>
      </c>
      <c r="H397" s="21" t="n">
        <f aca="false">IFERROR(F397*G397,0)</f>
        <v>0</v>
      </c>
      <c r="I397" s="21" t="n">
        <f aca="false">F397+H397</f>
        <v>1983.94151959734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IF(B398="Clientes",SUMIFS(PARÂMETROS!$D$8:$D$907,PARÂMETROS!$A$8:$A$907,C398,PARÂMETROS!$G$8:$G$907,J398),SUMIFS(PARÂMETROS!$E$8:$E$907,PARÂMETROS!$A$8:$A$907,C398,PARÂMETROS!$G$8:$G$907,J398))</f>
        <v>0.720002926926153</v>
      </c>
      <c r="E398" s="22" t="n">
        <f aca="false">SUMIFS(SETORES!$D:$D,SETORES!$A:$A,A398,SETORES!$F:$F,J398)</f>
        <v>79377.16</v>
      </c>
      <c r="F398" s="22" t="n">
        <f aca="false">IFERROR(D398*E398,0)</f>
        <v>57151.7875310855</v>
      </c>
      <c r="G398" s="14" t="n">
        <f aca="false">SUMIFS(PARÂMETROS!$F$8:$F$907,PARÂMETROS!$A$8:$A$907,C398,PARÂMETROS!$G$8:$G$907,J398)</f>
        <v>0</v>
      </c>
      <c r="H398" s="22" t="n">
        <f aca="false">IFERROR(F398*G398,0)</f>
        <v>0</v>
      </c>
      <c r="I398" s="22" t="n">
        <f aca="false">F398+H398</f>
        <v>57151.7875310855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IF(B399="Clientes",SUMIFS(PARÂMETROS!$D$8:$D$907,PARÂMETROS!$A$8:$A$907,C399,PARÂMETROS!$G$8:$G$907,J399),SUMIFS(PARÂMETROS!$E$8:$E$907,PARÂMETROS!$A$8:$A$907,C399,PARÂMETROS!$G$8:$G$907,J399))</f>
        <v>0.0328233861399593</v>
      </c>
      <c r="E399" s="21" t="n">
        <f aca="false">SUMIFS(SETORES!$D:$D,SETORES!$A:$A,A399,SETORES!$F:$F,J399)</f>
        <v>63760.7558395556</v>
      </c>
      <c r="F399" s="21" t="n">
        <f aca="false">IFERROR(D399*E399,0)</f>
        <v>2092.8439094974</v>
      </c>
      <c r="G399" s="9" t="n">
        <f aca="false">SUMIFS(PARÂMETROS!$F$8:$F$907,PARÂMETROS!$A$8:$A$907,C399,PARÂMETROS!$G$8:$G$907,J399)</f>
        <v>0</v>
      </c>
      <c r="H399" s="21" t="n">
        <f aca="false">IFERROR(F399*G399,0)</f>
        <v>0</v>
      </c>
      <c r="I399" s="21" t="n">
        <f aca="false">F399+H399</f>
        <v>2092.8439094974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IF(B400="Clientes",SUMIFS(PARÂMETROS!$D$8:$D$907,PARÂMETROS!$A$8:$A$907,C400,PARÂMETROS!$G$8:$G$907,J400),SUMIFS(PARÂMETROS!$E$8:$E$907,PARÂMETROS!$A$8:$A$907,C400,PARÂMETROS!$G$8:$G$907,J400))</f>
        <v>0.0700476148165183</v>
      </c>
      <c r="E400" s="22" t="n">
        <f aca="false">SUMIFS(SETORES!$D:$D,SETORES!$A:$A,A400,SETORES!$F:$F,J400)</f>
        <v>63760.7558395556</v>
      </c>
      <c r="F400" s="22" t="n">
        <f aca="false">IFERROR(D400*E400,0)</f>
        <v>4466.28886545926</v>
      </c>
      <c r="G400" s="14" t="n">
        <f aca="false">SUMIFS(PARÂMETROS!$F$8:$F$907,PARÂMETROS!$A$8:$A$907,C400,PARÂMETROS!$G$8:$G$907,J400)</f>
        <v>0</v>
      </c>
      <c r="H400" s="22" t="n">
        <f aca="false">IFERROR(F400*G400,0)</f>
        <v>0</v>
      </c>
      <c r="I400" s="22" t="n">
        <f aca="false">F400+H400</f>
        <v>4466.28886545926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IF(B401="Clientes",SUMIFS(PARÂMETROS!$D$8:$D$907,PARÂMETROS!$A$8:$A$907,C401,PARÂMETROS!$G$8:$G$907,J401),SUMIFS(PARÂMETROS!$E$8:$E$907,PARÂMETROS!$A$8:$A$907,C401,PARÂMETROS!$G$8:$G$907,J401))</f>
        <v>0.074903176237541</v>
      </c>
      <c r="E401" s="21" t="n">
        <f aca="false">SUMIFS(SETORES!$D:$D,SETORES!$A:$A,A401,SETORES!$F:$F,J401)</f>
        <v>63760.7558395556</v>
      </c>
      <c r="F401" s="21" t="n">
        <f aca="false">IFERROR(D401*E401,0)</f>
        <v>4775.88313168905</v>
      </c>
      <c r="G401" s="9" t="n">
        <f aca="false">SUMIFS(PARÂMETROS!$F$8:$F$907,PARÂMETROS!$A$8:$A$907,C401,PARÂMETROS!$G$8:$G$907,J401)</f>
        <v>0</v>
      </c>
      <c r="H401" s="21" t="n">
        <f aca="false">IFERROR(F401*G401,0)</f>
        <v>0</v>
      </c>
      <c r="I401" s="21" t="n">
        <f aca="false">F401+H401</f>
        <v>4775.88313168905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IF(B402="Clientes",SUMIFS(PARÂMETROS!$D$8:$D$907,PARÂMETROS!$A$8:$A$907,C402,PARÂMETROS!$G$8:$G$907,J402),SUMIFS(PARÂMETROS!$E$8:$E$907,PARÂMETROS!$A$8:$A$907,C402,PARÂMETROS!$G$8:$G$907,J402))</f>
        <v>0.0190772865303904</v>
      </c>
      <c r="E402" s="22" t="n">
        <f aca="false">SUMIFS(SETORES!$D:$D,SETORES!$A:$A,A402,SETORES!$F:$F,J402)</f>
        <v>63760.7558395556</v>
      </c>
      <c r="F402" s="22" t="n">
        <f aca="false">IFERROR(D402*E402,0)</f>
        <v>1216.38220854546</v>
      </c>
      <c r="G402" s="14" t="n">
        <f aca="false">SUMIFS(PARÂMETROS!$F$8:$F$907,PARÂMETROS!$A$8:$A$907,C402,PARÂMETROS!$G$8:$G$907,J402)</f>
        <v>0</v>
      </c>
      <c r="H402" s="22" t="n">
        <f aca="false">IFERROR(F402*G402,0)</f>
        <v>0</v>
      </c>
      <c r="I402" s="22" t="n">
        <f aca="false">F402+H402</f>
        <v>1216.38220854546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IF(B403="Clientes",SUMIFS(PARÂMETROS!$D$8:$D$907,PARÂMETROS!$A$8:$A$907,C403,PARÂMETROS!$G$8:$G$907,J403),SUMIFS(PARÂMETROS!$E$8:$E$907,PARÂMETROS!$A$8:$A$907,C403,PARÂMETROS!$G$8:$G$907,J403))</f>
        <v>0.0334296779858567</v>
      </c>
      <c r="E403" s="21" t="n">
        <f aca="false">SUMIFS(SETORES!$D:$D,SETORES!$A:$A,A403,SETORES!$F:$F,J403)</f>
        <v>63760.7558395556</v>
      </c>
      <c r="F403" s="21" t="n">
        <f aca="false">IFERROR(D403*E403,0)</f>
        <v>2131.50153585117</v>
      </c>
      <c r="G403" s="9" t="n">
        <f aca="false">SUMIFS(PARÂMETROS!$F$8:$F$907,PARÂMETROS!$A$8:$A$907,C403,PARÂMETROS!$G$8:$G$907,J403)</f>
        <v>0</v>
      </c>
      <c r="H403" s="21" t="n">
        <f aca="false">IFERROR(F403*G403,0)</f>
        <v>0</v>
      </c>
      <c r="I403" s="21" t="n">
        <f aca="false">F403+H403</f>
        <v>2131.50153585117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IF(B404="Clientes",SUMIFS(PARÂMETROS!$D$8:$D$907,PARÂMETROS!$A$8:$A$907,C404,PARÂMETROS!$G$8:$G$907,J404),SUMIFS(PARÂMETROS!$E$8:$E$907,PARÂMETROS!$A$8:$A$907,C404,PARÂMETROS!$G$8:$G$907,J404))</f>
        <v>0.0247220726818484</v>
      </c>
      <c r="E404" s="22" t="n">
        <f aca="false">SUMIFS(SETORES!$D:$D,SETORES!$A:$A,A404,SETORES!$F:$F,J404)</f>
        <v>63760.7558395556</v>
      </c>
      <c r="F404" s="22" t="n">
        <f aca="false">IFERROR(D404*E404,0)</f>
        <v>1576.29804011508</v>
      </c>
      <c r="G404" s="14" t="n">
        <f aca="false">SUMIFS(PARÂMETROS!$F$8:$F$907,PARÂMETROS!$A$8:$A$907,C404,PARÂMETROS!$G$8:$G$907,J404)</f>
        <v>0</v>
      </c>
      <c r="H404" s="22" t="n">
        <f aca="false">IFERROR(F404*G404,0)</f>
        <v>0</v>
      </c>
      <c r="I404" s="22" t="n">
        <f aca="false">F404+H404</f>
        <v>1576.29804011508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IF(B405="Clientes",SUMIFS(PARÂMETROS!$D$8:$D$907,PARÂMETROS!$A$8:$A$907,C405,PARÂMETROS!$G$8:$G$907,J405),SUMIFS(PARÂMETROS!$E$8:$E$907,PARÂMETROS!$A$8:$A$907,C405,PARÂMETROS!$G$8:$G$907,J405))</f>
        <v>0.0249938586817334</v>
      </c>
      <c r="E405" s="21" t="n">
        <f aca="false">SUMIFS(SETORES!$D:$D,SETORES!$A:$A,A405,SETORES!$F:$F,J405)</f>
        <v>63760.7558395556</v>
      </c>
      <c r="F405" s="21" t="n">
        <f aca="false">IFERROR(D405*E405,0)</f>
        <v>1593.62732089436</v>
      </c>
      <c r="G405" s="9" t="n">
        <f aca="false">SUMIFS(PARÂMETROS!$F$8:$F$907,PARÂMETROS!$A$8:$A$907,C405,PARÂMETROS!$G$8:$G$907,J405)</f>
        <v>0</v>
      </c>
      <c r="H405" s="21" t="n">
        <f aca="false">IFERROR(F405*G405,0)</f>
        <v>0</v>
      </c>
      <c r="I405" s="21" t="n">
        <f aca="false">F405+H405</f>
        <v>1593.62732089436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IF(B406="Clientes",SUMIFS(PARÂMETROS!$D$8:$D$907,PARÂMETROS!$A$8:$A$907,C406,PARÂMETROS!$G$8:$G$907,J406),SUMIFS(PARÂMETROS!$E$8:$E$907,PARÂMETROS!$A$8:$A$907,C406,PARÂMETROS!$G$8:$G$907,J406))</f>
        <v>0.720002926926153</v>
      </c>
      <c r="E406" s="22" t="n">
        <f aca="false">SUMIFS(SETORES!$D:$D,SETORES!$A:$A,A406,SETORES!$F:$F,J406)</f>
        <v>63760.7558395556</v>
      </c>
      <c r="F406" s="22" t="n">
        <f aca="false">IFERROR(D406*E406,0)</f>
        <v>45907.9308275038</v>
      </c>
      <c r="G406" s="14" t="n">
        <f aca="false">SUMIFS(PARÂMETROS!$F$8:$F$907,PARÂMETROS!$A$8:$A$907,C406,PARÂMETROS!$G$8:$G$907,J406)</f>
        <v>0</v>
      </c>
      <c r="H406" s="22" t="n">
        <f aca="false">IFERROR(F406*G406,0)</f>
        <v>0</v>
      </c>
      <c r="I406" s="22" t="n">
        <f aca="false">F406+H406</f>
        <v>45907.9308275038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IF(B407="Clientes",SUMIFS(PARÂMETROS!$D$8:$D$907,PARÂMETROS!$A$8:$A$907,C407,PARÂMETROS!$G$8:$G$907,J407),SUMIFS(PARÂMETROS!$E$8:$E$907,PARÂMETROS!$A$8:$A$907,C407,PARÂMETROS!$G$8:$G$907,J407))</f>
        <v>0.0328233861399593</v>
      </c>
      <c r="E407" s="21" t="n">
        <f aca="false">SUMIFS(SETORES!$D:$D,SETORES!$A:$A,A407,SETORES!$F:$F,J407)</f>
        <v>35788.658658</v>
      </c>
      <c r="F407" s="21" t="n">
        <f aca="false">IFERROR(D407*E407,0)</f>
        <v>1174.70496256273</v>
      </c>
      <c r="G407" s="9" t="n">
        <f aca="false">SUMIFS(PARÂMETROS!$F$8:$F$907,PARÂMETROS!$A$8:$A$907,C407,PARÂMETROS!$G$8:$G$907,J407)</f>
        <v>0</v>
      </c>
      <c r="H407" s="21" t="n">
        <f aca="false">IFERROR(F407*G407,0)</f>
        <v>0</v>
      </c>
      <c r="I407" s="21" t="n">
        <f aca="false">F407+H407</f>
        <v>1174.70496256273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IF(B408="Clientes",SUMIFS(PARÂMETROS!$D$8:$D$907,PARÂMETROS!$A$8:$A$907,C408,PARÂMETROS!$G$8:$G$907,J408),SUMIFS(PARÂMETROS!$E$8:$E$907,PARÂMETROS!$A$8:$A$907,C408,PARÂMETROS!$G$8:$G$907,J408))</f>
        <v>0.0700476148165183</v>
      </c>
      <c r="E408" s="22" t="n">
        <f aca="false">SUMIFS(SETORES!$D:$D,SETORES!$A:$A,A408,SETORES!$F:$F,J408)</f>
        <v>35788.658658</v>
      </c>
      <c r="F408" s="22" t="n">
        <f aca="false">IFERROR(D408*E408,0)</f>
        <v>2506.91017647544</v>
      </c>
      <c r="G408" s="14" t="n">
        <f aca="false">SUMIFS(PARÂMETROS!$F$8:$F$907,PARÂMETROS!$A$8:$A$907,C408,PARÂMETROS!$G$8:$G$907,J408)</f>
        <v>0</v>
      </c>
      <c r="H408" s="22" t="n">
        <f aca="false">IFERROR(F408*G408,0)</f>
        <v>0</v>
      </c>
      <c r="I408" s="22" t="n">
        <f aca="false">F408+H408</f>
        <v>2506.91017647544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IF(B409="Clientes",SUMIFS(PARÂMETROS!$D$8:$D$907,PARÂMETROS!$A$8:$A$907,C409,PARÂMETROS!$G$8:$G$907,J409),SUMIFS(PARÂMETROS!$E$8:$E$907,PARÂMETROS!$A$8:$A$907,C409,PARÂMETROS!$G$8:$G$907,J409))</f>
        <v>0.074903176237541</v>
      </c>
      <c r="E409" s="21" t="n">
        <f aca="false">SUMIFS(SETORES!$D:$D,SETORES!$A:$A,A409,SETORES!$F:$F,J409)</f>
        <v>35788.658658</v>
      </c>
      <c r="F409" s="21" t="n">
        <f aca="false">IFERROR(D409*E409,0)</f>
        <v>2680.68420676537</v>
      </c>
      <c r="G409" s="9" t="n">
        <f aca="false">SUMIFS(PARÂMETROS!$F$8:$F$907,PARÂMETROS!$A$8:$A$907,C409,PARÂMETROS!$G$8:$G$907,J409)</f>
        <v>0</v>
      </c>
      <c r="H409" s="21" t="n">
        <f aca="false">IFERROR(F409*G409,0)</f>
        <v>0</v>
      </c>
      <c r="I409" s="21" t="n">
        <f aca="false">F409+H409</f>
        <v>2680.68420676537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IF(B410="Clientes",SUMIFS(PARÂMETROS!$D$8:$D$907,PARÂMETROS!$A$8:$A$907,C410,PARÂMETROS!$G$8:$G$907,J410),SUMIFS(PARÂMETROS!$E$8:$E$907,PARÂMETROS!$A$8:$A$907,C410,PARÂMETROS!$G$8:$G$907,J410))</f>
        <v>0.0190772865303904</v>
      </c>
      <c r="E410" s="22" t="n">
        <f aca="false">SUMIFS(SETORES!$D:$D,SETORES!$A:$A,A410,SETORES!$F:$F,J410)</f>
        <v>35788.658658</v>
      </c>
      <c r="F410" s="22" t="n">
        <f aca="false">IFERROR(D410*E410,0)</f>
        <v>682.750495757003</v>
      </c>
      <c r="G410" s="14" t="n">
        <f aca="false">SUMIFS(PARÂMETROS!$F$8:$F$907,PARÂMETROS!$A$8:$A$907,C410,PARÂMETROS!$G$8:$G$907,J410)</f>
        <v>0</v>
      </c>
      <c r="H410" s="22" t="n">
        <f aca="false">IFERROR(F410*G410,0)</f>
        <v>0</v>
      </c>
      <c r="I410" s="22" t="n">
        <f aca="false">F410+H410</f>
        <v>682.750495757003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IF(B411="Clientes",SUMIFS(PARÂMETROS!$D$8:$D$907,PARÂMETROS!$A$8:$A$907,C411,PARÂMETROS!$G$8:$G$907,J411),SUMIFS(PARÂMETROS!$E$8:$E$907,PARÂMETROS!$A$8:$A$907,C411,PARÂMETROS!$G$8:$G$907,J411))</f>
        <v>0.0334296779858567</v>
      </c>
      <c r="E411" s="21" t="n">
        <f aca="false">SUMIFS(SETORES!$D:$D,SETORES!$A:$A,A411,SETORES!$F:$F,J411)</f>
        <v>35788.658658</v>
      </c>
      <c r="F411" s="21" t="n">
        <f aca="false">IFERROR(D411*E411,0)</f>
        <v>1196.40333448268</v>
      </c>
      <c r="G411" s="9" t="n">
        <f aca="false">SUMIFS(PARÂMETROS!$F$8:$F$907,PARÂMETROS!$A$8:$A$907,C411,PARÂMETROS!$G$8:$G$907,J411)</f>
        <v>0</v>
      </c>
      <c r="H411" s="21" t="n">
        <f aca="false">IFERROR(F411*G411,0)</f>
        <v>0</v>
      </c>
      <c r="I411" s="21" t="n">
        <f aca="false">F411+H411</f>
        <v>1196.40333448268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IF(B412="Clientes",SUMIFS(PARÂMETROS!$D$8:$D$907,PARÂMETROS!$A$8:$A$907,C412,PARÂMETROS!$G$8:$G$907,J412),SUMIFS(PARÂMETROS!$E$8:$E$907,PARÂMETROS!$A$8:$A$907,C412,PARÂMETROS!$G$8:$G$907,J412))</f>
        <v>0.0247220726818484</v>
      </c>
      <c r="E412" s="22" t="n">
        <f aca="false">SUMIFS(SETORES!$D:$D,SETORES!$A:$A,A412,SETORES!$F:$F,J412)</f>
        <v>35788.658658</v>
      </c>
      <c r="F412" s="22" t="n">
        <f aca="false">IFERROR(D412*E412,0)</f>
        <v>884.769820528937</v>
      </c>
      <c r="G412" s="14" t="n">
        <f aca="false">SUMIFS(PARÂMETROS!$F$8:$F$907,PARÂMETROS!$A$8:$A$907,C412,PARÂMETROS!$G$8:$G$907,J412)</f>
        <v>0</v>
      </c>
      <c r="H412" s="22" t="n">
        <f aca="false">IFERROR(F412*G412,0)</f>
        <v>0</v>
      </c>
      <c r="I412" s="22" t="n">
        <f aca="false">F412+H412</f>
        <v>884.769820528937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IF(B413="Clientes",SUMIFS(PARÂMETROS!$D$8:$D$907,PARÂMETROS!$A$8:$A$907,C413,PARÂMETROS!$G$8:$G$907,J413),SUMIFS(PARÂMETROS!$E$8:$E$907,PARÂMETROS!$A$8:$A$907,C413,PARÂMETROS!$G$8:$G$907,J413))</f>
        <v>0.0249938586817334</v>
      </c>
      <c r="E413" s="21" t="n">
        <f aca="false">SUMIFS(SETORES!$D:$D,SETORES!$A:$A,A413,SETORES!$F:$F,J413)</f>
        <v>35788.658658</v>
      </c>
      <c r="F413" s="21" t="n">
        <f aca="false">IFERROR(D413*E413,0)</f>
        <v>894.496676906845</v>
      </c>
      <c r="G413" s="9" t="n">
        <f aca="false">SUMIFS(PARÂMETROS!$F$8:$F$907,PARÂMETROS!$A$8:$A$907,C413,PARÂMETROS!$G$8:$G$907,J413)</f>
        <v>0</v>
      </c>
      <c r="H413" s="21" t="n">
        <f aca="false">IFERROR(F413*G413,0)</f>
        <v>0</v>
      </c>
      <c r="I413" s="21" t="n">
        <f aca="false">F413+H413</f>
        <v>894.496676906845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IF(B414="Clientes",SUMIFS(PARÂMETROS!$D$8:$D$907,PARÂMETROS!$A$8:$A$907,C414,PARÂMETROS!$G$8:$G$907,J414),SUMIFS(PARÂMETROS!$E$8:$E$907,PARÂMETROS!$A$8:$A$907,C414,PARÂMETROS!$G$8:$G$907,J414))</f>
        <v>0.720002926926153</v>
      </c>
      <c r="E414" s="22" t="n">
        <f aca="false">SUMIFS(SETORES!$D:$D,SETORES!$A:$A,A414,SETORES!$F:$F,J414)</f>
        <v>35788.658658</v>
      </c>
      <c r="F414" s="22" t="n">
        <f aca="false">IFERROR(D414*E414,0)</f>
        <v>25767.938984521</v>
      </c>
      <c r="G414" s="14" t="n">
        <f aca="false">SUMIFS(PARÂMETROS!$F$8:$F$907,PARÂMETROS!$A$8:$A$907,C414,PARÂMETROS!$G$8:$G$907,J414)</f>
        <v>0</v>
      </c>
      <c r="H414" s="22" t="n">
        <f aca="false">IFERROR(F414*G414,0)</f>
        <v>0</v>
      </c>
      <c r="I414" s="22" t="n">
        <f aca="false">F414+H414</f>
        <v>25767.938984521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IF(B415="Clientes",SUMIFS(PARÂMETROS!$D$8:$D$907,PARÂMETROS!$A$8:$A$907,C415,PARÂMETROS!$G$8:$G$907,J415),SUMIFS(PARÂMETROS!$E$8:$E$907,PARÂMETROS!$A$8:$A$907,C415,PARÂMETROS!$G$8:$G$907,J415))</f>
        <v>0.0328233861399593</v>
      </c>
      <c r="E415" s="21" t="n">
        <f aca="false">SUMIFS(SETORES!$D:$D,SETORES!$A:$A,A415,SETORES!$F:$F,J415)</f>
        <v>117989.9133</v>
      </c>
      <c r="F415" s="21" t="n">
        <f aca="false">IFERROR(D415*E415,0)</f>
        <v>3872.82848486622</v>
      </c>
      <c r="G415" s="9" t="n">
        <f aca="false">SUMIFS(PARÂMETROS!$F$8:$F$907,PARÂMETROS!$A$8:$A$907,C415,PARÂMETROS!$G$8:$G$907,J415)</f>
        <v>0</v>
      </c>
      <c r="H415" s="21" t="n">
        <f aca="false">IFERROR(F415*G415,0)</f>
        <v>0</v>
      </c>
      <c r="I415" s="21" t="n">
        <f aca="false">F415+H415</f>
        <v>3872.82848486622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IF(B416="Clientes",SUMIFS(PARÂMETROS!$D$8:$D$907,PARÂMETROS!$A$8:$A$907,C416,PARÂMETROS!$G$8:$G$907,J416),SUMIFS(PARÂMETROS!$E$8:$E$907,PARÂMETROS!$A$8:$A$907,C416,PARÂMETROS!$G$8:$G$907,J416))</f>
        <v>0.0700476148165183</v>
      </c>
      <c r="E416" s="22" t="n">
        <f aca="false">SUMIFS(SETORES!$D:$D,SETORES!$A:$A,A416,SETORES!$F:$F,J416)</f>
        <v>117989.9133</v>
      </c>
      <c r="F416" s="22" t="n">
        <f aca="false">IFERROR(D416*E416,0)</f>
        <v>8264.91199907279</v>
      </c>
      <c r="G416" s="14" t="n">
        <f aca="false">SUMIFS(PARÂMETROS!$F$8:$F$907,PARÂMETROS!$A$8:$A$907,C416,PARÂMETROS!$G$8:$G$907,J416)</f>
        <v>0</v>
      </c>
      <c r="H416" s="22" t="n">
        <f aca="false">IFERROR(F416*G416,0)</f>
        <v>0</v>
      </c>
      <c r="I416" s="22" t="n">
        <f aca="false">F416+H416</f>
        <v>8264.91199907279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IF(B417="Clientes",SUMIFS(PARÂMETROS!$D$8:$D$907,PARÂMETROS!$A$8:$A$907,C417,PARÂMETROS!$G$8:$G$907,J417),SUMIFS(PARÂMETROS!$E$8:$E$907,PARÂMETROS!$A$8:$A$907,C417,PARÂMETROS!$G$8:$G$907,J417))</f>
        <v>0.074903176237541</v>
      </c>
      <c r="E417" s="21" t="n">
        <f aca="false">SUMIFS(SETORES!$D:$D,SETORES!$A:$A,A417,SETORES!$F:$F,J417)</f>
        <v>117989.9133</v>
      </c>
      <c r="F417" s="21" t="n">
        <f aca="false">IFERROR(D417*E417,0)</f>
        <v>8837.81927016208</v>
      </c>
      <c r="G417" s="9" t="n">
        <f aca="false">SUMIFS(PARÂMETROS!$F$8:$F$907,PARÂMETROS!$A$8:$A$907,C417,PARÂMETROS!$G$8:$G$907,J417)</f>
        <v>0</v>
      </c>
      <c r="H417" s="21" t="n">
        <f aca="false">IFERROR(F417*G417,0)</f>
        <v>0</v>
      </c>
      <c r="I417" s="21" t="n">
        <f aca="false">F417+H417</f>
        <v>8837.81927016208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IF(B418="Clientes",SUMIFS(PARÂMETROS!$D$8:$D$907,PARÂMETROS!$A$8:$A$907,C418,PARÂMETROS!$G$8:$G$907,J418),SUMIFS(PARÂMETROS!$E$8:$E$907,PARÂMETROS!$A$8:$A$907,C418,PARÂMETROS!$G$8:$G$907,J418))</f>
        <v>0.0190772865303904</v>
      </c>
      <c r="E418" s="22" t="n">
        <f aca="false">SUMIFS(SETORES!$D:$D,SETORES!$A:$A,A418,SETORES!$F:$F,J418)</f>
        <v>117989.9133</v>
      </c>
      <c r="F418" s="22" t="n">
        <f aca="false">IFERROR(D418*E418,0)</f>
        <v>2250.92738372002</v>
      </c>
      <c r="G418" s="14" t="n">
        <f aca="false">SUMIFS(PARÂMETROS!$F$8:$F$907,PARÂMETROS!$A$8:$A$907,C418,PARÂMETROS!$G$8:$G$907,J418)</f>
        <v>0</v>
      </c>
      <c r="H418" s="22" t="n">
        <f aca="false">IFERROR(F418*G418,0)</f>
        <v>0</v>
      </c>
      <c r="I418" s="22" t="n">
        <f aca="false">F418+H418</f>
        <v>2250.92738372002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IF(B419="Clientes",SUMIFS(PARÂMETROS!$D$8:$D$907,PARÂMETROS!$A$8:$A$907,C419,PARÂMETROS!$G$8:$G$907,J419),SUMIFS(PARÂMETROS!$E$8:$E$907,PARÂMETROS!$A$8:$A$907,C419,PARÂMETROS!$G$8:$G$907,J419))</f>
        <v>0.0334296779858567</v>
      </c>
      <c r="E419" s="21" t="n">
        <f aca="false">SUMIFS(SETORES!$D:$D,SETORES!$A:$A,A419,SETORES!$F:$F,J419)</f>
        <v>117989.9133</v>
      </c>
      <c r="F419" s="21" t="n">
        <f aca="false">IFERROR(D419*E419,0)</f>
        <v>3944.36480719815</v>
      </c>
      <c r="G419" s="9" t="n">
        <f aca="false">SUMIFS(PARÂMETROS!$F$8:$F$907,PARÂMETROS!$A$8:$A$907,C419,PARÂMETROS!$G$8:$G$907,J419)</f>
        <v>0</v>
      </c>
      <c r="H419" s="21" t="n">
        <f aca="false">IFERROR(F419*G419,0)</f>
        <v>0</v>
      </c>
      <c r="I419" s="21" t="n">
        <f aca="false">F419+H419</f>
        <v>3944.36480719815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IF(B420="Clientes",SUMIFS(PARÂMETROS!$D$8:$D$907,PARÂMETROS!$A$8:$A$907,C420,PARÂMETROS!$G$8:$G$907,J420),SUMIFS(PARÂMETROS!$E$8:$E$907,PARÂMETROS!$A$8:$A$907,C420,PARÂMETROS!$G$8:$G$907,J420))</f>
        <v>0.0247220726818484</v>
      </c>
      <c r="E420" s="22" t="n">
        <f aca="false">SUMIFS(SETORES!$D:$D,SETORES!$A:$A,A420,SETORES!$F:$F,J420)</f>
        <v>117989.9133</v>
      </c>
      <c r="F420" s="22" t="n">
        <f aca="false">IFERROR(D420*E420,0)</f>
        <v>2916.95521232759</v>
      </c>
      <c r="G420" s="14" t="n">
        <f aca="false">SUMIFS(PARÂMETROS!$F$8:$F$907,PARÂMETROS!$A$8:$A$907,C420,PARÂMETROS!$G$8:$G$907,J420)</f>
        <v>0</v>
      </c>
      <c r="H420" s="22" t="n">
        <f aca="false">IFERROR(F420*G420,0)</f>
        <v>0</v>
      </c>
      <c r="I420" s="22" t="n">
        <f aca="false">F420+H420</f>
        <v>2916.95521232759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IF(B421="Clientes",SUMIFS(PARÂMETROS!$D$8:$D$907,PARÂMETROS!$A$8:$A$907,C421,PARÂMETROS!$G$8:$G$907,J421),SUMIFS(PARÂMETROS!$E$8:$E$907,PARÂMETROS!$A$8:$A$907,C421,PARÂMETROS!$G$8:$G$907,J421))</f>
        <v>0.0249938586817334</v>
      </c>
      <c r="E421" s="21" t="n">
        <f aca="false">SUMIFS(SETORES!$D:$D,SETORES!$A:$A,A421,SETORES!$F:$F,J421)</f>
        <v>117989.9133</v>
      </c>
      <c r="F421" s="21" t="n">
        <f aca="false">IFERROR(D421*E421,0)</f>
        <v>2949.02321889017</v>
      </c>
      <c r="G421" s="9" t="n">
        <f aca="false">SUMIFS(PARÂMETROS!$F$8:$F$907,PARÂMETROS!$A$8:$A$907,C421,PARÂMETROS!$G$8:$G$907,J421)</f>
        <v>0</v>
      </c>
      <c r="H421" s="21" t="n">
        <f aca="false">IFERROR(F421*G421,0)</f>
        <v>0</v>
      </c>
      <c r="I421" s="21" t="n">
        <f aca="false">F421+H421</f>
        <v>2949.02321889017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IF(B422="Clientes",SUMIFS(PARÂMETROS!$D$8:$D$907,PARÂMETROS!$A$8:$A$907,C422,PARÂMETROS!$G$8:$G$907,J422),SUMIFS(PARÂMETROS!$E$8:$E$907,PARÂMETROS!$A$8:$A$907,C422,PARÂMETROS!$G$8:$G$907,J422))</f>
        <v>0.720002926926153</v>
      </c>
      <c r="E422" s="22" t="n">
        <f aca="false">SUMIFS(SETORES!$D:$D,SETORES!$A:$A,A422,SETORES!$F:$F,J422)</f>
        <v>117989.9133</v>
      </c>
      <c r="F422" s="22" t="n">
        <f aca="false">IFERROR(D422*E422,0)</f>
        <v>84953.082923763</v>
      </c>
      <c r="G422" s="14" t="n">
        <f aca="false">SUMIFS(PARÂMETROS!$F$8:$F$907,PARÂMETROS!$A$8:$A$907,C422,PARÂMETROS!$G$8:$G$907,J422)</f>
        <v>0</v>
      </c>
      <c r="H422" s="22" t="n">
        <f aca="false">IFERROR(F422*G422,0)</f>
        <v>0</v>
      </c>
      <c r="I422" s="22" t="n">
        <f aca="false">F422+H422</f>
        <v>84953.082923763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IF(B423="Clientes",SUMIFS(PARÂMETROS!$D$8:$D$907,PARÂMETROS!$A$8:$A$907,C423,PARÂMETROS!$G$8:$G$907,J423),SUMIFS(PARÂMETROS!$E$8:$E$907,PARÂMETROS!$A$8:$A$907,C423,PARÂMETROS!$G$8:$G$907,J423))</f>
        <v>0.0328233861399593</v>
      </c>
      <c r="E423" s="21" t="n">
        <f aca="false">SUMIFS(SETORES!$D:$D,SETORES!$A:$A,A423,SETORES!$F:$F,J423)</f>
        <v>115604.63981</v>
      </c>
      <c r="F423" s="21" t="n">
        <f aca="false">IFERROR(D423*E423,0)</f>
        <v>3794.53573205455</v>
      </c>
      <c r="G423" s="9" t="n">
        <f aca="false">SUMIFS(PARÂMETROS!$F$8:$F$907,PARÂMETROS!$A$8:$A$907,C423,PARÂMETROS!$G$8:$G$907,J423)</f>
        <v>0</v>
      </c>
      <c r="H423" s="21" t="n">
        <f aca="false">IFERROR(F423*G423,0)</f>
        <v>0</v>
      </c>
      <c r="I423" s="21" t="n">
        <f aca="false">F423+H423</f>
        <v>3794.53573205455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IF(B424="Clientes",SUMIFS(PARÂMETROS!$D$8:$D$907,PARÂMETROS!$A$8:$A$907,C424,PARÂMETROS!$G$8:$G$907,J424),SUMIFS(PARÂMETROS!$E$8:$E$907,PARÂMETROS!$A$8:$A$907,C424,PARÂMETROS!$G$8:$G$907,J424))</f>
        <v>0.0700476148165183</v>
      </c>
      <c r="E424" s="22" t="n">
        <f aca="false">SUMIFS(SETORES!$D:$D,SETORES!$A:$A,A424,SETORES!$F:$F,J424)</f>
        <v>115604.63981</v>
      </c>
      <c r="F424" s="22" t="n">
        <f aca="false">IFERROR(D424*E424,0)</f>
        <v>8097.82928041322</v>
      </c>
      <c r="G424" s="14" t="n">
        <f aca="false">SUMIFS(PARÂMETROS!$F$8:$F$907,PARÂMETROS!$A$8:$A$907,C424,PARÂMETROS!$G$8:$G$907,J424)</f>
        <v>0</v>
      </c>
      <c r="H424" s="22" t="n">
        <f aca="false">IFERROR(F424*G424,0)</f>
        <v>0</v>
      </c>
      <c r="I424" s="22" t="n">
        <f aca="false">F424+H424</f>
        <v>8097.82928041322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IF(B425="Clientes",SUMIFS(PARÂMETROS!$D$8:$D$907,PARÂMETROS!$A$8:$A$907,C425,PARÂMETROS!$G$8:$G$907,J425),SUMIFS(PARÂMETROS!$E$8:$E$907,PARÂMETROS!$A$8:$A$907,C425,PARÂMETROS!$G$8:$G$907,J425))</f>
        <v>0.074903176237541</v>
      </c>
      <c r="E425" s="21" t="n">
        <f aca="false">SUMIFS(SETORES!$D:$D,SETORES!$A:$A,A425,SETORES!$F:$F,J425)</f>
        <v>115604.63981</v>
      </c>
      <c r="F425" s="21" t="n">
        <f aca="false">IFERROR(D425*E425,0)</f>
        <v>8659.15470956588</v>
      </c>
      <c r="G425" s="9" t="n">
        <f aca="false">SUMIFS(PARÂMETROS!$F$8:$F$907,PARÂMETROS!$A$8:$A$907,C425,PARÂMETROS!$G$8:$G$907,J425)</f>
        <v>0</v>
      </c>
      <c r="H425" s="21" t="n">
        <f aca="false">IFERROR(F425*G425,0)</f>
        <v>0</v>
      </c>
      <c r="I425" s="21" t="n">
        <f aca="false">F425+H425</f>
        <v>8659.15470956588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IF(B426="Clientes",SUMIFS(PARÂMETROS!$D$8:$D$907,PARÂMETROS!$A$8:$A$907,C426,PARÂMETROS!$G$8:$G$907,J426),SUMIFS(PARÂMETROS!$E$8:$E$907,PARÂMETROS!$A$8:$A$907,C426,PARÂMETROS!$G$8:$G$907,J426))</f>
        <v>0.0190772865303904</v>
      </c>
      <c r="E426" s="22" t="n">
        <f aca="false">SUMIFS(SETORES!$D:$D,SETORES!$A:$A,A426,SETORES!$F:$F,J426)</f>
        <v>115604.63981</v>
      </c>
      <c r="F426" s="22" t="n">
        <f aca="false">IFERROR(D426*E426,0)</f>
        <v>2205.42283789794</v>
      </c>
      <c r="G426" s="14" t="n">
        <f aca="false">SUMIFS(PARÂMETROS!$F$8:$F$907,PARÂMETROS!$A$8:$A$907,C426,PARÂMETROS!$G$8:$G$907,J426)</f>
        <v>0</v>
      </c>
      <c r="H426" s="22" t="n">
        <f aca="false">IFERROR(F426*G426,0)</f>
        <v>0</v>
      </c>
      <c r="I426" s="22" t="n">
        <f aca="false">F426+H426</f>
        <v>2205.42283789794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IF(B427="Clientes",SUMIFS(PARÂMETROS!$D$8:$D$907,PARÂMETROS!$A$8:$A$907,C427,PARÂMETROS!$G$8:$G$907,J427),SUMIFS(PARÂMETROS!$E$8:$E$907,PARÂMETROS!$A$8:$A$907,C427,PARÂMETROS!$G$8:$G$907,J427))</f>
        <v>0.0334296779858567</v>
      </c>
      <c r="E427" s="21" t="n">
        <f aca="false">SUMIFS(SETORES!$D:$D,SETORES!$A:$A,A427,SETORES!$F:$F,J427)</f>
        <v>115604.63981</v>
      </c>
      <c r="F427" s="21" t="n">
        <f aca="false">IFERROR(D427*E427,0)</f>
        <v>3864.62588251925</v>
      </c>
      <c r="G427" s="9" t="n">
        <f aca="false">SUMIFS(PARÂMETROS!$F$8:$F$907,PARÂMETROS!$A$8:$A$907,C427,PARÂMETROS!$G$8:$G$907,J427)</f>
        <v>0</v>
      </c>
      <c r="H427" s="21" t="n">
        <f aca="false">IFERROR(F427*G427,0)</f>
        <v>0</v>
      </c>
      <c r="I427" s="21" t="n">
        <f aca="false">F427+H427</f>
        <v>3864.62588251925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IF(B428="Clientes",SUMIFS(PARÂMETROS!$D$8:$D$907,PARÂMETROS!$A$8:$A$907,C428,PARÂMETROS!$G$8:$G$907,J428),SUMIFS(PARÂMETROS!$E$8:$E$907,PARÂMETROS!$A$8:$A$907,C428,PARÂMETROS!$G$8:$G$907,J428))</f>
        <v>0.0247220726818484</v>
      </c>
      <c r="E428" s="22" t="n">
        <f aca="false">SUMIFS(SETORES!$D:$D,SETORES!$A:$A,A428,SETORES!$F:$F,J428)</f>
        <v>115604.63981</v>
      </c>
      <c r="F428" s="22" t="n">
        <f aca="false">IFERROR(D428*E428,0)</f>
        <v>2857.98630774172</v>
      </c>
      <c r="G428" s="14" t="n">
        <f aca="false">SUMIFS(PARÂMETROS!$F$8:$F$907,PARÂMETROS!$A$8:$A$907,C428,PARÂMETROS!$G$8:$G$907,J428)</f>
        <v>0</v>
      </c>
      <c r="H428" s="22" t="n">
        <f aca="false">IFERROR(F428*G428,0)</f>
        <v>0</v>
      </c>
      <c r="I428" s="22" t="n">
        <f aca="false">F428+H428</f>
        <v>2857.98630774172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IF(B429="Clientes",SUMIFS(PARÂMETROS!$D$8:$D$907,PARÂMETROS!$A$8:$A$907,C429,PARÂMETROS!$G$8:$G$907,J429),SUMIFS(PARÂMETROS!$E$8:$E$907,PARÂMETROS!$A$8:$A$907,C429,PARÂMETROS!$G$8:$G$907,J429))</f>
        <v>0.0249938586817334</v>
      </c>
      <c r="E429" s="21" t="n">
        <f aca="false">SUMIFS(SETORES!$D:$D,SETORES!$A:$A,A429,SETORES!$F:$F,J429)</f>
        <v>115604.63981</v>
      </c>
      <c r="F429" s="21" t="n">
        <f aca="false">IFERROR(D429*E429,0)</f>
        <v>2889.40603036383</v>
      </c>
      <c r="G429" s="9" t="n">
        <f aca="false">SUMIFS(PARÂMETROS!$F$8:$F$907,PARÂMETROS!$A$8:$A$907,C429,PARÂMETROS!$G$8:$G$907,J429)</f>
        <v>0</v>
      </c>
      <c r="H429" s="21" t="n">
        <f aca="false">IFERROR(F429*G429,0)</f>
        <v>0</v>
      </c>
      <c r="I429" s="21" t="n">
        <f aca="false">F429+H429</f>
        <v>2889.40603036383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IF(B430="Clientes",SUMIFS(PARÂMETROS!$D$8:$D$907,PARÂMETROS!$A$8:$A$907,C430,PARÂMETROS!$G$8:$G$907,J430),SUMIFS(PARÂMETROS!$E$8:$E$907,PARÂMETROS!$A$8:$A$907,C430,PARÂMETROS!$G$8:$G$907,J430))</f>
        <v>0.720002926926153</v>
      </c>
      <c r="E430" s="22" t="n">
        <f aca="false">SUMIFS(SETORES!$D:$D,SETORES!$A:$A,A430,SETORES!$F:$F,J430)</f>
        <v>115604.63981</v>
      </c>
      <c r="F430" s="22" t="n">
        <f aca="false">IFERROR(D430*E430,0)</f>
        <v>83235.6790294436</v>
      </c>
      <c r="G430" s="14" t="n">
        <f aca="false">SUMIFS(PARÂMETROS!$F$8:$F$907,PARÂMETROS!$A$8:$A$907,C430,PARÂMETROS!$G$8:$G$907,J430)</f>
        <v>0</v>
      </c>
      <c r="H430" s="22" t="n">
        <f aca="false">IFERROR(F430*G430,0)</f>
        <v>0</v>
      </c>
      <c r="I430" s="22" t="n">
        <f aca="false">F430+H430</f>
        <v>83235.6790294436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IF(B431="Clientes",SUMIFS(PARÂMETROS!$D$8:$D$907,PARÂMETROS!$A$8:$A$907,C431,PARÂMETROS!$G$8:$G$907,J431),SUMIFS(PARÂMETROS!$E$8:$E$907,PARÂMETROS!$A$8:$A$907,C431,PARÂMETROS!$G$8:$G$907,J431))</f>
        <v>0.0332383665716999</v>
      </c>
      <c r="E431" s="21" t="n">
        <f aca="false">SUMIFS(SETORES!$D:$D,SETORES!$A:$A,A431,SETORES!$F:$F,J431)</f>
        <v>23776.15</v>
      </c>
      <c r="F431" s="21" t="n">
        <f aca="false">IFERROR(D431*E431,0)</f>
        <v>790.280389363723</v>
      </c>
      <c r="G431" s="9" t="n">
        <f aca="false">SUMIFS(PARÂMETROS!$F$8:$F$907,PARÂMETROS!$A$8:$A$907,C431,PARÂMETROS!$G$8:$G$907,J431)</f>
        <v>0</v>
      </c>
      <c r="H431" s="21" t="n">
        <f aca="false">IFERROR(F431*G431,0)</f>
        <v>0</v>
      </c>
      <c r="I431" s="21" t="n">
        <f aca="false">F431+H431</f>
        <v>790.280389363723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IF(B432="Clientes",SUMIFS(PARÂMETROS!$D$8:$D$907,PARÂMETROS!$A$8:$A$907,C432,PARÂMETROS!$G$8:$G$907,J432),SUMIFS(PARÂMETROS!$E$8:$E$907,PARÂMETROS!$A$8:$A$907,C432,PARÂMETROS!$G$8:$G$907,J432))</f>
        <v>0.0332383665716999</v>
      </c>
      <c r="E432" s="22" t="n">
        <f aca="false">SUMIFS(SETORES!$D:$D,SETORES!$A:$A,A432,SETORES!$F:$F,J432)</f>
        <v>23776.15</v>
      </c>
      <c r="F432" s="22" t="n">
        <f aca="false">IFERROR(D432*E432,0)</f>
        <v>790.280389363723</v>
      </c>
      <c r="G432" s="14" t="n">
        <f aca="false">SUMIFS(PARÂMETROS!$F$8:$F$907,PARÂMETROS!$A$8:$A$907,C432,PARÂMETROS!$G$8:$G$907,J432)</f>
        <v>0</v>
      </c>
      <c r="H432" s="22" t="n">
        <f aca="false">IFERROR(F432*G432,0)</f>
        <v>0</v>
      </c>
      <c r="I432" s="22" t="n">
        <f aca="false">F432+H432</f>
        <v>790.280389363723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IF(B433="Clientes",SUMIFS(PARÂMETROS!$D$8:$D$907,PARÂMETROS!$A$8:$A$907,C433,PARÂMETROS!$G$8:$G$907,J433),SUMIFS(PARÂMETROS!$E$8:$E$907,PARÂMETROS!$A$8:$A$907,C433,PARÂMETROS!$G$8:$G$907,J433))</f>
        <v>0.0398860398860399</v>
      </c>
      <c r="E433" s="21" t="n">
        <f aca="false">SUMIFS(SETORES!$D:$D,SETORES!$A:$A,A433,SETORES!$F:$F,J433)</f>
        <v>23776.15</v>
      </c>
      <c r="F433" s="21" t="n">
        <f aca="false">IFERROR(D433*E433,0)</f>
        <v>948.336467236467</v>
      </c>
      <c r="G433" s="9" t="n">
        <f aca="false">SUMIFS(PARÂMETROS!$F$8:$F$907,PARÂMETROS!$A$8:$A$907,C433,PARÂMETROS!$G$8:$G$907,J433)</f>
        <v>0</v>
      </c>
      <c r="H433" s="21" t="n">
        <f aca="false">IFERROR(F433*G433,0)</f>
        <v>0</v>
      </c>
      <c r="I433" s="21" t="n">
        <f aca="false">F433+H433</f>
        <v>948.336467236467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IF(B434="Clientes",SUMIFS(PARÂMETROS!$D$8:$D$907,PARÂMETROS!$A$8:$A$907,C434,PARÂMETROS!$G$8:$G$907,J434),SUMIFS(PARÂMETROS!$E$8:$E$907,PARÂMETROS!$A$8:$A$907,C434,PARÂMETROS!$G$8:$G$907,J434))</f>
        <v>0.0104463437796771</v>
      </c>
      <c r="E434" s="22" t="n">
        <f aca="false">SUMIFS(SETORES!$D:$D,SETORES!$A:$A,A434,SETORES!$F:$F,J434)</f>
        <v>23776.15</v>
      </c>
      <c r="F434" s="22" t="n">
        <f aca="false">IFERROR(D434*E434,0)</f>
        <v>248.37383665717</v>
      </c>
      <c r="G434" s="14" t="n">
        <f aca="false">SUMIFS(PARÂMETROS!$F$8:$F$907,PARÂMETROS!$A$8:$A$907,C434,PARÂMETROS!$G$8:$G$907,J434)</f>
        <v>0</v>
      </c>
      <c r="H434" s="22" t="n">
        <f aca="false">IFERROR(F434*G434,0)</f>
        <v>0</v>
      </c>
      <c r="I434" s="22" t="n">
        <f aca="false">F434+H434</f>
        <v>248.37383665717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IF(B435="Clientes",SUMIFS(PARÂMETROS!$D$8:$D$907,PARÂMETROS!$A$8:$A$907,C435,PARÂMETROS!$G$8:$G$907,J435),SUMIFS(PARÂMETROS!$E$8:$E$907,PARÂMETROS!$A$8:$A$907,C435,PARÂMETROS!$G$8:$G$907,J435))</f>
        <v>0.0398860398860399</v>
      </c>
      <c r="E435" s="21" t="n">
        <f aca="false">SUMIFS(SETORES!$D:$D,SETORES!$A:$A,A435,SETORES!$F:$F,J435)</f>
        <v>23776.15</v>
      </c>
      <c r="F435" s="21" t="n">
        <f aca="false">IFERROR(D435*E435,0)</f>
        <v>948.336467236467</v>
      </c>
      <c r="G435" s="9" t="n">
        <f aca="false">SUMIFS(PARÂMETROS!$F$8:$F$907,PARÂMETROS!$A$8:$A$907,C435,PARÂMETROS!$G$8:$G$907,J435)</f>
        <v>0</v>
      </c>
      <c r="H435" s="21" t="n">
        <f aca="false">IFERROR(F435*G435,0)</f>
        <v>0</v>
      </c>
      <c r="I435" s="21" t="n">
        <f aca="false">F435+H435</f>
        <v>948.336467236467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IF(B436="Clientes",SUMIFS(PARÂMETROS!$D$8:$D$907,PARÂMETROS!$A$8:$A$907,C436,PARÂMETROS!$G$8:$G$907,J436),SUMIFS(PARÂMETROS!$E$8:$E$907,PARÂMETROS!$A$8:$A$907,C436,PARÂMETROS!$G$8:$G$907,J436))</f>
        <v>0.0170940170940171</v>
      </c>
      <c r="E436" s="22" t="n">
        <f aca="false">SUMIFS(SETORES!$D:$D,SETORES!$A:$A,A436,SETORES!$F:$F,J436)</f>
        <v>23776.15</v>
      </c>
      <c r="F436" s="22" t="n">
        <f aca="false">IFERROR(D436*E436,0)</f>
        <v>406.429914529915</v>
      </c>
      <c r="G436" s="14" t="n">
        <f aca="false">SUMIFS(PARÂMETROS!$F$8:$F$907,PARÂMETROS!$A$8:$A$907,C436,PARÂMETROS!$G$8:$G$907,J436)</f>
        <v>0</v>
      </c>
      <c r="H436" s="22" t="n">
        <f aca="false">IFERROR(F436*G436,0)</f>
        <v>0</v>
      </c>
      <c r="I436" s="22" t="n">
        <f aca="false">F436+H436</f>
        <v>406.429914529915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IF(B437="Clientes",SUMIFS(PARÂMETROS!$D$8:$D$907,PARÂMETROS!$A$8:$A$907,C437,PARÂMETROS!$G$8:$G$907,J437),SUMIFS(PARÂMETROS!$E$8:$E$907,PARÂMETROS!$A$8:$A$907,C437,PARÂMETROS!$G$8:$G$907,J437))</f>
        <v>0.0189933523266857</v>
      </c>
      <c r="E437" s="21" t="n">
        <f aca="false">SUMIFS(SETORES!$D:$D,SETORES!$A:$A,A437,SETORES!$F:$F,J437)</f>
        <v>23776.15</v>
      </c>
      <c r="F437" s="21" t="n">
        <f aca="false">IFERROR(D437*E437,0)</f>
        <v>451.588793922127</v>
      </c>
      <c r="G437" s="9" t="n">
        <f aca="false">SUMIFS(PARÂMETROS!$F$8:$F$907,PARÂMETROS!$A$8:$A$907,C437,PARÂMETROS!$G$8:$G$907,J437)</f>
        <v>0</v>
      </c>
      <c r="H437" s="21" t="n">
        <f aca="false">IFERROR(F437*G437,0)</f>
        <v>0</v>
      </c>
      <c r="I437" s="21" t="n">
        <f aca="false">F437+H437</f>
        <v>451.588793922127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IF(B438="Clientes",SUMIFS(PARÂMETROS!$D$8:$D$907,PARÂMETROS!$A$8:$A$907,C438,PARÂMETROS!$G$8:$G$907,J438),SUMIFS(PARÂMETROS!$E$8:$E$907,PARÂMETROS!$A$8:$A$907,C438,PARÂMETROS!$G$8:$G$907,J438))</f>
        <v>0.807217473884141</v>
      </c>
      <c r="E438" s="22" t="n">
        <f aca="false">SUMIFS(SETORES!$D:$D,SETORES!$A:$A,A438,SETORES!$F:$F,J438)</f>
        <v>23776.15</v>
      </c>
      <c r="F438" s="22" t="n">
        <f aca="false">IFERROR(D438*E438,0)</f>
        <v>19192.5237416904</v>
      </c>
      <c r="G438" s="14" t="n">
        <f aca="false">SUMIFS(PARÂMETROS!$F$8:$F$907,PARÂMETROS!$A$8:$A$907,C438,PARÂMETROS!$G$8:$G$907,J438)</f>
        <v>0</v>
      </c>
      <c r="H438" s="22" t="n">
        <f aca="false">IFERROR(F438*G438,0)</f>
        <v>0</v>
      </c>
      <c r="I438" s="22" t="n">
        <f aca="false">F438+H438</f>
        <v>19192.5237416904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IF(B439="Clientes",SUMIFS(PARÂMETROS!$D$8:$D$907,PARÂMETROS!$A$8:$A$907,C439,PARÂMETROS!$G$8:$G$907,J439),SUMIFS(PARÂMETROS!$E$8:$E$907,PARÂMETROS!$A$8:$A$907,C439,PARÂMETROS!$G$8:$G$907,J439))</f>
        <v>0.0326962494602737</v>
      </c>
      <c r="E439" s="21" t="n">
        <f aca="false">SUMIFS(SETORES!$D:$D,SETORES!$A:$A,A439,SETORES!$F:$F,J439)</f>
        <v>74925.2562</v>
      </c>
      <c r="F439" s="21" t="n">
        <f aca="false">IFERROR(D439*E439,0)</f>
        <v>2449.77486759012</v>
      </c>
      <c r="G439" s="9" t="n">
        <f aca="false">SUMIFS(PARÂMETROS!$F$8:$F$907,PARÂMETROS!$A$8:$A$907,C439,PARÂMETROS!$G$8:$G$907,J439)</f>
        <v>0</v>
      </c>
      <c r="H439" s="21" t="n">
        <f aca="false">IFERROR(F439*G439,0)</f>
        <v>0</v>
      </c>
      <c r="I439" s="21" t="n">
        <f aca="false">F439+H439</f>
        <v>2449.77486759012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IF(B440="Clientes",SUMIFS(PARÂMETROS!$D$8:$D$907,PARÂMETROS!$A$8:$A$907,C440,PARÂMETROS!$G$8:$G$907,J440),SUMIFS(PARÂMETROS!$E$8:$E$907,PARÂMETROS!$A$8:$A$907,C440,PARÂMETROS!$G$8:$G$907,J440))</f>
        <v>0.06714940121395</v>
      </c>
      <c r="E440" s="22" t="n">
        <f aca="false">SUMIFS(SETORES!$D:$D,SETORES!$A:$A,A440,SETORES!$F:$F,J440)</f>
        <v>74925.2562</v>
      </c>
      <c r="F440" s="22" t="n">
        <f aca="false">IFERROR(D440*E440,0)</f>
        <v>5031.1860896318</v>
      </c>
      <c r="G440" s="14" t="n">
        <f aca="false">SUMIFS(PARÂMETROS!$F$8:$F$907,PARÂMETROS!$A$8:$A$907,C440,PARÂMETROS!$G$8:$G$907,J440)</f>
        <v>0</v>
      </c>
      <c r="H440" s="22" t="n">
        <f aca="false">IFERROR(F440*G440,0)</f>
        <v>0</v>
      </c>
      <c r="I440" s="22" t="n">
        <f aca="false">F440+H440</f>
        <v>5031.1860896318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IF(B441="Clientes",SUMIFS(PARÂMETROS!$D$8:$D$907,PARÂMETROS!$A$8:$A$907,C441,PARÂMETROS!$G$8:$G$907,J441),SUMIFS(PARÂMETROS!$E$8:$E$907,PARÂMETROS!$A$8:$A$907,C441,PARÂMETROS!$G$8:$G$907,J441))</f>
        <v>0.0729015191745537</v>
      </c>
      <c r="E441" s="21" t="n">
        <f aca="false">SUMIFS(SETORES!$D:$D,SETORES!$A:$A,A441,SETORES!$F:$F,J441)</f>
        <v>74925.2562</v>
      </c>
      <c r="F441" s="21" t="n">
        <f aca="false">IFERROR(D441*E441,0)</f>
        <v>5462.16500152265</v>
      </c>
      <c r="G441" s="9" t="n">
        <f aca="false">SUMIFS(PARÂMETROS!$F$8:$F$907,PARÂMETROS!$A$8:$A$907,C441,PARÂMETROS!$G$8:$G$907,J441)</f>
        <v>0</v>
      </c>
      <c r="H441" s="21" t="n">
        <f aca="false">IFERROR(F441*G441,0)</f>
        <v>0</v>
      </c>
      <c r="I441" s="21" t="n">
        <f aca="false">F441+H441</f>
        <v>5462.16500152265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IF(B442="Clientes",SUMIFS(PARÂMETROS!$D$8:$D$907,PARÂMETROS!$A$8:$A$907,C442,PARÂMETROS!$G$8:$G$907,J442),SUMIFS(PARÂMETROS!$E$8:$E$907,PARÂMETROS!$A$8:$A$907,C442,PARÂMETROS!$G$8:$G$907,J442))</f>
        <v>0.0186856981205116</v>
      </c>
      <c r="E442" s="22" t="n">
        <f aca="false">SUMIFS(SETORES!$D:$D,SETORES!$A:$A,A442,SETORES!$F:$F,J442)</f>
        <v>74925.2562</v>
      </c>
      <c r="F442" s="22" t="n">
        <f aca="false">IFERROR(D442*E442,0)</f>
        <v>1400.03071895519</v>
      </c>
      <c r="G442" s="14" t="n">
        <f aca="false">SUMIFS(PARÂMETROS!$F$8:$F$907,PARÂMETROS!$A$8:$A$907,C442,PARÂMETROS!$G$8:$G$907,J442)</f>
        <v>0</v>
      </c>
      <c r="H442" s="22" t="n">
        <f aca="false">IFERROR(F442*G442,0)</f>
        <v>0</v>
      </c>
      <c r="I442" s="22" t="n">
        <f aca="false">F442+H442</f>
        <v>1400.03071895519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IF(B443="Clientes",SUMIFS(PARÂMETROS!$D$8:$D$907,PARÂMETROS!$A$8:$A$907,C443,PARÂMETROS!$G$8:$G$907,J443),SUMIFS(PARÂMETROS!$E$8:$E$907,PARÂMETROS!$A$8:$A$907,C443,PARÂMETROS!$G$8:$G$907,J443))</f>
        <v>0.0325969894436972</v>
      </c>
      <c r="E443" s="21" t="n">
        <f aca="false">SUMIFS(SETORES!$D:$D,SETORES!$A:$A,A443,SETORES!$F:$F,J443)</f>
        <v>74925.2562</v>
      </c>
      <c r="F443" s="21" t="n">
        <f aca="false">IFERROR(D443*E443,0)</f>
        <v>2442.33778541771</v>
      </c>
      <c r="G443" s="9" t="n">
        <f aca="false">SUMIFS(PARÂMETROS!$F$8:$F$907,PARÂMETROS!$A$8:$A$907,C443,PARÂMETROS!$G$8:$G$907,J443)</f>
        <v>0</v>
      </c>
      <c r="H443" s="21" t="n">
        <f aca="false">IFERROR(F443*G443,0)</f>
        <v>0</v>
      </c>
      <c r="I443" s="21" t="n">
        <f aca="false">F443+H443</f>
        <v>2442.33778541771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IF(B444="Clientes",SUMIFS(PARÂMETROS!$D$8:$D$907,PARÂMETROS!$A$8:$A$907,C444,PARÂMETROS!$G$8:$G$907,J444),SUMIFS(PARÂMETROS!$E$8:$E$907,PARÂMETROS!$A$8:$A$907,C444,PARÂMETROS!$G$8:$G$907,J444))</f>
        <v>0.0238472189824856</v>
      </c>
      <c r="E444" s="22" t="n">
        <f aca="false">SUMIFS(SETORES!$D:$D,SETORES!$A:$A,A444,SETORES!$F:$F,J444)</f>
        <v>74925.2562</v>
      </c>
      <c r="F444" s="22" t="n">
        <f aca="false">IFERROR(D444*E444,0)</f>
        <v>1786.75899192023</v>
      </c>
      <c r="G444" s="14" t="n">
        <f aca="false">SUMIFS(PARÂMETROS!$F$8:$F$907,PARÂMETROS!$A$8:$A$907,C444,PARÂMETROS!$G$8:$G$907,J444)</f>
        <v>0</v>
      </c>
      <c r="H444" s="22" t="n">
        <f aca="false">IFERROR(F444*G444,0)</f>
        <v>0</v>
      </c>
      <c r="I444" s="22" t="n">
        <f aca="false">F444+H444</f>
        <v>1786.75899192023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IF(B445="Clientes",SUMIFS(PARÂMETROS!$D$8:$D$907,PARÂMETROS!$A$8:$A$907,C445,PARÂMETROS!$G$8:$G$907,J445),SUMIFS(PARÂMETROS!$E$8:$E$907,PARÂMETROS!$A$8:$A$907,C445,PARÂMETROS!$G$8:$G$907,J445))</f>
        <v>0.0238521819833144</v>
      </c>
      <c r="E445" s="21" t="n">
        <f aca="false">SUMIFS(SETORES!$D:$D,SETORES!$A:$A,A445,SETORES!$F:$F,J445)</f>
        <v>74925.2562</v>
      </c>
      <c r="F445" s="21" t="n">
        <f aca="false">IFERROR(D445*E445,0)</f>
        <v>1787.13084602886</v>
      </c>
      <c r="G445" s="9" t="n">
        <f aca="false">SUMIFS(PARÂMETROS!$F$8:$F$907,PARÂMETROS!$A$8:$A$907,C445,PARÂMETROS!$G$8:$G$907,J445)</f>
        <v>0</v>
      </c>
      <c r="H445" s="21" t="n">
        <f aca="false">IFERROR(F445*G445,0)</f>
        <v>0</v>
      </c>
      <c r="I445" s="21" t="n">
        <f aca="false">F445+H445</f>
        <v>1787.13084602886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IF(B446="Clientes",SUMIFS(PARÂMETROS!$D$8:$D$907,PARÂMETROS!$A$8:$A$907,C446,PARÂMETROS!$G$8:$G$907,J446),SUMIFS(PARÂMETROS!$E$8:$E$907,PARÂMETROS!$A$8:$A$907,C446,PARÂMETROS!$G$8:$G$907,J446))</f>
        <v>0.728270741621214</v>
      </c>
      <c r="E446" s="22" t="n">
        <f aca="false">SUMIFS(SETORES!$D:$D,SETORES!$A:$A,A446,SETORES!$F:$F,J446)</f>
        <v>74925.2562</v>
      </c>
      <c r="F446" s="22" t="n">
        <f aca="false">IFERROR(D446*E446,0)</f>
        <v>54565.8718989335</v>
      </c>
      <c r="G446" s="14" t="n">
        <f aca="false">SUMIFS(PARÂMETROS!$F$8:$F$907,PARÂMETROS!$A$8:$A$907,C446,PARÂMETROS!$G$8:$G$907,J446)</f>
        <v>0</v>
      </c>
      <c r="H446" s="22" t="n">
        <f aca="false">IFERROR(F446*G446,0)</f>
        <v>0</v>
      </c>
      <c r="I446" s="22" t="n">
        <f aca="false">F446+H446</f>
        <v>54565.8718989335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IF(B447="Clientes",SUMIFS(PARÂMETROS!$D$8:$D$907,PARÂMETROS!$A$8:$A$907,C447,PARÂMETROS!$G$8:$G$907,J447),SUMIFS(PARÂMETROS!$E$8:$E$907,PARÂMETROS!$A$8:$A$907,C447,PARÂMETROS!$G$8:$G$907,J447))</f>
        <v>0.0311926605504587</v>
      </c>
      <c r="E447" s="21" t="n">
        <f aca="false">SUMIFS(SETORES!$D:$D,SETORES!$A:$A,A447,SETORES!$F:$F,J447)</f>
        <v>38844.825852</v>
      </c>
      <c r="F447" s="21" t="n">
        <f aca="false">IFERROR(D447*E447,0)</f>
        <v>1211.67346694312</v>
      </c>
      <c r="G447" s="9" t="n">
        <f aca="false">SUMIFS(PARÂMETROS!$F$8:$F$907,PARÂMETROS!$A$8:$A$907,C447,PARÂMETROS!$G$8:$G$907,J447)</f>
        <v>0</v>
      </c>
      <c r="H447" s="21" t="n">
        <f aca="false">IFERROR(F447*G447,0)</f>
        <v>0</v>
      </c>
      <c r="I447" s="21" t="n">
        <f aca="false">F447+H447</f>
        <v>1211.67346694312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IF(B448="Clientes",SUMIFS(PARÂMETROS!$D$8:$D$907,PARÂMETROS!$A$8:$A$907,C448,PARÂMETROS!$G$8:$G$907,J448),SUMIFS(PARÂMETROS!$E$8:$E$907,PARÂMETROS!$A$8:$A$907,C448,PARÂMETROS!$G$8:$G$907,J448))</f>
        <v>0</v>
      </c>
      <c r="E448" s="22" t="n">
        <f aca="false">SUMIFS(SETORES!$D:$D,SETORES!$A:$A,A448,SETORES!$F:$F,J448)</f>
        <v>38844.825852</v>
      </c>
      <c r="F448" s="22" t="n">
        <f aca="false">IFERROR(D448*E448,0)</f>
        <v>0</v>
      </c>
      <c r="G448" s="14" t="n">
        <f aca="false">SUMIFS(PARÂMETROS!$F$8:$F$907,PARÂMETROS!$A$8:$A$907,C448,PARÂMETROS!$G$8:$G$907,J448)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IF(B449="Clientes",SUMIFS(PARÂMETROS!$D$8:$D$907,PARÂMETROS!$A$8:$A$907,C449,PARÂMETROS!$G$8:$G$907,J449),SUMIFS(PARÂMETROS!$E$8:$E$907,PARÂMETROS!$A$8:$A$907,C449,PARÂMETROS!$G$8:$G$907,J449))</f>
        <v>0.0431192660550459</v>
      </c>
      <c r="E449" s="21" t="n">
        <f aca="false">SUMIFS(SETORES!$D:$D,SETORES!$A:$A,A449,SETORES!$F:$F,J449)</f>
        <v>38844.825852</v>
      </c>
      <c r="F449" s="21" t="n">
        <f aca="false">IFERROR(D449*E449,0)</f>
        <v>1674.96038077431</v>
      </c>
      <c r="G449" s="9" t="n">
        <f aca="false">SUMIFS(PARÂMETROS!$F$8:$F$907,PARÂMETROS!$A$8:$A$907,C449,PARÂMETROS!$G$8:$G$907,J449)</f>
        <v>0</v>
      </c>
      <c r="H449" s="21" t="n">
        <f aca="false">IFERROR(F449*G449,0)</f>
        <v>0</v>
      </c>
      <c r="I449" s="21" t="n">
        <f aca="false">F449+H449</f>
        <v>1674.96038077431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IF(B450="Clientes",SUMIFS(PARÂMETROS!$D$8:$D$907,PARÂMETROS!$A$8:$A$907,C450,PARÂMETROS!$G$8:$G$907,J450),SUMIFS(PARÂMETROS!$E$8:$E$907,PARÂMETROS!$A$8:$A$907,C450,PARÂMETROS!$G$8:$G$907,J450))</f>
        <v>0.0100917431192661</v>
      </c>
      <c r="E450" s="22" t="n">
        <f aca="false">SUMIFS(SETORES!$D:$D,SETORES!$A:$A,A450,SETORES!$F:$F,J450)</f>
        <v>38844.825852</v>
      </c>
      <c r="F450" s="22" t="n">
        <f aca="false">IFERROR(D450*E450,0)</f>
        <v>392.012004011009</v>
      </c>
      <c r="G450" s="14" t="n">
        <f aca="false">SUMIFS(PARÂMETROS!$F$8:$F$907,PARÂMETROS!$A$8:$A$907,C450,PARÂMETROS!$G$8:$G$907,J450)</f>
        <v>0</v>
      </c>
      <c r="H450" s="22" t="n">
        <f aca="false">IFERROR(F450*G450,0)</f>
        <v>0</v>
      </c>
      <c r="I450" s="22" t="n">
        <f aca="false">F450+H450</f>
        <v>392.012004011009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IF(B451="Clientes",SUMIFS(PARÂMETROS!$D$8:$D$907,PARÂMETROS!$A$8:$A$907,C451,PARÂMETROS!$G$8:$G$907,J451),SUMIFS(PARÂMETROS!$E$8:$E$907,PARÂMETROS!$A$8:$A$907,C451,PARÂMETROS!$G$8:$G$907,J451))</f>
        <v>0.0458715596330275</v>
      </c>
      <c r="E451" s="21" t="n">
        <f aca="false">SUMIFS(SETORES!$D:$D,SETORES!$A:$A,A451,SETORES!$F:$F,J451)</f>
        <v>38844.825852</v>
      </c>
      <c r="F451" s="21" t="n">
        <f aca="false">IFERROR(D451*E451,0)</f>
        <v>1781.87274550459</v>
      </c>
      <c r="G451" s="9" t="n">
        <f aca="false">SUMIFS(PARÂMETROS!$F$8:$F$907,PARÂMETROS!$A$8:$A$907,C451,PARÂMETROS!$G$8:$G$907,J451)</f>
        <v>0</v>
      </c>
      <c r="H451" s="21" t="n">
        <f aca="false">IFERROR(F451*G451,0)</f>
        <v>0</v>
      </c>
      <c r="I451" s="21" t="n">
        <f aca="false">F451+H451</f>
        <v>1781.87274550459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IF(B452="Clientes",SUMIFS(PARÂMETROS!$D$8:$D$907,PARÂMETROS!$A$8:$A$907,C452,PARÂMETROS!$G$8:$G$907,J452),SUMIFS(PARÂMETROS!$E$8:$E$907,PARÂMETROS!$A$8:$A$907,C452,PARÂMETROS!$G$8:$G$907,J452))</f>
        <v>0.0165137614678899</v>
      </c>
      <c r="E452" s="22" t="n">
        <f aca="false">SUMIFS(SETORES!$D:$D,SETORES!$A:$A,A452,SETORES!$F:$F,J452)</f>
        <v>38844.825852</v>
      </c>
      <c r="F452" s="22" t="n">
        <f aca="false">IFERROR(D452*E452,0)</f>
        <v>641.474188381651</v>
      </c>
      <c r="G452" s="14" t="n">
        <f aca="false">SUMIFS(PARÂMETROS!$F$8:$F$907,PARÂMETROS!$A$8:$A$907,C452,PARÂMETROS!$G$8:$G$907,J452)</f>
        <v>0</v>
      </c>
      <c r="H452" s="22" t="n">
        <f aca="false">IFERROR(F452*G452,0)</f>
        <v>0</v>
      </c>
      <c r="I452" s="22" t="n">
        <f aca="false">F452+H452</f>
        <v>641.474188381651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IF(B453="Clientes",SUMIFS(PARÂMETROS!$D$8:$D$907,PARÂMETROS!$A$8:$A$907,C453,PARÂMETROS!$G$8:$G$907,J453),SUMIFS(PARÂMETROS!$E$8:$E$907,PARÂMETROS!$A$8:$A$907,C453,PARÂMETROS!$G$8:$G$907,J453))</f>
        <v>0.0220183486238532</v>
      </c>
      <c r="E453" s="21" t="n">
        <f aca="false">SUMIFS(SETORES!$D:$D,SETORES!$A:$A,A453,SETORES!$F:$F,J453)</f>
        <v>38844.825852</v>
      </c>
      <c r="F453" s="21" t="n">
        <f aca="false">IFERROR(D453*E453,0)</f>
        <v>855.298917842202</v>
      </c>
      <c r="G453" s="9" t="n">
        <f aca="false">SUMIFS(PARÂMETROS!$F$8:$F$907,PARÂMETROS!$A$8:$A$907,C453,PARÂMETROS!$G$8:$G$907,J453)</f>
        <v>0</v>
      </c>
      <c r="H453" s="21" t="n">
        <f aca="false">IFERROR(F453*G453,0)</f>
        <v>0</v>
      </c>
      <c r="I453" s="21" t="n">
        <f aca="false">F453+H453</f>
        <v>855.298917842202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IF(B454="Clientes",SUMIFS(PARÂMETROS!$D$8:$D$907,PARÂMETROS!$A$8:$A$907,C454,PARÂMETROS!$G$8:$G$907,J454),SUMIFS(PARÂMETROS!$E$8:$E$907,PARÂMETROS!$A$8:$A$907,C454,PARÂMETROS!$G$8:$G$907,J454))</f>
        <v>0.831192660550459</v>
      </c>
      <c r="E454" s="22" t="n">
        <f aca="false">SUMIFS(SETORES!$D:$D,SETORES!$A:$A,A454,SETORES!$F:$F,J454)</f>
        <v>38844.825852</v>
      </c>
      <c r="F454" s="22" t="n">
        <f aca="false">IFERROR(D454*E454,0)</f>
        <v>32287.5341485431</v>
      </c>
      <c r="G454" s="14" t="n">
        <f aca="false">SUMIFS(PARÂMETROS!$F$8:$F$907,PARÂMETROS!$A$8:$A$907,C454,PARÂMETROS!$G$8:$G$907,J454)</f>
        <v>0</v>
      </c>
      <c r="H454" s="22" t="n">
        <f aca="false">IFERROR(F454*G454,0)</f>
        <v>0</v>
      </c>
      <c r="I454" s="22" t="n">
        <f aca="false">F454+H454</f>
        <v>32287.5341485431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IF(B455="Clientes",SUMIFS(PARÂMETROS!$D$8:$D$907,PARÂMETROS!$A$8:$A$907,C455,PARÂMETROS!$G$8:$G$907,J455),SUMIFS(PARÂMETROS!$E$8:$E$907,PARÂMETROS!$A$8:$A$907,C455,PARÂMETROS!$G$8:$G$907,J455))</f>
        <v>0.0311926605504587</v>
      </c>
      <c r="E455" s="21" t="n">
        <f aca="false">SUMIFS(SETORES!$D:$D,SETORES!$A:$A,A455,SETORES!$F:$F,J455)</f>
        <v>57153.8507</v>
      </c>
      <c r="F455" s="21" t="n">
        <f aca="false">IFERROR(D455*E455,0)</f>
        <v>1782.7806640367</v>
      </c>
      <c r="G455" s="9" t="n">
        <f aca="false">SUMIFS(PARÂMETROS!$F$8:$F$907,PARÂMETROS!$A$8:$A$907,C455,PARÂMETROS!$G$8:$G$907,J455)</f>
        <v>0</v>
      </c>
      <c r="H455" s="21" t="n">
        <f aca="false">IFERROR(F455*G455,0)</f>
        <v>0</v>
      </c>
      <c r="I455" s="21" t="n">
        <f aca="false">F455+H455</f>
        <v>1782.7806640367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IF(B456="Clientes",SUMIFS(PARÂMETROS!$D$8:$D$907,PARÂMETROS!$A$8:$A$907,C456,PARÂMETROS!$G$8:$G$907,J456),SUMIFS(PARÂMETROS!$E$8:$E$907,PARÂMETROS!$A$8:$A$907,C456,PARÂMETROS!$G$8:$G$907,J456))</f>
        <v>0</v>
      </c>
      <c r="E456" s="22" t="n">
        <f aca="false">SUMIFS(SETORES!$D:$D,SETORES!$A:$A,A456,SETORES!$F:$F,J456)</f>
        <v>57153.8507</v>
      </c>
      <c r="F456" s="22" t="n">
        <f aca="false">IFERROR(D456*E456,0)</f>
        <v>0</v>
      </c>
      <c r="G456" s="14" t="n">
        <f aca="false">SUMIFS(PARÂMETROS!$F$8:$F$907,PARÂMETROS!$A$8:$A$907,C456,PARÂMETROS!$G$8:$G$907,J456)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IF(B457="Clientes",SUMIFS(PARÂMETROS!$D$8:$D$907,PARÂMETROS!$A$8:$A$907,C457,PARÂMETROS!$G$8:$G$907,J457),SUMIFS(PARÂMETROS!$E$8:$E$907,PARÂMETROS!$A$8:$A$907,C457,PARÂMETROS!$G$8:$G$907,J457))</f>
        <v>0.0431192660550459</v>
      </c>
      <c r="E457" s="21" t="n">
        <f aca="false">SUMIFS(SETORES!$D:$D,SETORES!$A:$A,A457,SETORES!$F:$F,J457)</f>
        <v>57153.8507</v>
      </c>
      <c r="F457" s="21" t="n">
        <f aca="false">IFERROR(D457*E457,0)</f>
        <v>2464.43209440367</v>
      </c>
      <c r="G457" s="9" t="n">
        <f aca="false">SUMIFS(PARÂMETROS!$F$8:$F$907,PARÂMETROS!$A$8:$A$907,C457,PARÂMETROS!$G$8:$G$907,J457)</f>
        <v>0</v>
      </c>
      <c r="H457" s="21" t="n">
        <f aca="false">IFERROR(F457*G457,0)</f>
        <v>0</v>
      </c>
      <c r="I457" s="21" t="n">
        <f aca="false">F457+H457</f>
        <v>2464.43209440367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IF(B458="Clientes",SUMIFS(PARÂMETROS!$D$8:$D$907,PARÂMETROS!$A$8:$A$907,C458,PARÂMETROS!$G$8:$G$907,J458),SUMIFS(PARÂMETROS!$E$8:$E$907,PARÂMETROS!$A$8:$A$907,C458,PARÂMETROS!$G$8:$G$907,J458))</f>
        <v>0.0100917431192661</v>
      </c>
      <c r="E458" s="22" t="n">
        <f aca="false">SUMIFS(SETORES!$D:$D,SETORES!$A:$A,A458,SETORES!$F:$F,J458)</f>
        <v>57153.8507</v>
      </c>
      <c r="F458" s="22" t="n">
        <f aca="false">IFERROR(D458*E458,0)</f>
        <v>576.781979541285</v>
      </c>
      <c r="G458" s="14" t="n">
        <f aca="false">SUMIFS(PARÂMETROS!$F$8:$F$907,PARÂMETROS!$A$8:$A$907,C458,PARÂMETROS!$G$8:$G$907,J458)</f>
        <v>0</v>
      </c>
      <c r="H458" s="22" t="n">
        <f aca="false">IFERROR(F458*G458,0)</f>
        <v>0</v>
      </c>
      <c r="I458" s="22" t="n">
        <f aca="false">F458+H458</f>
        <v>576.781979541285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IF(B459="Clientes",SUMIFS(PARÂMETROS!$D$8:$D$907,PARÂMETROS!$A$8:$A$907,C459,PARÂMETROS!$G$8:$G$907,J459),SUMIFS(PARÂMETROS!$E$8:$E$907,PARÂMETROS!$A$8:$A$907,C459,PARÂMETROS!$G$8:$G$907,J459))</f>
        <v>0.0458715596330275</v>
      </c>
      <c r="E459" s="21" t="n">
        <f aca="false">SUMIFS(SETORES!$D:$D,SETORES!$A:$A,A459,SETORES!$F:$F,J459)</f>
        <v>57153.8507</v>
      </c>
      <c r="F459" s="21" t="n">
        <f aca="false">IFERROR(D459*E459,0)</f>
        <v>2621.7362706422</v>
      </c>
      <c r="G459" s="9" t="n">
        <f aca="false">SUMIFS(PARÂMETROS!$F$8:$F$907,PARÂMETROS!$A$8:$A$907,C459,PARÂMETROS!$G$8:$G$907,J459)</f>
        <v>0</v>
      </c>
      <c r="H459" s="21" t="n">
        <f aca="false">IFERROR(F459*G459,0)</f>
        <v>0</v>
      </c>
      <c r="I459" s="21" t="n">
        <f aca="false">F459+H459</f>
        <v>2621.7362706422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IF(B460="Clientes",SUMIFS(PARÂMETROS!$D$8:$D$907,PARÂMETROS!$A$8:$A$907,C460,PARÂMETROS!$G$8:$G$907,J460),SUMIFS(PARÂMETROS!$E$8:$E$907,PARÂMETROS!$A$8:$A$907,C460,PARÂMETROS!$G$8:$G$907,J460))</f>
        <v>0.0165137614678899</v>
      </c>
      <c r="E460" s="22" t="n">
        <f aca="false">SUMIFS(SETORES!$D:$D,SETORES!$A:$A,A460,SETORES!$F:$F,J460)</f>
        <v>57153.8507</v>
      </c>
      <c r="F460" s="22" t="n">
        <f aca="false">IFERROR(D460*E460,0)</f>
        <v>943.825057431193</v>
      </c>
      <c r="G460" s="14" t="n">
        <f aca="false">SUMIFS(PARÂMETROS!$F$8:$F$907,PARÂMETROS!$A$8:$A$907,C460,PARÂMETROS!$G$8:$G$907,J460)</f>
        <v>0</v>
      </c>
      <c r="H460" s="22" t="n">
        <f aca="false">IFERROR(F460*G460,0)</f>
        <v>0</v>
      </c>
      <c r="I460" s="22" t="n">
        <f aca="false">F460+H460</f>
        <v>943.825057431193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IF(B461="Clientes",SUMIFS(PARÂMETROS!$D$8:$D$907,PARÂMETROS!$A$8:$A$907,C461,PARÂMETROS!$G$8:$G$907,J461),SUMIFS(PARÂMETROS!$E$8:$E$907,PARÂMETROS!$A$8:$A$907,C461,PARÂMETROS!$G$8:$G$907,J461))</f>
        <v>0.0220183486238532</v>
      </c>
      <c r="E461" s="21" t="n">
        <f aca="false">SUMIFS(SETORES!$D:$D,SETORES!$A:$A,A461,SETORES!$F:$F,J461)</f>
        <v>57153.8507</v>
      </c>
      <c r="F461" s="21" t="n">
        <f aca="false">IFERROR(D461*E461,0)</f>
        <v>1258.43340990826</v>
      </c>
      <c r="G461" s="9" t="n">
        <f aca="false">SUMIFS(PARÂMETROS!$F$8:$F$907,PARÂMETROS!$A$8:$A$907,C461,PARÂMETROS!$G$8:$G$907,J461)</f>
        <v>0</v>
      </c>
      <c r="H461" s="21" t="n">
        <f aca="false">IFERROR(F461*G461,0)</f>
        <v>0</v>
      </c>
      <c r="I461" s="21" t="n">
        <f aca="false">F461+H461</f>
        <v>1258.43340990826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IF(B462="Clientes",SUMIFS(PARÂMETROS!$D$8:$D$907,PARÂMETROS!$A$8:$A$907,C462,PARÂMETROS!$G$8:$G$907,J462),SUMIFS(PARÂMETROS!$E$8:$E$907,PARÂMETROS!$A$8:$A$907,C462,PARÂMETROS!$G$8:$G$907,J462))</f>
        <v>0.831192660550459</v>
      </c>
      <c r="E462" s="22" t="n">
        <f aca="false">SUMIFS(SETORES!$D:$D,SETORES!$A:$A,A462,SETORES!$F:$F,J462)</f>
        <v>57153.8507</v>
      </c>
      <c r="F462" s="22" t="n">
        <f aca="false">IFERROR(D462*E462,0)</f>
        <v>47505.8612240367</v>
      </c>
      <c r="G462" s="14" t="n">
        <f aca="false">SUMIFS(PARÂMETROS!$F$8:$F$907,PARÂMETROS!$A$8:$A$907,C462,PARÂMETROS!$G$8:$G$907,J462)</f>
        <v>0</v>
      </c>
      <c r="H462" s="22" t="n">
        <f aca="false">IFERROR(F462*G462,0)</f>
        <v>0</v>
      </c>
      <c r="I462" s="22" t="n">
        <f aca="false">F462+H462</f>
        <v>47505.8612240367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IF(B463="Clientes",SUMIFS(PARÂMETROS!$D$8:$D$907,PARÂMETROS!$A$8:$A$907,C463,PARÂMETROS!$G$8:$G$907,J463),SUMIFS(PARÂMETROS!$E$8:$E$907,PARÂMETROS!$A$8:$A$907,C463,PARÂMETROS!$G$8:$G$907,J463))</f>
        <v>0.0326962494602737</v>
      </c>
      <c r="E463" s="21" t="n">
        <f aca="false">SUMIFS(SETORES!$D:$D,SETORES!$A:$A,A463,SETORES!$F:$F,J463)</f>
        <v>45092.662152</v>
      </c>
      <c r="F463" s="21" t="n">
        <f aca="false">IFERROR(D463*E463,0)</f>
        <v>1474.36093054963</v>
      </c>
      <c r="G463" s="9" t="n">
        <f aca="false">SUMIFS(PARÂMETROS!$F$8:$F$907,PARÂMETROS!$A$8:$A$907,C463,PARÂMETROS!$G$8:$G$907,J463)</f>
        <v>0</v>
      </c>
      <c r="H463" s="21" t="n">
        <f aca="false">IFERROR(F463*G463,0)</f>
        <v>0</v>
      </c>
      <c r="I463" s="21" t="n">
        <f aca="false">F463+H463</f>
        <v>1474.36093054963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IF(B464="Clientes",SUMIFS(PARÂMETROS!$D$8:$D$907,PARÂMETROS!$A$8:$A$907,C464,PARÂMETROS!$G$8:$G$907,J464),SUMIFS(PARÂMETROS!$E$8:$E$907,PARÂMETROS!$A$8:$A$907,C464,PARÂMETROS!$G$8:$G$907,J464))</f>
        <v>0.06714940121395</v>
      </c>
      <c r="E464" s="22" t="n">
        <f aca="false">SUMIFS(SETORES!$D:$D,SETORES!$A:$A,A464,SETORES!$F:$F,J464)</f>
        <v>45092.662152</v>
      </c>
      <c r="F464" s="22" t="n">
        <f aca="false">IFERROR(D464*E464,0)</f>
        <v>3027.94526264975</v>
      </c>
      <c r="G464" s="14" t="n">
        <f aca="false">SUMIFS(PARÂMETROS!$F$8:$F$907,PARÂMETROS!$A$8:$A$907,C464,PARÂMETROS!$G$8:$G$907,J464)</f>
        <v>0</v>
      </c>
      <c r="H464" s="22" t="n">
        <f aca="false">IFERROR(F464*G464,0)</f>
        <v>0</v>
      </c>
      <c r="I464" s="22" t="n">
        <f aca="false">F464+H464</f>
        <v>3027.94526264975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IF(B465="Clientes",SUMIFS(PARÂMETROS!$D$8:$D$907,PARÂMETROS!$A$8:$A$907,C465,PARÂMETROS!$G$8:$G$907,J465),SUMIFS(PARÂMETROS!$E$8:$E$907,PARÂMETROS!$A$8:$A$907,C465,PARÂMETROS!$G$8:$G$907,J465))</f>
        <v>0.0729015191745537</v>
      </c>
      <c r="E465" s="21" t="n">
        <f aca="false">SUMIFS(SETORES!$D:$D,SETORES!$A:$A,A465,SETORES!$F:$F,J465)</f>
        <v>45092.662152</v>
      </c>
      <c r="F465" s="21" t="n">
        <f aca="false">IFERROR(D465*E465,0)</f>
        <v>3287.3235745057</v>
      </c>
      <c r="G465" s="9" t="n">
        <f aca="false">SUMIFS(PARÂMETROS!$F$8:$F$907,PARÂMETROS!$A$8:$A$907,C465,PARÂMETROS!$G$8:$G$907,J465)</f>
        <v>0</v>
      </c>
      <c r="H465" s="21" t="n">
        <f aca="false">IFERROR(F465*G465,0)</f>
        <v>0</v>
      </c>
      <c r="I465" s="21" t="n">
        <f aca="false">F465+H465</f>
        <v>3287.3235745057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IF(B466="Clientes",SUMIFS(PARÂMETROS!$D$8:$D$907,PARÂMETROS!$A$8:$A$907,C466,PARÂMETROS!$G$8:$G$907,J466),SUMIFS(PARÂMETROS!$E$8:$E$907,PARÂMETROS!$A$8:$A$907,C466,PARÂMETROS!$G$8:$G$907,J466))</f>
        <v>0.0186856981205116</v>
      </c>
      <c r="E466" s="22" t="n">
        <f aca="false">SUMIFS(SETORES!$D:$D,SETORES!$A:$A,A466,SETORES!$F:$F,J466)</f>
        <v>45092.662152</v>
      </c>
      <c r="F466" s="22" t="n">
        <f aca="false">IFERROR(D466*E466,0)</f>
        <v>842.587872422491</v>
      </c>
      <c r="G466" s="14" t="n">
        <f aca="false">SUMIFS(PARÂMETROS!$F$8:$F$907,PARÂMETROS!$A$8:$A$907,C466,PARÂMETROS!$G$8:$G$907,J466)</f>
        <v>0</v>
      </c>
      <c r="H466" s="22" t="n">
        <f aca="false">IFERROR(F466*G466,0)</f>
        <v>0</v>
      </c>
      <c r="I466" s="22" t="n">
        <f aca="false">F466+H466</f>
        <v>842.587872422491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IF(B467="Clientes",SUMIFS(PARÂMETROS!$D$8:$D$907,PARÂMETROS!$A$8:$A$907,C467,PARÂMETROS!$G$8:$G$907,J467),SUMIFS(PARÂMETROS!$E$8:$E$907,PARÂMETROS!$A$8:$A$907,C467,PARÂMETROS!$G$8:$G$907,J467))</f>
        <v>0.0325969894436972</v>
      </c>
      <c r="E467" s="21" t="n">
        <f aca="false">SUMIFS(SETORES!$D:$D,SETORES!$A:$A,A467,SETORES!$F:$F,J467)</f>
        <v>45092.662152</v>
      </c>
      <c r="F467" s="21" t="n">
        <f aca="false">IFERROR(D467*E467,0)</f>
        <v>1469.88503215695</v>
      </c>
      <c r="G467" s="9" t="n">
        <f aca="false">SUMIFS(PARÂMETROS!$F$8:$F$907,PARÂMETROS!$A$8:$A$907,C467,PARÂMETROS!$G$8:$G$907,J467)</f>
        <v>0</v>
      </c>
      <c r="H467" s="21" t="n">
        <f aca="false">IFERROR(F467*G467,0)</f>
        <v>0</v>
      </c>
      <c r="I467" s="21" t="n">
        <f aca="false">F467+H467</f>
        <v>1469.88503215695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IF(B468="Clientes",SUMIFS(PARÂMETROS!$D$8:$D$907,PARÂMETROS!$A$8:$A$907,C468,PARÂMETROS!$G$8:$G$907,J468),SUMIFS(PARÂMETROS!$E$8:$E$907,PARÂMETROS!$A$8:$A$907,C468,PARÂMETROS!$G$8:$G$907,J468))</f>
        <v>0.0238472189824856</v>
      </c>
      <c r="E468" s="22" t="n">
        <f aca="false">SUMIFS(SETORES!$D:$D,SETORES!$A:$A,A468,SETORES!$F:$F,J468)</f>
        <v>45092.662152</v>
      </c>
      <c r="F468" s="22" t="n">
        <f aca="false">IFERROR(D468*E468,0)</f>
        <v>1075.33458884198</v>
      </c>
      <c r="G468" s="14" t="n">
        <f aca="false">SUMIFS(PARÂMETROS!$F$8:$F$907,PARÂMETROS!$A$8:$A$907,C468,PARÂMETROS!$G$8:$G$907,J468)</f>
        <v>0</v>
      </c>
      <c r="H468" s="22" t="n">
        <f aca="false">IFERROR(F468*G468,0)</f>
        <v>0</v>
      </c>
      <c r="I468" s="22" t="n">
        <f aca="false">F468+H468</f>
        <v>1075.33458884198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IF(B469="Clientes",SUMIFS(PARÂMETROS!$D$8:$D$907,PARÂMETROS!$A$8:$A$907,C469,PARÂMETROS!$G$8:$G$907,J469),SUMIFS(PARÂMETROS!$E$8:$E$907,PARÂMETROS!$A$8:$A$907,C469,PARÂMETROS!$G$8:$G$907,J469))</f>
        <v>0.0238521819833144</v>
      </c>
      <c r="E469" s="21" t="n">
        <f aca="false">SUMIFS(SETORES!$D:$D,SETORES!$A:$A,A469,SETORES!$F:$F,J469)</f>
        <v>45092.662152</v>
      </c>
      <c r="F469" s="21" t="n">
        <f aca="false">IFERROR(D469*E469,0)</f>
        <v>1075.55838376162</v>
      </c>
      <c r="G469" s="9" t="n">
        <f aca="false">SUMIFS(PARÂMETROS!$F$8:$F$907,PARÂMETROS!$A$8:$A$907,C469,PARÂMETROS!$G$8:$G$907,J469)</f>
        <v>0</v>
      </c>
      <c r="H469" s="21" t="n">
        <f aca="false">IFERROR(F469*G469,0)</f>
        <v>0</v>
      </c>
      <c r="I469" s="21" t="n">
        <f aca="false">F469+H469</f>
        <v>1075.55838376162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IF(B470="Clientes",SUMIFS(PARÂMETROS!$D$8:$D$907,PARÂMETROS!$A$8:$A$907,C470,PARÂMETROS!$G$8:$G$907,J470),SUMIFS(PARÂMETROS!$E$8:$E$907,PARÂMETROS!$A$8:$A$907,C470,PARÂMETROS!$G$8:$G$907,J470))</f>
        <v>0.728270741621214</v>
      </c>
      <c r="E470" s="22" t="n">
        <f aca="false">SUMIFS(SETORES!$D:$D,SETORES!$A:$A,A470,SETORES!$F:$F,J470)</f>
        <v>45092.662152</v>
      </c>
      <c r="F470" s="22" t="n">
        <f aca="false">IFERROR(D470*E470,0)</f>
        <v>32839.6665071119</v>
      </c>
      <c r="G470" s="14" t="n">
        <f aca="false">SUMIFS(PARÂMETROS!$F$8:$F$907,PARÂMETROS!$A$8:$A$907,C470,PARÂMETROS!$G$8:$G$907,J470)</f>
        <v>0</v>
      </c>
      <c r="H470" s="22" t="n">
        <f aca="false">IFERROR(F470*G470,0)</f>
        <v>0</v>
      </c>
      <c r="I470" s="22" t="n">
        <f aca="false">F470+H470</f>
        <v>32839.6665071119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IF(B471="Clientes",SUMIFS(PARÂMETROS!$D$8:$D$907,PARÂMETROS!$A$8:$A$907,C471,PARÂMETROS!$G$8:$G$907,J471),SUMIFS(PARÂMETROS!$E$8:$E$907,PARÂMETROS!$A$8:$A$907,C471,PARÂMETROS!$G$8:$G$907,J471))</f>
        <v>0.0326962494602737</v>
      </c>
      <c r="E471" s="21" t="n">
        <f aca="false">SUMIFS(SETORES!$D:$D,SETORES!$A:$A,A471,SETORES!$F:$F,J471)</f>
        <v>11204.9218</v>
      </c>
      <c r="F471" s="21" t="n">
        <f aca="false">IFERROR(D471*E471,0)</f>
        <v>366.358918355659</v>
      </c>
      <c r="G471" s="9" t="n">
        <f aca="false">SUMIFS(PARÂMETROS!$F$8:$F$907,PARÂMETROS!$A$8:$A$907,C471,PARÂMETROS!$G$8:$G$907,J471)</f>
        <v>0</v>
      </c>
      <c r="H471" s="21" t="n">
        <f aca="false">IFERROR(F471*G471,0)</f>
        <v>0</v>
      </c>
      <c r="I471" s="21" t="n">
        <f aca="false">F471+H471</f>
        <v>366.358918355659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IF(B472="Clientes",SUMIFS(PARÂMETROS!$D$8:$D$907,PARÂMETROS!$A$8:$A$907,C472,PARÂMETROS!$G$8:$G$907,J472),SUMIFS(PARÂMETROS!$E$8:$E$907,PARÂMETROS!$A$8:$A$907,C472,PARÂMETROS!$G$8:$G$907,J472))</f>
        <v>0.06714940121395</v>
      </c>
      <c r="E472" s="22" t="n">
        <f aca="false">SUMIFS(SETORES!$D:$D,SETORES!$A:$A,A472,SETORES!$F:$F,J472)</f>
        <v>11204.9218</v>
      </c>
      <c r="F472" s="22" t="n">
        <f aca="false">IFERROR(D472*E472,0)</f>
        <v>752.403789519135</v>
      </c>
      <c r="G472" s="14" t="n">
        <f aca="false">SUMIFS(PARÂMETROS!$F$8:$F$907,PARÂMETROS!$A$8:$A$907,C472,PARÂMETROS!$G$8:$G$907,J472)</f>
        <v>0</v>
      </c>
      <c r="H472" s="22" t="n">
        <f aca="false">IFERROR(F472*G472,0)</f>
        <v>0</v>
      </c>
      <c r="I472" s="22" t="n">
        <f aca="false">F472+H472</f>
        <v>752.403789519135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IF(B473="Clientes",SUMIFS(PARÂMETROS!$D$8:$D$907,PARÂMETROS!$A$8:$A$907,C473,PARÂMETROS!$G$8:$G$907,J473),SUMIFS(PARÂMETROS!$E$8:$E$907,PARÂMETROS!$A$8:$A$907,C473,PARÂMETROS!$G$8:$G$907,J473))</f>
        <v>0.0729015191745537</v>
      </c>
      <c r="E473" s="21" t="n">
        <f aca="false">SUMIFS(SETORES!$D:$D,SETORES!$A:$A,A473,SETORES!$F:$F,J473)</f>
        <v>11204.9218</v>
      </c>
      <c r="F473" s="21" t="n">
        <f aca="false">IFERROR(D473*E473,0)</f>
        <v>816.855821452075</v>
      </c>
      <c r="G473" s="9" t="n">
        <f aca="false">SUMIFS(PARÂMETROS!$F$8:$F$907,PARÂMETROS!$A$8:$A$907,C473,PARÂMETROS!$G$8:$G$907,J473)</f>
        <v>0</v>
      </c>
      <c r="H473" s="21" t="n">
        <f aca="false">IFERROR(F473*G473,0)</f>
        <v>0</v>
      </c>
      <c r="I473" s="21" t="n">
        <f aca="false">F473+H473</f>
        <v>816.855821452075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IF(B474="Clientes",SUMIFS(PARÂMETROS!$D$8:$D$907,PARÂMETROS!$A$8:$A$907,C474,PARÂMETROS!$G$8:$G$907,J474),SUMIFS(PARÂMETROS!$E$8:$E$907,PARÂMETROS!$A$8:$A$907,C474,PARÂMETROS!$G$8:$G$907,J474))</f>
        <v>0.0186856981205116</v>
      </c>
      <c r="E474" s="22" t="n">
        <f aca="false">SUMIFS(SETORES!$D:$D,SETORES!$A:$A,A474,SETORES!$F:$F,J474)</f>
        <v>11204.9218</v>
      </c>
      <c r="F474" s="22" t="n">
        <f aca="false">IFERROR(D474*E474,0)</f>
        <v>209.371786218739</v>
      </c>
      <c r="G474" s="14" t="n">
        <f aca="false">SUMIFS(PARÂMETROS!$F$8:$F$907,PARÂMETROS!$A$8:$A$907,C474,PARÂMETROS!$G$8:$G$907,J474)</f>
        <v>0</v>
      </c>
      <c r="H474" s="22" t="n">
        <f aca="false">IFERROR(F474*G474,0)</f>
        <v>0</v>
      </c>
      <c r="I474" s="22" t="n">
        <f aca="false">F474+H474</f>
        <v>209.371786218739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IF(B475="Clientes",SUMIFS(PARÂMETROS!$D$8:$D$907,PARÂMETROS!$A$8:$A$907,C475,PARÂMETROS!$G$8:$G$907,J475),SUMIFS(PARÂMETROS!$E$8:$E$907,PARÂMETROS!$A$8:$A$907,C475,PARÂMETROS!$G$8:$G$907,J475))</f>
        <v>0.0325969894436972</v>
      </c>
      <c r="E475" s="21" t="n">
        <f aca="false">SUMIFS(SETORES!$D:$D,SETORES!$A:$A,A475,SETORES!$F:$F,J475)</f>
        <v>11204.9218</v>
      </c>
      <c r="F475" s="21" t="n">
        <f aca="false">IFERROR(D475*E475,0)</f>
        <v>365.246717632053</v>
      </c>
      <c r="G475" s="9" t="n">
        <f aca="false">SUMIFS(PARÂMETROS!$F$8:$F$907,PARÂMETROS!$A$8:$A$907,C475,PARÂMETROS!$G$8:$G$907,J475)</f>
        <v>0</v>
      </c>
      <c r="H475" s="21" t="n">
        <f aca="false">IFERROR(F475*G475,0)</f>
        <v>0</v>
      </c>
      <c r="I475" s="21" t="n">
        <f aca="false">F475+H475</f>
        <v>365.246717632053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IF(B476="Clientes",SUMIFS(PARÂMETROS!$D$8:$D$907,PARÂMETROS!$A$8:$A$907,C476,PARÂMETROS!$G$8:$G$907,J476),SUMIFS(PARÂMETROS!$E$8:$E$907,PARÂMETROS!$A$8:$A$907,C476,PARÂMETROS!$G$8:$G$907,J476))</f>
        <v>0.0238472189824856</v>
      </c>
      <c r="E476" s="22" t="n">
        <f aca="false">SUMIFS(SETORES!$D:$D,SETORES!$A:$A,A476,SETORES!$F:$F,J476)</f>
        <v>11204.9218</v>
      </c>
      <c r="F476" s="22" t="n">
        <f aca="false">IFERROR(D476*E476,0)</f>
        <v>267.206223846226</v>
      </c>
      <c r="G476" s="14" t="n">
        <f aca="false">SUMIFS(PARÂMETROS!$F$8:$F$907,PARÂMETROS!$A$8:$A$907,C476,PARÂMETROS!$G$8:$G$907,J476)</f>
        <v>0</v>
      </c>
      <c r="H476" s="22" t="n">
        <f aca="false">IFERROR(F476*G476,0)</f>
        <v>0</v>
      </c>
      <c r="I476" s="22" t="n">
        <f aca="false">F476+H476</f>
        <v>267.206223846226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IF(B477="Clientes",SUMIFS(PARÂMETROS!$D$8:$D$907,PARÂMETROS!$A$8:$A$907,C477,PARÂMETROS!$G$8:$G$907,J477),SUMIFS(PARÂMETROS!$E$8:$E$907,PARÂMETROS!$A$8:$A$907,C477,PARÂMETROS!$G$8:$G$907,J477))</f>
        <v>0.0238521819833144</v>
      </c>
      <c r="E477" s="21" t="n">
        <f aca="false">SUMIFS(SETORES!$D:$D,SETORES!$A:$A,A477,SETORES!$F:$F,J477)</f>
        <v>11204.9218</v>
      </c>
      <c r="F477" s="21" t="n">
        <f aca="false">IFERROR(D477*E477,0)</f>
        <v>267.261833882407</v>
      </c>
      <c r="G477" s="9" t="n">
        <f aca="false">SUMIFS(PARÂMETROS!$F$8:$F$907,PARÂMETROS!$A$8:$A$907,C477,PARÂMETROS!$G$8:$G$907,J477)</f>
        <v>0</v>
      </c>
      <c r="H477" s="21" t="n">
        <f aca="false">IFERROR(F477*G477,0)</f>
        <v>0</v>
      </c>
      <c r="I477" s="21" t="n">
        <f aca="false">F477+H477</f>
        <v>267.261833882407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IF(B478="Clientes",SUMIFS(PARÂMETROS!$D$8:$D$907,PARÂMETROS!$A$8:$A$907,C478,PARÂMETROS!$G$8:$G$907,J478),SUMIFS(PARÂMETROS!$E$8:$E$907,PARÂMETROS!$A$8:$A$907,C478,PARÂMETROS!$G$8:$G$907,J478))</f>
        <v>0.728270741621214</v>
      </c>
      <c r="E478" s="22" t="n">
        <f aca="false">SUMIFS(SETORES!$D:$D,SETORES!$A:$A,A478,SETORES!$F:$F,J478)</f>
        <v>11204.9218</v>
      </c>
      <c r="F478" s="22" t="n">
        <f aca="false">IFERROR(D478*E478,0)</f>
        <v>8160.21670909371</v>
      </c>
      <c r="G478" s="14" t="n">
        <f aca="false">SUMIFS(PARÂMETROS!$F$8:$F$907,PARÂMETROS!$A$8:$A$907,C478,PARÂMETROS!$G$8:$G$907,J478)</f>
        <v>0</v>
      </c>
      <c r="H478" s="22" t="n">
        <f aca="false">IFERROR(F478*G478,0)</f>
        <v>0</v>
      </c>
      <c r="I478" s="22" t="n">
        <f aca="false">F478+H478</f>
        <v>8160.21670909371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IF(B479="Clientes",SUMIFS(PARÂMETROS!$D$8:$D$907,PARÂMETROS!$A$8:$A$907,C479,PARÂMETROS!$G$8:$G$907,J479),SUMIFS(PARÂMETROS!$E$8:$E$907,PARÂMETROS!$A$8:$A$907,C479,PARÂMETROS!$G$8:$G$907,J479))</f>
        <v>0.0326962494602737</v>
      </c>
      <c r="E479" s="21" t="n">
        <f aca="false">SUMIFS(SETORES!$D:$D,SETORES!$A:$A,A479,SETORES!$F:$F,J479)</f>
        <v>75309.6884</v>
      </c>
      <c r="F479" s="21" t="n">
        <f aca="false">IFERROR(D479*E479,0)</f>
        <v>2462.34435870188</v>
      </c>
      <c r="G479" s="9" t="n">
        <f aca="false">SUMIFS(PARÂMETROS!$F$8:$F$907,PARÂMETROS!$A$8:$A$907,C479,PARÂMETROS!$G$8:$G$907,J479)</f>
        <v>0</v>
      </c>
      <c r="H479" s="21" t="n">
        <f aca="false">IFERROR(F479*G479,0)</f>
        <v>0</v>
      </c>
      <c r="I479" s="21" t="n">
        <f aca="false">F479+H479</f>
        <v>2462.34435870188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IF(B480="Clientes",SUMIFS(PARÂMETROS!$D$8:$D$907,PARÂMETROS!$A$8:$A$907,C480,PARÂMETROS!$G$8:$G$907,J480),SUMIFS(PARÂMETROS!$E$8:$E$907,PARÂMETROS!$A$8:$A$907,C480,PARÂMETROS!$G$8:$G$907,J480))</f>
        <v>0.06714940121395</v>
      </c>
      <c r="E480" s="22" t="n">
        <f aca="false">SUMIFS(SETORES!$D:$D,SETORES!$A:$A,A480,SETORES!$F:$F,J480)</f>
        <v>75309.6884</v>
      </c>
      <c r="F480" s="22" t="n">
        <f aca="false">IFERROR(D480*E480,0)</f>
        <v>5057.00048166916</v>
      </c>
      <c r="G480" s="14" t="n">
        <f aca="false">SUMIFS(PARÂMETROS!$F$8:$F$907,PARÂMETROS!$A$8:$A$907,C480,PARÂMETROS!$G$8:$G$907,J480)</f>
        <v>0</v>
      </c>
      <c r="H480" s="22" t="n">
        <f aca="false">IFERROR(F480*G480,0)</f>
        <v>0</v>
      </c>
      <c r="I480" s="22" t="n">
        <f aca="false">F480+H480</f>
        <v>5057.00048166916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IF(B481="Clientes",SUMIFS(PARÂMETROS!$D$8:$D$907,PARÂMETROS!$A$8:$A$907,C481,PARÂMETROS!$G$8:$G$907,J481),SUMIFS(PARÂMETROS!$E$8:$E$907,PARÂMETROS!$A$8:$A$907,C481,PARÂMETROS!$G$8:$G$907,J481))</f>
        <v>0.0729015191745537</v>
      </c>
      <c r="E481" s="21" t="n">
        <f aca="false">SUMIFS(SETORES!$D:$D,SETORES!$A:$A,A481,SETORES!$F:$F,J481)</f>
        <v>75309.6884</v>
      </c>
      <c r="F481" s="21" t="n">
        <f aca="false">IFERROR(D481*E481,0)</f>
        <v>5490.19069292226</v>
      </c>
      <c r="G481" s="9" t="n">
        <f aca="false">SUMIFS(PARÂMETROS!$F$8:$F$907,PARÂMETROS!$A$8:$A$907,C481,PARÂMETROS!$G$8:$G$907,J481)</f>
        <v>0</v>
      </c>
      <c r="H481" s="21" t="n">
        <f aca="false">IFERROR(F481*G481,0)</f>
        <v>0</v>
      </c>
      <c r="I481" s="21" t="n">
        <f aca="false">F481+H481</f>
        <v>5490.19069292226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IF(B482="Clientes",SUMIFS(PARÂMETROS!$D$8:$D$907,PARÂMETROS!$A$8:$A$907,C482,PARÂMETROS!$G$8:$G$907,J482),SUMIFS(PARÂMETROS!$E$8:$E$907,PARÂMETROS!$A$8:$A$907,C482,PARÂMETROS!$G$8:$G$907,J482))</f>
        <v>0.0186856981205116</v>
      </c>
      <c r="E482" s="22" t="n">
        <f aca="false">SUMIFS(SETORES!$D:$D,SETORES!$A:$A,A482,SETORES!$F:$F,J482)</f>
        <v>75309.6884</v>
      </c>
      <c r="F482" s="22" t="n">
        <f aca="false">IFERROR(D482*E482,0)</f>
        <v>1407.21410299219</v>
      </c>
      <c r="G482" s="14" t="n">
        <f aca="false">SUMIFS(PARÂMETROS!$F$8:$F$907,PARÂMETROS!$A$8:$A$907,C482,PARÂMETROS!$G$8:$G$907,J482)</f>
        <v>0</v>
      </c>
      <c r="H482" s="22" t="n">
        <f aca="false">IFERROR(F482*G482,0)</f>
        <v>0</v>
      </c>
      <c r="I482" s="22" t="n">
        <f aca="false">F482+H482</f>
        <v>1407.21410299219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IF(B483="Clientes",SUMIFS(PARÂMETROS!$D$8:$D$907,PARÂMETROS!$A$8:$A$907,C483,PARÂMETROS!$G$8:$G$907,J483),SUMIFS(PARÂMETROS!$E$8:$E$907,PARÂMETROS!$A$8:$A$907,C483,PARÂMETROS!$G$8:$G$907,J483))</f>
        <v>0.0325969894436972</v>
      </c>
      <c r="E483" s="21" t="n">
        <f aca="false">SUMIFS(SETORES!$D:$D,SETORES!$A:$A,A483,SETORES!$F:$F,J483)</f>
        <v>75309.6884</v>
      </c>
      <c r="F483" s="21" t="n">
        <f aca="false">IFERROR(D483*E483,0)</f>
        <v>2454.86911778293</v>
      </c>
      <c r="G483" s="9" t="n">
        <f aca="false">SUMIFS(PARÂMETROS!$F$8:$F$907,PARÂMETROS!$A$8:$A$907,C483,PARÂMETROS!$G$8:$G$907,J483)</f>
        <v>0</v>
      </c>
      <c r="H483" s="21" t="n">
        <f aca="false">IFERROR(F483*G483,0)</f>
        <v>0</v>
      </c>
      <c r="I483" s="21" t="n">
        <f aca="false">F483+H483</f>
        <v>2454.86911778293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IF(B484="Clientes",SUMIFS(PARÂMETROS!$D$8:$D$907,PARÂMETROS!$A$8:$A$907,C484,PARÂMETROS!$G$8:$G$907,J484),SUMIFS(PARÂMETROS!$E$8:$E$907,PARÂMETROS!$A$8:$A$907,C484,PARÂMETROS!$G$8:$G$907,J484))</f>
        <v>0.0238472189824856</v>
      </c>
      <c r="E484" s="22" t="n">
        <f aca="false">SUMIFS(SETORES!$D:$D,SETORES!$A:$A,A484,SETORES!$F:$F,J484)</f>
        <v>75309.6884</v>
      </c>
      <c r="F484" s="22" t="n">
        <f aca="false">IFERROR(D484*E484,0)</f>
        <v>1795.92663077755</v>
      </c>
      <c r="G484" s="14" t="n">
        <f aca="false">SUMIFS(PARÂMETROS!$F$8:$F$907,PARÂMETROS!$A$8:$A$907,C484,PARÂMETROS!$G$8:$G$907,J484)</f>
        <v>0</v>
      </c>
      <c r="H484" s="22" t="n">
        <f aca="false">IFERROR(F484*G484,0)</f>
        <v>0</v>
      </c>
      <c r="I484" s="22" t="n">
        <f aca="false">F484+H484</f>
        <v>1795.92663077755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IF(B485="Clientes",SUMIFS(PARÂMETROS!$D$8:$D$907,PARÂMETROS!$A$8:$A$907,C485,PARÂMETROS!$G$8:$G$907,J485),SUMIFS(PARÂMETROS!$E$8:$E$907,PARÂMETROS!$A$8:$A$907,C485,PARÂMETROS!$G$8:$G$907,J485))</f>
        <v>0.0238521819833144</v>
      </c>
      <c r="E485" s="21" t="n">
        <f aca="false">SUMIFS(SETORES!$D:$D,SETORES!$A:$A,A485,SETORES!$F:$F,J485)</f>
        <v>75309.6884</v>
      </c>
      <c r="F485" s="21" t="n">
        <f aca="false">IFERROR(D485*E485,0)</f>
        <v>1796.3003928235</v>
      </c>
      <c r="G485" s="9" t="n">
        <f aca="false">SUMIFS(PARÂMETROS!$F$8:$F$907,PARÂMETROS!$A$8:$A$907,C485,PARÂMETROS!$G$8:$G$907,J485)</f>
        <v>0</v>
      </c>
      <c r="H485" s="21" t="n">
        <f aca="false">IFERROR(F485*G485,0)</f>
        <v>0</v>
      </c>
      <c r="I485" s="21" t="n">
        <f aca="false">F485+H485</f>
        <v>1796.3003928235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IF(B486="Clientes",SUMIFS(PARÂMETROS!$D$8:$D$907,PARÂMETROS!$A$8:$A$907,C486,PARÂMETROS!$G$8:$G$907,J486),SUMIFS(PARÂMETROS!$E$8:$E$907,PARÂMETROS!$A$8:$A$907,C486,PARÂMETROS!$G$8:$G$907,J486))</f>
        <v>0.728270741621214</v>
      </c>
      <c r="E486" s="22" t="n">
        <f aca="false">SUMIFS(SETORES!$D:$D,SETORES!$A:$A,A486,SETORES!$F:$F,J486)</f>
        <v>75309.6884</v>
      </c>
      <c r="F486" s="22" t="n">
        <f aca="false">IFERROR(D486*E486,0)</f>
        <v>54845.8426223305</v>
      </c>
      <c r="G486" s="14" t="n">
        <f aca="false">SUMIFS(PARÂMETROS!$F$8:$F$907,PARÂMETROS!$A$8:$A$907,C486,PARÂMETROS!$G$8:$G$907,J486)</f>
        <v>0</v>
      </c>
      <c r="H486" s="22" t="n">
        <f aca="false">IFERROR(F486*G486,0)</f>
        <v>0</v>
      </c>
      <c r="I486" s="22" t="n">
        <f aca="false">F486+H486</f>
        <v>54845.8426223305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IF(B487="Clientes",SUMIFS(PARÂMETROS!$D$8:$D$907,PARÂMETROS!$A$8:$A$907,C487,PARÂMETROS!$G$8:$G$907,J487),SUMIFS(PARÂMETROS!$E$8:$E$907,PARÂMETROS!$A$8:$A$907,C487,PARÂMETROS!$G$8:$G$907,J487))</f>
        <v>0.0326962494602737</v>
      </c>
      <c r="E487" s="21" t="n">
        <f aca="false">SUMIFS(SETORES!$D:$D,SETORES!$A:$A,A487,SETORES!$F:$F,J487)</f>
        <v>162494.876084</v>
      </c>
      <c r="F487" s="21" t="n">
        <f aca="false">IFERROR(D487*E487,0)</f>
        <v>5312.97300445872</v>
      </c>
      <c r="G487" s="9" t="n">
        <f aca="false">SUMIFS(PARÂMETROS!$F$8:$F$907,PARÂMETROS!$A$8:$A$907,C487,PARÂMETROS!$G$8:$G$907,J487)</f>
        <v>0</v>
      </c>
      <c r="H487" s="21" t="n">
        <f aca="false">IFERROR(F487*G487,0)</f>
        <v>0</v>
      </c>
      <c r="I487" s="21" t="n">
        <f aca="false">F487+H487</f>
        <v>5312.97300445872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IF(B488="Clientes",SUMIFS(PARÂMETROS!$D$8:$D$907,PARÂMETROS!$A$8:$A$907,C488,PARÂMETROS!$G$8:$G$907,J488),SUMIFS(PARÂMETROS!$E$8:$E$907,PARÂMETROS!$A$8:$A$907,C488,PARÂMETROS!$G$8:$G$907,J488))</f>
        <v>0.06714940121395</v>
      </c>
      <c r="E488" s="22" t="n">
        <f aca="false">SUMIFS(SETORES!$D:$D,SETORES!$A:$A,A488,SETORES!$F:$F,J488)</f>
        <v>162494.876084</v>
      </c>
      <c r="F488" s="22" t="n">
        <f aca="false">IFERROR(D488*E488,0)</f>
        <v>10911.4336293756</v>
      </c>
      <c r="G488" s="14" t="n">
        <f aca="false">SUMIFS(PARÂMETROS!$F$8:$F$907,PARÂMETROS!$A$8:$A$907,C488,PARÂMETROS!$G$8:$G$907,J488)</f>
        <v>0</v>
      </c>
      <c r="H488" s="22" t="n">
        <f aca="false">IFERROR(F488*G488,0)</f>
        <v>0</v>
      </c>
      <c r="I488" s="22" t="n">
        <f aca="false">F488+H488</f>
        <v>10911.4336293756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IF(B489="Clientes",SUMIFS(PARÂMETROS!$D$8:$D$907,PARÂMETROS!$A$8:$A$907,C489,PARÂMETROS!$G$8:$G$907,J489),SUMIFS(PARÂMETROS!$E$8:$E$907,PARÂMETROS!$A$8:$A$907,C489,PARÂMETROS!$G$8:$G$907,J489))</f>
        <v>0.0729015191745537</v>
      </c>
      <c r="E489" s="21" t="n">
        <f aca="false">SUMIFS(SETORES!$D:$D,SETORES!$A:$A,A489,SETORES!$F:$F,J489)</f>
        <v>162494.876084</v>
      </c>
      <c r="F489" s="21" t="n">
        <f aca="false">IFERROR(D489*E489,0)</f>
        <v>11846.1233246045</v>
      </c>
      <c r="G489" s="9" t="n">
        <f aca="false">SUMIFS(PARÂMETROS!$F$8:$F$907,PARÂMETROS!$A$8:$A$907,C489,PARÂMETROS!$G$8:$G$907,J489)</f>
        <v>0</v>
      </c>
      <c r="H489" s="21" t="n">
        <f aca="false">IFERROR(F489*G489,0)</f>
        <v>0</v>
      </c>
      <c r="I489" s="21" t="n">
        <f aca="false">F489+H489</f>
        <v>11846.1233246045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IF(B490="Clientes",SUMIFS(PARÂMETROS!$D$8:$D$907,PARÂMETROS!$A$8:$A$907,C490,PARÂMETROS!$G$8:$G$907,J490),SUMIFS(PARÂMETROS!$E$8:$E$907,PARÂMETROS!$A$8:$A$907,C490,PARÂMETROS!$G$8:$G$907,J490))</f>
        <v>0.0186856981205116</v>
      </c>
      <c r="E490" s="22" t="n">
        <f aca="false">SUMIFS(SETORES!$D:$D,SETORES!$A:$A,A490,SETORES!$F:$F,J490)</f>
        <v>162494.876084</v>
      </c>
      <c r="F490" s="22" t="n">
        <f aca="false">IFERROR(D490*E490,0)</f>
        <v>3036.33020063556</v>
      </c>
      <c r="G490" s="14" t="n">
        <f aca="false">SUMIFS(PARÂMETROS!$F$8:$F$907,PARÂMETROS!$A$8:$A$907,C490,PARÂMETROS!$G$8:$G$907,J490)</f>
        <v>0</v>
      </c>
      <c r="H490" s="22" t="n">
        <f aca="false">IFERROR(F490*G490,0)</f>
        <v>0</v>
      </c>
      <c r="I490" s="22" t="n">
        <f aca="false">F490+H490</f>
        <v>3036.33020063556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IF(B491="Clientes",SUMIFS(PARÂMETROS!$D$8:$D$907,PARÂMETROS!$A$8:$A$907,C491,PARÂMETROS!$G$8:$G$907,J491),SUMIFS(PARÂMETROS!$E$8:$E$907,PARÂMETROS!$A$8:$A$907,C491,PARÂMETROS!$G$8:$G$907,J491))</f>
        <v>0.0325969894436972</v>
      </c>
      <c r="E491" s="21" t="n">
        <f aca="false">SUMIFS(SETORES!$D:$D,SETORES!$A:$A,A491,SETORES!$F:$F,J491)</f>
        <v>162494.876084</v>
      </c>
      <c r="F491" s="21" t="n">
        <f aca="false">IFERROR(D491*E491,0)</f>
        <v>5296.84376036504</v>
      </c>
      <c r="G491" s="9" t="n">
        <f aca="false">SUMIFS(PARÂMETROS!$F$8:$F$907,PARÂMETROS!$A$8:$A$907,C491,PARÂMETROS!$G$8:$G$907,J491)</f>
        <v>0</v>
      </c>
      <c r="H491" s="21" t="n">
        <f aca="false">IFERROR(F491*G491,0)</f>
        <v>0</v>
      </c>
      <c r="I491" s="21" t="n">
        <f aca="false">F491+H491</f>
        <v>5296.84376036504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IF(B492="Clientes",SUMIFS(PARÂMETROS!$D$8:$D$907,PARÂMETROS!$A$8:$A$907,C492,PARÂMETROS!$G$8:$G$907,J492),SUMIFS(PARÂMETROS!$E$8:$E$907,PARÂMETROS!$A$8:$A$907,C492,PARÂMETROS!$G$8:$G$907,J492))</f>
        <v>0.0238472189824856</v>
      </c>
      <c r="E492" s="22" t="n">
        <f aca="false">SUMIFS(SETORES!$D:$D,SETORES!$A:$A,A492,SETORES!$F:$F,J492)</f>
        <v>162494.876084</v>
      </c>
      <c r="F492" s="22" t="n">
        <f aca="false">IFERROR(D492*E492,0)</f>
        <v>3875.05089350701</v>
      </c>
      <c r="G492" s="14" t="n">
        <f aca="false">SUMIFS(PARÂMETROS!$F$8:$F$907,PARÂMETROS!$A$8:$A$907,C492,PARÂMETROS!$G$8:$G$907,J492)</f>
        <v>0</v>
      </c>
      <c r="H492" s="22" t="n">
        <f aca="false">IFERROR(F492*G492,0)</f>
        <v>0</v>
      </c>
      <c r="I492" s="22" t="n">
        <f aca="false">F492+H492</f>
        <v>3875.05089350701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IF(B493="Clientes",SUMIFS(PARÂMETROS!$D$8:$D$907,PARÂMETROS!$A$8:$A$907,C493,PARÂMETROS!$G$8:$G$907,J493),SUMIFS(PARÂMETROS!$E$8:$E$907,PARÂMETROS!$A$8:$A$907,C493,PARÂMETROS!$G$8:$G$907,J493))</f>
        <v>0.0238521819833144</v>
      </c>
      <c r="E493" s="21" t="n">
        <f aca="false">SUMIFS(SETORES!$D:$D,SETORES!$A:$A,A493,SETORES!$F:$F,J493)</f>
        <v>162494.876084</v>
      </c>
      <c r="F493" s="21" t="n">
        <f aca="false">IFERROR(D493*E493,0)</f>
        <v>3875.85735571169</v>
      </c>
      <c r="G493" s="9" t="n">
        <f aca="false">SUMIFS(PARÂMETROS!$F$8:$F$907,PARÂMETROS!$A$8:$A$907,C493,PARÂMETROS!$G$8:$G$907,J493)</f>
        <v>0</v>
      </c>
      <c r="H493" s="21" t="n">
        <f aca="false">IFERROR(F493*G493,0)</f>
        <v>0</v>
      </c>
      <c r="I493" s="21" t="n">
        <f aca="false">F493+H493</f>
        <v>3875.85735571169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IF(B494="Clientes",SUMIFS(PARÂMETROS!$D$8:$D$907,PARÂMETROS!$A$8:$A$907,C494,PARÂMETROS!$G$8:$G$907,J494),SUMIFS(PARÂMETROS!$E$8:$E$907,PARÂMETROS!$A$8:$A$907,C494,PARÂMETROS!$G$8:$G$907,J494))</f>
        <v>0.728270741621214</v>
      </c>
      <c r="E494" s="22" t="n">
        <f aca="false">SUMIFS(SETORES!$D:$D,SETORES!$A:$A,A494,SETORES!$F:$F,J494)</f>
        <v>162494.876084</v>
      </c>
      <c r="F494" s="22" t="n">
        <f aca="false">IFERROR(D494*E494,0)</f>
        <v>118340.263915342</v>
      </c>
      <c r="G494" s="14" t="n">
        <f aca="false">SUMIFS(PARÂMETROS!$F$8:$F$907,PARÂMETROS!$A$8:$A$907,C494,PARÂMETROS!$G$8:$G$907,J494)</f>
        <v>0</v>
      </c>
      <c r="H494" s="22" t="n">
        <f aca="false">IFERROR(F494*G494,0)</f>
        <v>0</v>
      </c>
      <c r="I494" s="22" t="n">
        <f aca="false">F494+H494</f>
        <v>118340.263915342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IF(B495="Clientes",SUMIFS(PARÂMETROS!$D$8:$D$907,PARÂMETROS!$A$8:$A$907,C495,PARÂMETROS!$G$8:$G$907,J495),SUMIFS(PARÂMETROS!$E$8:$E$907,PARÂMETROS!$A$8:$A$907,C495,PARÂMETROS!$G$8:$G$907,J495))</f>
        <v>0.0326962494602737</v>
      </c>
      <c r="E495" s="21" t="n">
        <f aca="false">SUMIFS(SETORES!$D:$D,SETORES!$A:$A,A495,SETORES!$F:$F,J495)</f>
        <v>43123.897386</v>
      </c>
      <c r="F495" s="21" t="n">
        <f aca="false">IFERROR(D495*E495,0)</f>
        <v>1409.9897066319</v>
      </c>
      <c r="G495" s="9" t="n">
        <f aca="false">SUMIFS(PARÂMETROS!$F$8:$F$907,PARÂMETROS!$A$8:$A$907,C495,PARÂMETROS!$G$8:$G$907,J495)</f>
        <v>0</v>
      </c>
      <c r="H495" s="21" t="n">
        <f aca="false">IFERROR(F495*G495,0)</f>
        <v>0</v>
      </c>
      <c r="I495" s="21" t="n">
        <f aca="false">F495+H495</f>
        <v>1409.9897066319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IF(B496="Clientes",SUMIFS(PARÂMETROS!$D$8:$D$907,PARÂMETROS!$A$8:$A$907,C496,PARÂMETROS!$G$8:$G$907,J496),SUMIFS(PARÂMETROS!$E$8:$E$907,PARÂMETROS!$A$8:$A$907,C496,PARÂMETROS!$G$8:$G$907,J496))</f>
        <v>0.06714940121395</v>
      </c>
      <c r="E496" s="22" t="n">
        <f aca="false">SUMIFS(SETORES!$D:$D,SETORES!$A:$A,A496,SETORES!$F:$F,J496)</f>
        <v>43123.897386</v>
      </c>
      <c r="F496" s="22" t="n">
        <f aca="false">IFERROR(D496*E496,0)</f>
        <v>2895.74388748172</v>
      </c>
      <c r="G496" s="14" t="n">
        <f aca="false">SUMIFS(PARÂMETROS!$F$8:$F$907,PARÂMETROS!$A$8:$A$907,C496,PARÂMETROS!$G$8:$G$907,J496)</f>
        <v>0</v>
      </c>
      <c r="H496" s="22" t="n">
        <f aca="false">IFERROR(F496*G496,0)</f>
        <v>0</v>
      </c>
      <c r="I496" s="22" t="n">
        <f aca="false">F496+H496</f>
        <v>2895.74388748172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IF(B497="Clientes",SUMIFS(PARÂMETROS!$D$8:$D$907,PARÂMETROS!$A$8:$A$907,C497,PARÂMETROS!$G$8:$G$907,J497),SUMIFS(PARÂMETROS!$E$8:$E$907,PARÂMETROS!$A$8:$A$907,C497,PARÂMETROS!$G$8:$G$907,J497))</f>
        <v>0.0729015191745537</v>
      </c>
      <c r="E497" s="21" t="n">
        <f aca="false">SUMIFS(SETORES!$D:$D,SETORES!$A:$A,A497,SETORES!$F:$F,J497)</f>
        <v>43123.897386</v>
      </c>
      <c r="F497" s="21" t="n">
        <f aca="false">IFERROR(D497*E497,0)</f>
        <v>3143.79763216697</v>
      </c>
      <c r="G497" s="9" t="n">
        <f aca="false">SUMIFS(PARÂMETROS!$F$8:$F$907,PARÂMETROS!$A$8:$A$907,C497,PARÂMETROS!$G$8:$G$907,J497)</f>
        <v>0</v>
      </c>
      <c r="H497" s="21" t="n">
        <f aca="false">IFERROR(F497*G497,0)</f>
        <v>0</v>
      </c>
      <c r="I497" s="21" t="n">
        <f aca="false">F497+H497</f>
        <v>3143.79763216697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IF(B498="Clientes",SUMIFS(PARÂMETROS!$D$8:$D$907,PARÂMETROS!$A$8:$A$907,C498,PARÂMETROS!$G$8:$G$907,J498),SUMIFS(PARÂMETROS!$E$8:$E$907,PARÂMETROS!$A$8:$A$907,C498,PARÂMETROS!$G$8:$G$907,J498))</f>
        <v>0.0186856981205116</v>
      </c>
      <c r="E498" s="22" t="n">
        <f aca="false">SUMIFS(SETORES!$D:$D,SETORES!$A:$A,A498,SETORES!$F:$F,J498)</f>
        <v>43123.897386</v>
      </c>
      <c r="F498" s="22" t="n">
        <f aca="false">IFERROR(D498*E498,0)</f>
        <v>805.800128334715</v>
      </c>
      <c r="G498" s="14" t="n">
        <f aca="false">SUMIFS(PARÂMETROS!$F$8:$F$907,PARÂMETROS!$A$8:$A$907,C498,PARÂMETROS!$G$8:$G$907,J498)</f>
        <v>0</v>
      </c>
      <c r="H498" s="22" t="n">
        <f aca="false">IFERROR(F498*G498,0)</f>
        <v>0</v>
      </c>
      <c r="I498" s="22" t="n">
        <f aca="false">F498+H498</f>
        <v>805.800128334715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IF(B499="Clientes",SUMIFS(PARÂMETROS!$D$8:$D$907,PARÂMETROS!$A$8:$A$907,C499,PARÂMETROS!$G$8:$G$907,J499),SUMIFS(PARÂMETROS!$E$8:$E$907,PARÂMETROS!$A$8:$A$907,C499,PARÂMETROS!$G$8:$G$907,J499))</f>
        <v>0.0325969894436972</v>
      </c>
      <c r="E499" s="21" t="n">
        <f aca="false">SUMIFS(SETORES!$D:$D,SETORES!$A:$A,A499,SETORES!$F:$F,J499)</f>
        <v>43123.897386</v>
      </c>
      <c r="F499" s="21" t="n">
        <f aca="false">IFERROR(D499*E499,0)</f>
        <v>1405.70922786252</v>
      </c>
      <c r="G499" s="9" t="n">
        <f aca="false">SUMIFS(PARÂMETROS!$F$8:$F$907,PARÂMETROS!$A$8:$A$907,C499,PARÂMETROS!$G$8:$G$907,J499)</f>
        <v>0</v>
      </c>
      <c r="H499" s="21" t="n">
        <f aca="false">IFERROR(F499*G499,0)</f>
        <v>0</v>
      </c>
      <c r="I499" s="21" t="n">
        <f aca="false">F499+H499</f>
        <v>1405.70922786252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IF(B500="Clientes",SUMIFS(PARÂMETROS!$D$8:$D$907,PARÂMETROS!$A$8:$A$907,C500,PARÂMETROS!$G$8:$G$907,J500),SUMIFS(PARÂMETROS!$E$8:$E$907,PARÂMETROS!$A$8:$A$907,C500,PARÂMETROS!$G$8:$G$907,J500))</f>
        <v>0.0238472189824856</v>
      </c>
      <c r="E500" s="22" t="n">
        <f aca="false">SUMIFS(SETORES!$D:$D,SETORES!$A:$A,A500,SETORES!$F:$F,J500)</f>
        <v>43123.897386</v>
      </c>
      <c r="F500" s="22" t="n">
        <f aca="false">IFERROR(D500*E500,0)</f>
        <v>1028.38502434218</v>
      </c>
      <c r="G500" s="14" t="n">
        <f aca="false">SUMIFS(PARÂMETROS!$F$8:$F$907,PARÂMETROS!$A$8:$A$907,C500,PARÂMETROS!$G$8:$G$907,J500)</f>
        <v>0</v>
      </c>
      <c r="H500" s="22" t="n">
        <f aca="false">IFERROR(F500*G500,0)</f>
        <v>0</v>
      </c>
      <c r="I500" s="22" t="n">
        <f aca="false">F500+H500</f>
        <v>1028.38502434218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IF(B501="Clientes",SUMIFS(PARÂMETROS!$D$8:$D$907,PARÂMETROS!$A$8:$A$907,C501,PARÂMETROS!$G$8:$G$907,J501),SUMIFS(PARÂMETROS!$E$8:$E$907,PARÂMETROS!$A$8:$A$907,C501,PARÂMETROS!$G$8:$G$907,J501))</f>
        <v>0.0238521819833144</v>
      </c>
      <c r="E501" s="21" t="n">
        <f aca="false">SUMIFS(SETORES!$D:$D,SETORES!$A:$A,A501,SETORES!$F:$F,J501)</f>
        <v>43123.897386</v>
      </c>
      <c r="F501" s="21" t="n">
        <f aca="false">IFERROR(D501*E501,0)</f>
        <v>1028.59904828065</v>
      </c>
      <c r="G501" s="9" t="n">
        <f aca="false">SUMIFS(PARÂMETROS!$F$8:$F$907,PARÂMETROS!$A$8:$A$907,C501,PARÂMETROS!$G$8:$G$907,J501)</f>
        <v>0</v>
      </c>
      <c r="H501" s="21" t="n">
        <f aca="false">IFERROR(F501*G501,0)</f>
        <v>0</v>
      </c>
      <c r="I501" s="21" t="n">
        <f aca="false">F501+H501</f>
        <v>1028.59904828065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IF(B502="Clientes",SUMIFS(PARÂMETROS!$D$8:$D$907,PARÂMETROS!$A$8:$A$907,C502,PARÂMETROS!$G$8:$G$907,J502),SUMIFS(PARÂMETROS!$E$8:$E$907,PARÂMETROS!$A$8:$A$907,C502,PARÂMETROS!$G$8:$G$907,J502))</f>
        <v>0.728270741621214</v>
      </c>
      <c r="E502" s="22" t="n">
        <f aca="false">SUMIFS(SETORES!$D:$D,SETORES!$A:$A,A502,SETORES!$F:$F,J502)</f>
        <v>43123.897386</v>
      </c>
      <c r="F502" s="22" t="n">
        <f aca="false">IFERROR(D502*E502,0)</f>
        <v>31405.8727308993</v>
      </c>
      <c r="G502" s="14" t="n">
        <f aca="false">SUMIFS(PARÂMETROS!$F$8:$F$907,PARÂMETROS!$A$8:$A$907,C502,PARÂMETROS!$G$8:$G$907,J502)</f>
        <v>0</v>
      </c>
      <c r="H502" s="22" t="n">
        <f aca="false">IFERROR(F502*G502,0)</f>
        <v>0</v>
      </c>
      <c r="I502" s="22" t="n">
        <f aca="false">F502+H502</f>
        <v>31405.8727308993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IF(B503="Clientes",SUMIFS(PARÂMETROS!$D$8:$D$907,PARÂMETROS!$A$8:$A$907,C503,PARÂMETROS!$G$8:$G$907,J503),SUMIFS(PARÂMETROS!$E$8:$E$907,PARÂMETROS!$A$8:$A$907,C503,PARÂMETROS!$G$8:$G$907,J503))</f>
        <v>0.0326962494602737</v>
      </c>
      <c r="E503" s="21" t="n">
        <f aca="false">SUMIFS(SETORES!$D:$D,SETORES!$A:$A,A503,SETORES!$F:$F,J503)</f>
        <v>52493.491479</v>
      </c>
      <c r="F503" s="21" t="n">
        <f aca="false">IFERROR(D503*E503,0)</f>
        <v>1716.34029243813</v>
      </c>
      <c r="G503" s="9" t="n">
        <f aca="false">SUMIFS(PARÂMETROS!$F$8:$F$907,PARÂMETROS!$A$8:$A$907,C503,PARÂMETROS!$G$8:$G$907,J503)</f>
        <v>0</v>
      </c>
      <c r="H503" s="21" t="n">
        <f aca="false">IFERROR(F503*G503,0)</f>
        <v>0</v>
      </c>
      <c r="I503" s="21" t="n">
        <f aca="false">F503+H503</f>
        <v>1716.34029243813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IF(B504="Clientes",SUMIFS(PARÂMETROS!$D$8:$D$907,PARÂMETROS!$A$8:$A$907,C504,PARÂMETROS!$G$8:$G$907,J504),SUMIFS(PARÂMETROS!$E$8:$E$907,PARÂMETROS!$A$8:$A$907,C504,PARÂMETROS!$G$8:$G$907,J504))</f>
        <v>0.06714940121395</v>
      </c>
      <c r="E504" s="22" t="n">
        <f aca="false">SUMIFS(SETORES!$D:$D,SETORES!$A:$A,A504,SETORES!$F:$F,J504)</f>
        <v>52493.491479</v>
      </c>
      <c r="F504" s="22" t="n">
        <f aca="false">IFERROR(D504*E504,0)</f>
        <v>3524.90652044444</v>
      </c>
      <c r="G504" s="14" t="n">
        <f aca="false">SUMIFS(PARÂMETROS!$F$8:$F$907,PARÂMETROS!$A$8:$A$907,C504,PARÂMETROS!$G$8:$G$907,J504)</f>
        <v>0</v>
      </c>
      <c r="H504" s="22" t="n">
        <f aca="false">IFERROR(F504*G504,0)</f>
        <v>0</v>
      </c>
      <c r="I504" s="22" t="n">
        <f aca="false">F504+H504</f>
        <v>3524.90652044444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IF(B505="Clientes",SUMIFS(PARÂMETROS!$D$8:$D$907,PARÂMETROS!$A$8:$A$907,C505,PARÂMETROS!$G$8:$G$907,J505),SUMIFS(PARÂMETROS!$E$8:$E$907,PARÂMETROS!$A$8:$A$907,C505,PARÂMETROS!$G$8:$G$907,J505))</f>
        <v>0.0729015191745537</v>
      </c>
      <c r="E505" s="21" t="n">
        <f aca="false">SUMIFS(SETORES!$D:$D,SETORES!$A:$A,A505,SETORES!$F:$F,J505)</f>
        <v>52493.491479</v>
      </c>
      <c r="F505" s="21" t="n">
        <f aca="false">IFERROR(D505*E505,0)</f>
        <v>3826.85527559559</v>
      </c>
      <c r="G505" s="9" t="n">
        <f aca="false">SUMIFS(PARÂMETROS!$F$8:$F$907,PARÂMETROS!$A$8:$A$907,C505,PARÂMETROS!$G$8:$G$907,J505)</f>
        <v>0</v>
      </c>
      <c r="H505" s="21" t="n">
        <f aca="false">IFERROR(F505*G505,0)</f>
        <v>0</v>
      </c>
      <c r="I505" s="21" t="n">
        <f aca="false">F505+H505</f>
        <v>3826.85527559559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IF(B506="Clientes",SUMIFS(PARÂMETROS!$D$8:$D$907,PARÂMETROS!$A$8:$A$907,C506,PARÂMETROS!$G$8:$G$907,J506),SUMIFS(PARÂMETROS!$E$8:$E$907,PARÂMETROS!$A$8:$A$907,C506,PARÂMETROS!$G$8:$G$907,J506))</f>
        <v>0.0186856981205116</v>
      </c>
      <c r="E506" s="22" t="n">
        <f aca="false">SUMIFS(SETORES!$D:$D,SETORES!$A:$A,A506,SETORES!$F:$F,J506)</f>
        <v>52493.491479</v>
      </c>
      <c r="F506" s="22" t="n">
        <f aca="false">IFERROR(D506*E506,0)</f>
        <v>980.877535068241</v>
      </c>
      <c r="G506" s="14" t="n">
        <f aca="false">SUMIFS(PARÂMETROS!$F$8:$F$907,PARÂMETROS!$A$8:$A$907,C506,PARÂMETROS!$G$8:$G$907,J506)</f>
        <v>0</v>
      </c>
      <c r="H506" s="22" t="n">
        <f aca="false">IFERROR(F506*G506,0)</f>
        <v>0</v>
      </c>
      <c r="I506" s="22" t="n">
        <f aca="false">F506+H506</f>
        <v>980.877535068241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IF(B507="Clientes",SUMIFS(PARÂMETROS!$D$8:$D$907,PARÂMETROS!$A$8:$A$907,C507,PARÂMETROS!$G$8:$G$907,J507),SUMIFS(PARÂMETROS!$E$8:$E$907,PARÂMETROS!$A$8:$A$907,C507,PARÂMETROS!$G$8:$G$907,J507))</f>
        <v>0.0325969894436972</v>
      </c>
      <c r="E507" s="21" t="n">
        <f aca="false">SUMIFS(SETORES!$D:$D,SETORES!$A:$A,A507,SETORES!$F:$F,J507)</f>
        <v>52493.491479</v>
      </c>
      <c r="F507" s="21" t="n">
        <f aca="false">IFERROR(D507*E507,0)</f>
        <v>1711.12978760377</v>
      </c>
      <c r="G507" s="9" t="n">
        <f aca="false">SUMIFS(PARÂMETROS!$F$8:$F$907,PARÂMETROS!$A$8:$A$907,C507,PARÂMETROS!$G$8:$G$907,J507)</f>
        <v>0</v>
      </c>
      <c r="H507" s="21" t="n">
        <f aca="false">IFERROR(F507*G507,0)</f>
        <v>0</v>
      </c>
      <c r="I507" s="21" t="n">
        <f aca="false">F507+H507</f>
        <v>1711.12978760377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IF(B508="Clientes",SUMIFS(PARÂMETROS!$D$8:$D$907,PARÂMETROS!$A$8:$A$907,C508,PARÂMETROS!$G$8:$G$907,J508),SUMIFS(PARÂMETROS!$E$8:$E$907,PARÂMETROS!$A$8:$A$907,C508,PARÂMETROS!$G$8:$G$907,J508))</f>
        <v>0.0238472189824856</v>
      </c>
      <c r="E508" s="22" t="n">
        <f aca="false">SUMIFS(SETORES!$D:$D,SETORES!$A:$A,A508,SETORES!$F:$F,J508)</f>
        <v>52493.491479</v>
      </c>
      <c r="F508" s="22" t="n">
        <f aca="false">IFERROR(D508*E508,0)</f>
        <v>1251.82378645495</v>
      </c>
      <c r="G508" s="14" t="n">
        <f aca="false">SUMIFS(PARÂMETROS!$F$8:$F$907,PARÂMETROS!$A$8:$A$907,C508,PARÂMETROS!$G$8:$G$907,J508)</f>
        <v>0</v>
      </c>
      <c r="H508" s="22" t="n">
        <f aca="false">IFERROR(F508*G508,0)</f>
        <v>0</v>
      </c>
      <c r="I508" s="22" t="n">
        <f aca="false">F508+H508</f>
        <v>1251.82378645495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IF(B509="Clientes",SUMIFS(PARÂMETROS!$D$8:$D$907,PARÂMETROS!$A$8:$A$907,C509,PARÂMETROS!$G$8:$G$907,J509),SUMIFS(PARÂMETROS!$E$8:$E$907,PARÂMETROS!$A$8:$A$907,C509,PARÂMETROS!$G$8:$G$907,J509))</f>
        <v>0.0238521819833144</v>
      </c>
      <c r="E509" s="21" t="n">
        <f aca="false">SUMIFS(SETORES!$D:$D,SETORES!$A:$A,A509,SETORES!$F:$F,J509)</f>
        <v>52493.491479</v>
      </c>
      <c r="F509" s="21" t="n">
        <f aca="false">IFERROR(D509*E509,0)</f>
        <v>1252.08431169667</v>
      </c>
      <c r="G509" s="9" t="n">
        <f aca="false">SUMIFS(PARÂMETROS!$F$8:$F$907,PARÂMETROS!$A$8:$A$907,C509,PARÂMETROS!$G$8:$G$907,J509)</f>
        <v>0</v>
      </c>
      <c r="H509" s="21" t="n">
        <f aca="false">IFERROR(F509*G509,0)</f>
        <v>0</v>
      </c>
      <c r="I509" s="21" t="n">
        <f aca="false">F509+H509</f>
        <v>1252.08431169667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IF(B510="Clientes",SUMIFS(PARÂMETROS!$D$8:$D$907,PARÂMETROS!$A$8:$A$907,C510,PARÂMETROS!$G$8:$G$907,J510),SUMIFS(PARÂMETROS!$E$8:$E$907,PARÂMETROS!$A$8:$A$907,C510,PARÂMETROS!$G$8:$G$907,J510))</f>
        <v>0.728270741621214</v>
      </c>
      <c r="E510" s="22" t="n">
        <f aca="false">SUMIFS(SETORES!$D:$D,SETORES!$A:$A,A510,SETORES!$F:$F,J510)</f>
        <v>52493.491479</v>
      </c>
      <c r="F510" s="22" t="n">
        <f aca="false">IFERROR(D510*E510,0)</f>
        <v>38229.4739696982</v>
      </c>
      <c r="G510" s="14" t="n">
        <f aca="false">SUMIFS(PARÂMETROS!$F$8:$F$907,PARÂMETROS!$A$8:$A$907,C510,PARÂMETROS!$G$8:$G$907,J510)</f>
        <v>0</v>
      </c>
      <c r="H510" s="22" t="n">
        <f aca="false">IFERROR(F510*G510,0)</f>
        <v>0</v>
      </c>
      <c r="I510" s="22" t="n">
        <f aca="false">F510+H510</f>
        <v>38229.4739696982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IF(B511="Clientes",SUMIFS(PARÂMETROS!$D$8:$D$907,PARÂMETROS!$A$8:$A$907,C511,PARÂMETROS!$G$8:$G$907,J511),SUMIFS(PARÂMETROS!$E$8:$E$907,PARÂMETROS!$A$8:$A$907,C511,PARÂMETROS!$G$8:$G$907,J511))</f>
        <v>0.0326962494602737</v>
      </c>
      <c r="E511" s="21" t="n">
        <f aca="false">SUMIFS(SETORES!$D:$D,SETORES!$A:$A,A511,SETORES!$F:$F,J511)</f>
        <v>36743.58816</v>
      </c>
      <c r="F511" s="21" t="n">
        <f aca="false">IFERROR(D511*E511,0)</f>
        <v>1201.37752454492</v>
      </c>
      <c r="G511" s="9" t="n">
        <f aca="false">SUMIFS(PARÂMETROS!$F$8:$F$907,PARÂMETROS!$A$8:$A$907,C511,PARÂMETROS!$G$8:$G$907,J511)</f>
        <v>0</v>
      </c>
      <c r="H511" s="21" t="n">
        <f aca="false">IFERROR(F511*G511,0)</f>
        <v>0</v>
      </c>
      <c r="I511" s="21" t="n">
        <f aca="false">F511+H511</f>
        <v>1201.37752454492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IF(B512="Clientes",SUMIFS(PARÂMETROS!$D$8:$D$907,PARÂMETROS!$A$8:$A$907,C512,PARÂMETROS!$G$8:$G$907,J512),SUMIFS(PARÂMETROS!$E$8:$E$907,PARÂMETROS!$A$8:$A$907,C512,PARÂMETROS!$G$8:$G$907,J512))</f>
        <v>0.06714940121395</v>
      </c>
      <c r="E512" s="22" t="n">
        <f aca="false">SUMIFS(SETORES!$D:$D,SETORES!$A:$A,A512,SETORES!$F:$F,J512)</f>
        <v>36743.58816</v>
      </c>
      <c r="F512" s="22" t="n">
        <f aca="false">IFERROR(D512*E512,0)</f>
        <v>2467.30994339598</v>
      </c>
      <c r="G512" s="14" t="n">
        <f aca="false">SUMIFS(PARÂMETROS!$F$8:$F$907,PARÂMETROS!$A$8:$A$907,C512,PARÂMETROS!$G$8:$G$907,J512)</f>
        <v>0</v>
      </c>
      <c r="H512" s="22" t="n">
        <f aca="false">IFERROR(F512*G512,0)</f>
        <v>0</v>
      </c>
      <c r="I512" s="22" t="n">
        <f aca="false">F512+H512</f>
        <v>2467.30994339598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IF(B513="Clientes",SUMIFS(PARÂMETROS!$D$8:$D$907,PARÂMETROS!$A$8:$A$907,C513,PARÂMETROS!$G$8:$G$907,J513),SUMIFS(PARÂMETROS!$E$8:$E$907,PARÂMETROS!$A$8:$A$907,C513,PARÂMETROS!$G$8:$G$907,J513))</f>
        <v>0.0729015191745537</v>
      </c>
      <c r="E513" s="21" t="n">
        <f aca="false">SUMIFS(SETORES!$D:$D,SETORES!$A:$A,A513,SETORES!$F:$F,J513)</f>
        <v>36743.58816</v>
      </c>
      <c r="F513" s="21" t="n">
        <f aca="false">IFERROR(D513*E513,0)</f>
        <v>2678.66339678814</v>
      </c>
      <c r="G513" s="9" t="n">
        <f aca="false">SUMIFS(PARÂMETROS!$F$8:$F$907,PARÂMETROS!$A$8:$A$907,C513,PARÂMETROS!$G$8:$G$907,J513)</f>
        <v>0</v>
      </c>
      <c r="H513" s="21" t="n">
        <f aca="false">IFERROR(F513*G513,0)</f>
        <v>0</v>
      </c>
      <c r="I513" s="21" t="n">
        <f aca="false">F513+H513</f>
        <v>2678.66339678814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IF(B514="Clientes",SUMIFS(PARÂMETROS!$D$8:$D$907,PARÂMETROS!$A$8:$A$907,C514,PARÂMETROS!$G$8:$G$907,J514),SUMIFS(PARÂMETROS!$E$8:$E$907,PARÂMETROS!$A$8:$A$907,C514,PARÂMETROS!$G$8:$G$907,J514))</f>
        <v>0.0186856981205116</v>
      </c>
      <c r="E514" s="22" t="n">
        <f aca="false">SUMIFS(SETORES!$D:$D,SETORES!$A:$A,A514,SETORES!$F:$F,J514)</f>
        <v>36743.58816</v>
      </c>
      <c r="F514" s="22" t="n">
        <f aca="false">IFERROR(D514*E514,0)</f>
        <v>686.579596222164</v>
      </c>
      <c r="G514" s="14" t="n">
        <f aca="false">SUMIFS(PARÂMETROS!$F$8:$F$907,PARÂMETROS!$A$8:$A$907,C514,PARÂMETROS!$G$8:$G$907,J514)</f>
        <v>0</v>
      </c>
      <c r="H514" s="22" t="n">
        <f aca="false">IFERROR(F514*G514,0)</f>
        <v>0</v>
      </c>
      <c r="I514" s="22" t="n">
        <f aca="false">F514+H514</f>
        <v>686.579596222164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IF(B515="Clientes",SUMIFS(PARÂMETROS!$D$8:$D$907,PARÂMETROS!$A$8:$A$907,C515,PARÂMETROS!$G$8:$G$907,J515),SUMIFS(PARÂMETROS!$E$8:$E$907,PARÂMETROS!$A$8:$A$907,C515,PARÂMETROS!$G$8:$G$907,J515))</f>
        <v>0.0325969894436972</v>
      </c>
      <c r="E515" s="21" t="n">
        <f aca="false">SUMIFS(SETORES!$D:$D,SETORES!$A:$A,A515,SETORES!$F:$F,J515)</f>
        <v>36743.58816</v>
      </c>
      <c r="F515" s="21" t="n">
        <f aca="false">IFERROR(D515*E515,0)</f>
        <v>1197.73035537508</v>
      </c>
      <c r="G515" s="9" t="n">
        <f aca="false">SUMIFS(PARÂMETROS!$F$8:$F$907,PARÂMETROS!$A$8:$A$907,C515,PARÂMETROS!$G$8:$G$907,J515)</f>
        <v>0</v>
      </c>
      <c r="H515" s="21" t="n">
        <f aca="false">IFERROR(F515*G515,0)</f>
        <v>0</v>
      </c>
      <c r="I515" s="21" t="n">
        <f aca="false">F515+H515</f>
        <v>1197.73035537508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IF(B516="Clientes",SUMIFS(PARÂMETROS!$D$8:$D$907,PARÂMETROS!$A$8:$A$907,C516,PARÂMETROS!$G$8:$G$907,J516),SUMIFS(PARÂMETROS!$E$8:$E$907,PARÂMETROS!$A$8:$A$907,C516,PARÂMETROS!$G$8:$G$907,J516))</f>
        <v>0.0238472189824856</v>
      </c>
      <c r="E516" s="22" t="n">
        <f aca="false">SUMIFS(SETORES!$D:$D,SETORES!$A:$A,A516,SETORES!$F:$F,J516)</f>
        <v>36743.58816</v>
      </c>
      <c r="F516" s="22" t="n">
        <f aca="false">IFERROR(D516*E516,0)</f>
        <v>876.232393053784</v>
      </c>
      <c r="G516" s="14" t="n">
        <f aca="false">SUMIFS(PARÂMETROS!$F$8:$F$907,PARÂMETROS!$A$8:$A$907,C516,PARÂMETROS!$G$8:$G$907,J516)</f>
        <v>0</v>
      </c>
      <c r="H516" s="22" t="n">
        <f aca="false">IFERROR(F516*G516,0)</f>
        <v>0</v>
      </c>
      <c r="I516" s="22" t="n">
        <f aca="false">F516+H516</f>
        <v>876.232393053784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IF(B517="Clientes",SUMIFS(PARÂMETROS!$D$8:$D$907,PARÂMETROS!$A$8:$A$907,C517,PARÂMETROS!$G$8:$G$907,J517),SUMIFS(PARÂMETROS!$E$8:$E$907,PARÂMETROS!$A$8:$A$907,C517,PARÂMETROS!$G$8:$G$907,J517))</f>
        <v>0.0238521819833144</v>
      </c>
      <c r="E517" s="21" t="n">
        <f aca="false">SUMIFS(SETORES!$D:$D,SETORES!$A:$A,A517,SETORES!$F:$F,J517)</f>
        <v>36743.58816</v>
      </c>
      <c r="F517" s="21" t="n">
        <f aca="false">IFERROR(D517*E517,0)</f>
        <v>876.414751512276</v>
      </c>
      <c r="G517" s="9" t="n">
        <f aca="false">SUMIFS(PARÂMETROS!$F$8:$F$907,PARÂMETROS!$A$8:$A$907,C517,PARÂMETROS!$G$8:$G$907,J517)</f>
        <v>0</v>
      </c>
      <c r="H517" s="21" t="n">
        <f aca="false">IFERROR(F517*G517,0)</f>
        <v>0</v>
      </c>
      <c r="I517" s="21" t="n">
        <f aca="false">F517+H517</f>
        <v>876.414751512276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IF(B518="Clientes",SUMIFS(PARÂMETROS!$D$8:$D$907,PARÂMETROS!$A$8:$A$907,C518,PARÂMETROS!$G$8:$G$907,J518),SUMIFS(PARÂMETROS!$E$8:$E$907,PARÂMETROS!$A$8:$A$907,C518,PARÂMETROS!$G$8:$G$907,J518))</f>
        <v>0.728270741621214</v>
      </c>
      <c r="E518" s="22" t="n">
        <f aca="false">SUMIFS(SETORES!$D:$D,SETORES!$A:$A,A518,SETORES!$F:$F,J518)</f>
        <v>36743.58816</v>
      </c>
      <c r="F518" s="22" t="n">
        <f aca="false">IFERROR(D518*E518,0)</f>
        <v>26759.2801991077</v>
      </c>
      <c r="G518" s="14" t="n">
        <f aca="false">SUMIFS(PARÂMETROS!$F$8:$F$907,PARÂMETROS!$A$8:$A$907,C518,PARÂMETROS!$G$8:$G$907,J518)</f>
        <v>0</v>
      </c>
      <c r="H518" s="22" t="n">
        <f aca="false">IFERROR(F518*G518,0)</f>
        <v>0</v>
      </c>
      <c r="I518" s="22" t="n">
        <f aca="false">F518+H518</f>
        <v>26759.2801991077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IF(B519="Clientes",SUMIFS(PARÂMETROS!$D$8:$D$907,PARÂMETROS!$A$8:$A$907,C519,PARÂMETROS!$G$8:$G$907,J519),SUMIFS(PARÂMETROS!$E$8:$E$907,PARÂMETROS!$A$8:$A$907,C519,PARÂMETROS!$G$8:$G$907,J519))</f>
        <v>0.0326962494602737</v>
      </c>
      <c r="E519" s="21" t="n">
        <f aca="false">SUMIFS(SETORES!$D:$D,SETORES!$A:$A,A519,SETORES!$F:$F,J519)</f>
        <v>20096.857592</v>
      </c>
      <c r="F519" s="21" t="n">
        <f aca="false">IFERROR(D519*E519,0)</f>
        <v>657.091869195627</v>
      </c>
      <c r="G519" s="9" t="n">
        <f aca="false">SUMIFS(PARÂMETROS!$F$8:$F$907,PARÂMETROS!$A$8:$A$907,C519,PARÂMETROS!$G$8:$G$907,J519)</f>
        <v>0</v>
      </c>
      <c r="H519" s="21" t="n">
        <f aca="false">IFERROR(F519*G519,0)</f>
        <v>0</v>
      </c>
      <c r="I519" s="21" t="n">
        <f aca="false">F519+H519</f>
        <v>657.091869195627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IF(B520="Clientes",SUMIFS(PARÂMETROS!$D$8:$D$907,PARÂMETROS!$A$8:$A$907,C520,PARÂMETROS!$G$8:$G$907,J520),SUMIFS(PARÂMETROS!$E$8:$E$907,PARÂMETROS!$A$8:$A$907,C520,PARÂMETROS!$G$8:$G$907,J520))</f>
        <v>0.06714940121395</v>
      </c>
      <c r="E520" s="22" t="n">
        <f aca="false">SUMIFS(SETORES!$D:$D,SETORES!$A:$A,A520,SETORES!$F:$F,J520)</f>
        <v>20096.857592</v>
      </c>
      <c r="F520" s="22" t="n">
        <f aca="false">IFERROR(D520*E520,0)</f>
        <v>1349.49195358483</v>
      </c>
      <c r="G520" s="14" t="n">
        <f aca="false">SUMIFS(PARÂMETROS!$F$8:$F$907,PARÂMETROS!$A$8:$A$907,C520,PARÂMETROS!$G$8:$G$907,J520)</f>
        <v>0</v>
      </c>
      <c r="H520" s="22" t="n">
        <f aca="false">IFERROR(F520*G520,0)</f>
        <v>0</v>
      </c>
      <c r="I520" s="22" t="n">
        <f aca="false">F520+H520</f>
        <v>1349.49195358483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IF(B521="Clientes",SUMIFS(PARÂMETROS!$D$8:$D$907,PARÂMETROS!$A$8:$A$907,C521,PARÂMETROS!$G$8:$G$907,J521),SUMIFS(PARÂMETROS!$E$8:$E$907,PARÂMETROS!$A$8:$A$907,C521,PARÂMETROS!$G$8:$G$907,J521))</f>
        <v>0.0729015191745537</v>
      </c>
      <c r="E521" s="21" t="n">
        <f aca="false">SUMIFS(SETORES!$D:$D,SETORES!$A:$A,A521,SETORES!$F:$F,J521)</f>
        <v>20096.857592</v>
      </c>
      <c r="F521" s="21" t="n">
        <f aca="false">IFERROR(D521*E521,0)</f>
        <v>1465.09144909146</v>
      </c>
      <c r="G521" s="9" t="n">
        <f aca="false">SUMIFS(PARÂMETROS!$F$8:$F$907,PARÂMETROS!$A$8:$A$907,C521,PARÂMETROS!$G$8:$G$907,J521)</f>
        <v>0</v>
      </c>
      <c r="H521" s="21" t="n">
        <f aca="false">IFERROR(F521*G521,0)</f>
        <v>0</v>
      </c>
      <c r="I521" s="21" t="n">
        <f aca="false">F521+H521</f>
        <v>1465.09144909146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IF(B522="Clientes",SUMIFS(PARÂMETROS!$D$8:$D$907,PARÂMETROS!$A$8:$A$907,C522,PARÂMETROS!$G$8:$G$907,J522),SUMIFS(PARÂMETROS!$E$8:$E$907,PARÂMETROS!$A$8:$A$907,C522,PARÂMETROS!$G$8:$G$907,J522))</f>
        <v>0.0186856981205116</v>
      </c>
      <c r="E522" s="22" t="n">
        <f aca="false">SUMIFS(SETORES!$D:$D,SETORES!$A:$A,A522,SETORES!$F:$F,J522)</f>
        <v>20096.857592</v>
      </c>
      <c r="F522" s="22" t="n">
        <f aca="false">IFERROR(D522*E522,0)</f>
        <v>375.523814135023</v>
      </c>
      <c r="G522" s="14" t="n">
        <f aca="false">SUMIFS(PARÂMETROS!$F$8:$F$907,PARÂMETROS!$A$8:$A$907,C522,PARÂMETROS!$G$8:$G$907,J522)</f>
        <v>0</v>
      </c>
      <c r="H522" s="22" t="n">
        <f aca="false">IFERROR(F522*G522,0)</f>
        <v>0</v>
      </c>
      <c r="I522" s="22" t="n">
        <f aca="false">F522+H522</f>
        <v>375.523814135023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IF(B523="Clientes",SUMIFS(PARÂMETROS!$D$8:$D$907,PARÂMETROS!$A$8:$A$907,C523,PARÂMETROS!$G$8:$G$907,J523),SUMIFS(PARÂMETROS!$E$8:$E$907,PARÂMETROS!$A$8:$A$907,C523,PARÂMETROS!$G$8:$G$907,J523))</f>
        <v>0.0325969894436972</v>
      </c>
      <c r="E523" s="21" t="n">
        <f aca="false">SUMIFS(SETORES!$D:$D,SETORES!$A:$A,A523,SETORES!$F:$F,J523)</f>
        <v>20096.857592</v>
      </c>
      <c r="F523" s="21" t="n">
        <f aca="false">IFERROR(D523*E523,0)</f>
        <v>655.097054777911</v>
      </c>
      <c r="G523" s="9" t="n">
        <f aca="false">SUMIFS(PARÂMETROS!$F$8:$F$907,PARÂMETROS!$A$8:$A$907,C523,PARÂMETROS!$G$8:$G$907,J523)</f>
        <v>0</v>
      </c>
      <c r="H523" s="21" t="n">
        <f aca="false">IFERROR(F523*G523,0)</f>
        <v>0</v>
      </c>
      <c r="I523" s="21" t="n">
        <f aca="false">F523+H523</f>
        <v>655.097054777911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IF(B524="Clientes",SUMIFS(PARÂMETROS!$D$8:$D$907,PARÂMETROS!$A$8:$A$907,C524,PARÂMETROS!$G$8:$G$907,J524),SUMIFS(PARÂMETROS!$E$8:$E$907,PARÂMETROS!$A$8:$A$907,C524,PARÂMETROS!$G$8:$G$907,J524))</f>
        <v>0.0238472189824856</v>
      </c>
      <c r="E524" s="22" t="n">
        <f aca="false">SUMIFS(SETORES!$D:$D,SETORES!$A:$A,A524,SETORES!$F:$F,J524)</f>
        <v>20096.857592</v>
      </c>
      <c r="F524" s="22" t="n">
        <f aca="false">IFERROR(D524*E524,0)</f>
        <v>479.254163856252</v>
      </c>
      <c r="G524" s="14" t="n">
        <f aca="false">SUMIFS(PARÂMETROS!$F$8:$F$907,PARÂMETROS!$A$8:$A$907,C524,PARÂMETROS!$G$8:$G$907,J524)</f>
        <v>0</v>
      </c>
      <c r="H524" s="22" t="n">
        <f aca="false">IFERROR(F524*G524,0)</f>
        <v>0</v>
      </c>
      <c r="I524" s="22" t="n">
        <f aca="false">F524+H524</f>
        <v>479.254163856252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IF(B525="Clientes",SUMIFS(PARÂMETROS!$D$8:$D$907,PARÂMETROS!$A$8:$A$907,C525,PARÂMETROS!$G$8:$G$907,J525),SUMIFS(PARÂMETROS!$E$8:$E$907,PARÂMETROS!$A$8:$A$907,C525,PARÂMETROS!$G$8:$G$907,J525))</f>
        <v>0.0238521819833144</v>
      </c>
      <c r="E525" s="21" t="n">
        <f aca="false">SUMIFS(SETORES!$D:$D,SETORES!$A:$A,A525,SETORES!$F:$F,J525)</f>
        <v>20096.857592</v>
      </c>
      <c r="F525" s="21" t="n">
        <f aca="false">IFERROR(D525*E525,0)</f>
        <v>479.353904577138</v>
      </c>
      <c r="G525" s="9" t="n">
        <f aca="false">SUMIFS(PARÂMETROS!$F$8:$F$907,PARÂMETROS!$A$8:$A$907,C525,PARÂMETROS!$G$8:$G$907,J525)</f>
        <v>0</v>
      </c>
      <c r="H525" s="21" t="n">
        <f aca="false">IFERROR(F525*G525,0)</f>
        <v>0</v>
      </c>
      <c r="I525" s="21" t="n">
        <f aca="false">F525+H525</f>
        <v>479.353904577138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IF(B526="Clientes",SUMIFS(PARÂMETROS!$D$8:$D$907,PARÂMETROS!$A$8:$A$907,C526,PARÂMETROS!$G$8:$G$907,J526),SUMIFS(PARÂMETROS!$E$8:$E$907,PARÂMETROS!$A$8:$A$907,C526,PARÂMETROS!$G$8:$G$907,J526))</f>
        <v>0.728270741621214</v>
      </c>
      <c r="E526" s="22" t="n">
        <f aca="false">SUMIFS(SETORES!$D:$D,SETORES!$A:$A,A526,SETORES!$F:$F,J526)</f>
        <v>20096.857592</v>
      </c>
      <c r="F526" s="22" t="n">
        <f aca="false">IFERROR(D526*E526,0)</f>
        <v>14635.9533827818</v>
      </c>
      <c r="G526" s="14" t="n">
        <f aca="false">SUMIFS(PARÂMETROS!$F$8:$F$907,PARÂMETROS!$A$8:$A$907,C526,PARÂMETROS!$G$8:$G$907,J526)</f>
        <v>0</v>
      </c>
      <c r="H526" s="22" t="n">
        <f aca="false">IFERROR(F526*G526,0)</f>
        <v>0</v>
      </c>
      <c r="I526" s="22" t="n">
        <f aca="false">F526+H526</f>
        <v>14635.9533827818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IF(B527="Clientes",SUMIFS(PARÂMETROS!$D$8:$D$907,PARÂMETROS!$A$8:$A$907,C527,PARÂMETROS!$G$8:$G$907,J527),SUMIFS(PARÂMETROS!$E$8:$E$907,PARÂMETROS!$A$8:$A$907,C527,PARÂMETROS!$G$8:$G$907,J527))</f>
        <v>0.0326962494602737</v>
      </c>
      <c r="E527" s="21" t="n">
        <f aca="false">SUMIFS(SETORES!$D:$D,SETORES!$A:$A,A527,SETORES!$F:$F,J527)</f>
        <v>27599.8786617778</v>
      </c>
      <c r="F527" s="21" t="n">
        <f aca="false">IFERROR(D527*E527,0)</f>
        <v>902.412517798771</v>
      </c>
      <c r="G527" s="9" t="n">
        <f aca="false">SUMIFS(PARÂMETROS!$F$8:$F$907,PARÂMETROS!$A$8:$A$907,C527,PARÂMETROS!$G$8:$G$907,J527)</f>
        <v>0</v>
      </c>
      <c r="H527" s="21" t="n">
        <f aca="false">IFERROR(F527*G527,0)</f>
        <v>0</v>
      </c>
      <c r="I527" s="21" t="n">
        <f aca="false">F527+H527</f>
        <v>902.412517798771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IF(B528="Clientes",SUMIFS(PARÂMETROS!$D$8:$D$907,PARÂMETROS!$A$8:$A$907,C528,PARÂMETROS!$G$8:$G$907,J528),SUMIFS(PARÂMETROS!$E$8:$E$907,PARÂMETROS!$A$8:$A$907,C528,PARÂMETROS!$G$8:$G$907,J528))</f>
        <v>0.06714940121395</v>
      </c>
      <c r="E528" s="22" t="n">
        <f aca="false">SUMIFS(SETORES!$D:$D,SETORES!$A:$A,A528,SETORES!$F:$F,J528)</f>
        <v>27599.8786617778</v>
      </c>
      <c r="F528" s="22" t="n">
        <f aca="false">IFERROR(D528*E528,0)</f>
        <v>1853.31532571606</v>
      </c>
      <c r="G528" s="14" t="n">
        <f aca="false">SUMIFS(PARÂMETROS!$F$8:$F$907,PARÂMETROS!$A$8:$A$907,C528,PARÂMETROS!$G$8:$G$907,J528)</f>
        <v>0</v>
      </c>
      <c r="H528" s="22" t="n">
        <f aca="false">IFERROR(F528*G528,0)</f>
        <v>0</v>
      </c>
      <c r="I528" s="22" t="n">
        <f aca="false">F528+H528</f>
        <v>1853.31532571606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IF(B529="Clientes",SUMIFS(PARÂMETROS!$D$8:$D$907,PARÂMETROS!$A$8:$A$907,C529,PARÂMETROS!$G$8:$G$907,J529),SUMIFS(PARÂMETROS!$E$8:$E$907,PARÂMETROS!$A$8:$A$907,C529,PARÂMETROS!$G$8:$G$907,J529))</f>
        <v>0.0729015191745537</v>
      </c>
      <c r="E529" s="21" t="n">
        <f aca="false">SUMIFS(SETORES!$D:$D,SETORES!$A:$A,A529,SETORES!$F:$F,J529)</f>
        <v>27599.8786617778</v>
      </c>
      <c r="F529" s="21" t="n">
        <f aca="false">IFERROR(D529*E529,0)</f>
        <v>2012.07308347695</v>
      </c>
      <c r="G529" s="9" t="n">
        <f aca="false">SUMIFS(PARÂMETROS!$F$8:$F$907,PARÂMETROS!$A$8:$A$907,C529,PARÂMETROS!$G$8:$G$907,J529)</f>
        <v>0</v>
      </c>
      <c r="H529" s="21" t="n">
        <f aca="false">IFERROR(F529*G529,0)</f>
        <v>0</v>
      </c>
      <c r="I529" s="21" t="n">
        <f aca="false">F529+H529</f>
        <v>2012.07308347695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IF(B530="Clientes",SUMIFS(PARÂMETROS!$D$8:$D$907,PARÂMETROS!$A$8:$A$907,C530,PARÂMETROS!$G$8:$G$907,J530),SUMIFS(PARÂMETROS!$E$8:$E$907,PARÂMETROS!$A$8:$A$907,C530,PARÂMETROS!$G$8:$G$907,J530))</f>
        <v>0.0186856981205116</v>
      </c>
      <c r="E530" s="22" t="n">
        <f aca="false">SUMIFS(SETORES!$D:$D,SETORES!$A:$A,A530,SETORES!$F:$F,J530)</f>
        <v>27599.8786617778</v>
      </c>
      <c r="F530" s="22" t="n">
        <f aca="false">IFERROR(D530*E530,0)</f>
        <v>515.723000836729</v>
      </c>
      <c r="G530" s="14" t="n">
        <f aca="false">SUMIFS(PARÂMETROS!$F$8:$F$907,PARÂMETROS!$A$8:$A$907,C530,PARÂMETROS!$G$8:$G$907,J530)</f>
        <v>0</v>
      </c>
      <c r="H530" s="22" t="n">
        <f aca="false">IFERROR(F530*G530,0)</f>
        <v>0</v>
      </c>
      <c r="I530" s="22" t="n">
        <f aca="false">F530+H530</f>
        <v>515.723000836729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IF(B531="Clientes",SUMIFS(PARÂMETROS!$D$8:$D$907,PARÂMETROS!$A$8:$A$907,C531,PARÂMETROS!$G$8:$G$907,J531),SUMIFS(PARÂMETROS!$E$8:$E$907,PARÂMETROS!$A$8:$A$907,C531,PARÂMETROS!$G$8:$G$907,J531))</f>
        <v>0.0325969894436972</v>
      </c>
      <c r="E531" s="21" t="n">
        <f aca="false">SUMIFS(SETORES!$D:$D,SETORES!$A:$A,A531,SETORES!$F:$F,J531)</f>
        <v>27599.8786617778</v>
      </c>
      <c r="F531" s="21" t="n">
        <f aca="false">IFERROR(D531*E531,0)</f>
        <v>899.672953385296</v>
      </c>
      <c r="G531" s="9" t="n">
        <f aca="false">SUMIFS(PARÂMETROS!$F$8:$F$907,PARÂMETROS!$A$8:$A$907,C531,PARÂMETROS!$G$8:$G$907,J531)</f>
        <v>0</v>
      </c>
      <c r="H531" s="21" t="n">
        <f aca="false">IFERROR(F531*G531,0)</f>
        <v>0</v>
      </c>
      <c r="I531" s="21" t="n">
        <f aca="false">F531+H531</f>
        <v>899.672953385296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IF(B532="Clientes",SUMIFS(PARÂMETROS!$D$8:$D$907,PARÂMETROS!$A$8:$A$907,C532,PARÂMETROS!$G$8:$G$907,J532),SUMIFS(PARÂMETROS!$E$8:$E$907,PARÂMETROS!$A$8:$A$907,C532,PARÂMETROS!$G$8:$G$907,J532))</f>
        <v>0.0238472189824856</v>
      </c>
      <c r="E532" s="22" t="n">
        <f aca="false">SUMIFS(SETORES!$D:$D,SETORES!$A:$A,A532,SETORES!$F:$F,J532)</f>
        <v>27599.8786617778</v>
      </c>
      <c r="F532" s="22" t="n">
        <f aca="false">IFERROR(D532*E532,0)</f>
        <v>658.180350337446</v>
      </c>
      <c r="G532" s="14" t="n">
        <f aca="false">SUMIFS(PARÂMETROS!$F$8:$F$907,PARÂMETROS!$A$8:$A$907,C532,PARÂMETROS!$G$8:$G$907,J532)</f>
        <v>0</v>
      </c>
      <c r="H532" s="22" t="n">
        <f aca="false">IFERROR(F532*G532,0)</f>
        <v>0</v>
      </c>
      <c r="I532" s="22" t="n">
        <f aca="false">F532+H532</f>
        <v>658.180350337446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IF(B533="Clientes",SUMIFS(PARÂMETROS!$D$8:$D$907,PARÂMETROS!$A$8:$A$907,C533,PARÂMETROS!$G$8:$G$907,J533),SUMIFS(PARÂMETROS!$E$8:$E$907,PARÂMETROS!$A$8:$A$907,C533,PARÂMETROS!$G$8:$G$907,J533))</f>
        <v>0.0238521819833144</v>
      </c>
      <c r="E533" s="21" t="n">
        <f aca="false">SUMIFS(SETORES!$D:$D,SETORES!$A:$A,A533,SETORES!$F:$F,J533)</f>
        <v>27599.8786617778</v>
      </c>
      <c r="F533" s="21" t="n">
        <f aca="false">IFERROR(D533*E533,0)</f>
        <v>658.31732855812</v>
      </c>
      <c r="G533" s="9" t="n">
        <f aca="false">SUMIFS(PARÂMETROS!$F$8:$F$907,PARÂMETROS!$A$8:$A$907,C533,PARÂMETROS!$G$8:$G$907,J533)</f>
        <v>0</v>
      </c>
      <c r="H533" s="21" t="n">
        <f aca="false">IFERROR(F533*G533,0)</f>
        <v>0</v>
      </c>
      <c r="I533" s="21" t="n">
        <f aca="false">F533+H533</f>
        <v>658.31732855812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IF(B534="Clientes",SUMIFS(PARÂMETROS!$D$8:$D$907,PARÂMETROS!$A$8:$A$907,C534,PARÂMETROS!$G$8:$G$907,J534),SUMIFS(PARÂMETROS!$E$8:$E$907,PARÂMETROS!$A$8:$A$907,C534,PARÂMETROS!$G$8:$G$907,J534))</f>
        <v>0.728270741621214</v>
      </c>
      <c r="E534" s="22" t="n">
        <f aca="false">SUMIFS(SETORES!$D:$D,SETORES!$A:$A,A534,SETORES!$F:$F,J534)</f>
        <v>27599.8786617778</v>
      </c>
      <c r="F534" s="22" t="n">
        <f aca="false">IFERROR(D534*E534,0)</f>
        <v>20100.1841016684</v>
      </c>
      <c r="G534" s="14" t="n">
        <f aca="false">SUMIFS(PARÂMETROS!$F$8:$F$907,PARÂMETROS!$A$8:$A$907,C534,PARÂMETROS!$G$8:$G$907,J534)</f>
        <v>0</v>
      </c>
      <c r="H534" s="22" t="n">
        <f aca="false">IFERROR(F534*G534,0)</f>
        <v>0</v>
      </c>
      <c r="I534" s="22" t="n">
        <f aca="false">F534+H534</f>
        <v>20100.1841016684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IF(B535="Clientes",SUMIFS(PARÂMETROS!$D$8:$D$907,PARÂMETROS!$A$8:$A$907,C535,PARÂMETROS!$G$8:$G$907,J535),SUMIFS(PARÂMETROS!$E$8:$E$907,PARÂMETROS!$A$8:$A$907,C535,PARÂMETROS!$G$8:$G$907,J535))</f>
        <v>0.0326962494602737</v>
      </c>
      <c r="E535" s="21" t="n">
        <f aca="false">SUMIFS(SETORES!$D:$D,SETORES!$A:$A,A535,SETORES!$F:$F,J535)</f>
        <v>27878.5445</v>
      </c>
      <c r="F535" s="21" t="n">
        <f aca="false">IFERROR(D535*E535,0)</f>
        <v>911.52384556134</v>
      </c>
      <c r="G535" s="9" t="n">
        <f aca="false">SUMIFS(PARÂMETROS!$F$8:$F$907,PARÂMETROS!$A$8:$A$907,C535,PARÂMETROS!$G$8:$G$907,J535)</f>
        <v>0</v>
      </c>
      <c r="H535" s="21" t="n">
        <f aca="false">IFERROR(F535*G535,0)</f>
        <v>0</v>
      </c>
      <c r="I535" s="21" t="n">
        <f aca="false">F535+H535</f>
        <v>911.52384556134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IF(B536="Clientes",SUMIFS(PARÂMETROS!$D$8:$D$907,PARÂMETROS!$A$8:$A$907,C536,PARÂMETROS!$G$8:$G$907,J536),SUMIFS(PARÂMETROS!$E$8:$E$907,PARÂMETROS!$A$8:$A$907,C536,PARÂMETROS!$G$8:$G$907,J536))</f>
        <v>0.06714940121395</v>
      </c>
      <c r="E536" s="22" t="n">
        <f aca="false">SUMIFS(SETORES!$D:$D,SETORES!$A:$A,A536,SETORES!$F:$F,J536)</f>
        <v>27878.5445</v>
      </c>
      <c r="F536" s="22" t="n">
        <f aca="false">IFERROR(D536*E536,0)</f>
        <v>1872.02756989146</v>
      </c>
      <c r="G536" s="14" t="n">
        <f aca="false">SUMIFS(PARÂMETROS!$F$8:$F$907,PARÂMETROS!$A$8:$A$907,C536,PARÂMETROS!$G$8:$G$907,J536)</f>
        <v>0</v>
      </c>
      <c r="H536" s="22" t="n">
        <f aca="false">IFERROR(F536*G536,0)</f>
        <v>0</v>
      </c>
      <c r="I536" s="22" t="n">
        <f aca="false">F536+H536</f>
        <v>1872.02756989146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IF(B537="Clientes",SUMIFS(PARÂMETROS!$D$8:$D$907,PARÂMETROS!$A$8:$A$907,C537,PARÂMETROS!$G$8:$G$907,J537),SUMIFS(PARÂMETROS!$E$8:$E$907,PARÂMETROS!$A$8:$A$907,C537,PARÂMETROS!$G$8:$G$907,J537))</f>
        <v>0.0729015191745537</v>
      </c>
      <c r="E537" s="21" t="n">
        <f aca="false">SUMIFS(SETORES!$D:$D,SETORES!$A:$A,A537,SETORES!$F:$F,J537)</f>
        <v>27878.5445</v>
      </c>
      <c r="F537" s="21" t="n">
        <f aca="false">IFERROR(D537*E537,0)</f>
        <v>2032.3882464254</v>
      </c>
      <c r="G537" s="9" t="n">
        <f aca="false">SUMIFS(PARÂMETROS!$F$8:$F$907,PARÂMETROS!$A$8:$A$907,C537,PARÂMETROS!$G$8:$G$907,J537)</f>
        <v>0</v>
      </c>
      <c r="H537" s="21" t="n">
        <f aca="false">IFERROR(F537*G537,0)</f>
        <v>0</v>
      </c>
      <c r="I537" s="21" t="n">
        <f aca="false">F537+H537</f>
        <v>2032.3882464254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IF(B538="Clientes",SUMIFS(PARÂMETROS!$D$8:$D$907,PARÂMETROS!$A$8:$A$907,C538,PARÂMETROS!$G$8:$G$907,J538),SUMIFS(PARÂMETROS!$E$8:$E$907,PARÂMETROS!$A$8:$A$907,C538,PARÂMETROS!$G$8:$G$907,J538))</f>
        <v>0.0186856981205116</v>
      </c>
      <c r="E538" s="22" t="n">
        <f aca="false">SUMIFS(SETORES!$D:$D,SETORES!$A:$A,A538,SETORES!$F:$F,J538)</f>
        <v>27878.5445</v>
      </c>
      <c r="F538" s="22" t="n">
        <f aca="false">IFERROR(D538*E538,0)</f>
        <v>520.930066566249</v>
      </c>
      <c r="G538" s="14" t="n">
        <f aca="false">SUMIFS(PARÂMETROS!$F$8:$F$907,PARÂMETROS!$A$8:$A$907,C538,PARÂMETROS!$G$8:$G$907,J538)</f>
        <v>0</v>
      </c>
      <c r="H538" s="22" t="n">
        <f aca="false">IFERROR(F538*G538,0)</f>
        <v>0</v>
      </c>
      <c r="I538" s="22" t="n">
        <f aca="false">F538+H538</f>
        <v>520.930066566249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IF(B539="Clientes",SUMIFS(PARÂMETROS!$D$8:$D$907,PARÂMETROS!$A$8:$A$907,C539,PARÂMETROS!$G$8:$G$907,J539),SUMIFS(PARÂMETROS!$E$8:$E$907,PARÂMETROS!$A$8:$A$907,C539,PARÂMETROS!$G$8:$G$907,J539))</f>
        <v>0.0325969894436972</v>
      </c>
      <c r="E539" s="21" t="n">
        <f aca="false">SUMIFS(SETORES!$D:$D,SETORES!$A:$A,A539,SETORES!$F:$F,J539)</f>
        <v>27878.5445</v>
      </c>
      <c r="F539" s="21" t="n">
        <f aca="false">IFERROR(D539*E539,0)</f>
        <v>908.756620772144</v>
      </c>
      <c r="G539" s="9" t="n">
        <f aca="false">SUMIFS(PARÂMETROS!$F$8:$F$907,PARÂMETROS!$A$8:$A$907,C539,PARÂMETROS!$G$8:$G$907,J539)</f>
        <v>0</v>
      </c>
      <c r="H539" s="21" t="n">
        <f aca="false">IFERROR(F539*G539,0)</f>
        <v>0</v>
      </c>
      <c r="I539" s="21" t="n">
        <f aca="false">F539+H539</f>
        <v>908.756620772144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IF(B540="Clientes",SUMIFS(PARÂMETROS!$D$8:$D$907,PARÂMETROS!$A$8:$A$907,C540,PARÂMETROS!$G$8:$G$907,J540),SUMIFS(PARÂMETROS!$E$8:$E$907,PARÂMETROS!$A$8:$A$907,C540,PARÂMETROS!$G$8:$G$907,J540))</f>
        <v>0.0238472189824856</v>
      </c>
      <c r="E540" s="22" t="n">
        <f aca="false">SUMIFS(SETORES!$D:$D,SETORES!$A:$A,A540,SETORES!$F:$F,J540)</f>
        <v>27878.5445</v>
      </c>
      <c r="F540" s="22" t="n">
        <f aca="false">IFERROR(D540*E540,0)</f>
        <v>664.825755604469</v>
      </c>
      <c r="G540" s="14" t="n">
        <f aca="false">SUMIFS(PARÂMETROS!$F$8:$F$907,PARÂMETROS!$A$8:$A$907,C540,PARÂMETROS!$G$8:$G$907,J540)</f>
        <v>0</v>
      </c>
      <c r="H540" s="22" t="n">
        <f aca="false">IFERROR(F540*G540,0)</f>
        <v>0</v>
      </c>
      <c r="I540" s="22" t="n">
        <f aca="false">F540+H540</f>
        <v>664.825755604469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IF(B541="Clientes",SUMIFS(PARÂMETROS!$D$8:$D$907,PARÂMETROS!$A$8:$A$907,C541,PARÂMETROS!$G$8:$G$907,J541),SUMIFS(PARÂMETROS!$E$8:$E$907,PARÂMETROS!$A$8:$A$907,C541,PARÂMETROS!$G$8:$G$907,J541))</f>
        <v>0.0238521819833144</v>
      </c>
      <c r="E541" s="21" t="n">
        <f aca="false">SUMIFS(SETORES!$D:$D,SETORES!$A:$A,A541,SETORES!$F:$F,J541)</f>
        <v>27878.5445</v>
      </c>
      <c r="F541" s="21" t="n">
        <f aca="false">IFERROR(D541*E541,0)</f>
        <v>664.964116843929</v>
      </c>
      <c r="G541" s="9" t="n">
        <f aca="false">SUMIFS(PARÂMETROS!$F$8:$F$907,PARÂMETROS!$A$8:$A$907,C541,PARÂMETROS!$G$8:$G$907,J541)</f>
        <v>0</v>
      </c>
      <c r="H541" s="21" t="n">
        <f aca="false">IFERROR(F541*G541,0)</f>
        <v>0</v>
      </c>
      <c r="I541" s="21" t="n">
        <f aca="false">F541+H541</f>
        <v>664.964116843929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IF(B542="Clientes",SUMIFS(PARÂMETROS!$D$8:$D$907,PARÂMETROS!$A$8:$A$907,C542,PARÂMETROS!$G$8:$G$907,J542),SUMIFS(PARÂMETROS!$E$8:$E$907,PARÂMETROS!$A$8:$A$907,C542,PARÂMETROS!$G$8:$G$907,J542))</f>
        <v>0.728270741621214</v>
      </c>
      <c r="E542" s="22" t="n">
        <f aca="false">SUMIFS(SETORES!$D:$D,SETORES!$A:$A,A542,SETORES!$F:$F,J542)</f>
        <v>27878.5445</v>
      </c>
      <c r="F542" s="22" t="n">
        <f aca="false">IFERROR(D542*E542,0)</f>
        <v>20303.128278335</v>
      </c>
      <c r="G542" s="14" t="n">
        <f aca="false">SUMIFS(PARÂMETROS!$F$8:$F$907,PARÂMETROS!$A$8:$A$907,C542,PARÂMETROS!$G$8:$G$907,J542)</f>
        <v>0</v>
      </c>
      <c r="H542" s="22" t="n">
        <f aca="false">IFERROR(F542*G542,0)</f>
        <v>0</v>
      </c>
      <c r="I542" s="22" t="n">
        <f aca="false">F542+H542</f>
        <v>20303.128278335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IF(B543="Clientes",SUMIFS(PARÂMETROS!$D$8:$D$907,PARÂMETROS!$A$8:$A$907,C543,PARÂMETROS!$G$8:$G$907,J543),SUMIFS(PARÂMETROS!$E$8:$E$907,PARÂMETROS!$A$8:$A$907,C543,PARÂMETROS!$G$8:$G$907,J543))</f>
        <v>0.0311926605504587</v>
      </c>
      <c r="E543" s="21" t="n">
        <f aca="false">SUMIFS(SETORES!$D:$D,SETORES!$A:$A,A543,SETORES!$F:$F,J543)</f>
        <v>65390.0961</v>
      </c>
      <c r="F543" s="21" t="n">
        <f aca="false">IFERROR(D543*E543,0)</f>
        <v>2039.69107100917</v>
      </c>
      <c r="G543" s="9" t="n">
        <f aca="false">SUMIFS(PARÂMETROS!$F$8:$F$907,PARÂMETROS!$A$8:$A$907,C543,PARÂMETROS!$G$8:$G$907,J543)</f>
        <v>0</v>
      </c>
      <c r="H543" s="21" t="n">
        <f aca="false">IFERROR(F543*G543,0)</f>
        <v>0</v>
      </c>
      <c r="I543" s="21" t="n">
        <f aca="false">F543+H543</f>
        <v>2039.69107100917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IF(B544="Clientes",SUMIFS(PARÂMETROS!$D$8:$D$907,PARÂMETROS!$A$8:$A$907,C544,PARÂMETROS!$G$8:$G$907,J544),SUMIFS(PARÂMETROS!$E$8:$E$907,PARÂMETROS!$A$8:$A$907,C544,PARÂMETROS!$G$8:$G$907,J544))</f>
        <v>0</v>
      </c>
      <c r="E544" s="22" t="n">
        <f aca="false">SUMIFS(SETORES!$D:$D,SETORES!$A:$A,A544,SETORES!$F:$F,J544)</f>
        <v>65390.0961</v>
      </c>
      <c r="F544" s="22" t="n">
        <f aca="false">IFERROR(D544*E544,0)</f>
        <v>0</v>
      </c>
      <c r="G544" s="14" t="n">
        <f aca="false">SUMIFS(PARÂMETROS!$F$8:$F$907,PARÂMETROS!$A$8:$A$907,C544,PARÂMETROS!$G$8:$G$907,J544)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IF(B545="Clientes",SUMIFS(PARÂMETROS!$D$8:$D$907,PARÂMETROS!$A$8:$A$907,C545,PARÂMETROS!$G$8:$G$907,J545),SUMIFS(PARÂMETROS!$E$8:$E$907,PARÂMETROS!$A$8:$A$907,C545,PARÂMETROS!$G$8:$G$907,J545))</f>
        <v>0.0431192660550459</v>
      </c>
      <c r="E545" s="21" t="n">
        <f aca="false">SUMIFS(SETORES!$D:$D,SETORES!$A:$A,A545,SETORES!$F:$F,J545)</f>
        <v>65390.0961</v>
      </c>
      <c r="F545" s="21" t="n">
        <f aca="false">IFERROR(D545*E545,0)</f>
        <v>2819.57295110092</v>
      </c>
      <c r="G545" s="9" t="n">
        <f aca="false">SUMIFS(PARÂMETROS!$F$8:$F$907,PARÂMETROS!$A$8:$A$907,C545,PARÂMETROS!$G$8:$G$907,J545)</f>
        <v>0</v>
      </c>
      <c r="H545" s="21" t="n">
        <f aca="false">IFERROR(F545*G545,0)</f>
        <v>0</v>
      </c>
      <c r="I545" s="21" t="n">
        <f aca="false">F545+H545</f>
        <v>2819.57295110092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IF(B546="Clientes",SUMIFS(PARÂMETROS!$D$8:$D$907,PARÂMETROS!$A$8:$A$907,C546,PARÂMETROS!$G$8:$G$907,J546),SUMIFS(PARÂMETROS!$E$8:$E$907,PARÂMETROS!$A$8:$A$907,C546,PARÂMETROS!$G$8:$G$907,J546))</f>
        <v>0.0100917431192661</v>
      </c>
      <c r="E546" s="22" t="n">
        <f aca="false">SUMIFS(SETORES!$D:$D,SETORES!$A:$A,A546,SETORES!$F:$F,J546)</f>
        <v>65390.0961</v>
      </c>
      <c r="F546" s="22" t="n">
        <f aca="false">IFERROR(D546*E546,0)</f>
        <v>659.900052385321</v>
      </c>
      <c r="G546" s="14" t="n">
        <f aca="false">SUMIFS(PARÂMETROS!$F$8:$F$907,PARÂMETROS!$A$8:$A$907,C546,PARÂMETROS!$G$8:$G$907,J546)</f>
        <v>0</v>
      </c>
      <c r="H546" s="22" t="n">
        <f aca="false">IFERROR(F546*G546,0)</f>
        <v>0</v>
      </c>
      <c r="I546" s="22" t="n">
        <f aca="false">F546+H546</f>
        <v>659.900052385321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IF(B547="Clientes",SUMIFS(PARÂMETROS!$D$8:$D$907,PARÂMETROS!$A$8:$A$907,C547,PARÂMETROS!$G$8:$G$907,J547),SUMIFS(PARÂMETROS!$E$8:$E$907,PARÂMETROS!$A$8:$A$907,C547,PARÂMETROS!$G$8:$G$907,J547))</f>
        <v>0.0458715596330275</v>
      </c>
      <c r="E547" s="21" t="n">
        <f aca="false">SUMIFS(SETORES!$D:$D,SETORES!$A:$A,A547,SETORES!$F:$F,J547)</f>
        <v>65390.0961</v>
      </c>
      <c r="F547" s="21" t="n">
        <f aca="false">IFERROR(D547*E547,0)</f>
        <v>2999.54569266055</v>
      </c>
      <c r="G547" s="9" t="n">
        <f aca="false">SUMIFS(PARÂMETROS!$F$8:$F$907,PARÂMETROS!$A$8:$A$907,C547,PARÂMETROS!$G$8:$G$907,J547)</f>
        <v>0</v>
      </c>
      <c r="H547" s="21" t="n">
        <f aca="false">IFERROR(F547*G547,0)</f>
        <v>0</v>
      </c>
      <c r="I547" s="21" t="n">
        <f aca="false">F547+H547</f>
        <v>2999.54569266055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IF(B548="Clientes",SUMIFS(PARÂMETROS!$D$8:$D$907,PARÂMETROS!$A$8:$A$907,C548,PARÂMETROS!$G$8:$G$907,J548),SUMIFS(PARÂMETROS!$E$8:$E$907,PARÂMETROS!$A$8:$A$907,C548,PARÂMETROS!$G$8:$G$907,J548))</f>
        <v>0.0165137614678899</v>
      </c>
      <c r="E548" s="22" t="n">
        <f aca="false">SUMIFS(SETORES!$D:$D,SETORES!$A:$A,A548,SETORES!$F:$F,J548)</f>
        <v>65390.0961</v>
      </c>
      <c r="F548" s="22" t="n">
        <f aca="false">IFERROR(D548*E548,0)</f>
        <v>1079.8364493578</v>
      </c>
      <c r="G548" s="14" t="n">
        <f aca="false">SUMIFS(PARÂMETROS!$F$8:$F$907,PARÂMETROS!$A$8:$A$907,C548,PARÂMETROS!$G$8:$G$907,J548)</f>
        <v>0</v>
      </c>
      <c r="H548" s="22" t="n">
        <f aca="false">IFERROR(F548*G548,0)</f>
        <v>0</v>
      </c>
      <c r="I548" s="22" t="n">
        <f aca="false">F548+H548</f>
        <v>1079.8364493578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IF(B549="Clientes",SUMIFS(PARÂMETROS!$D$8:$D$907,PARÂMETROS!$A$8:$A$907,C549,PARÂMETROS!$G$8:$G$907,J549),SUMIFS(PARÂMETROS!$E$8:$E$907,PARÂMETROS!$A$8:$A$907,C549,PARÂMETROS!$G$8:$G$907,J549))</f>
        <v>0.0220183486238532</v>
      </c>
      <c r="E549" s="21" t="n">
        <f aca="false">SUMIFS(SETORES!$D:$D,SETORES!$A:$A,A549,SETORES!$F:$F,J549)</f>
        <v>65390.0961</v>
      </c>
      <c r="F549" s="21" t="n">
        <f aca="false">IFERROR(D549*E549,0)</f>
        <v>1439.78193247706</v>
      </c>
      <c r="G549" s="9" t="n">
        <f aca="false">SUMIFS(PARÂMETROS!$F$8:$F$907,PARÂMETROS!$A$8:$A$907,C549,PARÂMETROS!$G$8:$G$907,J549)</f>
        <v>0</v>
      </c>
      <c r="H549" s="21" t="n">
        <f aca="false">IFERROR(F549*G549,0)</f>
        <v>0</v>
      </c>
      <c r="I549" s="21" t="n">
        <f aca="false">F549+H549</f>
        <v>1439.78193247706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IF(B550="Clientes",SUMIFS(PARÂMETROS!$D$8:$D$907,PARÂMETROS!$A$8:$A$907,C550,PARÂMETROS!$G$8:$G$907,J550),SUMIFS(PARÂMETROS!$E$8:$E$907,PARÂMETROS!$A$8:$A$907,C550,PARÂMETROS!$G$8:$G$907,J550))</f>
        <v>0.831192660550459</v>
      </c>
      <c r="E550" s="22" t="n">
        <f aca="false">SUMIFS(SETORES!$D:$D,SETORES!$A:$A,A550,SETORES!$F:$F,J550)</f>
        <v>65390.0961</v>
      </c>
      <c r="F550" s="22" t="n">
        <f aca="false">IFERROR(D550*E550,0)</f>
        <v>54351.7679510092</v>
      </c>
      <c r="G550" s="14" t="n">
        <f aca="false">SUMIFS(PARÂMETROS!$F$8:$F$907,PARÂMETROS!$A$8:$A$907,C550,PARÂMETROS!$G$8:$G$907,J550)</f>
        <v>0</v>
      </c>
      <c r="H550" s="22" t="n">
        <f aca="false">IFERROR(F550*G550,0)</f>
        <v>0</v>
      </c>
      <c r="I550" s="22" t="n">
        <f aca="false">F550+H550</f>
        <v>54351.7679510092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IF(B551="Clientes",SUMIFS(PARÂMETROS!$D$8:$D$907,PARÂMETROS!$A$8:$A$907,C551,PARÂMETROS!$G$8:$G$907,J551),SUMIFS(PARÂMETROS!$E$8:$E$907,PARÂMETROS!$A$8:$A$907,C551,PARÂMETROS!$G$8:$G$907,J551))</f>
        <v>0.0326962494602737</v>
      </c>
      <c r="E551" s="21" t="n">
        <f aca="false">SUMIFS(SETORES!$D:$D,SETORES!$A:$A,A551,SETORES!$F:$F,J551)</f>
        <v>89451.289</v>
      </c>
      <c r="F551" s="21" t="n">
        <f aca="false">IFERROR(D551*E551,0)</f>
        <v>2924.72165968703</v>
      </c>
      <c r="G551" s="9" t="n">
        <f aca="false">SUMIFS(PARÂMETROS!$F$8:$F$907,PARÂMETROS!$A$8:$A$907,C551,PARÂMETROS!$G$8:$G$907,J551)</f>
        <v>0</v>
      </c>
      <c r="H551" s="21" t="n">
        <f aca="false">IFERROR(F551*G551,0)</f>
        <v>0</v>
      </c>
      <c r="I551" s="21" t="n">
        <f aca="false">F551+H551</f>
        <v>2924.72165968703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IF(B552="Clientes",SUMIFS(PARÂMETROS!$D$8:$D$907,PARÂMETROS!$A$8:$A$907,C552,PARÂMETROS!$G$8:$G$907,J552),SUMIFS(PARÂMETROS!$E$8:$E$907,PARÂMETROS!$A$8:$A$907,C552,PARÂMETROS!$G$8:$G$907,J552))</f>
        <v>0.06714940121395</v>
      </c>
      <c r="E552" s="22" t="n">
        <f aca="false">SUMIFS(SETORES!$D:$D,SETORES!$A:$A,A552,SETORES!$F:$F,J552)</f>
        <v>89451.289</v>
      </c>
      <c r="F552" s="22" t="n">
        <f aca="false">IFERROR(D552*E552,0)</f>
        <v>6006.60049416599</v>
      </c>
      <c r="G552" s="14" t="n">
        <f aca="false">SUMIFS(PARÂMETROS!$F$8:$F$907,PARÂMETROS!$A$8:$A$907,C552,PARÂMETROS!$G$8:$G$907,J552)</f>
        <v>0</v>
      </c>
      <c r="H552" s="22" t="n">
        <f aca="false">IFERROR(F552*G552,0)</f>
        <v>0</v>
      </c>
      <c r="I552" s="22" t="n">
        <f aca="false">F552+H552</f>
        <v>6006.60049416599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IF(B553="Clientes",SUMIFS(PARÂMETROS!$D$8:$D$907,PARÂMETROS!$A$8:$A$907,C553,PARÂMETROS!$G$8:$G$907,J553),SUMIFS(PARÂMETROS!$E$8:$E$907,PARÂMETROS!$A$8:$A$907,C553,PARÂMETROS!$G$8:$G$907,J553))</f>
        <v>0.0729015191745537</v>
      </c>
      <c r="E553" s="21" t="n">
        <f aca="false">SUMIFS(SETORES!$D:$D,SETORES!$A:$A,A553,SETORES!$F:$F,J553)</f>
        <v>89451.289</v>
      </c>
      <c r="F553" s="21" t="n">
        <f aca="false">IFERROR(D553*E553,0)</f>
        <v>6521.13486022204</v>
      </c>
      <c r="G553" s="9" t="n">
        <f aca="false">SUMIFS(PARÂMETROS!$F$8:$F$907,PARÂMETROS!$A$8:$A$907,C553,PARÂMETROS!$G$8:$G$907,J553)</f>
        <v>0</v>
      </c>
      <c r="H553" s="21" t="n">
        <f aca="false">IFERROR(F553*G553,0)</f>
        <v>0</v>
      </c>
      <c r="I553" s="21" t="n">
        <f aca="false">F553+H553</f>
        <v>6521.13486022204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IF(B554="Clientes",SUMIFS(PARÂMETROS!$D$8:$D$907,PARÂMETROS!$A$8:$A$907,C554,PARÂMETROS!$G$8:$G$907,J554),SUMIFS(PARÂMETROS!$E$8:$E$907,PARÂMETROS!$A$8:$A$907,C554,PARÂMETROS!$G$8:$G$907,J554))</f>
        <v>0.0186856981205116</v>
      </c>
      <c r="E554" s="22" t="n">
        <f aca="false">SUMIFS(SETORES!$D:$D,SETORES!$A:$A,A554,SETORES!$F:$F,J554)</f>
        <v>89451.289</v>
      </c>
      <c r="F554" s="22" t="n">
        <f aca="false">IFERROR(D554*E554,0)</f>
        <v>1671.45978274464</v>
      </c>
      <c r="G554" s="14" t="n">
        <f aca="false">SUMIFS(PARÂMETROS!$F$8:$F$907,PARÂMETROS!$A$8:$A$907,C554,PARÂMETROS!$G$8:$G$907,J554)</f>
        <v>0</v>
      </c>
      <c r="H554" s="22" t="n">
        <f aca="false">IFERROR(F554*G554,0)</f>
        <v>0</v>
      </c>
      <c r="I554" s="22" t="n">
        <f aca="false">F554+H554</f>
        <v>1671.45978274464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IF(B555="Clientes",SUMIFS(PARÂMETROS!$D$8:$D$907,PARÂMETROS!$A$8:$A$907,C555,PARÂMETROS!$G$8:$G$907,J555),SUMIFS(PARÂMETROS!$E$8:$E$907,PARÂMETROS!$A$8:$A$907,C555,PARÂMETROS!$G$8:$G$907,J555))</f>
        <v>0.0325969894436972</v>
      </c>
      <c r="E555" s="21" t="n">
        <f aca="false">SUMIFS(SETORES!$D:$D,SETORES!$A:$A,A555,SETORES!$F:$F,J555)</f>
        <v>89451.289</v>
      </c>
      <c r="F555" s="21" t="n">
        <f aca="false">IFERROR(D555*E555,0)</f>
        <v>2915.84272325811</v>
      </c>
      <c r="G555" s="9" t="n">
        <f aca="false">SUMIFS(PARÂMETROS!$F$8:$F$907,PARÂMETROS!$A$8:$A$907,C555,PARÂMETROS!$G$8:$G$907,J555)</f>
        <v>0</v>
      </c>
      <c r="H555" s="21" t="n">
        <f aca="false">IFERROR(F555*G555,0)</f>
        <v>0</v>
      </c>
      <c r="I555" s="21" t="n">
        <f aca="false">F555+H555</f>
        <v>2915.84272325811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IF(B556="Clientes",SUMIFS(PARÂMETROS!$D$8:$D$907,PARÂMETROS!$A$8:$A$907,C556,PARÂMETROS!$G$8:$G$907,J556),SUMIFS(PARÂMETROS!$E$8:$E$907,PARÂMETROS!$A$8:$A$907,C556,PARÂMETROS!$G$8:$G$907,J556))</f>
        <v>0.0238472189824856</v>
      </c>
      <c r="E556" s="22" t="n">
        <f aca="false">SUMIFS(SETORES!$D:$D,SETORES!$A:$A,A556,SETORES!$F:$F,J556)</f>
        <v>89451.289</v>
      </c>
      <c r="F556" s="22" t="n">
        <f aca="false">IFERROR(D556*E556,0)</f>
        <v>2133.1644770486</v>
      </c>
      <c r="G556" s="14" t="n">
        <f aca="false">SUMIFS(PARÂMETROS!$F$8:$F$907,PARÂMETROS!$A$8:$A$907,C556,PARÂMETROS!$G$8:$G$907,J556)</f>
        <v>0</v>
      </c>
      <c r="H556" s="22" t="n">
        <f aca="false">IFERROR(F556*G556,0)</f>
        <v>0</v>
      </c>
      <c r="I556" s="22" t="n">
        <f aca="false">F556+H556</f>
        <v>2133.1644770486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IF(B557="Clientes",SUMIFS(PARÂMETROS!$D$8:$D$907,PARÂMETROS!$A$8:$A$907,C557,PARÂMETROS!$G$8:$G$907,J557),SUMIFS(PARÂMETROS!$E$8:$E$907,PARÂMETROS!$A$8:$A$907,C557,PARÂMETROS!$G$8:$G$907,J557))</f>
        <v>0.0238521819833144</v>
      </c>
      <c r="E557" s="21" t="n">
        <f aca="false">SUMIFS(SETORES!$D:$D,SETORES!$A:$A,A557,SETORES!$F:$F,J557)</f>
        <v>89451.289</v>
      </c>
      <c r="F557" s="21" t="n">
        <f aca="false">IFERROR(D557*E557,0)</f>
        <v>2133.60842387005</v>
      </c>
      <c r="G557" s="9" t="n">
        <f aca="false">SUMIFS(PARÂMETROS!$F$8:$F$907,PARÂMETROS!$A$8:$A$907,C557,PARÂMETROS!$G$8:$G$907,J557)</f>
        <v>0</v>
      </c>
      <c r="H557" s="21" t="n">
        <f aca="false">IFERROR(F557*G557,0)</f>
        <v>0</v>
      </c>
      <c r="I557" s="21" t="n">
        <f aca="false">F557+H557</f>
        <v>2133.60842387005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IF(B558="Clientes",SUMIFS(PARÂMETROS!$D$8:$D$907,PARÂMETROS!$A$8:$A$907,C558,PARÂMETROS!$G$8:$G$907,J558),SUMIFS(PARÂMETROS!$E$8:$E$907,PARÂMETROS!$A$8:$A$907,C558,PARÂMETROS!$G$8:$G$907,J558))</f>
        <v>0.728270741621214</v>
      </c>
      <c r="E558" s="22" t="n">
        <f aca="false">SUMIFS(SETORES!$D:$D,SETORES!$A:$A,A558,SETORES!$F:$F,J558)</f>
        <v>89451.289</v>
      </c>
      <c r="F558" s="22" t="n">
        <f aca="false">IFERROR(D558*E558,0)</f>
        <v>65144.7565790035</v>
      </c>
      <c r="G558" s="14" t="n">
        <f aca="false">SUMIFS(PARÂMETROS!$F$8:$F$907,PARÂMETROS!$A$8:$A$907,C558,PARÂMETROS!$G$8:$G$907,J558)</f>
        <v>0</v>
      </c>
      <c r="H558" s="22" t="n">
        <f aca="false">IFERROR(F558*G558,0)</f>
        <v>0</v>
      </c>
      <c r="I558" s="22" t="n">
        <f aca="false">F558+H558</f>
        <v>65144.7565790035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IF(B559="Clientes",SUMIFS(PARÂMETROS!$D$8:$D$907,PARÂMETROS!$A$8:$A$907,C559,PARÂMETROS!$G$8:$G$907,J559),SUMIFS(PARÂMETROS!$E$8:$E$907,PARÂMETROS!$A$8:$A$907,C559,PARÂMETROS!$G$8:$G$907,J559))</f>
        <v>0.0326962494602737</v>
      </c>
      <c r="E559" s="21" t="n">
        <f aca="false">SUMIFS(SETORES!$D:$D,SETORES!$A:$A,A559,SETORES!$F:$F,J559)</f>
        <v>182531.94</v>
      </c>
      <c r="F559" s="21" t="n">
        <f aca="false">IFERROR(D559*E559,0)</f>
        <v>5968.10984470771</v>
      </c>
      <c r="G559" s="9" t="n">
        <f aca="false">SUMIFS(PARÂMETROS!$F$8:$F$907,PARÂMETROS!$A$8:$A$907,C559,PARÂMETROS!$G$8:$G$907,J559)</f>
        <v>0</v>
      </c>
      <c r="H559" s="21" t="n">
        <f aca="false">IFERROR(F559*G559,0)</f>
        <v>0</v>
      </c>
      <c r="I559" s="21" t="n">
        <f aca="false">F559+H559</f>
        <v>5968.10984470771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IF(B560="Clientes",SUMIFS(PARÂMETROS!$D$8:$D$907,PARÂMETROS!$A$8:$A$907,C560,PARÂMETROS!$G$8:$G$907,J560),SUMIFS(PARÂMETROS!$E$8:$E$907,PARÂMETROS!$A$8:$A$907,C560,PARÂMETROS!$G$8:$G$907,J560))</f>
        <v>0.06714940121395</v>
      </c>
      <c r="E560" s="22" t="n">
        <f aca="false">SUMIFS(SETORES!$D:$D,SETORES!$A:$A,A560,SETORES!$F:$F,J560)</f>
        <v>182531.94</v>
      </c>
      <c r="F560" s="22" t="n">
        <f aca="false">IFERROR(D560*E560,0)</f>
        <v>12256.9104734207</v>
      </c>
      <c r="G560" s="14" t="n">
        <f aca="false">SUMIFS(PARÂMETROS!$F$8:$F$907,PARÂMETROS!$A$8:$A$907,C560,PARÂMETROS!$G$8:$G$907,J560)</f>
        <v>0</v>
      </c>
      <c r="H560" s="22" t="n">
        <f aca="false">IFERROR(F560*G560,0)</f>
        <v>0</v>
      </c>
      <c r="I560" s="22" t="n">
        <f aca="false">F560+H560</f>
        <v>12256.9104734207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IF(B561="Clientes",SUMIFS(PARÂMETROS!$D$8:$D$907,PARÂMETROS!$A$8:$A$907,C561,PARÂMETROS!$G$8:$G$907,J561),SUMIFS(PARÂMETROS!$E$8:$E$907,PARÂMETROS!$A$8:$A$907,C561,PARÂMETROS!$G$8:$G$907,J561))</f>
        <v>0.0729015191745537</v>
      </c>
      <c r="E561" s="21" t="n">
        <f aca="false">SUMIFS(SETORES!$D:$D,SETORES!$A:$A,A561,SETORES!$F:$F,J561)</f>
        <v>182531.94</v>
      </c>
      <c r="F561" s="21" t="n">
        <f aca="false">IFERROR(D561*E561,0)</f>
        <v>13306.8557238785</v>
      </c>
      <c r="G561" s="9" t="n">
        <f aca="false">SUMIFS(PARÂMETROS!$F$8:$F$907,PARÂMETROS!$A$8:$A$907,C561,PARÂMETROS!$G$8:$G$907,J561)</f>
        <v>0</v>
      </c>
      <c r="H561" s="21" t="n">
        <f aca="false">IFERROR(F561*G561,0)</f>
        <v>0</v>
      </c>
      <c r="I561" s="21" t="n">
        <f aca="false">F561+H561</f>
        <v>13306.8557238785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IF(B562="Clientes",SUMIFS(PARÂMETROS!$D$8:$D$907,PARÂMETROS!$A$8:$A$907,C562,PARÂMETROS!$G$8:$G$907,J562),SUMIFS(PARÂMETROS!$E$8:$E$907,PARÂMETROS!$A$8:$A$907,C562,PARÂMETROS!$G$8:$G$907,J562))</f>
        <v>0.0186856981205116</v>
      </c>
      <c r="E562" s="22" t="n">
        <f aca="false">SUMIFS(SETORES!$D:$D,SETORES!$A:$A,A562,SETORES!$F:$F,J562)</f>
        <v>182531.94</v>
      </c>
      <c r="F562" s="22" t="n">
        <f aca="false">IFERROR(D562*E562,0)</f>
        <v>3410.73672819133</v>
      </c>
      <c r="G562" s="14" t="n">
        <f aca="false">SUMIFS(PARÂMETROS!$F$8:$F$907,PARÂMETROS!$A$8:$A$907,C562,PARÂMETROS!$G$8:$G$907,J562)</f>
        <v>0</v>
      </c>
      <c r="H562" s="22" t="n">
        <f aca="false">IFERROR(F562*G562,0)</f>
        <v>0</v>
      </c>
      <c r="I562" s="22" t="n">
        <f aca="false">F562+H562</f>
        <v>3410.73672819133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IF(B563="Clientes",SUMIFS(PARÂMETROS!$D$8:$D$907,PARÂMETROS!$A$8:$A$907,C563,PARÂMETROS!$G$8:$G$907,J563),SUMIFS(PARÂMETROS!$E$8:$E$907,PARÂMETROS!$A$8:$A$907,C563,PARÂMETROS!$G$8:$G$907,J563))</f>
        <v>0.0325969894436972</v>
      </c>
      <c r="E563" s="21" t="n">
        <f aca="false">SUMIFS(SETORES!$D:$D,SETORES!$A:$A,A563,SETORES!$F:$F,J563)</f>
        <v>182531.94</v>
      </c>
      <c r="F563" s="21" t="n">
        <f aca="false">IFERROR(D563*E563,0)</f>
        <v>5949.99172131758</v>
      </c>
      <c r="G563" s="9" t="n">
        <f aca="false">SUMIFS(PARÂMETROS!$F$8:$F$907,PARÂMETROS!$A$8:$A$907,C563,PARÂMETROS!$G$8:$G$907,J563)</f>
        <v>0</v>
      </c>
      <c r="H563" s="21" t="n">
        <f aca="false">IFERROR(F563*G563,0)</f>
        <v>0</v>
      </c>
      <c r="I563" s="21" t="n">
        <f aca="false">F563+H563</f>
        <v>5949.99172131758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IF(B564="Clientes",SUMIFS(PARÂMETROS!$D$8:$D$907,PARÂMETROS!$A$8:$A$907,C564,PARÂMETROS!$G$8:$G$907,J564),SUMIFS(PARÂMETROS!$E$8:$E$907,PARÂMETROS!$A$8:$A$907,C564,PARÂMETROS!$G$8:$G$907,J564))</f>
        <v>0.0238472189824856</v>
      </c>
      <c r="E564" s="22" t="n">
        <f aca="false">SUMIFS(SETORES!$D:$D,SETORES!$A:$A,A564,SETORES!$F:$F,J564)</f>
        <v>182531.94</v>
      </c>
      <c r="F564" s="22" t="n">
        <f aca="false">IFERROR(D564*E564,0)</f>
        <v>4352.87914447792</v>
      </c>
      <c r="G564" s="14" t="n">
        <f aca="false">SUMIFS(PARÂMETROS!$F$8:$F$907,PARÂMETROS!$A$8:$A$907,C564,PARÂMETROS!$G$8:$G$907,J564)</f>
        <v>0</v>
      </c>
      <c r="H564" s="22" t="n">
        <f aca="false">IFERROR(F564*G564,0)</f>
        <v>0</v>
      </c>
      <c r="I564" s="22" t="n">
        <f aca="false">F564+H564</f>
        <v>4352.87914447792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IF(B565="Clientes",SUMIFS(PARÂMETROS!$D$8:$D$907,PARÂMETROS!$A$8:$A$907,C565,PARÂMETROS!$G$8:$G$907,J565),SUMIFS(PARÂMETROS!$E$8:$E$907,PARÂMETROS!$A$8:$A$907,C565,PARÂMETROS!$G$8:$G$907,J565))</f>
        <v>0.0238521819833144</v>
      </c>
      <c r="E565" s="21" t="n">
        <f aca="false">SUMIFS(SETORES!$D:$D,SETORES!$A:$A,A565,SETORES!$F:$F,J565)</f>
        <v>182531.94</v>
      </c>
      <c r="F565" s="21" t="n">
        <f aca="false">IFERROR(D565*E565,0)</f>
        <v>4353.78505064742</v>
      </c>
      <c r="G565" s="9" t="n">
        <f aca="false">SUMIFS(PARÂMETROS!$F$8:$F$907,PARÂMETROS!$A$8:$A$907,C565,PARÂMETROS!$G$8:$G$907,J565)</f>
        <v>0</v>
      </c>
      <c r="H565" s="21" t="n">
        <f aca="false">IFERROR(F565*G565,0)</f>
        <v>0</v>
      </c>
      <c r="I565" s="21" t="n">
        <f aca="false">F565+H565</f>
        <v>4353.78505064742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IF(B566="Clientes",SUMIFS(PARÂMETROS!$D$8:$D$907,PARÂMETROS!$A$8:$A$907,C566,PARÂMETROS!$G$8:$G$907,J566),SUMIFS(PARÂMETROS!$E$8:$E$907,PARÂMETROS!$A$8:$A$907,C566,PARÂMETROS!$G$8:$G$907,J566))</f>
        <v>0.728270741621214</v>
      </c>
      <c r="E566" s="22" t="n">
        <f aca="false">SUMIFS(SETORES!$D:$D,SETORES!$A:$A,A566,SETORES!$F:$F,J566)</f>
        <v>182531.94</v>
      </c>
      <c r="F566" s="22" t="n">
        <f aca="false">IFERROR(D566*E566,0)</f>
        <v>132932.671313359</v>
      </c>
      <c r="G566" s="14" t="n">
        <f aca="false">SUMIFS(PARÂMETROS!$F$8:$F$907,PARÂMETROS!$A$8:$A$907,C566,PARÂMETROS!$G$8:$G$907,J566)</f>
        <v>0</v>
      </c>
      <c r="H566" s="22" t="n">
        <f aca="false">IFERROR(F566*G566,0)</f>
        <v>0</v>
      </c>
      <c r="I566" s="22" t="n">
        <f aca="false">F566+H566</f>
        <v>132932.671313359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IF(B567="Clientes",SUMIFS(PARÂMETROS!$D$8:$D$907,PARÂMETROS!$A$8:$A$907,C567,PARÂMETROS!$G$8:$G$907,J567),SUMIFS(PARÂMETROS!$E$8:$E$907,PARÂMETROS!$A$8:$A$907,C567,PARÂMETROS!$G$8:$G$907,J567))</f>
        <v>0.0326962494602737</v>
      </c>
      <c r="E567" s="21" t="n">
        <f aca="false">SUMIFS(SETORES!$D:$D,SETORES!$A:$A,A567,SETORES!$F:$F,J567)</f>
        <v>120124.91</v>
      </c>
      <c r="F567" s="21" t="n">
        <f aca="false">IFERROR(D567*E567,0)</f>
        <v>3927.63402375292</v>
      </c>
      <c r="G567" s="9" t="n">
        <f aca="false">SUMIFS(PARÂMETROS!$F$8:$F$907,PARÂMETROS!$A$8:$A$907,C567,PARÂMETROS!$G$8:$G$907,J567)</f>
        <v>0</v>
      </c>
      <c r="H567" s="21" t="n">
        <f aca="false">IFERROR(F567*G567,0)</f>
        <v>0</v>
      </c>
      <c r="I567" s="21" t="n">
        <f aca="false">F567+H567</f>
        <v>3927.63402375292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IF(B568="Clientes",SUMIFS(PARÂMETROS!$D$8:$D$907,PARÂMETROS!$A$8:$A$907,C568,PARÂMETROS!$G$8:$G$907,J568),SUMIFS(PARÂMETROS!$E$8:$E$907,PARÂMETROS!$A$8:$A$907,C568,PARÂMETROS!$G$8:$G$907,J568))</f>
        <v>0.06714940121395</v>
      </c>
      <c r="E568" s="22" t="n">
        <f aca="false">SUMIFS(SETORES!$D:$D,SETORES!$A:$A,A568,SETORES!$F:$F,J568)</f>
        <v>120124.91</v>
      </c>
      <c r="F568" s="22" t="n">
        <f aca="false">IFERROR(D568*E568,0)</f>
        <v>8066.31577737964</v>
      </c>
      <c r="G568" s="14" t="n">
        <f aca="false">SUMIFS(PARÂMETROS!$F$8:$F$907,PARÂMETROS!$A$8:$A$907,C568,PARÂMETROS!$G$8:$G$907,J568)</f>
        <v>0</v>
      </c>
      <c r="H568" s="22" t="n">
        <f aca="false">IFERROR(F568*G568,0)</f>
        <v>0</v>
      </c>
      <c r="I568" s="22" t="n">
        <f aca="false">F568+H568</f>
        <v>8066.31577737964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IF(B569="Clientes",SUMIFS(PARÂMETROS!$D$8:$D$907,PARÂMETROS!$A$8:$A$907,C569,PARÂMETROS!$G$8:$G$907,J569),SUMIFS(PARÂMETROS!$E$8:$E$907,PARÂMETROS!$A$8:$A$907,C569,PARÂMETROS!$G$8:$G$907,J569))</f>
        <v>0.0729015191745537</v>
      </c>
      <c r="E569" s="21" t="n">
        <f aca="false">SUMIFS(SETORES!$D:$D,SETORES!$A:$A,A569,SETORES!$F:$F,J569)</f>
        <v>120124.91</v>
      </c>
      <c r="F569" s="21" t="n">
        <f aca="false">IFERROR(D569*E569,0)</f>
        <v>8757.28842970654</v>
      </c>
      <c r="G569" s="9" t="n">
        <f aca="false">SUMIFS(PARÂMETROS!$F$8:$F$907,PARÂMETROS!$A$8:$A$907,C569,PARÂMETROS!$G$8:$G$907,J569)</f>
        <v>0</v>
      </c>
      <c r="H569" s="21" t="n">
        <f aca="false">IFERROR(F569*G569,0)</f>
        <v>0</v>
      </c>
      <c r="I569" s="21" t="n">
        <f aca="false">F569+H569</f>
        <v>8757.28842970654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IF(B570="Clientes",SUMIFS(PARÂMETROS!$D$8:$D$907,PARÂMETROS!$A$8:$A$907,C570,PARÂMETROS!$G$8:$G$907,J570),SUMIFS(PARÂMETROS!$E$8:$E$907,PARÂMETROS!$A$8:$A$907,C570,PARÂMETROS!$G$8:$G$907,J570))</f>
        <v>0.0186856981205116</v>
      </c>
      <c r="E570" s="22" t="n">
        <f aca="false">SUMIFS(SETORES!$D:$D,SETORES!$A:$A,A570,SETORES!$F:$F,J570)</f>
        <v>120124.91</v>
      </c>
      <c r="F570" s="22" t="n">
        <f aca="false">IFERROR(D570*E570,0)</f>
        <v>2244.61780501362</v>
      </c>
      <c r="G570" s="14" t="n">
        <f aca="false">SUMIFS(PARÂMETROS!$F$8:$F$907,PARÂMETROS!$A$8:$A$907,C570,PARÂMETROS!$G$8:$G$907,J570)</f>
        <v>0</v>
      </c>
      <c r="H570" s="22" t="n">
        <f aca="false">IFERROR(F570*G570,0)</f>
        <v>0</v>
      </c>
      <c r="I570" s="22" t="n">
        <f aca="false">F570+H570</f>
        <v>2244.61780501362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IF(B571="Clientes",SUMIFS(PARÂMETROS!$D$8:$D$907,PARÂMETROS!$A$8:$A$907,C571,PARÂMETROS!$G$8:$G$907,J571),SUMIFS(PARÂMETROS!$E$8:$E$907,PARÂMETROS!$A$8:$A$907,C571,PARÂMETROS!$G$8:$G$907,J571))</f>
        <v>0.0325969894436972</v>
      </c>
      <c r="E571" s="21" t="n">
        <f aca="false">SUMIFS(SETORES!$D:$D,SETORES!$A:$A,A571,SETORES!$F:$F,J571)</f>
        <v>120124.91</v>
      </c>
      <c r="F571" s="21" t="n">
        <f aca="false">IFERROR(D571*E571,0)</f>
        <v>3915.71042319508</v>
      </c>
      <c r="G571" s="9" t="n">
        <f aca="false">SUMIFS(PARÂMETROS!$F$8:$F$907,PARÂMETROS!$A$8:$A$907,C571,PARÂMETROS!$G$8:$G$907,J571)</f>
        <v>0</v>
      </c>
      <c r="H571" s="21" t="n">
        <f aca="false">IFERROR(F571*G571,0)</f>
        <v>0</v>
      </c>
      <c r="I571" s="21" t="n">
        <f aca="false">F571+H571</f>
        <v>3915.71042319508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IF(B572="Clientes",SUMIFS(PARÂMETROS!$D$8:$D$907,PARÂMETROS!$A$8:$A$907,C572,PARÂMETROS!$G$8:$G$907,J572),SUMIFS(PARÂMETROS!$E$8:$E$907,PARÂMETROS!$A$8:$A$907,C572,PARÂMETROS!$G$8:$G$907,J572))</f>
        <v>0.0238472189824856</v>
      </c>
      <c r="E572" s="22" t="n">
        <f aca="false">SUMIFS(SETORES!$D:$D,SETORES!$A:$A,A572,SETORES!$F:$F,J572)</f>
        <v>120124.91</v>
      </c>
      <c r="F572" s="22" t="n">
        <f aca="false">IFERROR(D572*E572,0)</f>
        <v>2864.64503402137</v>
      </c>
      <c r="G572" s="14" t="n">
        <f aca="false">SUMIFS(PARÂMETROS!$F$8:$F$907,PARÂMETROS!$A$8:$A$907,C572,PARÂMETROS!$G$8:$G$907,J572)</f>
        <v>0</v>
      </c>
      <c r="H572" s="22" t="n">
        <f aca="false">IFERROR(F572*G572,0)</f>
        <v>0</v>
      </c>
      <c r="I572" s="22" t="n">
        <f aca="false">F572+H572</f>
        <v>2864.64503402137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IF(B573="Clientes",SUMIFS(PARÂMETROS!$D$8:$D$907,PARÂMETROS!$A$8:$A$907,C573,PARÂMETROS!$G$8:$G$907,J573),SUMIFS(PARÂMETROS!$E$8:$E$907,PARÂMETROS!$A$8:$A$907,C573,PARÂMETROS!$G$8:$G$907,J573))</f>
        <v>0.0238521819833144</v>
      </c>
      <c r="E573" s="21" t="n">
        <f aca="false">SUMIFS(SETORES!$D:$D,SETORES!$A:$A,A573,SETORES!$F:$F,J573)</f>
        <v>120124.91</v>
      </c>
      <c r="F573" s="21" t="n">
        <f aca="false">IFERROR(D573*E573,0)</f>
        <v>2865.24121404926</v>
      </c>
      <c r="G573" s="9" t="n">
        <f aca="false">SUMIFS(PARÂMETROS!$F$8:$F$907,PARÂMETROS!$A$8:$A$907,C573,PARÂMETROS!$G$8:$G$907,J573)</f>
        <v>0</v>
      </c>
      <c r="H573" s="21" t="n">
        <f aca="false">IFERROR(F573*G573,0)</f>
        <v>0</v>
      </c>
      <c r="I573" s="21" t="n">
        <f aca="false">F573+H573</f>
        <v>2865.24121404926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IF(B574="Clientes",SUMIFS(PARÂMETROS!$D$8:$D$907,PARÂMETROS!$A$8:$A$907,C574,PARÂMETROS!$G$8:$G$907,J574),SUMIFS(PARÂMETROS!$E$8:$E$907,PARÂMETROS!$A$8:$A$907,C574,PARÂMETROS!$G$8:$G$907,J574))</f>
        <v>0.728270741621214</v>
      </c>
      <c r="E574" s="22" t="n">
        <f aca="false">SUMIFS(SETORES!$D:$D,SETORES!$A:$A,A574,SETORES!$F:$F,J574)</f>
        <v>120124.91</v>
      </c>
      <c r="F574" s="22" t="n">
        <f aca="false">IFERROR(D574*E574,0)</f>
        <v>87483.4572928816</v>
      </c>
      <c r="G574" s="14" t="n">
        <f aca="false">SUMIFS(PARÂMETROS!$F$8:$F$907,PARÂMETROS!$A$8:$A$907,C574,PARÂMETROS!$G$8:$G$907,J574)</f>
        <v>0</v>
      </c>
      <c r="H574" s="22" t="n">
        <f aca="false">IFERROR(F574*G574,0)</f>
        <v>0</v>
      </c>
      <c r="I574" s="22" t="n">
        <f aca="false">F574+H574</f>
        <v>87483.4572928816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IF(B575="Clientes",SUMIFS(PARÂMETROS!$D$8:$D$907,PARÂMETROS!$A$8:$A$907,C575,PARÂMETROS!$G$8:$G$907,J575),SUMIFS(PARÂMETROS!$E$8:$E$907,PARÂMETROS!$A$8:$A$907,C575,PARÂMETROS!$G$8:$G$907,J575))</f>
        <v>0.0326962494602737</v>
      </c>
      <c r="E575" s="21" t="n">
        <f aca="false">SUMIFS(SETORES!$D:$D,SETORES!$A:$A,A575,SETORES!$F:$F,J575)</f>
        <v>143777.077562</v>
      </c>
      <c r="F575" s="21" t="n">
        <f aca="false">IFERROR(D575*E575,0)</f>
        <v>4700.97119463627</v>
      </c>
      <c r="G575" s="9" t="n">
        <f aca="false">SUMIFS(PARÂMETROS!$F$8:$F$907,PARÂMETROS!$A$8:$A$907,C575,PARÂMETROS!$G$8:$G$907,J575)</f>
        <v>0</v>
      </c>
      <c r="H575" s="21" t="n">
        <f aca="false">IFERROR(F575*G575,0)</f>
        <v>0</v>
      </c>
      <c r="I575" s="21" t="n">
        <f aca="false">F575+H575</f>
        <v>4700.97119463627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IF(B576="Clientes",SUMIFS(PARÂMETROS!$D$8:$D$907,PARÂMETROS!$A$8:$A$907,C576,PARÂMETROS!$G$8:$G$907,J576),SUMIFS(PARÂMETROS!$E$8:$E$907,PARÂMETROS!$A$8:$A$907,C576,PARÂMETROS!$G$8:$G$907,J576))</f>
        <v>0.06714940121395</v>
      </c>
      <c r="E576" s="22" t="n">
        <f aca="false">SUMIFS(SETORES!$D:$D,SETORES!$A:$A,A576,SETORES!$F:$F,J576)</f>
        <v>143777.077562</v>
      </c>
      <c r="F576" s="22" t="n">
        <f aca="false">IFERROR(D576*E576,0)</f>
        <v>9654.54466657995</v>
      </c>
      <c r="G576" s="14" t="n">
        <f aca="false">SUMIFS(PARÂMETROS!$F$8:$F$907,PARÂMETROS!$A$8:$A$907,C576,PARÂMETROS!$G$8:$G$907,J576)</f>
        <v>0</v>
      </c>
      <c r="H576" s="22" t="n">
        <f aca="false">IFERROR(F576*G576,0)</f>
        <v>0</v>
      </c>
      <c r="I576" s="22" t="n">
        <f aca="false">F576+H576</f>
        <v>9654.54466657995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IF(B577="Clientes",SUMIFS(PARÂMETROS!$D$8:$D$907,PARÂMETROS!$A$8:$A$907,C577,PARÂMETROS!$G$8:$G$907,J577),SUMIFS(PARÂMETROS!$E$8:$E$907,PARÂMETROS!$A$8:$A$907,C577,PARÂMETROS!$G$8:$G$907,J577))</f>
        <v>0.0729015191745537</v>
      </c>
      <c r="E577" s="21" t="n">
        <f aca="false">SUMIFS(SETORES!$D:$D,SETORES!$A:$A,A577,SETORES!$F:$F,J577)</f>
        <v>143777.077562</v>
      </c>
      <c r="F577" s="21" t="n">
        <f aca="false">IFERROR(D577*E577,0)</f>
        <v>10481.5673767474</v>
      </c>
      <c r="G577" s="9" t="n">
        <f aca="false">SUMIFS(PARÂMETROS!$F$8:$F$907,PARÂMETROS!$A$8:$A$907,C577,PARÂMETROS!$G$8:$G$907,J577)</f>
        <v>0</v>
      </c>
      <c r="H577" s="21" t="n">
        <f aca="false">IFERROR(F577*G577,0)</f>
        <v>0</v>
      </c>
      <c r="I577" s="21" t="n">
        <f aca="false">F577+H577</f>
        <v>10481.5673767474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IF(B578="Clientes",SUMIFS(PARÂMETROS!$D$8:$D$907,PARÂMETROS!$A$8:$A$907,C578,PARÂMETROS!$G$8:$G$907,J578),SUMIFS(PARÂMETROS!$E$8:$E$907,PARÂMETROS!$A$8:$A$907,C578,PARÂMETROS!$G$8:$G$907,J578))</f>
        <v>0.0186856981205116</v>
      </c>
      <c r="E578" s="22" t="n">
        <f aca="false">SUMIFS(SETORES!$D:$D,SETORES!$A:$A,A578,SETORES!$F:$F,J578)</f>
        <v>143777.077562</v>
      </c>
      <c r="F578" s="22" t="n">
        <f aca="false">IFERROR(D578*E578,0)</f>
        <v>2686.57506797291</v>
      </c>
      <c r="G578" s="14" t="n">
        <f aca="false">SUMIFS(PARÂMETROS!$F$8:$F$907,PARÂMETROS!$A$8:$A$907,C578,PARÂMETROS!$G$8:$G$907,J578)</f>
        <v>0</v>
      </c>
      <c r="H578" s="22" t="n">
        <f aca="false">IFERROR(F578*G578,0)</f>
        <v>0</v>
      </c>
      <c r="I578" s="22" t="n">
        <f aca="false">F578+H578</f>
        <v>2686.57506797291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IF(B579="Clientes",SUMIFS(PARÂMETROS!$D$8:$D$907,PARÂMETROS!$A$8:$A$907,C579,PARÂMETROS!$G$8:$G$907,J579),SUMIFS(PARÂMETROS!$E$8:$E$907,PARÂMETROS!$A$8:$A$907,C579,PARÂMETROS!$G$8:$G$907,J579))</f>
        <v>0.0325969894436972</v>
      </c>
      <c r="E579" s="21" t="n">
        <f aca="false">SUMIFS(SETORES!$D:$D,SETORES!$A:$A,A579,SETORES!$F:$F,J579)</f>
        <v>143777.077562</v>
      </c>
      <c r="F579" s="21" t="n">
        <f aca="false">IFERROR(D579*E579,0)</f>
        <v>4686.69987953415</v>
      </c>
      <c r="G579" s="9" t="n">
        <f aca="false">SUMIFS(PARÂMETROS!$F$8:$F$907,PARÂMETROS!$A$8:$A$907,C579,PARÂMETROS!$G$8:$G$907,J579)</f>
        <v>0</v>
      </c>
      <c r="H579" s="21" t="n">
        <f aca="false">IFERROR(F579*G579,0)</f>
        <v>0</v>
      </c>
      <c r="I579" s="21" t="n">
        <f aca="false">F579+H579</f>
        <v>4686.69987953415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IF(B580="Clientes",SUMIFS(PARÂMETROS!$D$8:$D$907,PARÂMETROS!$A$8:$A$907,C580,PARÂMETROS!$G$8:$G$907,J580),SUMIFS(PARÂMETROS!$E$8:$E$907,PARÂMETROS!$A$8:$A$907,C580,PARÂMETROS!$G$8:$G$907,J580))</f>
        <v>0.0238472189824856</v>
      </c>
      <c r="E580" s="22" t="n">
        <f aca="false">SUMIFS(SETORES!$D:$D,SETORES!$A:$A,A580,SETORES!$F:$F,J580)</f>
        <v>143777.077562</v>
      </c>
      <c r="F580" s="22" t="n">
        <f aca="false">IFERROR(D580*E580,0)</f>
        <v>3428.68345328283</v>
      </c>
      <c r="G580" s="14" t="n">
        <f aca="false">SUMIFS(PARÂMETROS!$F$8:$F$907,PARÂMETROS!$A$8:$A$907,C580,PARÂMETROS!$G$8:$G$907,J580)</f>
        <v>0</v>
      </c>
      <c r="H580" s="22" t="n">
        <f aca="false">IFERROR(F580*G580,0)</f>
        <v>0</v>
      </c>
      <c r="I580" s="22" t="n">
        <f aca="false">F580+H580</f>
        <v>3428.68345328283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IF(B581="Clientes",SUMIFS(PARÂMETROS!$D$8:$D$907,PARÂMETROS!$A$8:$A$907,C581,PARÂMETROS!$G$8:$G$907,J581),SUMIFS(PARÂMETROS!$E$8:$E$907,PARÂMETROS!$A$8:$A$907,C581,PARÂMETROS!$G$8:$G$907,J581))</f>
        <v>0.0238521819833144</v>
      </c>
      <c r="E581" s="21" t="n">
        <f aca="false">SUMIFS(SETORES!$D:$D,SETORES!$A:$A,A581,SETORES!$F:$F,J581)</f>
        <v>143777.077562</v>
      </c>
      <c r="F581" s="21" t="n">
        <f aca="false">IFERROR(D581*E581,0)</f>
        <v>3429.39701903793</v>
      </c>
      <c r="G581" s="9" t="n">
        <f aca="false">SUMIFS(PARÂMETROS!$F$8:$F$907,PARÂMETROS!$A$8:$A$907,C581,PARÂMETROS!$G$8:$G$907,J581)</f>
        <v>0</v>
      </c>
      <c r="H581" s="21" t="n">
        <f aca="false">IFERROR(F581*G581,0)</f>
        <v>0</v>
      </c>
      <c r="I581" s="21" t="n">
        <f aca="false">F581+H581</f>
        <v>3429.39701903793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IF(B582="Clientes",SUMIFS(PARÂMETROS!$D$8:$D$907,PARÂMETROS!$A$8:$A$907,C582,PARÂMETROS!$G$8:$G$907,J582),SUMIFS(PARÂMETROS!$E$8:$E$907,PARÂMETROS!$A$8:$A$907,C582,PARÂMETROS!$G$8:$G$907,J582))</f>
        <v>0.728270741621214</v>
      </c>
      <c r="E582" s="22" t="n">
        <f aca="false">SUMIFS(SETORES!$D:$D,SETORES!$A:$A,A582,SETORES!$F:$F,J582)</f>
        <v>143777.077562</v>
      </c>
      <c r="F582" s="22" t="n">
        <f aca="false">IFERROR(D582*E582,0)</f>
        <v>104708.638904209</v>
      </c>
      <c r="G582" s="14" t="n">
        <f aca="false">SUMIFS(PARÂMETROS!$F$8:$F$907,PARÂMETROS!$A$8:$A$907,C582,PARÂMETROS!$G$8:$G$907,J582)</f>
        <v>0</v>
      </c>
      <c r="H582" s="22" t="n">
        <f aca="false">IFERROR(F582*G582,0)</f>
        <v>0</v>
      </c>
      <c r="I582" s="22" t="n">
        <f aca="false">F582+H582</f>
        <v>104708.638904209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IF(B583="Clientes",SUMIFS(PARÂMETROS!$D$8:$D$907,PARÂMETROS!$A$8:$A$907,C583,PARÂMETROS!$G$8:$G$907,J583),SUMIFS(PARÂMETROS!$E$8:$E$907,PARÂMETROS!$A$8:$A$907,C583,PARÂMETROS!$G$8:$G$907,J583))</f>
        <v>0.0326962494602737</v>
      </c>
      <c r="E583" s="21" t="n">
        <f aca="false">SUMIFS(SETORES!$D:$D,SETORES!$A:$A,A583,SETORES!$F:$F,J583)</f>
        <v>29550.204638</v>
      </c>
      <c r="F583" s="21" t="n">
        <f aca="false">IFERROR(D583*E583,0)</f>
        <v>966.180862446184</v>
      </c>
      <c r="G583" s="9" t="n">
        <f aca="false">SUMIFS(PARÂMETROS!$F$8:$F$907,PARÂMETROS!$A$8:$A$907,C583,PARÂMETROS!$G$8:$G$907,J583)</f>
        <v>0</v>
      </c>
      <c r="H583" s="21" t="n">
        <f aca="false">IFERROR(F583*G583,0)</f>
        <v>0</v>
      </c>
      <c r="I583" s="21" t="n">
        <f aca="false">F583+H583</f>
        <v>966.180862446184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IF(B584="Clientes",SUMIFS(PARÂMETROS!$D$8:$D$907,PARÂMETROS!$A$8:$A$907,C584,PARÂMETROS!$G$8:$G$907,J584),SUMIFS(PARÂMETROS!$E$8:$E$907,PARÂMETROS!$A$8:$A$907,C584,PARÂMETROS!$G$8:$G$907,J584))</f>
        <v>0.06714940121395</v>
      </c>
      <c r="E584" s="22" t="n">
        <f aca="false">SUMIFS(SETORES!$D:$D,SETORES!$A:$A,A584,SETORES!$F:$F,J584)</f>
        <v>29550.204638</v>
      </c>
      <c r="F584" s="22" t="n">
        <f aca="false">IFERROR(D584*E584,0)</f>
        <v>1984.27854719139</v>
      </c>
      <c r="G584" s="14" t="n">
        <f aca="false">SUMIFS(PARÂMETROS!$F$8:$F$907,PARÂMETROS!$A$8:$A$907,C584,PARÂMETROS!$G$8:$G$907,J584)</f>
        <v>0</v>
      </c>
      <c r="H584" s="22" t="n">
        <f aca="false">IFERROR(F584*G584,0)</f>
        <v>0</v>
      </c>
      <c r="I584" s="22" t="n">
        <f aca="false">F584+H584</f>
        <v>1984.27854719139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IF(B585="Clientes",SUMIFS(PARÂMETROS!$D$8:$D$907,PARÂMETROS!$A$8:$A$907,C585,PARÂMETROS!$G$8:$G$907,J585),SUMIFS(PARÂMETROS!$E$8:$E$907,PARÂMETROS!$A$8:$A$907,C585,PARÂMETROS!$G$8:$G$907,J585))</f>
        <v>0.0729015191745537</v>
      </c>
      <c r="E585" s="21" t="n">
        <f aca="false">SUMIFS(SETORES!$D:$D,SETORES!$A:$A,A585,SETORES!$F:$F,J585)</f>
        <v>29550.204638</v>
      </c>
      <c r="F585" s="21" t="n">
        <f aca="false">IFERROR(D585*E585,0)</f>
        <v>2154.25481002914</v>
      </c>
      <c r="G585" s="9" t="n">
        <f aca="false">SUMIFS(PARÂMETROS!$F$8:$F$907,PARÂMETROS!$A$8:$A$907,C585,PARÂMETROS!$G$8:$G$907,J585)</f>
        <v>0</v>
      </c>
      <c r="H585" s="21" t="n">
        <f aca="false">IFERROR(F585*G585,0)</f>
        <v>0</v>
      </c>
      <c r="I585" s="21" t="n">
        <f aca="false">F585+H585</f>
        <v>2154.25481002914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IF(B586="Clientes",SUMIFS(PARÂMETROS!$D$8:$D$907,PARÂMETROS!$A$8:$A$907,C586,PARÂMETROS!$G$8:$G$907,J586),SUMIFS(PARÂMETROS!$E$8:$E$907,PARÂMETROS!$A$8:$A$907,C586,PARÂMETROS!$G$8:$G$907,J586))</f>
        <v>0.0186856981205116</v>
      </c>
      <c r="E586" s="22" t="n">
        <f aca="false">SUMIFS(SETORES!$D:$D,SETORES!$A:$A,A586,SETORES!$F:$F,J586)</f>
        <v>29550.204638</v>
      </c>
      <c r="F586" s="22" t="n">
        <f aca="false">IFERROR(D586*E586,0)</f>
        <v>552.166203265009</v>
      </c>
      <c r="G586" s="14" t="n">
        <f aca="false">SUMIFS(PARÂMETROS!$F$8:$F$907,PARÂMETROS!$A$8:$A$907,C586,PARÂMETROS!$G$8:$G$907,J586)</f>
        <v>0</v>
      </c>
      <c r="H586" s="22" t="n">
        <f aca="false">IFERROR(F586*G586,0)</f>
        <v>0</v>
      </c>
      <c r="I586" s="22" t="n">
        <f aca="false">F586+H586</f>
        <v>552.166203265009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IF(B587="Clientes",SUMIFS(PARÂMETROS!$D$8:$D$907,PARÂMETROS!$A$8:$A$907,C587,PARÂMETROS!$G$8:$G$907,J587),SUMIFS(PARÂMETROS!$E$8:$E$907,PARÂMETROS!$A$8:$A$907,C587,PARÂMETROS!$G$8:$G$907,J587))</f>
        <v>0.0325969894436972</v>
      </c>
      <c r="E587" s="21" t="n">
        <f aca="false">SUMIFS(SETORES!$D:$D,SETORES!$A:$A,A587,SETORES!$F:$F,J587)</f>
        <v>29550.204638</v>
      </c>
      <c r="F587" s="21" t="n">
        <f aca="false">IFERROR(D587*E587,0)</f>
        <v>963.247708643979</v>
      </c>
      <c r="G587" s="9" t="n">
        <f aca="false">SUMIFS(PARÂMETROS!$F$8:$F$907,PARÂMETROS!$A$8:$A$907,C587,PARÂMETROS!$G$8:$G$907,J587)</f>
        <v>0</v>
      </c>
      <c r="H587" s="21" t="n">
        <f aca="false">IFERROR(F587*G587,0)</f>
        <v>0</v>
      </c>
      <c r="I587" s="21" t="n">
        <f aca="false">F587+H587</f>
        <v>963.247708643979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IF(B588="Clientes",SUMIFS(PARÂMETROS!$D$8:$D$907,PARÂMETROS!$A$8:$A$907,C588,PARÂMETROS!$G$8:$G$907,J588),SUMIFS(PARÂMETROS!$E$8:$E$907,PARÂMETROS!$A$8:$A$907,C588,PARÂMETROS!$G$8:$G$907,J588))</f>
        <v>0.0238472189824856</v>
      </c>
      <c r="E588" s="22" t="n">
        <f aca="false">SUMIFS(SETORES!$D:$D,SETORES!$A:$A,A588,SETORES!$F:$F,J588)</f>
        <v>29550.204638</v>
      </c>
      <c r="F588" s="22" t="n">
        <f aca="false">IFERROR(D588*E588,0)</f>
        <v>704.690200979647</v>
      </c>
      <c r="G588" s="14" t="n">
        <f aca="false">SUMIFS(PARÂMETROS!$F$8:$F$907,PARÂMETROS!$A$8:$A$907,C588,PARÂMETROS!$G$8:$G$907,J588)</f>
        <v>0</v>
      </c>
      <c r="H588" s="22" t="n">
        <f aca="false">IFERROR(F588*G588,0)</f>
        <v>0</v>
      </c>
      <c r="I588" s="22" t="n">
        <f aca="false">F588+H588</f>
        <v>704.690200979647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IF(B589="Clientes",SUMIFS(PARÂMETROS!$D$8:$D$907,PARÂMETROS!$A$8:$A$907,C589,PARÂMETROS!$G$8:$G$907,J589),SUMIFS(PARÂMETROS!$E$8:$E$907,PARÂMETROS!$A$8:$A$907,C589,PARÂMETROS!$G$8:$G$907,J589))</f>
        <v>0.0238521819833144</v>
      </c>
      <c r="E589" s="21" t="n">
        <f aca="false">SUMIFS(SETORES!$D:$D,SETORES!$A:$A,A589,SETORES!$F:$F,J589)</f>
        <v>29550.204638</v>
      </c>
      <c r="F589" s="21" t="n">
        <f aca="false">IFERROR(D589*E589,0)</f>
        <v>704.836858669757</v>
      </c>
      <c r="G589" s="9" t="n">
        <f aca="false">SUMIFS(PARÂMETROS!$F$8:$F$907,PARÂMETROS!$A$8:$A$907,C589,PARÂMETROS!$G$8:$G$907,J589)</f>
        <v>0</v>
      </c>
      <c r="H589" s="21" t="n">
        <f aca="false">IFERROR(F589*G589,0)</f>
        <v>0</v>
      </c>
      <c r="I589" s="21" t="n">
        <f aca="false">F589+H589</f>
        <v>704.836858669757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IF(B590="Clientes",SUMIFS(PARÂMETROS!$D$8:$D$907,PARÂMETROS!$A$8:$A$907,C590,PARÂMETROS!$G$8:$G$907,J590),SUMIFS(PARÂMETROS!$E$8:$E$907,PARÂMETROS!$A$8:$A$907,C590,PARÂMETROS!$G$8:$G$907,J590))</f>
        <v>0.728270741621214</v>
      </c>
      <c r="E590" s="22" t="n">
        <f aca="false">SUMIFS(SETORES!$D:$D,SETORES!$A:$A,A590,SETORES!$F:$F,J590)</f>
        <v>29550.204638</v>
      </c>
      <c r="F590" s="22" t="n">
        <f aca="false">IFERROR(D590*E590,0)</f>
        <v>21520.5494467749</v>
      </c>
      <c r="G590" s="14" t="n">
        <f aca="false">SUMIFS(PARÂMETROS!$F$8:$F$907,PARÂMETROS!$A$8:$A$907,C590,PARÂMETROS!$G$8:$G$907,J590)</f>
        <v>0</v>
      </c>
      <c r="H590" s="22" t="n">
        <f aca="false">IFERROR(F590*G590,0)</f>
        <v>0</v>
      </c>
      <c r="I590" s="22" t="n">
        <f aca="false">F590+H590</f>
        <v>21520.5494467749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IF(B591="Clientes",SUMIFS(PARÂMETROS!$D$8:$D$907,PARÂMETROS!$A$8:$A$907,C591,PARÂMETROS!$G$8:$G$907,J591),SUMIFS(PARÂMETROS!$E$8:$E$907,PARÂMETROS!$A$8:$A$907,C591,PARÂMETROS!$G$8:$G$907,J591))</f>
        <v>0.0326962494602737</v>
      </c>
      <c r="E591" s="21" t="n">
        <f aca="false">SUMIFS(SETORES!$D:$D,SETORES!$A:$A,A591,SETORES!$F:$F,J591)</f>
        <v>119434.4264</v>
      </c>
      <c r="F591" s="21" t="n">
        <f aca="false">IFERROR(D591*E591,0)</f>
        <v>3905.05779971909</v>
      </c>
      <c r="G591" s="9" t="n">
        <f aca="false">SUMIFS(PARÂMETROS!$F$8:$F$907,PARÂMETROS!$A$8:$A$907,C591,PARÂMETROS!$G$8:$G$907,J591)</f>
        <v>0</v>
      </c>
      <c r="H591" s="21" t="n">
        <f aca="false">IFERROR(F591*G591,0)</f>
        <v>0</v>
      </c>
      <c r="I591" s="21" t="n">
        <f aca="false">F591+H591</f>
        <v>3905.05779971909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IF(B592="Clientes",SUMIFS(PARÂMETROS!$D$8:$D$907,PARÂMETROS!$A$8:$A$907,C592,PARÂMETROS!$G$8:$G$907,J592),SUMIFS(PARÂMETROS!$E$8:$E$907,PARÂMETROS!$A$8:$A$907,C592,PARÂMETROS!$G$8:$G$907,J592))</f>
        <v>0.06714940121395</v>
      </c>
      <c r="E592" s="22" t="n">
        <f aca="false">SUMIFS(SETORES!$D:$D,SETORES!$A:$A,A592,SETORES!$F:$F,J592)</f>
        <v>119434.4264</v>
      </c>
      <c r="F592" s="22" t="n">
        <f aca="false">IFERROR(D592*E592,0)</f>
        <v>8019.95021709158</v>
      </c>
      <c r="G592" s="14" t="n">
        <f aca="false">SUMIFS(PARÂMETROS!$F$8:$F$907,PARÂMETROS!$A$8:$A$907,C592,PARÂMETROS!$G$8:$G$907,J592)</f>
        <v>0</v>
      </c>
      <c r="H592" s="22" t="n">
        <f aca="false">IFERROR(F592*G592,0)</f>
        <v>0</v>
      </c>
      <c r="I592" s="22" t="n">
        <f aca="false">F592+H592</f>
        <v>8019.95021709158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IF(B593="Clientes",SUMIFS(PARÂMETROS!$D$8:$D$907,PARÂMETROS!$A$8:$A$907,C593,PARÂMETROS!$G$8:$G$907,J593),SUMIFS(PARÂMETROS!$E$8:$E$907,PARÂMETROS!$A$8:$A$907,C593,PARÂMETROS!$G$8:$G$907,J593))</f>
        <v>0.0729015191745537</v>
      </c>
      <c r="E593" s="21" t="n">
        <f aca="false">SUMIFS(SETORES!$D:$D,SETORES!$A:$A,A593,SETORES!$F:$F,J593)</f>
        <v>119434.4264</v>
      </c>
      <c r="F593" s="21" t="n">
        <f aca="false">IFERROR(D593*E593,0)</f>
        <v>8706.95112630142</v>
      </c>
      <c r="G593" s="9" t="n">
        <f aca="false">SUMIFS(PARÂMETROS!$F$8:$F$907,PARÂMETROS!$A$8:$A$907,C593,PARÂMETROS!$G$8:$G$907,J593)</f>
        <v>0</v>
      </c>
      <c r="H593" s="21" t="n">
        <f aca="false">IFERROR(F593*G593,0)</f>
        <v>0</v>
      </c>
      <c r="I593" s="21" t="n">
        <f aca="false">F593+H593</f>
        <v>8706.95112630142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IF(B594="Clientes",SUMIFS(PARÂMETROS!$D$8:$D$907,PARÂMETROS!$A$8:$A$907,C594,PARÂMETROS!$G$8:$G$907,J594),SUMIFS(PARÂMETROS!$E$8:$E$907,PARÂMETROS!$A$8:$A$907,C594,PARÂMETROS!$G$8:$G$907,J594))</f>
        <v>0.0186856981205116</v>
      </c>
      <c r="E594" s="22" t="n">
        <f aca="false">SUMIFS(SETORES!$D:$D,SETORES!$A:$A,A594,SETORES!$F:$F,J594)</f>
        <v>119434.4264</v>
      </c>
      <c r="F594" s="22" t="n">
        <f aca="false">IFERROR(D594*E594,0)</f>
        <v>2231.71563690686</v>
      </c>
      <c r="G594" s="14" t="n">
        <f aca="false">SUMIFS(PARÂMETROS!$F$8:$F$907,PARÂMETROS!$A$8:$A$907,C594,PARÂMETROS!$G$8:$G$907,J594)</f>
        <v>0</v>
      </c>
      <c r="H594" s="22" t="n">
        <f aca="false">IFERROR(F594*G594,0)</f>
        <v>0</v>
      </c>
      <c r="I594" s="22" t="n">
        <f aca="false">F594+H594</f>
        <v>2231.71563690686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IF(B595="Clientes",SUMIFS(PARÂMETROS!$D$8:$D$907,PARÂMETROS!$A$8:$A$907,C595,PARÂMETROS!$G$8:$G$907,J595),SUMIFS(PARÂMETROS!$E$8:$E$907,PARÂMETROS!$A$8:$A$907,C595,PARÂMETROS!$G$8:$G$907,J595))</f>
        <v>0.0325969894436972</v>
      </c>
      <c r="E595" s="21" t="n">
        <f aca="false">SUMIFS(SETORES!$D:$D,SETORES!$A:$A,A595,SETORES!$F:$F,J595)</f>
        <v>119434.4264</v>
      </c>
      <c r="F595" s="21" t="n">
        <f aca="false">IFERROR(D595*E595,0)</f>
        <v>3893.20273657483</v>
      </c>
      <c r="G595" s="9" t="n">
        <f aca="false">SUMIFS(PARÂMETROS!$F$8:$F$907,PARÂMETROS!$A$8:$A$907,C595,PARÂMETROS!$G$8:$G$907,J595)</f>
        <v>0</v>
      </c>
      <c r="H595" s="21" t="n">
        <f aca="false">IFERROR(F595*G595,0)</f>
        <v>0</v>
      </c>
      <c r="I595" s="21" t="n">
        <f aca="false">F595+H595</f>
        <v>3893.20273657483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IF(B596="Clientes",SUMIFS(PARÂMETROS!$D$8:$D$907,PARÂMETROS!$A$8:$A$907,C596,PARÂMETROS!$G$8:$G$907,J596),SUMIFS(PARÂMETROS!$E$8:$E$907,PARÂMETROS!$A$8:$A$907,C596,PARÂMETROS!$G$8:$G$907,J596))</f>
        <v>0.0238472189824856</v>
      </c>
      <c r="E596" s="22" t="n">
        <f aca="false">SUMIFS(SETORES!$D:$D,SETORES!$A:$A,A596,SETORES!$F:$F,J596)</f>
        <v>119434.4264</v>
      </c>
      <c r="F596" s="22" t="n">
        <f aca="false">IFERROR(D596*E596,0)</f>
        <v>2848.17892040836</v>
      </c>
      <c r="G596" s="14" t="n">
        <f aca="false">SUMIFS(PARÂMETROS!$F$8:$F$907,PARÂMETROS!$A$8:$A$907,C596,PARÂMETROS!$G$8:$G$907,J596)</f>
        <v>0</v>
      </c>
      <c r="H596" s="22" t="n">
        <f aca="false">IFERROR(F596*G596,0)</f>
        <v>0</v>
      </c>
      <c r="I596" s="22" t="n">
        <f aca="false">F596+H596</f>
        <v>2848.17892040836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IF(B597="Clientes",SUMIFS(PARÂMETROS!$D$8:$D$907,PARÂMETROS!$A$8:$A$907,C597,PARÂMETROS!$G$8:$G$907,J597),SUMIFS(PARÂMETROS!$E$8:$E$907,PARÂMETROS!$A$8:$A$907,C597,PARÂMETROS!$G$8:$G$907,J597))</f>
        <v>0.0238521819833144</v>
      </c>
      <c r="E597" s="21" t="n">
        <f aca="false">SUMIFS(SETORES!$D:$D,SETORES!$A:$A,A597,SETORES!$F:$F,J597)</f>
        <v>119434.4264</v>
      </c>
      <c r="F597" s="21" t="n">
        <f aca="false">IFERROR(D597*E597,0)</f>
        <v>2848.77167356557</v>
      </c>
      <c r="G597" s="9" t="n">
        <f aca="false">SUMIFS(PARÂMETROS!$F$8:$F$907,PARÂMETROS!$A$8:$A$907,C597,PARÂMETROS!$G$8:$G$907,J597)</f>
        <v>0</v>
      </c>
      <c r="H597" s="21" t="n">
        <f aca="false">IFERROR(F597*G597,0)</f>
        <v>0</v>
      </c>
      <c r="I597" s="21" t="n">
        <f aca="false">F597+H597</f>
        <v>2848.77167356557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IF(B598="Clientes",SUMIFS(PARÂMETROS!$D$8:$D$907,PARÂMETROS!$A$8:$A$907,C598,PARÂMETROS!$G$8:$G$907,J598),SUMIFS(PARÂMETROS!$E$8:$E$907,PARÂMETROS!$A$8:$A$907,C598,PARÂMETROS!$G$8:$G$907,J598))</f>
        <v>0.728270741621214</v>
      </c>
      <c r="E598" s="22" t="n">
        <f aca="false">SUMIFS(SETORES!$D:$D,SETORES!$A:$A,A598,SETORES!$F:$F,J598)</f>
        <v>119434.4264</v>
      </c>
      <c r="F598" s="22" t="n">
        <f aca="false">IFERROR(D598*E598,0)</f>
        <v>86980.5982894323</v>
      </c>
      <c r="G598" s="14" t="n">
        <f aca="false">SUMIFS(PARÂMETROS!$F$8:$F$907,PARÂMETROS!$A$8:$A$907,C598,PARÂMETROS!$G$8:$G$907,J598)</f>
        <v>0</v>
      </c>
      <c r="H598" s="22" t="n">
        <f aca="false">IFERROR(F598*G598,0)</f>
        <v>0</v>
      </c>
      <c r="I598" s="22" t="n">
        <f aca="false">F598+H598</f>
        <v>86980.5982894323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IF(B599="Clientes",SUMIFS(PARÂMETROS!$D$8:$D$907,PARÂMETROS!$A$8:$A$907,C599,PARÂMETROS!$G$8:$G$907,J599),SUMIFS(PARÂMETROS!$E$8:$E$907,PARÂMETROS!$A$8:$A$907,C599,PARÂMETROS!$G$8:$G$907,J599))</f>
        <v>0.0326962494602737</v>
      </c>
      <c r="E599" s="21" t="n">
        <f aca="false">SUMIFS(SETORES!$D:$D,SETORES!$A:$A,A599,SETORES!$F:$F,J599)</f>
        <v>140869.007172667</v>
      </c>
      <c r="F599" s="21" t="n">
        <f aca="false">IFERROR(D599*E599,0)</f>
        <v>4605.8881997386</v>
      </c>
      <c r="G599" s="9" t="n">
        <f aca="false">SUMIFS(PARÂMETROS!$F$8:$F$907,PARÂMETROS!$A$8:$A$907,C599,PARÂMETROS!$G$8:$G$907,J599)</f>
        <v>0</v>
      </c>
      <c r="H599" s="21" t="n">
        <f aca="false">IFERROR(F599*G599,0)</f>
        <v>0</v>
      </c>
      <c r="I599" s="21" t="n">
        <f aca="false">F599+H599</f>
        <v>4605.8881997386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IF(B600="Clientes",SUMIFS(PARÂMETROS!$D$8:$D$907,PARÂMETROS!$A$8:$A$907,C600,PARÂMETROS!$G$8:$G$907,J600),SUMIFS(PARÂMETROS!$E$8:$E$907,PARÂMETROS!$A$8:$A$907,C600,PARÂMETROS!$G$8:$G$907,J600))</f>
        <v>0.06714940121395</v>
      </c>
      <c r="E600" s="22" t="n">
        <f aca="false">SUMIFS(SETORES!$D:$D,SETORES!$A:$A,A600,SETORES!$F:$F,J600)</f>
        <v>140869.007172667</v>
      </c>
      <c r="F600" s="22" t="n">
        <f aca="false">IFERROR(D600*E600,0)</f>
        <v>9459.26948124822</v>
      </c>
      <c r="G600" s="14" t="n">
        <f aca="false">SUMIFS(PARÂMETROS!$F$8:$F$907,PARÂMETROS!$A$8:$A$907,C600,PARÂMETROS!$G$8:$G$907,J600)</f>
        <v>0</v>
      </c>
      <c r="H600" s="22" t="n">
        <f aca="false">IFERROR(F600*G600,0)</f>
        <v>0</v>
      </c>
      <c r="I600" s="22" t="n">
        <f aca="false">F600+H600</f>
        <v>9459.26948124822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IF(B601="Clientes",SUMIFS(PARÂMETROS!$D$8:$D$907,PARÂMETROS!$A$8:$A$907,C601,PARÂMETROS!$G$8:$G$907,J601),SUMIFS(PARÂMETROS!$E$8:$E$907,PARÂMETROS!$A$8:$A$907,C601,PARÂMETROS!$G$8:$G$907,J601))</f>
        <v>0.0729015191745537</v>
      </c>
      <c r="E601" s="21" t="n">
        <f aca="false">SUMIFS(SETORES!$D:$D,SETORES!$A:$A,A601,SETORES!$F:$F,J601)</f>
        <v>140869.007172667</v>
      </c>
      <c r="F601" s="21" t="n">
        <f aca="false">IFERROR(D601*E601,0)</f>
        <v>10269.5646274985</v>
      </c>
      <c r="G601" s="9" t="n">
        <f aca="false">SUMIFS(PARÂMETROS!$F$8:$F$907,PARÂMETROS!$A$8:$A$907,C601,PARÂMETROS!$G$8:$G$907,J601)</f>
        <v>0</v>
      </c>
      <c r="H601" s="21" t="n">
        <f aca="false">IFERROR(F601*G601,0)</f>
        <v>0</v>
      </c>
      <c r="I601" s="21" t="n">
        <f aca="false">F601+H601</f>
        <v>10269.5646274985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IF(B602="Clientes",SUMIFS(PARÂMETROS!$D$8:$D$907,PARÂMETROS!$A$8:$A$907,C602,PARÂMETROS!$G$8:$G$907,J602),SUMIFS(PARÂMETROS!$E$8:$E$907,PARÂMETROS!$A$8:$A$907,C602,PARÂMETROS!$G$8:$G$907,J602))</f>
        <v>0.0186856981205116</v>
      </c>
      <c r="E602" s="22" t="n">
        <f aca="false">SUMIFS(SETORES!$D:$D,SETORES!$A:$A,A602,SETORES!$F:$F,J602)</f>
        <v>140869.007172667</v>
      </c>
      <c r="F602" s="22" t="n">
        <f aca="false">IFERROR(D602*E602,0)</f>
        <v>2632.23574256464</v>
      </c>
      <c r="G602" s="14" t="n">
        <f aca="false">SUMIFS(PARÂMETROS!$F$8:$F$907,PARÂMETROS!$A$8:$A$907,C602,PARÂMETROS!$G$8:$G$907,J602)</f>
        <v>0</v>
      </c>
      <c r="H602" s="22" t="n">
        <f aca="false">IFERROR(F602*G602,0)</f>
        <v>0</v>
      </c>
      <c r="I602" s="22" t="n">
        <f aca="false">F602+H602</f>
        <v>2632.23574256464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IF(B603="Clientes",SUMIFS(PARÂMETROS!$D$8:$D$907,PARÂMETROS!$A$8:$A$907,C603,PARÂMETROS!$G$8:$G$907,J603),SUMIFS(PARÂMETROS!$E$8:$E$907,PARÂMETROS!$A$8:$A$907,C603,PARÂMETROS!$G$8:$G$907,J603))</f>
        <v>0.0325969894436972</v>
      </c>
      <c r="E603" s="21" t="n">
        <f aca="false">SUMIFS(SETORES!$D:$D,SETORES!$A:$A,A603,SETORES!$F:$F,J603)</f>
        <v>140869.007172667</v>
      </c>
      <c r="F603" s="21" t="n">
        <f aca="false">IFERROR(D603*E603,0)</f>
        <v>4591.90553975154</v>
      </c>
      <c r="G603" s="9" t="n">
        <f aca="false">SUMIFS(PARÂMETROS!$F$8:$F$907,PARÂMETROS!$A$8:$A$907,C603,PARÂMETROS!$G$8:$G$907,J603)</f>
        <v>0</v>
      </c>
      <c r="H603" s="21" t="n">
        <f aca="false">IFERROR(F603*G603,0)</f>
        <v>0</v>
      </c>
      <c r="I603" s="21" t="n">
        <f aca="false">F603+H603</f>
        <v>4591.90553975154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IF(B604="Clientes",SUMIFS(PARÂMETROS!$D$8:$D$907,PARÂMETROS!$A$8:$A$907,C604,PARÂMETROS!$G$8:$G$907,J604),SUMIFS(PARÂMETROS!$E$8:$E$907,PARÂMETROS!$A$8:$A$907,C604,PARÂMETROS!$G$8:$G$907,J604))</f>
        <v>0.0238472189824856</v>
      </c>
      <c r="E604" s="22" t="n">
        <f aca="false">SUMIFS(SETORES!$D:$D,SETORES!$A:$A,A604,SETORES!$F:$F,J604)</f>
        <v>140869.007172667</v>
      </c>
      <c r="F604" s="22" t="n">
        <f aca="false">IFERROR(D604*E604,0)</f>
        <v>3359.33406189192</v>
      </c>
      <c r="G604" s="14" t="n">
        <f aca="false">SUMIFS(PARÂMETROS!$F$8:$F$907,PARÂMETROS!$A$8:$A$907,C604,PARÂMETROS!$G$8:$G$907,J604)</f>
        <v>0</v>
      </c>
      <c r="H604" s="22" t="n">
        <f aca="false">IFERROR(F604*G604,0)</f>
        <v>0</v>
      </c>
      <c r="I604" s="22" t="n">
        <f aca="false">F604+H604</f>
        <v>3359.33406189192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IF(B605="Clientes",SUMIFS(PARÂMETROS!$D$8:$D$907,PARÂMETROS!$A$8:$A$907,C605,PARÂMETROS!$G$8:$G$907,J605),SUMIFS(PARÂMETROS!$E$8:$E$907,PARÂMETROS!$A$8:$A$907,C605,PARÂMETROS!$G$8:$G$907,J605))</f>
        <v>0.0238521819833144</v>
      </c>
      <c r="E605" s="21" t="n">
        <f aca="false">SUMIFS(SETORES!$D:$D,SETORES!$A:$A,A605,SETORES!$F:$F,J605)</f>
        <v>140869.007172667</v>
      </c>
      <c r="F605" s="21" t="n">
        <f aca="false">IFERROR(D605*E605,0)</f>
        <v>3360.03319489127</v>
      </c>
      <c r="G605" s="9" t="n">
        <f aca="false">SUMIFS(PARÂMETROS!$F$8:$F$907,PARÂMETROS!$A$8:$A$907,C605,PARÂMETROS!$G$8:$G$907,J605)</f>
        <v>0</v>
      </c>
      <c r="H605" s="21" t="n">
        <f aca="false">IFERROR(F605*G605,0)</f>
        <v>0</v>
      </c>
      <c r="I605" s="21" t="n">
        <f aca="false">F605+H605</f>
        <v>3360.03319489127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IF(B606="Clientes",SUMIFS(PARÂMETROS!$D$8:$D$907,PARÂMETROS!$A$8:$A$907,C606,PARÂMETROS!$G$8:$G$907,J606),SUMIFS(PARÂMETROS!$E$8:$E$907,PARÂMETROS!$A$8:$A$907,C606,PARÂMETROS!$G$8:$G$907,J606))</f>
        <v>0.728270741621214</v>
      </c>
      <c r="E606" s="22" t="n">
        <f aca="false">SUMIFS(SETORES!$D:$D,SETORES!$A:$A,A606,SETORES!$F:$F,J606)</f>
        <v>140869.007172667</v>
      </c>
      <c r="F606" s="22" t="n">
        <f aca="false">IFERROR(D606*E606,0)</f>
        <v>102590.776325082</v>
      </c>
      <c r="G606" s="14" t="n">
        <f aca="false">SUMIFS(PARÂMETROS!$F$8:$F$907,PARÂMETROS!$A$8:$A$907,C606,PARÂMETROS!$G$8:$G$907,J606)</f>
        <v>0</v>
      </c>
      <c r="H606" s="22" t="n">
        <f aca="false">IFERROR(F606*G606,0)</f>
        <v>0</v>
      </c>
      <c r="I606" s="22" t="n">
        <f aca="false">F606+H606</f>
        <v>102590.776325082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IF(B607="Clientes",SUMIFS(PARÂMETROS!$D$8:$D$907,PARÂMETROS!$A$8:$A$907,C607,PARÂMETROS!$G$8:$G$907,J607),SUMIFS(PARÂMETROS!$E$8:$E$907,PARÂMETROS!$A$8:$A$907,C607,PARÂMETROS!$G$8:$G$907,J607))</f>
        <v>0.0326962494602737</v>
      </c>
      <c r="E607" s="21" t="n">
        <f aca="false">SUMIFS(SETORES!$D:$D,SETORES!$A:$A,A607,SETORES!$F:$F,J607)</f>
        <v>28891.437653</v>
      </c>
      <c r="F607" s="21" t="n">
        <f aca="false">IFERROR(D607*E607,0)</f>
        <v>944.641652768431</v>
      </c>
      <c r="G607" s="9" t="n">
        <f aca="false">SUMIFS(PARÂMETROS!$F$8:$F$907,PARÂMETROS!$A$8:$A$907,C607,PARÂMETROS!$G$8:$G$907,J607)</f>
        <v>0</v>
      </c>
      <c r="H607" s="21" t="n">
        <f aca="false">IFERROR(F607*G607,0)</f>
        <v>0</v>
      </c>
      <c r="I607" s="21" t="n">
        <f aca="false">F607+H607</f>
        <v>944.641652768431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IF(B608="Clientes",SUMIFS(PARÂMETROS!$D$8:$D$907,PARÂMETROS!$A$8:$A$907,C608,PARÂMETROS!$G$8:$G$907,J608),SUMIFS(PARÂMETROS!$E$8:$E$907,PARÂMETROS!$A$8:$A$907,C608,PARÂMETROS!$G$8:$G$907,J608))</f>
        <v>0.06714940121395</v>
      </c>
      <c r="E608" s="22" t="n">
        <f aca="false">SUMIFS(SETORES!$D:$D,SETORES!$A:$A,A608,SETORES!$F:$F,J608)</f>
        <v>28891.437653</v>
      </c>
      <c r="F608" s="22" t="n">
        <f aca="false">IFERROR(D608*E608,0)</f>
        <v>1940.04273860912</v>
      </c>
      <c r="G608" s="14" t="n">
        <f aca="false">SUMIFS(PARÂMETROS!$F$8:$F$907,PARÂMETROS!$A$8:$A$907,C608,PARÂMETROS!$G$8:$G$907,J608)</f>
        <v>0</v>
      </c>
      <c r="H608" s="22" t="n">
        <f aca="false">IFERROR(F608*G608,0)</f>
        <v>0</v>
      </c>
      <c r="I608" s="22" t="n">
        <f aca="false">F608+H608</f>
        <v>1940.04273860912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IF(B609="Clientes",SUMIFS(PARÂMETROS!$D$8:$D$907,PARÂMETROS!$A$8:$A$907,C609,PARÂMETROS!$G$8:$G$907,J609),SUMIFS(PARÂMETROS!$E$8:$E$907,PARÂMETROS!$A$8:$A$907,C609,PARÂMETROS!$G$8:$G$907,J609))</f>
        <v>0.0729015191745537</v>
      </c>
      <c r="E609" s="21" t="n">
        <f aca="false">SUMIFS(SETORES!$D:$D,SETORES!$A:$A,A609,SETORES!$F:$F,J609)</f>
        <v>28891.437653</v>
      </c>
      <c r="F609" s="21" t="n">
        <f aca="false">IFERROR(D609*E609,0)</f>
        <v>2106.2296960406</v>
      </c>
      <c r="G609" s="9" t="n">
        <f aca="false">SUMIFS(PARÂMETROS!$F$8:$F$907,PARÂMETROS!$A$8:$A$907,C609,PARÂMETROS!$G$8:$G$907,J609)</f>
        <v>0</v>
      </c>
      <c r="H609" s="21" t="n">
        <f aca="false">IFERROR(F609*G609,0)</f>
        <v>0</v>
      </c>
      <c r="I609" s="21" t="n">
        <f aca="false">F609+H609</f>
        <v>2106.2296960406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IF(B610="Clientes",SUMIFS(PARÂMETROS!$D$8:$D$907,PARÂMETROS!$A$8:$A$907,C610,PARÂMETROS!$G$8:$G$907,J610),SUMIFS(PARÂMETROS!$E$8:$E$907,PARÂMETROS!$A$8:$A$907,C610,PARÂMETROS!$G$8:$G$907,J610))</f>
        <v>0.0186856981205116</v>
      </c>
      <c r="E610" s="22" t="n">
        <f aca="false">SUMIFS(SETORES!$D:$D,SETORES!$A:$A,A610,SETORES!$F:$F,J610)</f>
        <v>28891.437653</v>
      </c>
      <c r="F610" s="22" t="n">
        <f aca="false">IFERROR(D610*E610,0)</f>
        <v>539.85668225154</v>
      </c>
      <c r="G610" s="14" t="n">
        <f aca="false">SUMIFS(PARÂMETROS!$F$8:$F$907,PARÂMETROS!$A$8:$A$907,C610,PARÂMETROS!$G$8:$G$907,J610)</f>
        <v>0</v>
      </c>
      <c r="H610" s="22" t="n">
        <f aca="false">IFERROR(F610*G610,0)</f>
        <v>0</v>
      </c>
      <c r="I610" s="22" t="n">
        <f aca="false">F610+H610</f>
        <v>539.85668225154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IF(B611="Clientes",SUMIFS(PARÂMETROS!$D$8:$D$907,PARÂMETROS!$A$8:$A$907,C611,PARÂMETROS!$G$8:$G$907,J611),SUMIFS(PARÂMETROS!$E$8:$E$907,PARÂMETROS!$A$8:$A$907,C611,PARÂMETROS!$G$8:$G$907,J611))</f>
        <v>0.0325969894436972</v>
      </c>
      <c r="E611" s="21" t="n">
        <f aca="false">SUMIFS(SETORES!$D:$D,SETORES!$A:$A,A611,SETORES!$F:$F,J611)</f>
        <v>28891.437653</v>
      </c>
      <c r="F611" s="21" t="n">
        <f aca="false">IFERROR(D611*E611,0)</f>
        <v>941.773888188078</v>
      </c>
      <c r="G611" s="9" t="n">
        <f aca="false">SUMIFS(PARÂMETROS!$F$8:$F$907,PARÂMETROS!$A$8:$A$907,C611,PARÂMETROS!$G$8:$G$907,J611)</f>
        <v>0</v>
      </c>
      <c r="H611" s="21" t="n">
        <f aca="false">IFERROR(F611*G611,0)</f>
        <v>0</v>
      </c>
      <c r="I611" s="21" t="n">
        <f aca="false">F611+H611</f>
        <v>941.773888188078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IF(B612="Clientes",SUMIFS(PARÂMETROS!$D$8:$D$907,PARÂMETROS!$A$8:$A$907,C612,PARÂMETROS!$G$8:$G$907,J612),SUMIFS(PARÂMETROS!$E$8:$E$907,PARÂMETROS!$A$8:$A$907,C612,PARÂMETROS!$G$8:$G$907,J612))</f>
        <v>0.0238472189824856</v>
      </c>
      <c r="E612" s="22" t="n">
        <f aca="false">SUMIFS(SETORES!$D:$D,SETORES!$A:$A,A612,SETORES!$F:$F,J612)</f>
        <v>28891.437653</v>
      </c>
      <c r="F612" s="22" t="n">
        <f aca="false">IFERROR(D612*E612,0)</f>
        <v>688.98044042992</v>
      </c>
      <c r="G612" s="14" t="n">
        <f aca="false">SUMIFS(PARÂMETROS!$F$8:$F$907,PARÂMETROS!$A$8:$A$907,C612,PARÂMETROS!$G$8:$G$907,J612)</f>
        <v>0</v>
      </c>
      <c r="H612" s="22" t="n">
        <f aca="false">IFERROR(F612*G612,0)</f>
        <v>0</v>
      </c>
      <c r="I612" s="22" t="n">
        <f aca="false">F612+H612</f>
        <v>688.98044042992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IF(B613="Clientes",SUMIFS(PARÂMETROS!$D$8:$D$907,PARÂMETROS!$A$8:$A$907,C613,PARÂMETROS!$G$8:$G$907,J613),SUMIFS(PARÂMETROS!$E$8:$E$907,PARÂMETROS!$A$8:$A$907,C613,PARÂMETROS!$G$8:$G$907,J613))</f>
        <v>0.0238521819833144</v>
      </c>
      <c r="E613" s="21" t="n">
        <f aca="false">SUMIFS(SETORES!$D:$D,SETORES!$A:$A,A613,SETORES!$F:$F,J613)</f>
        <v>28891.437653</v>
      </c>
      <c r="F613" s="21" t="n">
        <f aca="false">IFERROR(D613*E613,0)</f>
        <v>689.123828658938</v>
      </c>
      <c r="G613" s="9" t="n">
        <f aca="false">SUMIFS(PARÂMETROS!$F$8:$F$907,PARÂMETROS!$A$8:$A$907,C613,PARÂMETROS!$G$8:$G$907,J613)</f>
        <v>0</v>
      </c>
      <c r="H613" s="21" t="n">
        <f aca="false">IFERROR(F613*G613,0)</f>
        <v>0</v>
      </c>
      <c r="I613" s="21" t="n">
        <f aca="false">F613+H613</f>
        <v>689.123828658938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IF(B614="Clientes",SUMIFS(PARÂMETROS!$D$8:$D$907,PARÂMETROS!$A$8:$A$907,C614,PARÂMETROS!$G$8:$G$907,J614),SUMIFS(PARÂMETROS!$E$8:$E$907,PARÂMETROS!$A$8:$A$907,C614,PARÂMETROS!$G$8:$G$907,J614))</f>
        <v>0.728270741621214</v>
      </c>
      <c r="E614" s="22" t="n">
        <f aca="false">SUMIFS(SETORES!$D:$D,SETORES!$A:$A,A614,SETORES!$F:$F,J614)</f>
        <v>28891.437653</v>
      </c>
      <c r="F614" s="22" t="n">
        <f aca="false">IFERROR(D614*E614,0)</f>
        <v>21040.7887260534</v>
      </c>
      <c r="G614" s="14" t="n">
        <f aca="false">SUMIFS(PARÂMETROS!$F$8:$F$907,PARÂMETROS!$A$8:$A$907,C614,PARÂMETROS!$G$8:$G$907,J614)</f>
        <v>0</v>
      </c>
      <c r="H614" s="22" t="n">
        <f aca="false">IFERROR(F614*G614,0)</f>
        <v>0</v>
      </c>
      <c r="I614" s="22" t="n">
        <f aca="false">F614+H614</f>
        <v>21040.7887260534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IF(B615="Clientes",SUMIFS(PARÂMETROS!$D$8:$D$907,PARÂMETROS!$A$8:$A$907,C615,PARÂMETROS!$G$8:$G$907,J615),SUMIFS(PARÂMETROS!$E$8:$E$907,PARÂMETROS!$A$8:$A$907,C615,PARÂMETROS!$G$8:$G$907,J615))</f>
        <v>0.0326962494602737</v>
      </c>
      <c r="E615" s="21" t="n">
        <f aca="false">SUMIFS(SETORES!$D:$D,SETORES!$A:$A,A615,SETORES!$F:$F,J615)</f>
        <v>213378.496518</v>
      </c>
      <c r="F615" s="21" t="n">
        <f aca="false">IFERROR(D615*E615,0)</f>
        <v>6976.67655161066</v>
      </c>
      <c r="G615" s="9" t="n">
        <f aca="false">SUMIFS(PARÂMETROS!$F$8:$F$907,PARÂMETROS!$A$8:$A$907,C615,PARÂMETROS!$G$8:$G$907,J615)</f>
        <v>0</v>
      </c>
      <c r="H615" s="21" t="n">
        <f aca="false">IFERROR(F615*G615,0)</f>
        <v>0</v>
      </c>
      <c r="I615" s="21" t="n">
        <f aca="false">F615+H615</f>
        <v>6976.67655161066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IF(B616="Clientes",SUMIFS(PARÂMETROS!$D$8:$D$907,PARÂMETROS!$A$8:$A$907,C616,PARÂMETROS!$G$8:$G$907,J616),SUMIFS(PARÂMETROS!$E$8:$E$907,PARÂMETROS!$A$8:$A$907,C616,PARÂMETROS!$G$8:$G$907,J616))</f>
        <v>0.06714940121395</v>
      </c>
      <c r="E616" s="22" t="n">
        <f aca="false">SUMIFS(SETORES!$D:$D,SETORES!$A:$A,A616,SETORES!$F:$F,J616)</f>
        <v>213378.496518</v>
      </c>
      <c r="F616" s="22" t="n">
        <f aca="false">IFERROR(D616*E616,0)</f>
        <v>14328.2382731166</v>
      </c>
      <c r="G616" s="14" t="n">
        <f aca="false">SUMIFS(PARÂMETROS!$F$8:$F$907,PARÂMETROS!$A$8:$A$907,C616,PARÂMETROS!$G$8:$G$907,J616)</f>
        <v>0</v>
      </c>
      <c r="H616" s="22" t="n">
        <f aca="false">IFERROR(F616*G616,0)</f>
        <v>0</v>
      </c>
      <c r="I616" s="22" t="n">
        <f aca="false">F616+H616</f>
        <v>14328.2382731166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IF(B617="Clientes",SUMIFS(PARÂMETROS!$D$8:$D$907,PARÂMETROS!$A$8:$A$907,C617,PARÂMETROS!$G$8:$G$907,J617),SUMIFS(PARÂMETROS!$E$8:$E$907,PARÂMETROS!$A$8:$A$907,C617,PARÂMETROS!$G$8:$G$907,J617))</f>
        <v>0.0729015191745537</v>
      </c>
      <c r="E617" s="21" t="n">
        <f aca="false">SUMIFS(SETORES!$D:$D,SETORES!$A:$A,A617,SETORES!$F:$F,J617)</f>
        <v>213378.496518</v>
      </c>
      <c r="F617" s="21" t="n">
        <f aca="false">IFERROR(D617*E617,0)</f>
        <v>15555.6165553444</v>
      </c>
      <c r="G617" s="9" t="n">
        <f aca="false">SUMIFS(PARÂMETROS!$F$8:$F$907,PARÂMETROS!$A$8:$A$907,C617,PARÂMETROS!$G$8:$G$907,J617)</f>
        <v>0</v>
      </c>
      <c r="H617" s="21" t="n">
        <f aca="false">IFERROR(F617*G617,0)</f>
        <v>0</v>
      </c>
      <c r="I617" s="21" t="n">
        <f aca="false">F617+H617</f>
        <v>15555.6165553444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IF(B618="Clientes",SUMIFS(PARÂMETROS!$D$8:$D$907,PARÂMETROS!$A$8:$A$907,C618,PARÂMETROS!$G$8:$G$907,J618),SUMIFS(PARÂMETROS!$E$8:$E$907,PARÂMETROS!$A$8:$A$907,C618,PARÂMETROS!$G$8:$G$907,J618))</f>
        <v>0.0186856981205116</v>
      </c>
      <c r="E618" s="22" t="n">
        <f aca="false">SUMIFS(SETORES!$D:$D,SETORES!$A:$A,A618,SETORES!$F:$F,J618)</f>
        <v>213378.496518</v>
      </c>
      <c r="F618" s="22" t="n">
        <f aca="false">IFERROR(D618*E618,0)</f>
        <v>3987.12617134398</v>
      </c>
      <c r="G618" s="14" t="n">
        <f aca="false">SUMIFS(PARÂMETROS!$F$8:$F$907,PARÂMETROS!$A$8:$A$907,C618,PARÂMETROS!$G$8:$G$907,J618)</f>
        <v>0</v>
      </c>
      <c r="H618" s="22" t="n">
        <f aca="false">IFERROR(F618*G618,0)</f>
        <v>0</v>
      </c>
      <c r="I618" s="22" t="n">
        <f aca="false">F618+H618</f>
        <v>3987.12617134398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IF(B619="Clientes",SUMIFS(PARÂMETROS!$D$8:$D$907,PARÂMETROS!$A$8:$A$907,C619,PARÂMETROS!$G$8:$G$907,J619),SUMIFS(PARÂMETROS!$E$8:$E$907,PARÂMETROS!$A$8:$A$907,C619,PARÂMETROS!$G$8:$G$907,J619))</f>
        <v>0.0325969894436972</v>
      </c>
      <c r="E619" s="21" t="n">
        <f aca="false">SUMIFS(SETORES!$D:$D,SETORES!$A:$A,A619,SETORES!$F:$F,J619)</f>
        <v>213378.496518</v>
      </c>
      <c r="F619" s="21" t="n">
        <f aca="false">IFERROR(D619*E619,0)</f>
        <v>6955.49659850923</v>
      </c>
      <c r="G619" s="9" t="n">
        <f aca="false">SUMIFS(PARÂMETROS!$F$8:$F$907,PARÂMETROS!$A$8:$A$907,C619,PARÂMETROS!$G$8:$G$907,J619)</f>
        <v>0</v>
      </c>
      <c r="H619" s="21" t="n">
        <f aca="false">IFERROR(F619*G619,0)</f>
        <v>0</v>
      </c>
      <c r="I619" s="21" t="n">
        <f aca="false">F619+H619</f>
        <v>6955.49659850923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IF(B620="Clientes",SUMIFS(PARÂMETROS!$D$8:$D$907,PARÂMETROS!$A$8:$A$907,C620,PARÂMETROS!$G$8:$G$907,J620),SUMIFS(PARÂMETROS!$E$8:$E$907,PARÂMETROS!$A$8:$A$907,C620,PARÂMETROS!$G$8:$G$907,J620))</f>
        <v>0.0238472189824856</v>
      </c>
      <c r="E620" s="22" t="n">
        <f aca="false">SUMIFS(SETORES!$D:$D,SETORES!$A:$A,A620,SETORES!$F:$F,J620)</f>
        <v>213378.496518</v>
      </c>
      <c r="F620" s="22" t="n">
        <f aca="false">IFERROR(D620*E620,0)</f>
        <v>5088.48373261828</v>
      </c>
      <c r="G620" s="14" t="n">
        <f aca="false">SUMIFS(PARÂMETROS!$F$8:$F$907,PARÂMETROS!$A$8:$A$907,C620,PARÂMETROS!$G$8:$G$907,J620)</f>
        <v>0</v>
      </c>
      <c r="H620" s="22" t="n">
        <f aca="false">IFERROR(F620*G620,0)</f>
        <v>0</v>
      </c>
      <c r="I620" s="22" t="n">
        <f aca="false">F620+H620</f>
        <v>5088.48373261828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IF(B621="Clientes",SUMIFS(PARÂMETROS!$D$8:$D$907,PARÂMETROS!$A$8:$A$907,C621,PARÂMETROS!$G$8:$G$907,J621),SUMIFS(PARÂMETROS!$E$8:$E$907,PARÂMETROS!$A$8:$A$907,C621,PARÂMETROS!$G$8:$G$907,J621))</f>
        <v>0.0238521819833144</v>
      </c>
      <c r="E621" s="21" t="n">
        <f aca="false">SUMIFS(SETORES!$D:$D,SETORES!$A:$A,A621,SETORES!$F:$F,J621)</f>
        <v>213378.496518</v>
      </c>
      <c r="F621" s="21" t="n">
        <f aca="false">IFERROR(D621*E621,0)</f>
        <v>5089.54273027335</v>
      </c>
      <c r="G621" s="9" t="n">
        <f aca="false">SUMIFS(PARÂMETROS!$F$8:$F$907,PARÂMETROS!$A$8:$A$907,C621,PARÂMETROS!$G$8:$G$907,J621)</f>
        <v>0</v>
      </c>
      <c r="H621" s="21" t="n">
        <f aca="false">IFERROR(F621*G621,0)</f>
        <v>0</v>
      </c>
      <c r="I621" s="21" t="n">
        <f aca="false">F621+H621</f>
        <v>5089.54273027335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IF(B622="Clientes",SUMIFS(PARÂMETROS!$D$8:$D$907,PARÂMETROS!$A$8:$A$907,C622,PARÂMETROS!$G$8:$G$907,J622),SUMIFS(PARÂMETROS!$E$8:$E$907,PARÂMETROS!$A$8:$A$907,C622,PARÂMETROS!$G$8:$G$907,J622))</f>
        <v>0.728270741621214</v>
      </c>
      <c r="E622" s="22" t="n">
        <f aca="false">SUMIFS(SETORES!$D:$D,SETORES!$A:$A,A622,SETORES!$F:$F,J622)</f>
        <v>213378.496518</v>
      </c>
      <c r="F622" s="22" t="n">
        <f aca="false">IFERROR(D622*E622,0)</f>
        <v>155397.315905183</v>
      </c>
      <c r="G622" s="14" t="n">
        <f aca="false">SUMIFS(PARÂMETROS!$F$8:$F$907,PARÂMETROS!$A$8:$A$907,C622,PARÂMETROS!$G$8:$G$907,J622)</f>
        <v>0</v>
      </c>
      <c r="H622" s="22" t="n">
        <f aca="false">IFERROR(F622*G622,0)</f>
        <v>0</v>
      </c>
      <c r="I622" s="22" t="n">
        <f aca="false">F622+H622</f>
        <v>155397.315905183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IF(B623="Clientes",SUMIFS(PARÂMETROS!$D$8:$D$907,PARÂMETROS!$A$8:$A$907,C623,PARÂMETROS!$G$8:$G$907,J623),SUMIFS(PARÂMETROS!$E$8:$E$907,PARÂMETROS!$A$8:$A$907,C623,PARÂMETROS!$G$8:$G$907,J623))</f>
        <v>0.0326962494602737</v>
      </c>
      <c r="E623" s="21" t="n">
        <f aca="false">SUMIFS(SETORES!$D:$D,SETORES!$A:$A,A623,SETORES!$F:$F,J623)</f>
        <v>126197.894012</v>
      </c>
      <c r="F623" s="21" t="n">
        <f aca="false">IFERROR(D623*E623,0)</f>
        <v>4126.19782397753</v>
      </c>
      <c r="G623" s="9" t="n">
        <f aca="false">SUMIFS(PARÂMETROS!$F$8:$F$907,PARÂMETROS!$A$8:$A$907,C623,PARÂMETROS!$G$8:$G$907,J623)</f>
        <v>0</v>
      </c>
      <c r="H623" s="21" t="n">
        <f aca="false">IFERROR(F623*G623,0)</f>
        <v>0</v>
      </c>
      <c r="I623" s="21" t="n">
        <f aca="false">F623+H623</f>
        <v>4126.19782397753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IF(B624="Clientes",SUMIFS(PARÂMETROS!$D$8:$D$907,PARÂMETROS!$A$8:$A$907,C624,PARÂMETROS!$G$8:$G$907,J624),SUMIFS(PARÂMETROS!$E$8:$E$907,PARÂMETROS!$A$8:$A$907,C624,PARÂMETROS!$G$8:$G$907,J624))</f>
        <v>0.06714940121395</v>
      </c>
      <c r="E624" s="22" t="n">
        <f aca="false">SUMIFS(SETORES!$D:$D,SETORES!$A:$A,A624,SETORES!$F:$F,J624)</f>
        <v>126197.894012</v>
      </c>
      <c r="F624" s="22" t="n">
        <f aca="false">IFERROR(D624*E624,0)</f>
        <v>8474.11301736733</v>
      </c>
      <c r="G624" s="14" t="n">
        <f aca="false">SUMIFS(PARÂMETROS!$F$8:$F$907,PARÂMETROS!$A$8:$A$907,C624,PARÂMETROS!$G$8:$G$907,J624)</f>
        <v>0</v>
      </c>
      <c r="H624" s="22" t="n">
        <f aca="false">IFERROR(F624*G624,0)</f>
        <v>0</v>
      </c>
      <c r="I624" s="22" t="n">
        <f aca="false">F624+H624</f>
        <v>8474.11301736733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IF(B625="Clientes",SUMIFS(PARÂMETROS!$D$8:$D$907,PARÂMETROS!$A$8:$A$907,C625,PARÂMETROS!$G$8:$G$907,J625),SUMIFS(PARÂMETROS!$E$8:$E$907,PARÂMETROS!$A$8:$A$907,C625,PARÂMETROS!$G$8:$G$907,J625))</f>
        <v>0.0729015191745537</v>
      </c>
      <c r="E625" s="21" t="n">
        <f aca="false">SUMIFS(SETORES!$D:$D,SETORES!$A:$A,A625,SETORES!$F:$F,J625)</f>
        <v>126197.894012</v>
      </c>
      <c r="F625" s="21" t="n">
        <f aca="false">IFERROR(D625*E625,0)</f>
        <v>9200.01819010411</v>
      </c>
      <c r="G625" s="9" t="n">
        <f aca="false">SUMIFS(PARÂMETROS!$F$8:$F$907,PARÂMETROS!$A$8:$A$907,C625,PARÂMETROS!$G$8:$G$907,J625)</f>
        <v>0</v>
      </c>
      <c r="H625" s="21" t="n">
        <f aca="false">IFERROR(F625*G625,0)</f>
        <v>0</v>
      </c>
      <c r="I625" s="21" t="n">
        <f aca="false">F625+H625</f>
        <v>9200.01819010411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IF(B626="Clientes",SUMIFS(PARÂMETROS!$D$8:$D$907,PARÂMETROS!$A$8:$A$907,C626,PARÂMETROS!$G$8:$G$907,J626),SUMIFS(PARÂMETROS!$E$8:$E$907,PARÂMETROS!$A$8:$A$907,C626,PARÂMETROS!$G$8:$G$907,J626))</f>
        <v>0.0186856981205116</v>
      </c>
      <c r="E626" s="22" t="n">
        <f aca="false">SUMIFS(SETORES!$D:$D,SETORES!$A:$A,A626,SETORES!$F:$F,J626)</f>
        <v>126197.894012</v>
      </c>
      <c r="F626" s="22" t="n">
        <f aca="false">IFERROR(D626*E626,0)</f>
        <v>2358.09575095255</v>
      </c>
      <c r="G626" s="14" t="n">
        <f aca="false">SUMIFS(PARÂMETROS!$F$8:$F$907,PARÂMETROS!$A$8:$A$907,C626,PARÂMETROS!$G$8:$G$907,J626)</f>
        <v>0</v>
      </c>
      <c r="H626" s="22" t="n">
        <f aca="false">IFERROR(F626*G626,0)</f>
        <v>0</v>
      </c>
      <c r="I626" s="22" t="n">
        <f aca="false">F626+H626</f>
        <v>2358.09575095255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IF(B627="Clientes",SUMIFS(PARÂMETROS!$D$8:$D$907,PARÂMETROS!$A$8:$A$907,C627,PARÂMETROS!$G$8:$G$907,J627),SUMIFS(PARÂMETROS!$E$8:$E$907,PARÂMETROS!$A$8:$A$907,C627,PARÂMETROS!$G$8:$G$907,J627))</f>
        <v>0.0325969894436972</v>
      </c>
      <c r="E627" s="21" t="n">
        <f aca="false">SUMIFS(SETORES!$D:$D,SETORES!$A:$A,A627,SETORES!$F:$F,J627)</f>
        <v>126197.894012</v>
      </c>
      <c r="F627" s="21" t="n">
        <f aca="false">IFERROR(D627*E627,0)</f>
        <v>4113.67141892599</v>
      </c>
      <c r="G627" s="9" t="n">
        <f aca="false">SUMIFS(PARÂMETROS!$F$8:$F$907,PARÂMETROS!$A$8:$A$907,C627,PARÂMETROS!$G$8:$G$907,J627)</f>
        <v>0</v>
      </c>
      <c r="H627" s="21" t="n">
        <f aca="false">IFERROR(F627*G627,0)</f>
        <v>0</v>
      </c>
      <c r="I627" s="21" t="n">
        <f aca="false">F627+H627</f>
        <v>4113.67141892599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IF(B628="Clientes",SUMIFS(PARÂMETROS!$D$8:$D$907,PARÂMETROS!$A$8:$A$907,C628,PARÂMETROS!$G$8:$G$907,J628),SUMIFS(PARÂMETROS!$E$8:$E$907,PARÂMETROS!$A$8:$A$907,C628,PARÂMETROS!$G$8:$G$907,J628))</f>
        <v>0.0238472189824856</v>
      </c>
      <c r="E628" s="22" t="n">
        <f aca="false">SUMIFS(SETORES!$D:$D,SETORES!$A:$A,A628,SETORES!$F:$F,J628)</f>
        <v>126197.894012</v>
      </c>
      <c r="F628" s="22" t="n">
        <f aca="false">IFERROR(D628*E628,0)</f>
        <v>3009.46881363267</v>
      </c>
      <c r="G628" s="14" t="n">
        <f aca="false">SUMIFS(PARÂMETROS!$F$8:$F$907,PARÂMETROS!$A$8:$A$907,C628,PARÂMETROS!$G$8:$G$907,J628)</f>
        <v>0</v>
      </c>
      <c r="H628" s="22" t="n">
        <f aca="false">IFERROR(F628*G628,0)</f>
        <v>0</v>
      </c>
      <c r="I628" s="22" t="n">
        <f aca="false">F628+H628</f>
        <v>3009.46881363267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IF(B629="Clientes",SUMIFS(PARÂMETROS!$D$8:$D$907,PARÂMETROS!$A$8:$A$907,C629,PARÂMETROS!$G$8:$G$907,J629),SUMIFS(PARÂMETROS!$E$8:$E$907,PARÂMETROS!$A$8:$A$907,C629,PARÂMETROS!$G$8:$G$907,J629))</f>
        <v>0.0238521819833144</v>
      </c>
      <c r="E629" s="21" t="n">
        <f aca="false">SUMIFS(SETORES!$D:$D,SETORES!$A:$A,A629,SETORES!$F:$F,J629)</f>
        <v>126197.894012</v>
      </c>
      <c r="F629" s="21" t="n">
        <f aca="false">IFERROR(D629*E629,0)</f>
        <v>3010.09513388525</v>
      </c>
      <c r="G629" s="9" t="n">
        <f aca="false">SUMIFS(PARÂMETROS!$F$8:$F$907,PARÂMETROS!$A$8:$A$907,C629,PARÂMETROS!$G$8:$G$907,J629)</f>
        <v>0</v>
      </c>
      <c r="H629" s="21" t="n">
        <f aca="false">IFERROR(F629*G629,0)</f>
        <v>0</v>
      </c>
      <c r="I629" s="21" t="n">
        <f aca="false">F629+H629</f>
        <v>3010.09513388525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IF(B630="Clientes",SUMIFS(PARÂMETROS!$D$8:$D$907,PARÂMETROS!$A$8:$A$907,C630,PARÂMETROS!$G$8:$G$907,J630),SUMIFS(PARÂMETROS!$E$8:$E$907,PARÂMETROS!$A$8:$A$907,C630,PARÂMETROS!$G$8:$G$907,J630))</f>
        <v>0.728270741621214</v>
      </c>
      <c r="E630" s="22" t="n">
        <f aca="false">SUMIFS(SETORES!$D:$D,SETORES!$A:$A,A630,SETORES!$F:$F,J630)</f>
        <v>126197.894012</v>
      </c>
      <c r="F630" s="22" t="n">
        <f aca="false">IFERROR(D630*E630,0)</f>
        <v>91906.2338631546</v>
      </c>
      <c r="G630" s="14" t="n">
        <f aca="false">SUMIFS(PARÂMETROS!$F$8:$F$907,PARÂMETROS!$A$8:$A$907,C630,PARÂMETROS!$G$8:$G$907,J630)</f>
        <v>0</v>
      </c>
      <c r="H630" s="22" t="n">
        <f aca="false">IFERROR(F630*G630,0)</f>
        <v>0</v>
      </c>
      <c r="I630" s="22" t="n">
        <f aca="false">F630+H630</f>
        <v>91906.2338631546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IF(B631="Clientes",SUMIFS(PARÂMETROS!$D$8:$D$907,PARÂMETROS!$A$8:$A$907,C631,PARÂMETROS!$G$8:$G$907,J631),SUMIFS(PARÂMETROS!$E$8:$E$907,PARÂMETROS!$A$8:$A$907,C631,PARÂMETROS!$G$8:$G$907,J631))</f>
        <v>0.0311926605504587</v>
      </c>
      <c r="E631" s="21" t="n">
        <f aca="false">SUMIFS(SETORES!$D:$D,SETORES!$A:$A,A631,SETORES!$F:$F,J631)</f>
        <v>23776.09</v>
      </c>
      <c r="F631" s="21" t="n">
        <f aca="false">IFERROR(D631*E631,0)</f>
        <v>741.639504587156</v>
      </c>
      <c r="G631" s="9" t="n">
        <f aca="false">SUMIFS(PARÂMETROS!$F$8:$F$907,PARÂMETROS!$A$8:$A$907,C631,PARÂMETROS!$G$8:$G$907,J631)</f>
        <v>0</v>
      </c>
      <c r="H631" s="21" t="n">
        <f aca="false">IFERROR(F631*G631,0)</f>
        <v>0</v>
      </c>
      <c r="I631" s="21" t="n">
        <f aca="false">F631+H631</f>
        <v>741.639504587156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IF(B632="Clientes",SUMIFS(PARÂMETROS!$D$8:$D$907,PARÂMETROS!$A$8:$A$907,C632,PARÂMETROS!$G$8:$G$907,J632),SUMIFS(PARÂMETROS!$E$8:$E$907,PARÂMETROS!$A$8:$A$907,C632,PARÂMETROS!$G$8:$G$907,J632))</f>
        <v>0</v>
      </c>
      <c r="E632" s="22" t="n">
        <f aca="false">SUMIFS(SETORES!$D:$D,SETORES!$A:$A,A632,SETORES!$F:$F,J632)</f>
        <v>23776.09</v>
      </c>
      <c r="F632" s="22" t="n">
        <f aca="false">IFERROR(D632*E632,0)</f>
        <v>0</v>
      </c>
      <c r="G632" s="14" t="n">
        <f aca="false">SUMIFS(PARÂMETROS!$F$8:$F$907,PARÂMETROS!$A$8:$A$907,C632,PARÂMETROS!$G$8:$G$907,J632)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IF(B633="Clientes",SUMIFS(PARÂMETROS!$D$8:$D$907,PARÂMETROS!$A$8:$A$907,C633,PARÂMETROS!$G$8:$G$907,J633),SUMIFS(PARÂMETROS!$E$8:$E$907,PARÂMETROS!$A$8:$A$907,C633,PARÂMETROS!$G$8:$G$907,J633))</f>
        <v>0.0431192660550459</v>
      </c>
      <c r="E633" s="21" t="n">
        <f aca="false">SUMIFS(SETORES!$D:$D,SETORES!$A:$A,A633,SETORES!$F:$F,J633)</f>
        <v>23776.09</v>
      </c>
      <c r="F633" s="21" t="n">
        <f aca="false">IFERROR(D633*E633,0)</f>
        <v>1025.20755045872</v>
      </c>
      <c r="G633" s="9" t="n">
        <f aca="false">SUMIFS(PARÂMETROS!$F$8:$F$907,PARÂMETROS!$A$8:$A$907,C633,PARÂMETROS!$G$8:$G$907,J633)</f>
        <v>0</v>
      </c>
      <c r="H633" s="21" t="n">
        <f aca="false">IFERROR(F633*G633,0)</f>
        <v>0</v>
      </c>
      <c r="I633" s="21" t="n">
        <f aca="false">F633+H633</f>
        <v>1025.20755045872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IF(B634="Clientes",SUMIFS(PARÂMETROS!$D$8:$D$907,PARÂMETROS!$A$8:$A$907,C634,PARÂMETROS!$G$8:$G$907,J634),SUMIFS(PARÂMETROS!$E$8:$E$907,PARÂMETROS!$A$8:$A$907,C634,PARÂMETROS!$G$8:$G$907,J634))</f>
        <v>0.0100917431192661</v>
      </c>
      <c r="E634" s="22" t="n">
        <f aca="false">SUMIFS(SETORES!$D:$D,SETORES!$A:$A,A634,SETORES!$F:$F,J634)</f>
        <v>23776.09</v>
      </c>
      <c r="F634" s="22" t="n">
        <f aca="false">IFERROR(D634*E634,0)</f>
        <v>239.94219266055</v>
      </c>
      <c r="G634" s="14" t="n">
        <f aca="false">SUMIFS(PARÂMETROS!$F$8:$F$907,PARÂMETROS!$A$8:$A$907,C634,PARÂMETROS!$G$8:$G$907,J634)</f>
        <v>0</v>
      </c>
      <c r="H634" s="22" t="n">
        <f aca="false">IFERROR(F634*G634,0)</f>
        <v>0</v>
      </c>
      <c r="I634" s="22" t="n">
        <f aca="false">F634+H634</f>
        <v>239.94219266055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IF(B635="Clientes",SUMIFS(PARÂMETROS!$D$8:$D$907,PARÂMETROS!$A$8:$A$907,C635,PARÂMETROS!$G$8:$G$907,J635),SUMIFS(PARÂMETROS!$E$8:$E$907,PARÂMETROS!$A$8:$A$907,C635,PARÂMETROS!$G$8:$G$907,J635))</f>
        <v>0.0458715596330275</v>
      </c>
      <c r="E635" s="21" t="n">
        <f aca="false">SUMIFS(SETORES!$D:$D,SETORES!$A:$A,A635,SETORES!$F:$F,J635)</f>
        <v>23776.09</v>
      </c>
      <c r="F635" s="21" t="n">
        <f aca="false">IFERROR(D635*E635,0)</f>
        <v>1090.64633027523</v>
      </c>
      <c r="G635" s="9" t="n">
        <f aca="false">SUMIFS(PARÂMETROS!$F$8:$F$907,PARÂMETROS!$A$8:$A$907,C635,PARÂMETROS!$G$8:$G$907,J635)</f>
        <v>0</v>
      </c>
      <c r="H635" s="21" t="n">
        <f aca="false">IFERROR(F635*G635,0)</f>
        <v>0</v>
      </c>
      <c r="I635" s="21" t="n">
        <f aca="false">F635+H635</f>
        <v>1090.64633027523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IF(B636="Clientes",SUMIFS(PARÂMETROS!$D$8:$D$907,PARÂMETROS!$A$8:$A$907,C636,PARÂMETROS!$G$8:$G$907,J636),SUMIFS(PARÂMETROS!$E$8:$E$907,PARÂMETROS!$A$8:$A$907,C636,PARÂMETROS!$G$8:$G$907,J636))</f>
        <v>0.0165137614678899</v>
      </c>
      <c r="E636" s="22" t="n">
        <f aca="false">SUMIFS(SETORES!$D:$D,SETORES!$A:$A,A636,SETORES!$F:$F,J636)</f>
        <v>23776.09</v>
      </c>
      <c r="F636" s="22" t="n">
        <f aca="false">IFERROR(D636*E636,0)</f>
        <v>392.632678899083</v>
      </c>
      <c r="G636" s="14" t="n">
        <f aca="false">SUMIFS(PARÂMETROS!$F$8:$F$907,PARÂMETROS!$A$8:$A$907,C636,PARÂMETROS!$G$8:$G$907,J636)</f>
        <v>0</v>
      </c>
      <c r="H636" s="22" t="n">
        <f aca="false">IFERROR(F636*G636,0)</f>
        <v>0</v>
      </c>
      <c r="I636" s="22" t="n">
        <f aca="false">F636+H636</f>
        <v>392.632678899083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IF(B637="Clientes",SUMIFS(PARÂMETROS!$D$8:$D$907,PARÂMETROS!$A$8:$A$907,C637,PARÂMETROS!$G$8:$G$907,J637),SUMIFS(PARÂMETROS!$E$8:$E$907,PARÂMETROS!$A$8:$A$907,C637,PARÂMETROS!$G$8:$G$907,J637))</f>
        <v>0.0220183486238532</v>
      </c>
      <c r="E637" s="21" t="n">
        <f aca="false">SUMIFS(SETORES!$D:$D,SETORES!$A:$A,A637,SETORES!$F:$F,J637)</f>
        <v>23776.09</v>
      </c>
      <c r="F637" s="21" t="n">
        <f aca="false">IFERROR(D637*E637,0)</f>
        <v>523.51023853211</v>
      </c>
      <c r="G637" s="9" t="n">
        <f aca="false">SUMIFS(PARÂMETROS!$F$8:$F$907,PARÂMETROS!$A$8:$A$907,C637,PARÂMETROS!$G$8:$G$907,J637)</f>
        <v>0</v>
      </c>
      <c r="H637" s="21" t="n">
        <f aca="false">IFERROR(F637*G637,0)</f>
        <v>0</v>
      </c>
      <c r="I637" s="21" t="n">
        <f aca="false">F637+H637</f>
        <v>523.51023853211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IF(B638="Clientes",SUMIFS(PARÂMETROS!$D$8:$D$907,PARÂMETROS!$A$8:$A$907,C638,PARÂMETROS!$G$8:$G$907,J638),SUMIFS(PARÂMETROS!$E$8:$E$907,PARÂMETROS!$A$8:$A$907,C638,PARÂMETROS!$G$8:$G$907,J638))</f>
        <v>0.831192660550459</v>
      </c>
      <c r="E638" s="22" t="n">
        <f aca="false">SUMIFS(SETORES!$D:$D,SETORES!$A:$A,A638,SETORES!$F:$F,J638)</f>
        <v>23776.09</v>
      </c>
      <c r="F638" s="22" t="n">
        <f aca="false">IFERROR(D638*E638,0)</f>
        <v>19762.5115045872</v>
      </c>
      <c r="G638" s="14" t="n">
        <f aca="false">SUMIFS(PARÂMETROS!$F$8:$F$907,PARÂMETROS!$A$8:$A$907,C638,PARÂMETROS!$G$8:$G$907,J638)</f>
        <v>0</v>
      </c>
      <c r="H638" s="22" t="n">
        <f aca="false">IFERROR(F638*G638,0)</f>
        <v>0</v>
      </c>
      <c r="I638" s="22" t="n">
        <f aca="false">F638+H638</f>
        <v>19762.5115045872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25" t="n">
        <f aca="false">IF(B660="Clientes",SUMIFS(PARÂMETROS!$D$8:$D$907,PARÂMETROS!$A$8:$A$907,C660,PARÂMETROS!$G$8:$G$907,J660),SUMIFS(PARÂMETROS!$E$8:$E$907,PARÂMETROS!$A$8:$A$907,C660,PARÂMETROS!$G$8:$G$907,J660))</f>
        <v>0.0328233861399593</v>
      </c>
      <c r="E660" s="26" t="n">
        <f aca="false">SUMIFS(SETORES!$D:$D,SETORES!$A:$A,A660,SETORES!$F:$F,J660)</f>
        <v>85589.3</v>
      </c>
      <c r="F660" s="26" t="n">
        <v>0</v>
      </c>
      <c r="G660" s="25" t="n">
        <f aca="false">SUMIFS(PARÂMETROS!$F$8:$F$907,PARÂMETROS!$A$8:$A$907,C660,PARÂMETROS!$G$8:$G$907,J660)</f>
        <v>0</v>
      </c>
      <c r="H660" s="26" t="n">
        <f aca="false">IFERROR(F660*G660,0)</f>
        <v>0</v>
      </c>
      <c r="I660" s="26" t="n">
        <f aca="false">F660+H660</f>
        <v>0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25" t="n">
        <f aca="false">IF(B661="Clientes",SUMIFS(PARÂMETROS!$D$8:$D$907,PARÂMETROS!$A$8:$A$907,C661,PARÂMETROS!$G$8:$G$907,J661),SUMIFS(PARÂMETROS!$E$8:$E$907,PARÂMETROS!$A$8:$A$907,C661,PARÂMETROS!$G$8:$G$907,J661))</f>
        <v>0.0700476148165183</v>
      </c>
      <c r="E661" s="26" t="n">
        <f aca="false">SUMIFS(SETORES!$D:$D,SETORES!$A:$A,A661,SETORES!$F:$F,J661)</f>
        <v>85589.3</v>
      </c>
      <c r="F661" s="26" t="n">
        <v>0</v>
      </c>
      <c r="G661" s="25" t="n">
        <f aca="false">SUMIFS(PARÂMETROS!$F$8:$F$907,PARÂMETROS!$A$8:$A$907,C661,PARÂMETROS!$G$8:$G$907,J661)</f>
        <v>0</v>
      </c>
      <c r="H661" s="26" t="n">
        <f aca="false">IFERROR(F661*G661,0)</f>
        <v>0</v>
      </c>
      <c r="I661" s="26" t="n">
        <f aca="false">F661+H661</f>
        <v>0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25" t="n">
        <f aca="false">IF(B662="Clientes",SUMIFS(PARÂMETROS!$D$8:$D$907,PARÂMETROS!$A$8:$A$907,C662,PARÂMETROS!$G$8:$G$907,J662),SUMIFS(PARÂMETROS!$E$8:$E$907,PARÂMETROS!$A$8:$A$907,C662,PARÂMETROS!$G$8:$G$907,J662))</f>
        <v>0.074903176237541</v>
      </c>
      <c r="E662" s="26" t="n">
        <f aca="false">SUMIFS(SETORES!$D:$D,SETORES!$A:$A,A662,SETORES!$F:$F,J662)</f>
        <v>85589.3</v>
      </c>
      <c r="F662" s="26" t="n">
        <v>7542.682</v>
      </c>
      <c r="G662" s="25" t="n">
        <f aca="false">SUMIFS(PARÂMETROS!$F$8:$F$907,PARÂMETROS!$A$8:$A$907,C662,PARÂMETROS!$G$8:$G$907,J662)</f>
        <v>0</v>
      </c>
      <c r="H662" s="26" t="n">
        <f aca="false">IFERROR(F662*G662,0)</f>
        <v>0</v>
      </c>
      <c r="I662" s="26" t="n">
        <f aca="false">F662+H662</f>
        <v>7542.682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25" t="n">
        <f aca="false">IF(B663="Clientes",SUMIFS(PARÂMETROS!$D$8:$D$907,PARÂMETROS!$A$8:$A$907,C663,PARÂMETROS!$G$8:$G$907,J663),SUMIFS(PARÂMETROS!$E$8:$E$907,PARÂMETROS!$A$8:$A$907,C663,PARÂMETROS!$G$8:$G$907,J663))</f>
        <v>0.0190772865303904</v>
      </c>
      <c r="E663" s="26" t="n">
        <f aca="false">SUMIFS(SETORES!$D:$D,SETORES!$A:$A,A663,SETORES!$F:$F,J663)</f>
        <v>85589.3</v>
      </c>
      <c r="F663" s="26" t="n">
        <v>1921.0655</v>
      </c>
      <c r="G663" s="25" t="n">
        <f aca="false">SUMIFS(PARÂMETROS!$F$8:$F$907,PARÂMETROS!$A$8:$A$907,C663,PARÂMETROS!$G$8:$G$907,J663)</f>
        <v>0</v>
      </c>
      <c r="H663" s="26" t="n">
        <f aca="false">IFERROR(F663*G663,0)</f>
        <v>0</v>
      </c>
      <c r="I663" s="26" t="n">
        <f aca="false">F663+H663</f>
        <v>1921.0655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25" t="n">
        <f aca="false">IF(B664="Clientes",SUMIFS(PARÂMETROS!$D$8:$D$907,PARÂMETROS!$A$8:$A$907,C664,PARÂMETROS!$G$8:$G$907,J664),SUMIFS(PARÂMETROS!$E$8:$E$907,PARÂMETROS!$A$8:$A$907,C664,PARÂMETROS!$G$8:$G$907,J664))</f>
        <v>0.0334296779858567</v>
      </c>
      <c r="E664" s="26" t="n">
        <f aca="false">SUMIFS(SETORES!$D:$D,SETORES!$A:$A,A664,SETORES!$F:$F,J664)</f>
        <v>85589.3</v>
      </c>
      <c r="F664" s="26" t="n">
        <v>3366.3383</v>
      </c>
      <c r="G664" s="25" t="n">
        <f aca="false">SUMIFS(PARÂMETROS!$F$8:$F$907,PARÂMETROS!$A$8:$A$907,C664,PARÂMETROS!$G$8:$G$907,J664)</f>
        <v>0</v>
      </c>
      <c r="H664" s="26" t="n">
        <f aca="false">IFERROR(F664*G664,0)</f>
        <v>0</v>
      </c>
      <c r="I664" s="26" t="n">
        <f aca="false">F664+H664</f>
        <v>3366.3383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25" t="n">
        <f aca="false">IF(B665="Clientes",SUMIFS(PARÂMETROS!$D$8:$D$907,PARÂMETROS!$A$8:$A$907,C665,PARÂMETROS!$G$8:$G$907,J665),SUMIFS(PARÂMETROS!$E$8:$E$907,PARÂMETROS!$A$8:$A$907,C665,PARÂMETROS!$G$8:$G$907,J665))</f>
        <v>0.0247220726818484</v>
      </c>
      <c r="E665" s="26" t="n">
        <f aca="false">SUMIFS(SETORES!$D:$D,SETORES!$A:$A,A665,SETORES!$F:$F,J665)</f>
        <v>85589.3</v>
      </c>
      <c r="F665" s="26" t="n">
        <v>0</v>
      </c>
      <c r="G665" s="25" t="n">
        <f aca="false">SUMIFS(PARÂMETROS!$F$8:$F$907,PARÂMETROS!$A$8:$A$907,C665,PARÂMETROS!$G$8:$G$907,J665)</f>
        <v>0</v>
      </c>
      <c r="H665" s="26" t="n">
        <f aca="false">IFERROR(F665*G665,0)</f>
        <v>0</v>
      </c>
      <c r="I665" s="26" t="n">
        <f aca="false">F665+H665</f>
        <v>0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25" t="n">
        <f aca="false">IF(B666="Clientes",SUMIFS(PARÂMETROS!$D$8:$D$907,PARÂMETROS!$A$8:$A$907,C666,PARÂMETROS!$G$8:$G$907,J666),SUMIFS(PARÂMETROS!$E$8:$E$907,PARÂMETROS!$A$8:$A$907,C666,PARÂMETROS!$G$8:$G$907,J666))</f>
        <v>0.0249938586817334</v>
      </c>
      <c r="E666" s="26" t="n">
        <f aca="false">SUMIFS(SETORES!$D:$D,SETORES!$A:$A,A666,SETORES!$F:$F,J666)</f>
        <v>85589.3</v>
      </c>
      <c r="F666" s="26" t="n">
        <v>2516.8589</v>
      </c>
      <c r="G666" s="25" t="n">
        <f aca="false">SUMIFS(PARÂMETROS!$F$8:$F$907,PARÂMETROS!$A$8:$A$907,C666,PARÂMETROS!$G$8:$G$907,J666)</f>
        <v>0</v>
      </c>
      <c r="H666" s="26" t="n">
        <f aca="false">IFERROR(F666*G666,0)</f>
        <v>0</v>
      </c>
      <c r="I666" s="26" t="n">
        <f aca="false">F666+H666</f>
        <v>2516.8589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25" t="n">
        <f aca="false">IF(B667="Clientes",SUMIFS(PARÂMETROS!$D$8:$D$907,PARÂMETROS!$A$8:$A$907,C667,PARÂMETROS!$G$8:$G$907,J667),SUMIFS(PARÂMETROS!$E$8:$E$907,PARÂMETROS!$A$8:$A$907,C667,PARÂMETROS!$G$8:$G$907,J667))</f>
        <v>0.720002926926153</v>
      </c>
      <c r="E667" s="26" t="n">
        <f aca="false">SUMIFS(SETORES!$D:$D,SETORES!$A:$A,A667,SETORES!$F:$F,J667)</f>
        <v>85589.3</v>
      </c>
      <c r="F667" s="26" t="n">
        <f aca="false">IFERROR(D667*E667,0)</f>
        <v>61624.5465135606</v>
      </c>
      <c r="G667" s="25" t="n">
        <f aca="false">SUMIFS(PARÂMETROS!$F$8:$F$907,PARÂMETROS!$A$8:$A$907,C667,PARÂMETROS!$G$8:$G$907,J667)</f>
        <v>0</v>
      </c>
      <c r="H667" s="26" t="n">
        <f aca="false">IFERROR(F667*G667,0)</f>
        <v>0</v>
      </c>
      <c r="I667" s="26" t="n">
        <f aca="false">F667+H667</f>
        <v>61624.5465135606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25" t="n">
        <f aca="false">IF(B668="Clientes",SUMIFS(PARÂMETROS!$D$8:$D$907,PARÂMETROS!$A$8:$A$907,C668,PARÂMETROS!$G$8:$G$907,J668),SUMIFS(PARÂMETROS!$E$8:$E$907,PARÂMETROS!$A$8:$A$907,C668,PARÂMETROS!$G$8:$G$907,J668))</f>
        <v>0.0330779140128206</v>
      </c>
      <c r="E668" s="26" t="n">
        <f aca="false">SUMIFS(SETORES!$D:$D,SETORES!$A:$A,A668,SETORES!$F:$F,J668)</f>
        <v>94565.1315</v>
      </c>
      <c r="F668" s="26" t="n">
        <v>0</v>
      </c>
      <c r="G668" s="25" t="n">
        <f aca="false">SUMIFS(PARÂMETROS!$F$8:$F$907,PARÂMETROS!$A$8:$A$907,C668,PARÂMETROS!$G$8:$G$907,J668)</f>
        <v>0</v>
      </c>
      <c r="H668" s="26" t="n">
        <f aca="false">IFERROR(F668*G668,0)</f>
        <v>0</v>
      </c>
      <c r="I668" s="26" t="n">
        <f aca="false">F668+H668</f>
        <v>0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25" t="n">
        <f aca="false">IF(B669="Clientes",SUMIFS(PARÂMETROS!$D$8:$D$907,PARÂMETROS!$A$8:$A$907,C669,PARÂMETROS!$G$8:$G$907,J669),SUMIFS(PARÂMETROS!$E$8:$E$907,PARÂMETROS!$A$8:$A$907,C669,PARÂMETROS!$G$8:$G$907,J669))</f>
        <v>0.0688657021294068</v>
      </c>
      <c r="E669" s="26" t="n">
        <f aca="false">SUMIFS(SETORES!$D:$D,SETORES!$A:$A,A669,SETORES!$F:$F,J669)</f>
        <v>94565.1315</v>
      </c>
      <c r="F669" s="26" t="n">
        <v>0</v>
      </c>
      <c r="G669" s="25" t="n">
        <f aca="false">SUMIFS(PARÂMETROS!$F$8:$F$907,PARÂMETROS!$A$8:$A$907,C669,PARÂMETROS!$G$8:$G$907,J669)</f>
        <v>0</v>
      </c>
      <c r="H669" s="26" t="n">
        <f aca="false">IFERROR(F669*G669,0)</f>
        <v>0</v>
      </c>
      <c r="I669" s="26" t="n">
        <f aca="false">F669+H669</f>
        <v>0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25" t="n">
        <f aca="false">IF(B670="Clientes",SUMIFS(PARÂMETROS!$D$8:$D$907,PARÂMETROS!$A$8:$A$907,C670,PARÂMETROS!$G$8:$G$907,J670),SUMIFS(PARÂMETROS!$E$8:$E$907,PARÂMETROS!$A$8:$A$907,C670,PARÂMETROS!$G$8:$G$907,J670))</f>
        <v>0.0741160832054526</v>
      </c>
      <c r="E670" s="26" t="n">
        <f aca="false">SUMIFS(SETORES!$D:$D,SETORES!$A:$A,A670,SETORES!$F:$F,J670)</f>
        <v>94565.1315</v>
      </c>
      <c r="F670" s="26" t="n">
        <v>8141.6567</v>
      </c>
      <c r="G670" s="25" t="n">
        <f aca="false">SUMIFS(PARÂMETROS!$F$8:$F$907,PARÂMETROS!$A$8:$A$907,C670,PARÂMETROS!$G$8:$G$907,J670)</f>
        <v>0</v>
      </c>
      <c r="H670" s="26" t="n">
        <f aca="false">IFERROR(F670*G670,0)</f>
        <v>0</v>
      </c>
      <c r="I670" s="26" t="n">
        <f aca="false">F670+H670</f>
        <v>8141.6567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25" t="n">
        <f aca="false">IF(B671="Clientes",SUMIFS(PARÂMETROS!$D$8:$D$907,PARÂMETROS!$A$8:$A$907,C671,PARÂMETROS!$G$8:$G$907,J671),SUMIFS(PARÂMETROS!$E$8:$E$907,PARÂMETROS!$A$8:$A$907,C671,PARÂMETROS!$G$8:$G$907,J671))</f>
        <v>0.0190101774249011</v>
      </c>
      <c r="E671" s="26" t="n">
        <f aca="false">SUMIFS(SETORES!$D:$D,SETORES!$A:$A,A671,SETORES!$F:$F,J671)</f>
        <v>94565.1315</v>
      </c>
      <c r="F671" s="26" t="n">
        <v>2088.2693</v>
      </c>
      <c r="G671" s="25" t="n">
        <f aca="false">SUMIFS(PARÂMETROS!$F$8:$F$907,PARÂMETROS!$A$8:$A$907,C671,PARÂMETROS!$G$8:$G$907,J671)</f>
        <v>0</v>
      </c>
      <c r="H671" s="26" t="n">
        <f aca="false">IFERROR(F671*G671,0)</f>
        <v>0</v>
      </c>
      <c r="I671" s="26" t="n">
        <f aca="false">F671+H671</f>
        <v>2088.2693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25" t="n">
        <f aca="false">IF(B672="Clientes",SUMIFS(PARÂMETROS!$D$8:$D$907,PARÂMETROS!$A$8:$A$907,C672,PARÂMETROS!$G$8:$G$907,J672),SUMIFS(PARÂMETROS!$E$8:$E$907,PARÂMETROS!$A$8:$A$907,C672,PARÂMETROS!$G$8:$G$907,J672))</f>
        <v>0.0330214583023255</v>
      </c>
      <c r="E672" s="26" t="n">
        <f aca="false">SUMIFS(SETORES!$D:$D,SETORES!$A:$A,A672,SETORES!$F:$F,J672)</f>
        <v>94565.1315</v>
      </c>
      <c r="F672" s="26" t="n">
        <v>3627.4094</v>
      </c>
      <c r="G672" s="25" t="n">
        <f aca="false">SUMIFS(PARÂMETROS!$F$8:$F$907,PARÂMETROS!$A$8:$A$907,C672,PARÂMETROS!$G$8:$G$907,J672)</f>
        <v>0</v>
      </c>
      <c r="H672" s="26" t="n">
        <f aca="false">IFERROR(F672*G672,0)</f>
        <v>0</v>
      </c>
      <c r="I672" s="26" t="n">
        <f aca="false">F672+H672</f>
        <v>3627.4094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25" t="n">
        <f aca="false">IF(B673="Clientes",SUMIFS(PARÂMETROS!$D$8:$D$907,PARÂMETROS!$A$8:$A$907,C673,PARÂMETROS!$G$8:$G$907,J673),SUMIFS(PARÂMETROS!$E$8:$E$907,PARÂMETROS!$A$8:$A$907,C673,PARÂMETROS!$G$8:$G$907,J673))</f>
        <v>0.0243734699219372</v>
      </c>
      <c r="E673" s="26" t="n">
        <f aca="false">SUMIFS(SETORES!$D:$D,SETORES!$A:$A,A673,SETORES!$F:$F,J673)</f>
        <v>94565.1315</v>
      </c>
      <c r="F673" s="26" t="n">
        <v>0</v>
      </c>
      <c r="G673" s="25" t="n">
        <f aca="false">SUMIFS(PARÂMETROS!$F$8:$F$907,PARÂMETROS!$A$8:$A$907,C673,PARÂMETROS!$G$8:$G$907,J673)</f>
        <v>0</v>
      </c>
      <c r="H673" s="26" t="n">
        <f aca="false">IFERROR(F673*G673,0)</f>
        <v>0</v>
      </c>
      <c r="I673" s="26" t="n">
        <f aca="false">F673+H673</f>
        <v>0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25" t="n">
        <f aca="false">IF(B674="Clientes",SUMIFS(PARÂMETROS!$D$8:$D$907,PARÂMETROS!$A$8:$A$907,C674,PARÂMETROS!$G$8:$G$907,J674),SUMIFS(PARÂMETROS!$E$8:$E$907,PARÂMETROS!$A$8:$A$907,C674,PARÂMETROS!$G$8:$G$907,J674))</f>
        <v>0.0246095574385531</v>
      </c>
      <c r="E674" s="26" t="n">
        <f aca="false">SUMIFS(SETORES!$D:$D,SETORES!$A:$A,A674,SETORES!$F:$F,J674)</f>
        <v>94565.1315</v>
      </c>
      <c r="F674" s="26" t="n">
        <v>2703.3615</v>
      </c>
      <c r="G674" s="25" t="n">
        <f aca="false">SUMIFS(PARÂMETROS!$F$8:$F$907,PARÂMETROS!$A$8:$A$907,C674,PARÂMETROS!$G$8:$G$907,J674)</f>
        <v>0</v>
      </c>
      <c r="H674" s="26" t="n">
        <f aca="false">IFERROR(F674*G674,0)</f>
        <v>0</v>
      </c>
      <c r="I674" s="26" t="n">
        <f aca="false">F674+H674</f>
        <v>2703.3615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25" t="n">
        <f aca="false">IF(B675="Clientes",SUMIFS(PARÂMETROS!$D$8:$D$907,PARÂMETROS!$A$8:$A$907,C675,PARÂMETROS!$G$8:$G$907,J675),SUMIFS(PARÂMETROS!$E$8:$E$907,PARÂMETROS!$A$8:$A$907,C675,PARÂMETROS!$G$8:$G$907,J675))</f>
        <v>0.722925637564603</v>
      </c>
      <c r="E675" s="26" t="n">
        <f aca="false">SUMIFS(SETORES!$D:$D,SETORES!$A:$A,A675,SETORES!$F:$F,J675)</f>
        <v>94565.1315</v>
      </c>
      <c r="F675" s="26" t="n">
        <f aca="false">IFERROR(D675*E675,0)</f>
        <v>68363.5579810181</v>
      </c>
      <c r="G675" s="25" t="n">
        <f aca="false">SUMIFS(PARÂMETROS!$F$8:$F$907,PARÂMETROS!$A$8:$A$907,C675,PARÂMETROS!$G$8:$G$907,J675)</f>
        <v>0</v>
      </c>
      <c r="H675" s="26" t="n">
        <f aca="false">IFERROR(F675*G675,0)</f>
        <v>0</v>
      </c>
      <c r="I675" s="26" t="n">
        <f aca="false">F675+H675</f>
        <v>68363.5579810181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25" t="n">
        <f aca="false">IF(B676="Clientes",SUMIFS(PARÂMETROS!$D$8:$D$907,PARÂMETROS!$A$8:$A$907,C676,PARÂMETROS!$G$8:$G$907,J676),SUMIFS(PARÂMETROS!$E$8:$E$907,PARÂMETROS!$A$8:$A$907,C676,PARÂMETROS!$G$8:$G$907,J676))</f>
        <v>0.0326962494602737</v>
      </c>
      <c r="E676" s="26" t="n">
        <f aca="false">SUMIFS(SETORES!$D:$D,SETORES!$A:$A,A676,SETORES!$F:$F,J676)</f>
        <v>78507.8406</v>
      </c>
      <c r="F676" s="26" t="n">
        <v>0</v>
      </c>
      <c r="G676" s="25" t="n">
        <f aca="false">SUMIFS(PARÂMETROS!$F$8:$F$907,PARÂMETROS!$A$8:$A$907,C676,PARÂMETROS!$G$8:$G$907,J676)</f>
        <v>0</v>
      </c>
      <c r="H676" s="26" t="n">
        <f aca="false">IFERROR(F676*G676,0)</f>
        <v>0</v>
      </c>
      <c r="I676" s="26" t="n">
        <f aca="false">F676+H676</f>
        <v>0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25" t="n">
        <f aca="false">IF(B677="Clientes",SUMIFS(PARÂMETROS!$D$8:$D$907,PARÂMETROS!$A$8:$A$907,C677,PARÂMETROS!$G$8:$G$907,J677),SUMIFS(PARÂMETROS!$E$8:$E$907,PARÂMETROS!$A$8:$A$907,C677,PARÂMETROS!$G$8:$G$907,J677))</f>
        <v>0.06714940121395</v>
      </c>
      <c r="E677" s="26" t="n">
        <f aca="false">SUMIFS(SETORES!$D:$D,SETORES!$A:$A,A677,SETORES!$F:$F,J677)</f>
        <v>78507.8406</v>
      </c>
      <c r="F677" s="26" t="n">
        <v>0</v>
      </c>
      <c r="G677" s="25" t="n">
        <f aca="false">SUMIFS(PARÂMETROS!$F$8:$F$907,PARÂMETROS!$A$8:$A$907,C677,PARÂMETROS!$G$8:$G$907,J677)</f>
        <v>0</v>
      </c>
      <c r="H677" s="26" t="n">
        <f aca="false">IFERROR(F677*G677,0)</f>
        <v>0</v>
      </c>
      <c r="I677" s="26" t="n">
        <f aca="false">F677+H677</f>
        <v>0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25" t="n">
        <f aca="false">IF(B678="Clientes",SUMIFS(PARÂMETROS!$D$8:$D$907,PARÂMETROS!$A$8:$A$907,C678,PARÂMETROS!$G$8:$G$907,J678),SUMIFS(PARÂMETROS!$E$8:$E$907,PARÂMETROS!$A$8:$A$907,C678,PARÂMETROS!$G$8:$G$907,J678))</f>
        <v>0.0729015191745537</v>
      </c>
      <c r="E678" s="26" t="n">
        <f aca="false">SUMIFS(SETORES!$D:$D,SETORES!$A:$A,A678,SETORES!$F:$F,J678)</f>
        <v>78507.8406</v>
      </c>
      <c r="F678" s="26" t="n">
        <v>6316.27</v>
      </c>
      <c r="G678" s="25" t="n">
        <f aca="false">SUMIFS(PARÂMETROS!$F$8:$F$907,PARÂMETROS!$A$8:$A$907,C678,PARÂMETROS!$G$8:$G$907,J678)</f>
        <v>0</v>
      </c>
      <c r="H678" s="26" t="n">
        <f aca="false">IFERROR(F678*G678,0)</f>
        <v>0</v>
      </c>
      <c r="I678" s="26" t="n">
        <f aca="false">F678+H678</f>
        <v>6316.27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25" t="n">
        <f aca="false">IF(B679="Clientes",SUMIFS(PARÂMETROS!$D$8:$D$907,PARÂMETROS!$A$8:$A$907,C679,PARÂMETROS!$G$8:$G$907,J679),SUMIFS(PARÂMETROS!$E$8:$E$907,PARÂMETROS!$A$8:$A$907,C679,PARÂMETROS!$G$8:$G$907,J679))</f>
        <v>0.0186856981205116</v>
      </c>
      <c r="E679" s="26" t="n">
        <f aca="false">SUMIFS(SETORES!$D:$D,SETORES!$A:$A,A679,SETORES!$F:$F,J679)</f>
        <v>78507.8406</v>
      </c>
      <c r="F679" s="26" t="n">
        <v>1618.95</v>
      </c>
      <c r="G679" s="25" t="n">
        <f aca="false">SUMIFS(PARÂMETROS!$F$8:$F$907,PARÂMETROS!$A$8:$A$907,C679,PARÂMETROS!$G$8:$G$907,J679)</f>
        <v>0</v>
      </c>
      <c r="H679" s="26" t="n">
        <f aca="false">IFERROR(F679*G679,0)</f>
        <v>0</v>
      </c>
      <c r="I679" s="26" t="n">
        <f aca="false">F679+H679</f>
        <v>1618.95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25" t="n">
        <f aca="false">IF(B680="Clientes",SUMIFS(PARÂMETROS!$D$8:$D$907,PARÂMETROS!$A$8:$A$907,C680,PARÂMETROS!$G$8:$G$907,J680),SUMIFS(PARÂMETROS!$E$8:$E$907,PARÂMETROS!$A$8:$A$907,C680,PARÂMETROS!$G$8:$G$907,J680))</f>
        <v>0.0325969894436972</v>
      </c>
      <c r="E680" s="26" t="n">
        <f aca="false">SUMIFS(SETORES!$D:$D,SETORES!$A:$A,A680,SETORES!$F:$F,J680)</f>
        <v>78507.8406</v>
      </c>
      <c r="F680" s="26" t="n">
        <v>0</v>
      </c>
      <c r="G680" s="25" t="n">
        <f aca="false">SUMIFS(PARÂMETROS!$F$8:$F$907,PARÂMETROS!$A$8:$A$907,C680,PARÂMETROS!$G$8:$G$907,J680)</f>
        <v>0</v>
      </c>
      <c r="H680" s="26" t="n">
        <f aca="false">IFERROR(F680*G680,0)</f>
        <v>0</v>
      </c>
      <c r="I680" s="26" t="n">
        <f aca="false">F680+H680</f>
        <v>0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25" t="n">
        <f aca="false">IF(B681="Clientes",SUMIFS(PARÂMETROS!$D$8:$D$907,PARÂMETROS!$A$8:$A$907,C681,PARÂMETROS!$G$8:$G$907,J681),SUMIFS(PARÂMETROS!$E$8:$E$907,PARÂMETROS!$A$8:$A$907,C681,PARÂMETROS!$G$8:$G$907,J681))</f>
        <v>0.0238472189824856</v>
      </c>
      <c r="E681" s="26" t="n">
        <f aca="false">SUMIFS(SETORES!$D:$D,SETORES!$A:$A,A681,SETORES!$F:$F,J681)</f>
        <v>78507.8406</v>
      </c>
      <c r="F681" s="26" t="n">
        <v>0</v>
      </c>
      <c r="G681" s="25" t="n">
        <f aca="false">SUMIFS(PARÂMETROS!$F$8:$F$907,PARÂMETROS!$A$8:$A$907,C681,PARÂMETROS!$G$8:$G$907,J681)</f>
        <v>0</v>
      </c>
      <c r="H681" s="26" t="n">
        <f aca="false">IFERROR(F681*G681,0)</f>
        <v>0</v>
      </c>
      <c r="I681" s="26" t="n">
        <f aca="false">F681+H681</f>
        <v>0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25" t="n">
        <f aca="false">IF(B682="Clientes",SUMIFS(PARÂMETROS!$D$8:$D$907,PARÂMETROS!$A$8:$A$907,C682,PARÂMETROS!$G$8:$G$907,J682),SUMIFS(PARÂMETROS!$E$8:$E$907,PARÂMETROS!$A$8:$A$907,C682,PARÂMETROS!$G$8:$G$907,J682))</f>
        <v>0.0238521819833144</v>
      </c>
      <c r="E682" s="26" t="n">
        <f aca="false">SUMIFS(SETORES!$D:$D,SETORES!$A:$A,A682,SETORES!$F:$F,J682)</f>
        <v>78507.8406</v>
      </c>
      <c r="F682" s="26" t="n">
        <v>2066.58</v>
      </c>
      <c r="G682" s="25" t="n">
        <f aca="false">SUMIFS(PARÂMETROS!$F$8:$F$907,PARÂMETROS!$A$8:$A$907,C682,PARÂMETROS!$G$8:$G$907,J682)</f>
        <v>0</v>
      </c>
      <c r="H682" s="26" t="n">
        <f aca="false">IFERROR(F682*G682,0)</f>
        <v>0</v>
      </c>
      <c r="I682" s="26" t="n">
        <f aca="false">F682+H682</f>
        <v>2066.58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25" t="n">
        <f aca="false">IF(B683="Clientes",SUMIFS(PARÂMETROS!$D$8:$D$907,PARÂMETROS!$A$8:$A$907,C683,PARÂMETROS!$G$8:$G$907,J683),SUMIFS(PARÂMETROS!$E$8:$E$907,PARÂMETROS!$A$8:$A$907,C683,PARÂMETROS!$G$8:$G$907,J683))</f>
        <v>0.728270741621214</v>
      </c>
      <c r="E683" s="26" t="n">
        <f aca="false">SUMIFS(SETORES!$D:$D,SETORES!$A:$A,A683,SETORES!$F:$F,J683)</f>
        <v>78507.8406</v>
      </c>
      <c r="F683" s="26" t="n">
        <f aca="false">IFERROR(D683*E683,0)</f>
        <v>57174.963296842</v>
      </c>
      <c r="G683" s="25" t="n">
        <f aca="false">SUMIFS(PARÂMETROS!$F$8:$F$907,PARÂMETROS!$A$8:$A$907,C683,PARÂMETROS!$G$8:$G$907,J683)</f>
        <v>0</v>
      </c>
      <c r="H683" s="26" t="n">
        <f aca="false">IFERROR(F683*G683,0)</f>
        <v>0</v>
      </c>
      <c r="I683" s="26" t="n">
        <f aca="false">F683+H683</f>
        <v>57174.963296842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25" t="n">
        <f aca="false">IF(B684="Clientes",SUMIFS(PARÂMETROS!$D$8:$D$907,PARÂMETROS!$A$8:$A$907,C684,PARÂMETROS!$G$8:$G$907,J684),SUMIFS(PARÂMETROS!$E$8:$E$907,PARÂMETROS!$A$8:$A$907,C684,PARÂMETROS!$G$8:$G$907,J684))</f>
        <v>0.0332383665716999</v>
      </c>
      <c r="E684" s="26" t="n">
        <f aca="false">SUMIFS(SETORES!$D:$D,SETORES!$A:$A,A684,SETORES!$F:$F,J684)</f>
        <v>29728.81</v>
      </c>
      <c r="F684" s="26" t="n">
        <f aca="false">IFERROR(D684*E684,0)</f>
        <v>988.137084520418</v>
      </c>
      <c r="G684" s="25" t="n">
        <f aca="false">SUMIFS(PARÂMETROS!$F$8:$F$907,PARÂMETROS!$A$8:$A$907,C684,PARÂMETROS!$G$8:$G$907,J684)</f>
        <v>0</v>
      </c>
      <c r="H684" s="26" t="n">
        <f aca="false">IFERROR(F684*G684,0)</f>
        <v>0</v>
      </c>
      <c r="I684" s="26" t="n">
        <f aca="false">F684+H684</f>
        <v>988.137084520418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25" t="n">
        <f aca="false">IF(B685="Clientes",SUMIFS(PARÂMETROS!$D$8:$D$907,PARÂMETROS!$A$8:$A$907,C685,PARÂMETROS!$G$8:$G$907,J685),SUMIFS(PARÂMETROS!$E$8:$E$907,PARÂMETROS!$A$8:$A$907,C685,PARÂMETROS!$G$8:$G$907,J685))</f>
        <v>0.0332383665716999</v>
      </c>
      <c r="E685" s="26" t="n">
        <f aca="false">SUMIFS(SETORES!$D:$D,SETORES!$A:$A,A685,SETORES!$F:$F,J685)</f>
        <v>29728.81</v>
      </c>
      <c r="F685" s="26" t="n">
        <f aca="false">IFERROR(D685*E685,0)</f>
        <v>988.137084520418</v>
      </c>
      <c r="G685" s="25" t="n">
        <f aca="false">SUMIFS(PARÂMETROS!$F$8:$F$907,PARÂMETROS!$A$8:$A$907,C685,PARÂMETROS!$G$8:$G$907,J685)</f>
        <v>0</v>
      </c>
      <c r="H685" s="26" t="n">
        <f aca="false">IFERROR(F685*G685,0)</f>
        <v>0</v>
      </c>
      <c r="I685" s="26" t="n">
        <f aca="false">F685+H685</f>
        <v>988.137084520418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25" t="n">
        <f aca="false">IF(B686="Clientes",SUMIFS(PARÂMETROS!$D$8:$D$907,PARÂMETROS!$A$8:$A$907,C686,PARÂMETROS!$G$8:$G$907,J686),SUMIFS(PARÂMETROS!$E$8:$E$907,PARÂMETROS!$A$8:$A$907,C686,PARÂMETROS!$G$8:$G$907,J686))</f>
        <v>0.0398860398860399</v>
      </c>
      <c r="E686" s="26" t="n">
        <f aca="false">SUMIFS(SETORES!$D:$D,SETORES!$A:$A,A686,SETORES!$F:$F,J686)</f>
        <v>29728.81</v>
      </c>
      <c r="F686" s="26" t="n">
        <f aca="false">IFERROR(D686*E686,0)</f>
        <v>1185.7645014245</v>
      </c>
      <c r="G686" s="25" t="n">
        <f aca="false">SUMIFS(PARÂMETROS!$F$8:$F$907,PARÂMETROS!$A$8:$A$907,C686,PARÂMETROS!$G$8:$G$907,J686)</f>
        <v>0</v>
      </c>
      <c r="H686" s="26" t="n">
        <f aca="false">IFERROR(F686*G686,0)</f>
        <v>0</v>
      </c>
      <c r="I686" s="26" t="n">
        <f aca="false">F686+H686</f>
        <v>1185.7645014245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25" t="n">
        <f aca="false">IF(B687="Clientes",SUMIFS(PARÂMETROS!$D$8:$D$907,PARÂMETROS!$A$8:$A$907,C687,PARÂMETROS!$G$8:$G$907,J687),SUMIFS(PARÂMETROS!$E$8:$E$907,PARÂMETROS!$A$8:$A$907,C687,PARÂMETROS!$G$8:$G$907,J687))</f>
        <v>0.0104463437796771</v>
      </c>
      <c r="E687" s="26" t="n">
        <f aca="false">SUMIFS(SETORES!$D:$D,SETORES!$A:$A,A687,SETORES!$F:$F,J687)</f>
        <v>29728.81</v>
      </c>
      <c r="F687" s="26" t="n">
        <f aca="false">IFERROR(D687*E687,0)</f>
        <v>310.557369420703</v>
      </c>
      <c r="G687" s="25" t="n">
        <f aca="false">SUMIFS(PARÂMETROS!$F$8:$F$907,PARÂMETROS!$A$8:$A$907,C687,PARÂMETROS!$G$8:$G$907,J687)</f>
        <v>0</v>
      </c>
      <c r="H687" s="26" t="n">
        <f aca="false">IFERROR(F687*G687,0)</f>
        <v>0</v>
      </c>
      <c r="I687" s="26" t="n">
        <f aca="false">F687+H687</f>
        <v>310.557369420703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25" t="n">
        <f aca="false">IF(B688="Clientes",SUMIFS(PARÂMETROS!$D$8:$D$907,PARÂMETROS!$A$8:$A$907,C688,PARÂMETROS!$G$8:$G$907,J688),SUMIFS(PARÂMETROS!$E$8:$E$907,PARÂMETROS!$A$8:$A$907,C688,PARÂMETROS!$G$8:$G$907,J688))</f>
        <v>0.0398860398860399</v>
      </c>
      <c r="E688" s="26" t="n">
        <f aca="false">SUMIFS(SETORES!$D:$D,SETORES!$A:$A,A688,SETORES!$F:$F,J688)</f>
        <v>29728.81</v>
      </c>
      <c r="F688" s="26" t="n">
        <f aca="false">IFERROR(D688*E688,0)</f>
        <v>1185.7645014245</v>
      </c>
      <c r="G688" s="25" t="n">
        <f aca="false">SUMIFS(PARÂMETROS!$F$8:$F$907,PARÂMETROS!$A$8:$A$907,C688,PARÂMETROS!$G$8:$G$907,J688)</f>
        <v>0</v>
      </c>
      <c r="H688" s="26" t="n">
        <f aca="false">IFERROR(F688*G688,0)</f>
        <v>0</v>
      </c>
      <c r="I688" s="26" t="n">
        <f aca="false">F688+H688</f>
        <v>1185.7645014245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25" t="n">
        <f aca="false">IF(B689="Clientes",SUMIFS(PARÂMETROS!$D$8:$D$907,PARÂMETROS!$A$8:$A$907,C689,PARÂMETROS!$G$8:$G$907,J689),SUMIFS(PARÂMETROS!$E$8:$E$907,PARÂMETROS!$A$8:$A$907,C689,PARÂMETROS!$G$8:$G$907,J689))</f>
        <v>0.0170940170940171</v>
      </c>
      <c r="E689" s="26" t="n">
        <f aca="false">SUMIFS(SETORES!$D:$D,SETORES!$A:$A,A689,SETORES!$F:$F,J689)</f>
        <v>29728.81</v>
      </c>
      <c r="F689" s="26" t="n">
        <f aca="false">IFERROR(D689*E689,0)</f>
        <v>508.184786324786</v>
      </c>
      <c r="G689" s="25" t="n">
        <f aca="false">SUMIFS(PARÂMETROS!$F$8:$F$907,PARÂMETROS!$A$8:$A$907,C689,PARÂMETROS!$G$8:$G$907,J689)</f>
        <v>0</v>
      </c>
      <c r="H689" s="26" t="n">
        <f aca="false">IFERROR(F689*G689,0)</f>
        <v>0</v>
      </c>
      <c r="I689" s="26" t="n">
        <f aca="false">F689+H689</f>
        <v>508.184786324786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25" t="n">
        <f aca="false">IF(B690="Clientes",SUMIFS(PARÂMETROS!$D$8:$D$907,PARÂMETROS!$A$8:$A$907,C690,PARÂMETROS!$G$8:$G$907,J690),SUMIFS(PARÂMETROS!$E$8:$E$907,PARÂMETROS!$A$8:$A$907,C690,PARÂMETROS!$G$8:$G$907,J690))</f>
        <v>0.0189933523266857</v>
      </c>
      <c r="E690" s="26" t="n">
        <f aca="false">SUMIFS(SETORES!$D:$D,SETORES!$A:$A,A690,SETORES!$F:$F,J690)</f>
        <v>29728.81</v>
      </c>
      <c r="F690" s="26" t="n">
        <f aca="false">IFERROR(D690*E690,0)</f>
        <v>564.649762583096</v>
      </c>
      <c r="G690" s="25" t="n">
        <f aca="false">SUMIFS(PARÂMETROS!$F$8:$F$907,PARÂMETROS!$A$8:$A$907,C690,PARÂMETROS!$G$8:$G$907,J690)</f>
        <v>0</v>
      </c>
      <c r="H690" s="26" t="n">
        <f aca="false">IFERROR(F690*G690,0)</f>
        <v>0</v>
      </c>
      <c r="I690" s="26" t="n">
        <f aca="false">F690+H690</f>
        <v>564.649762583096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25" t="n">
        <f aca="false">IF(B691="Clientes",SUMIFS(PARÂMETROS!$D$8:$D$907,PARÂMETROS!$A$8:$A$907,C691,PARÂMETROS!$G$8:$G$907,J691),SUMIFS(PARÂMETROS!$E$8:$E$907,PARÂMETROS!$A$8:$A$907,C691,PARÂMETROS!$G$8:$G$907,J691))</f>
        <v>0.807217473884141</v>
      </c>
      <c r="E691" s="26" t="n">
        <f aca="false">SUMIFS(SETORES!$D:$D,SETORES!$A:$A,A691,SETORES!$F:$F,J691)</f>
        <v>29728.81</v>
      </c>
      <c r="F691" s="26" t="n">
        <f aca="false">IFERROR(D691*E691,0)</f>
        <v>23997.6149097816</v>
      </c>
      <c r="G691" s="25" t="n">
        <f aca="false">SUMIFS(PARÂMETROS!$F$8:$F$907,PARÂMETROS!$A$8:$A$907,C691,PARÂMETROS!$G$8:$G$907,J691)</f>
        <v>0</v>
      </c>
      <c r="H691" s="26" t="n">
        <f aca="false">IFERROR(F691*G691,0)</f>
        <v>0</v>
      </c>
      <c r="I691" s="26" t="n">
        <f aca="false">F691+H691</f>
        <v>23997.6149097816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25" t="n">
        <f aca="false">IF(B692="Clientes",SUMIFS(PARÂMETROS!$D$8:$D$907,PARÂMETROS!$A$8:$A$907,C692,PARÂMETROS!$G$8:$G$907,J692),SUMIFS(PARÂMETROS!$E$8:$E$907,PARÂMETROS!$A$8:$A$907,C692,PARÂMETROS!$G$8:$G$907,J692))</f>
        <v>0.0324118207816969</v>
      </c>
      <c r="E692" s="26" t="n">
        <f aca="false">SUMIFS(SETORES!$D:$D,SETORES!$A:$A,A692,SETORES!$F:$F,J692)</f>
        <v>46935.8807</v>
      </c>
      <c r="F692" s="26" t="n">
        <f aca="false">IFERROR(D692*E692,0)</f>
        <v>1521.2773534795</v>
      </c>
      <c r="G692" s="25" t="n">
        <f aca="false">SUMIFS(PARÂMETROS!$F$8:$F$907,PARÂMETROS!$A$8:$A$907,C692,PARÂMETROS!$G$8:$G$907,J692)</f>
        <v>0</v>
      </c>
      <c r="H692" s="26" t="n">
        <f aca="false">IFERROR(F692*G692,0)</f>
        <v>0</v>
      </c>
      <c r="I692" s="26" t="n">
        <f aca="false">F692+H692</f>
        <v>1521.2773534795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25" t="n">
        <f aca="false">IF(B693="Clientes",SUMIFS(PARÂMETROS!$D$8:$D$907,PARÂMETROS!$A$8:$A$907,C693,PARÂMETROS!$G$8:$G$907,J693),SUMIFS(PARÂMETROS!$E$8:$E$907,PARÂMETROS!$A$8:$A$907,C693,PARÂMETROS!$G$8:$G$907,J693))</f>
        <v>0.0305052430886559</v>
      </c>
      <c r="E693" s="26" t="n">
        <f aca="false">SUMIFS(SETORES!$D:$D,SETORES!$A:$A,A693,SETORES!$F:$F,J693)</f>
        <v>46935.8807</v>
      </c>
      <c r="F693" s="26" t="n">
        <f aca="false">IFERROR(D693*E693,0)</f>
        <v>1431.79045033365</v>
      </c>
      <c r="G693" s="25" t="n">
        <f aca="false">SUMIFS(PARÂMETROS!$F$8:$F$907,PARÂMETROS!$A$8:$A$907,C693,PARÂMETROS!$G$8:$G$907,J693)</f>
        <v>0</v>
      </c>
      <c r="H693" s="26" t="n">
        <f aca="false">IFERROR(F693*G693,0)</f>
        <v>0</v>
      </c>
      <c r="I693" s="26" t="n">
        <f aca="false">F693+H693</f>
        <v>1431.79045033365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25" t="n">
        <f aca="false">IF(B694="Clientes",SUMIFS(PARÂMETROS!$D$8:$D$907,PARÂMETROS!$A$8:$A$907,C694,PARÂMETROS!$G$8:$G$907,J694),SUMIFS(PARÂMETROS!$E$8:$E$907,PARÂMETROS!$A$8:$A$907,C694,PARÂMETROS!$G$8:$G$907,J694))</f>
        <v>0.0400381315538608</v>
      </c>
      <c r="E694" s="26" t="n">
        <f aca="false">SUMIFS(SETORES!$D:$D,SETORES!$A:$A,A694,SETORES!$F:$F,J694)</f>
        <v>46935.8807</v>
      </c>
      <c r="F694" s="26" t="n">
        <f aca="false">IFERROR(D694*E694,0)</f>
        <v>1879.22496606292</v>
      </c>
      <c r="G694" s="25" t="n">
        <f aca="false">SUMIFS(PARÂMETROS!$F$8:$F$907,PARÂMETROS!$A$8:$A$907,C694,PARÂMETROS!$G$8:$G$907,J694)</f>
        <v>0</v>
      </c>
      <c r="H694" s="26" t="n">
        <f aca="false">IFERROR(F694*G694,0)</f>
        <v>0</v>
      </c>
      <c r="I694" s="26" t="n">
        <f aca="false">F694+H694</f>
        <v>1879.22496606292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25" t="n">
        <f aca="false">IF(B695="Clientes",SUMIFS(PARÂMETROS!$D$8:$D$907,PARÂMETROS!$A$8:$A$907,C695,PARÂMETROS!$G$8:$G$907,J695),SUMIFS(PARÂMETROS!$E$8:$E$907,PARÂMETROS!$A$8:$A$907,C695,PARÂMETROS!$G$8:$G$907,J695))</f>
        <v>0.0104861773117255</v>
      </c>
      <c r="E695" s="26" t="n">
        <f aca="false">SUMIFS(SETORES!$D:$D,SETORES!$A:$A,A695,SETORES!$F:$F,J695)</f>
        <v>46935.8807</v>
      </c>
      <c r="F695" s="26" t="n">
        <f aca="false">IFERROR(D695*E695,0)</f>
        <v>492.177967302193</v>
      </c>
      <c r="G695" s="25" t="n">
        <f aca="false">SUMIFS(PARÂMETROS!$F$8:$F$907,PARÂMETROS!$A$8:$A$907,C695,PARÂMETROS!$G$8:$G$907,J695)</f>
        <v>0</v>
      </c>
      <c r="H695" s="26" t="n">
        <f aca="false">IFERROR(F695*G695,0)</f>
        <v>0</v>
      </c>
      <c r="I695" s="26" t="n">
        <f aca="false">F695+H695</f>
        <v>492.177967302193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25" t="n">
        <f aca="false">IF(B696="Clientes",SUMIFS(PARÂMETROS!$D$8:$D$907,PARÂMETROS!$A$8:$A$907,C696,PARÂMETROS!$G$8:$G$907,J696),SUMIFS(PARÂMETROS!$E$8:$E$907,PARÂMETROS!$A$8:$A$907,C696,PARÂMETROS!$G$8:$G$907,J696))</f>
        <v>0.0400381315538608</v>
      </c>
      <c r="E696" s="26" t="n">
        <f aca="false">SUMIFS(SETORES!$D:$D,SETORES!$A:$A,A696,SETORES!$F:$F,J696)</f>
        <v>46935.8807</v>
      </c>
      <c r="F696" s="26" t="n">
        <f aca="false">IFERROR(D696*E696,0)</f>
        <v>1879.22496606292</v>
      </c>
      <c r="G696" s="25" t="n">
        <f aca="false">SUMIFS(PARÂMETROS!$F$8:$F$907,PARÂMETROS!$A$8:$A$907,C696,PARÂMETROS!$G$8:$G$907,J696)</f>
        <v>0</v>
      </c>
      <c r="H696" s="26" t="n">
        <f aca="false">IFERROR(F696*G696,0)</f>
        <v>0</v>
      </c>
      <c r="I696" s="26" t="n">
        <f aca="false">F696+H696</f>
        <v>1879.22496606292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25" t="n">
        <f aca="false">IF(B697="Clientes",SUMIFS(PARÂMETROS!$D$8:$D$907,PARÂMETROS!$A$8:$A$907,C697,PARÂMETROS!$G$8:$G$907,J697),SUMIFS(PARÂMETROS!$E$8:$E$907,PARÂMETROS!$A$8:$A$907,C697,PARÂMETROS!$G$8:$G$907,J697))</f>
        <v>0.0171591992373689</v>
      </c>
      <c r="E697" s="26" t="n">
        <f aca="false">SUMIFS(SETORES!$D:$D,SETORES!$A:$A,A697,SETORES!$F:$F,J697)</f>
        <v>46935.8807</v>
      </c>
      <c r="F697" s="26" t="n">
        <f aca="false">IFERROR(D697*E697,0)</f>
        <v>805.382128312679</v>
      </c>
      <c r="G697" s="25" t="n">
        <f aca="false">SUMIFS(PARÂMETROS!$F$8:$F$907,PARÂMETROS!$A$8:$A$907,C697,PARÂMETROS!$G$8:$G$907,J697)</f>
        <v>0</v>
      </c>
      <c r="H697" s="26" t="n">
        <f aca="false">IFERROR(F697*G697,0)</f>
        <v>0</v>
      </c>
      <c r="I697" s="26" t="n">
        <f aca="false">F697+H697</f>
        <v>805.382128312679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25" t="n">
        <f aca="false">IF(B698="Clientes",SUMIFS(PARÂMETROS!$D$8:$D$907,PARÂMETROS!$A$8:$A$907,C698,PARÂMETROS!$G$8:$G$907,J698),SUMIFS(PARÂMETROS!$E$8:$E$907,PARÂMETROS!$A$8:$A$907,C698,PARÂMETROS!$G$8:$G$907,J698))</f>
        <v>0.0162059103908484</v>
      </c>
      <c r="E698" s="26" t="n">
        <f aca="false">SUMIFS(SETORES!$D:$D,SETORES!$A:$A,A698,SETORES!$F:$F,J698)</f>
        <v>46935.8807</v>
      </c>
      <c r="F698" s="26" t="n">
        <f aca="false">IFERROR(D698*E698,0)</f>
        <v>760.638676739752</v>
      </c>
      <c r="G698" s="25" t="n">
        <f aca="false">SUMIFS(PARÂMETROS!$F$8:$F$907,PARÂMETROS!$A$8:$A$907,C698,PARÂMETROS!$G$8:$G$907,J698)</f>
        <v>0</v>
      </c>
      <c r="H698" s="26" t="n">
        <f aca="false">IFERROR(F698*G698,0)</f>
        <v>0</v>
      </c>
      <c r="I698" s="26" t="n">
        <f aca="false">F698+H698</f>
        <v>760.638676739752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25" t="n">
        <f aca="false">IF(B699="Clientes",SUMIFS(PARÂMETROS!$D$8:$D$907,PARÂMETROS!$A$8:$A$907,C699,PARÂMETROS!$G$8:$G$907,J699),SUMIFS(PARÂMETROS!$E$8:$E$907,PARÂMETROS!$A$8:$A$907,C699,PARÂMETROS!$G$8:$G$907,J699))</f>
        <v>0.813155386081983</v>
      </c>
      <c r="E699" s="26" t="n">
        <f aca="false">SUMIFS(SETORES!$D:$D,SETORES!$A:$A,A699,SETORES!$F:$F,J699)</f>
        <v>46935.8807</v>
      </c>
      <c r="F699" s="26" t="n">
        <f aca="false">IFERROR(D699*E699,0)</f>
        <v>38166.1641917064</v>
      </c>
      <c r="G699" s="25" t="n">
        <f aca="false">SUMIFS(PARÂMETROS!$F$8:$F$907,PARÂMETROS!$A$8:$A$907,C699,PARÂMETROS!$G$8:$G$907,J699)</f>
        <v>0</v>
      </c>
      <c r="H699" s="26" t="n">
        <f aca="false">IFERROR(F699*G699,0)</f>
        <v>0</v>
      </c>
      <c r="I699" s="26" t="n">
        <f aca="false">F699+H699</f>
        <v>38166.1641917064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25" t="n">
        <f aca="false">IF(B700="Clientes",SUMIFS(PARÂMETROS!$D$8:$D$907,PARÂMETROS!$A$8:$A$907,C700,PARÂMETROS!$G$8:$G$907,J700),SUMIFS(PARÂMETROS!$E$8:$E$907,PARÂMETROS!$A$8:$A$907,C700,PARÂMETROS!$G$8:$G$907,J700))</f>
        <v>0.0311926605504587</v>
      </c>
      <c r="E700" s="26" t="n">
        <f aca="false">SUMIFS(SETORES!$D:$D,SETORES!$A:$A,A700,SETORES!$F:$F,J700)</f>
        <v>120433.7445</v>
      </c>
      <c r="F700" s="26" t="n">
        <f aca="false">IFERROR(D700*E700,0)</f>
        <v>3756.64891100917</v>
      </c>
      <c r="G700" s="25" t="n">
        <f aca="false">SUMIFS(PARÂMETROS!$F$8:$F$907,PARÂMETROS!$A$8:$A$907,C700,PARÂMETROS!$G$8:$G$907,J700)</f>
        <v>0</v>
      </c>
      <c r="H700" s="26" t="n">
        <f aca="false">IFERROR(F700*G700,0)</f>
        <v>0</v>
      </c>
      <c r="I700" s="26" t="n">
        <f aca="false">F700+H700</f>
        <v>3756.64891100917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25" t="n">
        <f aca="false">IF(B701="Clientes",SUMIFS(PARÂMETROS!$D$8:$D$907,PARÂMETROS!$A$8:$A$907,C701,PARÂMETROS!$G$8:$G$907,J701),SUMIFS(PARÂMETROS!$E$8:$E$907,PARÂMETROS!$A$8:$A$907,C701,PARÂMETROS!$G$8:$G$907,J701))</f>
        <v>0</v>
      </c>
      <c r="E701" s="26" t="n">
        <f aca="false">SUMIFS(SETORES!$D:$D,SETORES!$A:$A,A701,SETORES!$F:$F,J701)</f>
        <v>120433.7445</v>
      </c>
      <c r="F701" s="26" t="n">
        <f aca="false">IFERROR(D701*E701,0)</f>
        <v>0</v>
      </c>
      <c r="G701" s="25" t="n">
        <f aca="false">SUMIFS(PARÂMETROS!$F$8:$F$907,PARÂMETROS!$A$8:$A$907,C701,PARÂMETROS!$G$8:$G$907,J701)</f>
        <v>0</v>
      </c>
      <c r="H701" s="26" t="n">
        <f aca="false">IFERROR(F701*G701,0)</f>
        <v>0</v>
      </c>
      <c r="I701" s="26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25" t="n">
        <f aca="false">IF(B702="Clientes",SUMIFS(PARÂMETROS!$D$8:$D$907,PARÂMETROS!$A$8:$A$907,C702,PARÂMETROS!$G$8:$G$907,J702),SUMIFS(PARÂMETROS!$E$8:$E$907,PARÂMETROS!$A$8:$A$907,C702,PARÂMETROS!$G$8:$G$907,J702))</f>
        <v>0.0431192660550459</v>
      </c>
      <c r="E702" s="26" t="n">
        <f aca="false">SUMIFS(SETORES!$D:$D,SETORES!$A:$A,A702,SETORES!$F:$F,J702)</f>
        <v>120433.7445</v>
      </c>
      <c r="F702" s="26" t="n">
        <f aca="false">IFERROR(D702*E702,0)</f>
        <v>5193.01467110092</v>
      </c>
      <c r="G702" s="25" t="n">
        <f aca="false">SUMIFS(PARÂMETROS!$F$8:$F$907,PARÂMETROS!$A$8:$A$907,C702,PARÂMETROS!$G$8:$G$907,J702)</f>
        <v>0</v>
      </c>
      <c r="H702" s="26" t="n">
        <f aca="false">IFERROR(F702*G702,0)</f>
        <v>0</v>
      </c>
      <c r="I702" s="26" t="n">
        <f aca="false">F702+H702</f>
        <v>5193.01467110092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25" t="n">
        <f aca="false">IF(B703="Clientes",SUMIFS(PARÂMETROS!$D$8:$D$907,PARÂMETROS!$A$8:$A$907,C703,PARÂMETROS!$G$8:$G$907,J703),SUMIFS(PARÂMETROS!$E$8:$E$907,PARÂMETROS!$A$8:$A$907,C703,PARÂMETROS!$G$8:$G$907,J703))</f>
        <v>0.0100917431192661</v>
      </c>
      <c r="E703" s="26" t="n">
        <f aca="false">SUMIFS(SETORES!$D:$D,SETORES!$A:$A,A703,SETORES!$F:$F,J703)</f>
        <v>120433.7445</v>
      </c>
      <c r="F703" s="26" t="n">
        <f aca="false">IFERROR(D703*E703,0)</f>
        <v>1215.38641238532</v>
      </c>
      <c r="G703" s="25" t="n">
        <f aca="false">SUMIFS(PARÂMETROS!$F$8:$F$907,PARÂMETROS!$A$8:$A$907,C703,PARÂMETROS!$G$8:$G$907,J703)</f>
        <v>0</v>
      </c>
      <c r="H703" s="26" t="n">
        <f aca="false">IFERROR(F703*G703,0)</f>
        <v>0</v>
      </c>
      <c r="I703" s="26" t="n">
        <f aca="false">F703+H703</f>
        <v>1215.38641238532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25" t="n">
        <f aca="false">IF(B704="Clientes",SUMIFS(PARÂMETROS!$D$8:$D$907,PARÂMETROS!$A$8:$A$907,C704,PARÂMETROS!$G$8:$G$907,J704),SUMIFS(PARÂMETROS!$E$8:$E$907,PARÂMETROS!$A$8:$A$907,C704,PARÂMETROS!$G$8:$G$907,J704))</f>
        <v>0.0458715596330275</v>
      </c>
      <c r="E704" s="26" t="n">
        <f aca="false">SUMIFS(SETORES!$D:$D,SETORES!$A:$A,A704,SETORES!$F:$F,J704)</f>
        <v>120433.7445</v>
      </c>
      <c r="F704" s="26" t="n">
        <f aca="false">IFERROR(D704*E704,0)</f>
        <v>5524.48369266055</v>
      </c>
      <c r="G704" s="25" t="n">
        <f aca="false">SUMIFS(PARÂMETROS!$F$8:$F$907,PARÂMETROS!$A$8:$A$907,C704,PARÂMETROS!$G$8:$G$907,J704)</f>
        <v>0</v>
      </c>
      <c r="H704" s="26" t="n">
        <f aca="false">IFERROR(F704*G704,0)</f>
        <v>0</v>
      </c>
      <c r="I704" s="26" t="n">
        <f aca="false">F704+H704</f>
        <v>5524.48369266055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25" t="n">
        <f aca="false">IF(B705="Clientes",SUMIFS(PARÂMETROS!$D$8:$D$907,PARÂMETROS!$A$8:$A$907,C705,PARÂMETROS!$G$8:$G$907,J705),SUMIFS(PARÂMETROS!$E$8:$E$907,PARÂMETROS!$A$8:$A$907,C705,PARÂMETROS!$G$8:$G$907,J705))</f>
        <v>0.0165137614678899</v>
      </c>
      <c r="E705" s="26" t="n">
        <f aca="false">SUMIFS(SETORES!$D:$D,SETORES!$A:$A,A705,SETORES!$F:$F,J705)</f>
        <v>120433.7445</v>
      </c>
      <c r="F705" s="26" t="n">
        <f aca="false">IFERROR(D705*E705,0)</f>
        <v>1988.8141293578</v>
      </c>
      <c r="G705" s="25" t="n">
        <f aca="false">SUMIFS(PARÂMETROS!$F$8:$F$907,PARÂMETROS!$A$8:$A$907,C705,PARÂMETROS!$G$8:$G$907,J705)</f>
        <v>0</v>
      </c>
      <c r="H705" s="26" t="n">
        <f aca="false">IFERROR(F705*G705,0)</f>
        <v>0</v>
      </c>
      <c r="I705" s="26" t="n">
        <f aca="false">F705+H705</f>
        <v>1988.8141293578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25" t="n">
        <f aca="false">IF(B706="Clientes",SUMIFS(PARÂMETROS!$D$8:$D$907,PARÂMETROS!$A$8:$A$907,C706,PARÂMETROS!$G$8:$G$907,J706),SUMIFS(PARÂMETROS!$E$8:$E$907,PARÂMETROS!$A$8:$A$907,C706,PARÂMETROS!$G$8:$G$907,J706))</f>
        <v>0.0220183486238532</v>
      </c>
      <c r="E706" s="26" t="n">
        <f aca="false">SUMIFS(SETORES!$D:$D,SETORES!$A:$A,A706,SETORES!$F:$F,J706)</f>
        <v>120433.7445</v>
      </c>
      <c r="F706" s="26" t="n">
        <f aca="false">IFERROR(D706*E706,0)</f>
        <v>2651.75217247706</v>
      </c>
      <c r="G706" s="25" t="n">
        <f aca="false">SUMIFS(PARÂMETROS!$F$8:$F$907,PARÂMETROS!$A$8:$A$907,C706,PARÂMETROS!$G$8:$G$907,J706)</f>
        <v>0</v>
      </c>
      <c r="H706" s="26" t="n">
        <f aca="false">IFERROR(F706*G706,0)</f>
        <v>0</v>
      </c>
      <c r="I706" s="26" t="n">
        <f aca="false">F706+H706</f>
        <v>2651.75217247706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25" t="n">
        <f aca="false">IF(B707="Clientes",SUMIFS(PARÂMETROS!$D$8:$D$907,PARÂMETROS!$A$8:$A$907,C707,PARÂMETROS!$G$8:$G$907,J707),SUMIFS(PARÂMETROS!$E$8:$E$907,PARÂMETROS!$A$8:$A$907,C707,PARÂMETROS!$G$8:$G$907,J707))</f>
        <v>0.831192660550459</v>
      </c>
      <c r="E707" s="26" t="n">
        <f aca="false">SUMIFS(SETORES!$D:$D,SETORES!$A:$A,A707,SETORES!$F:$F,J707)</f>
        <v>120433.7445</v>
      </c>
      <c r="F707" s="26" t="n">
        <f aca="false">IFERROR(D707*E707,0)</f>
        <v>100103.644511009</v>
      </c>
      <c r="G707" s="25" t="n">
        <f aca="false">SUMIFS(PARÂMETROS!$F$8:$F$907,PARÂMETROS!$A$8:$A$907,C707,PARÂMETROS!$G$8:$G$907,J707)</f>
        <v>0</v>
      </c>
      <c r="H707" s="26" t="n">
        <f aca="false">IFERROR(F707*G707,0)</f>
        <v>0</v>
      </c>
      <c r="I707" s="26" t="n">
        <f aca="false">F707+H707</f>
        <v>100103.644511009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25" t="n">
        <f aca="false">IF(B708="Clientes",SUMIFS(PARÂMETROS!$D$8:$D$907,PARÂMETROS!$A$8:$A$907,C708,PARÂMETROS!$G$8:$G$907,J708),SUMIFS(PARÂMETROS!$E$8:$E$907,PARÂMETROS!$A$8:$A$907,C708,PARÂMETROS!$G$8:$G$907,J708))</f>
        <v>0.0328233861399593</v>
      </c>
      <c r="E708" s="26" t="n">
        <f aca="false">SUMIFS(SETORES!$D:$D,SETORES!$A:$A,A708,SETORES!$F:$F,J708)</f>
        <v>29568.365733</v>
      </c>
      <c r="F708" s="26" t="n">
        <f aca="false">IFERROR(D708*E708,0)</f>
        <v>970.533885981801</v>
      </c>
      <c r="G708" s="25" t="n">
        <f aca="false">SUMIFS(PARÂMETROS!$F$8:$F$907,PARÂMETROS!$A$8:$A$907,C708,PARÂMETROS!$G$8:$G$907,J708)</f>
        <v>0</v>
      </c>
      <c r="H708" s="26" t="n">
        <f aca="false">IFERROR(F708*G708,0)</f>
        <v>0</v>
      </c>
      <c r="I708" s="26" t="n">
        <f aca="false">F708+H708</f>
        <v>970.533885981801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25" t="n">
        <f aca="false">IF(B709="Clientes",SUMIFS(PARÂMETROS!$D$8:$D$907,PARÂMETROS!$A$8:$A$907,C709,PARÂMETROS!$G$8:$G$907,J709),SUMIFS(PARÂMETROS!$E$8:$E$907,PARÂMETROS!$A$8:$A$907,C709,PARÂMETROS!$G$8:$G$907,J709))</f>
        <v>0.0700476148165183</v>
      </c>
      <c r="E709" s="26" t="n">
        <f aca="false">SUMIFS(SETORES!$D:$D,SETORES!$A:$A,A709,SETORES!$F:$F,J709)</f>
        <v>29568.365733</v>
      </c>
      <c r="F709" s="26" t="n">
        <f aca="false">IFERROR(D709*E709,0)</f>
        <v>2071.19349361912</v>
      </c>
      <c r="G709" s="25" t="n">
        <f aca="false">SUMIFS(PARÂMETROS!$F$8:$F$907,PARÂMETROS!$A$8:$A$907,C709,PARÂMETROS!$G$8:$G$907,J709)</f>
        <v>0</v>
      </c>
      <c r="H709" s="26" t="n">
        <f aca="false">IFERROR(F709*G709,0)</f>
        <v>0</v>
      </c>
      <c r="I709" s="26" t="n">
        <f aca="false">F709+H709</f>
        <v>2071.19349361912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25" t="n">
        <f aca="false">IF(B710="Clientes",SUMIFS(PARÂMETROS!$D$8:$D$907,PARÂMETROS!$A$8:$A$907,C710,PARÂMETROS!$G$8:$G$907,J710),SUMIFS(PARÂMETROS!$E$8:$E$907,PARÂMETROS!$A$8:$A$907,C710,PARÂMETROS!$G$8:$G$907,J710))</f>
        <v>0.074903176237541</v>
      </c>
      <c r="E710" s="26" t="n">
        <f aca="false">SUMIFS(SETORES!$D:$D,SETORES!$A:$A,A710,SETORES!$F:$F,J710)</f>
        <v>29568.365733</v>
      </c>
      <c r="F710" s="26" t="n">
        <f aca="false">IFERROR(D710*E710,0)</f>
        <v>2214.76450955497</v>
      </c>
      <c r="G710" s="25" t="n">
        <f aca="false">SUMIFS(PARÂMETROS!$F$8:$F$907,PARÂMETROS!$A$8:$A$907,C710,PARÂMETROS!$G$8:$G$907,J710)</f>
        <v>0</v>
      </c>
      <c r="H710" s="26" t="n">
        <f aca="false">IFERROR(F710*G710,0)</f>
        <v>0</v>
      </c>
      <c r="I710" s="26" t="n">
        <f aca="false">F710+H710</f>
        <v>2214.76450955497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25" t="n">
        <f aca="false">IF(B711="Clientes",SUMIFS(PARÂMETROS!$D$8:$D$907,PARÂMETROS!$A$8:$A$907,C711,PARÂMETROS!$G$8:$G$907,J711),SUMIFS(PARÂMETROS!$E$8:$E$907,PARÂMETROS!$A$8:$A$907,C711,PARÂMETROS!$G$8:$G$907,J711))</f>
        <v>0.0190772865303904</v>
      </c>
      <c r="E711" s="26" t="n">
        <f aca="false">SUMIFS(SETORES!$D:$D,SETORES!$A:$A,A711,SETORES!$F:$F,J711)</f>
        <v>29568.365733</v>
      </c>
      <c r="F711" s="26" t="n">
        <f aca="false">IFERROR(D711*E711,0)</f>
        <v>564.084185323818</v>
      </c>
      <c r="G711" s="25" t="n">
        <f aca="false">SUMIFS(PARÂMETROS!$F$8:$F$907,PARÂMETROS!$A$8:$A$907,C711,PARÂMETROS!$G$8:$G$907,J711)</f>
        <v>0</v>
      </c>
      <c r="H711" s="26" t="n">
        <f aca="false">IFERROR(F711*G711,0)</f>
        <v>0</v>
      </c>
      <c r="I711" s="26" t="n">
        <f aca="false">F711+H711</f>
        <v>564.084185323818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25" t="n">
        <f aca="false">IF(B712="Clientes",SUMIFS(PARÂMETROS!$D$8:$D$907,PARÂMETROS!$A$8:$A$907,C712,PARÂMETROS!$G$8:$G$907,J712),SUMIFS(PARÂMETROS!$E$8:$E$907,PARÂMETROS!$A$8:$A$907,C712,PARÂMETROS!$G$8:$G$907,J712))</f>
        <v>0.0334296779858567</v>
      </c>
      <c r="E712" s="26" t="n">
        <f aca="false">SUMIFS(SETORES!$D:$D,SETORES!$A:$A,A712,SETORES!$F:$F,J712)</f>
        <v>29568.365733</v>
      </c>
      <c r="F712" s="26" t="n">
        <f aca="false">IFERROR(D712*E712,0)</f>
        <v>988.460945022229</v>
      </c>
      <c r="G712" s="25" t="n">
        <f aca="false">SUMIFS(PARÂMETROS!$F$8:$F$907,PARÂMETROS!$A$8:$A$907,C712,PARÂMETROS!$G$8:$G$907,J712)</f>
        <v>0</v>
      </c>
      <c r="H712" s="26" t="n">
        <f aca="false">IFERROR(F712*G712,0)</f>
        <v>0</v>
      </c>
      <c r="I712" s="26" t="n">
        <f aca="false">F712+H712</f>
        <v>988.460945022229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25" t="n">
        <f aca="false">IF(B713="Clientes",SUMIFS(PARÂMETROS!$D$8:$D$907,PARÂMETROS!$A$8:$A$907,C713,PARÂMETROS!$G$8:$G$907,J713),SUMIFS(PARÂMETROS!$E$8:$E$907,PARÂMETROS!$A$8:$A$907,C713,PARÂMETROS!$G$8:$G$907,J713))</f>
        <v>0.0247220726818484</v>
      </c>
      <c r="E713" s="26" t="n">
        <f aca="false">SUMIFS(SETORES!$D:$D,SETORES!$A:$A,A713,SETORES!$F:$F,J713)</f>
        <v>29568.365733</v>
      </c>
      <c r="F713" s="26" t="n">
        <f aca="false">IFERROR(D713*E713,0)</f>
        <v>730.9912867347</v>
      </c>
      <c r="G713" s="25" t="n">
        <f aca="false">SUMIFS(PARÂMETROS!$F$8:$F$907,PARÂMETROS!$A$8:$A$907,C713,PARÂMETROS!$G$8:$G$907,J713)</f>
        <v>0</v>
      </c>
      <c r="H713" s="26" t="n">
        <f aca="false">IFERROR(F713*G713,0)</f>
        <v>0</v>
      </c>
      <c r="I713" s="26" t="n">
        <f aca="false">F713+H713</f>
        <v>730.9912867347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25" t="n">
        <f aca="false">IF(B714="Clientes",SUMIFS(PARÂMETROS!$D$8:$D$907,PARÂMETROS!$A$8:$A$907,C714,PARÂMETROS!$G$8:$G$907,J714),SUMIFS(PARÂMETROS!$E$8:$E$907,PARÂMETROS!$A$8:$A$907,C714,PARÂMETROS!$G$8:$G$907,J714))</f>
        <v>0.0249938586817334</v>
      </c>
      <c r="E714" s="26" t="n">
        <f aca="false">SUMIFS(SETORES!$D:$D,SETORES!$A:$A,A714,SETORES!$F:$F,J714)</f>
        <v>29568.365733</v>
      </c>
      <c r="F714" s="26" t="n">
        <f aca="false">IFERROR(D714*E714,0)</f>
        <v>739.02755458041</v>
      </c>
      <c r="G714" s="25" t="n">
        <f aca="false">SUMIFS(PARÂMETROS!$F$8:$F$907,PARÂMETROS!$A$8:$A$907,C714,PARÂMETROS!$G$8:$G$907,J714)</f>
        <v>0</v>
      </c>
      <c r="H714" s="26" t="n">
        <f aca="false">IFERROR(F714*G714,0)</f>
        <v>0</v>
      </c>
      <c r="I714" s="26" t="n">
        <f aca="false">F714+H714</f>
        <v>739.02755458041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25" t="n">
        <f aca="false">IF(B715="Clientes",SUMIFS(PARÂMETROS!$D$8:$D$907,PARÂMETROS!$A$8:$A$907,C715,PARÂMETROS!$G$8:$G$907,J715),SUMIFS(PARÂMETROS!$E$8:$E$907,PARÂMETROS!$A$8:$A$907,C715,PARÂMETROS!$G$8:$G$907,J715))</f>
        <v>0.720002926926153</v>
      </c>
      <c r="E715" s="26" t="n">
        <f aca="false">SUMIFS(SETORES!$D:$D,SETORES!$A:$A,A715,SETORES!$F:$F,J715)</f>
        <v>29568.365733</v>
      </c>
      <c r="F715" s="26" t="n">
        <f aca="false">IFERROR(D715*E715,0)</f>
        <v>21289.309872183</v>
      </c>
      <c r="G715" s="25" t="n">
        <f aca="false">SUMIFS(PARÂMETROS!$F$8:$F$907,PARÂMETROS!$A$8:$A$907,C715,PARÂMETROS!$G$8:$G$907,J715)</f>
        <v>0</v>
      </c>
      <c r="H715" s="26" t="n">
        <f aca="false">IFERROR(F715*G715,0)</f>
        <v>0</v>
      </c>
      <c r="I715" s="26" t="n">
        <f aca="false">F715+H715</f>
        <v>21289.309872183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25" t="n">
        <f aca="false">IF(B716="Clientes",SUMIFS(PARÂMETROS!$D$8:$D$907,PARÂMETROS!$A$8:$A$907,C716,PARÂMETROS!$G$8:$G$907,J716),SUMIFS(PARÂMETROS!$E$8:$E$907,PARÂMETROS!$A$8:$A$907,C716,PARÂMETROS!$G$8:$G$907,J716))</f>
        <v>0.0330779140128206</v>
      </c>
      <c r="E716" s="26" t="n">
        <f aca="false">SUMIFS(SETORES!$D:$D,SETORES!$A:$A,A716,SETORES!$F:$F,J716)</f>
        <v>29374.965692</v>
      </c>
      <c r="F716" s="26" t="n">
        <f aca="false">IFERROR(D716*E716,0)</f>
        <v>971.662589289531</v>
      </c>
      <c r="G716" s="25" t="n">
        <f aca="false">SUMIFS(PARÂMETROS!$F$8:$F$907,PARÂMETROS!$A$8:$A$907,C716,PARÂMETROS!$G$8:$G$907,J716)</f>
        <v>0</v>
      </c>
      <c r="H716" s="26" t="n">
        <f aca="false">IFERROR(F716*G716,0)</f>
        <v>0</v>
      </c>
      <c r="I716" s="26" t="n">
        <f aca="false">F716+H716</f>
        <v>971.662589289531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25" t="n">
        <f aca="false">IF(B717="Clientes",SUMIFS(PARÂMETROS!$D$8:$D$907,PARÂMETROS!$A$8:$A$907,C717,PARÂMETROS!$G$8:$G$907,J717),SUMIFS(PARÂMETROS!$E$8:$E$907,PARÂMETROS!$A$8:$A$907,C717,PARÂMETROS!$G$8:$G$907,J717))</f>
        <v>0.0688657021294068</v>
      </c>
      <c r="E717" s="26" t="n">
        <f aca="false">SUMIFS(SETORES!$D:$D,SETORES!$A:$A,A717,SETORES!$F:$F,J717)</f>
        <v>29374.965692</v>
      </c>
      <c r="F717" s="26" t="n">
        <f aca="false">IFERROR(D717*E717,0)</f>
        <v>2022.92763740681</v>
      </c>
      <c r="G717" s="25" t="n">
        <f aca="false">SUMIFS(PARÂMETROS!$F$8:$F$907,PARÂMETROS!$A$8:$A$907,C717,PARÂMETROS!$G$8:$G$907,J717)</f>
        <v>0</v>
      </c>
      <c r="H717" s="26" t="n">
        <f aca="false">IFERROR(F717*G717,0)</f>
        <v>0</v>
      </c>
      <c r="I717" s="26" t="n">
        <f aca="false">F717+H717</f>
        <v>2022.92763740681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25" t="n">
        <f aca="false">IF(B718="Clientes",SUMIFS(PARÂMETROS!$D$8:$D$907,PARÂMETROS!$A$8:$A$907,C718,PARÂMETROS!$G$8:$G$907,J718),SUMIFS(PARÂMETROS!$E$8:$E$907,PARÂMETROS!$A$8:$A$907,C718,PARÂMETROS!$G$8:$G$907,J718))</f>
        <v>0.0741160832054526</v>
      </c>
      <c r="E718" s="26" t="n">
        <f aca="false">SUMIFS(SETORES!$D:$D,SETORES!$A:$A,A718,SETORES!$F:$F,J718)</f>
        <v>29374.965692</v>
      </c>
      <c r="F718" s="26" t="n">
        <f aca="false">IFERROR(D718*E718,0)</f>
        <v>2177.15740138559</v>
      </c>
      <c r="G718" s="25" t="n">
        <f aca="false">SUMIFS(PARÂMETROS!$F$8:$F$907,PARÂMETROS!$A$8:$A$907,C718,PARÂMETROS!$G$8:$G$907,J718)</f>
        <v>0</v>
      </c>
      <c r="H718" s="26" t="n">
        <f aca="false">IFERROR(F718*G718,0)</f>
        <v>0</v>
      </c>
      <c r="I718" s="26" t="n">
        <f aca="false">F718+H718</f>
        <v>2177.15740138559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25" t="n">
        <f aca="false">IF(B719="Clientes",SUMIFS(PARÂMETROS!$D$8:$D$907,PARÂMETROS!$A$8:$A$907,C719,PARÂMETROS!$G$8:$G$907,J719),SUMIFS(PARÂMETROS!$E$8:$E$907,PARÂMETROS!$A$8:$A$907,C719,PARÂMETROS!$G$8:$G$907,J719))</f>
        <v>0.0190101774249011</v>
      </c>
      <c r="E719" s="26" t="n">
        <f aca="false">SUMIFS(SETORES!$D:$D,SETORES!$A:$A,A719,SETORES!$F:$F,J719)</f>
        <v>29374.965692</v>
      </c>
      <c r="F719" s="26" t="n">
        <f aca="false">IFERROR(D719*E719,0)</f>
        <v>558.423309655302</v>
      </c>
      <c r="G719" s="25" t="n">
        <f aca="false">SUMIFS(PARÂMETROS!$F$8:$F$907,PARÂMETROS!$A$8:$A$907,C719,PARÂMETROS!$G$8:$G$907,J719)</f>
        <v>0</v>
      </c>
      <c r="H719" s="26" t="n">
        <f aca="false">IFERROR(F719*G719,0)</f>
        <v>0</v>
      </c>
      <c r="I719" s="26" t="n">
        <f aca="false">F719+H719</f>
        <v>558.423309655302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25" t="n">
        <f aca="false">IF(B720="Clientes",SUMIFS(PARÂMETROS!$D$8:$D$907,PARÂMETROS!$A$8:$A$907,C720,PARÂMETROS!$G$8:$G$907,J720),SUMIFS(PARÂMETROS!$E$8:$E$907,PARÂMETROS!$A$8:$A$907,C720,PARÂMETROS!$G$8:$G$907,J720))</f>
        <v>0.0330214583023255</v>
      </c>
      <c r="E720" s="26" t="n">
        <f aca="false">SUMIFS(SETORES!$D:$D,SETORES!$A:$A,A720,SETORES!$F:$F,J720)</f>
        <v>29374.965692</v>
      </c>
      <c r="F720" s="26" t="n">
        <f aca="false">IFERROR(D720*E720,0)</f>
        <v>970.004204730619</v>
      </c>
      <c r="G720" s="25" t="n">
        <f aca="false">SUMIFS(PARÂMETROS!$F$8:$F$907,PARÂMETROS!$A$8:$A$907,C720,PARÂMETROS!$G$8:$G$907,J720)</f>
        <v>0</v>
      </c>
      <c r="H720" s="26" t="n">
        <f aca="false">IFERROR(F720*G720,0)</f>
        <v>0</v>
      </c>
      <c r="I720" s="26" t="n">
        <f aca="false">F720+H720</f>
        <v>970.004204730619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25" t="n">
        <f aca="false">IF(B721="Clientes",SUMIFS(PARÂMETROS!$D$8:$D$907,PARÂMETROS!$A$8:$A$907,C721,PARÂMETROS!$G$8:$G$907,J721),SUMIFS(PARÂMETROS!$E$8:$E$907,PARÂMETROS!$A$8:$A$907,C721,PARÂMETROS!$G$8:$G$907,J721))</f>
        <v>0.0243734699219372</v>
      </c>
      <c r="E721" s="26" t="n">
        <f aca="false">SUMIFS(SETORES!$D:$D,SETORES!$A:$A,A721,SETORES!$F:$F,J721)</f>
        <v>29374.965692</v>
      </c>
      <c r="F721" s="26" t="n">
        <f aca="false">IFERROR(D721*E721,0)</f>
        <v>715.969842751898</v>
      </c>
      <c r="G721" s="25" t="n">
        <f aca="false">SUMIFS(PARÂMETROS!$F$8:$F$907,PARÂMETROS!$A$8:$A$907,C721,PARÂMETROS!$G$8:$G$907,J721)</f>
        <v>0</v>
      </c>
      <c r="H721" s="26" t="n">
        <f aca="false">IFERROR(F721*G721,0)</f>
        <v>0</v>
      </c>
      <c r="I721" s="26" t="n">
        <f aca="false">F721+H721</f>
        <v>715.969842751898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25" t="n">
        <f aca="false">IF(B722="Clientes",SUMIFS(PARÂMETROS!$D$8:$D$907,PARÂMETROS!$A$8:$A$907,C722,PARÂMETROS!$G$8:$G$907,J722),SUMIFS(PARÂMETROS!$E$8:$E$907,PARÂMETROS!$A$8:$A$907,C722,PARÂMETROS!$G$8:$G$907,J722))</f>
        <v>0.0246095574385531</v>
      </c>
      <c r="E722" s="26" t="n">
        <f aca="false">SUMIFS(SETORES!$D:$D,SETORES!$A:$A,A722,SETORES!$F:$F,J722)</f>
        <v>29374.965692</v>
      </c>
      <c r="F722" s="26" t="n">
        <f aca="false">IFERROR(D722*E722,0)</f>
        <v>722.9049054528</v>
      </c>
      <c r="G722" s="25" t="n">
        <f aca="false">SUMIFS(PARÂMETROS!$F$8:$F$907,PARÂMETROS!$A$8:$A$907,C722,PARÂMETROS!$G$8:$G$907,J722)</f>
        <v>0</v>
      </c>
      <c r="H722" s="26" t="n">
        <f aca="false">IFERROR(F722*G722,0)</f>
        <v>0</v>
      </c>
      <c r="I722" s="26" t="n">
        <f aca="false">F722+H722</f>
        <v>722.9049054528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25" t="n">
        <f aca="false">IF(B723="Clientes",SUMIFS(PARÂMETROS!$D$8:$D$907,PARÂMETROS!$A$8:$A$907,C723,PARÂMETROS!$G$8:$G$907,J723),SUMIFS(PARÂMETROS!$E$8:$E$907,PARÂMETROS!$A$8:$A$907,C723,PARÂMETROS!$G$8:$G$907,J723))</f>
        <v>0.722925637564603</v>
      </c>
      <c r="E723" s="26" t="n">
        <f aca="false">SUMIFS(SETORES!$D:$D,SETORES!$A:$A,A723,SETORES!$F:$F,J723)</f>
        <v>29374.965692</v>
      </c>
      <c r="F723" s="26" t="n">
        <f aca="false">IFERROR(D723*E723,0)</f>
        <v>21235.9158013275</v>
      </c>
      <c r="G723" s="25" t="n">
        <f aca="false">SUMIFS(PARÂMETROS!$F$8:$F$907,PARÂMETROS!$A$8:$A$907,C723,PARÂMETROS!$G$8:$G$907,J723)</f>
        <v>0</v>
      </c>
      <c r="H723" s="26" t="n">
        <f aca="false">IFERROR(F723*G723,0)</f>
        <v>0</v>
      </c>
      <c r="I723" s="26" t="n">
        <f aca="false">F723+H723</f>
        <v>21235.9158013275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25" t="n">
        <f aca="false">IF(B724="Clientes",SUMIFS(PARÂMETROS!$D$8:$D$907,PARÂMETROS!$A$8:$A$907,C724,PARÂMETROS!$G$8:$G$907,J724),SUMIFS(PARÂMETROS!$E$8:$E$907,PARÂMETROS!$A$8:$A$907,C724,PARÂMETROS!$G$8:$G$907,J724))</f>
        <v>0.0326962494602737</v>
      </c>
      <c r="E724" s="26" t="n">
        <f aca="false">SUMIFS(SETORES!$D:$D,SETORES!$A:$A,A724,SETORES!$F:$F,J724)</f>
        <v>29274.582976</v>
      </c>
      <c r="F724" s="26" t="n">
        <f aca="false">IFERROR(D724*E724,0)</f>
        <v>957.169067828777</v>
      </c>
      <c r="G724" s="25" t="n">
        <f aca="false">SUMIFS(PARÂMETROS!$F$8:$F$907,PARÂMETROS!$A$8:$A$907,C724,PARÂMETROS!$G$8:$G$907,J724)</f>
        <v>0</v>
      </c>
      <c r="H724" s="26" t="n">
        <f aca="false">IFERROR(F724*G724,0)</f>
        <v>0</v>
      </c>
      <c r="I724" s="26" t="n">
        <f aca="false">F724+H724</f>
        <v>957.169067828777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25" t="n">
        <f aca="false">IF(B725="Clientes",SUMIFS(PARÂMETROS!$D$8:$D$907,PARÂMETROS!$A$8:$A$907,C725,PARÂMETROS!$G$8:$G$907,J725),SUMIFS(PARÂMETROS!$E$8:$E$907,PARÂMETROS!$A$8:$A$907,C725,PARÂMETROS!$G$8:$G$907,J725))</f>
        <v>0.06714940121395</v>
      </c>
      <c r="E725" s="26" t="n">
        <f aca="false">SUMIFS(SETORES!$D:$D,SETORES!$A:$A,A725,SETORES!$F:$F,J725)</f>
        <v>29274.582976</v>
      </c>
      <c r="F725" s="26" t="n">
        <f aca="false">IFERROR(D725*E725,0)</f>
        <v>1965.77071762649</v>
      </c>
      <c r="G725" s="25" t="n">
        <f aca="false">SUMIFS(PARÂMETROS!$F$8:$F$907,PARÂMETROS!$A$8:$A$907,C725,PARÂMETROS!$G$8:$G$907,J725)</f>
        <v>0</v>
      </c>
      <c r="H725" s="26" t="n">
        <f aca="false">IFERROR(F725*G725,0)</f>
        <v>0</v>
      </c>
      <c r="I725" s="26" t="n">
        <f aca="false">F725+H725</f>
        <v>1965.77071762649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25" t="n">
        <f aca="false">IF(B726="Clientes",SUMIFS(PARÂMETROS!$D$8:$D$907,PARÂMETROS!$A$8:$A$907,C726,PARÂMETROS!$G$8:$G$907,J726),SUMIFS(PARÂMETROS!$E$8:$E$907,PARÂMETROS!$A$8:$A$907,C726,PARÂMETROS!$G$8:$G$907,J726))</f>
        <v>0.0729015191745537</v>
      </c>
      <c r="E726" s="26" t="n">
        <f aca="false">SUMIFS(SETORES!$D:$D,SETORES!$A:$A,A726,SETORES!$F:$F,J726)</f>
        <v>29274.582976</v>
      </c>
      <c r="F726" s="26" t="n">
        <f aca="false">IFERROR(D726*E726,0)</f>
        <v>2134.16157215193</v>
      </c>
      <c r="G726" s="25" t="n">
        <f aca="false">SUMIFS(PARÂMETROS!$F$8:$F$907,PARÂMETROS!$A$8:$A$907,C726,PARÂMETROS!$G$8:$G$907,J726)</f>
        <v>0</v>
      </c>
      <c r="H726" s="26" t="n">
        <f aca="false">IFERROR(F726*G726,0)</f>
        <v>0</v>
      </c>
      <c r="I726" s="26" t="n">
        <f aca="false">F726+H726</f>
        <v>2134.16157215193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25" t="n">
        <f aca="false">IF(B727="Clientes",SUMIFS(PARÂMETROS!$D$8:$D$907,PARÂMETROS!$A$8:$A$907,C727,PARÂMETROS!$G$8:$G$907,J727),SUMIFS(PARÂMETROS!$E$8:$E$907,PARÂMETROS!$A$8:$A$907,C727,PARÂMETROS!$G$8:$G$907,J727))</f>
        <v>0.0186856981205116</v>
      </c>
      <c r="E727" s="26" t="n">
        <f aca="false">SUMIFS(SETORES!$D:$D,SETORES!$A:$A,A727,SETORES!$F:$F,J727)</f>
        <v>29274.582976</v>
      </c>
      <c r="F727" s="26" t="n">
        <f aca="false">IFERROR(D727*E727,0)</f>
        <v>547.016020093404</v>
      </c>
      <c r="G727" s="25" t="n">
        <f aca="false">SUMIFS(PARÂMETROS!$F$8:$F$907,PARÂMETROS!$A$8:$A$907,C727,PARÂMETROS!$G$8:$G$907,J727)</f>
        <v>0</v>
      </c>
      <c r="H727" s="26" t="n">
        <f aca="false">IFERROR(F727*G727,0)</f>
        <v>0</v>
      </c>
      <c r="I727" s="26" t="n">
        <f aca="false">F727+H727</f>
        <v>547.016020093404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25" t="n">
        <f aca="false">IF(B728="Clientes",SUMIFS(PARÂMETROS!$D$8:$D$907,PARÂMETROS!$A$8:$A$907,C728,PARÂMETROS!$G$8:$G$907,J728),SUMIFS(PARÂMETROS!$E$8:$E$907,PARÂMETROS!$A$8:$A$907,C728,PARÂMETROS!$G$8:$G$907,J728))</f>
        <v>0.0325969894436972</v>
      </c>
      <c r="E728" s="26" t="n">
        <f aca="false">SUMIFS(SETORES!$D:$D,SETORES!$A:$A,A728,SETORES!$F:$F,J728)</f>
        <v>29274.582976</v>
      </c>
      <c r="F728" s="26" t="n">
        <f aca="false">IFERROR(D728*E728,0)</f>
        <v>954.263272237311</v>
      </c>
      <c r="G728" s="25" t="n">
        <f aca="false">SUMIFS(PARÂMETROS!$F$8:$F$907,PARÂMETROS!$A$8:$A$907,C728,PARÂMETROS!$G$8:$G$907,J728)</f>
        <v>0</v>
      </c>
      <c r="H728" s="26" t="n">
        <f aca="false">IFERROR(F728*G728,0)</f>
        <v>0</v>
      </c>
      <c r="I728" s="26" t="n">
        <f aca="false">F728+H728</f>
        <v>954.263272237311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25" t="n">
        <f aca="false">IF(B729="Clientes",SUMIFS(PARÂMETROS!$D$8:$D$907,PARÂMETROS!$A$8:$A$907,C729,PARÂMETROS!$G$8:$G$907,J729),SUMIFS(PARÂMETROS!$E$8:$E$907,PARÂMETROS!$A$8:$A$907,C729,PARÂMETROS!$G$8:$G$907,J729))</f>
        <v>0.0238472189824856</v>
      </c>
      <c r="E729" s="26" t="n">
        <f aca="false">SUMIFS(SETORES!$D:$D,SETORES!$A:$A,A729,SETORES!$F:$F,J729)</f>
        <v>29274.582976</v>
      </c>
      <c r="F729" s="26" t="n">
        <f aca="false">IFERROR(D729*E729,0)</f>
        <v>698.117390849616</v>
      </c>
      <c r="G729" s="25" t="n">
        <f aca="false">SUMIFS(PARÂMETROS!$F$8:$F$907,PARÂMETROS!$A$8:$A$907,C729,PARÂMETROS!$G$8:$G$907,J729)</f>
        <v>0</v>
      </c>
      <c r="H729" s="26" t="n">
        <f aca="false">IFERROR(F729*G729,0)</f>
        <v>0</v>
      </c>
      <c r="I729" s="26" t="n">
        <f aca="false">F729+H729</f>
        <v>698.117390849616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25" t="n">
        <f aca="false">IF(B730="Clientes",SUMIFS(PARÂMETROS!$D$8:$D$907,PARÂMETROS!$A$8:$A$907,C730,PARÂMETROS!$G$8:$G$907,J730),SUMIFS(PARÂMETROS!$E$8:$E$907,PARÂMETROS!$A$8:$A$907,C730,PARÂMETROS!$G$8:$G$907,J730))</f>
        <v>0.0238521819833144</v>
      </c>
      <c r="E730" s="26" t="n">
        <f aca="false">SUMIFS(SETORES!$D:$D,SETORES!$A:$A,A730,SETORES!$F:$F,J730)</f>
        <v>29274.582976</v>
      </c>
      <c r="F730" s="26" t="n">
        <f aca="false">IFERROR(D730*E730,0)</f>
        <v>698.262680629189</v>
      </c>
      <c r="G730" s="25" t="n">
        <f aca="false">SUMIFS(PARÂMETROS!$F$8:$F$907,PARÂMETROS!$A$8:$A$907,C730,PARÂMETROS!$G$8:$G$907,J730)</f>
        <v>0</v>
      </c>
      <c r="H730" s="26" t="n">
        <f aca="false">IFERROR(F730*G730,0)</f>
        <v>0</v>
      </c>
      <c r="I730" s="26" t="n">
        <f aca="false">F730+H730</f>
        <v>698.262680629189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25" t="n">
        <f aca="false">IF(B731="Clientes",SUMIFS(PARÂMETROS!$D$8:$D$907,PARÂMETROS!$A$8:$A$907,C731,PARÂMETROS!$G$8:$G$907,J731),SUMIFS(PARÂMETROS!$E$8:$E$907,PARÂMETROS!$A$8:$A$907,C731,PARÂMETROS!$G$8:$G$907,J731))</f>
        <v>0.728270741621214</v>
      </c>
      <c r="E731" s="26" t="n">
        <f aca="false">SUMIFS(SETORES!$D:$D,SETORES!$A:$A,A731,SETORES!$F:$F,J731)</f>
        <v>29274.582976</v>
      </c>
      <c r="F731" s="26" t="n">
        <f aca="false">IFERROR(D731*E731,0)</f>
        <v>21319.8222545833</v>
      </c>
      <c r="G731" s="25" t="n">
        <f aca="false">SUMIFS(PARÂMETROS!$F$8:$F$907,PARÂMETROS!$A$8:$A$907,C731,PARÂMETROS!$G$8:$G$907,J731)</f>
        <v>0</v>
      </c>
      <c r="H731" s="26" t="n">
        <f aca="false">IFERROR(F731*G731,0)</f>
        <v>0</v>
      </c>
      <c r="I731" s="26" t="n">
        <f aca="false">F731+H731</f>
        <v>21319.8222545833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25" t="n">
        <f aca="false">IF(B732="Clientes",SUMIFS(PARÂMETROS!$D$8:$D$907,PARÂMETROS!$A$8:$A$907,C732,PARÂMETROS!$G$8:$G$907,J732),SUMIFS(PARÂMETROS!$E$8:$E$907,PARÂMETROS!$A$8:$A$907,C732,PARÂMETROS!$G$8:$G$907,J732))</f>
        <v>0.0328233861399593</v>
      </c>
      <c r="E732" s="26" t="n">
        <f aca="false">SUMIFS(SETORES!$D:$D,SETORES!$A:$A,A732,SETORES!$F:$F,J732)</f>
        <v>9882.542222</v>
      </c>
      <c r="F732" s="26" t="n">
        <f aca="false">IFERROR(D732*E732,0)</f>
        <v>324.378499397158</v>
      </c>
      <c r="G732" s="25" t="n">
        <f aca="false">SUMIFS(PARÂMETROS!$F$8:$F$907,PARÂMETROS!$A$8:$A$907,C732,PARÂMETROS!$G$8:$G$907,J732)</f>
        <v>0</v>
      </c>
      <c r="H732" s="26" t="n">
        <f aca="false">IFERROR(F732*G732,0)</f>
        <v>0</v>
      </c>
      <c r="I732" s="26" t="n">
        <f aca="false">F732+H732</f>
        <v>324.378499397158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25" t="n">
        <f aca="false">IF(B733="Clientes",SUMIFS(PARÂMETROS!$D$8:$D$907,PARÂMETROS!$A$8:$A$907,C733,PARÂMETROS!$G$8:$G$907,J733),SUMIFS(PARÂMETROS!$E$8:$E$907,PARÂMETROS!$A$8:$A$907,C733,PARÂMETROS!$G$8:$G$907,J733))</f>
        <v>0.0700476148165183</v>
      </c>
      <c r="E733" s="26" t="n">
        <f aca="false">SUMIFS(SETORES!$D:$D,SETORES!$A:$A,A733,SETORES!$F:$F,J733)</f>
        <v>9882.542222</v>
      </c>
      <c r="F733" s="26" t="n">
        <f aca="false">IFERROR(D733*E733,0)</f>
        <v>692.248510974635</v>
      </c>
      <c r="G733" s="25" t="n">
        <f aca="false">SUMIFS(PARÂMETROS!$F$8:$F$907,PARÂMETROS!$A$8:$A$907,C733,PARÂMETROS!$G$8:$G$907,J733)</f>
        <v>0</v>
      </c>
      <c r="H733" s="26" t="n">
        <f aca="false">IFERROR(F733*G733,0)</f>
        <v>0</v>
      </c>
      <c r="I733" s="26" t="n">
        <f aca="false">F733+H733</f>
        <v>692.248510974635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25" t="n">
        <f aca="false">IF(B734="Clientes",SUMIFS(PARÂMETROS!$D$8:$D$907,PARÂMETROS!$A$8:$A$907,C734,PARÂMETROS!$G$8:$G$907,J734),SUMIFS(PARÂMETROS!$E$8:$E$907,PARÂMETROS!$A$8:$A$907,C734,PARÂMETROS!$G$8:$G$907,J734))</f>
        <v>0.074903176237541</v>
      </c>
      <c r="E734" s="26" t="n">
        <f aca="false">SUMIFS(SETORES!$D:$D,SETORES!$A:$A,A734,SETORES!$F:$F,J734)</f>
        <v>9882.542222</v>
      </c>
      <c r="F734" s="26" t="n">
        <f aca="false">IFERROR(D734*E734,0)</f>
        <v>740.233801729406</v>
      </c>
      <c r="G734" s="25" t="n">
        <f aca="false">SUMIFS(PARÂMETROS!$F$8:$F$907,PARÂMETROS!$A$8:$A$907,C734,PARÂMETROS!$G$8:$G$907,J734)</f>
        <v>0</v>
      </c>
      <c r="H734" s="26" t="n">
        <f aca="false">IFERROR(F734*G734,0)</f>
        <v>0</v>
      </c>
      <c r="I734" s="26" t="n">
        <f aca="false">F734+H734</f>
        <v>740.233801729406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25" t="n">
        <f aca="false">IF(B735="Clientes",SUMIFS(PARÂMETROS!$D$8:$D$907,PARÂMETROS!$A$8:$A$907,C735,PARÂMETROS!$G$8:$G$907,J735),SUMIFS(PARÂMETROS!$E$8:$E$907,PARÂMETROS!$A$8:$A$907,C735,PARÂMETROS!$G$8:$G$907,J735))</f>
        <v>0.0190772865303904</v>
      </c>
      <c r="E735" s="26" t="n">
        <f aca="false">SUMIFS(SETORES!$D:$D,SETORES!$A:$A,A735,SETORES!$F:$F,J735)</f>
        <v>9882.542222</v>
      </c>
      <c r="F735" s="26" t="n">
        <f aca="false">IFERROR(D735*E735,0)</f>
        <v>188.532089617775</v>
      </c>
      <c r="G735" s="25" t="n">
        <f aca="false">SUMIFS(PARÂMETROS!$F$8:$F$907,PARÂMETROS!$A$8:$A$907,C735,PARÂMETROS!$G$8:$G$907,J735)</f>
        <v>0</v>
      </c>
      <c r="H735" s="26" t="n">
        <f aca="false">IFERROR(F735*G735,0)</f>
        <v>0</v>
      </c>
      <c r="I735" s="26" t="n">
        <f aca="false">F735+H735</f>
        <v>188.532089617775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25" t="n">
        <f aca="false">IF(B736="Clientes",SUMIFS(PARÂMETROS!$D$8:$D$907,PARÂMETROS!$A$8:$A$907,C736,PARÂMETROS!$G$8:$G$907,J736),SUMIFS(PARÂMETROS!$E$8:$E$907,PARÂMETROS!$A$8:$A$907,C736,PARÂMETROS!$G$8:$G$907,J736))</f>
        <v>0.0334296779858567</v>
      </c>
      <c r="E736" s="26" t="n">
        <f aca="false">SUMIFS(SETORES!$D:$D,SETORES!$A:$A,A736,SETORES!$F:$F,J736)</f>
        <v>9882.542222</v>
      </c>
      <c r="F736" s="26" t="n">
        <f aca="false">IFERROR(D736*E736,0)</f>
        <v>330.370204163092</v>
      </c>
      <c r="G736" s="25" t="n">
        <f aca="false">SUMIFS(PARÂMETROS!$F$8:$F$907,PARÂMETROS!$A$8:$A$907,C736,PARÂMETROS!$G$8:$G$907,J736)</f>
        <v>0</v>
      </c>
      <c r="H736" s="26" t="n">
        <f aca="false">IFERROR(F736*G736,0)</f>
        <v>0</v>
      </c>
      <c r="I736" s="26" t="n">
        <f aca="false">F736+H736</f>
        <v>330.370204163092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25" t="n">
        <f aca="false">IF(B737="Clientes",SUMIFS(PARÂMETROS!$D$8:$D$907,PARÂMETROS!$A$8:$A$907,C737,PARÂMETROS!$G$8:$G$907,J737),SUMIFS(PARÂMETROS!$E$8:$E$907,PARÂMETROS!$A$8:$A$907,C737,PARÂMETROS!$G$8:$G$907,J737))</f>
        <v>0.0247220726818484</v>
      </c>
      <c r="E737" s="26" t="n">
        <f aca="false">SUMIFS(SETORES!$D:$D,SETORES!$A:$A,A737,SETORES!$F:$F,J737)</f>
        <v>9882.542222</v>
      </c>
      <c r="F737" s="26" t="n">
        <f aca="false">IFERROR(D737*E737,0)</f>
        <v>244.316927093719</v>
      </c>
      <c r="G737" s="25" t="n">
        <f aca="false">SUMIFS(PARÂMETROS!$F$8:$F$907,PARÂMETROS!$A$8:$A$907,C737,PARÂMETROS!$G$8:$G$907,J737)</f>
        <v>0</v>
      </c>
      <c r="H737" s="26" t="n">
        <f aca="false">IFERROR(F737*G737,0)</f>
        <v>0</v>
      </c>
      <c r="I737" s="26" t="n">
        <f aca="false">F737+H737</f>
        <v>244.316927093719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25" t="n">
        <f aca="false">IF(B738="Clientes",SUMIFS(PARÂMETROS!$D$8:$D$907,PARÂMETROS!$A$8:$A$907,C738,PARÂMETROS!$G$8:$G$907,J738),SUMIFS(PARÂMETROS!$E$8:$E$907,PARÂMETROS!$A$8:$A$907,C738,PARÂMETROS!$G$8:$G$907,J738))</f>
        <v>0.0249938586817334</v>
      </c>
      <c r="E738" s="26" t="n">
        <f aca="false">SUMIFS(SETORES!$D:$D,SETORES!$A:$A,A738,SETORES!$F:$F,J738)</f>
        <v>9882.542222</v>
      </c>
      <c r="F738" s="26" t="n">
        <f aca="false">IFERROR(D738*E738,0)</f>
        <v>247.002863712931</v>
      </c>
      <c r="G738" s="25" t="n">
        <f aca="false">SUMIFS(PARÂMETROS!$F$8:$F$907,PARÂMETROS!$A$8:$A$907,C738,PARÂMETROS!$G$8:$G$907,J738)</f>
        <v>0</v>
      </c>
      <c r="H738" s="26" t="n">
        <f aca="false">IFERROR(F738*G738,0)</f>
        <v>0</v>
      </c>
      <c r="I738" s="26" t="n">
        <f aca="false">F738+H738</f>
        <v>247.002863712931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25" t="n">
        <f aca="false">IF(B739="Clientes",SUMIFS(PARÂMETROS!$D$8:$D$907,PARÂMETROS!$A$8:$A$907,C739,PARÂMETROS!$G$8:$G$907,J739),SUMIFS(PARÂMETROS!$E$8:$E$907,PARÂMETROS!$A$8:$A$907,C739,PARÂMETROS!$G$8:$G$907,J739))</f>
        <v>0.720002926926153</v>
      </c>
      <c r="E739" s="26" t="n">
        <f aca="false">SUMIFS(SETORES!$D:$D,SETORES!$A:$A,A739,SETORES!$F:$F,J739)</f>
        <v>9882.542222</v>
      </c>
      <c r="F739" s="26" t="n">
        <f aca="false">IFERROR(D739*E739,0)</f>
        <v>7115.45932531128</v>
      </c>
      <c r="G739" s="25" t="n">
        <f aca="false">SUMIFS(PARÂMETROS!$F$8:$F$907,PARÂMETROS!$A$8:$A$907,C739,PARÂMETROS!$G$8:$G$907,J739)</f>
        <v>0</v>
      </c>
      <c r="H739" s="26" t="n">
        <f aca="false">IFERROR(F739*G739,0)</f>
        <v>0</v>
      </c>
      <c r="I739" s="26" t="n">
        <f aca="false">F739+H739</f>
        <v>7115.45932531128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25" t="n">
        <f aca="false">IF(B740="Clientes",SUMIFS(PARÂMETROS!$D$8:$D$907,PARÂMETROS!$A$8:$A$907,C740,PARÂMETROS!$G$8:$G$907,J740),SUMIFS(PARÂMETROS!$E$8:$E$907,PARÂMETROS!$A$8:$A$907,C740,PARÂMETROS!$G$8:$G$907,J740))</f>
        <v>0.0330779140128206</v>
      </c>
      <c r="E740" s="26" t="n">
        <f aca="false">SUMIFS(SETORES!$D:$D,SETORES!$A:$A,A740,SETORES!$F:$F,J740)</f>
        <v>13388.392728</v>
      </c>
      <c r="F740" s="26" t="n">
        <f aca="false">IFERROR(D740*E740,0)</f>
        <v>442.860103426656</v>
      </c>
      <c r="G740" s="25" t="n">
        <f aca="false">SUMIFS(PARÂMETROS!$F$8:$F$907,PARÂMETROS!$A$8:$A$907,C740,PARÂMETROS!$G$8:$G$907,J740)</f>
        <v>0</v>
      </c>
      <c r="H740" s="26" t="n">
        <f aca="false">IFERROR(F740*G740,0)</f>
        <v>0</v>
      </c>
      <c r="I740" s="26" t="n">
        <f aca="false">F740+H740</f>
        <v>442.860103426656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25" t="n">
        <f aca="false">IF(B741="Clientes",SUMIFS(PARÂMETROS!$D$8:$D$907,PARÂMETROS!$A$8:$A$907,C741,PARÂMETROS!$G$8:$G$907,J741),SUMIFS(PARÂMETROS!$E$8:$E$907,PARÂMETROS!$A$8:$A$907,C741,PARÂMETROS!$G$8:$G$907,J741))</f>
        <v>0.0688657021294068</v>
      </c>
      <c r="E741" s="26" t="n">
        <f aca="false">SUMIFS(SETORES!$D:$D,SETORES!$A:$A,A741,SETORES!$F:$F,J741)</f>
        <v>13388.392728</v>
      </c>
      <c r="F741" s="26" t="n">
        <f aca="false">IFERROR(D741*E741,0)</f>
        <v>922.001065597964</v>
      </c>
      <c r="G741" s="25" t="n">
        <f aca="false">SUMIFS(PARÂMETROS!$F$8:$F$907,PARÂMETROS!$A$8:$A$907,C741,PARÂMETROS!$G$8:$G$907,J741)</f>
        <v>0</v>
      </c>
      <c r="H741" s="26" t="n">
        <f aca="false">IFERROR(F741*G741,0)</f>
        <v>0</v>
      </c>
      <c r="I741" s="26" t="n">
        <f aca="false">F741+H741</f>
        <v>922.001065597964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25" t="n">
        <f aca="false">IF(B742="Clientes",SUMIFS(PARÂMETROS!$D$8:$D$907,PARÂMETROS!$A$8:$A$907,C742,PARÂMETROS!$G$8:$G$907,J742),SUMIFS(PARÂMETROS!$E$8:$E$907,PARÂMETROS!$A$8:$A$907,C742,PARÂMETROS!$G$8:$G$907,J742))</f>
        <v>0.0741160832054526</v>
      </c>
      <c r="E742" s="26" t="n">
        <f aca="false">SUMIFS(SETORES!$D:$D,SETORES!$A:$A,A742,SETORES!$F:$F,J742)</f>
        <v>13388.392728</v>
      </c>
      <c r="F742" s="26" t="n">
        <f aca="false">IFERROR(D742*E742,0)</f>
        <v>992.295229415725</v>
      </c>
      <c r="G742" s="25" t="n">
        <f aca="false">SUMIFS(PARÂMETROS!$F$8:$F$907,PARÂMETROS!$A$8:$A$907,C742,PARÂMETROS!$G$8:$G$907,J742)</f>
        <v>0</v>
      </c>
      <c r="H742" s="26" t="n">
        <f aca="false">IFERROR(F742*G742,0)</f>
        <v>0</v>
      </c>
      <c r="I742" s="26" t="n">
        <f aca="false">F742+H742</f>
        <v>992.295229415725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25" t="n">
        <f aca="false">IF(B743="Clientes",SUMIFS(PARÂMETROS!$D$8:$D$907,PARÂMETROS!$A$8:$A$907,C743,PARÂMETROS!$G$8:$G$907,J743),SUMIFS(PARÂMETROS!$E$8:$E$907,PARÂMETROS!$A$8:$A$907,C743,PARÂMETROS!$G$8:$G$907,J743))</f>
        <v>0.0190101774249011</v>
      </c>
      <c r="E743" s="26" t="n">
        <f aca="false">SUMIFS(SETORES!$D:$D,SETORES!$A:$A,A743,SETORES!$F:$F,J743)</f>
        <v>13388.392728</v>
      </c>
      <c r="F743" s="26" t="n">
        <f aca="false">IFERROR(D743*E743,0)</f>
        <v>254.515721193535</v>
      </c>
      <c r="G743" s="25" t="n">
        <f aca="false">SUMIFS(PARÂMETROS!$F$8:$F$907,PARÂMETROS!$A$8:$A$907,C743,PARÂMETROS!$G$8:$G$907,J743)</f>
        <v>0</v>
      </c>
      <c r="H743" s="26" t="n">
        <f aca="false">IFERROR(F743*G743,0)</f>
        <v>0</v>
      </c>
      <c r="I743" s="26" t="n">
        <f aca="false">F743+H743</f>
        <v>254.515721193535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25" t="n">
        <f aca="false">IF(B744="Clientes",SUMIFS(PARÂMETROS!$D$8:$D$907,PARÂMETROS!$A$8:$A$907,C744,PARÂMETROS!$G$8:$G$907,J744),SUMIFS(PARÂMETROS!$E$8:$E$907,PARÂMETROS!$A$8:$A$907,C744,PARÂMETROS!$G$8:$G$907,J744))</f>
        <v>0.0330214583023255</v>
      </c>
      <c r="E744" s="26" t="n">
        <f aca="false">SUMIFS(SETORES!$D:$D,SETORES!$A:$A,A744,SETORES!$F:$F,J744)</f>
        <v>13388.392728</v>
      </c>
      <c r="F744" s="26" t="n">
        <f aca="false">IFERROR(D744*E744,0)</f>
        <v>442.104252202809</v>
      </c>
      <c r="G744" s="25" t="n">
        <f aca="false">SUMIFS(PARÂMETROS!$F$8:$F$907,PARÂMETROS!$A$8:$A$907,C744,PARÂMETROS!$G$8:$G$907,J744)</f>
        <v>0</v>
      </c>
      <c r="H744" s="26" t="n">
        <f aca="false">IFERROR(F744*G744,0)</f>
        <v>0</v>
      </c>
      <c r="I744" s="26" t="n">
        <f aca="false">F744+H744</f>
        <v>442.104252202809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25" t="n">
        <f aca="false">IF(B745="Clientes",SUMIFS(PARÂMETROS!$D$8:$D$907,PARÂMETROS!$A$8:$A$907,C745,PARÂMETROS!$G$8:$G$907,J745),SUMIFS(PARÂMETROS!$E$8:$E$907,PARÂMETROS!$A$8:$A$907,C745,PARÂMETROS!$G$8:$G$907,J745))</f>
        <v>0.0243734699219372</v>
      </c>
      <c r="E745" s="26" t="n">
        <f aca="false">SUMIFS(SETORES!$D:$D,SETORES!$A:$A,A745,SETORES!$F:$F,J745)</f>
        <v>13388.392728</v>
      </c>
      <c r="F745" s="26" t="n">
        <f aca="false">IFERROR(D745*E745,0)</f>
        <v>326.32158745899</v>
      </c>
      <c r="G745" s="25" t="n">
        <f aca="false">SUMIFS(PARÂMETROS!$F$8:$F$907,PARÂMETROS!$A$8:$A$907,C745,PARÂMETROS!$G$8:$G$907,J745)</f>
        <v>0</v>
      </c>
      <c r="H745" s="26" t="n">
        <f aca="false">IFERROR(F745*G745,0)</f>
        <v>0</v>
      </c>
      <c r="I745" s="26" t="n">
        <f aca="false">F745+H745</f>
        <v>326.32158745899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25" t="n">
        <f aca="false">IF(B746="Clientes",SUMIFS(PARÂMETROS!$D$8:$D$907,PARÂMETROS!$A$8:$A$907,C746,PARÂMETROS!$G$8:$G$907,J746),SUMIFS(PARÂMETROS!$E$8:$E$907,PARÂMETROS!$A$8:$A$907,C746,PARÂMETROS!$G$8:$G$907,J746))</f>
        <v>0.0246095574385531</v>
      </c>
      <c r="E746" s="26" t="n">
        <f aca="false">SUMIFS(SETORES!$D:$D,SETORES!$A:$A,A746,SETORES!$F:$F,J746)</f>
        <v>13388.392728</v>
      </c>
      <c r="F746" s="26" t="n">
        <f aca="false">IFERROR(D746*E746,0)</f>
        <v>329.482419849623</v>
      </c>
      <c r="G746" s="25" t="n">
        <f aca="false">SUMIFS(PARÂMETROS!$F$8:$F$907,PARÂMETROS!$A$8:$A$907,C746,PARÂMETROS!$G$8:$G$907,J746)</f>
        <v>0</v>
      </c>
      <c r="H746" s="26" t="n">
        <f aca="false">IFERROR(F746*G746,0)</f>
        <v>0</v>
      </c>
      <c r="I746" s="26" t="n">
        <f aca="false">F746+H746</f>
        <v>329.482419849623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25" t="n">
        <f aca="false">IF(B747="Clientes",SUMIFS(PARÂMETROS!$D$8:$D$907,PARÂMETROS!$A$8:$A$907,C747,PARÂMETROS!$G$8:$G$907,J747),SUMIFS(PARÂMETROS!$E$8:$E$907,PARÂMETROS!$A$8:$A$907,C747,PARÂMETROS!$G$8:$G$907,J747))</f>
        <v>0.722925637564603</v>
      </c>
      <c r="E747" s="26" t="n">
        <f aca="false">SUMIFS(SETORES!$D:$D,SETORES!$A:$A,A747,SETORES!$F:$F,J747)</f>
        <v>13388.392728</v>
      </c>
      <c r="F747" s="26" t="n">
        <f aca="false">IFERROR(D747*E747,0)</f>
        <v>9678.8123488547</v>
      </c>
      <c r="G747" s="25" t="n">
        <f aca="false">SUMIFS(PARÂMETROS!$F$8:$F$907,PARÂMETROS!$A$8:$A$907,C747,PARÂMETROS!$G$8:$G$907,J747)</f>
        <v>0</v>
      </c>
      <c r="H747" s="26" t="n">
        <f aca="false">IFERROR(F747*G747,0)</f>
        <v>0</v>
      </c>
      <c r="I747" s="26" t="n">
        <f aca="false">F747+H747</f>
        <v>9678.8123488547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25" t="n">
        <f aca="false">IF(B748="Clientes",SUMIFS(PARÂMETROS!$D$8:$D$907,PARÂMETROS!$A$8:$A$907,C748,PARÂMETROS!$G$8:$G$907,J748),SUMIFS(PARÂMETROS!$E$8:$E$907,PARÂMETROS!$A$8:$A$907,C748,PARÂMETROS!$G$8:$G$907,J748))</f>
        <v>0.0326962494602737</v>
      </c>
      <c r="E748" s="26" t="n">
        <f aca="false">SUMIFS(SETORES!$D:$D,SETORES!$A:$A,A748,SETORES!$F:$F,J748)</f>
        <v>14339.651176</v>
      </c>
      <c r="F748" s="26" t="n">
        <f aca="false">IFERROR(D748*E748,0)</f>
        <v>468.852812023803</v>
      </c>
      <c r="G748" s="25" t="n">
        <f aca="false">SUMIFS(PARÂMETROS!$F$8:$F$907,PARÂMETROS!$A$8:$A$907,C748,PARÂMETROS!$G$8:$G$907,J748)</f>
        <v>0</v>
      </c>
      <c r="H748" s="26" t="n">
        <f aca="false">IFERROR(F748*G748,0)</f>
        <v>0</v>
      </c>
      <c r="I748" s="26" t="n">
        <f aca="false">F748+H748</f>
        <v>468.852812023803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25" t="n">
        <f aca="false">IF(B749="Clientes",SUMIFS(PARÂMETROS!$D$8:$D$907,PARÂMETROS!$A$8:$A$907,C749,PARÂMETROS!$G$8:$G$907,J749),SUMIFS(PARÂMETROS!$E$8:$E$907,PARÂMETROS!$A$8:$A$907,C749,PARÂMETROS!$G$8:$G$907,J749))</f>
        <v>0.06714940121395</v>
      </c>
      <c r="E749" s="26" t="n">
        <f aca="false">SUMIFS(SETORES!$D:$D,SETORES!$A:$A,A749,SETORES!$F:$F,J749)</f>
        <v>14339.651176</v>
      </c>
      <c r="F749" s="26" t="n">
        <f aca="false">IFERROR(D749*E749,0)</f>
        <v>962.898990085314</v>
      </c>
      <c r="G749" s="25" t="n">
        <f aca="false">SUMIFS(PARÂMETROS!$F$8:$F$907,PARÂMETROS!$A$8:$A$907,C749,PARÂMETROS!$G$8:$G$907,J749)</f>
        <v>0</v>
      </c>
      <c r="H749" s="26" t="n">
        <f aca="false">IFERROR(F749*G749,0)</f>
        <v>0</v>
      </c>
      <c r="I749" s="26" t="n">
        <f aca="false">F749+H749</f>
        <v>962.898990085314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25" t="n">
        <f aca="false">IF(B750="Clientes",SUMIFS(PARÂMETROS!$D$8:$D$907,PARÂMETROS!$A$8:$A$907,C750,PARÂMETROS!$G$8:$G$907,J750),SUMIFS(PARÂMETROS!$E$8:$E$907,PARÂMETROS!$A$8:$A$907,C750,PARÂMETROS!$G$8:$G$907,J750))</f>
        <v>0.0729015191745537</v>
      </c>
      <c r="E750" s="26" t="n">
        <f aca="false">SUMIFS(SETORES!$D:$D,SETORES!$A:$A,A750,SETORES!$F:$F,J750)</f>
        <v>14339.651176</v>
      </c>
      <c r="F750" s="26" t="n">
        <f aca="false">IFERROR(D750*E750,0)</f>
        <v>1045.38235516358</v>
      </c>
      <c r="G750" s="25" t="n">
        <f aca="false">SUMIFS(PARÂMETROS!$F$8:$F$907,PARÂMETROS!$A$8:$A$907,C750,PARÂMETROS!$G$8:$G$907,J750)</f>
        <v>0</v>
      </c>
      <c r="H750" s="26" t="n">
        <f aca="false">IFERROR(F750*G750,0)</f>
        <v>0</v>
      </c>
      <c r="I750" s="26" t="n">
        <f aca="false">F750+H750</f>
        <v>1045.38235516358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25" t="n">
        <f aca="false">IF(B751="Clientes",SUMIFS(PARÂMETROS!$D$8:$D$907,PARÂMETROS!$A$8:$A$907,C751,PARÂMETROS!$G$8:$G$907,J751),SUMIFS(PARÂMETROS!$E$8:$E$907,PARÂMETROS!$A$8:$A$907,C751,PARÂMETROS!$G$8:$G$907,J751))</f>
        <v>0.0186856981205116</v>
      </c>
      <c r="E751" s="26" t="n">
        <f aca="false">SUMIFS(SETORES!$D:$D,SETORES!$A:$A,A751,SETORES!$F:$F,J751)</f>
        <v>14339.651176</v>
      </c>
      <c r="F751" s="26" t="n">
        <f aca="false">IFERROR(D751*E751,0)</f>
        <v>267.946393028175</v>
      </c>
      <c r="G751" s="25" t="n">
        <f aca="false">SUMIFS(PARÂMETROS!$F$8:$F$907,PARÂMETROS!$A$8:$A$907,C751,PARÂMETROS!$G$8:$G$907,J751)</f>
        <v>0</v>
      </c>
      <c r="H751" s="26" t="n">
        <f aca="false">IFERROR(F751*G751,0)</f>
        <v>0</v>
      </c>
      <c r="I751" s="26" t="n">
        <f aca="false">F751+H751</f>
        <v>267.946393028175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25" t="n">
        <f aca="false">IF(B752="Clientes",SUMIFS(PARÂMETROS!$D$8:$D$907,PARÂMETROS!$A$8:$A$907,C752,PARÂMETROS!$G$8:$G$907,J752),SUMIFS(PARÂMETROS!$E$8:$E$907,PARÂMETROS!$A$8:$A$907,C752,PARÂMETROS!$G$8:$G$907,J752))</f>
        <v>0.0325969894436972</v>
      </c>
      <c r="E752" s="26" t="n">
        <f aca="false">SUMIFS(SETORES!$D:$D,SETORES!$A:$A,A752,SETORES!$F:$F,J752)</f>
        <v>14339.651176</v>
      </c>
      <c r="F752" s="26" t="n">
        <f aca="false">IFERROR(D752*E752,0)</f>
        <v>467.429458010373</v>
      </c>
      <c r="G752" s="25" t="n">
        <f aca="false">SUMIFS(PARÂMETROS!$F$8:$F$907,PARÂMETROS!$A$8:$A$907,C752,PARÂMETROS!$G$8:$G$907,J752)</f>
        <v>0</v>
      </c>
      <c r="H752" s="26" t="n">
        <f aca="false">IFERROR(F752*G752,0)</f>
        <v>0</v>
      </c>
      <c r="I752" s="26" t="n">
        <f aca="false">F752+H752</f>
        <v>467.429458010373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25" t="n">
        <f aca="false">IF(B753="Clientes",SUMIFS(PARÂMETROS!$D$8:$D$907,PARÂMETROS!$A$8:$A$907,C753,PARÂMETROS!$G$8:$G$907,J753),SUMIFS(PARÂMETROS!$E$8:$E$907,PARÂMETROS!$A$8:$A$907,C753,PARÂMETROS!$G$8:$G$907,J753))</f>
        <v>0.0238472189824856</v>
      </c>
      <c r="E753" s="26" t="n">
        <f aca="false">SUMIFS(SETORES!$D:$D,SETORES!$A:$A,A753,SETORES!$F:$F,J753)</f>
        <v>14339.651176</v>
      </c>
      <c r="F753" s="26" t="n">
        <f aca="false">IFERROR(D753*E753,0)</f>
        <v>341.960801726529</v>
      </c>
      <c r="G753" s="25" t="n">
        <f aca="false">SUMIFS(PARÂMETROS!$F$8:$F$907,PARÂMETROS!$A$8:$A$907,C753,PARÂMETROS!$G$8:$G$907,J753)</f>
        <v>0</v>
      </c>
      <c r="H753" s="26" t="n">
        <f aca="false">IFERROR(F753*G753,0)</f>
        <v>0</v>
      </c>
      <c r="I753" s="26" t="n">
        <f aca="false">F753+H753</f>
        <v>341.960801726529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25" t="n">
        <f aca="false">IF(B754="Clientes",SUMIFS(PARÂMETROS!$D$8:$D$907,PARÂMETROS!$A$8:$A$907,C754,PARÂMETROS!$G$8:$G$907,J754),SUMIFS(PARÂMETROS!$E$8:$E$907,PARÂMETROS!$A$8:$A$907,C754,PARÂMETROS!$G$8:$G$907,J754))</f>
        <v>0.0238521819833144</v>
      </c>
      <c r="E754" s="26" t="n">
        <f aca="false">SUMIFS(SETORES!$D:$D,SETORES!$A:$A,A754,SETORES!$F:$F,J754)</f>
        <v>14339.651176</v>
      </c>
      <c r="F754" s="26" t="n">
        <f aca="false">IFERROR(D754*E754,0)</f>
        <v>342.0319694272</v>
      </c>
      <c r="G754" s="25" t="n">
        <f aca="false">SUMIFS(PARÂMETROS!$F$8:$F$907,PARÂMETROS!$A$8:$A$907,C754,PARÂMETROS!$G$8:$G$907,J754)</f>
        <v>0</v>
      </c>
      <c r="H754" s="26" t="n">
        <f aca="false">IFERROR(F754*G754,0)</f>
        <v>0</v>
      </c>
      <c r="I754" s="26" t="n">
        <f aca="false">F754+H754</f>
        <v>342.0319694272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25" t="n">
        <f aca="false">IF(B755="Clientes",SUMIFS(PARÂMETROS!$D$8:$D$907,PARÂMETROS!$A$8:$A$907,C755,PARÂMETROS!$G$8:$G$907,J755),SUMIFS(PARÂMETROS!$E$8:$E$907,PARÂMETROS!$A$8:$A$907,C755,PARÂMETROS!$G$8:$G$907,J755))</f>
        <v>0.728270741621214</v>
      </c>
      <c r="E755" s="26" t="n">
        <f aca="false">SUMIFS(SETORES!$D:$D,SETORES!$A:$A,A755,SETORES!$F:$F,J755)</f>
        <v>14339.651176</v>
      </c>
      <c r="F755" s="26" t="n">
        <f aca="false">IFERROR(D755*E755,0)</f>
        <v>10443.148396535</v>
      </c>
      <c r="G755" s="25" t="n">
        <f aca="false">SUMIFS(PARÂMETROS!$F$8:$F$907,PARÂMETROS!$A$8:$A$907,C755,PARÂMETROS!$G$8:$G$907,J755)</f>
        <v>0</v>
      </c>
      <c r="H755" s="26" t="n">
        <f aca="false">IFERROR(F755*G755,0)</f>
        <v>0</v>
      </c>
      <c r="I755" s="26" t="n">
        <f aca="false">F755+H755</f>
        <v>10443.148396535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25" t="n">
        <f aca="false">IF(B756="Clientes",SUMIFS(PARÂMETROS!$D$8:$D$907,PARÂMETROS!$A$8:$A$907,C756,PARÂMETROS!$G$8:$G$907,J756),SUMIFS(PARÂMETROS!$E$8:$E$907,PARÂMETROS!$A$8:$A$907,C756,PARÂMETROS!$G$8:$G$907,J756))</f>
        <v>0.0328233861399593</v>
      </c>
      <c r="E756" s="26" t="n">
        <f aca="false">SUMIFS(SETORES!$D:$D,SETORES!$A:$A,A756,SETORES!$F:$F,J756)</f>
        <v>73311.97</v>
      </c>
      <c r="F756" s="26" t="n">
        <f aca="false">IFERROR(D756*E756,0)</f>
        <v>2406.34709999112</v>
      </c>
      <c r="G756" s="25" t="n">
        <f aca="false">SUMIFS(PARÂMETROS!$F$8:$F$907,PARÂMETROS!$A$8:$A$907,C756,PARÂMETROS!$G$8:$G$907,J756)</f>
        <v>0</v>
      </c>
      <c r="H756" s="26" t="n">
        <f aca="false">IFERROR(F756*G756,0)</f>
        <v>0</v>
      </c>
      <c r="I756" s="26" t="n">
        <f aca="false">F756+H756</f>
        <v>2406.34709999112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25" t="n">
        <f aca="false">IF(B757="Clientes",SUMIFS(PARÂMETROS!$D$8:$D$907,PARÂMETROS!$A$8:$A$907,C757,PARÂMETROS!$G$8:$G$907,J757),SUMIFS(PARÂMETROS!$E$8:$E$907,PARÂMETROS!$A$8:$A$907,C757,PARÂMETROS!$G$8:$G$907,J757))</f>
        <v>0.0700476148165183</v>
      </c>
      <c r="E757" s="26" t="n">
        <f aca="false">SUMIFS(SETORES!$D:$D,SETORES!$A:$A,A757,SETORES!$F:$F,J757)</f>
        <v>73311.97</v>
      </c>
      <c r="F757" s="26" t="n">
        <f aca="false">IFERROR(D757*E757,0)</f>
        <v>5135.32863600015</v>
      </c>
      <c r="G757" s="25" t="n">
        <f aca="false">SUMIFS(PARÂMETROS!$F$8:$F$907,PARÂMETROS!$A$8:$A$907,C757,PARÂMETROS!$G$8:$G$907,J757)</f>
        <v>0</v>
      </c>
      <c r="H757" s="26" t="n">
        <f aca="false">IFERROR(F757*G757,0)</f>
        <v>0</v>
      </c>
      <c r="I757" s="26" t="n">
        <f aca="false">F757+H757</f>
        <v>5135.32863600015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25" t="n">
        <f aca="false">IF(B758="Clientes",SUMIFS(PARÂMETROS!$D$8:$D$907,PARÂMETROS!$A$8:$A$907,C758,PARÂMETROS!$G$8:$G$907,J758),SUMIFS(PARÂMETROS!$E$8:$E$907,PARÂMETROS!$A$8:$A$907,C758,PARÂMETROS!$G$8:$G$907,J758))</f>
        <v>0.074903176237541</v>
      </c>
      <c r="E758" s="26" t="n">
        <f aca="false">SUMIFS(SETORES!$D:$D,SETORES!$A:$A,A758,SETORES!$F:$F,J758)</f>
        <v>73311.97</v>
      </c>
      <c r="F758" s="26" t="n">
        <f aca="false">IFERROR(D758*E758,0)</f>
        <v>5491.29940923132</v>
      </c>
      <c r="G758" s="25" t="n">
        <f aca="false">SUMIFS(PARÂMETROS!$F$8:$F$907,PARÂMETROS!$A$8:$A$907,C758,PARÂMETROS!$G$8:$G$907,J758)</f>
        <v>0</v>
      </c>
      <c r="H758" s="26" t="n">
        <f aca="false">IFERROR(F758*G758,0)</f>
        <v>0</v>
      </c>
      <c r="I758" s="26" t="n">
        <f aca="false">F758+H758</f>
        <v>5491.29940923132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25" t="n">
        <f aca="false">IF(B759="Clientes",SUMIFS(PARÂMETROS!$D$8:$D$907,PARÂMETROS!$A$8:$A$907,C759,PARÂMETROS!$G$8:$G$907,J759),SUMIFS(PARÂMETROS!$E$8:$E$907,PARÂMETROS!$A$8:$A$907,C759,PARÂMETROS!$G$8:$G$907,J759))</f>
        <v>0.0190772865303904</v>
      </c>
      <c r="E759" s="26" t="n">
        <f aca="false">SUMIFS(SETORES!$D:$D,SETORES!$A:$A,A759,SETORES!$F:$F,J759)</f>
        <v>73311.97</v>
      </c>
      <c r="F759" s="26" t="n">
        <f aca="false">IFERROR(D759*E759,0)</f>
        <v>1398.59345779738</v>
      </c>
      <c r="G759" s="25" t="n">
        <f aca="false">SUMIFS(PARÂMETROS!$F$8:$F$907,PARÂMETROS!$A$8:$A$907,C759,PARÂMETROS!$G$8:$G$907,J759)</f>
        <v>0</v>
      </c>
      <c r="H759" s="26" t="n">
        <f aca="false">IFERROR(F759*G759,0)</f>
        <v>0</v>
      </c>
      <c r="I759" s="26" t="n">
        <f aca="false">F759+H759</f>
        <v>1398.59345779738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25" t="n">
        <f aca="false">IF(B760="Clientes",SUMIFS(PARÂMETROS!$D$8:$D$907,PARÂMETROS!$A$8:$A$907,C760,PARÂMETROS!$G$8:$G$907,J760),SUMIFS(PARÂMETROS!$E$8:$E$907,PARÂMETROS!$A$8:$A$907,C760,PARÂMETROS!$G$8:$G$907,J760))</f>
        <v>0.0334296779858567</v>
      </c>
      <c r="E760" s="26" t="n">
        <f aca="false">SUMIFS(SETORES!$D:$D,SETORES!$A:$A,A760,SETORES!$F:$F,J760)</f>
        <v>73311.97</v>
      </c>
      <c r="F760" s="26" t="n">
        <f aca="false">IFERROR(D760*E760,0)</f>
        <v>2450.79554960878</v>
      </c>
      <c r="G760" s="25" t="n">
        <f aca="false">SUMIFS(PARÂMETROS!$F$8:$F$907,PARÂMETROS!$A$8:$A$907,C760,PARÂMETROS!$G$8:$G$907,J760)</f>
        <v>0</v>
      </c>
      <c r="H760" s="26" t="n">
        <f aca="false">IFERROR(F760*G760,0)</f>
        <v>0</v>
      </c>
      <c r="I760" s="26" t="n">
        <f aca="false">F760+H760</f>
        <v>2450.79554960878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25" t="n">
        <f aca="false">IF(B761="Clientes",SUMIFS(PARÂMETROS!$D$8:$D$907,PARÂMETROS!$A$8:$A$907,C761,PARÂMETROS!$G$8:$G$907,J761),SUMIFS(PARÂMETROS!$E$8:$E$907,PARÂMETROS!$A$8:$A$907,C761,PARÂMETROS!$G$8:$G$907,J761))</f>
        <v>0.0247220726818484</v>
      </c>
      <c r="E761" s="26" t="n">
        <f aca="false">SUMIFS(SETORES!$D:$D,SETORES!$A:$A,A761,SETORES!$F:$F,J761)</f>
        <v>73311.97</v>
      </c>
      <c r="F761" s="26" t="n">
        <f aca="false">IFERROR(D761*E761,0)</f>
        <v>1812.42385078949</v>
      </c>
      <c r="G761" s="25" t="n">
        <f aca="false">SUMIFS(PARÂMETROS!$F$8:$F$907,PARÂMETROS!$A$8:$A$907,C761,PARÂMETROS!$G$8:$G$907,J761)</f>
        <v>0</v>
      </c>
      <c r="H761" s="26" t="n">
        <f aca="false">IFERROR(F761*G761,0)</f>
        <v>0</v>
      </c>
      <c r="I761" s="26" t="n">
        <f aca="false">F761+H761</f>
        <v>1812.42385078949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25" t="n">
        <f aca="false">IF(B762="Clientes",SUMIFS(PARÂMETROS!$D$8:$D$907,PARÂMETROS!$A$8:$A$907,C762,PARÂMETROS!$G$8:$G$907,J762),SUMIFS(PARÂMETROS!$E$8:$E$907,PARÂMETROS!$A$8:$A$907,C762,PARÂMETROS!$G$8:$G$907,J762))</f>
        <v>0.0249938586817334</v>
      </c>
      <c r="E762" s="26" t="n">
        <f aca="false">SUMIFS(SETORES!$D:$D,SETORES!$A:$A,A762,SETORES!$F:$F,J762)</f>
        <v>73311.97</v>
      </c>
      <c r="F762" s="26" t="n">
        <f aca="false">IFERROR(D762*E762,0)</f>
        <v>1832.34901785948</v>
      </c>
      <c r="G762" s="25" t="n">
        <f aca="false">SUMIFS(PARÂMETROS!$F$8:$F$907,PARÂMETROS!$A$8:$A$907,C762,PARÂMETROS!$G$8:$G$907,J762)</f>
        <v>0</v>
      </c>
      <c r="H762" s="26" t="n">
        <f aca="false">IFERROR(F762*G762,0)</f>
        <v>0</v>
      </c>
      <c r="I762" s="26" t="n">
        <f aca="false">F762+H762</f>
        <v>1832.34901785948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25" t="n">
        <f aca="false">IF(B763="Clientes",SUMIFS(PARÂMETROS!$D$8:$D$907,PARÂMETROS!$A$8:$A$907,C763,PARÂMETROS!$G$8:$G$907,J763),SUMIFS(PARÂMETROS!$E$8:$E$907,PARÂMETROS!$A$8:$A$907,C763,PARÂMETROS!$G$8:$G$907,J763))</f>
        <v>0.720002926926153</v>
      </c>
      <c r="E763" s="26" t="n">
        <f aca="false">SUMIFS(SETORES!$D:$D,SETORES!$A:$A,A763,SETORES!$F:$F,J763)</f>
        <v>73311.97</v>
      </c>
      <c r="F763" s="26" t="n">
        <f aca="false">IFERROR(D763*E763,0)</f>
        <v>52784.8329787223</v>
      </c>
      <c r="G763" s="25" t="n">
        <f aca="false">SUMIFS(PARÂMETROS!$F$8:$F$907,PARÂMETROS!$A$8:$A$907,C763,PARÂMETROS!$G$8:$G$907,J763)</f>
        <v>0</v>
      </c>
      <c r="H763" s="26" t="n">
        <f aca="false">IFERROR(F763*G763,0)</f>
        <v>0</v>
      </c>
      <c r="I763" s="26" t="n">
        <f aca="false">F763+H763</f>
        <v>52784.8329787223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25" t="n">
        <f aca="false">IF(B764="Clientes",SUMIFS(PARÂMETROS!$D$8:$D$907,PARÂMETROS!$A$8:$A$907,C764,PARÂMETROS!$G$8:$G$907,J764),SUMIFS(PARÂMETROS!$E$8:$E$907,PARÂMETROS!$A$8:$A$907,C764,PARÂMETROS!$G$8:$G$907,J764))</f>
        <v>0.0330779140128206</v>
      </c>
      <c r="E764" s="26" t="n">
        <f aca="false">SUMIFS(SETORES!$D:$D,SETORES!$A:$A,A764,SETORES!$F:$F,J764)</f>
        <v>106133.77</v>
      </c>
      <c r="F764" s="26" t="n">
        <f aca="false">IFERROR(D764*E764,0)</f>
        <v>3510.68371791648</v>
      </c>
      <c r="G764" s="25" t="n">
        <f aca="false">SUMIFS(PARÂMETROS!$F$8:$F$907,PARÂMETROS!$A$8:$A$907,C764,PARÂMETROS!$G$8:$G$907,J764)</f>
        <v>0</v>
      </c>
      <c r="H764" s="26" t="n">
        <f aca="false">IFERROR(F764*G764,0)</f>
        <v>0</v>
      </c>
      <c r="I764" s="26" t="n">
        <f aca="false">F764+H764</f>
        <v>3510.68371791648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25" t="n">
        <f aca="false">IF(B765="Clientes",SUMIFS(PARÂMETROS!$D$8:$D$907,PARÂMETROS!$A$8:$A$907,C765,PARÂMETROS!$G$8:$G$907,J765),SUMIFS(PARÂMETROS!$E$8:$E$907,PARÂMETROS!$A$8:$A$907,C765,PARÂMETROS!$G$8:$G$907,J765))</f>
        <v>0.0688657021294068</v>
      </c>
      <c r="E765" s="26" t="n">
        <f aca="false">SUMIFS(SETORES!$D:$D,SETORES!$A:$A,A765,SETORES!$F:$F,J765)</f>
        <v>106133.77</v>
      </c>
      <c r="F765" s="26" t="n">
        <f aca="false">IFERROR(D765*E765,0)</f>
        <v>7308.97659069097</v>
      </c>
      <c r="G765" s="25" t="n">
        <f aca="false">SUMIFS(PARÂMETROS!$F$8:$F$907,PARÂMETROS!$A$8:$A$907,C765,PARÂMETROS!$G$8:$G$907,J765)</f>
        <v>0</v>
      </c>
      <c r="H765" s="26" t="n">
        <f aca="false">IFERROR(F765*G765,0)</f>
        <v>0</v>
      </c>
      <c r="I765" s="26" t="n">
        <f aca="false">F765+H765</f>
        <v>7308.97659069097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25" t="n">
        <f aca="false">IF(B766="Clientes",SUMIFS(PARÂMETROS!$D$8:$D$907,PARÂMETROS!$A$8:$A$907,C766,PARÂMETROS!$G$8:$G$907,J766),SUMIFS(PARÂMETROS!$E$8:$E$907,PARÂMETROS!$A$8:$A$907,C766,PARÂMETROS!$G$8:$G$907,J766))</f>
        <v>0.0741160832054526</v>
      </c>
      <c r="E766" s="26" t="n">
        <f aca="false">SUMIFS(SETORES!$D:$D,SETORES!$A:$A,A766,SETORES!$F:$F,J766)</f>
        <v>106133.77</v>
      </c>
      <c r="F766" s="26" t="n">
        <f aca="false">IFERROR(D766*E766,0)</f>
        <v>7866.21932822837</v>
      </c>
      <c r="G766" s="25" t="n">
        <f aca="false">SUMIFS(PARÂMETROS!$F$8:$F$907,PARÂMETROS!$A$8:$A$907,C766,PARÂMETROS!$G$8:$G$907,J766)</f>
        <v>0</v>
      </c>
      <c r="H766" s="26" t="n">
        <f aca="false">IFERROR(F766*G766,0)</f>
        <v>0</v>
      </c>
      <c r="I766" s="26" t="n">
        <f aca="false">F766+H766</f>
        <v>7866.21932822837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25" t="n">
        <f aca="false">IF(B767="Clientes",SUMIFS(PARÂMETROS!$D$8:$D$907,PARÂMETROS!$A$8:$A$907,C767,PARÂMETROS!$G$8:$G$907,J767),SUMIFS(PARÂMETROS!$E$8:$E$907,PARÂMETROS!$A$8:$A$907,C767,PARÂMETROS!$G$8:$G$907,J767))</f>
        <v>0.0190101774249011</v>
      </c>
      <c r="E767" s="26" t="n">
        <f aca="false">SUMIFS(SETORES!$D:$D,SETORES!$A:$A,A767,SETORES!$F:$F,J767)</f>
        <v>106133.77</v>
      </c>
      <c r="F767" s="26" t="n">
        <f aca="false">IFERROR(D767*E767,0)</f>
        <v>2017.62179847364</v>
      </c>
      <c r="G767" s="25" t="n">
        <f aca="false">SUMIFS(PARÂMETROS!$F$8:$F$907,PARÂMETROS!$A$8:$A$907,C767,PARÂMETROS!$G$8:$G$907,J767)</f>
        <v>0</v>
      </c>
      <c r="H767" s="26" t="n">
        <f aca="false">IFERROR(F767*G767,0)</f>
        <v>0</v>
      </c>
      <c r="I767" s="26" t="n">
        <f aca="false">F767+H767</f>
        <v>2017.62179847364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25" t="n">
        <f aca="false">IF(B768="Clientes",SUMIFS(PARÂMETROS!$D$8:$D$907,PARÂMETROS!$A$8:$A$907,C768,PARÂMETROS!$G$8:$G$907,J768),SUMIFS(PARÂMETROS!$E$8:$E$907,PARÂMETROS!$A$8:$A$907,C768,PARÂMETROS!$G$8:$G$907,J768))</f>
        <v>0.0330214583023255</v>
      </c>
      <c r="E768" s="26" t="n">
        <f aca="false">SUMIFS(SETORES!$D:$D,SETORES!$A:$A,A768,SETORES!$F:$F,J768)</f>
        <v>106133.77</v>
      </c>
      <c r="F768" s="26" t="n">
        <f aca="false">IFERROR(D768*E768,0)</f>
        <v>3504.6918605236</v>
      </c>
      <c r="G768" s="25" t="n">
        <f aca="false">SUMIFS(PARÂMETROS!$F$8:$F$907,PARÂMETROS!$A$8:$A$907,C768,PARÂMETROS!$G$8:$G$907,J768)</f>
        <v>0</v>
      </c>
      <c r="H768" s="26" t="n">
        <f aca="false">IFERROR(F768*G768,0)</f>
        <v>0</v>
      </c>
      <c r="I768" s="26" t="n">
        <f aca="false">F768+H768</f>
        <v>3504.6918605236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25" t="n">
        <f aca="false">IF(B769="Clientes",SUMIFS(PARÂMETROS!$D$8:$D$907,PARÂMETROS!$A$8:$A$907,C769,PARÂMETROS!$G$8:$G$907,J769),SUMIFS(PARÂMETROS!$E$8:$E$907,PARÂMETROS!$A$8:$A$907,C769,PARÂMETROS!$G$8:$G$907,J769))</f>
        <v>0.0243734699219372</v>
      </c>
      <c r="E769" s="26" t="n">
        <f aca="false">SUMIFS(SETORES!$D:$D,SETORES!$A:$A,A769,SETORES!$F:$F,J769)</f>
        <v>106133.77</v>
      </c>
      <c r="F769" s="26" t="n">
        <f aca="false">IFERROR(D769*E769,0)</f>
        <v>2586.8482507968</v>
      </c>
      <c r="G769" s="25" t="n">
        <f aca="false">SUMIFS(PARÂMETROS!$F$8:$F$907,PARÂMETROS!$A$8:$A$907,C769,PARÂMETROS!$G$8:$G$907,J769)</f>
        <v>0</v>
      </c>
      <c r="H769" s="26" t="n">
        <f aca="false">IFERROR(F769*G769,0)</f>
        <v>0</v>
      </c>
      <c r="I769" s="26" t="n">
        <f aca="false">F769+H769</f>
        <v>2586.8482507968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25" t="n">
        <f aca="false">IF(B770="Clientes",SUMIFS(PARÂMETROS!$D$8:$D$907,PARÂMETROS!$A$8:$A$907,C770,PARÂMETROS!$G$8:$G$907,J770),SUMIFS(PARÂMETROS!$E$8:$E$907,PARÂMETROS!$A$8:$A$907,C770,PARÂMETROS!$G$8:$G$907,J770))</f>
        <v>0.0246095574385531</v>
      </c>
      <c r="E770" s="26" t="n">
        <f aca="false">SUMIFS(SETORES!$D:$D,SETORES!$A:$A,A770,SETORES!$F:$F,J770)</f>
        <v>106133.77</v>
      </c>
      <c r="F770" s="26" t="n">
        <f aca="false">IFERROR(D770*E770,0)</f>
        <v>2611.90510898518</v>
      </c>
      <c r="G770" s="25" t="n">
        <f aca="false">SUMIFS(PARÂMETROS!$F$8:$F$907,PARÂMETROS!$A$8:$A$907,C770,PARÂMETROS!$G$8:$G$907,J770)</f>
        <v>0</v>
      </c>
      <c r="H770" s="26" t="n">
        <f aca="false">IFERROR(F770*G770,0)</f>
        <v>0</v>
      </c>
      <c r="I770" s="26" t="n">
        <f aca="false">F770+H770</f>
        <v>2611.90510898518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25" t="n">
        <f aca="false">IF(B771="Clientes",SUMIFS(PARÂMETROS!$D$8:$D$907,PARÂMETROS!$A$8:$A$907,C771,PARÂMETROS!$G$8:$G$907,J771),SUMIFS(PARÂMETROS!$E$8:$E$907,PARÂMETROS!$A$8:$A$907,C771,PARÂMETROS!$G$8:$G$907,J771))</f>
        <v>0.722925637564603</v>
      </c>
      <c r="E771" s="26" t="n">
        <f aca="false">SUMIFS(SETORES!$D:$D,SETORES!$A:$A,A771,SETORES!$F:$F,J771)</f>
        <v>106133.77</v>
      </c>
      <c r="F771" s="26" t="n">
        <f aca="false">IFERROR(D771*E771,0)</f>
        <v>76726.823344385</v>
      </c>
      <c r="G771" s="25" t="n">
        <f aca="false">SUMIFS(PARÂMETROS!$F$8:$F$907,PARÂMETROS!$A$8:$A$907,C771,PARÂMETROS!$G$8:$G$907,J771)</f>
        <v>0</v>
      </c>
      <c r="H771" s="26" t="n">
        <f aca="false">IFERROR(F771*G771,0)</f>
        <v>0</v>
      </c>
      <c r="I771" s="26" t="n">
        <f aca="false">F771+H771</f>
        <v>76726.823344385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25" t="n">
        <f aca="false">IF(B772="Clientes",SUMIFS(PARÂMETROS!$D$8:$D$907,PARÂMETROS!$A$8:$A$907,C772,PARÂMETROS!$G$8:$G$907,J772),SUMIFS(PARÂMETROS!$E$8:$E$907,PARÂMETROS!$A$8:$A$907,C772,PARÂMETROS!$G$8:$G$907,J772))</f>
        <v>0.0326962494602737</v>
      </c>
      <c r="E772" s="26" t="n">
        <f aca="false">SUMIFS(SETORES!$D:$D,SETORES!$A:$A,A772,SETORES!$F:$F,J772)</f>
        <v>80248.34</v>
      </c>
      <c r="F772" s="26" t="n">
        <f aca="false">IFERROR(D772*E772,0)</f>
        <v>2623.81974341286</v>
      </c>
      <c r="G772" s="25" t="n">
        <f aca="false">SUMIFS(PARÂMETROS!$F$8:$F$907,PARÂMETROS!$A$8:$A$907,C772,PARÂMETROS!$G$8:$G$907,J772)</f>
        <v>0</v>
      </c>
      <c r="H772" s="26" t="n">
        <f aca="false">IFERROR(F772*G772,0)</f>
        <v>0</v>
      </c>
      <c r="I772" s="26" t="n">
        <f aca="false">F772+H772</f>
        <v>2623.81974341286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25" t="n">
        <f aca="false">IF(B773="Clientes",SUMIFS(PARÂMETROS!$D$8:$D$907,PARÂMETROS!$A$8:$A$907,C773,PARÂMETROS!$G$8:$G$907,J773),SUMIFS(PARÂMETROS!$E$8:$E$907,PARÂMETROS!$A$8:$A$907,C773,PARÂMETROS!$G$8:$G$907,J773))</f>
        <v>0.06714940121395</v>
      </c>
      <c r="E773" s="26" t="n">
        <f aca="false">SUMIFS(SETORES!$D:$D,SETORES!$A:$A,A773,SETORES!$F:$F,J773)</f>
        <v>80248.34</v>
      </c>
      <c r="F773" s="26" t="n">
        <f aca="false">IFERROR(D773*E773,0)</f>
        <v>5388.62797941347</v>
      </c>
      <c r="G773" s="25" t="n">
        <f aca="false">SUMIFS(PARÂMETROS!$F$8:$F$907,PARÂMETROS!$A$8:$A$907,C773,PARÂMETROS!$G$8:$G$907,J773)</f>
        <v>0</v>
      </c>
      <c r="H773" s="26" t="n">
        <f aca="false">IFERROR(F773*G773,0)</f>
        <v>0</v>
      </c>
      <c r="I773" s="26" t="n">
        <f aca="false">F773+H773</f>
        <v>5388.62797941347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25" t="n">
        <f aca="false">IF(B774="Clientes",SUMIFS(PARÂMETROS!$D$8:$D$907,PARÂMETROS!$A$8:$A$907,C774,PARÂMETROS!$G$8:$G$907,J774),SUMIFS(PARÂMETROS!$E$8:$E$907,PARÂMETROS!$A$8:$A$907,C774,PARÂMETROS!$G$8:$G$907,J774))</f>
        <v>0.0729015191745537</v>
      </c>
      <c r="E774" s="26" t="n">
        <f aca="false">SUMIFS(SETORES!$D:$D,SETORES!$A:$A,A774,SETORES!$F:$F,J774)</f>
        <v>80248.34</v>
      </c>
      <c r="F774" s="26" t="n">
        <f aca="false">IFERROR(D774*E774,0)</f>
        <v>5850.22589723611</v>
      </c>
      <c r="G774" s="25" t="n">
        <f aca="false">SUMIFS(PARÂMETROS!$F$8:$F$907,PARÂMETROS!$A$8:$A$907,C774,PARÂMETROS!$G$8:$G$907,J774)</f>
        <v>0</v>
      </c>
      <c r="H774" s="26" t="n">
        <f aca="false">IFERROR(F774*G774,0)</f>
        <v>0</v>
      </c>
      <c r="I774" s="26" t="n">
        <f aca="false">F774+H774</f>
        <v>5850.22589723611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25" t="n">
        <f aca="false">IF(B775="Clientes",SUMIFS(PARÂMETROS!$D$8:$D$907,PARÂMETROS!$A$8:$A$907,C775,PARÂMETROS!$G$8:$G$907,J775),SUMIFS(PARÂMETROS!$E$8:$E$907,PARÂMETROS!$A$8:$A$907,C775,PARÂMETROS!$G$8:$G$907,J775))</f>
        <v>0.0186856981205116</v>
      </c>
      <c r="E775" s="26" t="n">
        <f aca="false">SUMIFS(SETORES!$D:$D,SETORES!$A:$A,A775,SETORES!$F:$F,J775)</f>
        <v>80248.34</v>
      </c>
      <c r="F775" s="26" t="n">
        <f aca="false">IFERROR(D775*E775,0)</f>
        <v>1499.49625591217</v>
      </c>
      <c r="G775" s="25" t="n">
        <f aca="false">SUMIFS(PARÂMETROS!$F$8:$F$907,PARÂMETROS!$A$8:$A$907,C775,PARÂMETROS!$G$8:$G$907,J775)</f>
        <v>0</v>
      </c>
      <c r="H775" s="26" t="n">
        <f aca="false">IFERROR(F775*G775,0)</f>
        <v>0</v>
      </c>
      <c r="I775" s="26" t="n">
        <f aca="false">F775+H775</f>
        <v>1499.49625591217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25" t="n">
        <f aca="false">IF(B776="Clientes",SUMIFS(PARÂMETROS!$D$8:$D$907,PARÂMETROS!$A$8:$A$907,C776,PARÂMETROS!$G$8:$G$907,J776),SUMIFS(PARÂMETROS!$E$8:$E$907,PARÂMETROS!$A$8:$A$907,C776,PARÂMETROS!$G$8:$G$907,J776))</f>
        <v>0.0325969894436972</v>
      </c>
      <c r="E776" s="26" t="n">
        <f aca="false">SUMIFS(SETORES!$D:$D,SETORES!$A:$A,A776,SETORES!$F:$F,J776)</f>
        <v>80248.34</v>
      </c>
      <c r="F776" s="26" t="n">
        <f aca="false">IFERROR(D776*E776,0)</f>
        <v>2615.85429185423</v>
      </c>
      <c r="G776" s="25" t="n">
        <f aca="false">SUMIFS(PARÂMETROS!$F$8:$F$907,PARÂMETROS!$A$8:$A$907,C776,PARÂMETROS!$G$8:$G$907,J776)</f>
        <v>0</v>
      </c>
      <c r="H776" s="26" t="n">
        <f aca="false">IFERROR(F776*G776,0)</f>
        <v>0</v>
      </c>
      <c r="I776" s="26" t="n">
        <f aca="false">F776+H776</f>
        <v>2615.85429185423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25" t="n">
        <f aca="false">IF(B777="Clientes",SUMIFS(PARÂMETROS!$D$8:$D$907,PARÂMETROS!$A$8:$A$907,C777,PARÂMETROS!$G$8:$G$907,J777),SUMIFS(PARÂMETROS!$E$8:$E$907,PARÂMETROS!$A$8:$A$907,C777,PARÂMETROS!$G$8:$G$907,J777))</f>
        <v>0.0238472189824856</v>
      </c>
      <c r="E777" s="26" t="n">
        <f aca="false">SUMIFS(SETORES!$D:$D,SETORES!$A:$A,A777,SETORES!$F:$F,J777)</f>
        <v>80248.34</v>
      </c>
      <c r="F777" s="26" t="n">
        <f aca="false">IFERROR(D777*E777,0)</f>
        <v>1913.69973696096</v>
      </c>
      <c r="G777" s="25" t="n">
        <f aca="false">SUMIFS(PARÂMETROS!$F$8:$F$907,PARÂMETROS!$A$8:$A$907,C777,PARÂMETROS!$G$8:$G$907,J777)</f>
        <v>0</v>
      </c>
      <c r="H777" s="26" t="n">
        <f aca="false">IFERROR(F777*G777,0)</f>
        <v>0</v>
      </c>
      <c r="I777" s="26" t="n">
        <f aca="false">F777+H777</f>
        <v>1913.69973696096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25" t="n">
        <f aca="false">IF(B778="Clientes",SUMIFS(PARÂMETROS!$D$8:$D$907,PARÂMETROS!$A$8:$A$907,C778,PARÂMETROS!$G$8:$G$907,J778),SUMIFS(PARÂMETROS!$E$8:$E$907,PARÂMETROS!$A$8:$A$907,C778,PARÂMETROS!$G$8:$G$907,J778))</f>
        <v>0.0238521819833144</v>
      </c>
      <c r="E778" s="26" t="n">
        <f aca="false">SUMIFS(SETORES!$D:$D,SETORES!$A:$A,A778,SETORES!$F:$F,J778)</f>
        <v>80248.34</v>
      </c>
      <c r="F778" s="26" t="n">
        <f aca="false">IFERROR(D778*E778,0)</f>
        <v>1914.09800953889</v>
      </c>
      <c r="G778" s="25" t="n">
        <f aca="false">SUMIFS(PARÂMETROS!$F$8:$F$907,PARÂMETROS!$A$8:$A$907,C778,PARÂMETROS!$G$8:$G$907,J778)</f>
        <v>0</v>
      </c>
      <c r="H778" s="26" t="n">
        <f aca="false">IFERROR(F778*G778,0)</f>
        <v>0</v>
      </c>
      <c r="I778" s="26" t="n">
        <f aca="false">F778+H778</f>
        <v>1914.09800953889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25" t="n">
        <f aca="false">IF(B779="Clientes",SUMIFS(PARÂMETROS!$D$8:$D$907,PARÂMETROS!$A$8:$A$907,C779,PARÂMETROS!$G$8:$G$907,J779),SUMIFS(PARÂMETROS!$E$8:$E$907,PARÂMETROS!$A$8:$A$907,C779,PARÂMETROS!$G$8:$G$907,J779))</f>
        <v>0.728270741621214</v>
      </c>
      <c r="E779" s="26" t="n">
        <f aca="false">SUMIFS(SETORES!$D:$D,SETORES!$A:$A,A779,SETORES!$F:$F,J779)</f>
        <v>80248.34</v>
      </c>
      <c r="F779" s="26" t="n">
        <f aca="false">IFERROR(D779*E779,0)</f>
        <v>58442.5180856713</v>
      </c>
      <c r="G779" s="25" t="n">
        <f aca="false">SUMIFS(PARÂMETROS!$F$8:$F$907,PARÂMETROS!$A$8:$A$907,C779,PARÂMETROS!$G$8:$G$907,J779)</f>
        <v>0</v>
      </c>
      <c r="H779" s="26" t="n">
        <f aca="false">IFERROR(F779*G779,0)</f>
        <v>0</v>
      </c>
      <c r="I779" s="26" t="n">
        <f aca="false">F779+H779</f>
        <v>58442.5180856713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25" t="n">
        <f aca="false">IF(B780="Clientes",SUMIFS(PARÂMETROS!$D$8:$D$907,PARÂMETROS!$A$8:$A$907,C780,PARÂMETROS!$G$8:$G$907,J780),SUMIFS(PARÂMETROS!$E$8:$E$907,PARÂMETROS!$A$8:$A$907,C780,PARÂMETROS!$G$8:$G$907,J780))</f>
        <v>0.0328233861399593</v>
      </c>
      <c r="E780" s="26" t="n">
        <f aca="false">SUMIFS(SETORES!$D:$D,SETORES!$A:$A,A780,SETORES!$F:$F,J780)</f>
        <v>12681.53</v>
      </c>
      <c r="F780" s="26" t="n">
        <f aca="false">IFERROR(D780*E780,0)</f>
        <v>416.250756035479</v>
      </c>
      <c r="G780" s="25" t="n">
        <f aca="false">SUMIFS(PARÂMETROS!$F$8:$F$907,PARÂMETROS!$A$8:$A$907,C780,PARÂMETROS!$G$8:$G$907,J780)</f>
        <v>0</v>
      </c>
      <c r="H780" s="26" t="n">
        <f aca="false">IFERROR(F780*G780,0)</f>
        <v>0</v>
      </c>
      <c r="I780" s="26" t="n">
        <f aca="false">F780+H780</f>
        <v>416.250756035479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25" t="n">
        <f aca="false">IF(B781="Clientes",SUMIFS(PARÂMETROS!$D$8:$D$907,PARÂMETROS!$A$8:$A$907,C781,PARÂMETROS!$G$8:$G$907,J781),SUMIFS(PARÂMETROS!$E$8:$E$907,PARÂMETROS!$A$8:$A$907,C781,PARÂMETROS!$G$8:$G$907,J781))</f>
        <v>0.0700476148165183</v>
      </c>
      <c r="E781" s="26" t="n">
        <f aca="false">SUMIFS(SETORES!$D:$D,SETORES!$A:$A,A781,SETORES!$F:$F,J781)</f>
        <v>12681.53</v>
      </c>
      <c r="F781" s="26" t="n">
        <f aca="false">IFERROR(D781*E781,0)</f>
        <v>888.310928724122</v>
      </c>
      <c r="G781" s="25" t="n">
        <f aca="false">SUMIFS(PARÂMETROS!$F$8:$F$907,PARÂMETROS!$A$8:$A$907,C781,PARÂMETROS!$G$8:$G$907,J781)</f>
        <v>0</v>
      </c>
      <c r="H781" s="26" t="n">
        <f aca="false">IFERROR(F781*G781,0)</f>
        <v>0</v>
      </c>
      <c r="I781" s="26" t="n">
        <f aca="false">F781+H781</f>
        <v>888.310928724122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25" t="n">
        <f aca="false">IF(B782="Clientes",SUMIFS(PARÂMETROS!$D$8:$D$907,PARÂMETROS!$A$8:$A$907,C782,PARÂMETROS!$G$8:$G$907,J782),SUMIFS(PARÂMETROS!$E$8:$E$907,PARÂMETROS!$A$8:$A$907,C782,PARÂMETROS!$G$8:$G$907,J782))</f>
        <v>0.074903176237541</v>
      </c>
      <c r="E782" s="26" t="n">
        <f aca="false">SUMIFS(SETORES!$D:$D,SETORES!$A:$A,A782,SETORES!$F:$F,J782)</f>
        <v>12681.53</v>
      </c>
      <c r="F782" s="26" t="n">
        <f aca="false">IFERROR(D782*E782,0)</f>
        <v>949.886876551663</v>
      </c>
      <c r="G782" s="25" t="n">
        <f aca="false">SUMIFS(PARÂMETROS!$F$8:$F$907,PARÂMETROS!$A$8:$A$907,C782,PARÂMETROS!$G$8:$G$907,J782)</f>
        <v>0</v>
      </c>
      <c r="H782" s="26" t="n">
        <f aca="false">IFERROR(F782*G782,0)</f>
        <v>0</v>
      </c>
      <c r="I782" s="26" t="n">
        <f aca="false">F782+H782</f>
        <v>949.886876551663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25" t="n">
        <f aca="false">IF(B783="Clientes",SUMIFS(PARÂMETROS!$D$8:$D$907,PARÂMETROS!$A$8:$A$907,C783,PARÂMETROS!$G$8:$G$907,J783),SUMIFS(PARÂMETROS!$E$8:$E$907,PARÂMETROS!$A$8:$A$907,C783,PARÂMETROS!$G$8:$G$907,J783))</f>
        <v>0.0190772865303904</v>
      </c>
      <c r="E783" s="26" t="n">
        <f aca="false">SUMIFS(SETORES!$D:$D,SETORES!$A:$A,A783,SETORES!$F:$F,J783)</f>
        <v>12681.53</v>
      </c>
      <c r="F783" s="26" t="n">
        <f aca="false">IFERROR(D783*E783,0)</f>
        <v>241.929181453742</v>
      </c>
      <c r="G783" s="25" t="n">
        <f aca="false">SUMIFS(PARÂMETROS!$F$8:$F$907,PARÂMETROS!$A$8:$A$907,C783,PARÂMETROS!$G$8:$G$907,J783)</f>
        <v>0</v>
      </c>
      <c r="H783" s="26" t="n">
        <f aca="false">IFERROR(F783*G783,0)</f>
        <v>0</v>
      </c>
      <c r="I783" s="26" t="n">
        <f aca="false">F783+H783</f>
        <v>241.929181453742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25" t="n">
        <f aca="false">IF(B784="Clientes",SUMIFS(PARÂMETROS!$D$8:$D$907,PARÂMETROS!$A$8:$A$907,C784,PARÂMETROS!$G$8:$G$907,J784),SUMIFS(PARÂMETROS!$E$8:$E$907,PARÂMETROS!$A$8:$A$907,C784,PARÂMETROS!$G$8:$G$907,J784))</f>
        <v>0.0334296779858567</v>
      </c>
      <c r="E784" s="26" t="n">
        <f aca="false">SUMIFS(SETORES!$D:$D,SETORES!$A:$A,A784,SETORES!$F:$F,J784)</f>
        <v>12681.53</v>
      </c>
      <c r="F784" s="26" t="n">
        <f aca="false">IFERROR(D784*E784,0)</f>
        <v>423.939464267981</v>
      </c>
      <c r="G784" s="25" t="n">
        <f aca="false">SUMIFS(PARÂMETROS!$F$8:$F$907,PARÂMETROS!$A$8:$A$907,C784,PARÂMETROS!$G$8:$G$907,J784)</f>
        <v>0</v>
      </c>
      <c r="H784" s="26" t="n">
        <f aca="false">IFERROR(F784*G784,0)</f>
        <v>0</v>
      </c>
      <c r="I784" s="26" t="n">
        <f aca="false">F784+H784</f>
        <v>423.939464267981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25" t="n">
        <f aca="false">IF(B785="Clientes",SUMIFS(PARÂMETROS!$D$8:$D$907,PARÂMETROS!$A$8:$A$907,C785,PARÂMETROS!$G$8:$G$907,J785),SUMIFS(PARÂMETROS!$E$8:$E$907,PARÂMETROS!$A$8:$A$907,C785,PARÂMETROS!$G$8:$G$907,J785))</f>
        <v>0.0247220726818484</v>
      </c>
      <c r="E785" s="26" t="n">
        <f aca="false">SUMIFS(SETORES!$D:$D,SETORES!$A:$A,A785,SETORES!$F:$F,J785)</f>
        <v>12681.53</v>
      </c>
      <c r="F785" s="26" t="n">
        <f aca="false">IFERROR(D785*E785,0)</f>
        <v>313.51370637704</v>
      </c>
      <c r="G785" s="25" t="n">
        <f aca="false">SUMIFS(PARÂMETROS!$F$8:$F$907,PARÂMETROS!$A$8:$A$907,C785,PARÂMETROS!$G$8:$G$907,J785)</f>
        <v>0</v>
      </c>
      <c r="H785" s="26" t="n">
        <f aca="false">IFERROR(F785*G785,0)</f>
        <v>0</v>
      </c>
      <c r="I785" s="26" t="n">
        <f aca="false">F785+H785</f>
        <v>313.51370637704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25" t="n">
        <f aca="false">IF(B786="Clientes",SUMIFS(PARÂMETROS!$D$8:$D$907,PARÂMETROS!$A$8:$A$907,C786,PARÂMETROS!$G$8:$G$907,J786),SUMIFS(PARÂMETROS!$E$8:$E$907,PARÂMETROS!$A$8:$A$907,C786,PARÂMETROS!$G$8:$G$907,J786))</f>
        <v>0.0249938586817334</v>
      </c>
      <c r="E786" s="26" t="n">
        <f aca="false">SUMIFS(SETORES!$D:$D,SETORES!$A:$A,A786,SETORES!$F:$F,J786)</f>
        <v>12681.53</v>
      </c>
      <c r="F786" s="26" t="n">
        <f aca="false">IFERROR(D786*E786,0)</f>
        <v>316.960368688162</v>
      </c>
      <c r="G786" s="25" t="n">
        <f aca="false">SUMIFS(PARÂMETROS!$F$8:$F$907,PARÂMETROS!$A$8:$A$907,C786,PARÂMETROS!$G$8:$G$907,J786)</f>
        <v>0</v>
      </c>
      <c r="H786" s="26" t="n">
        <f aca="false">IFERROR(F786*G786,0)</f>
        <v>0</v>
      </c>
      <c r="I786" s="26" t="n">
        <f aca="false">F786+H786</f>
        <v>316.960368688162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25" t="n">
        <f aca="false">IF(B787="Clientes",SUMIFS(PARÂMETROS!$D$8:$D$907,PARÂMETROS!$A$8:$A$907,C787,PARÂMETROS!$G$8:$G$907,J787),SUMIFS(PARÂMETROS!$E$8:$E$907,PARÂMETROS!$A$8:$A$907,C787,PARÂMETROS!$G$8:$G$907,J787))</f>
        <v>0.720002926926153</v>
      </c>
      <c r="E787" s="26" t="n">
        <f aca="false">SUMIFS(SETORES!$D:$D,SETORES!$A:$A,A787,SETORES!$F:$F,J787)</f>
        <v>12681.53</v>
      </c>
      <c r="F787" s="26" t="n">
        <f aca="false">IFERROR(D787*E787,0)</f>
        <v>9130.73871790181</v>
      </c>
      <c r="G787" s="25" t="n">
        <f aca="false">SUMIFS(PARÂMETROS!$F$8:$F$907,PARÂMETROS!$A$8:$A$907,C787,PARÂMETROS!$G$8:$G$907,J787)</f>
        <v>0</v>
      </c>
      <c r="H787" s="26" t="n">
        <f aca="false">IFERROR(F787*G787,0)</f>
        <v>0</v>
      </c>
      <c r="I787" s="26" t="n">
        <f aca="false">F787+H787</f>
        <v>9130.73871790181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25" t="n">
        <f aca="false">IF(B788="Clientes",SUMIFS(PARÂMETROS!$D$8:$D$907,PARÂMETROS!$A$8:$A$907,C788,PARÂMETROS!$G$8:$G$907,J788),SUMIFS(PARÂMETROS!$E$8:$E$907,PARÂMETROS!$A$8:$A$907,C788,PARÂMETROS!$G$8:$G$907,J788))</f>
        <v>0.0330779140128206</v>
      </c>
      <c r="E788" s="26" t="n">
        <f aca="false">SUMIFS(SETORES!$D:$D,SETORES!$A:$A,A788,SETORES!$F:$F,J788)</f>
        <v>15607.95</v>
      </c>
      <c r="F788" s="26" t="n">
        <f aca="false">IFERROR(D788*E788,0)</f>
        <v>516.278428016403</v>
      </c>
      <c r="G788" s="25" t="n">
        <f aca="false">SUMIFS(PARÂMETROS!$F$8:$F$907,PARÂMETROS!$A$8:$A$907,C788,PARÂMETROS!$G$8:$G$907,J788)</f>
        <v>0</v>
      </c>
      <c r="H788" s="26" t="n">
        <f aca="false">IFERROR(F788*G788,0)</f>
        <v>0</v>
      </c>
      <c r="I788" s="26" t="n">
        <f aca="false">F788+H788</f>
        <v>516.278428016403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25" t="n">
        <f aca="false">IF(B789="Clientes",SUMIFS(PARÂMETROS!$D$8:$D$907,PARÂMETROS!$A$8:$A$907,C789,PARÂMETROS!$G$8:$G$907,J789),SUMIFS(PARÂMETROS!$E$8:$E$907,PARÂMETROS!$A$8:$A$907,C789,PARÂMETROS!$G$8:$G$907,J789))</f>
        <v>0.0688657021294068</v>
      </c>
      <c r="E789" s="26" t="n">
        <f aca="false">SUMIFS(SETORES!$D:$D,SETORES!$A:$A,A789,SETORES!$F:$F,J789)</f>
        <v>15607.95</v>
      </c>
      <c r="F789" s="26" t="n">
        <f aca="false">IFERROR(D789*E789,0)</f>
        <v>1074.85243555067</v>
      </c>
      <c r="G789" s="25" t="n">
        <f aca="false">SUMIFS(PARÂMETROS!$F$8:$F$907,PARÂMETROS!$A$8:$A$907,C789,PARÂMETROS!$G$8:$G$907,J789)</f>
        <v>0</v>
      </c>
      <c r="H789" s="26" t="n">
        <f aca="false">IFERROR(F789*G789,0)</f>
        <v>0</v>
      </c>
      <c r="I789" s="26" t="n">
        <f aca="false">F789+H789</f>
        <v>1074.85243555067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25" t="n">
        <f aca="false">IF(B790="Clientes",SUMIFS(PARÂMETROS!$D$8:$D$907,PARÂMETROS!$A$8:$A$907,C790,PARÂMETROS!$G$8:$G$907,J790),SUMIFS(PARÂMETROS!$E$8:$E$907,PARÂMETROS!$A$8:$A$907,C790,PARÂMETROS!$G$8:$G$907,J790))</f>
        <v>0.0741160832054526</v>
      </c>
      <c r="E790" s="26" t="n">
        <f aca="false">SUMIFS(SETORES!$D:$D,SETORES!$A:$A,A790,SETORES!$F:$F,J790)</f>
        <v>15607.95</v>
      </c>
      <c r="F790" s="26" t="n">
        <f aca="false">IFERROR(D790*E790,0)</f>
        <v>1156.80012086654</v>
      </c>
      <c r="G790" s="25" t="n">
        <f aca="false">SUMIFS(PARÂMETROS!$F$8:$F$907,PARÂMETROS!$A$8:$A$907,C790,PARÂMETROS!$G$8:$G$907,J790)</f>
        <v>0</v>
      </c>
      <c r="H790" s="26" t="n">
        <f aca="false">IFERROR(F790*G790,0)</f>
        <v>0</v>
      </c>
      <c r="I790" s="26" t="n">
        <f aca="false">F790+H790</f>
        <v>1156.80012086654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25" t="n">
        <f aca="false">IF(B791="Clientes",SUMIFS(PARÂMETROS!$D$8:$D$907,PARÂMETROS!$A$8:$A$907,C791,PARÂMETROS!$G$8:$G$907,J791),SUMIFS(PARÂMETROS!$E$8:$E$907,PARÂMETROS!$A$8:$A$907,C791,PARÂMETROS!$G$8:$G$907,J791))</f>
        <v>0.0190101774249011</v>
      </c>
      <c r="E791" s="26" t="n">
        <f aca="false">SUMIFS(SETORES!$D:$D,SETORES!$A:$A,A791,SETORES!$F:$F,J791)</f>
        <v>15607.95</v>
      </c>
      <c r="F791" s="26" t="n">
        <f aca="false">IFERROR(D791*E791,0)</f>
        <v>296.709898738985</v>
      </c>
      <c r="G791" s="25" t="n">
        <f aca="false">SUMIFS(PARÂMETROS!$F$8:$F$907,PARÂMETROS!$A$8:$A$907,C791,PARÂMETROS!$G$8:$G$907,J791)</f>
        <v>0</v>
      </c>
      <c r="H791" s="26" t="n">
        <f aca="false">IFERROR(F791*G791,0)</f>
        <v>0</v>
      </c>
      <c r="I791" s="26" t="n">
        <f aca="false">F791+H791</f>
        <v>296.709898738985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25" t="n">
        <f aca="false">IF(B792="Clientes",SUMIFS(PARÂMETROS!$D$8:$D$907,PARÂMETROS!$A$8:$A$907,C792,PARÂMETROS!$G$8:$G$907,J792),SUMIFS(PARÂMETROS!$E$8:$E$907,PARÂMETROS!$A$8:$A$907,C792,PARÂMETROS!$G$8:$G$907,J792))</f>
        <v>0.0330214583023255</v>
      </c>
      <c r="E792" s="26" t="n">
        <f aca="false">SUMIFS(SETORES!$D:$D,SETORES!$A:$A,A792,SETORES!$F:$F,J792)</f>
        <v>15607.95</v>
      </c>
      <c r="F792" s="26" t="n">
        <f aca="false">IFERROR(D792*E792,0)</f>
        <v>515.397270109781</v>
      </c>
      <c r="G792" s="25" t="n">
        <f aca="false">SUMIFS(PARÂMETROS!$F$8:$F$907,PARÂMETROS!$A$8:$A$907,C792,PARÂMETROS!$G$8:$G$907,J792)</f>
        <v>0</v>
      </c>
      <c r="H792" s="26" t="n">
        <f aca="false">IFERROR(F792*G792,0)</f>
        <v>0</v>
      </c>
      <c r="I792" s="26" t="n">
        <f aca="false">F792+H792</f>
        <v>515.397270109781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25" t="n">
        <f aca="false">IF(B793="Clientes",SUMIFS(PARÂMETROS!$D$8:$D$907,PARÂMETROS!$A$8:$A$907,C793,PARÂMETROS!$G$8:$G$907,J793),SUMIFS(PARÂMETROS!$E$8:$E$907,PARÂMETROS!$A$8:$A$907,C793,PARÂMETROS!$G$8:$G$907,J793))</f>
        <v>0.0243734699219372</v>
      </c>
      <c r="E793" s="26" t="n">
        <f aca="false">SUMIFS(SETORES!$D:$D,SETORES!$A:$A,A793,SETORES!$F:$F,J793)</f>
        <v>15607.95</v>
      </c>
      <c r="F793" s="26" t="n">
        <f aca="false">IFERROR(D793*E793,0)</f>
        <v>380.419899868099</v>
      </c>
      <c r="G793" s="25" t="n">
        <f aca="false">SUMIFS(PARÂMETROS!$F$8:$F$907,PARÂMETROS!$A$8:$A$907,C793,PARÂMETROS!$G$8:$G$907,J793)</f>
        <v>0</v>
      </c>
      <c r="H793" s="26" t="n">
        <f aca="false">IFERROR(F793*G793,0)</f>
        <v>0</v>
      </c>
      <c r="I793" s="26" t="n">
        <f aca="false">F793+H793</f>
        <v>380.419899868099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25" t="n">
        <f aca="false">IF(B794="Clientes",SUMIFS(PARÂMETROS!$D$8:$D$907,PARÂMETROS!$A$8:$A$907,C794,PARÂMETROS!$G$8:$G$907,J794),SUMIFS(PARÂMETROS!$E$8:$E$907,PARÂMETROS!$A$8:$A$907,C794,PARÂMETROS!$G$8:$G$907,J794))</f>
        <v>0.0246095574385531</v>
      </c>
      <c r="E794" s="26" t="n">
        <f aca="false">SUMIFS(SETORES!$D:$D,SETORES!$A:$A,A794,SETORES!$F:$F,J794)</f>
        <v>15607.95</v>
      </c>
      <c r="F794" s="26" t="n">
        <f aca="false">IFERROR(D794*E794,0)</f>
        <v>384.104742023065</v>
      </c>
      <c r="G794" s="25" t="n">
        <f aca="false">SUMIFS(PARÂMETROS!$F$8:$F$907,PARÂMETROS!$A$8:$A$907,C794,PARÂMETROS!$G$8:$G$907,J794)</f>
        <v>0</v>
      </c>
      <c r="H794" s="26" t="n">
        <f aca="false">IFERROR(F794*G794,0)</f>
        <v>0</v>
      </c>
      <c r="I794" s="26" t="n">
        <f aca="false">F794+H794</f>
        <v>384.104742023065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25" t="n">
        <f aca="false">IF(B795="Clientes",SUMIFS(PARÂMETROS!$D$8:$D$907,PARÂMETROS!$A$8:$A$907,C795,PARÂMETROS!$G$8:$G$907,J795),SUMIFS(PARÂMETROS!$E$8:$E$907,PARÂMETROS!$A$8:$A$907,C795,PARÂMETROS!$G$8:$G$907,J795))</f>
        <v>0.722925637564603</v>
      </c>
      <c r="E795" s="26" t="n">
        <f aca="false">SUMIFS(SETORES!$D:$D,SETORES!$A:$A,A795,SETORES!$F:$F,J795)</f>
        <v>15607.95</v>
      </c>
      <c r="F795" s="26" t="n">
        <f aca="false">IFERROR(D795*E795,0)</f>
        <v>11283.3872048265</v>
      </c>
      <c r="G795" s="25" t="n">
        <f aca="false">SUMIFS(PARÂMETROS!$F$8:$F$907,PARÂMETROS!$A$8:$A$907,C795,PARÂMETROS!$G$8:$G$907,J795)</f>
        <v>0</v>
      </c>
      <c r="H795" s="26" t="n">
        <f aca="false">IFERROR(F795*G795,0)</f>
        <v>0</v>
      </c>
      <c r="I795" s="26" t="n">
        <f aca="false">F795+H795</f>
        <v>11283.3872048265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25" t="n">
        <f aca="false">IF(B796="Clientes",SUMIFS(PARÂMETROS!$D$8:$D$907,PARÂMETROS!$A$8:$A$907,C796,PARÂMETROS!$G$8:$G$907,J796),SUMIFS(PARÂMETROS!$E$8:$E$907,PARÂMETROS!$A$8:$A$907,C796,PARÂMETROS!$G$8:$G$907,J796))</f>
        <v>0.0326962494602737</v>
      </c>
      <c r="E796" s="26" t="n">
        <f aca="false">SUMIFS(SETORES!$D:$D,SETORES!$A:$A,A796,SETORES!$F:$F,J796)</f>
        <v>15993.41</v>
      </c>
      <c r="F796" s="26" t="n">
        <f aca="false">IFERROR(D796*E796,0)</f>
        <v>522.924523080435</v>
      </c>
      <c r="G796" s="25" t="n">
        <f aca="false">SUMIFS(PARÂMETROS!$F$8:$F$907,PARÂMETROS!$A$8:$A$907,C796,PARÂMETROS!$G$8:$G$907,J796)</f>
        <v>0</v>
      </c>
      <c r="H796" s="26" t="n">
        <f aca="false">IFERROR(F796*G796,0)</f>
        <v>0</v>
      </c>
      <c r="I796" s="26" t="n">
        <f aca="false">F796+H796</f>
        <v>522.924523080435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25" t="n">
        <f aca="false">IF(B797="Clientes",SUMIFS(PARÂMETROS!$D$8:$D$907,PARÂMETROS!$A$8:$A$907,C797,PARÂMETROS!$G$8:$G$907,J797),SUMIFS(PARÂMETROS!$E$8:$E$907,PARÂMETROS!$A$8:$A$907,C797,PARÂMETROS!$G$8:$G$907,J797))</f>
        <v>0.06714940121395</v>
      </c>
      <c r="E797" s="26" t="n">
        <f aca="false">SUMIFS(SETORES!$D:$D,SETORES!$A:$A,A797,SETORES!$F:$F,J797)</f>
        <v>15993.41</v>
      </c>
      <c r="F797" s="26" t="n">
        <f aca="false">IFERROR(D797*E797,0)</f>
        <v>1073.9479048692</v>
      </c>
      <c r="G797" s="25" t="n">
        <f aca="false">SUMIFS(PARÂMETROS!$F$8:$F$907,PARÂMETROS!$A$8:$A$907,C797,PARÂMETROS!$G$8:$G$907,J797)</f>
        <v>0</v>
      </c>
      <c r="H797" s="26" t="n">
        <f aca="false">IFERROR(F797*G797,0)</f>
        <v>0</v>
      </c>
      <c r="I797" s="26" t="n">
        <f aca="false">F797+H797</f>
        <v>1073.9479048692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25" t="n">
        <f aca="false">IF(B798="Clientes",SUMIFS(PARÂMETROS!$D$8:$D$907,PARÂMETROS!$A$8:$A$907,C798,PARÂMETROS!$G$8:$G$907,J798),SUMIFS(PARÂMETROS!$E$8:$E$907,PARÂMETROS!$A$8:$A$907,C798,PARÂMETROS!$G$8:$G$907,J798))</f>
        <v>0.0729015191745537</v>
      </c>
      <c r="E798" s="26" t="n">
        <f aca="false">SUMIFS(SETORES!$D:$D,SETORES!$A:$A,A798,SETORES!$F:$F,J798)</f>
        <v>15993.41</v>
      </c>
      <c r="F798" s="26" t="n">
        <f aca="false">IFERROR(D798*E798,0)</f>
        <v>1165.9438857815</v>
      </c>
      <c r="G798" s="25" t="n">
        <f aca="false">SUMIFS(PARÂMETROS!$F$8:$F$907,PARÂMETROS!$A$8:$A$907,C798,PARÂMETROS!$G$8:$G$907,J798)</f>
        <v>0</v>
      </c>
      <c r="H798" s="26" t="n">
        <f aca="false">IFERROR(F798*G798,0)</f>
        <v>0</v>
      </c>
      <c r="I798" s="26" t="n">
        <f aca="false">F798+H798</f>
        <v>1165.9438857815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25" t="n">
        <f aca="false">IF(B799="Clientes",SUMIFS(PARÂMETROS!$D$8:$D$907,PARÂMETROS!$A$8:$A$907,C799,PARÂMETROS!$G$8:$G$907,J799),SUMIFS(PARÂMETROS!$E$8:$E$907,PARÂMETROS!$A$8:$A$907,C799,PARÂMETROS!$G$8:$G$907,J799))</f>
        <v>0.0186856981205116</v>
      </c>
      <c r="E799" s="26" t="n">
        <f aca="false">SUMIFS(SETORES!$D:$D,SETORES!$A:$A,A799,SETORES!$F:$F,J799)</f>
        <v>15993.41</v>
      </c>
      <c r="F799" s="26" t="n">
        <f aca="false">IFERROR(D799*E799,0)</f>
        <v>298.848031177571</v>
      </c>
      <c r="G799" s="25" t="n">
        <f aca="false">SUMIFS(PARÂMETROS!$F$8:$F$907,PARÂMETROS!$A$8:$A$907,C799,PARÂMETROS!$G$8:$G$907,J799)</f>
        <v>0</v>
      </c>
      <c r="H799" s="26" t="n">
        <f aca="false">IFERROR(F799*G799,0)</f>
        <v>0</v>
      </c>
      <c r="I799" s="26" t="n">
        <f aca="false">F799+H799</f>
        <v>298.848031177571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25" t="n">
        <f aca="false">IF(B800="Clientes",SUMIFS(PARÂMETROS!$D$8:$D$907,PARÂMETROS!$A$8:$A$907,C800,PARÂMETROS!$G$8:$G$907,J800),SUMIFS(PARÂMETROS!$E$8:$E$907,PARÂMETROS!$A$8:$A$907,C800,PARÂMETROS!$G$8:$G$907,J800))</f>
        <v>0.0325969894436972</v>
      </c>
      <c r="E800" s="26" t="n">
        <f aca="false">SUMIFS(SETORES!$D:$D,SETORES!$A:$A,A800,SETORES!$F:$F,J800)</f>
        <v>15993.41</v>
      </c>
      <c r="F800" s="26" t="n">
        <f aca="false">IFERROR(D800*E800,0)</f>
        <v>521.337016938722</v>
      </c>
      <c r="G800" s="25" t="n">
        <f aca="false">SUMIFS(PARÂMETROS!$F$8:$F$907,PARÂMETROS!$A$8:$A$907,C800,PARÂMETROS!$G$8:$G$907,J800)</f>
        <v>0</v>
      </c>
      <c r="H800" s="26" t="n">
        <f aca="false">IFERROR(F800*G800,0)</f>
        <v>0</v>
      </c>
      <c r="I800" s="26" t="n">
        <f aca="false">F800+H800</f>
        <v>521.337016938722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25" t="n">
        <f aca="false">IF(B801="Clientes",SUMIFS(PARÂMETROS!$D$8:$D$907,PARÂMETROS!$A$8:$A$907,C801,PARÂMETROS!$G$8:$G$907,J801),SUMIFS(PARÂMETROS!$E$8:$E$907,PARÂMETROS!$A$8:$A$907,C801,PARÂMETROS!$G$8:$G$907,J801))</f>
        <v>0.0238472189824856</v>
      </c>
      <c r="E801" s="26" t="n">
        <f aca="false">SUMIFS(SETORES!$D:$D,SETORES!$A:$A,A801,SETORES!$F:$F,J801)</f>
        <v>15993.41</v>
      </c>
      <c r="F801" s="26" t="n">
        <f aca="false">IFERROR(D801*E801,0)</f>
        <v>381.398350546675</v>
      </c>
      <c r="G801" s="25" t="n">
        <f aca="false">SUMIFS(PARÂMETROS!$F$8:$F$907,PARÂMETROS!$A$8:$A$907,C801,PARÂMETROS!$G$8:$G$907,J801)</f>
        <v>0</v>
      </c>
      <c r="H801" s="26" t="n">
        <f aca="false">IFERROR(F801*G801,0)</f>
        <v>0</v>
      </c>
      <c r="I801" s="26" t="n">
        <f aca="false">F801+H801</f>
        <v>381.398350546675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25" t="n">
        <f aca="false">IF(B802="Clientes",SUMIFS(PARÂMETROS!$D$8:$D$907,PARÂMETROS!$A$8:$A$907,C802,PARÂMETROS!$G$8:$G$907,J802),SUMIFS(PARÂMETROS!$E$8:$E$907,PARÂMETROS!$A$8:$A$907,C802,PARÂMETROS!$G$8:$G$907,J802))</f>
        <v>0.0238521819833144</v>
      </c>
      <c r="E802" s="26" t="n">
        <f aca="false">SUMIFS(SETORES!$D:$D,SETORES!$A:$A,A802,SETORES!$F:$F,J802)</f>
        <v>15993.41</v>
      </c>
      <c r="F802" s="26" t="n">
        <f aca="false">IFERROR(D802*E802,0)</f>
        <v>381.47772585376</v>
      </c>
      <c r="G802" s="25" t="n">
        <f aca="false">SUMIFS(PARÂMETROS!$F$8:$F$907,PARÂMETROS!$A$8:$A$907,C802,PARÂMETROS!$G$8:$G$907,J802)</f>
        <v>0</v>
      </c>
      <c r="H802" s="26" t="n">
        <f aca="false">IFERROR(F802*G802,0)</f>
        <v>0</v>
      </c>
      <c r="I802" s="26" t="n">
        <f aca="false">F802+H802</f>
        <v>381.47772585376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25" t="n">
        <f aca="false">IF(B803="Clientes",SUMIFS(PARÂMETROS!$D$8:$D$907,PARÂMETROS!$A$8:$A$907,C803,PARÂMETROS!$G$8:$G$907,J803),SUMIFS(PARÂMETROS!$E$8:$E$907,PARÂMETROS!$A$8:$A$907,C803,PARÂMETROS!$G$8:$G$907,J803))</f>
        <v>0.728270741621214</v>
      </c>
      <c r="E803" s="26" t="n">
        <f aca="false">SUMIFS(SETORES!$D:$D,SETORES!$A:$A,A803,SETORES!$F:$F,J803)</f>
        <v>15993.41</v>
      </c>
      <c r="F803" s="26" t="n">
        <f aca="false">IFERROR(D803*E803,0)</f>
        <v>11647.5325617521</v>
      </c>
      <c r="G803" s="25" t="n">
        <f aca="false">SUMIFS(PARÂMETROS!$F$8:$F$907,PARÂMETROS!$A$8:$A$907,C803,PARÂMETROS!$G$8:$G$907,J803)</f>
        <v>0</v>
      </c>
      <c r="H803" s="26" t="n">
        <f aca="false">IFERROR(F803*G803,0)</f>
        <v>0</v>
      </c>
      <c r="I803" s="26" t="n">
        <f aca="false">F803+H803</f>
        <v>11647.5325617521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25" t="n">
        <f aca="false">IF(B804="Clientes",SUMIFS(PARÂMETROS!$D$8:$D$907,PARÂMETROS!$A$8:$A$907,C804,PARÂMETROS!$G$8:$G$907,J804),SUMIFS(PARÂMETROS!$E$8:$E$907,PARÂMETROS!$A$8:$A$907,C804,PARÂMETROS!$G$8:$G$907,J804))</f>
        <v>0.0328233861399593</v>
      </c>
      <c r="E804" s="26" t="n">
        <f aca="false">SUMIFS(SETORES!$D:$D,SETORES!$A:$A,A804,SETORES!$F:$F,J804)</f>
        <v>145025.91</v>
      </c>
      <c r="F804" s="26" t="n">
        <f aca="false">IFERROR(D804*E804,0)</f>
        <v>4760.24144422899</v>
      </c>
      <c r="G804" s="25" t="n">
        <f aca="false">SUMIFS(PARÂMETROS!$F$8:$F$907,PARÂMETROS!$A$8:$A$907,C804,PARÂMETROS!$G$8:$G$907,J804)</f>
        <v>0</v>
      </c>
      <c r="H804" s="26" t="n">
        <f aca="false">IFERROR(F804*G804,0)</f>
        <v>0</v>
      </c>
      <c r="I804" s="26" t="n">
        <f aca="false">F804+H804</f>
        <v>4760.24144422899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25" t="n">
        <f aca="false">IF(B805="Clientes",SUMIFS(PARÂMETROS!$D$8:$D$907,PARÂMETROS!$A$8:$A$907,C805,PARÂMETROS!$G$8:$G$907,J805),SUMIFS(PARÂMETROS!$E$8:$E$907,PARÂMETROS!$A$8:$A$907,C805,PARÂMETROS!$G$8:$G$907,J805))</f>
        <v>0.0700476148165183</v>
      </c>
      <c r="E805" s="26" t="n">
        <f aca="false">SUMIFS(SETORES!$D:$D,SETORES!$A:$A,A805,SETORES!$F:$F,J805)</f>
        <v>145025.91</v>
      </c>
      <c r="F805" s="26" t="n">
        <f aca="false">IFERROR(D805*E805,0)</f>
        <v>10158.7190820951</v>
      </c>
      <c r="G805" s="25" t="n">
        <f aca="false">SUMIFS(PARÂMETROS!$F$8:$F$907,PARÂMETROS!$A$8:$A$907,C805,PARÂMETROS!$G$8:$G$907,J805)</f>
        <v>0</v>
      </c>
      <c r="H805" s="26" t="n">
        <f aca="false">IFERROR(F805*G805,0)</f>
        <v>0</v>
      </c>
      <c r="I805" s="26" t="n">
        <f aca="false">F805+H805</f>
        <v>10158.7190820951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25" t="n">
        <f aca="false">IF(B806="Clientes",SUMIFS(PARÂMETROS!$D$8:$D$907,PARÂMETROS!$A$8:$A$907,C806,PARÂMETROS!$G$8:$G$907,J806),SUMIFS(PARÂMETROS!$E$8:$E$907,PARÂMETROS!$A$8:$A$907,C806,PARÂMETROS!$G$8:$G$907,J806))</f>
        <v>0.074903176237541</v>
      </c>
      <c r="E806" s="26" t="n">
        <f aca="false">SUMIFS(SETORES!$D:$D,SETORES!$A:$A,A806,SETORES!$F:$F,J806)</f>
        <v>145025.91</v>
      </c>
      <c r="F806" s="26" t="n">
        <f aca="false">IFERROR(D806*E806,0)</f>
        <v>10862.9012957398</v>
      </c>
      <c r="G806" s="25" t="n">
        <f aca="false">SUMIFS(PARÂMETROS!$F$8:$F$907,PARÂMETROS!$A$8:$A$907,C806,PARÂMETROS!$G$8:$G$907,J806)</f>
        <v>0</v>
      </c>
      <c r="H806" s="26" t="n">
        <f aca="false">IFERROR(F806*G806,0)</f>
        <v>0</v>
      </c>
      <c r="I806" s="26" t="n">
        <f aca="false">F806+H806</f>
        <v>10862.9012957398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25" t="n">
        <f aca="false">IF(B807="Clientes",SUMIFS(PARÂMETROS!$D$8:$D$907,PARÂMETROS!$A$8:$A$907,C807,PARÂMETROS!$G$8:$G$907,J807),SUMIFS(PARÂMETROS!$E$8:$E$907,PARÂMETROS!$A$8:$A$907,C807,PARÂMETROS!$G$8:$G$907,J807))</f>
        <v>0.0190772865303904</v>
      </c>
      <c r="E807" s="26" t="n">
        <f aca="false">SUMIFS(SETORES!$D:$D,SETORES!$A:$A,A807,SETORES!$F:$F,J807)</f>
        <v>145025.91</v>
      </c>
      <c r="F807" s="26" t="n">
        <f aca="false">IFERROR(D807*E807,0)</f>
        <v>2766.70083940061</v>
      </c>
      <c r="G807" s="25" t="n">
        <f aca="false">SUMIFS(PARÂMETROS!$F$8:$F$907,PARÂMETROS!$A$8:$A$907,C807,PARÂMETROS!$G$8:$G$907,J807)</f>
        <v>0</v>
      </c>
      <c r="H807" s="26" t="n">
        <f aca="false">IFERROR(F807*G807,0)</f>
        <v>0</v>
      </c>
      <c r="I807" s="26" t="n">
        <f aca="false">F807+H807</f>
        <v>2766.70083940061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25" t="n">
        <f aca="false">IF(B808="Clientes",SUMIFS(PARÂMETROS!$D$8:$D$907,PARÂMETROS!$A$8:$A$907,C808,PARÂMETROS!$G$8:$G$907,J808),SUMIFS(PARÂMETROS!$E$8:$E$907,PARÂMETROS!$A$8:$A$907,C808,PARÂMETROS!$G$8:$G$907,J808))</f>
        <v>0.0334296779858567</v>
      </c>
      <c r="E808" s="26" t="n">
        <f aca="false">SUMIFS(SETORES!$D:$D,SETORES!$A:$A,A808,SETORES!$F:$F,J808)</f>
        <v>145025.91</v>
      </c>
      <c r="F808" s="26" t="n">
        <f aca="false">IFERROR(D808*E808,0)</f>
        <v>4848.16947090583</v>
      </c>
      <c r="G808" s="25" t="n">
        <f aca="false">SUMIFS(PARÂMETROS!$F$8:$F$907,PARÂMETROS!$A$8:$A$907,C808,PARÂMETROS!$G$8:$G$907,J808)</f>
        <v>0</v>
      </c>
      <c r="H808" s="26" t="n">
        <f aca="false">IFERROR(F808*G808,0)</f>
        <v>0</v>
      </c>
      <c r="I808" s="26" t="n">
        <f aca="false">F808+H808</f>
        <v>4848.16947090583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25" t="n">
        <f aca="false">IF(B809="Clientes",SUMIFS(PARÂMETROS!$D$8:$D$907,PARÂMETROS!$A$8:$A$907,C809,PARÂMETROS!$G$8:$G$907,J809),SUMIFS(PARÂMETROS!$E$8:$E$907,PARÂMETROS!$A$8:$A$907,C809,PARÂMETROS!$G$8:$G$907,J809))</f>
        <v>0.0247220726818484</v>
      </c>
      <c r="E809" s="26" t="n">
        <f aca="false">SUMIFS(SETORES!$D:$D,SETORES!$A:$A,A809,SETORES!$F:$F,J809)</f>
        <v>145025.91</v>
      </c>
      <c r="F809" s="26" t="n">
        <f aca="false">IFERROR(D809*E809,0)</f>
        <v>3585.3410877712</v>
      </c>
      <c r="G809" s="25" t="n">
        <f aca="false">SUMIFS(PARÂMETROS!$F$8:$F$907,PARÂMETROS!$A$8:$A$907,C809,PARÂMETROS!$G$8:$G$907,J809)</f>
        <v>0</v>
      </c>
      <c r="H809" s="26" t="n">
        <f aca="false">IFERROR(F809*G809,0)</f>
        <v>0</v>
      </c>
      <c r="I809" s="26" t="n">
        <f aca="false">F809+H809</f>
        <v>3585.3410877712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25" t="n">
        <f aca="false">IF(B810="Clientes",SUMIFS(PARÂMETROS!$D$8:$D$907,PARÂMETROS!$A$8:$A$907,C810,PARÂMETROS!$G$8:$G$907,J810),SUMIFS(PARÂMETROS!$E$8:$E$907,PARÂMETROS!$A$8:$A$907,C810,PARÂMETROS!$G$8:$G$907,J810))</f>
        <v>0.0249938586817334</v>
      </c>
      <c r="E810" s="26" t="n">
        <f aca="false">SUMIFS(SETORES!$D:$D,SETORES!$A:$A,A810,SETORES!$F:$F,J810)</f>
        <v>145025.91</v>
      </c>
      <c r="F810" s="26" t="n">
        <f aca="false">IFERROR(D810*E810,0)</f>
        <v>3624.75709972978</v>
      </c>
      <c r="G810" s="25" t="n">
        <f aca="false">SUMIFS(PARÂMETROS!$F$8:$F$907,PARÂMETROS!$A$8:$A$907,C810,PARÂMETROS!$G$8:$G$907,J810)</f>
        <v>0</v>
      </c>
      <c r="H810" s="26" t="n">
        <f aca="false">IFERROR(F810*G810,0)</f>
        <v>0</v>
      </c>
      <c r="I810" s="26" t="n">
        <f aca="false">F810+H810</f>
        <v>3624.75709972978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25" t="n">
        <f aca="false">IF(B811="Clientes",SUMIFS(PARÂMETROS!$D$8:$D$907,PARÂMETROS!$A$8:$A$907,C811,PARÂMETROS!$G$8:$G$907,J811),SUMIFS(PARÂMETROS!$E$8:$E$907,PARÂMETROS!$A$8:$A$907,C811,PARÂMETROS!$G$8:$G$907,J811))</f>
        <v>0.720002926926153</v>
      </c>
      <c r="E811" s="26" t="n">
        <f aca="false">SUMIFS(SETORES!$D:$D,SETORES!$A:$A,A811,SETORES!$F:$F,J811)</f>
        <v>145025.91</v>
      </c>
      <c r="F811" s="26" t="n">
        <f aca="false">IFERROR(D811*E811,0)</f>
        <v>104419.079680129</v>
      </c>
      <c r="G811" s="25" t="n">
        <f aca="false">SUMIFS(PARÂMETROS!$F$8:$F$907,PARÂMETROS!$A$8:$A$907,C811,PARÂMETROS!$G$8:$G$907,J811)</f>
        <v>0</v>
      </c>
      <c r="H811" s="26" t="n">
        <f aca="false">IFERROR(F811*G811,0)</f>
        <v>0</v>
      </c>
      <c r="I811" s="26" t="n">
        <f aca="false">F811+H811</f>
        <v>104419.079680129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25" t="n">
        <f aca="false">IF(B812="Clientes",SUMIFS(PARÂMETROS!$D$8:$D$907,PARÂMETROS!$A$8:$A$907,C812,PARÂMETROS!$G$8:$G$907,J812),SUMIFS(PARÂMETROS!$E$8:$E$907,PARÂMETROS!$A$8:$A$907,C812,PARÂMETROS!$G$8:$G$907,J812))</f>
        <v>0.0330779140128206</v>
      </c>
      <c r="E812" s="26" t="n">
        <f aca="false">SUMIFS(SETORES!$D:$D,SETORES!$A:$A,A812,SETORES!$F:$F,J812)</f>
        <v>161884.54</v>
      </c>
      <c r="F812" s="26" t="n">
        <f aca="false">IFERROR(D812*E812,0)</f>
        <v>5354.80289412501</v>
      </c>
      <c r="G812" s="25" t="n">
        <f aca="false">SUMIFS(PARÂMETROS!$F$8:$F$907,PARÂMETROS!$A$8:$A$907,C812,PARÂMETROS!$G$8:$G$907,J812)</f>
        <v>0</v>
      </c>
      <c r="H812" s="26" t="n">
        <f aca="false">IFERROR(F812*G812,0)</f>
        <v>0</v>
      </c>
      <c r="I812" s="26" t="n">
        <f aca="false">F812+H812</f>
        <v>5354.80289412501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25" t="n">
        <f aca="false">IF(B813="Clientes",SUMIFS(PARÂMETROS!$D$8:$D$907,PARÂMETROS!$A$8:$A$907,C813,PARÂMETROS!$G$8:$G$907,J813),SUMIFS(PARÂMETROS!$E$8:$E$907,PARÂMETROS!$A$8:$A$907,C813,PARÂMETROS!$G$8:$G$907,J813))</f>
        <v>0.0688657021294068</v>
      </c>
      <c r="E813" s="26" t="n">
        <f aca="false">SUMIFS(SETORES!$D:$D,SETORES!$A:$A,A813,SETORES!$F:$F,J813)</f>
        <v>161884.54</v>
      </c>
      <c r="F813" s="26" t="n">
        <f aca="false">IFERROR(D813*E813,0)</f>
        <v>11148.292510996</v>
      </c>
      <c r="G813" s="25" t="n">
        <f aca="false">SUMIFS(PARÂMETROS!$F$8:$F$907,PARÂMETROS!$A$8:$A$907,C813,PARÂMETROS!$G$8:$G$907,J813)</f>
        <v>0</v>
      </c>
      <c r="H813" s="26" t="n">
        <f aca="false">IFERROR(F813*G813,0)</f>
        <v>0</v>
      </c>
      <c r="I813" s="26" t="n">
        <f aca="false">F813+H813</f>
        <v>11148.292510996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25" t="n">
        <f aca="false">IF(B814="Clientes",SUMIFS(PARÂMETROS!$D$8:$D$907,PARÂMETROS!$A$8:$A$907,C814,PARÂMETROS!$G$8:$G$907,J814),SUMIFS(PARÂMETROS!$E$8:$E$907,PARÂMETROS!$A$8:$A$907,C814,PARÂMETROS!$G$8:$G$907,J814))</f>
        <v>0.0741160832054526</v>
      </c>
      <c r="E814" s="26" t="n">
        <f aca="false">SUMIFS(SETORES!$D:$D,SETORES!$A:$A,A814,SETORES!$F:$F,J814)</f>
        <v>161884.54</v>
      </c>
      <c r="F814" s="26" t="n">
        <f aca="false">IFERROR(D814*E814,0)</f>
        <v>11998.2480363164</v>
      </c>
      <c r="G814" s="25" t="n">
        <f aca="false">SUMIFS(PARÂMETROS!$F$8:$F$907,PARÂMETROS!$A$8:$A$907,C814,PARÂMETROS!$G$8:$G$907,J814)</f>
        <v>0</v>
      </c>
      <c r="H814" s="26" t="n">
        <f aca="false">IFERROR(F814*G814,0)</f>
        <v>0</v>
      </c>
      <c r="I814" s="26" t="n">
        <f aca="false">F814+H814</f>
        <v>11998.2480363164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25" t="n">
        <f aca="false">IF(B815="Clientes",SUMIFS(PARÂMETROS!$D$8:$D$907,PARÂMETROS!$A$8:$A$907,C815,PARÂMETROS!$G$8:$G$907,J815),SUMIFS(PARÂMETROS!$E$8:$E$907,PARÂMETROS!$A$8:$A$907,C815,PARÂMETROS!$G$8:$G$907,J815))</f>
        <v>0.0190101774249011</v>
      </c>
      <c r="E815" s="26" t="n">
        <f aca="false">SUMIFS(SETORES!$D:$D,SETORES!$A:$A,A815,SETORES!$F:$F,J815)</f>
        <v>161884.54</v>
      </c>
      <c r="F815" s="26" t="n">
        <f aca="false">IFERROR(D815*E815,0)</f>
        <v>3077.4538277485</v>
      </c>
      <c r="G815" s="25" t="n">
        <f aca="false">SUMIFS(PARÂMETROS!$F$8:$F$907,PARÂMETROS!$A$8:$A$907,C815,PARÂMETROS!$G$8:$G$907,J815)</f>
        <v>0</v>
      </c>
      <c r="H815" s="26" t="n">
        <f aca="false">IFERROR(F815*G815,0)</f>
        <v>0</v>
      </c>
      <c r="I815" s="26" t="n">
        <f aca="false">F815+H815</f>
        <v>3077.4538277485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25" t="n">
        <f aca="false">IF(B816="Clientes",SUMIFS(PARÂMETROS!$D$8:$D$907,PARÂMETROS!$A$8:$A$907,C816,PARÂMETROS!$G$8:$G$907,J816),SUMIFS(PARÂMETROS!$E$8:$E$907,PARÂMETROS!$A$8:$A$907,C816,PARÂMETROS!$G$8:$G$907,J816))</f>
        <v>0.0330214583023255</v>
      </c>
      <c r="E816" s="26" t="n">
        <f aca="false">SUMIFS(SETORES!$D:$D,SETORES!$A:$A,A816,SETORES!$F:$F,J816)</f>
        <v>161884.54</v>
      </c>
      <c r="F816" s="26" t="n">
        <f aca="false">IFERROR(D816*E816,0)</f>
        <v>5345.66358740114</v>
      </c>
      <c r="G816" s="25" t="n">
        <f aca="false">SUMIFS(PARÂMETROS!$F$8:$F$907,PARÂMETROS!$A$8:$A$907,C816,PARÂMETROS!$G$8:$G$907,J816)</f>
        <v>0</v>
      </c>
      <c r="H816" s="26" t="n">
        <f aca="false">IFERROR(F816*G816,0)</f>
        <v>0</v>
      </c>
      <c r="I816" s="26" t="n">
        <f aca="false">F816+H816</f>
        <v>5345.66358740114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25" t="n">
        <f aca="false">IF(B817="Clientes",SUMIFS(PARÂMETROS!$D$8:$D$907,PARÂMETROS!$A$8:$A$907,C817,PARÂMETROS!$G$8:$G$907,J817),SUMIFS(PARÂMETROS!$E$8:$E$907,PARÂMETROS!$A$8:$A$907,C817,PARÂMETROS!$G$8:$G$907,J817))</f>
        <v>0.0243734699219372</v>
      </c>
      <c r="E817" s="26" t="n">
        <f aca="false">SUMIFS(SETORES!$D:$D,SETORES!$A:$A,A817,SETORES!$F:$F,J817)</f>
        <v>161884.54</v>
      </c>
      <c r="F817" s="26" t="n">
        <f aca="false">IFERROR(D817*E817,0)</f>
        <v>3945.68796651663</v>
      </c>
      <c r="G817" s="25" t="n">
        <f aca="false">SUMIFS(PARÂMETROS!$F$8:$F$907,PARÂMETROS!$A$8:$A$907,C817,PARÂMETROS!$G$8:$G$907,J817)</f>
        <v>0</v>
      </c>
      <c r="H817" s="26" t="n">
        <f aca="false">IFERROR(F817*G817,0)</f>
        <v>0</v>
      </c>
      <c r="I817" s="26" t="n">
        <f aca="false">F817+H817</f>
        <v>3945.68796651663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25" t="n">
        <f aca="false">IF(B818="Clientes",SUMIFS(PARÂMETROS!$D$8:$D$907,PARÂMETROS!$A$8:$A$907,C818,PARÂMETROS!$G$8:$G$907,J818),SUMIFS(PARÂMETROS!$E$8:$E$907,PARÂMETROS!$A$8:$A$907,C818,PARÂMETROS!$G$8:$G$907,J818))</f>
        <v>0.0246095574385531</v>
      </c>
      <c r="E818" s="26" t="n">
        <f aca="false">SUMIFS(SETORES!$D:$D,SETORES!$A:$A,A818,SETORES!$F:$F,J818)</f>
        <v>161884.54</v>
      </c>
      <c r="F818" s="26" t="n">
        <f aca="false">IFERROR(D818*E818,0)</f>
        <v>3983.90688554375</v>
      </c>
      <c r="G818" s="25" t="n">
        <f aca="false">SUMIFS(PARÂMETROS!$F$8:$F$907,PARÂMETROS!$A$8:$A$907,C818,PARÂMETROS!$G$8:$G$907,J818)</f>
        <v>0</v>
      </c>
      <c r="H818" s="26" t="n">
        <f aca="false">IFERROR(F818*G818,0)</f>
        <v>0</v>
      </c>
      <c r="I818" s="26" t="n">
        <f aca="false">F818+H818</f>
        <v>3983.90688554375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25" t="n">
        <f aca="false">IF(B819="Clientes",SUMIFS(PARÂMETROS!$D$8:$D$907,PARÂMETROS!$A$8:$A$907,C819,PARÂMETROS!$G$8:$G$907,J819),SUMIFS(PARÂMETROS!$E$8:$E$907,PARÂMETROS!$A$8:$A$907,C819,PARÂMETROS!$G$8:$G$907,J819))</f>
        <v>0.722925637564603</v>
      </c>
      <c r="E819" s="26" t="n">
        <f aca="false">SUMIFS(SETORES!$D:$D,SETORES!$A:$A,A819,SETORES!$F:$F,J819)</f>
        <v>161884.54</v>
      </c>
      <c r="F819" s="26" t="n">
        <f aca="false">IFERROR(D819*E819,0)</f>
        <v>117030.484291353</v>
      </c>
      <c r="G819" s="25" t="n">
        <f aca="false">SUMIFS(PARÂMETROS!$F$8:$F$907,PARÂMETROS!$A$8:$A$907,C819,PARÂMETROS!$G$8:$G$907,J819)</f>
        <v>0</v>
      </c>
      <c r="H819" s="26" t="n">
        <f aca="false">IFERROR(F819*G819,0)</f>
        <v>0</v>
      </c>
      <c r="I819" s="26" t="n">
        <f aca="false">F819+H819</f>
        <v>117030.484291353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25" t="n">
        <f aca="false">IF(B820="Clientes",SUMIFS(PARÂMETROS!$D$8:$D$907,PARÂMETROS!$A$8:$A$907,C820,PARÂMETROS!$G$8:$G$907,J820),SUMIFS(PARÂMETROS!$E$8:$E$907,PARÂMETROS!$A$8:$A$907,C820,PARÂMETROS!$G$8:$G$907,J820))</f>
        <v>0.0326962494602737</v>
      </c>
      <c r="E820" s="26" t="n">
        <f aca="false">SUMIFS(SETORES!$D:$D,SETORES!$A:$A,A820,SETORES!$F:$F,J820)</f>
        <v>192402.9</v>
      </c>
      <c r="F820" s="26" t="n">
        <f aca="false">IFERROR(D820*E820,0)</f>
        <v>6290.85321528009</v>
      </c>
      <c r="G820" s="25" t="n">
        <f aca="false">SUMIFS(PARÂMETROS!$F$8:$F$907,PARÂMETROS!$A$8:$A$907,C820,PARÂMETROS!$G$8:$G$907,J820)</f>
        <v>0</v>
      </c>
      <c r="H820" s="26" t="n">
        <f aca="false">IFERROR(F820*G820,0)</f>
        <v>0</v>
      </c>
      <c r="I820" s="26" t="n">
        <f aca="false">F820+H820</f>
        <v>6290.85321528009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25" t="n">
        <f aca="false">IF(B821="Clientes",SUMIFS(PARÂMETROS!$D$8:$D$907,PARÂMETROS!$A$8:$A$907,C821,PARÂMETROS!$G$8:$G$907,J821),SUMIFS(PARÂMETROS!$E$8:$E$907,PARÂMETROS!$A$8:$A$907,C821,PARÂMETROS!$G$8:$G$907,J821))</f>
        <v>0.06714940121395</v>
      </c>
      <c r="E821" s="26" t="n">
        <f aca="false">SUMIFS(SETORES!$D:$D,SETORES!$A:$A,A821,SETORES!$F:$F,J821)</f>
        <v>192402.9</v>
      </c>
      <c r="F821" s="26" t="n">
        <f aca="false">IFERROR(D821*E821,0)</f>
        <v>12919.7395268275</v>
      </c>
      <c r="G821" s="25" t="n">
        <f aca="false">SUMIFS(PARÂMETROS!$F$8:$F$907,PARÂMETROS!$A$8:$A$907,C821,PARÂMETROS!$G$8:$G$907,J821)</f>
        <v>0</v>
      </c>
      <c r="H821" s="26" t="n">
        <f aca="false">IFERROR(F821*G821,0)</f>
        <v>0</v>
      </c>
      <c r="I821" s="26" t="n">
        <f aca="false">F821+H821</f>
        <v>12919.7395268275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25" t="n">
        <f aca="false">IF(B822="Clientes",SUMIFS(PARÂMETROS!$D$8:$D$907,PARÂMETROS!$A$8:$A$907,C822,PARÂMETROS!$G$8:$G$907,J822),SUMIFS(PARÂMETROS!$E$8:$E$907,PARÂMETROS!$A$8:$A$907,C822,PARÂMETROS!$G$8:$G$907,J822))</f>
        <v>0.0729015191745537</v>
      </c>
      <c r="E822" s="26" t="n">
        <f aca="false">SUMIFS(SETORES!$D:$D,SETORES!$A:$A,A822,SETORES!$F:$F,J822)</f>
        <v>192402.9</v>
      </c>
      <c r="F822" s="26" t="n">
        <f aca="false">IFERROR(D822*E822,0)</f>
        <v>14026.4637035897</v>
      </c>
      <c r="G822" s="25" t="n">
        <f aca="false">SUMIFS(PARÂMETROS!$F$8:$F$907,PARÂMETROS!$A$8:$A$907,C822,PARÂMETROS!$G$8:$G$907,J822)</f>
        <v>0</v>
      </c>
      <c r="H822" s="26" t="n">
        <f aca="false">IFERROR(F822*G822,0)</f>
        <v>0</v>
      </c>
      <c r="I822" s="26" t="n">
        <f aca="false">F822+H822</f>
        <v>14026.4637035897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25" t="n">
        <f aca="false">IF(B823="Clientes",SUMIFS(PARÂMETROS!$D$8:$D$907,PARÂMETROS!$A$8:$A$907,C823,PARÂMETROS!$G$8:$G$907,J823),SUMIFS(PARÂMETROS!$E$8:$E$907,PARÂMETROS!$A$8:$A$907,C823,PARÂMETROS!$G$8:$G$907,J823))</f>
        <v>0.0186856981205116</v>
      </c>
      <c r="E823" s="26" t="n">
        <f aca="false">SUMIFS(SETORES!$D:$D,SETORES!$A:$A,A823,SETORES!$F:$F,J823)</f>
        <v>192402.9</v>
      </c>
      <c r="F823" s="26" t="n">
        <f aca="false">IFERROR(D823*E823,0)</f>
        <v>3595.18250691098</v>
      </c>
      <c r="G823" s="25" t="n">
        <f aca="false">SUMIFS(PARÂMETROS!$F$8:$F$907,PARÂMETROS!$A$8:$A$907,C823,PARÂMETROS!$G$8:$G$907,J823)</f>
        <v>0</v>
      </c>
      <c r="H823" s="26" t="n">
        <f aca="false">IFERROR(F823*G823,0)</f>
        <v>0</v>
      </c>
      <c r="I823" s="26" t="n">
        <f aca="false">F823+H823</f>
        <v>3595.18250691098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25" t="n">
        <f aca="false">IF(B824="Clientes",SUMIFS(PARÂMETROS!$D$8:$D$907,PARÂMETROS!$A$8:$A$907,C824,PARÂMETROS!$G$8:$G$907,J824),SUMIFS(PARÂMETROS!$E$8:$E$907,PARÂMETROS!$A$8:$A$907,C824,PARÂMETROS!$G$8:$G$907,J824))</f>
        <v>0.0325969894436972</v>
      </c>
      <c r="E824" s="26" t="n">
        <f aca="false">SUMIFS(SETORES!$D:$D,SETORES!$A:$A,A824,SETORES!$F:$F,J824)</f>
        <v>192402.9</v>
      </c>
      <c r="F824" s="26" t="n">
        <f aca="false">IFERROR(D824*E824,0)</f>
        <v>6271.75530023674</v>
      </c>
      <c r="G824" s="25" t="n">
        <f aca="false">SUMIFS(PARÂMETROS!$F$8:$F$907,PARÂMETROS!$A$8:$A$907,C824,PARÂMETROS!$G$8:$G$907,J824)</f>
        <v>0</v>
      </c>
      <c r="H824" s="26" t="n">
        <f aca="false">IFERROR(F824*G824,0)</f>
        <v>0</v>
      </c>
      <c r="I824" s="26" t="n">
        <f aca="false">F824+H824</f>
        <v>6271.75530023674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25" t="n">
        <f aca="false">IF(B825="Clientes",SUMIFS(PARÂMETROS!$D$8:$D$907,PARÂMETROS!$A$8:$A$907,C825,PARÂMETROS!$G$8:$G$907,J825),SUMIFS(PARÂMETROS!$E$8:$E$907,PARÂMETROS!$A$8:$A$907,C825,PARÂMETROS!$G$8:$G$907,J825))</f>
        <v>0.0238472189824856</v>
      </c>
      <c r="E825" s="26" t="n">
        <f aca="false">SUMIFS(SETORES!$D:$D,SETORES!$A:$A,A825,SETORES!$F:$F,J825)</f>
        <v>192402.9</v>
      </c>
      <c r="F825" s="26" t="n">
        <f aca="false">IFERROR(D825*E825,0)</f>
        <v>4588.27408916527</v>
      </c>
      <c r="G825" s="25" t="n">
        <f aca="false">SUMIFS(PARÂMETROS!$F$8:$F$907,PARÂMETROS!$A$8:$A$907,C825,PARÂMETROS!$G$8:$G$907,J825)</f>
        <v>0</v>
      </c>
      <c r="H825" s="26" t="n">
        <f aca="false">IFERROR(F825*G825,0)</f>
        <v>0</v>
      </c>
      <c r="I825" s="26" t="n">
        <f aca="false">F825+H825</f>
        <v>4588.27408916527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25" t="n">
        <f aca="false">IF(B826="Clientes",SUMIFS(PARÂMETROS!$D$8:$D$907,PARÂMETROS!$A$8:$A$907,C826,PARÂMETROS!$G$8:$G$907,J826),SUMIFS(PARÂMETROS!$E$8:$E$907,PARÂMETROS!$A$8:$A$907,C826,PARÂMETROS!$G$8:$G$907,J826))</f>
        <v>0.0238521819833144</v>
      </c>
      <c r="E826" s="26" t="n">
        <f aca="false">SUMIFS(SETORES!$D:$D,SETORES!$A:$A,A826,SETORES!$F:$F,J826)</f>
        <v>192402.9</v>
      </c>
      <c r="F826" s="26" t="n">
        <f aca="false">IFERROR(D826*E826,0)</f>
        <v>4589.22898491744</v>
      </c>
      <c r="G826" s="25" t="n">
        <f aca="false">SUMIFS(PARÂMETROS!$F$8:$F$907,PARÂMETROS!$A$8:$A$907,C826,PARÂMETROS!$G$8:$G$907,J826)</f>
        <v>0</v>
      </c>
      <c r="H826" s="26" t="n">
        <f aca="false">IFERROR(F826*G826,0)</f>
        <v>0</v>
      </c>
      <c r="I826" s="26" t="n">
        <f aca="false">F826+H826</f>
        <v>4589.22898491744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25" t="n">
        <f aca="false">IF(B827="Clientes",SUMIFS(PARÂMETROS!$D$8:$D$907,PARÂMETROS!$A$8:$A$907,C827,PARÂMETROS!$G$8:$G$907,J827),SUMIFS(PARÂMETROS!$E$8:$E$907,PARÂMETROS!$A$8:$A$907,C827,PARÂMETROS!$G$8:$G$907,J827))</f>
        <v>0.728270741621214</v>
      </c>
      <c r="E827" s="26" t="n">
        <f aca="false">SUMIFS(SETORES!$D:$D,SETORES!$A:$A,A827,SETORES!$F:$F,J827)</f>
        <v>192402.9</v>
      </c>
      <c r="F827" s="26" t="n">
        <f aca="false">IFERROR(D827*E827,0)</f>
        <v>140121.402673072</v>
      </c>
      <c r="G827" s="25" t="n">
        <f aca="false">SUMIFS(PARÂMETROS!$F$8:$F$907,PARÂMETROS!$A$8:$A$907,C827,PARÂMETROS!$G$8:$G$907,J827)</f>
        <v>0</v>
      </c>
      <c r="H827" s="26" t="n">
        <f aca="false">IFERROR(F827*G827,0)</f>
        <v>0</v>
      </c>
      <c r="I827" s="26" t="n">
        <f aca="false">F827+H827</f>
        <v>140121.402673072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25" t="n">
        <f aca="false">IF(B828="Clientes",SUMIFS(PARÂMETROS!$D$8:$D$907,PARÂMETROS!$A$8:$A$907,C828,PARÂMETROS!$G$8:$G$907,J828),SUMIFS(PARÂMETROS!$E$8:$E$907,PARÂMETROS!$A$8:$A$907,C828,PARÂMETROS!$G$8:$G$907,J828))</f>
        <v>0.0328233861399593</v>
      </c>
      <c r="E828" s="26" t="n">
        <f aca="false">SUMIFS(SETORES!$D:$D,SETORES!$A:$A,A828,SETORES!$F:$F,J828)</f>
        <v>61122.0895</v>
      </c>
      <c r="F828" s="26" t="n">
        <f aca="false">IFERROR(D828*E828,0)</f>
        <v>2006.23394533965</v>
      </c>
      <c r="G828" s="25" t="n">
        <f aca="false">SUMIFS(PARÂMETROS!$F$8:$F$907,PARÂMETROS!$A$8:$A$907,C828,PARÂMETROS!$G$8:$G$907,J828)</f>
        <v>0</v>
      </c>
      <c r="H828" s="26" t="n">
        <f aca="false">IFERROR(F828*G828,0)</f>
        <v>0</v>
      </c>
      <c r="I828" s="26" t="n">
        <f aca="false">F828+H828</f>
        <v>2006.23394533965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25" t="n">
        <f aca="false">IF(B829="Clientes",SUMIFS(PARÂMETROS!$D$8:$D$907,PARÂMETROS!$A$8:$A$907,C829,PARÂMETROS!$G$8:$G$907,J829),SUMIFS(PARÂMETROS!$E$8:$E$907,PARÂMETROS!$A$8:$A$907,C829,PARÂMETROS!$G$8:$G$907,J829))</f>
        <v>0.0700476148165183</v>
      </c>
      <c r="E829" s="26" t="n">
        <f aca="false">SUMIFS(SETORES!$D:$D,SETORES!$A:$A,A829,SETORES!$F:$F,J829)</f>
        <v>61122.0895</v>
      </c>
      <c r="F829" s="26" t="n">
        <f aca="false">IFERROR(D829*E829,0)</f>
        <v>4281.45658207676</v>
      </c>
      <c r="G829" s="25" t="n">
        <f aca="false">SUMIFS(PARÂMETROS!$F$8:$F$907,PARÂMETROS!$A$8:$A$907,C829,PARÂMETROS!$G$8:$G$907,J829)</f>
        <v>0</v>
      </c>
      <c r="H829" s="26" t="n">
        <f aca="false">IFERROR(F829*G829,0)</f>
        <v>0</v>
      </c>
      <c r="I829" s="26" t="n">
        <f aca="false">F829+H829</f>
        <v>4281.45658207676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25" t="n">
        <f aca="false">IF(B830="Clientes",SUMIFS(PARÂMETROS!$D$8:$D$907,PARÂMETROS!$A$8:$A$907,C830,PARÂMETROS!$G$8:$G$907,J830),SUMIFS(PARÂMETROS!$E$8:$E$907,PARÂMETROS!$A$8:$A$907,C830,PARÂMETROS!$G$8:$G$907,J830))</f>
        <v>0.074903176237541</v>
      </c>
      <c r="E830" s="26" t="n">
        <f aca="false">SUMIFS(SETORES!$D:$D,SETORES!$A:$A,A830,SETORES!$F:$F,J830)</f>
        <v>61122.0895</v>
      </c>
      <c r="F830" s="26" t="n">
        <f aca="false">IFERROR(D830*E830,0)</f>
        <v>4578.23864182525</v>
      </c>
      <c r="G830" s="25" t="n">
        <f aca="false">SUMIFS(PARÂMETROS!$F$8:$F$907,PARÂMETROS!$A$8:$A$907,C830,PARÂMETROS!$G$8:$G$907,J830)</f>
        <v>0</v>
      </c>
      <c r="H830" s="26" t="n">
        <f aca="false">IFERROR(F830*G830,0)</f>
        <v>0</v>
      </c>
      <c r="I830" s="26" t="n">
        <f aca="false">F830+H830</f>
        <v>4578.23864182525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25" t="n">
        <f aca="false">IF(B831="Clientes",SUMIFS(PARÂMETROS!$D$8:$D$907,PARÂMETROS!$A$8:$A$907,C831,PARÂMETROS!$G$8:$G$907,J831),SUMIFS(PARÂMETROS!$E$8:$E$907,PARÂMETROS!$A$8:$A$907,C831,PARÂMETROS!$G$8:$G$907,J831))</f>
        <v>0.0190772865303904</v>
      </c>
      <c r="E831" s="26" t="n">
        <f aca="false">SUMIFS(SETORES!$D:$D,SETORES!$A:$A,A831,SETORES!$F:$F,J831)</f>
        <v>61122.0895</v>
      </c>
      <c r="F831" s="26" t="n">
        <f aca="false">IFERROR(D831*E831,0)</f>
        <v>1166.04361472767</v>
      </c>
      <c r="G831" s="25" t="n">
        <f aca="false">SUMIFS(PARÂMETROS!$F$8:$F$907,PARÂMETROS!$A$8:$A$907,C831,PARÂMETROS!$G$8:$G$907,J831)</f>
        <v>0</v>
      </c>
      <c r="H831" s="26" t="n">
        <f aca="false">IFERROR(F831*G831,0)</f>
        <v>0</v>
      </c>
      <c r="I831" s="26" t="n">
        <f aca="false">F831+H831</f>
        <v>1166.04361472767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25" t="n">
        <f aca="false">IF(B832="Clientes",SUMIFS(PARÂMETROS!$D$8:$D$907,PARÂMETROS!$A$8:$A$907,C832,PARÂMETROS!$G$8:$G$907,J832),SUMIFS(PARÂMETROS!$E$8:$E$907,PARÂMETROS!$A$8:$A$907,C832,PARÂMETROS!$G$8:$G$907,J832))</f>
        <v>0.0334296779858567</v>
      </c>
      <c r="E832" s="26" t="n">
        <f aca="false">SUMIFS(SETORES!$D:$D,SETORES!$A:$A,A832,SETORES!$F:$F,J832)</f>
        <v>61122.0895</v>
      </c>
      <c r="F832" s="26" t="n">
        <f aca="false">IFERROR(D832*E832,0)</f>
        <v>2043.29176980771</v>
      </c>
      <c r="G832" s="25" t="n">
        <f aca="false">SUMIFS(PARÂMETROS!$F$8:$F$907,PARÂMETROS!$A$8:$A$907,C832,PARÂMETROS!$G$8:$G$907,J832)</f>
        <v>0</v>
      </c>
      <c r="H832" s="26" t="n">
        <f aca="false">IFERROR(F832*G832,0)</f>
        <v>0</v>
      </c>
      <c r="I832" s="26" t="n">
        <f aca="false">F832+H832</f>
        <v>2043.29176980771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25" t="n">
        <f aca="false">IF(B833="Clientes",SUMIFS(PARÂMETROS!$D$8:$D$907,PARÂMETROS!$A$8:$A$907,C833,PARÂMETROS!$G$8:$G$907,J833),SUMIFS(PARÂMETROS!$E$8:$E$907,PARÂMETROS!$A$8:$A$907,C833,PARÂMETROS!$G$8:$G$907,J833))</f>
        <v>0.0247220726818484</v>
      </c>
      <c r="E833" s="26" t="n">
        <f aca="false">SUMIFS(SETORES!$D:$D,SETORES!$A:$A,A833,SETORES!$F:$F,J833)</f>
        <v>61122.0895</v>
      </c>
      <c r="F833" s="26" t="n">
        <f aca="false">IFERROR(D833*E833,0)</f>
        <v>1511.06473908544</v>
      </c>
      <c r="G833" s="25" t="n">
        <f aca="false">SUMIFS(PARÂMETROS!$F$8:$F$907,PARÂMETROS!$A$8:$A$907,C833,PARÂMETROS!$G$8:$G$907,J833)</f>
        <v>0</v>
      </c>
      <c r="H833" s="26" t="n">
        <f aca="false">IFERROR(F833*G833,0)</f>
        <v>0</v>
      </c>
      <c r="I833" s="26" t="n">
        <f aca="false">F833+H833</f>
        <v>1511.06473908544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25" t="n">
        <f aca="false">IF(B834="Clientes",SUMIFS(PARÂMETROS!$D$8:$D$907,PARÂMETROS!$A$8:$A$907,C834,PARÂMETROS!$G$8:$G$907,J834),SUMIFS(PARÂMETROS!$E$8:$E$907,PARÂMETROS!$A$8:$A$907,C834,PARÂMETROS!$G$8:$G$907,J834))</f>
        <v>0.0249938586817334</v>
      </c>
      <c r="E834" s="26" t="n">
        <f aca="false">SUMIFS(SETORES!$D:$D,SETORES!$A:$A,A834,SETORES!$F:$F,J834)</f>
        <v>61122.0895</v>
      </c>
      <c r="F834" s="26" t="n">
        <f aca="false">IFERROR(D834*E834,0)</f>
        <v>1527.67686729526</v>
      </c>
      <c r="G834" s="25" t="n">
        <f aca="false">SUMIFS(PARÂMETROS!$F$8:$F$907,PARÂMETROS!$A$8:$A$907,C834,PARÂMETROS!$G$8:$G$907,J834)</f>
        <v>0</v>
      </c>
      <c r="H834" s="26" t="n">
        <f aca="false">IFERROR(F834*G834,0)</f>
        <v>0</v>
      </c>
      <c r="I834" s="26" t="n">
        <f aca="false">F834+H834</f>
        <v>1527.67686729526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25" t="n">
        <f aca="false">IF(B835="Clientes",SUMIFS(PARÂMETROS!$D$8:$D$907,PARÂMETROS!$A$8:$A$907,C835,PARÂMETROS!$G$8:$G$907,J835),SUMIFS(PARÂMETROS!$E$8:$E$907,PARÂMETROS!$A$8:$A$907,C835,PARÂMETROS!$G$8:$G$907,J835))</f>
        <v>0.720002926926153</v>
      </c>
      <c r="E835" s="26" t="n">
        <f aca="false">SUMIFS(SETORES!$D:$D,SETORES!$A:$A,A835,SETORES!$F:$F,J835)</f>
        <v>61122.0895</v>
      </c>
      <c r="F835" s="26" t="n">
        <f aca="false">IFERROR(D835*E835,0)</f>
        <v>44008.0833398423</v>
      </c>
      <c r="G835" s="25" t="n">
        <f aca="false">SUMIFS(PARÂMETROS!$F$8:$F$907,PARÂMETROS!$A$8:$A$907,C835,PARÂMETROS!$G$8:$G$907,J835)</f>
        <v>0</v>
      </c>
      <c r="H835" s="26" t="n">
        <f aca="false">IFERROR(F835*G835,0)</f>
        <v>0</v>
      </c>
      <c r="I835" s="26" t="n">
        <f aca="false">F835+H835</f>
        <v>44008.0833398423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25" t="n">
        <f aca="false">IF(B836="Clientes",SUMIFS(PARÂMETROS!$D$8:$D$907,PARÂMETROS!$A$8:$A$907,C836,PARÂMETROS!$G$8:$G$907,J836),SUMIFS(PARÂMETROS!$E$8:$E$907,PARÂMETROS!$A$8:$A$907,C836,PARÂMETROS!$G$8:$G$907,J836))</f>
        <v>0.0330779140128206</v>
      </c>
      <c r="E836" s="26" t="n">
        <f aca="false">SUMIFS(SETORES!$D:$D,SETORES!$A:$A,A836,SETORES!$F:$F,J836)</f>
        <v>57175.1466</v>
      </c>
      <c r="F836" s="26" t="n">
        <f aca="false">IFERROR(D836*E836,0)</f>
        <v>1891.23458290521</v>
      </c>
      <c r="G836" s="25" t="n">
        <f aca="false">SUMIFS(PARÂMETROS!$F$8:$F$907,PARÂMETROS!$A$8:$A$907,C836,PARÂMETROS!$G$8:$G$907,J836)</f>
        <v>0</v>
      </c>
      <c r="H836" s="26" t="n">
        <f aca="false">IFERROR(F836*G836,0)</f>
        <v>0</v>
      </c>
      <c r="I836" s="26" t="n">
        <f aca="false">F836+H836</f>
        <v>1891.23458290521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25" t="n">
        <f aca="false">IF(B837="Clientes",SUMIFS(PARÂMETROS!$D$8:$D$907,PARÂMETROS!$A$8:$A$907,C837,PARÂMETROS!$G$8:$G$907,J837),SUMIFS(PARÂMETROS!$E$8:$E$907,PARÂMETROS!$A$8:$A$907,C837,PARÂMETROS!$G$8:$G$907,J837))</f>
        <v>0.0688657021294068</v>
      </c>
      <c r="E837" s="26" t="n">
        <f aca="false">SUMIFS(SETORES!$D:$D,SETORES!$A:$A,A837,SETORES!$F:$F,J837)</f>
        <v>57175.1466</v>
      </c>
      <c r="F837" s="26" t="n">
        <f aca="false">IFERROR(D837*E837,0)</f>
        <v>3937.40661496076</v>
      </c>
      <c r="G837" s="25" t="n">
        <f aca="false">SUMIFS(PARÂMETROS!$F$8:$F$907,PARÂMETROS!$A$8:$A$907,C837,PARÂMETROS!$G$8:$G$907,J837)</f>
        <v>0</v>
      </c>
      <c r="H837" s="26" t="n">
        <f aca="false">IFERROR(F837*G837,0)</f>
        <v>0</v>
      </c>
      <c r="I837" s="26" t="n">
        <f aca="false">F837+H837</f>
        <v>3937.40661496076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25" t="n">
        <f aca="false">IF(B838="Clientes",SUMIFS(PARÂMETROS!$D$8:$D$907,PARÂMETROS!$A$8:$A$907,C838,PARÂMETROS!$G$8:$G$907,J838),SUMIFS(PARÂMETROS!$E$8:$E$907,PARÂMETROS!$A$8:$A$907,C838,PARÂMETROS!$G$8:$G$907,J838))</f>
        <v>0.0741160832054526</v>
      </c>
      <c r="E838" s="26" t="n">
        <f aca="false">SUMIFS(SETORES!$D:$D,SETORES!$A:$A,A838,SETORES!$F:$F,J838)</f>
        <v>57175.1466</v>
      </c>
      <c r="F838" s="26" t="n">
        <f aca="false">IFERROR(D838*E838,0)</f>
        <v>4237.59792268955</v>
      </c>
      <c r="G838" s="25" t="n">
        <f aca="false">SUMIFS(PARÂMETROS!$F$8:$F$907,PARÂMETROS!$A$8:$A$907,C838,PARÂMETROS!$G$8:$G$907,J838)</f>
        <v>0</v>
      </c>
      <c r="H838" s="26" t="n">
        <f aca="false">IFERROR(F838*G838,0)</f>
        <v>0</v>
      </c>
      <c r="I838" s="26" t="n">
        <f aca="false">F838+H838</f>
        <v>4237.59792268955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25" t="n">
        <f aca="false">IF(B839="Clientes",SUMIFS(PARÂMETROS!$D$8:$D$907,PARÂMETROS!$A$8:$A$907,C839,PARÂMETROS!$G$8:$G$907,J839),SUMIFS(PARÂMETROS!$E$8:$E$907,PARÂMETROS!$A$8:$A$907,C839,PARÂMETROS!$G$8:$G$907,J839))</f>
        <v>0.0190101774249011</v>
      </c>
      <c r="E839" s="26" t="n">
        <f aca="false">SUMIFS(SETORES!$D:$D,SETORES!$A:$A,A839,SETORES!$F:$F,J839)</f>
        <v>57175.1466</v>
      </c>
      <c r="F839" s="26" t="n">
        <f aca="false">IFERROR(D839*E839,0)</f>
        <v>1086.90968116073</v>
      </c>
      <c r="G839" s="25" t="n">
        <f aca="false">SUMIFS(PARÂMETROS!$F$8:$F$907,PARÂMETROS!$A$8:$A$907,C839,PARÂMETROS!$G$8:$G$907,J839)</f>
        <v>0</v>
      </c>
      <c r="H839" s="26" t="n">
        <f aca="false">IFERROR(F839*G839,0)</f>
        <v>0</v>
      </c>
      <c r="I839" s="26" t="n">
        <f aca="false">F839+H839</f>
        <v>1086.90968116073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25" t="n">
        <f aca="false">IF(B840="Clientes",SUMIFS(PARÂMETROS!$D$8:$D$907,PARÂMETROS!$A$8:$A$907,C840,PARÂMETROS!$G$8:$G$907,J840),SUMIFS(PARÂMETROS!$E$8:$E$907,PARÂMETROS!$A$8:$A$907,C840,PARÂMETROS!$G$8:$G$907,J840))</f>
        <v>0.0330214583023255</v>
      </c>
      <c r="E840" s="26" t="n">
        <f aca="false">SUMIFS(SETORES!$D:$D,SETORES!$A:$A,A840,SETORES!$F:$F,J840)</f>
        <v>57175.1466</v>
      </c>
      <c r="F840" s="26" t="n">
        <f aca="false">IFERROR(D840*E840,0)</f>
        <v>1888.00671938125</v>
      </c>
      <c r="G840" s="25" t="n">
        <f aca="false">SUMIFS(PARÂMETROS!$F$8:$F$907,PARÂMETROS!$A$8:$A$907,C840,PARÂMETROS!$G$8:$G$907,J840)</f>
        <v>0</v>
      </c>
      <c r="H840" s="26" t="n">
        <f aca="false">IFERROR(F840*G840,0)</f>
        <v>0</v>
      </c>
      <c r="I840" s="26" t="n">
        <f aca="false">F840+H840</f>
        <v>1888.00671938125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25" t="n">
        <f aca="false">IF(B841="Clientes",SUMIFS(PARÂMETROS!$D$8:$D$907,PARÂMETROS!$A$8:$A$907,C841,PARÂMETROS!$G$8:$G$907,J841),SUMIFS(PARÂMETROS!$E$8:$E$907,PARÂMETROS!$A$8:$A$907,C841,PARÂMETROS!$G$8:$G$907,J841))</f>
        <v>0.0243734699219372</v>
      </c>
      <c r="E841" s="26" t="n">
        <f aca="false">SUMIFS(SETORES!$D:$D,SETORES!$A:$A,A841,SETORES!$F:$F,J841)</f>
        <v>57175.1466</v>
      </c>
      <c r="F841" s="26" t="n">
        <f aca="false">IFERROR(D841*E841,0)</f>
        <v>1393.55671593745</v>
      </c>
      <c r="G841" s="25" t="n">
        <f aca="false">SUMIFS(PARÂMETROS!$F$8:$F$907,PARÂMETROS!$A$8:$A$907,C841,PARÂMETROS!$G$8:$G$907,J841)</f>
        <v>0</v>
      </c>
      <c r="H841" s="26" t="n">
        <f aca="false">IFERROR(F841*G841,0)</f>
        <v>0</v>
      </c>
      <c r="I841" s="26" t="n">
        <f aca="false">F841+H841</f>
        <v>1393.55671593745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25" t="n">
        <f aca="false">IF(B842="Clientes",SUMIFS(PARÂMETROS!$D$8:$D$907,PARÂMETROS!$A$8:$A$907,C842,PARÂMETROS!$G$8:$G$907,J842),SUMIFS(PARÂMETROS!$E$8:$E$907,PARÂMETROS!$A$8:$A$907,C842,PARÂMETROS!$G$8:$G$907,J842))</f>
        <v>0.0246095574385531</v>
      </c>
      <c r="E842" s="26" t="n">
        <f aca="false">SUMIFS(SETORES!$D:$D,SETORES!$A:$A,A842,SETORES!$F:$F,J842)</f>
        <v>57175.1466</v>
      </c>
      <c r="F842" s="26" t="n">
        <f aca="false">IFERROR(D842*E842,0)</f>
        <v>1407.05505431039</v>
      </c>
      <c r="G842" s="25" t="n">
        <f aca="false">SUMIFS(PARÂMETROS!$F$8:$F$907,PARÂMETROS!$A$8:$A$907,C842,PARÂMETROS!$G$8:$G$907,J842)</f>
        <v>0</v>
      </c>
      <c r="H842" s="26" t="n">
        <f aca="false">IFERROR(F842*G842,0)</f>
        <v>0</v>
      </c>
      <c r="I842" s="26" t="n">
        <f aca="false">F842+H842</f>
        <v>1407.05505431039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25" t="n">
        <f aca="false">IF(B843="Clientes",SUMIFS(PARÂMETROS!$D$8:$D$907,PARÂMETROS!$A$8:$A$907,C843,PARÂMETROS!$G$8:$G$907,J843),SUMIFS(PARÂMETROS!$E$8:$E$907,PARÂMETROS!$A$8:$A$907,C843,PARÂMETROS!$G$8:$G$907,J843))</f>
        <v>0.722925637564603</v>
      </c>
      <c r="E843" s="26" t="n">
        <f aca="false">SUMIFS(SETORES!$D:$D,SETORES!$A:$A,A843,SETORES!$F:$F,J843)</f>
        <v>57175.1466</v>
      </c>
      <c r="F843" s="26" t="n">
        <f aca="false">IFERROR(D843*E843,0)</f>
        <v>41333.3793086547</v>
      </c>
      <c r="G843" s="25" t="n">
        <f aca="false">SUMIFS(PARÂMETROS!$F$8:$F$907,PARÂMETROS!$A$8:$A$907,C843,PARÂMETROS!$G$8:$G$907,J843)</f>
        <v>0</v>
      </c>
      <c r="H843" s="26" t="n">
        <f aca="false">IFERROR(F843*G843,0)</f>
        <v>0</v>
      </c>
      <c r="I843" s="26" t="n">
        <f aca="false">F843+H843</f>
        <v>41333.3793086547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25" t="n">
        <f aca="false">IF(B844="Clientes",SUMIFS(PARÂMETROS!$D$8:$D$907,PARÂMETROS!$A$8:$A$907,C844,PARÂMETROS!$G$8:$G$907,J844),SUMIFS(PARÂMETROS!$E$8:$E$907,PARÂMETROS!$A$8:$A$907,C844,PARÂMETROS!$G$8:$G$907,J844))</f>
        <v>0.0326962494602737</v>
      </c>
      <c r="E844" s="26" t="n">
        <f aca="false">SUMIFS(SETORES!$D:$D,SETORES!$A:$A,A844,SETORES!$F:$F,J844)</f>
        <v>69876.447</v>
      </c>
      <c r="F844" s="26" t="n">
        <f aca="false">IFERROR(D844*E844,0)</f>
        <v>2284.69774250959</v>
      </c>
      <c r="G844" s="25" t="n">
        <f aca="false">SUMIFS(PARÂMETROS!$F$8:$F$907,PARÂMETROS!$A$8:$A$907,C844,PARÂMETROS!$G$8:$G$907,J844)</f>
        <v>0</v>
      </c>
      <c r="H844" s="26" t="n">
        <f aca="false">IFERROR(F844*G844,0)</f>
        <v>0</v>
      </c>
      <c r="I844" s="26" t="n">
        <f aca="false">F844+H844</f>
        <v>2284.69774250959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25" t="n">
        <f aca="false">IF(B845="Clientes",SUMIFS(PARÂMETROS!$D$8:$D$907,PARÂMETROS!$A$8:$A$907,C845,PARÂMETROS!$G$8:$G$907,J845),SUMIFS(PARÂMETROS!$E$8:$E$907,PARÂMETROS!$A$8:$A$907,C845,PARÂMETROS!$G$8:$G$907,J845))</f>
        <v>0.06714940121395</v>
      </c>
      <c r="E845" s="26" t="n">
        <f aca="false">SUMIFS(SETORES!$D:$D,SETORES!$A:$A,A845,SETORES!$F:$F,J845)</f>
        <v>69876.447</v>
      </c>
      <c r="F845" s="26" t="n">
        <f aca="false">IFERROR(D845*E845,0)</f>
        <v>4692.16157500831</v>
      </c>
      <c r="G845" s="25" t="n">
        <f aca="false">SUMIFS(PARÂMETROS!$F$8:$F$907,PARÂMETROS!$A$8:$A$907,C845,PARÂMETROS!$G$8:$G$907,J845)</f>
        <v>0</v>
      </c>
      <c r="H845" s="26" t="n">
        <f aca="false">IFERROR(F845*G845,0)</f>
        <v>0</v>
      </c>
      <c r="I845" s="26" t="n">
        <f aca="false">F845+H845</f>
        <v>4692.16157500831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25" t="n">
        <f aca="false">IF(B846="Clientes",SUMIFS(PARÂMETROS!$D$8:$D$907,PARÂMETROS!$A$8:$A$907,C846,PARÂMETROS!$G$8:$G$907,J846),SUMIFS(PARÂMETROS!$E$8:$E$907,PARÂMETROS!$A$8:$A$907,C846,PARÂMETROS!$G$8:$G$907,J846))</f>
        <v>0.0729015191745537</v>
      </c>
      <c r="E846" s="26" t="n">
        <f aca="false">SUMIFS(SETORES!$D:$D,SETORES!$A:$A,A846,SETORES!$F:$F,J846)</f>
        <v>69876.447</v>
      </c>
      <c r="F846" s="26" t="n">
        <f aca="false">IFERROR(D846*E846,0)</f>
        <v>5094.09914082019</v>
      </c>
      <c r="G846" s="25" t="n">
        <f aca="false">SUMIFS(PARÂMETROS!$F$8:$F$907,PARÂMETROS!$A$8:$A$907,C846,PARÂMETROS!$G$8:$G$907,J846)</f>
        <v>0</v>
      </c>
      <c r="H846" s="26" t="n">
        <f aca="false">IFERROR(F846*G846,0)</f>
        <v>0</v>
      </c>
      <c r="I846" s="26" t="n">
        <f aca="false">F846+H846</f>
        <v>5094.09914082019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25" t="n">
        <f aca="false">IF(B847="Clientes",SUMIFS(PARÂMETROS!$D$8:$D$907,PARÂMETROS!$A$8:$A$907,C847,PARÂMETROS!$G$8:$G$907,J847),SUMIFS(PARÂMETROS!$E$8:$E$907,PARÂMETROS!$A$8:$A$907,C847,PARÂMETROS!$G$8:$G$907,J847))</f>
        <v>0.0186856981205116</v>
      </c>
      <c r="E847" s="26" t="n">
        <f aca="false">SUMIFS(SETORES!$D:$D,SETORES!$A:$A,A847,SETORES!$F:$F,J847)</f>
        <v>69876.447</v>
      </c>
      <c r="F847" s="26" t="n">
        <f aca="false">IFERROR(D847*E847,0)</f>
        <v>1305.69019437593</v>
      </c>
      <c r="G847" s="25" t="n">
        <f aca="false">SUMIFS(PARÂMETROS!$F$8:$F$907,PARÂMETROS!$A$8:$A$907,C847,PARÂMETROS!$G$8:$G$907,J847)</f>
        <v>0</v>
      </c>
      <c r="H847" s="26" t="n">
        <f aca="false">IFERROR(F847*G847,0)</f>
        <v>0</v>
      </c>
      <c r="I847" s="26" t="n">
        <f aca="false">F847+H847</f>
        <v>1305.69019437593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25" t="n">
        <f aca="false">IF(B848="Clientes",SUMIFS(PARÂMETROS!$D$8:$D$907,PARÂMETROS!$A$8:$A$907,C848,PARÂMETROS!$G$8:$G$907,J848),SUMIFS(PARÂMETROS!$E$8:$E$907,PARÂMETROS!$A$8:$A$907,C848,PARÂMETROS!$G$8:$G$907,J848))</f>
        <v>0.0325969894436972</v>
      </c>
      <c r="E848" s="26" t="n">
        <f aca="false">SUMIFS(SETORES!$D:$D,SETORES!$A:$A,A848,SETORES!$F:$F,J848)</f>
        <v>69876.447</v>
      </c>
      <c r="F848" s="26" t="n">
        <f aca="false">IFERROR(D848*E848,0)</f>
        <v>2277.76180522207</v>
      </c>
      <c r="G848" s="25" t="n">
        <f aca="false">SUMIFS(PARÂMETROS!$F$8:$F$907,PARÂMETROS!$A$8:$A$907,C848,PARÂMETROS!$G$8:$G$907,J848)</f>
        <v>0</v>
      </c>
      <c r="H848" s="26" t="n">
        <f aca="false">IFERROR(F848*G848,0)</f>
        <v>0</v>
      </c>
      <c r="I848" s="26" t="n">
        <f aca="false">F848+H848</f>
        <v>2277.76180522207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25" t="n">
        <f aca="false">IF(B849="Clientes",SUMIFS(PARÂMETROS!$D$8:$D$907,PARÂMETROS!$A$8:$A$907,C849,PARÂMETROS!$G$8:$G$907,J849),SUMIFS(PARÂMETROS!$E$8:$E$907,PARÂMETROS!$A$8:$A$907,C849,PARÂMETROS!$G$8:$G$907,J849))</f>
        <v>0.0238472189824856</v>
      </c>
      <c r="E849" s="26" t="n">
        <f aca="false">SUMIFS(SETORES!$D:$D,SETORES!$A:$A,A849,SETORES!$F:$F,J849)</f>
        <v>69876.447</v>
      </c>
      <c r="F849" s="26" t="n">
        <f aca="false">IFERROR(D849*E849,0)</f>
        <v>1666.35893332705</v>
      </c>
      <c r="G849" s="25" t="n">
        <f aca="false">SUMIFS(PARÂMETROS!$F$8:$F$907,PARÂMETROS!$A$8:$A$907,C849,PARÂMETROS!$G$8:$G$907,J849)</f>
        <v>0</v>
      </c>
      <c r="H849" s="26" t="n">
        <f aca="false">IFERROR(F849*G849,0)</f>
        <v>0</v>
      </c>
      <c r="I849" s="26" t="n">
        <f aca="false">F849+H849</f>
        <v>1666.35893332705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25" t="n">
        <f aca="false">IF(B850="Clientes",SUMIFS(PARÂMETROS!$D$8:$D$907,PARÂMETROS!$A$8:$A$907,C850,PARÂMETROS!$G$8:$G$907,J850),SUMIFS(PARÂMETROS!$E$8:$E$907,PARÂMETROS!$A$8:$A$907,C850,PARÂMETROS!$G$8:$G$907,J850))</f>
        <v>0.0238521819833144</v>
      </c>
      <c r="E850" s="26" t="n">
        <f aca="false">SUMIFS(SETORES!$D:$D,SETORES!$A:$A,A850,SETORES!$F:$F,J850)</f>
        <v>69876.447</v>
      </c>
      <c r="F850" s="26" t="n">
        <f aca="false">IFERROR(D850*E850,0)</f>
        <v>1666.70573019142</v>
      </c>
      <c r="G850" s="25" t="n">
        <f aca="false">SUMIFS(PARÂMETROS!$F$8:$F$907,PARÂMETROS!$A$8:$A$907,C850,PARÂMETROS!$G$8:$G$907,J850)</f>
        <v>0</v>
      </c>
      <c r="H850" s="26" t="n">
        <f aca="false">IFERROR(F850*G850,0)</f>
        <v>0</v>
      </c>
      <c r="I850" s="26" t="n">
        <f aca="false">F850+H850</f>
        <v>1666.70573019142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25" t="n">
        <f aca="false">IF(B851="Clientes",SUMIFS(PARÂMETROS!$D$8:$D$907,PARÂMETROS!$A$8:$A$907,C851,PARÂMETROS!$G$8:$G$907,J851),SUMIFS(PARÂMETROS!$E$8:$E$907,PARÂMETROS!$A$8:$A$907,C851,PARÂMETROS!$G$8:$G$907,J851))</f>
        <v>0.728270741621214</v>
      </c>
      <c r="E851" s="26" t="n">
        <f aca="false">SUMIFS(SETORES!$D:$D,SETORES!$A:$A,A851,SETORES!$F:$F,J851)</f>
        <v>69876.447</v>
      </c>
      <c r="F851" s="26" t="n">
        <f aca="false">IFERROR(D851*E851,0)</f>
        <v>50888.9718785454</v>
      </c>
      <c r="G851" s="25" t="n">
        <f aca="false">SUMIFS(PARÂMETROS!$F$8:$F$907,PARÂMETROS!$A$8:$A$907,C851,PARÂMETROS!$G$8:$G$907,J851)</f>
        <v>0</v>
      </c>
      <c r="H851" s="26" t="n">
        <f aca="false">IFERROR(F851*G851,0)</f>
        <v>0</v>
      </c>
      <c r="I851" s="26" t="n">
        <f aca="false">F851+H851</f>
        <v>50888.9718785454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25" t="n">
        <f aca="false">IF(B852="Clientes",SUMIFS(PARÂMETROS!$D$8:$D$907,PARÂMETROS!$A$8:$A$907,C852,PARÂMETROS!$G$8:$G$907,J852),SUMIFS(PARÂMETROS!$E$8:$E$907,PARÂMETROS!$A$8:$A$907,C852,PARÂMETROS!$G$8:$G$907,J852))</f>
        <v>0.0328233861399593</v>
      </c>
      <c r="E852" s="26" t="n">
        <f aca="false">SUMIFS(SETORES!$D:$D,SETORES!$A:$A,A852,SETORES!$F:$F,J852)</f>
        <v>25901.077777</v>
      </c>
      <c r="F852" s="26" t="n">
        <f aca="false">IFERROR(D852*E852,0)</f>
        <v>850.161077315591</v>
      </c>
      <c r="G852" s="25" t="n">
        <f aca="false">SUMIFS(PARÂMETROS!$F$8:$F$907,PARÂMETROS!$A$8:$A$907,C852,PARÂMETROS!$G$8:$G$907,J852)</f>
        <v>0</v>
      </c>
      <c r="H852" s="26" t="n">
        <f aca="false">IFERROR(F852*G852,0)</f>
        <v>0</v>
      </c>
      <c r="I852" s="26" t="n">
        <f aca="false">F852+H852</f>
        <v>850.161077315591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25" t="n">
        <f aca="false">IF(B853="Clientes",SUMIFS(PARÂMETROS!$D$8:$D$907,PARÂMETROS!$A$8:$A$907,C853,PARÂMETROS!$G$8:$G$907,J853),SUMIFS(PARÂMETROS!$E$8:$E$907,PARÂMETROS!$A$8:$A$907,C853,PARÂMETROS!$G$8:$G$907,J853))</f>
        <v>0.0700476148165183</v>
      </c>
      <c r="E853" s="26" t="n">
        <f aca="false">SUMIFS(SETORES!$D:$D,SETORES!$A:$A,A853,SETORES!$F:$F,J853)</f>
        <v>25901.077777</v>
      </c>
      <c r="F853" s="26" t="n">
        <f aca="false">IFERROR(D853*E853,0)</f>
        <v>1814.30871945598</v>
      </c>
      <c r="G853" s="25" t="n">
        <f aca="false">SUMIFS(PARÂMETROS!$F$8:$F$907,PARÂMETROS!$A$8:$A$907,C853,PARÂMETROS!$G$8:$G$907,J853)</f>
        <v>0</v>
      </c>
      <c r="H853" s="26" t="n">
        <f aca="false">IFERROR(F853*G853,0)</f>
        <v>0</v>
      </c>
      <c r="I853" s="26" t="n">
        <f aca="false">F853+H853</f>
        <v>1814.30871945598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25" t="n">
        <f aca="false">IF(B854="Clientes",SUMIFS(PARÂMETROS!$D$8:$D$907,PARÂMETROS!$A$8:$A$907,C854,PARÂMETROS!$G$8:$G$907,J854),SUMIFS(PARÂMETROS!$E$8:$E$907,PARÂMETROS!$A$8:$A$907,C854,PARÂMETROS!$G$8:$G$907,J854))</f>
        <v>0.074903176237541</v>
      </c>
      <c r="E854" s="26" t="n">
        <f aca="false">SUMIFS(SETORES!$D:$D,SETORES!$A:$A,A854,SETORES!$F:$F,J854)</f>
        <v>25901.077777</v>
      </c>
      <c r="F854" s="26" t="n">
        <f aca="false">IFERROR(D854*E854,0)</f>
        <v>1940.07299347289</v>
      </c>
      <c r="G854" s="25" t="n">
        <f aca="false">SUMIFS(PARÂMETROS!$F$8:$F$907,PARÂMETROS!$A$8:$A$907,C854,PARÂMETROS!$G$8:$G$907,J854)</f>
        <v>0</v>
      </c>
      <c r="H854" s="26" t="n">
        <f aca="false">IFERROR(F854*G854,0)</f>
        <v>0</v>
      </c>
      <c r="I854" s="26" t="n">
        <f aca="false">F854+H854</f>
        <v>1940.07299347289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25" t="n">
        <f aca="false">IF(B855="Clientes",SUMIFS(PARÂMETROS!$D$8:$D$907,PARÂMETROS!$A$8:$A$907,C855,PARÂMETROS!$G$8:$G$907,J855),SUMIFS(PARÂMETROS!$E$8:$E$907,PARÂMETROS!$A$8:$A$907,C855,PARÂMETROS!$G$8:$G$907,J855))</f>
        <v>0.0190772865303904</v>
      </c>
      <c r="E855" s="26" t="n">
        <f aca="false">SUMIFS(SETORES!$D:$D,SETORES!$A:$A,A855,SETORES!$F:$F,J855)</f>
        <v>25901.077777</v>
      </c>
      <c r="F855" s="26" t="n">
        <f aca="false">IFERROR(D855*E855,0)</f>
        <v>494.122282197756</v>
      </c>
      <c r="G855" s="25" t="n">
        <f aca="false">SUMIFS(PARÂMETROS!$F$8:$F$907,PARÂMETROS!$A$8:$A$907,C855,PARÂMETROS!$G$8:$G$907,J855)</f>
        <v>0</v>
      </c>
      <c r="H855" s="26" t="n">
        <f aca="false">IFERROR(F855*G855,0)</f>
        <v>0</v>
      </c>
      <c r="I855" s="26" t="n">
        <f aca="false">F855+H855</f>
        <v>494.122282197756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25" t="n">
        <f aca="false">IF(B856="Clientes",SUMIFS(PARÂMETROS!$D$8:$D$907,PARÂMETROS!$A$8:$A$907,C856,PARÂMETROS!$G$8:$G$907,J856),SUMIFS(PARÂMETROS!$E$8:$E$907,PARÂMETROS!$A$8:$A$907,C856,PARÂMETROS!$G$8:$G$907,J856))</f>
        <v>0.0334296779858567</v>
      </c>
      <c r="E856" s="26" t="n">
        <f aca="false">SUMIFS(SETORES!$D:$D,SETORES!$A:$A,A856,SETORES!$F:$F,J856)</f>
        <v>25901.077777</v>
      </c>
      <c r="F856" s="26" t="n">
        <f aca="false">IFERROR(D856*E856,0)</f>
        <v>865.864689571738</v>
      </c>
      <c r="G856" s="25" t="n">
        <f aca="false">SUMIFS(PARÂMETROS!$F$8:$F$907,PARÂMETROS!$A$8:$A$907,C856,PARÂMETROS!$G$8:$G$907,J856)</f>
        <v>0</v>
      </c>
      <c r="H856" s="26" t="n">
        <f aca="false">IFERROR(F856*G856,0)</f>
        <v>0</v>
      </c>
      <c r="I856" s="26" t="n">
        <f aca="false">F856+H856</f>
        <v>865.864689571738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25" t="n">
        <f aca="false">IF(B857="Clientes",SUMIFS(PARÂMETROS!$D$8:$D$907,PARÂMETROS!$A$8:$A$907,C857,PARÂMETROS!$G$8:$G$907,J857),SUMIFS(PARÂMETROS!$E$8:$E$907,PARÂMETROS!$A$8:$A$907,C857,PARÂMETROS!$G$8:$G$907,J857))</f>
        <v>0.0247220726818484</v>
      </c>
      <c r="E857" s="26" t="n">
        <f aca="false">SUMIFS(SETORES!$D:$D,SETORES!$A:$A,A857,SETORES!$F:$F,J857)</f>
        <v>25901.077777</v>
      </c>
      <c r="F857" s="26" t="n">
        <f aca="false">IFERROR(D857*E857,0)</f>
        <v>640.328327341201</v>
      </c>
      <c r="G857" s="25" t="n">
        <f aca="false">SUMIFS(PARÂMETROS!$F$8:$F$907,PARÂMETROS!$A$8:$A$907,C857,PARÂMETROS!$G$8:$G$907,J857)</f>
        <v>0</v>
      </c>
      <c r="H857" s="26" t="n">
        <f aca="false">IFERROR(F857*G857,0)</f>
        <v>0</v>
      </c>
      <c r="I857" s="26" t="n">
        <f aca="false">F857+H857</f>
        <v>640.328327341201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25" t="n">
        <f aca="false">IF(B858="Clientes",SUMIFS(PARÂMETROS!$D$8:$D$907,PARÂMETROS!$A$8:$A$907,C858,PARÂMETROS!$G$8:$G$907,J858),SUMIFS(PARÂMETROS!$E$8:$E$907,PARÂMETROS!$A$8:$A$907,C858,PARÂMETROS!$G$8:$G$907,J858))</f>
        <v>0.0249938586817334</v>
      </c>
      <c r="E858" s="26" t="n">
        <f aca="false">SUMIFS(SETORES!$D:$D,SETORES!$A:$A,A858,SETORES!$F:$F,J858)</f>
        <v>25901.077777</v>
      </c>
      <c r="F858" s="26" t="n">
        <f aca="false">IFERROR(D858*E858,0)</f>
        <v>647.367877662923</v>
      </c>
      <c r="G858" s="25" t="n">
        <f aca="false">SUMIFS(PARÂMETROS!$F$8:$F$907,PARÂMETROS!$A$8:$A$907,C858,PARÂMETROS!$G$8:$G$907,J858)</f>
        <v>0</v>
      </c>
      <c r="H858" s="26" t="n">
        <f aca="false">IFERROR(F858*G858,0)</f>
        <v>0</v>
      </c>
      <c r="I858" s="26" t="n">
        <f aca="false">F858+H858</f>
        <v>647.367877662923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25" t="n">
        <f aca="false">IF(B859="Clientes",SUMIFS(PARÂMETROS!$D$8:$D$907,PARÂMETROS!$A$8:$A$907,C859,PARÂMETROS!$G$8:$G$907,J859),SUMIFS(PARÂMETROS!$E$8:$E$907,PARÂMETROS!$A$8:$A$907,C859,PARÂMETROS!$G$8:$G$907,J859))</f>
        <v>0.720002926926153</v>
      </c>
      <c r="E859" s="26" t="n">
        <f aca="false">SUMIFS(SETORES!$D:$D,SETORES!$A:$A,A859,SETORES!$F:$F,J859)</f>
        <v>25901.077777</v>
      </c>
      <c r="F859" s="26" t="n">
        <f aca="false">IFERROR(D859*E859,0)</f>
        <v>18648.8518099819</v>
      </c>
      <c r="G859" s="25" t="n">
        <f aca="false">SUMIFS(PARÂMETROS!$F$8:$F$907,PARÂMETROS!$A$8:$A$907,C859,PARÂMETROS!$G$8:$G$907,J859)</f>
        <v>0</v>
      </c>
      <c r="H859" s="26" t="n">
        <f aca="false">IFERROR(F859*G859,0)</f>
        <v>0</v>
      </c>
      <c r="I859" s="26" t="n">
        <f aca="false">F859+H859</f>
        <v>18648.8518099819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25" t="n">
        <f aca="false">IF(B860="Clientes",SUMIFS(PARÂMETROS!$D$8:$D$907,PARÂMETROS!$A$8:$A$907,C860,PARÂMETROS!$G$8:$G$907,J860),SUMIFS(PARÂMETROS!$E$8:$E$907,PARÂMETROS!$A$8:$A$907,C860,PARÂMETROS!$G$8:$G$907,J860))</f>
        <v>0.0330779140128206</v>
      </c>
      <c r="E860" s="26" t="n">
        <f aca="false">SUMIFS(SETORES!$D:$D,SETORES!$A:$A,A860,SETORES!$F:$F,J860)</f>
        <v>35036.850912</v>
      </c>
      <c r="F860" s="26" t="n">
        <f aca="false">IFERROR(D860*E860,0)</f>
        <v>1158.94594174715</v>
      </c>
      <c r="G860" s="25" t="n">
        <f aca="false">SUMIFS(PARÂMETROS!$F$8:$F$907,PARÂMETROS!$A$8:$A$907,C860,PARÂMETROS!$G$8:$G$907,J860)</f>
        <v>0</v>
      </c>
      <c r="H860" s="26" t="n">
        <f aca="false">IFERROR(F860*G860,0)</f>
        <v>0</v>
      </c>
      <c r="I860" s="26" t="n">
        <f aca="false">F860+H860</f>
        <v>1158.94594174715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25" t="n">
        <f aca="false">IF(B861="Clientes",SUMIFS(PARÂMETROS!$D$8:$D$907,PARÂMETROS!$A$8:$A$907,C861,PARÂMETROS!$G$8:$G$907,J861),SUMIFS(PARÂMETROS!$E$8:$E$907,PARÂMETROS!$A$8:$A$907,C861,PARÂMETROS!$G$8:$G$907,J861))</f>
        <v>0.0688657021294068</v>
      </c>
      <c r="E861" s="26" t="n">
        <f aca="false">SUMIFS(SETORES!$D:$D,SETORES!$A:$A,A861,SETORES!$F:$F,J861)</f>
        <v>35036.850912</v>
      </c>
      <c r="F861" s="26" t="n">
        <f aca="false">IFERROR(D861*E861,0)</f>
        <v>2412.83733845823</v>
      </c>
      <c r="G861" s="25" t="n">
        <f aca="false">SUMIFS(PARÂMETROS!$F$8:$F$907,PARÂMETROS!$A$8:$A$907,C861,PARÂMETROS!$G$8:$G$907,J861)</f>
        <v>0</v>
      </c>
      <c r="H861" s="26" t="n">
        <f aca="false">IFERROR(F861*G861,0)</f>
        <v>0</v>
      </c>
      <c r="I861" s="26" t="n">
        <f aca="false">F861+H861</f>
        <v>2412.83733845823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25" t="n">
        <f aca="false">IF(B862="Clientes",SUMIFS(PARÂMETROS!$D$8:$D$907,PARÂMETROS!$A$8:$A$907,C862,PARÂMETROS!$G$8:$G$907,J862),SUMIFS(PARÂMETROS!$E$8:$E$907,PARÂMETROS!$A$8:$A$907,C862,PARÂMETROS!$G$8:$G$907,J862))</f>
        <v>0.0741160832054526</v>
      </c>
      <c r="E862" s="26" t="n">
        <f aca="false">SUMIFS(SETORES!$D:$D,SETORES!$A:$A,A862,SETORES!$F:$F,J862)</f>
        <v>35036.850912</v>
      </c>
      <c r="F862" s="26" t="n">
        <f aca="false">IFERROR(D862*E862,0)</f>
        <v>2596.79415745083</v>
      </c>
      <c r="G862" s="25" t="n">
        <f aca="false">SUMIFS(PARÂMETROS!$F$8:$F$907,PARÂMETROS!$A$8:$A$907,C862,PARÂMETROS!$G$8:$G$907,J862)</f>
        <v>0</v>
      </c>
      <c r="H862" s="26" t="n">
        <f aca="false">IFERROR(F862*G862,0)</f>
        <v>0</v>
      </c>
      <c r="I862" s="26" t="n">
        <f aca="false">F862+H862</f>
        <v>2596.79415745083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25" t="n">
        <f aca="false">IF(B863="Clientes",SUMIFS(PARÂMETROS!$D$8:$D$907,PARÂMETROS!$A$8:$A$907,C863,PARÂMETROS!$G$8:$G$907,J863),SUMIFS(PARÂMETROS!$E$8:$E$907,PARÂMETROS!$A$8:$A$907,C863,PARÂMETROS!$G$8:$G$907,J863))</f>
        <v>0.0190101774249011</v>
      </c>
      <c r="E863" s="26" t="n">
        <f aca="false">SUMIFS(SETORES!$D:$D,SETORES!$A:$A,A863,SETORES!$F:$F,J863)</f>
        <v>35036.850912</v>
      </c>
      <c r="F863" s="26" t="n">
        <f aca="false">IFERROR(D863*E863,0)</f>
        <v>666.056752246927</v>
      </c>
      <c r="G863" s="25" t="n">
        <f aca="false">SUMIFS(PARÂMETROS!$F$8:$F$907,PARÂMETROS!$A$8:$A$907,C863,PARÂMETROS!$G$8:$G$907,J863)</f>
        <v>0</v>
      </c>
      <c r="H863" s="26" t="n">
        <f aca="false">IFERROR(F863*G863,0)</f>
        <v>0</v>
      </c>
      <c r="I863" s="26" t="n">
        <f aca="false">F863+H863</f>
        <v>666.056752246927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25" t="n">
        <f aca="false">IF(B864="Clientes",SUMIFS(PARÂMETROS!$D$8:$D$907,PARÂMETROS!$A$8:$A$907,C864,PARÂMETROS!$G$8:$G$907,J864),SUMIFS(PARÂMETROS!$E$8:$E$907,PARÂMETROS!$A$8:$A$907,C864,PARÂMETROS!$G$8:$G$907,J864))</f>
        <v>0.0330214583023255</v>
      </c>
      <c r="E864" s="26" t="n">
        <f aca="false">SUMIFS(SETORES!$D:$D,SETORES!$A:$A,A864,SETORES!$F:$F,J864)</f>
        <v>35036.850912</v>
      </c>
      <c r="F864" s="26" t="n">
        <f aca="false">IFERROR(D864*E864,0)</f>
        <v>1156.9679114354</v>
      </c>
      <c r="G864" s="25" t="n">
        <f aca="false">SUMIFS(PARÂMETROS!$F$8:$F$907,PARÂMETROS!$A$8:$A$907,C864,PARÂMETROS!$G$8:$G$907,J864)</f>
        <v>0</v>
      </c>
      <c r="H864" s="26" t="n">
        <f aca="false">IFERROR(F864*G864,0)</f>
        <v>0</v>
      </c>
      <c r="I864" s="26" t="n">
        <f aca="false">F864+H864</f>
        <v>1156.9679114354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25" t="n">
        <f aca="false">IF(B865="Clientes",SUMIFS(PARÂMETROS!$D$8:$D$907,PARÂMETROS!$A$8:$A$907,C865,PARÂMETROS!$G$8:$G$907,J865),SUMIFS(PARÂMETROS!$E$8:$E$907,PARÂMETROS!$A$8:$A$907,C865,PARÂMETROS!$G$8:$G$907,J865))</f>
        <v>0.0243734699219372</v>
      </c>
      <c r="E865" s="26" t="n">
        <f aca="false">SUMIFS(SETORES!$D:$D,SETORES!$A:$A,A865,SETORES!$F:$F,J865)</f>
        <v>35036.850912</v>
      </c>
      <c r="F865" s="26" t="n">
        <f aca="false">IFERROR(D865*E865,0)</f>
        <v>853.969631863028</v>
      </c>
      <c r="G865" s="25" t="n">
        <f aca="false">SUMIFS(PARÂMETROS!$F$8:$F$907,PARÂMETROS!$A$8:$A$907,C865,PARÂMETROS!$G$8:$G$907,J865)</f>
        <v>0</v>
      </c>
      <c r="H865" s="26" t="n">
        <f aca="false">IFERROR(F865*G865,0)</f>
        <v>0</v>
      </c>
      <c r="I865" s="26" t="n">
        <f aca="false">F865+H865</f>
        <v>853.969631863028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25" t="n">
        <f aca="false">IF(B866="Clientes",SUMIFS(PARÂMETROS!$D$8:$D$907,PARÂMETROS!$A$8:$A$907,C866,PARÂMETROS!$G$8:$G$907,J866),SUMIFS(PARÂMETROS!$E$8:$E$907,PARÂMETROS!$A$8:$A$907,C866,PARÂMETROS!$G$8:$G$907,J866))</f>
        <v>0.0246095574385531</v>
      </c>
      <c r="E866" s="26" t="n">
        <f aca="false">SUMIFS(SETORES!$D:$D,SETORES!$A:$A,A866,SETORES!$F:$F,J866)</f>
        <v>35036.850912</v>
      </c>
      <c r="F866" s="26" t="n">
        <f aca="false">IFERROR(D866*E866,0)</f>
        <v>862.241394984885</v>
      </c>
      <c r="G866" s="25" t="n">
        <f aca="false">SUMIFS(PARÂMETROS!$F$8:$F$907,PARÂMETROS!$A$8:$A$907,C866,PARÂMETROS!$G$8:$G$907,J866)</f>
        <v>0</v>
      </c>
      <c r="H866" s="26" t="n">
        <f aca="false">IFERROR(F866*G866,0)</f>
        <v>0</v>
      </c>
      <c r="I866" s="26" t="n">
        <f aca="false">F866+H866</f>
        <v>862.241394984885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25" t="n">
        <f aca="false">IF(B867="Clientes",SUMIFS(PARÂMETROS!$D$8:$D$907,PARÂMETROS!$A$8:$A$907,C867,PARÂMETROS!$G$8:$G$907,J867),SUMIFS(PARÂMETROS!$E$8:$E$907,PARÂMETROS!$A$8:$A$907,C867,PARÂMETROS!$G$8:$G$907,J867))</f>
        <v>0.722925637564603</v>
      </c>
      <c r="E867" s="26" t="n">
        <f aca="false">SUMIFS(SETORES!$D:$D,SETORES!$A:$A,A867,SETORES!$F:$F,J867)</f>
        <v>35036.850912</v>
      </c>
      <c r="F867" s="26" t="n">
        <f aca="false">IFERROR(D867*E867,0)</f>
        <v>25329.0377838136</v>
      </c>
      <c r="G867" s="25" t="n">
        <f aca="false">SUMIFS(PARÂMETROS!$F$8:$F$907,PARÂMETROS!$A$8:$A$907,C867,PARÂMETROS!$G$8:$G$907,J867)</f>
        <v>0</v>
      </c>
      <c r="H867" s="26" t="n">
        <f aca="false">IFERROR(F867*G867,0)</f>
        <v>0</v>
      </c>
      <c r="I867" s="26" t="n">
        <f aca="false">F867+H867</f>
        <v>25329.0377838136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25" t="n">
        <f aca="false">IF(B868="Clientes",SUMIFS(PARÂMETROS!$D$8:$D$907,PARÂMETROS!$A$8:$A$907,C868,PARÂMETROS!$G$8:$G$907,J868),SUMIFS(PARÂMETROS!$E$8:$E$907,PARÂMETROS!$A$8:$A$907,C868,PARÂMETROS!$G$8:$G$907,J868))</f>
        <v>0.0326962494602737</v>
      </c>
      <c r="E868" s="26" t="n">
        <f aca="false">SUMIFS(SETORES!$D:$D,SETORES!$A:$A,A868,SETORES!$F:$F,J868)</f>
        <v>29475.712744</v>
      </c>
      <c r="F868" s="26" t="n">
        <f aca="false">IFERROR(D868*E868,0)</f>
        <v>963.745256897192</v>
      </c>
      <c r="G868" s="25" t="n">
        <f aca="false">SUMIFS(PARÂMETROS!$F$8:$F$907,PARÂMETROS!$A$8:$A$907,C868,PARÂMETROS!$G$8:$G$907,J868)</f>
        <v>0</v>
      </c>
      <c r="H868" s="26" t="n">
        <f aca="false">IFERROR(F868*G868,0)</f>
        <v>0</v>
      </c>
      <c r="I868" s="26" t="n">
        <f aca="false">F868+H868</f>
        <v>963.745256897192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25" t="n">
        <f aca="false">IF(B869="Clientes",SUMIFS(PARÂMETROS!$D$8:$D$907,PARÂMETROS!$A$8:$A$907,C869,PARÂMETROS!$G$8:$G$907,J869),SUMIFS(PARÂMETROS!$E$8:$E$907,PARÂMETROS!$A$8:$A$907,C869,PARÂMETROS!$G$8:$G$907,J869))</f>
        <v>0.06714940121395</v>
      </c>
      <c r="E869" s="26" t="n">
        <f aca="false">SUMIFS(SETORES!$D:$D,SETORES!$A:$A,A869,SETORES!$F:$F,J869)</f>
        <v>29475.712744</v>
      </c>
      <c r="F869" s="26" t="n">
        <f aca="false">IFERROR(D869*E869,0)</f>
        <v>1979.276461114</v>
      </c>
      <c r="G869" s="25" t="n">
        <f aca="false">SUMIFS(PARÂMETROS!$F$8:$F$907,PARÂMETROS!$A$8:$A$907,C869,PARÂMETROS!$G$8:$G$907,J869)</f>
        <v>0</v>
      </c>
      <c r="H869" s="26" t="n">
        <f aca="false">IFERROR(F869*G869,0)</f>
        <v>0</v>
      </c>
      <c r="I869" s="26" t="n">
        <f aca="false">F869+H869</f>
        <v>1979.276461114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25" t="n">
        <f aca="false">IF(B870="Clientes",SUMIFS(PARÂMETROS!$D$8:$D$907,PARÂMETROS!$A$8:$A$907,C870,PARÂMETROS!$G$8:$G$907,J870),SUMIFS(PARÂMETROS!$E$8:$E$907,PARÂMETROS!$A$8:$A$907,C870,PARÂMETROS!$G$8:$G$907,J870))</f>
        <v>0.0729015191745537</v>
      </c>
      <c r="E870" s="26" t="n">
        <f aca="false">SUMIFS(SETORES!$D:$D,SETORES!$A:$A,A870,SETORES!$F:$F,J870)</f>
        <v>29475.712744</v>
      </c>
      <c r="F870" s="26" t="n">
        <f aca="false">IFERROR(D870*E870,0)</f>
        <v>2148.82423779035</v>
      </c>
      <c r="G870" s="25" t="n">
        <f aca="false">SUMIFS(PARÂMETROS!$F$8:$F$907,PARÂMETROS!$A$8:$A$907,C870,PARÂMETROS!$G$8:$G$907,J870)</f>
        <v>0</v>
      </c>
      <c r="H870" s="26" t="n">
        <f aca="false">IFERROR(F870*G870,0)</f>
        <v>0</v>
      </c>
      <c r="I870" s="26" t="n">
        <f aca="false">F870+H870</f>
        <v>2148.82423779035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25" t="n">
        <f aca="false">IF(B871="Clientes",SUMIFS(PARÂMETROS!$D$8:$D$907,PARÂMETROS!$A$8:$A$907,C871,PARÂMETROS!$G$8:$G$907,J871),SUMIFS(PARÂMETROS!$E$8:$E$907,PARÂMETROS!$A$8:$A$907,C871,PARÂMETROS!$G$8:$G$907,J871))</f>
        <v>0.0186856981205116</v>
      </c>
      <c r="E871" s="26" t="n">
        <f aca="false">SUMIFS(SETORES!$D:$D,SETORES!$A:$A,A871,SETORES!$F:$F,J871)</f>
        <v>29475.712744</v>
      </c>
      <c r="F871" s="26" t="n">
        <f aca="false">IFERROR(D871*E871,0)</f>
        <v>550.7742702213</v>
      </c>
      <c r="G871" s="25" t="n">
        <f aca="false">SUMIFS(PARÂMETROS!$F$8:$F$907,PARÂMETROS!$A$8:$A$907,C871,PARÂMETROS!$G$8:$G$907,J871)</f>
        <v>0</v>
      </c>
      <c r="H871" s="26" t="n">
        <f aca="false">IFERROR(F871*G871,0)</f>
        <v>0</v>
      </c>
      <c r="I871" s="26" t="n">
        <f aca="false">F871+H871</f>
        <v>550.7742702213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25" t="n">
        <f aca="false">IF(B872="Clientes",SUMIFS(PARÂMETROS!$D$8:$D$907,PARÂMETROS!$A$8:$A$907,C872,PARÂMETROS!$G$8:$G$907,J872),SUMIFS(PARÂMETROS!$E$8:$E$907,PARÂMETROS!$A$8:$A$907,C872,PARÂMETROS!$G$8:$G$907,J872))</f>
        <v>0.0325969894436972</v>
      </c>
      <c r="E872" s="26" t="n">
        <f aca="false">SUMIFS(SETORES!$D:$D,SETORES!$A:$A,A872,SETORES!$F:$F,J872)</f>
        <v>29475.712744</v>
      </c>
      <c r="F872" s="26" t="n">
        <f aca="false">IFERROR(D872*E872,0)</f>
        <v>960.81949716162</v>
      </c>
      <c r="G872" s="25" t="n">
        <f aca="false">SUMIFS(PARÂMETROS!$F$8:$F$907,PARÂMETROS!$A$8:$A$907,C872,PARÂMETROS!$G$8:$G$907,J872)</f>
        <v>0</v>
      </c>
      <c r="H872" s="26" t="n">
        <f aca="false">IFERROR(F872*G872,0)</f>
        <v>0</v>
      </c>
      <c r="I872" s="26" t="n">
        <f aca="false">F872+H872</f>
        <v>960.81949716162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25" t="n">
        <f aca="false">IF(B873="Clientes",SUMIFS(PARÂMETROS!$D$8:$D$907,PARÂMETROS!$A$8:$A$907,C873,PARÂMETROS!$G$8:$G$907,J873),SUMIFS(PARÂMETROS!$E$8:$E$907,PARÂMETROS!$A$8:$A$907,C873,PARÂMETROS!$G$8:$G$907,J873))</f>
        <v>0.0238472189824856</v>
      </c>
      <c r="E873" s="26" t="n">
        <f aca="false">SUMIFS(SETORES!$D:$D,SETORES!$A:$A,A873,SETORES!$F:$F,J873)</f>
        <v>29475.712744</v>
      </c>
      <c r="F873" s="26" t="n">
        <f aca="false">IFERROR(D873*E873,0)</f>
        <v>702.913776471009</v>
      </c>
      <c r="G873" s="25" t="n">
        <f aca="false">SUMIFS(PARÂMETROS!$F$8:$F$907,PARÂMETROS!$A$8:$A$907,C873,PARÂMETROS!$G$8:$G$907,J873)</f>
        <v>0</v>
      </c>
      <c r="H873" s="26" t="n">
        <f aca="false">IFERROR(F873*G873,0)</f>
        <v>0</v>
      </c>
      <c r="I873" s="26" t="n">
        <f aca="false">F873+H873</f>
        <v>702.913776471009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25" t="n">
        <f aca="false">IF(B874="Clientes",SUMIFS(PARÂMETROS!$D$8:$D$907,PARÂMETROS!$A$8:$A$907,C874,PARÂMETROS!$G$8:$G$907,J874),SUMIFS(PARÂMETROS!$E$8:$E$907,PARÂMETROS!$A$8:$A$907,C874,PARÂMETROS!$G$8:$G$907,J874))</f>
        <v>0.0238521819833144</v>
      </c>
      <c r="E874" s="26" t="n">
        <f aca="false">SUMIFS(SETORES!$D:$D,SETORES!$A:$A,A874,SETORES!$F:$F,J874)</f>
        <v>29475.712744</v>
      </c>
      <c r="F874" s="26" t="n">
        <f aca="false">IFERROR(D874*E874,0)</f>
        <v>703.060064457787</v>
      </c>
      <c r="G874" s="25" t="n">
        <f aca="false">SUMIFS(PARÂMETROS!$F$8:$F$907,PARÂMETROS!$A$8:$A$907,C874,PARÂMETROS!$G$8:$G$907,J874)</f>
        <v>0</v>
      </c>
      <c r="H874" s="26" t="n">
        <f aca="false">IFERROR(F874*G874,0)</f>
        <v>0</v>
      </c>
      <c r="I874" s="26" t="n">
        <f aca="false">F874+H874</f>
        <v>703.060064457787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25" t="n">
        <f aca="false">IF(B875="Clientes",SUMIFS(PARÂMETROS!$D$8:$D$907,PARÂMETROS!$A$8:$A$907,C875,PARÂMETROS!$G$8:$G$907,J875),SUMIFS(PARÂMETROS!$E$8:$E$907,PARÂMETROS!$A$8:$A$907,C875,PARÂMETROS!$G$8:$G$907,J875))</f>
        <v>0.728270741621214</v>
      </c>
      <c r="E875" s="26" t="n">
        <f aca="false">SUMIFS(SETORES!$D:$D,SETORES!$A:$A,A875,SETORES!$F:$F,J875)</f>
        <v>29475.712744</v>
      </c>
      <c r="F875" s="26" t="n">
        <f aca="false">IFERROR(D875*E875,0)</f>
        <v>21466.2991798867</v>
      </c>
      <c r="G875" s="25" t="n">
        <f aca="false">SUMIFS(PARÂMETROS!$F$8:$F$907,PARÂMETROS!$A$8:$A$907,C875,PARÂMETROS!$G$8:$G$907,J875)</f>
        <v>0</v>
      </c>
      <c r="H875" s="26" t="n">
        <f aca="false">IFERROR(F875*G875,0)</f>
        <v>0</v>
      </c>
      <c r="I875" s="26" t="n">
        <f aca="false">F875+H875</f>
        <v>21466.2991798867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25" t="n">
        <f aca="false">IF(B876="Clientes",SUMIFS(PARÂMETROS!$D$8:$D$907,PARÂMETROS!$A$8:$A$907,C876,PARÂMETROS!$G$8:$G$907,J876),SUMIFS(PARÂMETROS!$E$8:$E$907,PARÂMETROS!$A$8:$A$907,C876,PARÂMETROS!$G$8:$G$907,J876))</f>
        <v>0.0328233861399593</v>
      </c>
      <c r="E876" s="26" t="n">
        <f aca="false">SUMIFS(SETORES!$D:$D,SETORES!$A:$A,A876,SETORES!$F:$F,J876)</f>
        <v>28475.231466</v>
      </c>
      <c r="F876" s="26" t="n">
        <f aca="false">IFERROR(D876*E876,0)</f>
        <v>934.653517833238</v>
      </c>
      <c r="G876" s="25" t="n">
        <f aca="false">SUMIFS(PARÂMETROS!$F$8:$F$907,PARÂMETROS!$A$8:$A$907,C876,PARÂMETROS!$G$8:$G$907,J876)</f>
        <v>0</v>
      </c>
      <c r="H876" s="26" t="n">
        <f aca="false">IFERROR(F876*G876,0)</f>
        <v>0</v>
      </c>
      <c r="I876" s="26" t="n">
        <f aca="false">F876+H876</f>
        <v>934.653517833238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25" t="n">
        <f aca="false">IF(B877="Clientes",SUMIFS(PARÂMETROS!$D$8:$D$907,PARÂMETROS!$A$8:$A$907,C877,PARÂMETROS!$G$8:$G$907,J877),SUMIFS(PARÂMETROS!$E$8:$E$907,PARÂMETROS!$A$8:$A$907,C877,PARÂMETROS!$G$8:$G$907,J877))</f>
        <v>0.0700476148165183</v>
      </c>
      <c r="E877" s="26" t="n">
        <f aca="false">SUMIFS(SETORES!$D:$D,SETORES!$A:$A,A877,SETORES!$F:$F,J877)</f>
        <v>28475.231466</v>
      </c>
      <c r="F877" s="26" t="n">
        <f aca="false">IFERROR(D877*E877,0)</f>
        <v>1994.62204554157</v>
      </c>
      <c r="G877" s="25" t="n">
        <f aca="false">SUMIFS(PARÂMETROS!$F$8:$F$907,PARÂMETROS!$A$8:$A$907,C877,PARÂMETROS!$G$8:$G$907,J877)</f>
        <v>0</v>
      </c>
      <c r="H877" s="26" t="n">
        <f aca="false">IFERROR(F877*G877,0)</f>
        <v>0</v>
      </c>
      <c r="I877" s="26" t="n">
        <f aca="false">F877+H877</f>
        <v>1994.62204554157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25" t="n">
        <f aca="false">IF(B878="Clientes",SUMIFS(PARÂMETROS!$D$8:$D$907,PARÂMETROS!$A$8:$A$907,C878,PARÂMETROS!$G$8:$G$907,J878),SUMIFS(PARÂMETROS!$E$8:$E$907,PARÂMETROS!$A$8:$A$907,C878,PARÂMETROS!$G$8:$G$907,J878))</f>
        <v>0.074903176237541</v>
      </c>
      <c r="E878" s="26" t="n">
        <f aca="false">SUMIFS(SETORES!$D:$D,SETORES!$A:$A,A878,SETORES!$F:$F,J878)</f>
        <v>28475.231466</v>
      </c>
      <c r="F878" s="26" t="n">
        <f aca="false">IFERROR(D878*E878,0)</f>
        <v>2132.88528090257</v>
      </c>
      <c r="G878" s="25" t="n">
        <f aca="false">SUMIFS(PARÂMETROS!$F$8:$F$907,PARÂMETROS!$A$8:$A$907,C878,PARÂMETROS!$G$8:$G$907,J878)</f>
        <v>0</v>
      </c>
      <c r="H878" s="26" t="n">
        <f aca="false">IFERROR(F878*G878,0)</f>
        <v>0</v>
      </c>
      <c r="I878" s="26" t="n">
        <f aca="false">F878+H878</f>
        <v>2132.88528090257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25" t="n">
        <f aca="false">IF(B879="Clientes",SUMIFS(PARÂMETROS!$D$8:$D$907,PARÂMETROS!$A$8:$A$907,C879,PARÂMETROS!$G$8:$G$907,J879),SUMIFS(PARÂMETROS!$E$8:$E$907,PARÂMETROS!$A$8:$A$907,C879,PARÂMETROS!$G$8:$G$907,J879))</f>
        <v>0.0190772865303904</v>
      </c>
      <c r="E879" s="26" t="n">
        <f aca="false">SUMIFS(SETORES!$D:$D,SETORES!$A:$A,A879,SETORES!$F:$F,J879)</f>
        <v>28475.231466</v>
      </c>
      <c r="F879" s="26" t="n">
        <f aca="false">IFERROR(D879*E879,0)</f>
        <v>543.23014969607</v>
      </c>
      <c r="G879" s="25" t="n">
        <f aca="false">SUMIFS(PARÂMETROS!$F$8:$F$907,PARÂMETROS!$A$8:$A$907,C879,PARÂMETROS!$G$8:$G$907,J879)</f>
        <v>0</v>
      </c>
      <c r="H879" s="26" t="n">
        <f aca="false">IFERROR(F879*G879,0)</f>
        <v>0</v>
      </c>
      <c r="I879" s="26" t="n">
        <f aca="false">F879+H879</f>
        <v>543.23014969607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25" t="n">
        <f aca="false">IF(B880="Clientes",SUMIFS(PARÂMETROS!$D$8:$D$907,PARÂMETROS!$A$8:$A$907,C880,PARÂMETROS!$G$8:$G$907,J880),SUMIFS(PARÂMETROS!$E$8:$E$907,PARÂMETROS!$A$8:$A$907,C880,PARÂMETROS!$G$8:$G$907,J880))</f>
        <v>0.0334296779858567</v>
      </c>
      <c r="E880" s="26" t="n">
        <f aca="false">SUMIFS(SETORES!$D:$D,SETORES!$A:$A,A880,SETORES!$F:$F,J880)</f>
        <v>28475.231466</v>
      </c>
      <c r="F880" s="26" t="n">
        <f aca="false">IFERROR(D880*E880,0)</f>
        <v>951.917818481113</v>
      </c>
      <c r="G880" s="25" t="n">
        <f aca="false">SUMIFS(PARÂMETROS!$F$8:$F$907,PARÂMETROS!$A$8:$A$907,C880,PARÂMETROS!$G$8:$G$907,J880)</f>
        <v>0</v>
      </c>
      <c r="H880" s="26" t="n">
        <f aca="false">IFERROR(F880*G880,0)</f>
        <v>0</v>
      </c>
      <c r="I880" s="26" t="n">
        <f aca="false">F880+H880</f>
        <v>951.917818481113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25" t="n">
        <f aca="false">IF(B881="Clientes",SUMIFS(PARÂMETROS!$D$8:$D$907,PARÂMETROS!$A$8:$A$907,C881,PARÂMETROS!$G$8:$G$907,J881),SUMIFS(PARÂMETROS!$E$8:$E$907,PARÂMETROS!$A$8:$A$907,C881,PARÂMETROS!$G$8:$G$907,J881))</f>
        <v>0.0247220726818484</v>
      </c>
      <c r="E881" s="26" t="n">
        <f aca="false">SUMIFS(SETORES!$D:$D,SETORES!$A:$A,A881,SETORES!$F:$F,J881)</f>
        <v>28475.231466</v>
      </c>
      <c r="F881" s="26" t="n">
        <f aca="false">IFERROR(D881*E881,0)</f>
        <v>703.966741934907</v>
      </c>
      <c r="G881" s="25" t="n">
        <f aca="false">SUMIFS(PARÂMETROS!$F$8:$F$907,PARÂMETROS!$A$8:$A$907,C881,PARÂMETROS!$G$8:$G$907,J881)</f>
        <v>0</v>
      </c>
      <c r="H881" s="26" t="n">
        <f aca="false">IFERROR(F881*G881,0)</f>
        <v>0</v>
      </c>
      <c r="I881" s="26" t="n">
        <f aca="false">F881+H881</f>
        <v>703.966741934907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25" t="n">
        <f aca="false">IF(B882="Clientes",SUMIFS(PARÂMETROS!$D$8:$D$907,PARÂMETROS!$A$8:$A$907,C882,PARÂMETROS!$G$8:$G$907,J882),SUMIFS(PARÂMETROS!$E$8:$E$907,PARÂMETROS!$A$8:$A$907,C882,PARÂMETROS!$G$8:$G$907,J882))</f>
        <v>0.0249938586817334</v>
      </c>
      <c r="E882" s="26" t="n">
        <f aca="false">SUMIFS(SETORES!$D:$D,SETORES!$A:$A,A882,SETORES!$F:$F,J882)</f>
        <v>28475.231466</v>
      </c>
      <c r="F882" s="26" t="n">
        <f aca="false">IFERROR(D882*E882,0)</f>
        <v>711.705911190851</v>
      </c>
      <c r="G882" s="25" t="n">
        <f aca="false">SUMIFS(PARÂMETROS!$F$8:$F$907,PARÂMETROS!$A$8:$A$907,C882,PARÂMETROS!$G$8:$G$907,J882)</f>
        <v>0</v>
      </c>
      <c r="H882" s="26" t="n">
        <f aca="false">IFERROR(F882*G882,0)</f>
        <v>0</v>
      </c>
      <c r="I882" s="26" t="n">
        <f aca="false">F882+H882</f>
        <v>711.705911190851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25" t="n">
        <f aca="false">IF(B883="Clientes",SUMIFS(PARÂMETROS!$D$8:$D$907,PARÂMETROS!$A$8:$A$907,C883,PARÂMETROS!$G$8:$G$907,J883),SUMIFS(PARÂMETROS!$E$8:$E$907,PARÂMETROS!$A$8:$A$907,C883,PARÂMETROS!$G$8:$G$907,J883))</f>
        <v>0.720002926926153</v>
      </c>
      <c r="E883" s="26" t="n">
        <f aca="false">SUMIFS(SETORES!$D:$D,SETORES!$A:$A,A883,SETORES!$F:$F,J883)</f>
        <v>28475.231466</v>
      </c>
      <c r="F883" s="26" t="n">
        <f aca="false">IFERROR(D883*E883,0)</f>
        <v>20502.2500004197</v>
      </c>
      <c r="G883" s="25" t="n">
        <f aca="false">SUMIFS(PARÂMETROS!$F$8:$F$907,PARÂMETROS!$A$8:$A$907,C883,PARÂMETROS!$G$8:$G$907,J883)</f>
        <v>0</v>
      </c>
      <c r="H883" s="26" t="n">
        <f aca="false">IFERROR(F883*G883,0)</f>
        <v>0</v>
      </c>
      <c r="I883" s="26" t="n">
        <f aca="false">F883+H883</f>
        <v>20502.2500004197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25" t="n">
        <f aca="false">IF(B884="Clientes",SUMIFS(PARÂMETROS!$D$8:$D$907,PARÂMETROS!$A$8:$A$907,C884,PARÂMETROS!$G$8:$G$907,J884),SUMIFS(PARÂMETROS!$E$8:$E$907,PARÂMETROS!$A$8:$A$907,C884,PARÂMETROS!$G$8:$G$907,J884))</f>
        <v>0.0330779140128206</v>
      </c>
      <c r="E884" s="26" t="n">
        <f aca="false">SUMIFS(SETORES!$D:$D,SETORES!$A:$A,A884,SETORES!$F:$F,J884)</f>
        <v>32275.312921</v>
      </c>
      <c r="F884" s="26" t="n">
        <f aca="false">IFERROR(D884*E884,0)</f>
        <v>1067.60002553772</v>
      </c>
      <c r="G884" s="25" t="n">
        <f aca="false">SUMIFS(PARÂMETROS!$F$8:$F$907,PARÂMETROS!$A$8:$A$907,C884,PARÂMETROS!$G$8:$G$907,J884)</f>
        <v>0</v>
      </c>
      <c r="H884" s="26" t="n">
        <f aca="false">IFERROR(F884*G884,0)</f>
        <v>0</v>
      </c>
      <c r="I884" s="26" t="n">
        <f aca="false">F884+H884</f>
        <v>1067.60002553772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25" t="n">
        <f aca="false">IF(B885="Clientes",SUMIFS(PARÂMETROS!$D$8:$D$907,PARÂMETROS!$A$8:$A$907,C885,PARÂMETROS!$G$8:$G$907,J885),SUMIFS(PARÂMETROS!$E$8:$E$907,PARÂMETROS!$A$8:$A$907,C885,PARÂMETROS!$G$8:$G$907,J885))</f>
        <v>0.0688657021294068</v>
      </c>
      <c r="E885" s="26" t="n">
        <f aca="false">SUMIFS(SETORES!$D:$D,SETORES!$A:$A,A885,SETORES!$F:$F,J885)</f>
        <v>32275.312921</v>
      </c>
      <c r="F885" s="26" t="n">
        <f aca="false">IFERROR(D885*E885,0)</f>
        <v>2222.66208575098</v>
      </c>
      <c r="G885" s="25" t="n">
        <f aca="false">SUMIFS(PARÂMETROS!$F$8:$F$907,PARÂMETROS!$A$8:$A$907,C885,PARÂMETROS!$G$8:$G$907,J885)</f>
        <v>0</v>
      </c>
      <c r="H885" s="26" t="n">
        <f aca="false">IFERROR(F885*G885,0)</f>
        <v>0</v>
      </c>
      <c r="I885" s="26" t="n">
        <f aca="false">F885+H885</f>
        <v>2222.66208575098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25" t="n">
        <f aca="false">IF(B886="Clientes",SUMIFS(PARÂMETROS!$D$8:$D$907,PARÂMETROS!$A$8:$A$907,C886,PARÂMETROS!$G$8:$G$907,J886),SUMIFS(PARÂMETROS!$E$8:$E$907,PARÂMETROS!$A$8:$A$907,C886,PARÂMETROS!$G$8:$G$907,J886))</f>
        <v>0.0741160832054526</v>
      </c>
      <c r="E886" s="26" t="n">
        <f aca="false">SUMIFS(SETORES!$D:$D,SETORES!$A:$A,A886,SETORES!$F:$F,J886)</f>
        <v>32275.312921</v>
      </c>
      <c r="F886" s="26" t="n">
        <f aca="false">IFERROR(D886*E886,0)</f>
        <v>2392.11977793486</v>
      </c>
      <c r="G886" s="25" t="n">
        <f aca="false">SUMIFS(PARÂMETROS!$F$8:$F$907,PARÂMETROS!$A$8:$A$907,C886,PARÂMETROS!$G$8:$G$907,J886)</f>
        <v>0</v>
      </c>
      <c r="H886" s="26" t="n">
        <f aca="false">IFERROR(F886*G886,0)</f>
        <v>0</v>
      </c>
      <c r="I886" s="26" t="n">
        <f aca="false">F886+H886</f>
        <v>2392.11977793486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25" t="n">
        <f aca="false">IF(B887="Clientes",SUMIFS(PARÂMETROS!$D$8:$D$907,PARÂMETROS!$A$8:$A$907,C887,PARÂMETROS!$G$8:$G$907,J887),SUMIFS(PARÂMETROS!$E$8:$E$907,PARÂMETROS!$A$8:$A$907,C887,PARÂMETROS!$G$8:$G$907,J887))</f>
        <v>0.0190101774249011</v>
      </c>
      <c r="E887" s="26" t="n">
        <f aca="false">SUMIFS(SETORES!$D:$D,SETORES!$A:$A,A887,SETORES!$F:$F,J887)</f>
        <v>32275.312921</v>
      </c>
      <c r="F887" s="26" t="n">
        <f aca="false">IFERROR(D887*E887,0)</f>
        <v>613.559425072412</v>
      </c>
      <c r="G887" s="25" t="n">
        <f aca="false">SUMIFS(PARÂMETROS!$F$8:$F$907,PARÂMETROS!$A$8:$A$907,C887,PARÂMETROS!$G$8:$G$907,J887)</f>
        <v>0</v>
      </c>
      <c r="H887" s="26" t="n">
        <f aca="false">IFERROR(F887*G887,0)</f>
        <v>0</v>
      </c>
      <c r="I887" s="26" t="n">
        <f aca="false">F887+H887</f>
        <v>613.559425072412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25" t="n">
        <f aca="false">IF(B888="Clientes",SUMIFS(PARÂMETROS!$D$8:$D$907,PARÂMETROS!$A$8:$A$907,C888,PARÂMETROS!$G$8:$G$907,J888),SUMIFS(PARÂMETROS!$E$8:$E$907,PARÂMETROS!$A$8:$A$907,C888,PARÂMETROS!$G$8:$G$907,J888))</f>
        <v>0.0330214583023255</v>
      </c>
      <c r="E888" s="26" t="n">
        <f aca="false">SUMIFS(SETORES!$D:$D,SETORES!$A:$A,A888,SETORES!$F:$F,J888)</f>
        <v>32275.312921</v>
      </c>
      <c r="F888" s="26" t="n">
        <f aca="false">IFERROR(D888*E888,0)</f>
        <v>1065.77789981531</v>
      </c>
      <c r="G888" s="25" t="n">
        <f aca="false">SUMIFS(PARÂMETROS!$F$8:$F$907,PARÂMETROS!$A$8:$A$907,C888,PARÂMETROS!$G$8:$G$907,J888)</f>
        <v>0</v>
      </c>
      <c r="H888" s="26" t="n">
        <f aca="false">IFERROR(F888*G888,0)</f>
        <v>0</v>
      </c>
      <c r="I888" s="26" t="n">
        <f aca="false">F888+H888</f>
        <v>1065.77789981531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25" t="n">
        <f aca="false">IF(B889="Clientes",SUMIFS(PARÂMETROS!$D$8:$D$907,PARÂMETROS!$A$8:$A$907,C889,PARÂMETROS!$G$8:$G$907,J889),SUMIFS(PARÂMETROS!$E$8:$E$907,PARÂMETROS!$A$8:$A$907,C889,PARÂMETROS!$G$8:$G$907,J889))</f>
        <v>0.0243734699219372</v>
      </c>
      <c r="E889" s="26" t="n">
        <f aca="false">SUMIFS(SETORES!$D:$D,SETORES!$A:$A,A889,SETORES!$F:$F,J889)</f>
        <v>32275.312921</v>
      </c>
      <c r="F889" s="26" t="n">
        <f aca="false">IFERROR(D889*E889,0)</f>
        <v>786.661368701103</v>
      </c>
      <c r="G889" s="25" t="n">
        <f aca="false">SUMIFS(PARÂMETROS!$F$8:$F$907,PARÂMETROS!$A$8:$A$907,C889,PARÂMETROS!$G$8:$G$907,J889)</f>
        <v>0</v>
      </c>
      <c r="H889" s="26" t="n">
        <f aca="false">IFERROR(F889*G889,0)</f>
        <v>0</v>
      </c>
      <c r="I889" s="26" t="n">
        <f aca="false">F889+H889</f>
        <v>786.661368701103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25" t="n">
        <f aca="false">IF(B890="Clientes",SUMIFS(PARÂMETROS!$D$8:$D$907,PARÂMETROS!$A$8:$A$907,C890,PARÂMETROS!$G$8:$G$907,J890),SUMIFS(PARÂMETROS!$E$8:$E$907,PARÂMETROS!$A$8:$A$907,C890,PARÂMETROS!$G$8:$G$907,J890))</f>
        <v>0.0246095574385531</v>
      </c>
      <c r="E890" s="26" t="n">
        <f aca="false">SUMIFS(SETORES!$D:$D,SETORES!$A:$A,A890,SETORES!$F:$F,J890)</f>
        <v>32275.312921</v>
      </c>
      <c r="F890" s="26" t="n">
        <f aca="false">IFERROR(D890*E890,0)</f>
        <v>794.281167176624</v>
      </c>
      <c r="G890" s="25" t="n">
        <f aca="false">SUMIFS(PARÂMETROS!$F$8:$F$907,PARÂMETROS!$A$8:$A$907,C890,PARÂMETROS!$G$8:$G$907,J890)</f>
        <v>0</v>
      </c>
      <c r="H890" s="26" t="n">
        <f aca="false">IFERROR(F890*G890,0)</f>
        <v>0</v>
      </c>
      <c r="I890" s="26" t="n">
        <f aca="false">F890+H890</f>
        <v>794.281167176624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25" t="n">
        <f aca="false">IF(B891="Clientes",SUMIFS(PARÂMETROS!$D$8:$D$907,PARÂMETROS!$A$8:$A$907,C891,PARÂMETROS!$G$8:$G$907,J891),SUMIFS(PARÂMETROS!$E$8:$E$907,PARÂMETROS!$A$8:$A$907,C891,PARÂMETROS!$G$8:$G$907,J891))</f>
        <v>0.722925637564603</v>
      </c>
      <c r="E891" s="26" t="n">
        <f aca="false">SUMIFS(SETORES!$D:$D,SETORES!$A:$A,A891,SETORES!$F:$F,J891)</f>
        <v>32275.312921</v>
      </c>
      <c r="F891" s="26" t="n">
        <f aca="false">IFERROR(D891*E891,0)</f>
        <v>23332.651171011</v>
      </c>
      <c r="G891" s="25" t="n">
        <f aca="false">SUMIFS(PARÂMETROS!$F$8:$F$907,PARÂMETROS!$A$8:$A$907,C891,PARÂMETROS!$G$8:$G$907,J891)</f>
        <v>0</v>
      </c>
      <c r="H891" s="26" t="n">
        <f aca="false">IFERROR(F891*G891,0)</f>
        <v>0</v>
      </c>
      <c r="I891" s="26" t="n">
        <f aca="false">F891+H891</f>
        <v>23332.651171011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25" t="n">
        <f aca="false">IF(B892="Clientes",SUMIFS(PARÂMETROS!$D$8:$D$907,PARÂMETROS!$A$8:$A$907,C892,PARÂMETROS!$G$8:$G$907,J892),SUMIFS(PARÂMETROS!$E$8:$E$907,PARÂMETROS!$A$8:$A$907,C892,PARÂMETROS!$G$8:$G$907,J892))</f>
        <v>0.0326962494602737</v>
      </c>
      <c r="E892" s="26" t="n">
        <f aca="false">SUMIFS(SETORES!$D:$D,SETORES!$A:$A,A892,SETORES!$F:$F,J892)</f>
        <v>34449.863444</v>
      </c>
      <c r="F892" s="26" t="n">
        <f aca="false">IFERROR(D892*E892,0)</f>
        <v>1126.38132903739</v>
      </c>
      <c r="G892" s="25" t="n">
        <f aca="false">SUMIFS(PARÂMETROS!$F$8:$F$907,PARÂMETROS!$A$8:$A$907,C892,PARÂMETROS!$G$8:$G$907,J892)</f>
        <v>0</v>
      </c>
      <c r="H892" s="26" t="n">
        <f aca="false">IFERROR(F892*G892,0)</f>
        <v>0</v>
      </c>
      <c r="I892" s="26" t="n">
        <f aca="false">F892+H892</f>
        <v>1126.38132903739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25" t="n">
        <f aca="false">IF(B893="Clientes",SUMIFS(PARÂMETROS!$D$8:$D$907,PARÂMETROS!$A$8:$A$907,C893,PARÂMETROS!$G$8:$G$907,J893),SUMIFS(PARÂMETROS!$E$8:$E$907,PARÂMETROS!$A$8:$A$907,C893,PARÂMETROS!$G$8:$G$907,J893))</f>
        <v>0.06714940121395</v>
      </c>
      <c r="E893" s="26" t="n">
        <f aca="false">SUMIFS(SETORES!$D:$D,SETORES!$A:$A,A893,SETORES!$F:$F,J893)</f>
        <v>34449.863444</v>
      </c>
      <c r="F893" s="26" t="n">
        <f aca="false">IFERROR(D893*E893,0)</f>
        <v>2313.28770216695</v>
      </c>
      <c r="G893" s="25" t="n">
        <f aca="false">SUMIFS(PARÂMETROS!$F$8:$F$907,PARÂMETROS!$A$8:$A$907,C893,PARÂMETROS!$G$8:$G$907,J893)</f>
        <v>0</v>
      </c>
      <c r="H893" s="26" t="n">
        <f aca="false">IFERROR(F893*G893,0)</f>
        <v>0</v>
      </c>
      <c r="I893" s="26" t="n">
        <f aca="false">F893+H893</f>
        <v>2313.28770216695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25" t="n">
        <f aca="false">IF(B894="Clientes",SUMIFS(PARÂMETROS!$D$8:$D$907,PARÂMETROS!$A$8:$A$907,C894,PARÂMETROS!$G$8:$G$907,J894),SUMIFS(PARÂMETROS!$E$8:$E$907,PARÂMETROS!$A$8:$A$907,C894,PARÂMETROS!$G$8:$G$907,J894))</f>
        <v>0.0729015191745537</v>
      </c>
      <c r="E894" s="26" t="n">
        <f aca="false">SUMIFS(SETORES!$D:$D,SETORES!$A:$A,A894,SETORES!$F:$F,J894)</f>
        <v>34449.863444</v>
      </c>
      <c r="F894" s="26" t="n">
        <f aca="false">IFERROR(D894*E894,0)</f>
        <v>2511.44738042352</v>
      </c>
      <c r="G894" s="25" t="n">
        <f aca="false">SUMIFS(PARÂMETROS!$F$8:$F$907,PARÂMETROS!$A$8:$A$907,C894,PARÂMETROS!$G$8:$G$907,J894)</f>
        <v>0</v>
      </c>
      <c r="H894" s="26" t="n">
        <f aca="false">IFERROR(F894*G894,0)</f>
        <v>0</v>
      </c>
      <c r="I894" s="26" t="n">
        <f aca="false">F894+H894</f>
        <v>2511.44738042352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25" t="n">
        <f aca="false">IF(B895="Clientes",SUMIFS(PARÂMETROS!$D$8:$D$907,PARÂMETROS!$A$8:$A$907,C895,PARÂMETROS!$G$8:$G$907,J895),SUMIFS(PARÂMETROS!$E$8:$E$907,PARÂMETROS!$A$8:$A$907,C895,PARÂMETROS!$G$8:$G$907,J895))</f>
        <v>0.0186856981205116</v>
      </c>
      <c r="E895" s="26" t="n">
        <f aca="false">SUMIFS(SETORES!$D:$D,SETORES!$A:$A,A895,SETORES!$F:$F,J895)</f>
        <v>34449.863444</v>
      </c>
      <c r="F895" s="26" t="n">
        <f aca="false">IFERROR(D895*E895,0)</f>
        <v>643.719748607432</v>
      </c>
      <c r="G895" s="25" t="n">
        <f aca="false">SUMIFS(PARÂMETROS!$F$8:$F$907,PARÂMETROS!$A$8:$A$907,C895,PARÂMETROS!$G$8:$G$907,J895)</f>
        <v>0</v>
      </c>
      <c r="H895" s="26" t="n">
        <f aca="false">IFERROR(F895*G895,0)</f>
        <v>0</v>
      </c>
      <c r="I895" s="26" t="n">
        <f aca="false">F895+H895</f>
        <v>643.719748607432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25" t="n">
        <f aca="false">IF(B896="Clientes",SUMIFS(PARÂMETROS!$D$8:$D$907,PARÂMETROS!$A$8:$A$907,C896,PARÂMETROS!$G$8:$G$907,J896),SUMIFS(PARÂMETROS!$E$8:$E$907,PARÂMETROS!$A$8:$A$907,C896,PARÂMETROS!$G$8:$G$907,J896))</f>
        <v>0.0325969894436972</v>
      </c>
      <c r="E896" s="26" t="n">
        <f aca="false">SUMIFS(SETORES!$D:$D,SETORES!$A:$A,A896,SETORES!$F:$F,J896)</f>
        <v>34449.863444</v>
      </c>
      <c r="F896" s="26" t="n">
        <f aca="false">IFERROR(D896*E896,0)</f>
        <v>1122.96183502088</v>
      </c>
      <c r="G896" s="25" t="n">
        <f aca="false">SUMIFS(PARÂMETROS!$F$8:$F$907,PARÂMETROS!$A$8:$A$907,C896,PARÂMETROS!$G$8:$G$907,J896)</f>
        <v>0</v>
      </c>
      <c r="H896" s="26" t="n">
        <f aca="false">IFERROR(F896*G896,0)</f>
        <v>0</v>
      </c>
      <c r="I896" s="26" t="n">
        <f aca="false">F896+H896</f>
        <v>1122.96183502088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25" t="n">
        <f aca="false">IF(B897="Clientes",SUMIFS(PARÂMETROS!$D$8:$D$907,PARÂMETROS!$A$8:$A$907,C897,PARÂMETROS!$G$8:$G$907,J897),SUMIFS(PARÂMETROS!$E$8:$E$907,PARÂMETROS!$A$8:$A$907,C897,PARÂMETROS!$G$8:$G$907,J897))</f>
        <v>0.0238472189824856</v>
      </c>
      <c r="E897" s="26" t="n">
        <f aca="false">SUMIFS(SETORES!$D:$D,SETORES!$A:$A,A897,SETORES!$F:$F,J897)</f>
        <v>34449.863444</v>
      </c>
      <c r="F897" s="26" t="n">
        <f aca="false">IFERROR(D897*E897,0)</f>
        <v>821.533437465793</v>
      </c>
      <c r="G897" s="25" t="n">
        <f aca="false">SUMIFS(PARÂMETROS!$F$8:$F$907,PARÂMETROS!$A$8:$A$907,C897,PARÂMETROS!$G$8:$G$907,J897)</f>
        <v>0</v>
      </c>
      <c r="H897" s="26" t="n">
        <f aca="false">IFERROR(F897*G897,0)</f>
        <v>0</v>
      </c>
      <c r="I897" s="26" t="n">
        <f aca="false">F897+H897</f>
        <v>821.533437465793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25" t="n">
        <f aca="false">IF(B898="Clientes",SUMIFS(PARÂMETROS!$D$8:$D$907,PARÂMETROS!$A$8:$A$907,C898,PARÂMETROS!$G$8:$G$907,J898),SUMIFS(PARÂMETROS!$E$8:$E$907,PARÂMETROS!$A$8:$A$907,C898,PARÂMETROS!$G$8:$G$907,J898))</f>
        <v>0.0238521819833144</v>
      </c>
      <c r="E898" s="26" t="n">
        <f aca="false">SUMIFS(SETORES!$D:$D,SETORES!$A:$A,A898,SETORES!$F:$F,J898)</f>
        <v>34449.863444</v>
      </c>
      <c r="F898" s="26" t="n">
        <f aca="false">IFERROR(D898*E898,0)</f>
        <v>821.704412166618</v>
      </c>
      <c r="G898" s="25" t="n">
        <f aca="false">SUMIFS(PARÂMETROS!$F$8:$F$907,PARÂMETROS!$A$8:$A$907,C898,PARÂMETROS!$G$8:$G$907,J898)</f>
        <v>0</v>
      </c>
      <c r="H898" s="26" t="n">
        <f aca="false">IFERROR(F898*G898,0)</f>
        <v>0</v>
      </c>
      <c r="I898" s="26" t="n">
        <f aca="false">F898+H898</f>
        <v>821.704412166618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25" t="n">
        <f aca="false">IF(B899="Clientes",SUMIFS(PARÂMETROS!$D$8:$D$907,PARÂMETROS!$A$8:$A$907,C899,PARÂMETROS!$G$8:$G$907,J899),SUMIFS(PARÂMETROS!$E$8:$E$907,PARÂMETROS!$A$8:$A$907,C899,PARÂMETROS!$G$8:$G$907,J899))</f>
        <v>0.728270741621214</v>
      </c>
      <c r="E899" s="26" t="n">
        <f aca="false">SUMIFS(SETORES!$D:$D,SETORES!$A:$A,A899,SETORES!$F:$F,J899)</f>
        <v>34449.863444</v>
      </c>
      <c r="F899" s="26" t="n">
        <f aca="false">IFERROR(D899*E899,0)</f>
        <v>25088.8275991114</v>
      </c>
      <c r="G899" s="25" t="n">
        <f aca="false">SUMIFS(PARÂMETROS!$F$8:$F$907,PARÂMETROS!$A$8:$A$907,C899,PARÂMETROS!$G$8:$G$907,J899)</f>
        <v>0</v>
      </c>
      <c r="H899" s="26" t="n">
        <f aca="false">IFERROR(F899*G899,0)</f>
        <v>0</v>
      </c>
      <c r="I899" s="26" t="n">
        <f aca="false">F899+H899</f>
        <v>25088.8275991114</v>
      </c>
      <c r="J899" s="1" t="s">
        <v>21</v>
      </c>
    </row>
    <row r="900" customFormat="false" ht="14.25" hidden="false" customHeight="true" outlineLevel="0" collapsed="false">
      <c r="A900" s="7" t="s">
        <v>10</v>
      </c>
      <c r="B900" s="8" t="n">
        <v>6647</v>
      </c>
      <c r="C900" s="8" t="n">
        <v>30</v>
      </c>
      <c r="D900" s="9" t="n">
        <f aca="false">IFERROR(B900/SUMIFS($B$8:$B$907,$G$8:$G$907,G900),0)</f>
        <v>0.0337120251559568</v>
      </c>
      <c r="E900" s="9" t="n">
        <f aca="false">IFERROR(C900/SUMIFS($C$8:$C$907,$G$8:$G$907,G900),0)</f>
        <v>0.0285171102661597</v>
      </c>
      <c r="F900" s="10" t="n">
        <v>0</v>
      </c>
      <c r="G900" s="11" t="s">
        <v>88</v>
      </c>
    </row>
    <row r="901" customFormat="false" ht="14.25" hidden="false" customHeight="true" outlineLevel="0" collapsed="false">
      <c r="A901" s="12" t="s">
        <v>12</v>
      </c>
      <c r="B901" s="13" t="n">
        <v>13510</v>
      </c>
      <c r="C901" s="13" t="n">
        <v>0</v>
      </c>
      <c r="D901" s="14" t="n">
        <f aca="false">IFERROR(B901/SUMIFS($B$8:$B$907,$G$8:$G$907,G901),0)</f>
        <v>0.0685195516559314</v>
      </c>
      <c r="E901" s="14" t="n">
        <f aca="false">IFERROR(C901/SUMIFS($C$8:$C$907,$G$8:$G$907,G901),0)</f>
        <v>0</v>
      </c>
      <c r="F901" s="15" t="n">
        <v>0</v>
      </c>
      <c r="G901" s="16" t="s">
        <v>88</v>
      </c>
    </row>
    <row r="902" customFormat="false" ht="14.25" hidden="false" customHeight="true" outlineLevel="0" collapsed="false">
      <c r="A902" s="7" t="s">
        <v>13</v>
      </c>
      <c r="B902" s="8" t="n">
        <v>14697</v>
      </c>
      <c r="C902" s="8" t="n">
        <v>45</v>
      </c>
      <c r="D902" s="9" t="n">
        <f aca="false">IFERROR(B902/SUMIFS($B$8:$B$907,$G$8:$G$907,G902),0)</f>
        <v>0.0745397372825481</v>
      </c>
      <c r="E902" s="9" t="n">
        <f aca="false">IFERROR(C902/SUMIFS($C$8:$C$907,$G$8:$G$907,G902),0)</f>
        <v>0.0427756653992395</v>
      </c>
      <c r="F902" s="10" t="n">
        <v>0</v>
      </c>
      <c r="G902" s="11" t="s">
        <v>88</v>
      </c>
    </row>
    <row r="903" customFormat="false" ht="14.25" hidden="false" customHeight="true" outlineLevel="0" collapsed="false">
      <c r="A903" s="12" t="s">
        <v>14</v>
      </c>
      <c r="B903" s="13" t="n">
        <v>3735</v>
      </c>
      <c r="C903" s="13" t="n">
        <v>10</v>
      </c>
      <c r="D903" s="14" t="n">
        <f aca="false">IFERROR(B903/SUMIFS($B$8:$B$907,$G$8:$G$907,G903),0)</f>
        <v>0.018943044073642</v>
      </c>
      <c r="E903" s="14" t="n">
        <f aca="false">IFERROR(C903/SUMIFS($C$8:$C$907,$G$8:$G$907,G903),0)</f>
        <v>0.00950570342205323</v>
      </c>
      <c r="F903" s="15" t="n">
        <v>0</v>
      </c>
      <c r="G903" s="16" t="s">
        <v>88</v>
      </c>
    </row>
    <row r="904" customFormat="false" ht="14.25" hidden="false" customHeight="true" outlineLevel="0" collapsed="false">
      <c r="A904" s="7" t="s">
        <v>15</v>
      </c>
      <c r="B904" s="8" t="n">
        <v>6601</v>
      </c>
      <c r="C904" s="8" t="n">
        <v>46</v>
      </c>
      <c r="D904" s="9" t="n">
        <f aca="false">IFERROR(B904/SUMIFS($B$8:$B$907,$G$8:$G$907,G904),0)</f>
        <v>0.0334787239438048</v>
      </c>
      <c r="E904" s="9" t="n">
        <f aca="false">IFERROR(C904/SUMIFS($C$8:$C$907,$G$8:$G$907,G904),0)</f>
        <v>0.0437262357414449</v>
      </c>
      <c r="F904" s="10" t="n">
        <v>0</v>
      </c>
      <c r="G904" s="11" t="s">
        <v>88</v>
      </c>
    </row>
    <row r="905" customFormat="false" ht="14.25" hidden="false" customHeight="true" outlineLevel="0" collapsed="false">
      <c r="A905" s="12" t="s">
        <v>16</v>
      </c>
      <c r="B905" s="13" t="n">
        <v>4789</v>
      </c>
      <c r="C905" s="13" t="n">
        <v>17</v>
      </c>
      <c r="D905" s="14" t="n">
        <f aca="false">IFERROR(B905/SUMIFS($B$8:$B$907,$G$8:$G$907,G905),0)</f>
        <v>0.0242886848912106</v>
      </c>
      <c r="E905" s="14" t="n">
        <f aca="false">IFERROR(C905/SUMIFS($C$8:$C$907,$G$8:$G$907,G905),0)</f>
        <v>0.0161596958174905</v>
      </c>
      <c r="F905" s="15" t="n">
        <v>0</v>
      </c>
      <c r="G905" s="16" t="s">
        <v>88</v>
      </c>
    </row>
    <row r="906" customFormat="false" ht="14.25" hidden="false" customHeight="true" outlineLevel="0" collapsed="false">
      <c r="A906" s="7" t="s">
        <v>17</v>
      </c>
      <c r="B906" s="8" t="n">
        <v>4796</v>
      </c>
      <c r="C906" s="8" t="n">
        <v>23</v>
      </c>
      <c r="D906" s="9" t="n">
        <f aca="false">IFERROR(B906/SUMIFS($B$8:$B$907,$G$8:$G$907,G906),0)</f>
        <v>0.0243241872495816</v>
      </c>
      <c r="E906" s="9" t="n">
        <f aca="false">IFERROR(C906/SUMIFS($C$8:$C$907,$G$8:$G$907,G906),0)</f>
        <v>0.0218631178707224</v>
      </c>
      <c r="F906" s="10" t="n">
        <v>0</v>
      </c>
      <c r="G906" s="11" t="s">
        <v>88</v>
      </c>
    </row>
    <row r="907" customFormat="false" ht="14.25" hidden="false" customHeight="true" outlineLevel="0" collapsed="false">
      <c r="A907" s="12" t="s">
        <v>18</v>
      </c>
      <c r="B907" s="13" t="n">
        <v>142395</v>
      </c>
      <c r="C907" s="13" t="n">
        <v>881</v>
      </c>
      <c r="D907" s="14" t="n">
        <f aca="false">IFERROR(B907/SUMIFS($B$8:$B$907,$G$8:$G$907,G907),0)</f>
        <v>0.722194045747325</v>
      </c>
      <c r="E907" s="14" t="n">
        <f aca="false">IFERROR(C907/SUMIFS($C$8:$C$907,$G$8:$G$907,G907),0)</f>
        <v>0.83745247148289</v>
      </c>
      <c r="F907" s="15" t="n">
        <v>0</v>
      </c>
      <c r="G907" s="16" t="s">
        <v>88</v>
      </c>
    </row>
    <row r="908" customFormat="false" ht="14.25" hidden="false" customHeight="true" outlineLevel="0" collapsed="false">
      <c r="A908" s="17" t="s">
        <v>19</v>
      </c>
      <c r="B908" s="18" t="n">
        <f aca="false">SUM(B900:B907)</f>
        <v>197170</v>
      </c>
      <c r="C908" s="18" t="n">
        <f aca="false">SUM(C900:C907)</f>
        <v>1052</v>
      </c>
      <c r="D908" s="19"/>
      <c r="E908" s="19"/>
      <c r="F908" s="19"/>
      <c r="G908" s="19"/>
    </row>
    <row r="909" customFormat="false" ht="14.25" hidden="false" customHeight="true" outlineLevel="0" collapsed="false">
      <c r="A909" s="11" t="s">
        <v>31</v>
      </c>
      <c r="B909" s="20" t="str">
        <f aca="false">INDEX(SETORES!$B:$B,MATCH(A909,SETORES!$A:$A,0))</f>
        <v>Clientes</v>
      </c>
      <c r="C909" s="11" t="s">
        <v>10</v>
      </c>
      <c r="D909" s="9" t="n">
        <f aca="false">IF(B909="Clientes",SUMIFS(PARÂMETROS!$D$8:$D$907,PARÂMETROS!$A$8:$A$907,C909,PARÂMETROS!$G$8:$G$907,J909),SUMIFS(PARÂMETROS!$E$8:$E$907,PARÂMETROS!$A$8:$A$907,C909,PARÂMETROS!$G$8:$G$907,J909))</f>
        <v>0.0337120251559568</v>
      </c>
      <c r="E909" s="21" t="n">
        <f aca="false">SUMIFS(SETORES!$D:$D,SETORES!$A:$A,A909,SETORES!$F:$F,J909)</f>
        <v>45629.9949830294</v>
      </c>
      <c r="F909" s="21" t="n">
        <f aca="false">IFERROR(D909*E909,0)</f>
        <v>1538.27953873407</v>
      </c>
      <c r="G909" s="9" t="n">
        <f aca="false">SUMIFS(PARÂMETROS!$F$8:$F$907,PARÂMETROS!$A$8:$A$907,C909,PARÂMETROS!$G$8:$G$907,J909)</f>
        <v>0</v>
      </c>
      <c r="H909" s="21" t="n">
        <f aca="false">IFERROR(F909*G909,0)</f>
        <v>0</v>
      </c>
      <c r="I909" s="21" t="n">
        <f aca="false">F909+H909</f>
        <v>1538.27953873407</v>
      </c>
      <c r="J909" s="11" t="s">
        <v>88</v>
      </c>
    </row>
    <row r="910" customFormat="false" ht="14.25" hidden="false" customHeight="true" outlineLevel="0" collapsed="false">
      <c r="A910" s="16" t="s">
        <v>31</v>
      </c>
      <c r="B910" s="16" t="str">
        <f aca="false">INDEX(SETORES!$B:$B,MATCH(A910,SETORES!$A:$A,0))</f>
        <v>Clientes</v>
      </c>
      <c r="C910" s="16" t="s">
        <v>12</v>
      </c>
      <c r="D910" s="14" t="n">
        <f aca="false">IF(B910="Clientes",SUMIFS(PARÂMETROS!$D$8:$D$907,PARÂMETROS!$A$8:$A$907,C910,PARÂMETROS!$G$8:$G$907,J910),SUMIFS(PARÂMETROS!$E$8:$E$907,PARÂMETROS!$A$8:$A$907,C910,PARÂMETROS!$G$8:$G$907,J910))</f>
        <v>0.0685195516559314</v>
      </c>
      <c r="E910" s="22" t="n">
        <f aca="false">SUMIFS(SETORES!$D:$D,SETORES!$A:$A,A910,SETORES!$F:$F,J910)</f>
        <v>45629.9949830294</v>
      </c>
      <c r="F910" s="22" t="n">
        <f aca="false">IFERROR(D910*E910,0)</f>
        <v>3126.54679829957</v>
      </c>
      <c r="G910" s="14" t="n">
        <f aca="false">SUMIFS(PARÂMETROS!$F$8:$F$907,PARÂMETROS!$A$8:$A$907,C910,PARÂMETROS!$G$8:$G$907,J910)</f>
        <v>0</v>
      </c>
      <c r="H910" s="22" t="n">
        <f aca="false">IFERROR(F910*G910,0)</f>
        <v>0</v>
      </c>
      <c r="I910" s="22" t="n">
        <f aca="false">F910+H910</f>
        <v>3126.54679829957</v>
      </c>
      <c r="J910" s="16" t="s">
        <v>88</v>
      </c>
    </row>
    <row r="911" customFormat="false" ht="14.25" hidden="false" customHeight="true" outlineLevel="0" collapsed="false">
      <c r="A911" s="11" t="s">
        <v>31</v>
      </c>
      <c r="B911" s="20" t="str">
        <f aca="false">INDEX(SETORES!$B:$B,MATCH(A911,SETORES!$A:$A,0))</f>
        <v>Clientes</v>
      </c>
      <c r="C911" s="11" t="s">
        <v>13</v>
      </c>
      <c r="D911" s="9" t="n">
        <f aca="false">IF(B911="Clientes",SUMIFS(PARÂMETROS!$D$8:$D$907,PARÂMETROS!$A$8:$A$907,C911,PARÂMETROS!$G$8:$G$907,J911),SUMIFS(PARÂMETROS!$E$8:$E$907,PARÂMETROS!$A$8:$A$907,C911,PARÂMETROS!$G$8:$G$907,J911))</f>
        <v>0.0745397372825481</v>
      </c>
      <c r="E911" s="21" t="n">
        <f aca="false">SUMIFS(SETORES!$D:$D,SETORES!$A:$A,A911,SETORES!$F:$F,J911)</f>
        <v>45629.9949830294</v>
      </c>
      <c r="F911" s="21" t="n">
        <f aca="false">IFERROR(D911*E911,0)</f>
        <v>3401.24783823899</v>
      </c>
      <c r="G911" s="9" t="n">
        <f aca="false">SUMIFS(PARÂMETROS!$F$8:$F$907,PARÂMETROS!$A$8:$A$907,C911,PARÂMETROS!$G$8:$G$907,J911)</f>
        <v>0</v>
      </c>
      <c r="H911" s="21" t="n">
        <f aca="false">IFERROR(F911*G911,0)</f>
        <v>0</v>
      </c>
      <c r="I911" s="21" t="n">
        <f aca="false">F911+H911</f>
        <v>3401.24783823899</v>
      </c>
      <c r="J911" s="11" t="s">
        <v>88</v>
      </c>
    </row>
    <row r="912" customFormat="false" ht="14.25" hidden="false" customHeight="true" outlineLevel="0" collapsed="false">
      <c r="A912" s="16" t="s">
        <v>31</v>
      </c>
      <c r="B912" s="16" t="str">
        <f aca="false">INDEX(SETORES!$B:$B,MATCH(A912,SETORES!$A:$A,0))</f>
        <v>Clientes</v>
      </c>
      <c r="C912" s="16" t="s">
        <v>14</v>
      </c>
      <c r="D912" s="14" t="n">
        <f aca="false">IF(B912="Clientes",SUMIFS(PARÂMETROS!$D$8:$D$907,PARÂMETROS!$A$8:$A$907,C912,PARÂMETROS!$G$8:$G$907,J912),SUMIFS(PARÂMETROS!$E$8:$E$907,PARÂMETROS!$A$8:$A$907,C912,PARÂMETROS!$G$8:$G$907,J912))</f>
        <v>0.018943044073642</v>
      </c>
      <c r="E912" s="22" t="n">
        <f aca="false">SUMIFS(SETORES!$D:$D,SETORES!$A:$A,A912,SETORES!$F:$F,J912)</f>
        <v>45629.9949830294</v>
      </c>
      <c r="F912" s="22" t="n">
        <f aca="false">IFERROR(D912*E912,0)</f>
        <v>864.37100604359</v>
      </c>
      <c r="G912" s="14" t="n">
        <f aca="false">SUMIFS(PARÂMETROS!$F$8:$F$907,PARÂMETROS!$A$8:$A$907,C912,PARÂMETROS!$G$8:$G$907,J912)</f>
        <v>0</v>
      </c>
      <c r="H912" s="22" t="n">
        <f aca="false">IFERROR(F912*G912,0)</f>
        <v>0</v>
      </c>
      <c r="I912" s="22" t="n">
        <f aca="false">F912+H912</f>
        <v>864.37100604359</v>
      </c>
      <c r="J912" s="16" t="s">
        <v>88</v>
      </c>
    </row>
    <row r="913" customFormat="false" ht="14.25" hidden="false" customHeight="true" outlineLevel="0" collapsed="false">
      <c r="A913" s="11" t="s">
        <v>31</v>
      </c>
      <c r="B913" s="20" t="str">
        <f aca="false">INDEX(SETORES!$B:$B,MATCH(A913,SETORES!$A:$A,0))</f>
        <v>Clientes</v>
      </c>
      <c r="C913" s="11" t="s">
        <v>15</v>
      </c>
      <c r="D913" s="9" t="n">
        <f aca="false">IF(B913="Clientes",SUMIFS(PARÂMETROS!$D$8:$D$907,PARÂMETROS!$A$8:$A$907,C913,PARÂMETROS!$G$8:$G$907,J913),SUMIFS(PARÂMETROS!$E$8:$E$907,PARÂMETROS!$A$8:$A$907,C913,PARÂMETROS!$G$8:$G$907,J913))</f>
        <v>0.0334787239438048</v>
      </c>
      <c r="E913" s="21" t="n">
        <f aca="false">SUMIFS(SETORES!$D:$D,SETORES!$A:$A,A913,SETORES!$F:$F,J913)</f>
        <v>45629.9949830294</v>
      </c>
      <c r="F913" s="21" t="n">
        <f aca="false">IFERROR(D913*E913,0)</f>
        <v>1527.63400559404</v>
      </c>
      <c r="G913" s="9" t="n">
        <f aca="false">SUMIFS(PARÂMETROS!$F$8:$F$907,PARÂMETROS!$A$8:$A$907,C913,PARÂMETROS!$G$8:$G$907,J913)</f>
        <v>0</v>
      </c>
      <c r="H913" s="21" t="n">
        <f aca="false">IFERROR(F913*G913,0)</f>
        <v>0</v>
      </c>
      <c r="I913" s="21" t="n">
        <f aca="false">F913+H913</f>
        <v>1527.63400559404</v>
      </c>
      <c r="J913" s="11" t="s">
        <v>88</v>
      </c>
    </row>
    <row r="914" customFormat="false" ht="14.25" hidden="false" customHeight="true" outlineLevel="0" collapsed="false">
      <c r="A914" s="16" t="s">
        <v>31</v>
      </c>
      <c r="B914" s="16" t="str">
        <f aca="false">INDEX(SETORES!$B:$B,MATCH(A914,SETORES!$A:$A,0))</f>
        <v>Clientes</v>
      </c>
      <c r="C914" s="16" t="s">
        <v>16</v>
      </c>
      <c r="D914" s="14" t="n">
        <f aca="false">IF(B914="Clientes",SUMIFS(PARÂMETROS!$D$8:$D$907,PARÂMETROS!$A$8:$A$907,C914,PARÂMETROS!$G$8:$G$907,J914),SUMIFS(PARÂMETROS!$E$8:$E$907,PARÂMETROS!$A$8:$A$907,C914,PARÂMETROS!$G$8:$G$907,J914))</f>
        <v>0.0242886848912106</v>
      </c>
      <c r="E914" s="22" t="n">
        <f aca="false">SUMIFS(SETORES!$D:$D,SETORES!$A:$A,A914,SETORES!$F:$F,J914)</f>
        <v>45629.9949830294</v>
      </c>
      <c r="F914" s="22" t="n">
        <f aca="false">IFERROR(D914*E914,0)</f>
        <v>1108.29256973032</v>
      </c>
      <c r="G914" s="14" t="n">
        <f aca="false">SUMIFS(PARÂMETROS!$F$8:$F$907,PARÂMETROS!$A$8:$A$907,C914,PARÂMETROS!$G$8:$G$907,J914)</f>
        <v>0</v>
      </c>
      <c r="H914" s="22" t="n">
        <f aca="false">IFERROR(F914*G914,0)</f>
        <v>0</v>
      </c>
      <c r="I914" s="22" t="n">
        <f aca="false">F914+H914</f>
        <v>1108.29256973032</v>
      </c>
      <c r="J914" s="16" t="s">
        <v>88</v>
      </c>
    </row>
    <row r="915" customFormat="false" ht="14.25" hidden="false" customHeight="true" outlineLevel="0" collapsed="false">
      <c r="A915" s="11" t="s">
        <v>31</v>
      </c>
      <c r="B915" s="20" t="str">
        <f aca="false">INDEX(SETORES!$B:$B,MATCH(A915,SETORES!$A:$A,0))</f>
        <v>Clientes</v>
      </c>
      <c r="C915" s="11" t="s">
        <v>17</v>
      </c>
      <c r="D915" s="9" t="n">
        <f aca="false">IF(B915="Clientes",SUMIFS(PARÂMETROS!$D$8:$D$907,PARÂMETROS!$A$8:$A$907,C915,PARÂMETROS!$G$8:$G$907,J915),SUMIFS(PARÂMETROS!$E$8:$E$907,PARÂMETROS!$A$8:$A$907,C915,PARÂMETROS!$G$8:$G$907,J915))</f>
        <v>0.0243241872495816</v>
      </c>
      <c r="E915" s="21" t="n">
        <f aca="false">SUMIFS(SETORES!$D:$D,SETORES!$A:$A,A915,SETORES!$F:$F,J915)</f>
        <v>45629.9949830294</v>
      </c>
      <c r="F915" s="21" t="n">
        <f aca="false">IFERROR(D915*E915,0)</f>
        <v>1109.91254216467</v>
      </c>
      <c r="G915" s="9" t="n">
        <f aca="false">SUMIFS(PARÂMETROS!$F$8:$F$907,PARÂMETROS!$A$8:$A$907,C915,PARÂMETROS!$G$8:$G$907,J915)</f>
        <v>0</v>
      </c>
      <c r="H915" s="21" t="n">
        <f aca="false">IFERROR(F915*G915,0)</f>
        <v>0</v>
      </c>
      <c r="I915" s="21" t="n">
        <f aca="false">F915+H915</f>
        <v>1109.91254216467</v>
      </c>
      <c r="J915" s="11" t="s">
        <v>88</v>
      </c>
    </row>
    <row r="916" customFormat="false" ht="14.25" hidden="false" customHeight="true" outlineLevel="0" collapsed="false">
      <c r="A916" s="16" t="s">
        <v>31</v>
      </c>
      <c r="B916" s="16" t="str">
        <f aca="false">INDEX(SETORES!$B:$B,MATCH(A916,SETORES!$A:$A,0))</f>
        <v>Clientes</v>
      </c>
      <c r="C916" s="16" t="s">
        <v>18</v>
      </c>
      <c r="D916" s="14" t="n">
        <f aca="false">IF(B916="Clientes",SUMIFS(PARÂMETROS!$D$8:$D$907,PARÂMETROS!$A$8:$A$907,C916,PARÂMETROS!$G$8:$G$907,J916),SUMIFS(PARÂMETROS!$E$8:$E$907,PARÂMETROS!$A$8:$A$907,C916,PARÂMETROS!$G$8:$G$907,J916))</f>
        <v>0.722194045747325</v>
      </c>
      <c r="E916" s="22" t="n">
        <f aca="false">SUMIFS(SETORES!$D:$D,SETORES!$A:$A,A916,SETORES!$F:$F,J916)</f>
        <v>45629.9949830294</v>
      </c>
      <c r="F916" s="22" t="n">
        <f aca="false">IFERROR(D916*E916,0)</f>
        <v>32953.7106842241</v>
      </c>
      <c r="G916" s="14" t="n">
        <f aca="false">SUMIFS(PARÂMETROS!$F$8:$F$907,PARÂMETROS!$A$8:$A$907,C916,PARÂMETROS!$G$8:$G$907,J916)</f>
        <v>0</v>
      </c>
      <c r="H916" s="22" t="n">
        <f aca="false">IFERROR(F916*G916,0)</f>
        <v>0</v>
      </c>
      <c r="I916" s="22" t="n">
        <f aca="false">F916+H916</f>
        <v>32953.7106842241</v>
      </c>
      <c r="J916" s="16" t="s">
        <v>88</v>
      </c>
    </row>
    <row r="917" customFormat="false" ht="14.25" hidden="false" customHeight="true" outlineLevel="0" collapsed="false">
      <c r="A917" s="11" t="s">
        <v>32</v>
      </c>
      <c r="B917" s="20" t="str">
        <f aca="false">INDEX(SETORES!$B:$B,MATCH(A917,SETORES!$A:$A,0))</f>
        <v>Funcionários</v>
      </c>
      <c r="C917" s="11" t="s">
        <v>10</v>
      </c>
      <c r="D917" s="9" t="n">
        <f aca="false">IF(B917="Clientes",SUMIFS(PARÂMETROS!$D$8:$D$907,PARÂMETROS!$A$8:$A$907,C917,PARÂMETROS!$G$8:$G$907,J917),SUMIFS(PARÂMETROS!$E$8:$E$907,PARÂMETROS!$A$8:$A$907,C917,PARÂMETROS!$G$8:$G$907,J917))</f>
        <v>0.0285171102661597</v>
      </c>
      <c r="E917" s="21" t="n">
        <f aca="false">SUMIFS(SETORES!$D:$D,SETORES!$A:$A,A917,SETORES!$F:$F,J917)</f>
        <v>39688.1245115133</v>
      </c>
      <c r="F917" s="21" t="n">
        <f aca="false">IFERROR(D917*E917,0)</f>
        <v>1131.7906229519</v>
      </c>
      <c r="G917" s="9" t="n">
        <f aca="false">SUMIFS(PARÂMETROS!$F$8:$F$907,PARÂMETROS!$A$8:$A$907,C917,PARÂMETROS!$G$8:$G$907,J917)</f>
        <v>0</v>
      </c>
      <c r="H917" s="21" t="n">
        <f aca="false">IFERROR(F917*G917,0)</f>
        <v>0</v>
      </c>
      <c r="I917" s="21" t="n">
        <f aca="false">F917+H917</f>
        <v>1131.7906229519</v>
      </c>
      <c r="J917" s="11" t="s">
        <v>88</v>
      </c>
    </row>
    <row r="918" customFormat="false" ht="14.25" hidden="false" customHeight="true" outlineLevel="0" collapsed="false">
      <c r="A918" s="16" t="s">
        <v>32</v>
      </c>
      <c r="B918" s="16" t="str">
        <f aca="false">INDEX(SETORES!$B:$B,MATCH(A918,SETORES!$A:$A,0))</f>
        <v>Funcionários</v>
      </c>
      <c r="C918" s="16" t="s">
        <v>12</v>
      </c>
      <c r="D918" s="14" t="n">
        <f aca="false">IF(B918="Clientes",SUMIFS(PARÂMETROS!$D$8:$D$907,PARÂMETROS!$A$8:$A$907,C918,PARÂMETROS!$G$8:$G$907,J918),SUMIFS(PARÂMETROS!$E$8:$E$907,PARÂMETROS!$A$8:$A$907,C918,PARÂMETROS!$G$8:$G$907,J918))</f>
        <v>0</v>
      </c>
      <c r="E918" s="22" t="n">
        <f aca="false">SUMIFS(SETORES!$D:$D,SETORES!$A:$A,A918,SETORES!$F:$F,J918)</f>
        <v>39688.1245115133</v>
      </c>
      <c r="F918" s="22" t="n">
        <f aca="false">IFERROR(D918*E918,0)</f>
        <v>0</v>
      </c>
      <c r="G918" s="14" t="n">
        <f aca="false">SUMIFS(PARÂMETROS!$F$8:$F$907,PARÂMETROS!$A$8:$A$907,C918,PARÂMETROS!$G$8:$G$907,J918)</f>
        <v>0</v>
      </c>
      <c r="H918" s="22" t="n">
        <f aca="false">IFERROR(F918*G918,0)</f>
        <v>0</v>
      </c>
      <c r="I918" s="22" t="n">
        <f aca="false">F918+H918</f>
        <v>0</v>
      </c>
      <c r="J918" s="16" t="s">
        <v>88</v>
      </c>
    </row>
    <row r="919" customFormat="false" ht="14.25" hidden="false" customHeight="true" outlineLevel="0" collapsed="false">
      <c r="A919" s="11" t="s">
        <v>32</v>
      </c>
      <c r="B919" s="20" t="str">
        <f aca="false">INDEX(SETORES!$B:$B,MATCH(A919,SETORES!$A:$A,0))</f>
        <v>Funcionários</v>
      </c>
      <c r="C919" s="11" t="s">
        <v>13</v>
      </c>
      <c r="D919" s="9" t="n">
        <f aca="false">IF(B919="Clientes",SUMIFS(PARÂMETROS!$D$8:$D$907,PARÂMETROS!$A$8:$A$907,C919,PARÂMETROS!$G$8:$G$907,J919),SUMIFS(PARÂMETROS!$E$8:$E$907,PARÂMETROS!$A$8:$A$907,C919,PARÂMETROS!$G$8:$G$907,J919))</f>
        <v>0.0427756653992395</v>
      </c>
      <c r="E919" s="21" t="n">
        <f aca="false">SUMIFS(SETORES!$D:$D,SETORES!$A:$A,A919,SETORES!$F:$F,J919)</f>
        <v>39688.1245115133</v>
      </c>
      <c r="F919" s="21" t="n">
        <f aca="false">IFERROR(D919*E919,0)</f>
        <v>1697.68593442785</v>
      </c>
      <c r="G919" s="9" t="n">
        <f aca="false">SUMIFS(PARÂMETROS!$F$8:$F$907,PARÂMETROS!$A$8:$A$907,C919,PARÂMETROS!$G$8:$G$907,J919)</f>
        <v>0</v>
      </c>
      <c r="H919" s="21" t="n">
        <f aca="false">IFERROR(F919*G919,0)</f>
        <v>0</v>
      </c>
      <c r="I919" s="21" t="n">
        <f aca="false">F919+H919</f>
        <v>1697.68593442785</v>
      </c>
      <c r="J919" s="11" t="s">
        <v>88</v>
      </c>
    </row>
    <row r="920" customFormat="false" ht="14.25" hidden="false" customHeight="true" outlineLevel="0" collapsed="false">
      <c r="A920" s="16" t="s">
        <v>32</v>
      </c>
      <c r="B920" s="16" t="str">
        <f aca="false">INDEX(SETORES!$B:$B,MATCH(A920,SETORES!$A:$A,0))</f>
        <v>Funcionários</v>
      </c>
      <c r="C920" s="16" t="s">
        <v>14</v>
      </c>
      <c r="D920" s="14" t="n">
        <f aca="false">IF(B920="Clientes",SUMIFS(PARÂMETROS!$D$8:$D$907,PARÂMETROS!$A$8:$A$907,C920,PARÂMETROS!$G$8:$G$907,J920),SUMIFS(PARÂMETROS!$E$8:$E$907,PARÂMETROS!$A$8:$A$907,C920,PARÂMETROS!$G$8:$G$907,J920))</f>
        <v>0.00950570342205323</v>
      </c>
      <c r="E920" s="22" t="n">
        <f aca="false">SUMIFS(SETORES!$D:$D,SETORES!$A:$A,A920,SETORES!$F:$F,J920)</f>
        <v>39688.1245115133</v>
      </c>
      <c r="F920" s="22" t="n">
        <f aca="false">IFERROR(D920*E920,0)</f>
        <v>377.263540983966</v>
      </c>
      <c r="G920" s="14" t="n">
        <f aca="false">SUMIFS(PARÂMETROS!$F$8:$F$907,PARÂMETROS!$A$8:$A$907,C920,PARÂMETROS!$G$8:$G$907,J920)</f>
        <v>0</v>
      </c>
      <c r="H920" s="22" t="n">
        <f aca="false">IFERROR(F920*G920,0)</f>
        <v>0</v>
      </c>
      <c r="I920" s="22" t="n">
        <f aca="false">F920+H920</f>
        <v>377.263540983966</v>
      </c>
      <c r="J920" s="16" t="s">
        <v>88</v>
      </c>
    </row>
    <row r="921" customFormat="false" ht="14.25" hidden="false" customHeight="true" outlineLevel="0" collapsed="false">
      <c r="A921" s="11" t="s">
        <v>32</v>
      </c>
      <c r="B921" s="20" t="str">
        <f aca="false">INDEX(SETORES!$B:$B,MATCH(A921,SETORES!$A:$A,0))</f>
        <v>Funcionários</v>
      </c>
      <c r="C921" s="11" t="s">
        <v>15</v>
      </c>
      <c r="D921" s="9" t="n">
        <f aca="false">IF(B921="Clientes",SUMIFS(PARÂMETROS!$D$8:$D$907,PARÂMETROS!$A$8:$A$907,C921,PARÂMETROS!$G$8:$G$907,J921),SUMIFS(PARÂMETROS!$E$8:$E$907,PARÂMETROS!$A$8:$A$907,C921,PARÂMETROS!$G$8:$G$907,J921))</f>
        <v>0.0437262357414449</v>
      </c>
      <c r="E921" s="21" t="n">
        <f aca="false">SUMIFS(SETORES!$D:$D,SETORES!$A:$A,A921,SETORES!$F:$F,J921)</f>
        <v>39688.1245115133</v>
      </c>
      <c r="F921" s="21" t="n">
        <f aca="false">IFERROR(D921*E921,0)</f>
        <v>1735.41228852624</v>
      </c>
      <c r="G921" s="9" t="n">
        <f aca="false">SUMIFS(PARÂMETROS!$F$8:$F$907,PARÂMETROS!$A$8:$A$907,C921,PARÂMETROS!$G$8:$G$907,J921)</f>
        <v>0</v>
      </c>
      <c r="H921" s="21" t="n">
        <f aca="false">IFERROR(F921*G921,0)</f>
        <v>0</v>
      </c>
      <c r="I921" s="21" t="n">
        <f aca="false">F921+H921</f>
        <v>1735.41228852624</v>
      </c>
      <c r="J921" s="11" t="s">
        <v>88</v>
      </c>
    </row>
    <row r="922" customFormat="false" ht="14.25" hidden="false" customHeight="true" outlineLevel="0" collapsed="false">
      <c r="A922" s="16" t="s">
        <v>32</v>
      </c>
      <c r="B922" s="16" t="str">
        <f aca="false">INDEX(SETORES!$B:$B,MATCH(A922,SETORES!$A:$A,0))</f>
        <v>Funcionários</v>
      </c>
      <c r="C922" s="16" t="s">
        <v>16</v>
      </c>
      <c r="D922" s="14" t="n">
        <f aca="false">IF(B922="Clientes",SUMIFS(PARÂMETROS!$D$8:$D$907,PARÂMETROS!$A$8:$A$907,C922,PARÂMETROS!$G$8:$G$907,J922),SUMIFS(PARÂMETROS!$E$8:$E$907,PARÂMETROS!$A$8:$A$907,C922,PARÂMETROS!$G$8:$G$907,J922))</f>
        <v>0.0161596958174905</v>
      </c>
      <c r="E922" s="22" t="n">
        <f aca="false">SUMIFS(SETORES!$D:$D,SETORES!$A:$A,A922,SETORES!$F:$F,J922)</f>
        <v>39688.1245115133</v>
      </c>
      <c r="F922" s="22" t="n">
        <f aca="false">IFERROR(D922*E922,0)</f>
        <v>641.348019672743</v>
      </c>
      <c r="G922" s="14" t="n">
        <f aca="false">SUMIFS(PARÂMETROS!$F$8:$F$907,PARÂMETROS!$A$8:$A$907,C922,PARÂMETROS!$G$8:$G$907,J922)</f>
        <v>0</v>
      </c>
      <c r="H922" s="22" t="n">
        <f aca="false">IFERROR(F922*G922,0)</f>
        <v>0</v>
      </c>
      <c r="I922" s="22" t="n">
        <f aca="false">F922+H922</f>
        <v>641.348019672743</v>
      </c>
      <c r="J922" s="16" t="s">
        <v>88</v>
      </c>
    </row>
    <row r="923" customFormat="false" ht="14.25" hidden="false" customHeight="true" outlineLevel="0" collapsed="false">
      <c r="A923" s="11" t="s">
        <v>32</v>
      </c>
      <c r="B923" s="20" t="str">
        <f aca="false">INDEX(SETORES!$B:$B,MATCH(A923,SETORES!$A:$A,0))</f>
        <v>Funcionários</v>
      </c>
      <c r="C923" s="11" t="s">
        <v>17</v>
      </c>
      <c r="D923" s="9" t="n">
        <f aca="false">IF(B923="Clientes",SUMIFS(PARÂMETROS!$D$8:$D$907,PARÂMETROS!$A$8:$A$907,C923,PARÂMETROS!$G$8:$G$907,J923),SUMIFS(PARÂMETROS!$E$8:$E$907,PARÂMETROS!$A$8:$A$907,C923,PARÂMETROS!$G$8:$G$907,J923))</f>
        <v>0.0218631178707224</v>
      </c>
      <c r="E923" s="21" t="n">
        <f aca="false">SUMIFS(SETORES!$D:$D,SETORES!$A:$A,A923,SETORES!$F:$F,J923)</f>
        <v>39688.1245115133</v>
      </c>
      <c r="F923" s="21" t="n">
        <f aca="false">IFERROR(D923*E923,0)</f>
        <v>867.706144263122</v>
      </c>
      <c r="G923" s="9" t="n">
        <f aca="false">SUMIFS(PARÂMETROS!$F$8:$F$907,PARÂMETROS!$A$8:$A$907,C923,PARÂMETROS!$G$8:$G$907,J923)</f>
        <v>0</v>
      </c>
      <c r="H923" s="21" t="n">
        <f aca="false">IFERROR(F923*G923,0)</f>
        <v>0</v>
      </c>
      <c r="I923" s="21" t="n">
        <f aca="false">F923+H923</f>
        <v>867.706144263122</v>
      </c>
      <c r="J923" s="11" t="s">
        <v>88</v>
      </c>
    </row>
    <row r="924" customFormat="false" ht="14.25" hidden="false" customHeight="true" outlineLevel="0" collapsed="false">
      <c r="A924" s="16" t="s">
        <v>32</v>
      </c>
      <c r="B924" s="16" t="str">
        <f aca="false">INDEX(SETORES!$B:$B,MATCH(A924,SETORES!$A:$A,0))</f>
        <v>Funcionários</v>
      </c>
      <c r="C924" s="16" t="s">
        <v>18</v>
      </c>
      <c r="D924" s="14" t="n">
        <f aca="false">IF(B924="Clientes",SUMIFS(PARÂMETROS!$D$8:$D$907,PARÂMETROS!$A$8:$A$907,C924,PARÂMETROS!$G$8:$G$907,J924),SUMIFS(PARÂMETROS!$E$8:$E$907,PARÂMETROS!$A$8:$A$907,C924,PARÂMETROS!$G$8:$G$907,J924))</f>
        <v>0.83745247148289</v>
      </c>
      <c r="E924" s="22" t="n">
        <f aca="false">SUMIFS(SETORES!$D:$D,SETORES!$A:$A,A924,SETORES!$F:$F,J924)</f>
        <v>39688.1245115133</v>
      </c>
      <c r="F924" s="22" t="n">
        <f aca="false">IFERROR(D924*E924,0)</f>
        <v>33236.9179606874</v>
      </c>
      <c r="G924" s="14" t="n">
        <f aca="false">SUMIFS(PARÂMETROS!$F$8:$F$907,PARÂMETROS!$A$8:$A$907,C924,PARÂMETROS!$G$8:$G$907,J924)</f>
        <v>0</v>
      </c>
      <c r="H924" s="22" t="n">
        <f aca="false">IFERROR(F924*G924,0)</f>
        <v>0</v>
      </c>
      <c r="I924" s="22" t="n">
        <f aca="false">F924+H924</f>
        <v>33236.9179606874</v>
      </c>
      <c r="J924" s="16" t="s">
        <v>88</v>
      </c>
    </row>
    <row r="925" customFormat="false" ht="14.25" hidden="false" customHeight="true" outlineLevel="0" collapsed="false">
      <c r="A925" s="11" t="s">
        <v>33</v>
      </c>
      <c r="B925" s="20" t="str">
        <f aca="false">INDEX(SETORES!$B:$B,MATCH(A925,SETORES!$A:$A,0))</f>
        <v>Funcionários</v>
      </c>
      <c r="C925" s="11" t="s">
        <v>10</v>
      </c>
      <c r="D925" s="9" t="n">
        <f aca="false">IF(B925="Clientes",SUMIFS(PARÂMETROS!$D$8:$D$907,PARÂMETROS!$A$8:$A$907,C925,PARÂMETROS!$G$8:$G$907,J925),SUMIFS(PARÂMETROS!$E$8:$E$907,PARÂMETROS!$A$8:$A$907,C925,PARÂMETROS!$G$8:$G$907,J925))</f>
        <v>0.0285171102661597</v>
      </c>
      <c r="E925" s="21" t="n">
        <f aca="false">SUMIFS(SETORES!$D:$D,SETORES!$A:$A,A925,SETORES!$F:$F,J925)</f>
        <v>63473.1849490881</v>
      </c>
      <c r="F925" s="21" t="n">
        <f aca="false">IFERROR(D925*E925,0)</f>
        <v>1810.07181413749</v>
      </c>
      <c r="G925" s="9" t="n">
        <f aca="false">SUMIFS(PARÂMETROS!$F$8:$F$907,PARÂMETROS!$A$8:$A$907,C925,PARÂMETROS!$G$8:$G$907,J925)</f>
        <v>0</v>
      </c>
      <c r="H925" s="21" t="n">
        <f aca="false">IFERROR(F925*G925,0)</f>
        <v>0</v>
      </c>
      <c r="I925" s="21" t="n">
        <f aca="false">F925+H925</f>
        <v>1810.07181413749</v>
      </c>
      <c r="J925" s="11" t="s">
        <v>88</v>
      </c>
    </row>
    <row r="926" customFormat="false" ht="14.25" hidden="false" customHeight="true" outlineLevel="0" collapsed="false">
      <c r="A926" s="16" t="s">
        <v>33</v>
      </c>
      <c r="B926" s="16" t="str">
        <f aca="false">INDEX(SETORES!$B:$B,MATCH(A926,SETORES!$A:$A,0))</f>
        <v>Funcionários</v>
      </c>
      <c r="C926" s="16" t="s">
        <v>12</v>
      </c>
      <c r="D926" s="14" t="n">
        <f aca="false">IF(B926="Clientes",SUMIFS(PARÂMETROS!$D$8:$D$907,PARÂMETROS!$A$8:$A$907,C926,PARÂMETROS!$G$8:$G$907,J926),SUMIFS(PARÂMETROS!$E$8:$E$907,PARÂMETROS!$A$8:$A$907,C926,PARÂMETROS!$G$8:$G$907,J926))</f>
        <v>0</v>
      </c>
      <c r="E926" s="22" t="n">
        <f aca="false">SUMIFS(SETORES!$D:$D,SETORES!$A:$A,A926,SETORES!$F:$F,J926)</f>
        <v>63473.1849490881</v>
      </c>
      <c r="F926" s="22" t="n">
        <f aca="false">IFERROR(D926*E926,0)</f>
        <v>0</v>
      </c>
      <c r="G926" s="14" t="n">
        <f aca="false">SUMIFS(PARÂMETROS!$F$8:$F$907,PARÂMETROS!$A$8:$A$907,C926,PARÂMETROS!$G$8:$G$907,J926)</f>
        <v>0</v>
      </c>
      <c r="H926" s="22" t="n">
        <f aca="false">IFERROR(F926*G926,0)</f>
        <v>0</v>
      </c>
      <c r="I926" s="22" t="n">
        <f aca="false">F926+H926</f>
        <v>0</v>
      </c>
      <c r="J926" s="16" t="s">
        <v>88</v>
      </c>
    </row>
    <row r="927" customFormat="false" ht="14.25" hidden="false" customHeight="true" outlineLevel="0" collapsed="false">
      <c r="A927" s="11" t="s">
        <v>33</v>
      </c>
      <c r="B927" s="20" t="str">
        <f aca="false">INDEX(SETORES!$B:$B,MATCH(A927,SETORES!$A:$A,0))</f>
        <v>Funcionários</v>
      </c>
      <c r="C927" s="11" t="s">
        <v>13</v>
      </c>
      <c r="D927" s="9" t="n">
        <f aca="false">IF(B927="Clientes",SUMIFS(PARÂMETROS!$D$8:$D$907,PARÂMETROS!$A$8:$A$907,C927,PARÂMETROS!$G$8:$G$907,J927),SUMIFS(PARÂMETROS!$E$8:$E$907,PARÂMETROS!$A$8:$A$907,C927,PARÂMETROS!$G$8:$G$907,J927))</f>
        <v>0.0427756653992395</v>
      </c>
      <c r="E927" s="21" t="n">
        <f aca="false">SUMIFS(SETORES!$D:$D,SETORES!$A:$A,A927,SETORES!$F:$F,J927)</f>
        <v>63473.1849490881</v>
      </c>
      <c r="F927" s="21" t="n">
        <f aca="false">IFERROR(D927*E927,0)</f>
        <v>2715.10772120624</v>
      </c>
      <c r="G927" s="9" t="n">
        <f aca="false">SUMIFS(PARÂMETROS!$F$8:$F$907,PARÂMETROS!$A$8:$A$907,C927,PARÂMETROS!$G$8:$G$907,J927)</f>
        <v>0</v>
      </c>
      <c r="H927" s="21" t="n">
        <f aca="false">IFERROR(F927*G927,0)</f>
        <v>0</v>
      </c>
      <c r="I927" s="21" t="n">
        <f aca="false">F927+H927</f>
        <v>2715.10772120624</v>
      </c>
      <c r="J927" s="11" t="s">
        <v>88</v>
      </c>
    </row>
    <row r="928" customFormat="false" ht="14.25" hidden="false" customHeight="true" outlineLevel="0" collapsed="false">
      <c r="A928" s="16" t="s">
        <v>33</v>
      </c>
      <c r="B928" s="16" t="str">
        <f aca="false">INDEX(SETORES!$B:$B,MATCH(A928,SETORES!$A:$A,0))</f>
        <v>Funcionários</v>
      </c>
      <c r="C928" s="16" t="s">
        <v>14</v>
      </c>
      <c r="D928" s="14" t="n">
        <f aca="false">IF(B928="Clientes",SUMIFS(PARÂMETROS!$D$8:$D$907,PARÂMETROS!$A$8:$A$907,C928,PARÂMETROS!$G$8:$G$907,J928),SUMIFS(PARÂMETROS!$E$8:$E$907,PARÂMETROS!$A$8:$A$907,C928,PARÂMETROS!$G$8:$G$907,J928))</f>
        <v>0.00950570342205323</v>
      </c>
      <c r="E928" s="22" t="n">
        <f aca="false">SUMIFS(SETORES!$D:$D,SETORES!$A:$A,A928,SETORES!$F:$F,J928)</f>
        <v>63473.1849490881</v>
      </c>
      <c r="F928" s="22" t="n">
        <f aca="false">IFERROR(D928*E928,0)</f>
        <v>603.357271379164</v>
      </c>
      <c r="G928" s="14" t="n">
        <f aca="false">SUMIFS(PARÂMETROS!$F$8:$F$907,PARÂMETROS!$A$8:$A$907,C928,PARÂMETROS!$G$8:$G$907,J928)</f>
        <v>0</v>
      </c>
      <c r="H928" s="22" t="n">
        <f aca="false">IFERROR(F928*G928,0)</f>
        <v>0</v>
      </c>
      <c r="I928" s="22" t="n">
        <f aca="false">F928+H928</f>
        <v>603.357271379164</v>
      </c>
      <c r="J928" s="16" t="s">
        <v>88</v>
      </c>
    </row>
    <row r="929" customFormat="false" ht="14.25" hidden="false" customHeight="true" outlineLevel="0" collapsed="false">
      <c r="A929" s="11" t="s">
        <v>33</v>
      </c>
      <c r="B929" s="20" t="str">
        <f aca="false">INDEX(SETORES!$B:$B,MATCH(A929,SETORES!$A:$A,0))</f>
        <v>Funcionários</v>
      </c>
      <c r="C929" s="11" t="s">
        <v>15</v>
      </c>
      <c r="D929" s="9" t="n">
        <f aca="false">IF(B929="Clientes",SUMIFS(PARÂMETROS!$D$8:$D$907,PARÂMETROS!$A$8:$A$907,C929,PARÂMETROS!$G$8:$G$907,J929),SUMIFS(PARÂMETROS!$E$8:$E$907,PARÂMETROS!$A$8:$A$907,C929,PARÂMETROS!$G$8:$G$907,J929))</f>
        <v>0.0437262357414449</v>
      </c>
      <c r="E929" s="21" t="n">
        <f aca="false">SUMIFS(SETORES!$D:$D,SETORES!$A:$A,A929,SETORES!$F:$F,J929)</f>
        <v>63473.1849490881</v>
      </c>
      <c r="F929" s="21" t="n">
        <f aca="false">IFERROR(D929*E929,0)</f>
        <v>2775.44344834415</v>
      </c>
      <c r="G929" s="9" t="n">
        <f aca="false">SUMIFS(PARÂMETROS!$F$8:$F$907,PARÂMETROS!$A$8:$A$907,C929,PARÂMETROS!$G$8:$G$907,J929)</f>
        <v>0</v>
      </c>
      <c r="H929" s="21" t="n">
        <f aca="false">IFERROR(F929*G929,0)</f>
        <v>0</v>
      </c>
      <c r="I929" s="21" t="n">
        <f aca="false">F929+H929</f>
        <v>2775.44344834415</v>
      </c>
      <c r="J929" s="11" t="s">
        <v>88</v>
      </c>
    </row>
    <row r="930" customFormat="false" ht="14.25" hidden="false" customHeight="true" outlineLevel="0" collapsed="false">
      <c r="A930" s="16" t="s">
        <v>33</v>
      </c>
      <c r="B930" s="16" t="str">
        <f aca="false">INDEX(SETORES!$B:$B,MATCH(A930,SETORES!$A:$A,0))</f>
        <v>Funcionários</v>
      </c>
      <c r="C930" s="16" t="s">
        <v>16</v>
      </c>
      <c r="D930" s="14" t="n">
        <f aca="false">IF(B930="Clientes",SUMIFS(PARÂMETROS!$D$8:$D$907,PARÂMETROS!$A$8:$A$907,C930,PARÂMETROS!$G$8:$G$907,J930),SUMIFS(PARÂMETROS!$E$8:$E$907,PARÂMETROS!$A$8:$A$907,C930,PARÂMETROS!$G$8:$G$907,J930))</f>
        <v>0.0161596958174905</v>
      </c>
      <c r="E930" s="22" t="n">
        <f aca="false">SUMIFS(SETORES!$D:$D,SETORES!$A:$A,A930,SETORES!$F:$F,J930)</f>
        <v>63473.1849490881</v>
      </c>
      <c r="F930" s="22" t="n">
        <f aca="false">IFERROR(D930*E930,0)</f>
        <v>1025.70736134458</v>
      </c>
      <c r="G930" s="14" t="n">
        <f aca="false">SUMIFS(PARÂMETROS!$F$8:$F$907,PARÂMETROS!$A$8:$A$907,C930,PARÂMETROS!$G$8:$G$907,J930)</f>
        <v>0</v>
      </c>
      <c r="H930" s="22" t="n">
        <f aca="false">IFERROR(F930*G930,0)</f>
        <v>0</v>
      </c>
      <c r="I930" s="22" t="n">
        <f aca="false">F930+H930</f>
        <v>1025.70736134458</v>
      </c>
      <c r="J930" s="16" t="s">
        <v>88</v>
      </c>
    </row>
    <row r="931" customFormat="false" ht="14.25" hidden="false" customHeight="true" outlineLevel="0" collapsed="false">
      <c r="A931" s="11" t="s">
        <v>33</v>
      </c>
      <c r="B931" s="20" t="str">
        <f aca="false">INDEX(SETORES!$B:$B,MATCH(A931,SETORES!$A:$A,0))</f>
        <v>Funcionários</v>
      </c>
      <c r="C931" s="11" t="s">
        <v>17</v>
      </c>
      <c r="D931" s="9" t="n">
        <f aca="false">IF(B931="Clientes",SUMIFS(PARÂMETROS!$D$8:$D$907,PARÂMETROS!$A$8:$A$907,C931,PARÂMETROS!$G$8:$G$907,J931),SUMIFS(PARÂMETROS!$E$8:$E$907,PARÂMETROS!$A$8:$A$907,C931,PARÂMETROS!$G$8:$G$907,J931))</f>
        <v>0.0218631178707224</v>
      </c>
      <c r="E931" s="21" t="n">
        <f aca="false">SUMIFS(SETORES!$D:$D,SETORES!$A:$A,A931,SETORES!$F:$F,J931)</f>
        <v>63473.1849490881</v>
      </c>
      <c r="F931" s="21" t="n">
        <f aca="false">IFERROR(D931*E931,0)</f>
        <v>1387.72172417208</v>
      </c>
      <c r="G931" s="9" t="n">
        <f aca="false">SUMIFS(PARÂMETROS!$F$8:$F$907,PARÂMETROS!$A$8:$A$907,C931,PARÂMETROS!$G$8:$G$907,J931)</f>
        <v>0</v>
      </c>
      <c r="H931" s="21" t="n">
        <f aca="false">IFERROR(F931*G931,0)</f>
        <v>0</v>
      </c>
      <c r="I931" s="21" t="n">
        <f aca="false">F931+H931</f>
        <v>1387.72172417208</v>
      </c>
      <c r="J931" s="11" t="s">
        <v>88</v>
      </c>
    </row>
    <row r="932" customFormat="false" ht="14.25" hidden="false" customHeight="true" outlineLevel="0" collapsed="false">
      <c r="A932" s="16" t="s">
        <v>33</v>
      </c>
      <c r="B932" s="16" t="str">
        <f aca="false">INDEX(SETORES!$B:$B,MATCH(A932,SETORES!$A:$A,0))</f>
        <v>Funcionários</v>
      </c>
      <c r="C932" s="16" t="s">
        <v>18</v>
      </c>
      <c r="D932" s="14" t="n">
        <f aca="false">IF(B932="Clientes",SUMIFS(PARÂMETROS!$D$8:$D$907,PARÂMETROS!$A$8:$A$907,C932,PARÂMETROS!$G$8:$G$907,J932),SUMIFS(PARÂMETROS!$E$8:$E$907,PARÂMETROS!$A$8:$A$907,C932,PARÂMETROS!$G$8:$G$907,J932))</f>
        <v>0.83745247148289</v>
      </c>
      <c r="E932" s="22" t="n">
        <f aca="false">SUMIFS(SETORES!$D:$D,SETORES!$A:$A,A932,SETORES!$F:$F,J932)</f>
        <v>63473.1849490881</v>
      </c>
      <c r="F932" s="22" t="n">
        <f aca="false">IFERROR(D932*E932,0)</f>
        <v>53155.7756085044</v>
      </c>
      <c r="G932" s="14" t="n">
        <f aca="false">SUMIFS(PARÂMETROS!$F$8:$F$907,PARÂMETROS!$A$8:$A$907,C932,PARÂMETROS!$G$8:$G$907,J932)</f>
        <v>0</v>
      </c>
      <c r="H932" s="22" t="n">
        <f aca="false">IFERROR(F932*G932,0)</f>
        <v>0</v>
      </c>
      <c r="I932" s="22" t="n">
        <f aca="false">F932+H932</f>
        <v>53155.7756085044</v>
      </c>
      <c r="J932" s="16" t="s">
        <v>88</v>
      </c>
    </row>
    <row r="933" customFormat="false" ht="14.25" hidden="false" customHeight="true" outlineLevel="0" collapsed="false">
      <c r="A933" s="11" t="s">
        <v>34</v>
      </c>
      <c r="B933" s="20" t="str">
        <f aca="false">INDEX(SETORES!$B:$B,MATCH(A933,SETORES!$A:$A,0))</f>
        <v>Clientes</v>
      </c>
      <c r="C933" s="11" t="s">
        <v>10</v>
      </c>
      <c r="D933" s="9" t="n">
        <f aca="false">IF(B933="Clientes",SUMIFS(PARÂMETROS!$D$8:$D$907,PARÂMETROS!$A$8:$A$907,C933,PARÂMETROS!$G$8:$G$907,J933),SUMIFS(PARÂMETROS!$E$8:$E$907,PARÂMETROS!$A$8:$A$907,C933,PARÂMETROS!$G$8:$G$907,J933))</f>
        <v>0.0337120251559568</v>
      </c>
      <c r="E933" s="21" t="n">
        <f aca="false">SUMIFS(SETORES!$D:$D,SETORES!$A:$A,A933,SETORES!$F:$F,J933)</f>
        <v>60035.346441612</v>
      </c>
      <c r="F933" s="21" t="n">
        <f aca="false">IFERROR(D933*E933,0)</f>
        <v>2023.91310948621</v>
      </c>
      <c r="G933" s="9" t="n">
        <f aca="false">SUMIFS(PARÂMETROS!$F$8:$F$907,PARÂMETROS!$A$8:$A$907,C933,PARÂMETROS!$G$8:$G$907,J933)</f>
        <v>0</v>
      </c>
      <c r="H933" s="21" t="n">
        <f aca="false">IFERROR(F933*G933,0)</f>
        <v>0</v>
      </c>
      <c r="I933" s="21" t="n">
        <f aca="false">F933+H933</f>
        <v>2023.91310948621</v>
      </c>
      <c r="J933" s="11" t="s">
        <v>88</v>
      </c>
    </row>
    <row r="934" customFormat="false" ht="14.25" hidden="false" customHeight="true" outlineLevel="0" collapsed="false">
      <c r="A934" s="16" t="s">
        <v>34</v>
      </c>
      <c r="B934" s="16" t="str">
        <f aca="false">INDEX(SETORES!$B:$B,MATCH(A934,SETORES!$A:$A,0))</f>
        <v>Clientes</v>
      </c>
      <c r="C934" s="16" t="s">
        <v>12</v>
      </c>
      <c r="D934" s="14" t="n">
        <f aca="false">IF(B934="Clientes",SUMIFS(PARÂMETROS!$D$8:$D$907,PARÂMETROS!$A$8:$A$907,C934,PARÂMETROS!$G$8:$G$907,J934),SUMIFS(PARÂMETROS!$E$8:$E$907,PARÂMETROS!$A$8:$A$907,C934,PARÂMETROS!$G$8:$G$907,J934))</f>
        <v>0.0685195516559314</v>
      </c>
      <c r="E934" s="22" t="n">
        <f aca="false">SUMIFS(SETORES!$D:$D,SETORES!$A:$A,A934,SETORES!$F:$F,J934)</f>
        <v>60035.346441612</v>
      </c>
      <c r="F934" s="22" t="n">
        <f aca="false">IFERROR(D934*E934,0)</f>
        <v>4113.59502168778</v>
      </c>
      <c r="G934" s="14" t="n">
        <f aca="false">SUMIFS(PARÂMETROS!$F$8:$F$907,PARÂMETROS!$A$8:$A$907,C934,PARÂMETROS!$G$8:$G$907,J934)</f>
        <v>0</v>
      </c>
      <c r="H934" s="22" t="n">
        <f aca="false">IFERROR(F934*G934,0)</f>
        <v>0</v>
      </c>
      <c r="I934" s="22" t="n">
        <f aca="false">F934+H934</f>
        <v>4113.59502168778</v>
      </c>
      <c r="J934" s="16" t="s">
        <v>88</v>
      </c>
    </row>
    <row r="935" customFormat="false" ht="14.25" hidden="false" customHeight="true" outlineLevel="0" collapsed="false">
      <c r="A935" s="11" t="s">
        <v>34</v>
      </c>
      <c r="B935" s="20" t="str">
        <f aca="false">INDEX(SETORES!$B:$B,MATCH(A935,SETORES!$A:$A,0))</f>
        <v>Clientes</v>
      </c>
      <c r="C935" s="11" t="s">
        <v>13</v>
      </c>
      <c r="D935" s="9" t="n">
        <f aca="false">IF(B935="Clientes",SUMIFS(PARÂMETROS!$D$8:$D$907,PARÂMETROS!$A$8:$A$907,C935,PARÂMETROS!$G$8:$G$907,J935),SUMIFS(PARÂMETROS!$E$8:$E$907,PARÂMETROS!$A$8:$A$907,C935,PARÂMETROS!$G$8:$G$907,J935))</f>
        <v>0.0745397372825481</v>
      </c>
      <c r="E935" s="21" t="n">
        <f aca="false">SUMIFS(SETORES!$D:$D,SETORES!$A:$A,A935,SETORES!$F:$F,J935)</f>
        <v>60035.346441612</v>
      </c>
      <c r="F935" s="21" t="n">
        <f aca="false">IFERROR(D935*E935,0)</f>
        <v>4475.01895142452</v>
      </c>
      <c r="G935" s="9" t="n">
        <f aca="false">SUMIFS(PARÂMETROS!$F$8:$F$907,PARÂMETROS!$A$8:$A$907,C935,PARÂMETROS!$G$8:$G$907,J935)</f>
        <v>0</v>
      </c>
      <c r="H935" s="21" t="n">
        <f aca="false">IFERROR(F935*G935,0)</f>
        <v>0</v>
      </c>
      <c r="I935" s="21" t="n">
        <f aca="false">F935+H935</f>
        <v>4475.01895142452</v>
      </c>
      <c r="J935" s="11" t="s">
        <v>88</v>
      </c>
    </row>
    <row r="936" customFormat="false" ht="14.25" hidden="false" customHeight="true" outlineLevel="0" collapsed="false">
      <c r="A936" s="16" t="s">
        <v>34</v>
      </c>
      <c r="B936" s="16" t="str">
        <f aca="false">INDEX(SETORES!$B:$B,MATCH(A936,SETORES!$A:$A,0))</f>
        <v>Clientes</v>
      </c>
      <c r="C936" s="16" t="s">
        <v>14</v>
      </c>
      <c r="D936" s="14" t="n">
        <f aca="false">IF(B936="Clientes",SUMIFS(PARÂMETROS!$D$8:$D$907,PARÂMETROS!$A$8:$A$907,C936,PARÂMETROS!$G$8:$G$907,J936),SUMIFS(PARÂMETROS!$E$8:$E$907,PARÂMETROS!$A$8:$A$907,C936,PARÂMETROS!$G$8:$G$907,J936))</f>
        <v>0.018943044073642</v>
      </c>
      <c r="E936" s="22" t="n">
        <f aca="false">SUMIFS(SETORES!$D:$D,SETORES!$A:$A,A936,SETORES!$F:$F,J936)</f>
        <v>60035.346441612</v>
      </c>
      <c r="F936" s="22" t="n">
        <f aca="false">IFERROR(D936*E936,0)</f>
        <v>1137.25221361983</v>
      </c>
      <c r="G936" s="14" t="n">
        <f aca="false">SUMIFS(PARÂMETROS!$F$8:$F$907,PARÂMETROS!$A$8:$A$907,C936,PARÂMETROS!$G$8:$G$907,J936)</f>
        <v>0</v>
      </c>
      <c r="H936" s="22" t="n">
        <f aca="false">IFERROR(F936*G936,0)</f>
        <v>0</v>
      </c>
      <c r="I936" s="22" t="n">
        <f aca="false">F936+H936</f>
        <v>1137.25221361983</v>
      </c>
      <c r="J936" s="16" t="s">
        <v>88</v>
      </c>
    </row>
    <row r="937" customFormat="false" ht="14.25" hidden="false" customHeight="true" outlineLevel="0" collapsed="false">
      <c r="A937" s="11" t="s">
        <v>34</v>
      </c>
      <c r="B937" s="20" t="str">
        <f aca="false">INDEX(SETORES!$B:$B,MATCH(A937,SETORES!$A:$A,0))</f>
        <v>Clientes</v>
      </c>
      <c r="C937" s="11" t="s">
        <v>15</v>
      </c>
      <c r="D937" s="9" t="n">
        <f aca="false">IF(B937="Clientes",SUMIFS(PARÂMETROS!$D$8:$D$907,PARÂMETROS!$A$8:$A$907,C937,PARÂMETROS!$G$8:$G$907,J937),SUMIFS(PARÂMETROS!$E$8:$E$907,PARÂMETROS!$A$8:$A$907,C937,PARÂMETROS!$G$8:$G$907,J937))</f>
        <v>0.0334787239438048</v>
      </c>
      <c r="E937" s="21" t="n">
        <f aca="false">SUMIFS(SETORES!$D:$D,SETORES!$A:$A,A937,SETORES!$F:$F,J937)</f>
        <v>60035.346441612</v>
      </c>
      <c r="F937" s="21" t="n">
        <f aca="false">IFERROR(D937*E937,0)</f>
        <v>2009.90679038942</v>
      </c>
      <c r="G937" s="9" t="n">
        <f aca="false">SUMIFS(PARÂMETROS!$F$8:$F$907,PARÂMETROS!$A$8:$A$907,C937,PARÂMETROS!$G$8:$G$907,J937)</f>
        <v>0</v>
      </c>
      <c r="H937" s="21" t="n">
        <f aca="false">IFERROR(F937*G937,0)</f>
        <v>0</v>
      </c>
      <c r="I937" s="21" t="n">
        <f aca="false">F937+H937</f>
        <v>2009.90679038942</v>
      </c>
      <c r="J937" s="11" t="s">
        <v>88</v>
      </c>
    </row>
    <row r="938" customFormat="false" ht="14.25" hidden="false" customHeight="true" outlineLevel="0" collapsed="false">
      <c r="A938" s="16" t="s">
        <v>34</v>
      </c>
      <c r="B938" s="16" t="str">
        <f aca="false">INDEX(SETORES!$B:$B,MATCH(A938,SETORES!$A:$A,0))</f>
        <v>Clientes</v>
      </c>
      <c r="C938" s="16" t="s">
        <v>16</v>
      </c>
      <c r="D938" s="14" t="n">
        <f aca="false">IF(B938="Clientes",SUMIFS(PARÂMETROS!$D$8:$D$907,PARÂMETROS!$A$8:$A$907,C938,PARÂMETROS!$G$8:$G$907,J938),SUMIFS(PARÂMETROS!$E$8:$E$907,PARÂMETROS!$A$8:$A$907,C938,PARÂMETROS!$G$8:$G$907,J938))</f>
        <v>0.0242886848912106</v>
      </c>
      <c r="E938" s="22" t="n">
        <f aca="false">SUMIFS(SETORES!$D:$D,SETORES!$A:$A,A938,SETORES!$F:$F,J938)</f>
        <v>60035.346441612</v>
      </c>
      <c r="F938" s="22" t="n">
        <f aca="false">IFERROR(D938*E938,0)</f>
        <v>1458.17961205498</v>
      </c>
      <c r="G938" s="14" t="n">
        <f aca="false">SUMIFS(PARÂMETROS!$F$8:$F$907,PARÂMETROS!$A$8:$A$907,C938,PARÂMETROS!$G$8:$G$907,J938)</f>
        <v>0</v>
      </c>
      <c r="H938" s="22" t="n">
        <f aca="false">IFERROR(F938*G938,0)</f>
        <v>0</v>
      </c>
      <c r="I938" s="22" t="n">
        <f aca="false">F938+H938</f>
        <v>1458.17961205498</v>
      </c>
      <c r="J938" s="16" t="s">
        <v>88</v>
      </c>
    </row>
    <row r="939" customFormat="false" ht="14.25" hidden="false" customHeight="true" outlineLevel="0" collapsed="false">
      <c r="A939" s="11" t="s">
        <v>34</v>
      </c>
      <c r="B939" s="20" t="str">
        <f aca="false">INDEX(SETORES!$B:$B,MATCH(A939,SETORES!$A:$A,0))</f>
        <v>Clientes</v>
      </c>
      <c r="C939" s="11" t="s">
        <v>17</v>
      </c>
      <c r="D939" s="9" t="n">
        <f aca="false">IF(B939="Clientes",SUMIFS(PARÂMETROS!$D$8:$D$907,PARÂMETROS!$A$8:$A$907,C939,PARÂMETROS!$G$8:$G$907,J939),SUMIFS(PARÂMETROS!$E$8:$E$907,PARÂMETROS!$A$8:$A$907,C939,PARÂMETROS!$G$8:$G$907,J939))</f>
        <v>0.0243241872495816</v>
      </c>
      <c r="E939" s="21" t="n">
        <f aca="false">SUMIFS(SETORES!$D:$D,SETORES!$A:$A,A939,SETORES!$F:$F,J939)</f>
        <v>60035.346441612</v>
      </c>
      <c r="F939" s="21" t="n">
        <f aca="false">IFERROR(D939*E939,0)</f>
        <v>1460.31100843927</v>
      </c>
      <c r="G939" s="9" t="n">
        <f aca="false">SUMIFS(PARÂMETROS!$F$8:$F$907,PARÂMETROS!$A$8:$A$907,C939,PARÂMETROS!$G$8:$G$907,J939)</f>
        <v>0</v>
      </c>
      <c r="H939" s="21" t="n">
        <f aca="false">IFERROR(F939*G939,0)</f>
        <v>0</v>
      </c>
      <c r="I939" s="21" t="n">
        <f aca="false">F939+H939</f>
        <v>1460.31100843927</v>
      </c>
      <c r="J939" s="11" t="s">
        <v>88</v>
      </c>
    </row>
    <row r="940" customFormat="false" ht="14.25" hidden="false" customHeight="true" outlineLevel="0" collapsed="false">
      <c r="A940" s="16" t="s">
        <v>34</v>
      </c>
      <c r="B940" s="16" t="str">
        <f aca="false">INDEX(SETORES!$B:$B,MATCH(A940,SETORES!$A:$A,0))</f>
        <v>Clientes</v>
      </c>
      <c r="C940" s="16" t="s">
        <v>18</v>
      </c>
      <c r="D940" s="14" t="n">
        <f aca="false">IF(B940="Clientes",SUMIFS(PARÂMETROS!$D$8:$D$907,PARÂMETROS!$A$8:$A$907,C940,PARÂMETROS!$G$8:$G$907,J940),SUMIFS(PARÂMETROS!$E$8:$E$907,PARÂMETROS!$A$8:$A$907,C940,PARÂMETROS!$G$8:$G$907,J940))</f>
        <v>0.722194045747325</v>
      </c>
      <c r="E940" s="22" t="n">
        <f aca="false">SUMIFS(SETORES!$D:$D,SETORES!$A:$A,A940,SETORES!$F:$F,J940)</f>
        <v>60035.346441612</v>
      </c>
      <c r="F940" s="22" t="n">
        <f aca="false">IFERROR(D940*E940,0)</f>
        <v>43357.1697345101</v>
      </c>
      <c r="G940" s="14" t="n">
        <f aca="false">SUMIFS(PARÂMETROS!$F$8:$F$907,PARÂMETROS!$A$8:$A$907,C940,PARÂMETROS!$G$8:$G$907,J940)</f>
        <v>0</v>
      </c>
      <c r="H940" s="22" t="n">
        <f aca="false">IFERROR(F940*G940,0)</f>
        <v>0</v>
      </c>
      <c r="I940" s="22" t="n">
        <f aca="false">F940+H940</f>
        <v>43357.1697345101</v>
      </c>
      <c r="J940" s="16" t="s">
        <v>88</v>
      </c>
    </row>
    <row r="941" customFormat="false" ht="14.25" hidden="false" customHeight="true" outlineLevel="0" collapsed="false">
      <c r="A941" s="11" t="s">
        <v>35</v>
      </c>
      <c r="B941" s="20" t="str">
        <f aca="false">INDEX(SETORES!$B:$B,MATCH(A941,SETORES!$A:$A,0))</f>
        <v>Clientes</v>
      </c>
      <c r="C941" s="11" t="s">
        <v>10</v>
      </c>
      <c r="D941" s="9" t="n">
        <f aca="false">IF(B941="Clientes",SUMIFS(PARÂMETROS!$D$8:$D$907,PARÂMETROS!$A$8:$A$907,C941,PARÂMETROS!$G$8:$G$907,J941),SUMIFS(PARÂMETROS!$E$8:$E$907,PARÂMETROS!$A$8:$A$907,C941,PARÂMETROS!$G$8:$G$907,J941))</f>
        <v>0.0337120251559568</v>
      </c>
      <c r="E941" s="21" t="n">
        <f aca="false">SUMIFS(SETORES!$D:$D,SETORES!$A:$A,A941,SETORES!$F:$F,J941)</f>
        <v>24186.5870929277</v>
      </c>
      <c r="F941" s="21" t="n">
        <f aca="false">IFERROR(D941*E941,0)</f>
        <v>815.378832513519</v>
      </c>
      <c r="G941" s="9" t="n">
        <f aca="false">SUMIFS(PARÂMETROS!$F$8:$F$907,PARÂMETROS!$A$8:$A$907,C941,PARÂMETROS!$G$8:$G$907,J941)</f>
        <v>0</v>
      </c>
      <c r="H941" s="21" t="n">
        <f aca="false">IFERROR(F941*G941,0)</f>
        <v>0</v>
      </c>
      <c r="I941" s="21" t="n">
        <f aca="false">F941+H941</f>
        <v>815.378832513519</v>
      </c>
      <c r="J941" s="11" t="s">
        <v>88</v>
      </c>
    </row>
    <row r="942" customFormat="false" ht="14.25" hidden="false" customHeight="true" outlineLevel="0" collapsed="false">
      <c r="A942" s="16" t="s">
        <v>35</v>
      </c>
      <c r="B942" s="16" t="str">
        <f aca="false">INDEX(SETORES!$B:$B,MATCH(A942,SETORES!$A:$A,0))</f>
        <v>Clientes</v>
      </c>
      <c r="C942" s="16" t="s">
        <v>12</v>
      </c>
      <c r="D942" s="14" t="n">
        <f aca="false">IF(B942="Clientes",SUMIFS(PARÂMETROS!$D$8:$D$907,PARÂMETROS!$A$8:$A$907,C942,PARÂMETROS!$G$8:$G$907,J942),SUMIFS(PARÂMETROS!$E$8:$E$907,PARÂMETROS!$A$8:$A$907,C942,PARÂMETROS!$G$8:$G$907,J942))</f>
        <v>0.0685195516559314</v>
      </c>
      <c r="E942" s="22" t="n">
        <f aca="false">SUMIFS(SETORES!$D:$D,SETORES!$A:$A,A942,SETORES!$F:$F,J942)</f>
        <v>24186.5870929277</v>
      </c>
      <c r="F942" s="22" t="n">
        <f aca="false">IFERROR(D942*E942,0)</f>
        <v>1657.25410369454</v>
      </c>
      <c r="G942" s="14" t="n">
        <f aca="false">SUMIFS(PARÂMETROS!$F$8:$F$907,PARÂMETROS!$A$8:$A$907,C942,PARÂMETROS!$G$8:$G$907,J942)</f>
        <v>0</v>
      </c>
      <c r="H942" s="22" t="n">
        <f aca="false">IFERROR(F942*G942,0)</f>
        <v>0</v>
      </c>
      <c r="I942" s="22" t="n">
        <f aca="false">F942+H942</f>
        <v>1657.25410369454</v>
      </c>
      <c r="J942" s="16" t="s">
        <v>88</v>
      </c>
    </row>
    <row r="943" customFormat="false" ht="14.25" hidden="false" customHeight="true" outlineLevel="0" collapsed="false">
      <c r="A943" s="11" t="s">
        <v>35</v>
      </c>
      <c r="B943" s="20" t="str">
        <f aca="false">INDEX(SETORES!$B:$B,MATCH(A943,SETORES!$A:$A,0))</f>
        <v>Clientes</v>
      </c>
      <c r="C943" s="11" t="s">
        <v>13</v>
      </c>
      <c r="D943" s="9" t="n">
        <f aca="false">IF(B943="Clientes",SUMIFS(PARÂMETROS!$D$8:$D$907,PARÂMETROS!$A$8:$A$907,C943,PARÂMETROS!$G$8:$G$907,J943),SUMIFS(PARÂMETROS!$E$8:$E$907,PARÂMETROS!$A$8:$A$907,C943,PARÂMETROS!$G$8:$G$907,J943))</f>
        <v>0.0745397372825481</v>
      </c>
      <c r="E943" s="21" t="n">
        <f aca="false">SUMIFS(SETORES!$D:$D,SETORES!$A:$A,A943,SETORES!$F:$F,J943)</f>
        <v>24186.5870929277</v>
      </c>
      <c r="F943" s="21" t="n">
        <f aca="false">IFERROR(D943*E943,0)</f>
        <v>1802.8618476683</v>
      </c>
      <c r="G943" s="9" t="n">
        <f aca="false">SUMIFS(PARÂMETROS!$F$8:$F$907,PARÂMETROS!$A$8:$A$907,C943,PARÂMETROS!$G$8:$G$907,J943)</f>
        <v>0</v>
      </c>
      <c r="H943" s="21" t="n">
        <f aca="false">IFERROR(F943*G943,0)</f>
        <v>0</v>
      </c>
      <c r="I943" s="21" t="n">
        <f aca="false">F943+H943</f>
        <v>1802.8618476683</v>
      </c>
      <c r="J943" s="11" t="s">
        <v>88</v>
      </c>
    </row>
    <row r="944" customFormat="false" ht="14.25" hidden="false" customHeight="true" outlineLevel="0" collapsed="false">
      <c r="A944" s="16" t="s">
        <v>35</v>
      </c>
      <c r="B944" s="16" t="str">
        <f aca="false">INDEX(SETORES!$B:$B,MATCH(A944,SETORES!$A:$A,0))</f>
        <v>Clientes</v>
      </c>
      <c r="C944" s="16" t="s">
        <v>14</v>
      </c>
      <c r="D944" s="14" t="n">
        <f aca="false">IF(B944="Clientes",SUMIFS(PARÂMETROS!$D$8:$D$907,PARÂMETROS!$A$8:$A$907,C944,PARÂMETROS!$G$8:$G$907,J944),SUMIFS(PARÂMETROS!$E$8:$E$907,PARÂMETROS!$A$8:$A$907,C944,PARÂMETROS!$G$8:$G$907,J944))</f>
        <v>0.018943044073642</v>
      </c>
      <c r="E944" s="22" t="n">
        <f aca="false">SUMIFS(SETORES!$D:$D,SETORES!$A:$A,A944,SETORES!$F:$F,J944)</f>
        <v>24186.5870929277</v>
      </c>
      <c r="F944" s="22" t="n">
        <f aca="false">IFERROR(D944*E944,0)</f>
        <v>458.167585292311</v>
      </c>
      <c r="G944" s="14" t="n">
        <f aca="false">SUMIFS(PARÂMETROS!$F$8:$F$907,PARÂMETROS!$A$8:$A$907,C944,PARÂMETROS!$G$8:$G$907,J944)</f>
        <v>0</v>
      </c>
      <c r="H944" s="22" t="n">
        <f aca="false">IFERROR(F944*G944,0)</f>
        <v>0</v>
      </c>
      <c r="I944" s="22" t="n">
        <f aca="false">F944+H944</f>
        <v>458.167585292311</v>
      </c>
      <c r="J944" s="16" t="s">
        <v>88</v>
      </c>
    </row>
    <row r="945" customFormat="false" ht="14.25" hidden="false" customHeight="true" outlineLevel="0" collapsed="false">
      <c r="A945" s="11" t="s">
        <v>35</v>
      </c>
      <c r="B945" s="20" t="str">
        <f aca="false">INDEX(SETORES!$B:$B,MATCH(A945,SETORES!$A:$A,0))</f>
        <v>Clientes</v>
      </c>
      <c r="C945" s="11" t="s">
        <v>15</v>
      </c>
      <c r="D945" s="9" t="n">
        <f aca="false">IF(B945="Clientes",SUMIFS(PARÂMETROS!$D$8:$D$907,PARÂMETROS!$A$8:$A$907,C945,PARÂMETROS!$G$8:$G$907,J945),SUMIFS(PARÂMETROS!$E$8:$E$907,PARÂMETROS!$A$8:$A$907,C945,PARÂMETROS!$G$8:$G$907,J945))</f>
        <v>0.0334787239438048</v>
      </c>
      <c r="E945" s="21" t="n">
        <f aca="false">SUMIFS(SETORES!$D:$D,SETORES!$A:$A,A945,SETORES!$F:$F,J945)</f>
        <v>24186.5870929277</v>
      </c>
      <c r="F945" s="21" t="n">
        <f aca="false">IFERROR(D945*E945,0)</f>
        <v>809.73607242692</v>
      </c>
      <c r="G945" s="9" t="n">
        <f aca="false">SUMIFS(PARÂMETROS!$F$8:$F$907,PARÂMETROS!$A$8:$A$907,C945,PARÂMETROS!$G$8:$G$907,J945)</f>
        <v>0</v>
      </c>
      <c r="H945" s="21" t="n">
        <f aca="false">IFERROR(F945*G945,0)</f>
        <v>0</v>
      </c>
      <c r="I945" s="21" t="n">
        <f aca="false">F945+H945</f>
        <v>809.73607242692</v>
      </c>
      <c r="J945" s="11" t="s">
        <v>88</v>
      </c>
    </row>
    <row r="946" customFormat="false" ht="14.25" hidden="false" customHeight="true" outlineLevel="0" collapsed="false">
      <c r="A946" s="16" t="s">
        <v>35</v>
      </c>
      <c r="B946" s="16" t="str">
        <f aca="false">INDEX(SETORES!$B:$B,MATCH(A946,SETORES!$A:$A,0))</f>
        <v>Clientes</v>
      </c>
      <c r="C946" s="16" t="s">
        <v>16</v>
      </c>
      <c r="D946" s="14" t="n">
        <f aca="false">IF(B946="Clientes",SUMIFS(PARÂMETROS!$D$8:$D$907,PARÂMETROS!$A$8:$A$907,C946,PARÂMETROS!$G$8:$G$907,J946),SUMIFS(PARÂMETROS!$E$8:$E$907,PARÂMETROS!$A$8:$A$907,C946,PARÂMETROS!$G$8:$G$907,J946))</f>
        <v>0.0242886848912106</v>
      </c>
      <c r="E946" s="22" t="n">
        <f aca="false">SUMIFS(SETORES!$D:$D,SETORES!$A:$A,A946,SETORES!$F:$F,J946)</f>
        <v>24186.5870929277</v>
      </c>
      <c r="F946" s="22" t="n">
        <f aca="false">IFERROR(D946*E946,0)</f>
        <v>587.460392493943</v>
      </c>
      <c r="G946" s="14" t="n">
        <f aca="false">SUMIFS(PARÂMETROS!$F$8:$F$907,PARÂMETROS!$A$8:$A$907,C946,PARÂMETROS!$G$8:$G$907,J946)</f>
        <v>0</v>
      </c>
      <c r="H946" s="22" t="n">
        <f aca="false">IFERROR(F946*G946,0)</f>
        <v>0</v>
      </c>
      <c r="I946" s="22" t="n">
        <f aca="false">F946+H946</f>
        <v>587.460392493943</v>
      </c>
      <c r="J946" s="16" t="s">
        <v>88</v>
      </c>
    </row>
    <row r="947" customFormat="false" ht="14.25" hidden="false" customHeight="true" outlineLevel="0" collapsed="false">
      <c r="A947" s="11" t="s">
        <v>35</v>
      </c>
      <c r="B947" s="20" t="str">
        <f aca="false">INDEX(SETORES!$B:$B,MATCH(A947,SETORES!$A:$A,0))</f>
        <v>Clientes</v>
      </c>
      <c r="C947" s="11" t="s">
        <v>17</v>
      </c>
      <c r="D947" s="9" t="n">
        <f aca="false">IF(B947="Clientes",SUMIFS(PARÂMETROS!$D$8:$D$907,PARÂMETROS!$A$8:$A$907,C947,PARÂMETROS!$G$8:$G$907,J947),SUMIFS(PARÂMETROS!$E$8:$E$907,PARÂMETROS!$A$8:$A$907,C947,PARÂMETROS!$G$8:$G$907,J947))</f>
        <v>0.0243241872495816</v>
      </c>
      <c r="E947" s="21" t="n">
        <f aca="false">SUMIFS(SETORES!$D:$D,SETORES!$A:$A,A947,SETORES!$F:$F,J947)</f>
        <v>24186.5870929277</v>
      </c>
      <c r="F947" s="21" t="n">
        <f aca="false">IFERROR(D947*E947,0)</f>
        <v>588.319073376686</v>
      </c>
      <c r="G947" s="9" t="n">
        <f aca="false">SUMIFS(PARÂMETROS!$F$8:$F$907,PARÂMETROS!$A$8:$A$907,C947,PARÂMETROS!$G$8:$G$907,J947)</f>
        <v>0</v>
      </c>
      <c r="H947" s="21" t="n">
        <f aca="false">IFERROR(F947*G947,0)</f>
        <v>0</v>
      </c>
      <c r="I947" s="21" t="n">
        <f aca="false">F947+H947</f>
        <v>588.319073376686</v>
      </c>
      <c r="J947" s="11" t="s">
        <v>88</v>
      </c>
    </row>
    <row r="948" customFormat="false" ht="14.25" hidden="false" customHeight="true" outlineLevel="0" collapsed="false">
      <c r="A948" s="16" t="s">
        <v>35</v>
      </c>
      <c r="B948" s="16" t="str">
        <f aca="false">INDEX(SETORES!$B:$B,MATCH(A948,SETORES!$A:$A,0))</f>
        <v>Clientes</v>
      </c>
      <c r="C948" s="16" t="s">
        <v>18</v>
      </c>
      <c r="D948" s="14" t="n">
        <f aca="false">IF(B948="Clientes",SUMIFS(PARÂMETROS!$D$8:$D$907,PARÂMETROS!$A$8:$A$907,C948,PARÂMETROS!$G$8:$G$907,J948),SUMIFS(PARÂMETROS!$E$8:$E$907,PARÂMETROS!$A$8:$A$907,C948,PARÂMETROS!$G$8:$G$907,J948))</f>
        <v>0.722194045747325</v>
      </c>
      <c r="E948" s="22" t="n">
        <f aca="false">SUMIFS(SETORES!$D:$D,SETORES!$A:$A,A948,SETORES!$F:$F,J948)</f>
        <v>24186.5870929277</v>
      </c>
      <c r="F948" s="22" t="n">
        <f aca="false">IFERROR(D948*E948,0)</f>
        <v>17467.4091854615</v>
      </c>
      <c r="G948" s="14" t="n">
        <f aca="false">SUMIFS(PARÂMETROS!$F$8:$F$907,PARÂMETROS!$A$8:$A$907,C948,PARÂMETROS!$G$8:$G$907,J948)</f>
        <v>0</v>
      </c>
      <c r="H948" s="22" t="n">
        <f aca="false">IFERROR(F948*G948,0)</f>
        <v>0</v>
      </c>
      <c r="I948" s="22" t="n">
        <f aca="false">F948+H948</f>
        <v>17467.4091854615</v>
      </c>
      <c r="J948" s="16" t="s">
        <v>88</v>
      </c>
    </row>
    <row r="949" customFormat="false" ht="14.25" hidden="false" customHeight="true" outlineLevel="0" collapsed="false">
      <c r="A949" s="11" t="s">
        <v>36</v>
      </c>
      <c r="B949" s="20" t="str">
        <f aca="false">INDEX(SETORES!$B:$B,MATCH(A949,SETORES!$A:$A,0))</f>
        <v>Clientes</v>
      </c>
      <c r="C949" s="11" t="s">
        <v>10</v>
      </c>
      <c r="D949" s="9" t="n">
        <f aca="false">IF(B949="Clientes",SUMIFS(PARÂMETROS!$D$8:$D$907,PARÂMETROS!$A$8:$A$907,C949,PARÂMETROS!$G$8:$G$907,J949),SUMIFS(PARÂMETROS!$E$8:$E$907,PARÂMETROS!$A$8:$A$907,C949,PARÂMETROS!$G$8:$G$907,J949))</f>
        <v>0.0337120251559568</v>
      </c>
      <c r="E949" s="21" t="n">
        <f aca="false">SUMIFS(SETORES!$D:$D,SETORES!$A:$A,A949,SETORES!$F:$F,J949)</f>
        <v>76728.6732880783</v>
      </c>
      <c r="F949" s="21" t="n">
        <f aca="false">IFERROR(D949*E949,0)</f>
        <v>2586.67896407088</v>
      </c>
      <c r="G949" s="9" t="n">
        <f aca="false">SUMIFS(PARÂMETROS!$F$8:$F$907,PARÂMETROS!$A$8:$A$907,C949,PARÂMETROS!$G$8:$G$907,J949)</f>
        <v>0</v>
      </c>
      <c r="H949" s="21" t="n">
        <f aca="false">IFERROR(F949*G949,0)</f>
        <v>0</v>
      </c>
      <c r="I949" s="21" t="n">
        <f aca="false">F949+H949</f>
        <v>2586.67896407088</v>
      </c>
      <c r="J949" s="11" t="s">
        <v>88</v>
      </c>
    </row>
    <row r="950" customFormat="false" ht="14.25" hidden="false" customHeight="true" outlineLevel="0" collapsed="false">
      <c r="A950" s="16" t="s">
        <v>36</v>
      </c>
      <c r="B950" s="16" t="str">
        <f aca="false">INDEX(SETORES!$B:$B,MATCH(A950,SETORES!$A:$A,0))</f>
        <v>Clientes</v>
      </c>
      <c r="C950" s="16" t="s">
        <v>12</v>
      </c>
      <c r="D950" s="14" t="n">
        <f aca="false">IF(B950="Clientes",SUMIFS(PARÂMETROS!$D$8:$D$907,PARÂMETROS!$A$8:$A$907,C950,PARÂMETROS!$G$8:$G$907,J950),SUMIFS(PARÂMETROS!$E$8:$E$907,PARÂMETROS!$A$8:$A$907,C950,PARÂMETROS!$G$8:$G$907,J950))</f>
        <v>0.0685195516559314</v>
      </c>
      <c r="E950" s="22" t="n">
        <f aca="false">SUMIFS(SETORES!$D:$D,SETORES!$A:$A,A950,SETORES!$F:$F,J950)</f>
        <v>76728.6732880783</v>
      </c>
      <c r="F950" s="22" t="n">
        <f aca="false">IFERROR(D950*E950,0)</f>
        <v>5257.41429285357</v>
      </c>
      <c r="G950" s="14" t="n">
        <f aca="false">SUMIFS(PARÂMETROS!$F$8:$F$907,PARÂMETROS!$A$8:$A$907,C950,PARÂMETROS!$G$8:$G$907,J950)</f>
        <v>0</v>
      </c>
      <c r="H950" s="22" t="n">
        <f aca="false">IFERROR(F950*G950,0)</f>
        <v>0</v>
      </c>
      <c r="I950" s="22" t="n">
        <f aca="false">F950+H950</f>
        <v>5257.41429285357</v>
      </c>
      <c r="J950" s="16" t="s">
        <v>88</v>
      </c>
    </row>
    <row r="951" customFormat="false" ht="14.25" hidden="false" customHeight="true" outlineLevel="0" collapsed="false">
      <c r="A951" s="11" t="s">
        <v>36</v>
      </c>
      <c r="B951" s="20" t="str">
        <f aca="false">INDEX(SETORES!$B:$B,MATCH(A951,SETORES!$A:$A,0))</f>
        <v>Clientes</v>
      </c>
      <c r="C951" s="11" t="s">
        <v>13</v>
      </c>
      <c r="D951" s="9" t="n">
        <f aca="false">IF(B951="Clientes",SUMIFS(PARÂMETROS!$D$8:$D$907,PARÂMETROS!$A$8:$A$907,C951,PARÂMETROS!$G$8:$G$907,J951),SUMIFS(PARÂMETROS!$E$8:$E$907,PARÂMETROS!$A$8:$A$907,C951,PARÂMETROS!$G$8:$G$907,J951))</f>
        <v>0.0745397372825481</v>
      </c>
      <c r="E951" s="21" t="n">
        <f aca="false">SUMIFS(SETORES!$D:$D,SETORES!$A:$A,A951,SETORES!$F:$F,J951)</f>
        <v>76728.6732880783</v>
      </c>
      <c r="F951" s="21" t="n">
        <f aca="false">IFERROR(D951*E951,0)</f>
        <v>5719.33514893182</v>
      </c>
      <c r="G951" s="9" t="n">
        <f aca="false">SUMIFS(PARÂMETROS!$F$8:$F$907,PARÂMETROS!$A$8:$A$907,C951,PARÂMETROS!$G$8:$G$907,J951)</f>
        <v>0</v>
      </c>
      <c r="H951" s="21" t="n">
        <f aca="false">IFERROR(F951*G951,0)</f>
        <v>0</v>
      </c>
      <c r="I951" s="21" t="n">
        <f aca="false">F951+H951</f>
        <v>5719.33514893182</v>
      </c>
      <c r="J951" s="11" t="s">
        <v>88</v>
      </c>
    </row>
    <row r="952" customFormat="false" ht="14.25" hidden="false" customHeight="true" outlineLevel="0" collapsed="false">
      <c r="A952" s="16" t="s">
        <v>36</v>
      </c>
      <c r="B952" s="16" t="str">
        <f aca="false">INDEX(SETORES!$B:$B,MATCH(A952,SETORES!$A:$A,0))</f>
        <v>Clientes</v>
      </c>
      <c r="C952" s="16" t="s">
        <v>14</v>
      </c>
      <c r="D952" s="14" t="n">
        <f aca="false">IF(B952="Clientes",SUMIFS(PARÂMETROS!$D$8:$D$907,PARÂMETROS!$A$8:$A$907,C952,PARÂMETROS!$G$8:$G$907,J952),SUMIFS(PARÂMETROS!$E$8:$E$907,PARÂMETROS!$A$8:$A$907,C952,PARÂMETROS!$G$8:$G$907,J952))</f>
        <v>0.018943044073642</v>
      </c>
      <c r="E952" s="22" t="n">
        <f aca="false">SUMIFS(SETORES!$D:$D,SETORES!$A:$A,A952,SETORES!$F:$F,J952)</f>
        <v>76728.6732880783</v>
      </c>
      <c r="F952" s="22" t="n">
        <f aca="false">IFERROR(D952*E952,0)</f>
        <v>1453.47463980815</v>
      </c>
      <c r="G952" s="14" t="n">
        <f aca="false">SUMIFS(PARÂMETROS!$F$8:$F$907,PARÂMETROS!$A$8:$A$907,C952,PARÂMETROS!$G$8:$G$907,J952)</f>
        <v>0</v>
      </c>
      <c r="H952" s="22" t="n">
        <f aca="false">IFERROR(F952*G952,0)</f>
        <v>0</v>
      </c>
      <c r="I952" s="22" t="n">
        <f aca="false">F952+H952</f>
        <v>1453.47463980815</v>
      </c>
      <c r="J952" s="16" t="s">
        <v>88</v>
      </c>
    </row>
    <row r="953" customFormat="false" ht="14.25" hidden="false" customHeight="true" outlineLevel="0" collapsed="false">
      <c r="A953" s="11" t="s">
        <v>36</v>
      </c>
      <c r="B953" s="20" t="str">
        <f aca="false">INDEX(SETORES!$B:$B,MATCH(A953,SETORES!$A:$A,0))</f>
        <v>Clientes</v>
      </c>
      <c r="C953" s="11" t="s">
        <v>15</v>
      </c>
      <c r="D953" s="9" t="n">
        <f aca="false">IF(B953="Clientes",SUMIFS(PARÂMETROS!$D$8:$D$907,PARÂMETROS!$A$8:$A$907,C953,PARÂMETROS!$G$8:$G$907,J953),SUMIFS(PARÂMETROS!$E$8:$E$907,PARÂMETROS!$A$8:$A$907,C953,PARÂMETROS!$G$8:$G$907,J953))</f>
        <v>0.0334787239438048</v>
      </c>
      <c r="E953" s="21" t="n">
        <f aca="false">SUMIFS(SETORES!$D:$D,SETORES!$A:$A,A953,SETORES!$F:$F,J953)</f>
        <v>76728.6732880783</v>
      </c>
      <c r="F953" s="21" t="n">
        <f aca="false">IFERROR(D953*E953,0)</f>
        <v>2568.77807158597</v>
      </c>
      <c r="G953" s="9" t="n">
        <f aca="false">SUMIFS(PARÂMETROS!$F$8:$F$907,PARÂMETROS!$A$8:$A$907,C953,PARÂMETROS!$G$8:$G$907,J953)</f>
        <v>0</v>
      </c>
      <c r="H953" s="21" t="n">
        <f aca="false">IFERROR(F953*G953,0)</f>
        <v>0</v>
      </c>
      <c r="I953" s="21" t="n">
        <f aca="false">F953+H953</f>
        <v>2568.77807158597</v>
      </c>
      <c r="J953" s="11" t="s">
        <v>88</v>
      </c>
    </row>
    <row r="954" customFormat="false" ht="14.25" hidden="false" customHeight="true" outlineLevel="0" collapsed="false">
      <c r="A954" s="16" t="s">
        <v>36</v>
      </c>
      <c r="B954" s="16" t="str">
        <f aca="false">INDEX(SETORES!$B:$B,MATCH(A954,SETORES!$A:$A,0))</f>
        <v>Clientes</v>
      </c>
      <c r="C954" s="16" t="s">
        <v>16</v>
      </c>
      <c r="D954" s="14" t="n">
        <f aca="false">IF(B954="Clientes",SUMIFS(PARÂMETROS!$D$8:$D$907,PARÂMETROS!$A$8:$A$907,C954,PARÂMETROS!$G$8:$G$907,J954),SUMIFS(PARÂMETROS!$E$8:$E$907,PARÂMETROS!$A$8:$A$907,C954,PARÂMETROS!$G$8:$G$907,J954))</f>
        <v>0.0242886848912106</v>
      </c>
      <c r="E954" s="22" t="n">
        <f aca="false">SUMIFS(SETORES!$D:$D,SETORES!$A:$A,A954,SETORES!$F:$F,J954)</f>
        <v>76728.6732880783</v>
      </c>
      <c r="F954" s="22" t="n">
        <f aca="false">IFERROR(D954*E954,0)</f>
        <v>1863.63856761478</v>
      </c>
      <c r="G954" s="14" t="n">
        <f aca="false">SUMIFS(PARÂMETROS!$F$8:$F$907,PARÂMETROS!$A$8:$A$907,C954,PARÂMETROS!$G$8:$G$907,J954)</f>
        <v>0</v>
      </c>
      <c r="H954" s="22" t="n">
        <f aca="false">IFERROR(F954*G954,0)</f>
        <v>0</v>
      </c>
      <c r="I954" s="22" t="n">
        <f aca="false">F954+H954</f>
        <v>1863.63856761478</v>
      </c>
      <c r="J954" s="16" t="s">
        <v>88</v>
      </c>
    </row>
    <row r="955" customFormat="false" ht="14.25" hidden="false" customHeight="true" outlineLevel="0" collapsed="false">
      <c r="A955" s="11" t="s">
        <v>36</v>
      </c>
      <c r="B955" s="20" t="str">
        <f aca="false">INDEX(SETORES!$B:$B,MATCH(A955,SETORES!$A:$A,0))</f>
        <v>Clientes</v>
      </c>
      <c r="C955" s="11" t="s">
        <v>17</v>
      </c>
      <c r="D955" s="9" t="n">
        <f aca="false">IF(B955="Clientes",SUMIFS(PARÂMETROS!$D$8:$D$907,PARÂMETROS!$A$8:$A$907,C955,PARÂMETROS!$G$8:$G$907,J955),SUMIFS(PARÂMETROS!$E$8:$E$907,PARÂMETROS!$A$8:$A$907,C955,PARÂMETROS!$G$8:$G$907,J955))</f>
        <v>0.0243241872495816</v>
      </c>
      <c r="E955" s="21" t="n">
        <f aca="false">SUMIFS(SETORES!$D:$D,SETORES!$A:$A,A955,SETORES!$F:$F,J955)</f>
        <v>76728.6732880783</v>
      </c>
      <c r="F955" s="21" t="n">
        <f aca="false">IFERROR(D955*E955,0)</f>
        <v>1866.36261647118</v>
      </c>
      <c r="G955" s="9" t="n">
        <f aca="false">SUMIFS(PARÂMETROS!$F$8:$F$907,PARÂMETROS!$A$8:$A$907,C955,PARÂMETROS!$G$8:$G$907,J955)</f>
        <v>0</v>
      </c>
      <c r="H955" s="21" t="n">
        <f aca="false">IFERROR(F955*G955,0)</f>
        <v>0</v>
      </c>
      <c r="I955" s="21" t="n">
        <f aca="false">F955+H955</f>
        <v>1866.36261647118</v>
      </c>
      <c r="J955" s="11" t="s">
        <v>88</v>
      </c>
    </row>
    <row r="956" customFormat="false" ht="14.25" hidden="false" customHeight="true" outlineLevel="0" collapsed="false">
      <c r="A956" s="16" t="s">
        <v>36</v>
      </c>
      <c r="B956" s="16" t="str">
        <f aca="false">INDEX(SETORES!$B:$B,MATCH(A956,SETORES!$A:$A,0))</f>
        <v>Clientes</v>
      </c>
      <c r="C956" s="16" t="s">
        <v>18</v>
      </c>
      <c r="D956" s="14" t="n">
        <f aca="false">IF(B956="Clientes",SUMIFS(PARÂMETROS!$D$8:$D$907,PARÂMETROS!$A$8:$A$907,C956,PARÂMETROS!$G$8:$G$907,J956),SUMIFS(PARÂMETROS!$E$8:$E$907,PARÂMETROS!$A$8:$A$907,C956,PARÂMETROS!$G$8:$G$907,J956))</f>
        <v>0.722194045747325</v>
      </c>
      <c r="E956" s="22" t="n">
        <f aca="false">SUMIFS(SETORES!$D:$D,SETORES!$A:$A,A956,SETORES!$F:$F,J956)</f>
        <v>76728.6732880783</v>
      </c>
      <c r="F956" s="22" t="n">
        <f aca="false">IFERROR(D956*E956,0)</f>
        <v>55412.9909867419</v>
      </c>
      <c r="G956" s="14" t="n">
        <f aca="false">SUMIFS(PARÂMETROS!$F$8:$F$907,PARÂMETROS!$A$8:$A$907,C956,PARÂMETROS!$G$8:$G$907,J956)</f>
        <v>0</v>
      </c>
      <c r="H956" s="22" t="n">
        <f aca="false">IFERROR(F956*G956,0)</f>
        <v>0</v>
      </c>
      <c r="I956" s="22" t="n">
        <f aca="false">F956+H956</f>
        <v>55412.9909867419</v>
      </c>
      <c r="J956" s="16" t="s">
        <v>88</v>
      </c>
    </row>
    <row r="957" customFormat="false" ht="14.25" hidden="false" customHeight="true" outlineLevel="0" collapsed="false">
      <c r="A957" s="11" t="s">
        <v>37</v>
      </c>
      <c r="B957" s="20" t="str">
        <f aca="false">INDEX(SETORES!$B:$B,MATCH(A957,SETORES!$A:$A,0))</f>
        <v>Clientes</v>
      </c>
      <c r="C957" s="11" t="s">
        <v>10</v>
      </c>
      <c r="D957" s="9" t="n">
        <f aca="false">IF(B957="Clientes",SUMIFS(PARÂMETROS!$D$8:$D$907,PARÂMETROS!$A$8:$A$907,C957,PARÂMETROS!$G$8:$G$907,J957),SUMIFS(PARÂMETROS!$E$8:$E$907,PARÂMETROS!$A$8:$A$907,C957,PARÂMETROS!$G$8:$G$907,J957))</f>
        <v>0.0337120251559568</v>
      </c>
      <c r="E957" s="21" t="n">
        <f aca="false">SUMIFS(SETORES!$D:$D,SETORES!$A:$A,A957,SETORES!$F:$F,J957)</f>
        <v>180358.470982411</v>
      </c>
      <c r="F957" s="21" t="n">
        <f aca="false">IFERROR(D957*E957,0)</f>
        <v>6080.24931084894</v>
      </c>
      <c r="G957" s="9" t="n">
        <f aca="false">SUMIFS(PARÂMETROS!$F$8:$F$907,PARÂMETROS!$A$8:$A$907,C957,PARÂMETROS!$G$8:$G$907,J957)</f>
        <v>0</v>
      </c>
      <c r="H957" s="21" t="n">
        <f aca="false">IFERROR(F957*G957,0)</f>
        <v>0</v>
      </c>
      <c r="I957" s="21" t="n">
        <f aca="false">F957+H957</f>
        <v>6080.24931084894</v>
      </c>
      <c r="J957" s="11" t="s">
        <v>88</v>
      </c>
    </row>
    <row r="958" customFormat="false" ht="14.25" hidden="false" customHeight="true" outlineLevel="0" collapsed="false">
      <c r="A958" s="16" t="s">
        <v>37</v>
      </c>
      <c r="B958" s="16" t="str">
        <f aca="false">INDEX(SETORES!$B:$B,MATCH(A958,SETORES!$A:$A,0))</f>
        <v>Clientes</v>
      </c>
      <c r="C958" s="16" t="s">
        <v>12</v>
      </c>
      <c r="D958" s="14" t="n">
        <f aca="false">IF(B958="Clientes",SUMIFS(PARÂMETROS!$D$8:$D$907,PARÂMETROS!$A$8:$A$907,C958,PARÂMETROS!$G$8:$G$907,J958),SUMIFS(PARÂMETROS!$E$8:$E$907,PARÂMETROS!$A$8:$A$907,C958,PARÂMETROS!$G$8:$G$907,J958))</f>
        <v>0.0685195516559314</v>
      </c>
      <c r="E958" s="22" t="n">
        <f aca="false">SUMIFS(SETORES!$D:$D,SETORES!$A:$A,A958,SETORES!$F:$F,J958)</f>
        <v>180358.470982411</v>
      </c>
      <c r="F958" s="22" t="n">
        <f aca="false">IFERROR(D958*E958,0)</f>
        <v>12358.0815690641</v>
      </c>
      <c r="G958" s="14" t="n">
        <f aca="false">SUMIFS(PARÂMETROS!$F$8:$F$907,PARÂMETROS!$A$8:$A$907,C958,PARÂMETROS!$G$8:$G$907,J958)</f>
        <v>0</v>
      </c>
      <c r="H958" s="22" t="n">
        <f aca="false">IFERROR(F958*G958,0)</f>
        <v>0</v>
      </c>
      <c r="I958" s="22" t="n">
        <f aca="false">F958+H958</f>
        <v>12358.0815690641</v>
      </c>
      <c r="J958" s="16" t="s">
        <v>88</v>
      </c>
    </row>
    <row r="959" customFormat="false" ht="14.25" hidden="false" customHeight="true" outlineLevel="0" collapsed="false">
      <c r="A959" s="11" t="s">
        <v>37</v>
      </c>
      <c r="B959" s="20" t="str">
        <f aca="false">INDEX(SETORES!$B:$B,MATCH(A959,SETORES!$A:$A,0))</f>
        <v>Clientes</v>
      </c>
      <c r="C959" s="11" t="s">
        <v>13</v>
      </c>
      <c r="D959" s="9" t="n">
        <f aca="false">IF(B959="Clientes",SUMIFS(PARÂMETROS!$D$8:$D$907,PARÂMETROS!$A$8:$A$907,C959,PARÂMETROS!$G$8:$G$907,J959),SUMIFS(PARÂMETROS!$E$8:$E$907,PARÂMETROS!$A$8:$A$907,C959,PARÂMETROS!$G$8:$G$907,J959))</f>
        <v>0.0745397372825481</v>
      </c>
      <c r="E959" s="21" t="n">
        <f aca="false">SUMIFS(SETORES!$D:$D,SETORES!$A:$A,A959,SETORES!$F:$F,J959)</f>
        <v>180358.470982411</v>
      </c>
      <c r="F959" s="21" t="n">
        <f aca="false">IFERROR(D959*E959,0)</f>
        <v>13443.873043711</v>
      </c>
      <c r="G959" s="9" t="n">
        <f aca="false">SUMIFS(PARÂMETROS!$F$8:$F$907,PARÂMETROS!$A$8:$A$907,C959,PARÂMETROS!$G$8:$G$907,J959)</f>
        <v>0</v>
      </c>
      <c r="H959" s="21" t="n">
        <f aca="false">IFERROR(F959*G959,0)</f>
        <v>0</v>
      </c>
      <c r="I959" s="21" t="n">
        <f aca="false">F959+H959</f>
        <v>13443.873043711</v>
      </c>
      <c r="J959" s="11" t="s">
        <v>88</v>
      </c>
    </row>
    <row r="960" customFormat="false" ht="14.25" hidden="false" customHeight="true" outlineLevel="0" collapsed="false">
      <c r="A960" s="16" t="s">
        <v>37</v>
      </c>
      <c r="B960" s="16" t="str">
        <f aca="false">INDEX(SETORES!$B:$B,MATCH(A960,SETORES!$A:$A,0))</f>
        <v>Clientes</v>
      </c>
      <c r="C960" s="16" t="s">
        <v>14</v>
      </c>
      <c r="D960" s="14" t="n">
        <f aca="false">IF(B960="Clientes",SUMIFS(PARÂMETROS!$D$8:$D$907,PARÂMETROS!$A$8:$A$907,C960,PARÂMETROS!$G$8:$G$907,J960),SUMIFS(PARÂMETROS!$E$8:$E$907,PARÂMETROS!$A$8:$A$907,C960,PARÂMETROS!$G$8:$G$907,J960))</f>
        <v>0.018943044073642</v>
      </c>
      <c r="E960" s="22" t="n">
        <f aca="false">SUMIFS(SETORES!$D:$D,SETORES!$A:$A,A960,SETORES!$F:$F,J960)</f>
        <v>180358.470982411</v>
      </c>
      <c r="F960" s="22" t="n">
        <f aca="false">IFERROR(D960*E960,0)</f>
        <v>3416.5384648745</v>
      </c>
      <c r="G960" s="14" t="n">
        <f aca="false">SUMIFS(PARÂMETROS!$F$8:$F$907,PARÂMETROS!$A$8:$A$907,C960,PARÂMETROS!$G$8:$G$907,J960)</f>
        <v>0</v>
      </c>
      <c r="H960" s="22" t="n">
        <f aca="false">IFERROR(F960*G960,0)</f>
        <v>0</v>
      </c>
      <c r="I960" s="22" t="n">
        <f aca="false">F960+H960</f>
        <v>3416.5384648745</v>
      </c>
      <c r="J960" s="16" t="s">
        <v>88</v>
      </c>
    </row>
    <row r="961" customFormat="false" ht="14.25" hidden="false" customHeight="true" outlineLevel="0" collapsed="false">
      <c r="A961" s="11" t="s">
        <v>37</v>
      </c>
      <c r="B961" s="20" t="str">
        <f aca="false">INDEX(SETORES!$B:$B,MATCH(A961,SETORES!$A:$A,0))</f>
        <v>Clientes</v>
      </c>
      <c r="C961" s="11" t="s">
        <v>15</v>
      </c>
      <c r="D961" s="9" t="n">
        <f aca="false">IF(B961="Clientes",SUMIFS(PARÂMETROS!$D$8:$D$907,PARÂMETROS!$A$8:$A$907,C961,PARÂMETROS!$G$8:$G$907,J961),SUMIFS(PARÂMETROS!$E$8:$E$907,PARÂMETROS!$A$8:$A$907,C961,PARÂMETROS!$G$8:$G$907,J961))</f>
        <v>0.0334787239438048</v>
      </c>
      <c r="E961" s="21" t="n">
        <f aca="false">SUMIFS(SETORES!$D:$D,SETORES!$A:$A,A961,SETORES!$F:$F,J961)</f>
        <v>180358.470982411</v>
      </c>
      <c r="F961" s="21" t="n">
        <f aca="false">IFERROR(D961*E961,0)</f>
        <v>6038.17146094687</v>
      </c>
      <c r="G961" s="9" t="n">
        <f aca="false">SUMIFS(PARÂMETROS!$F$8:$F$907,PARÂMETROS!$A$8:$A$907,C961,PARÂMETROS!$G$8:$G$907,J961)</f>
        <v>0</v>
      </c>
      <c r="H961" s="21" t="n">
        <f aca="false">IFERROR(F961*G961,0)</f>
        <v>0</v>
      </c>
      <c r="I961" s="21" t="n">
        <f aca="false">F961+H961</f>
        <v>6038.17146094687</v>
      </c>
      <c r="J961" s="11" t="s">
        <v>88</v>
      </c>
    </row>
    <row r="962" customFormat="false" ht="14.25" hidden="false" customHeight="true" outlineLevel="0" collapsed="false">
      <c r="A962" s="16" t="s">
        <v>37</v>
      </c>
      <c r="B962" s="16" t="str">
        <f aca="false">INDEX(SETORES!$B:$B,MATCH(A962,SETORES!$A:$A,0))</f>
        <v>Clientes</v>
      </c>
      <c r="C962" s="16" t="s">
        <v>16</v>
      </c>
      <c r="D962" s="14" t="n">
        <f aca="false">IF(B962="Clientes",SUMIFS(PARÂMETROS!$D$8:$D$907,PARÂMETROS!$A$8:$A$907,C962,PARÂMETROS!$G$8:$G$907,J962),SUMIFS(PARÂMETROS!$E$8:$E$907,PARÂMETROS!$A$8:$A$907,C962,PARÂMETROS!$G$8:$G$907,J962))</f>
        <v>0.0242886848912106</v>
      </c>
      <c r="E962" s="22" t="n">
        <f aca="false">SUMIFS(SETORES!$D:$D,SETORES!$A:$A,A962,SETORES!$F:$F,J962)</f>
        <v>180358.470982411</v>
      </c>
      <c r="F962" s="22" t="n">
        <f aca="false">IFERROR(D962*E962,0)</f>
        <v>4380.67006915234</v>
      </c>
      <c r="G962" s="14" t="n">
        <f aca="false">SUMIFS(PARÂMETROS!$F$8:$F$907,PARÂMETROS!$A$8:$A$907,C962,PARÂMETROS!$G$8:$G$907,J962)</f>
        <v>0</v>
      </c>
      <c r="H962" s="22" t="n">
        <f aca="false">IFERROR(F962*G962,0)</f>
        <v>0</v>
      </c>
      <c r="I962" s="22" t="n">
        <f aca="false">F962+H962</f>
        <v>4380.67006915234</v>
      </c>
      <c r="J962" s="16" t="s">
        <v>88</v>
      </c>
    </row>
    <row r="963" customFormat="false" ht="14.25" hidden="false" customHeight="true" outlineLevel="0" collapsed="false">
      <c r="A963" s="11" t="s">
        <v>37</v>
      </c>
      <c r="B963" s="20" t="str">
        <f aca="false">INDEX(SETORES!$B:$B,MATCH(A963,SETORES!$A:$A,0))</f>
        <v>Clientes</v>
      </c>
      <c r="C963" s="11" t="s">
        <v>17</v>
      </c>
      <c r="D963" s="9" t="n">
        <f aca="false">IF(B963="Clientes",SUMIFS(PARÂMETROS!$D$8:$D$907,PARÂMETROS!$A$8:$A$907,C963,PARÂMETROS!$G$8:$G$907,J963),SUMIFS(PARÂMETROS!$E$8:$E$907,PARÂMETROS!$A$8:$A$907,C963,PARÂMETROS!$G$8:$G$907,J963))</f>
        <v>0.0243241872495816</v>
      </c>
      <c r="E963" s="21" t="n">
        <f aca="false">SUMIFS(SETORES!$D:$D,SETORES!$A:$A,A963,SETORES!$F:$F,J963)</f>
        <v>180358.470982411</v>
      </c>
      <c r="F963" s="21" t="n">
        <f aca="false">IFERROR(D963*E963,0)</f>
        <v>4387.07322022439</v>
      </c>
      <c r="G963" s="9" t="n">
        <f aca="false">SUMIFS(PARÂMETROS!$F$8:$F$907,PARÂMETROS!$A$8:$A$907,C963,PARÂMETROS!$G$8:$G$907,J963)</f>
        <v>0</v>
      </c>
      <c r="H963" s="21" t="n">
        <f aca="false">IFERROR(F963*G963,0)</f>
        <v>0</v>
      </c>
      <c r="I963" s="21" t="n">
        <f aca="false">F963+H963</f>
        <v>4387.07322022439</v>
      </c>
      <c r="J963" s="11" t="s">
        <v>88</v>
      </c>
    </row>
    <row r="964" customFormat="false" ht="14.25" hidden="false" customHeight="true" outlineLevel="0" collapsed="false">
      <c r="A964" s="16" t="s">
        <v>37</v>
      </c>
      <c r="B964" s="16" t="str">
        <f aca="false">INDEX(SETORES!$B:$B,MATCH(A964,SETORES!$A:$A,0))</f>
        <v>Clientes</v>
      </c>
      <c r="C964" s="16" t="s">
        <v>18</v>
      </c>
      <c r="D964" s="14" t="n">
        <f aca="false">IF(B964="Clientes",SUMIFS(PARÂMETROS!$D$8:$D$907,PARÂMETROS!$A$8:$A$907,C964,PARÂMETROS!$G$8:$G$907,J964),SUMIFS(PARÂMETROS!$E$8:$E$907,PARÂMETROS!$A$8:$A$907,C964,PARÂMETROS!$G$8:$G$907,J964))</f>
        <v>0.722194045747325</v>
      </c>
      <c r="E964" s="22" t="n">
        <f aca="false">SUMIFS(SETORES!$D:$D,SETORES!$A:$A,A964,SETORES!$F:$F,J964)</f>
        <v>180358.470982411</v>
      </c>
      <c r="F964" s="22" t="n">
        <f aca="false">IFERROR(D964*E964,0)</f>
        <v>130253.813843589</v>
      </c>
      <c r="G964" s="14" t="n">
        <f aca="false">SUMIFS(PARÂMETROS!$F$8:$F$907,PARÂMETROS!$A$8:$A$907,C964,PARÂMETROS!$G$8:$G$907,J964)</f>
        <v>0</v>
      </c>
      <c r="H964" s="22" t="n">
        <f aca="false">IFERROR(F964*G964,0)</f>
        <v>0</v>
      </c>
      <c r="I964" s="22" t="n">
        <f aca="false">F964+H964</f>
        <v>130253.813843589</v>
      </c>
      <c r="J964" s="16" t="s">
        <v>88</v>
      </c>
    </row>
    <row r="965" customFormat="false" ht="14.25" hidden="false" customHeight="true" outlineLevel="0" collapsed="false">
      <c r="A965" s="11" t="s">
        <v>38</v>
      </c>
      <c r="B965" s="20" t="str">
        <f aca="false">INDEX(SETORES!$B:$B,MATCH(A965,SETORES!$A:$A,0))</f>
        <v>Clientes</v>
      </c>
      <c r="C965" s="11" t="s">
        <v>10</v>
      </c>
      <c r="D965" s="9" t="n">
        <f aca="false">IF(B965="Clientes",SUMIFS(PARÂMETROS!$D$8:$D$907,PARÂMETROS!$A$8:$A$907,C965,PARÂMETROS!$G$8:$G$907,J965),SUMIFS(PARÂMETROS!$E$8:$E$907,PARÂMETROS!$A$8:$A$907,C965,PARÂMETROS!$G$8:$G$907,J965))</f>
        <v>0.0337120251559568</v>
      </c>
      <c r="E965" s="21" t="n">
        <f aca="false">SUMIFS(SETORES!$D:$D,SETORES!$A:$A,A965,SETORES!$F:$F,J965)</f>
        <v>54614.4610931272</v>
      </c>
      <c r="F965" s="21" t="n">
        <f aca="false">IFERROR(D965*E965,0)</f>
        <v>1841.16408625053</v>
      </c>
      <c r="G965" s="9" t="n">
        <f aca="false">SUMIFS(PARÂMETROS!$F$8:$F$907,PARÂMETROS!$A$8:$A$907,C965,PARÂMETROS!$G$8:$G$907,J965)</f>
        <v>0</v>
      </c>
      <c r="H965" s="21" t="n">
        <f aca="false">IFERROR(F965*G965,0)</f>
        <v>0</v>
      </c>
      <c r="I965" s="21" t="n">
        <f aca="false">F965+H965</f>
        <v>1841.16408625053</v>
      </c>
      <c r="J965" s="11" t="s">
        <v>88</v>
      </c>
    </row>
    <row r="966" customFormat="false" ht="14.25" hidden="false" customHeight="true" outlineLevel="0" collapsed="false">
      <c r="A966" s="16" t="s">
        <v>38</v>
      </c>
      <c r="B966" s="16" t="str">
        <f aca="false">INDEX(SETORES!$B:$B,MATCH(A966,SETORES!$A:$A,0))</f>
        <v>Clientes</v>
      </c>
      <c r="C966" s="16" t="s">
        <v>12</v>
      </c>
      <c r="D966" s="14" t="n">
        <f aca="false">IF(B966="Clientes",SUMIFS(PARÂMETROS!$D$8:$D$907,PARÂMETROS!$A$8:$A$907,C966,PARÂMETROS!$G$8:$G$907,J966),SUMIFS(PARÂMETROS!$E$8:$E$907,PARÂMETROS!$A$8:$A$907,C966,PARÂMETROS!$G$8:$G$907,J966))</f>
        <v>0.0685195516559314</v>
      </c>
      <c r="E966" s="22" t="n">
        <f aca="false">SUMIFS(SETORES!$D:$D,SETORES!$A:$A,A966,SETORES!$F:$F,J966)</f>
        <v>54614.4610931272</v>
      </c>
      <c r="F966" s="22" t="n">
        <f aca="false">IFERROR(D966*E966,0)</f>
        <v>3742.15838803139</v>
      </c>
      <c r="G966" s="14" t="n">
        <f aca="false">SUMIFS(PARÂMETROS!$F$8:$F$907,PARÂMETROS!$A$8:$A$907,C966,PARÂMETROS!$G$8:$G$907,J966)</f>
        <v>0</v>
      </c>
      <c r="H966" s="22" t="n">
        <f aca="false">IFERROR(F966*G966,0)</f>
        <v>0</v>
      </c>
      <c r="I966" s="22" t="n">
        <f aca="false">F966+H966</f>
        <v>3742.15838803139</v>
      </c>
      <c r="J966" s="16" t="s">
        <v>88</v>
      </c>
    </row>
    <row r="967" customFormat="false" ht="14.25" hidden="false" customHeight="true" outlineLevel="0" collapsed="false">
      <c r="A967" s="11" t="s">
        <v>38</v>
      </c>
      <c r="B967" s="20" t="str">
        <f aca="false">INDEX(SETORES!$B:$B,MATCH(A967,SETORES!$A:$A,0))</f>
        <v>Clientes</v>
      </c>
      <c r="C967" s="11" t="s">
        <v>13</v>
      </c>
      <c r="D967" s="9" t="n">
        <f aca="false">IF(B967="Clientes",SUMIFS(PARÂMETROS!$D$8:$D$907,PARÂMETROS!$A$8:$A$907,C967,PARÂMETROS!$G$8:$G$907,J967),SUMIFS(PARÂMETROS!$E$8:$E$907,PARÂMETROS!$A$8:$A$907,C967,PARÂMETROS!$G$8:$G$907,J967))</f>
        <v>0.0745397372825481</v>
      </c>
      <c r="E967" s="21" t="n">
        <f aca="false">SUMIFS(SETORES!$D:$D,SETORES!$A:$A,A967,SETORES!$F:$F,J967)</f>
        <v>54614.4610931272</v>
      </c>
      <c r="F967" s="21" t="n">
        <f aca="false">IFERROR(D967*E967,0)</f>
        <v>4070.94758170964</v>
      </c>
      <c r="G967" s="9" t="n">
        <f aca="false">SUMIFS(PARÂMETROS!$F$8:$F$907,PARÂMETROS!$A$8:$A$907,C967,PARÂMETROS!$G$8:$G$907,J967)</f>
        <v>0</v>
      </c>
      <c r="H967" s="21" t="n">
        <f aca="false">IFERROR(F967*G967,0)</f>
        <v>0</v>
      </c>
      <c r="I967" s="21" t="n">
        <f aca="false">F967+H967</f>
        <v>4070.94758170964</v>
      </c>
      <c r="J967" s="11" t="s">
        <v>88</v>
      </c>
    </row>
    <row r="968" customFormat="false" ht="14.25" hidden="false" customHeight="true" outlineLevel="0" collapsed="false">
      <c r="A968" s="16" t="s">
        <v>38</v>
      </c>
      <c r="B968" s="16" t="str">
        <f aca="false">INDEX(SETORES!$B:$B,MATCH(A968,SETORES!$A:$A,0))</f>
        <v>Clientes</v>
      </c>
      <c r="C968" s="16" t="s">
        <v>14</v>
      </c>
      <c r="D968" s="14" t="n">
        <f aca="false">IF(B968="Clientes",SUMIFS(PARÂMETROS!$D$8:$D$907,PARÂMETROS!$A$8:$A$907,C968,PARÂMETROS!$G$8:$G$907,J968),SUMIFS(PARÂMETROS!$E$8:$E$907,PARÂMETROS!$A$8:$A$907,C968,PARÂMETROS!$G$8:$G$907,J968))</f>
        <v>0.018943044073642</v>
      </c>
      <c r="E968" s="22" t="n">
        <f aca="false">SUMIFS(SETORES!$D:$D,SETORES!$A:$A,A968,SETORES!$F:$F,J968)</f>
        <v>54614.4610931272</v>
      </c>
      <c r="F968" s="22" t="n">
        <f aca="false">IFERROR(D968*E968,0)</f>
        <v>1034.56414354532</v>
      </c>
      <c r="G968" s="14" t="n">
        <f aca="false">SUMIFS(PARÂMETROS!$F$8:$F$907,PARÂMETROS!$A$8:$A$907,C968,PARÂMETROS!$G$8:$G$907,J968)</f>
        <v>0</v>
      </c>
      <c r="H968" s="22" t="n">
        <f aca="false">IFERROR(F968*G968,0)</f>
        <v>0</v>
      </c>
      <c r="I968" s="22" t="n">
        <f aca="false">F968+H968</f>
        <v>1034.56414354532</v>
      </c>
      <c r="J968" s="16" t="s">
        <v>88</v>
      </c>
    </row>
    <row r="969" customFormat="false" ht="14.25" hidden="false" customHeight="true" outlineLevel="0" collapsed="false">
      <c r="A969" s="11" t="s">
        <v>38</v>
      </c>
      <c r="B969" s="20" t="str">
        <f aca="false">INDEX(SETORES!$B:$B,MATCH(A969,SETORES!$A:$A,0))</f>
        <v>Clientes</v>
      </c>
      <c r="C969" s="11" t="s">
        <v>15</v>
      </c>
      <c r="D969" s="9" t="n">
        <f aca="false">IF(B969="Clientes",SUMIFS(PARÂMETROS!$D$8:$D$907,PARÂMETROS!$A$8:$A$907,C969,PARÂMETROS!$G$8:$G$907,J969),SUMIFS(PARÂMETROS!$E$8:$E$907,PARÂMETROS!$A$8:$A$907,C969,PARÂMETROS!$G$8:$G$907,J969))</f>
        <v>0.0334787239438048</v>
      </c>
      <c r="E969" s="21" t="n">
        <f aca="false">SUMIFS(SETORES!$D:$D,SETORES!$A:$A,A969,SETORES!$F:$F,J969)</f>
        <v>54614.4610931272</v>
      </c>
      <c r="F969" s="21" t="n">
        <f aca="false">IFERROR(D969*E969,0)</f>
        <v>1828.42246627648</v>
      </c>
      <c r="G969" s="9" t="n">
        <f aca="false">SUMIFS(PARÂMETROS!$F$8:$F$907,PARÂMETROS!$A$8:$A$907,C969,PARÂMETROS!$G$8:$G$907,J969)</f>
        <v>0</v>
      </c>
      <c r="H969" s="21" t="n">
        <f aca="false">IFERROR(F969*G969,0)</f>
        <v>0</v>
      </c>
      <c r="I969" s="21" t="n">
        <f aca="false">F969+H969</f>
        <v>1828.42246627648</v>
      </c>
      <c r="J969" s="11" t="s">
        <v>88</v>
      </c>
    </row>
    <row r="970" customFormat="false" ht="14.25" hidden="false" customHeight="true" outlineLevel="0" collapsed="false">
      <c r="A970" s="16" t="s">
        <v>38</v>
      </c>
      <c r="B970" s="16" t="str">
        <f aca="false">INDEX(SETORES!$B:$B,MATCH(A970,SETORES!$A:$A,0))</f>
        <v>Clientes</v>
      </c>
      <c r="C970" s="16" t="s">
        <v>16</v>
      </c>
      <c r="D970" s="14" t="n">
        <f aca="false">IF(B970="Clientes",SUMIFS(PARÂMETROS!$D$8:$D$907,PARÂMETROS!$A$8:$A$907,C970,PARÂMETROS!$G$8:$G$907,J970),SUMIFS(PARÂMETROS!$E$8:$E$907,PARÂMETROS!$A$8:$A$907,C970,PARÂMETROS!$G$8:$G$907,J970))</f>
        <v>0.0242886848912106</v>
      </c>
      <c r="E970" s="22" t="n">
        <f aca="false">SUMIFS(SETORES!$D:$D,SETORES!$A:$A,A970,SETORES!$F:$F,J970)</f>
        <v>54614.4610931272</v>
      </c>
      <c r="F970" s="22" t="n">
        <f aca="false">IFERROR(D970*E970,0)</f>
        <v>1326.51343599425</v>
      </c>
      <c r="G970" s="14" t="n">
        <f aca="false">SUMIFS(PARÂMETROS!$F$8:$F$907,PARÂMETROS!$A$8:$A$907,C970,PARÂMETROS!$G$8:$G$907,J970)</f>
        <v>0</v>
      </c>
      <c r="H970" s="22" t="n">
        <f aca="false">IFERROR(F970*G970,0)</f>
        <v>0</v>
      </c>
      <c r="I970" s="22" t="n">
        <f aca="false">F970+H970</f>
        <v>1326.51343599425</v>
      </c>
      <c r="J970" s="16" t="s">
        <v>88</v>
      </c>
    </row>
    <row r="971" customFormat="false" ht="14.25" hidden="false" customHeight="true" outlineLevel="0" collapsed="false">
      <c r="A971" s="11" t="s">
        <v>38</v>
      </c>
      <c r="B971" s="20" t="str">
        <f aca="false">INDEX(SETORES!$B:$B,MATCH(A971,SETORES!$A:$A,0))</f>
        <v>Clientes</v>
      </c>
      <c r="C971" s="11" t="s">
        <v>17</v>
      </c>
      <c r="D971" s="9" t="n">
        <f aca="false">IF(B971="Clientes",SUMIFS(PARÂMETROS!$D$8:$D$907,PARÂMETROS!$A$8:$A$907,C971,PARÂMETROS!$G$8:$G$907,J971),SUMIFS(PARÂMETROS!$E$8:$E$907,PARÂMETROS!$A$8:$A$907,C971,PARÂMETROS!$G$8:$G$907,J971))</f>
        <v>0.0243241872495816</v>
      </c>
      <c r="E971" s="21" t="n">
        <f aca="false">SUMIFS(SETORES!$D:$D,SETORES!$A:$A,A971,SETORES!$F:$F,J971)</f>
        <v>54614.4610931272</v>
      </c>
      <c r="F971" s="21" t="n">
        <f aca="false">IFERROR(D971*E971,0)</f>
        <v>1328.45237816421</v>
      </c>
      <c r="G971" s="9" t="n">
        <f aca="false">SUMIFS(PARÂMETROS!$F$8:$F$907,PARÂMETROS!$A$8:$A$907,C971,PARÂMETROS!$G$8:$G$907,J971)</f>
        <v>0</v>
      </c>
      <c r="H971" s="21" t="n">
        <f aca="false">IFERROR(F971*G971,0)</f>
        <v>0</v>
      </c>
      <c r="I971" s="21" t="n">
        <f aca="false">F971+H971</f>
        <v>1328.45237816421</v>
      </c>
      <c r="J971" s="11" t="s">
        <v>88</v>
      </c>
    </row>
    <row r="972" customFormat="false" ht="14.25" hidden="false" customHeight="true" outlineLevel="0" collapsed="false">
      <c r="A972" s="16" t="s">
        <v>38</v>
      </c>
      <c r="B972" s="16" t="str">
        <f aca="false">INDEX(SETORES!$B:$B,MATCH(A972,SETORES!$A:$A,0))</f>
        <v>Clientes</v>
      </c>
      <c r="C972" s="16" t="s">
        <v>18</v>
      </c>
      <c r="D972" s="14" t="n">
        <f aca="false">IF(B972="Clientes",SUMIFS(PARÂMETROS!$D$8:$D$907,PARÂMETROS!$A$8:$A$907,C972,PARÂMETROS!$G$8:$G$907,J972),SUMIFS(PARÂMETROS!$E$8:$E$907,PARÂMETROS!$A$8:$A$907,C972,PARÂMETROS!$G$8:$G$907,J972))</f>
        <v>0.722194045747325</v>
      </c>
      <c r="E972" s="22" t="n">
        <f aca="false">SUMIFS(SETORES!$D:$D,SETORES!$A:$A,A972,SETORES!$F:$F,J972)</f>
        <v>54614.4610931272</v>
      </c>
      <c r="F972" s="22" t="n">
        <f aca="false">IFERROR(D972*E972,0)</f>
        <v>39442.2386131554</v>
      </c>
      <c r="G972" s="14" t="n">
        <f aca="false">SUMIFS(PARÂMETROS!$F$8:$F$907,PARÂMETROS!$A$8:$A$907,C972,PARÂMETROS!$G$8:$G$907,J972)</f>
        <v>0</v>
      </c>
      <c r="H972" s="22" t="n">
        <f aca="false">IFERROR(F972*G972,0)</f>
        <v>0</v>
      </c>
      <c r="I972" s="22" t="n">
        <f aca="false">F972+H972</f>
        <v>39442.2386131554</v>
      </c>
      <c r="J972" s="16" t="s">
        <v>88</v>
      </c>
    </row>
    <row r="973" customFormat="false" ht="14.25" hidden="false" customHeight="true" outlineLevel="0" collapsed="false">
      <c r="A973" s="11" t="s">
        <v>39</v>
      </c>
      <c r="B973" s="20" t="str">
        <f aca="false">INDEX(SETORES!$B:$B,MATCH(A973,SETORES!$A:$A,0))</f>
        <v>Clientes</v>
      </c>
      <c r="C973" s="11" t="s">
        <v>10</v>
      </c>
      <c r="D973" s="9" t="n">
        <f aca="false">IF(B973="Clientes",SUMIFS(PARÂMETROS!$D$8:$D$907,PARÂMETROS!$A$8:$A$907,C973,PARÂMETROS!$G$8:$G$907,J973),SUMIFS(PARÂMETROS!$E$8:$E$907,PARÂMETROS!$A$8:$A$907,C973,PARÂMETROS!$G$8:$G$907,J973))</f>
        <v>0.0337120251559568</v>
      </c>
      <c r="E973" s="21" t="n">
        <f aca="false">SUMIFS(SETORES!$D:$D,SETORES!$A:$A,A973,SETORES!$F:$F,J973)</f>
        <v>53510.3780321174</v>
      </c>
      <c r="F973" s="21" t="n">
        <f aca="false">IFERROR(D973*E973,0)</f>
        <v>1803.9432103235</v>
      </c>
      <c r="G973" s="9" t="n">
        <f aca="false">SUMIFS(PARÂMETROS!$F$8:$F$907,PARÂMETROS!$A$8:$A$907,C973,PARÂMETROS!$G$8:$G$907,J973)</f>
        <v>0</v>
      </c>
      <c r="H973" s="21" t="n">
        <f aca="false">IFERROR(F973*G973,0)</f>
        <v>0</v>
      </c>
      <c r="I973" s="21" t="n">
        <f aca="false">F973+H973</f>
        <v>1803.9432103235</v>
      </c>
      <c r="J973" s="11" t="s">
        <v>88</v>
      </c>
    </row>
    <row r="974" customFormat="false" ht="14.25" hidden="false" customHeight="true" outlineLevel="0" collapsed="false">
      <c r="A974" s="16" t="s">
        <v>39</v>
      </c>
      <c r="B974" s="16" t="str">
        <f aca="false">INDEX(SETORES!$B:$B,MATCH(A974,SETORES!$A:$A,0))</f>
        <v>Clientes</v>
      </c>
      <c r="C974" s="16" t="s">
        <v>12</v>
      </c>
      <c r="D974" s="14" t="n">
        <f aca="false">IF(B974="Clientes",SUMIFS(PARÂMETROS!$D$8:$D$907,PARÂMETROS!$A$8:$A$907,C974,PARÂMETROS!$G$8:$G$907,J974),SUMIFS(PARÂMETROS!$E$8:$E$907,PARÂMETROS!$A$8:$A$907,C974,PARÂMETROS!$G$8:$G$907,J974))</f>
        <v>0.0685195516559314</v>
      </c>
      <c r="E974" s="22" t="n">
        <f aca="false">SUMIFS(SETORES!$D:$D,SETORES!$A:$A,A974,SETORES!$F:$F,J974)</f>
        <v>53510.3780321174</v>
      </c>
      <c r="F974" s="22" t="n">
        <f aca="false">IFERROR(D974*E974,0)</f>
        <v>3666.50711170009</v>
      </c>
      <c r="G974" s="14" t="n">
        <f aca="false">SUMIFS(PARÂMETROS!$F$8:$F$907,PARÂMETROS!$A$8:$A$907,C974,PARÂMETROS!$G$8:$G$907,J974)</f>
        <v>0</v>
      </c>
      <c r="H974" s="22" t="n">
        <f aca="false">IFERROR(F974*G974,0)</f>
        <v>0</v>
      </c>
      <c r="I974" s="22" t="n">
        <f aca="false">F974+H974</f>
        <v>3666.50711170009</v>
      </c>
      <c r="J974" s="16" t="s">
        <v>88</v>
      </c>
    </row>
    <row r="975" customFormat="false" ht="14.25" hidden="false" customHeight="true" outlineLevel="0" collapsed="false">
      <c r="A975" s="11" t="s">
        <v>39</v>
      </c>
      <c r="B975" s="20" t="str">
        <f aca="false">INDEX(SETORES!$B:$B,MATCH(A975,SETORES!$A:$A,0))</f>
        <v>Clientes</v>
      </c>
      <c r="C975" s="11" t="s">
        <v>13</v>
      </c>
      <c r="D975" s="9" t="n">
        <f aca="false">IF(B975="Clientes",SUMIFS(PARÂMETROS!$D$8:$D$907,PARÂMETROS!$A$8:$A$907,C975,PARÂMETROS!$G$8:$G$907,J975),SUMIFS(PARÂMETROS!$E$8:$E$907,PARÂMETROS!$A$8:$A$907,C975,PARÂMETROS!$G$8:$G$907,J975))</f>
        <v>0.0745397372825481</v>
      </c>
      <c r="E975" s="21" t="n">
        <f aca="false">SUMIFS(SETORES!$D:$D,SETORES!$A:$A,A975,SETORES!$F:$F,J975)</f>
        <v>53510.3780321174</v>
      </c>
      <c r="F975" s="21" t="n">
        <f aca="false">IFERROR(D975*E975,0)</f>
        <v>3988.64952040386</v>
      </c>
      <c r="G975" s="9" t="n">
        <f aca="false">SUMIFS(PARÂMETROS!$F$8:$F$907,PARÂMETROS!$A$8:$A$907,C975,PARÂMETROS!$G$8:$G$907,J975)</f>
        <v>0</v>
      </c>
      <c r="H975" s="21" t="n">
        <f aca="false">IFERROR(F975*G975,0)</f>
        <v>0</v>
      </c>
      <c r="I975" s="21" t="n">
        <f aca="false">F975+H975</f>
        <v>3988.64952040386</v>
      </c>
      <c r="J975" s="11" t="s">
        <v>88</v>
      </c>
    </row>
    <row r="976" customFormat="false" ht="14.25" hidden="false" customHeight="true" outlineLevel="0" collapsed="false">
      <c r="A976" s="16" t="s">
        <v>39</v>
      </c>
      <c r="B976" s="16" t="str">
        <f aca="false">INDEX(SETORES!$B:$B,MATCH(A976,SETORES!$A:$A,0))</f>
        <v>Clientes</v>
      </c>
      <c r="C976" s="16" t="s">
        <v>14</v>
      </c>
      <c r="D976" s="14" t="n">
        <f aca="false">IF(B976="Clientes",SUMIFS(PARÂMETROS!$D$8:$D$907,PARÂMETROS!$A$8:$A$907,C976,PARÂMETROS!$G$8:$G$907,J976),SUMIFS(PARÂMETROS!$E$8:$E$907,PARÂMETROS!$A$8:$A$907,C976,PARÂMETROS!$G$8:$G$907,J976))</f>
        <v>0.018943044073642</v>
      </c>
      <c r="E976" s="22" t="n">
        <f aca="false">SUMIFS(SETORES!$D:$D,SETORES!$A:$A,A976,SETORES!$F:$F,J976)</f>
        <v>53510.3780321174</v>
      </c>
      <c r="F976" s="22" t="n">
        <f aca="false">IFERROR(D976*E976,0)</f>
        <v>1013.64944945965</v>
      </c>
      <c r="G976" s="14" t="n">
        <f aca="false">SUMIFS(PARÂMETROS!$F$8:$F$907,PARÂMETROS!$A$8:$A$907,C976,PARÂMETROS!$G$8:$G$907,J976)</f>
        <v>0</v>
      </c>
      <c r="H976" s="22" t="n">
        <f aca="false">IFERROR(F976*G976,0)</f>
        <v>0</v>
      </c>
      <c r="I976" s="22" t="n">
        <f aca="false">F976+H976</f>
        <v>1013.64944945965</v>
      </c>
      <c r="J976" s="16" t="s">
        <v>88</v>
      </c>
    </row>
    <row r="977" customFormat="false" ht="14.25" hidden="false" customHeight="true" outlineLevel="0" collapsed="false">
      <c r="A977" s="11" t="s">
        <v>39</v>
      </c>
      <c r="B977" s="20" t="str">
        <f aca="false">INDEX(SETORES!$B:$B,MATCH(A977,SETORES!$A:$A,0))</f>
        <v>Clientes</v>
      </c>
      <c r="C977" s="11" t="s">
        <v>15</v>
      </c>
      <c r="D977" s="9" t="n">
        <f aca="false">IF(B977="Clientes",SUMIFS(PARÂMETROS!$D$8:$D$907,PARÂMETROS!$A$8:$A$907,C977,PARÂMETROS!$G$8:$G$907,J977),SUMIFS(PARÂMETROS!$E$8:$E$907,PARÂMETROS!$A$8:$A$907,C977,PARÂMETROS!$G$8:$G$907,J977))</f>
        <v>0.0334787239438048</v>
      </c>
      <c r="E977" s="21" t="n">
        <f aca="false">SUMIFS(SETORES!$D:$D,SETORES!$A:$A,A977,SETORES!$F:$F,J977)</f>
        <v>53510.3780321174</v>
      </c>
      <c r="F977" s="21" t="n">
        <f aca="false">IFERROR(D977*E977,0)</f>
        <v>1791.4591742659</v>
      </c>
      <c r="G977" s="9" t="n">
        <f aca="false">SUMIFS(PARÂMETROS!$F$8:$F$907,PARÂMETROS!$A$8:$A$907,C977,PARÂMETROS!$G$8:$G$907,J977)</f>
        <v>0</v>
      </c>
      <c r="H977" s="21" t="n">
        <f aca="false">IFERROR(F977*G977,0)</f>
        <v>0</v>
      </c>
      <c r="I977" s="21" t="n">
        <f aca="false">F977+H977</f>
        <v>1791.4591742659</v>
      </c>
      <c r="J977" s="11" t="s">
        <v>88</v>
      </c>
    </row>
    <row r="978" customFormat="false" ht="14.25" hidden="false" customHeight="true" outlineLevel="0" collapsed="false">
      <c r="A978" s="16" t="s">
        <v>39</v>
      </c>
      <c r="B978" s="16" t="str">
        <f aca="false">INDEX(SETORES!$B:$B,MATCH(A978,SETORES!$A:$A,0))</f>
        <v>Clientes</v>
      </c>
      <c r="C978" s="16" t="s">
        <v>16</v>
      </c>
      <c r="D978" s="14" t="n">
        <f aca="false">IF(B978="Clientes",SUMIFS(PARÂMETROS!$D$8:$D$907,PARÂMETROS!$A$8:$A$907,C978,PARÂMETROS!$G$8:$G$907,J978),SUMIFS(PARÂMETROS!$E$8:$E$907,PARÂMETROS!$A$8:$A$907,C978,PARÂMETROS!$G$8:$G$907,J978))</f>
        <v>0.0242886848912106</v>
      </c>
      <c r="E978" s="22" t="n">
        <f aca="false">SUMIFS(SETORES!$D:$D,SETORES!$A:$A,A978,SETORES!$F:$F,J978)</f>
        <v>53510.3780321174</v>
      </c>
      <c r="F978" s="22" t="n">
        <f aca="false">IFERROR(D978*E978,0)</f>
        <v>1299.69671043166</v>
      </c>
      <c r="G978" s="14" t="n">
        <f aca="false">SUMIFS(PARÂMETROS!$F$8:$F$907,PARÂMETROS!$A$8:$A$907,C978,PARÂMETROS!$G$8:$G$907,J978)</f>
        <v>0</v>
      </c>
      <c r="H978" s="22" t="n">
        <f aca="false">IFERROR(F978*G978,0)</f>
        <v>0</v>
      </c>
      <c r="I978" s="22" t="n">
        <f aca="false">F978+H978</f>
        <v>1299.69671043166</v>
      </c>
      <c r="J978" s="16" t="s">
        <v>88</v>
      </c>
    </row>
    <row r="979" customFormat="false" ht="14.25" hidden="false" customHeight="true" outlineLevel="0" collapsed="false">
      <c r="A979" s="11" t="s">
        <v>39</v>
      </c>
      <c r="B979" s="20" t="str">
        <f aca="false">INDEX(SETORES!$B:$B,MATCH(A979,SETORES!$A:$A,0))</f>
        <v>Clientes</v>
      </c>
      <c r="C979" s="11" t="s">
        <v>17</v>
      </c>
      <c r="D979" s="9" t="n">
        <f aca="false">IF(B979="Clientes",SUMIFS(PARÂMETROS!$D$8:$D$907,PARÂMETROS!$A$8:$A$907,C979,PARÂMETROS!$G$8:$G$907,J979),SUMIFS(PARÂMETROS!$E$8:$E$907,PARÂMETROS!$A$8:$A$907,C979,PARÂMETROS!$G$8:$G$907,J979))</f>
        <v>0.0243241872495816</v>
      </c>
      <c r="E979" s="21" t="n">
        <f aca="false">SUMIFS(SETORES!$D:$D,SETORES!$A:$A,A979,SETORES!$F:$F,J979)</f>
        <v>53510.3780321174</v>
      </c>
      <c r="F979" s="21" t="n">
        <f aca="false">IFERROR(D979*E979,0)</f>
        <v>1301.59645504912</v>
      </c>
      <c r="G979" s="9" t="n">
        <f aca="false">SUMIFS(PARÂMETROS!$F$8:$F$907,PARÂMETROS!$A$8:$A$907,C979,PARÂMETROS!$G$8:$G$907,J979)</f>
        <v>0</v>
      </c>
      <c r="H979" s="21" t="n">
        <f aca="false">IFERROR(F979*G979,0)</f>
        <v>0</v>
      </c>
      <c r="I979" s="21" t="n">
        <f aca="false">F979+H979</f>
        <v>1301.59645504912</v>
      </c>
      <c r="J979" s="11" t="s">
        <v>88</v>
      </c>
    </row>
    <row r="980" customFormat="false" ht="14.25" hidden="false" customHeight="true" outlineLevel="0" collapsed="false">
      <c r="A980" s="16" t="s">
        <v>39</v>
      </c>
      <c r="B980" s="16" t="str">
        <f aca="false">INDEX(SETORES!$B:$B,MATCH(A980,SETORES!$A:$A,0))</f>
        <v>Clientes</v>
      </c>
      <c r="C980" s="16" t="s">
        <v>18</v>
      </c>
      <c r="D980" s="14" t="n">
        <f aca="false">IF(B980="Clientes",SUMIFS(PARÂMETROS!$D$8:$D$907,PARÂMETROS!$A$8:$A$907,C980,PARÂMETROS!$G$8:$G$907,J980),SUMIFS(PARÂMETROS!$E$8:$E$907,PARÂMETROS!$A$8:$A$907,C980,PARÂMETROS!$G$8:$G$907,J980))</f>
        <v>0.722194045747325</v>
      </c>
      <c r="E980" s="22" t="n">
        <f aca="false">SUMIFS(SETORES!$D:$D,SETORES!$A:$A,A980,SETORES!$F:$F,J980)</f>
        <v>53510.3780321174</v>
      </c>
      <c r="F980" s="22" t="n">
        <f aca="false">IFERROR(D980*E980,0)</f>
        <v>38644.8764004836</v>
      </c>
      <c r="G980" s="14" t="n">
        <f aca="false">SUMIFS(PARÂMETROS!$F$8:$F$907,PARÂMETROS!$A$8:$A$907,C980,PARÂMETROS!$G$8:$G$907,J980)</f>
        <v>0</v>
      </c>
      <c r="H980" s="22" t="n">
        <f aca="false">IFERROR(F980*G980,0)</f>
        <v>0</v>
      </c>
      <c r="I980" s="22" t="n">
        <f aca="false">F980+H980</f>
        <v>38644.8764004836</v>
      </c>
      <c r="J980" s="16" t="s">
        <v>88</v>
      </c>
    </row>
    <row r="981" customFormat="false" ht="14.25" hidden="false" customHeight="true" outlineLevel="0" collapsed="false">
      <c r="A981" s="11" t="s">
        <v>40</v>
      </c>
      <c r="B981" s="20" t="str">
        <f aca="false">INDEX(SETORES!$B:$B,MATCH(A981,SETORES!$A:$A,0))</f>
        <v>Clientes</v>
      </c>
      <c r="C981" s="11" t="s">
        <v>10</v>
      </c>
      <c r="D981" s="9" t="n">
        <f aca="false">IF(B981="Clientes",SUMIFS(PARÂMETROS!$D$8:$D$907,PARÂMETROS!$A$8:$A$907,C981,PARÂMETROS!$G$8:$G$907,J981),SUMIFS(PARÂMETROS!$E$8:$E$907,PARÂMETROS!$A$8:$A$907,C981,PARÂMETROS!$G$8:$G$907,J981))</f>
        <v>0.0337120251559568</v>
      </c>
      <c r="E981" s="21" t="n">
        <f aca="false">SUMIFS(SETORES!$D:$D,SETORES!$A:$A,A981,SETORES!$F:$F,J981)</f>
        <v>41165.3583325202</v>
      </c>
      <c r="F981" s="21" t="n">
        <f aca="false">IFERROR(D981*E981,0)</f>
        <v>1387.7675956599</v>
      </c>
      <c r="G981" s="9" t="n">
        <f aca="false">SUMIFS(PARÂMETROS!$F$8:$F$907,PARÂMETROS!$A$8:$A$907,C981,PARÂMETROS!$G$8:$G$907,J981)</f>
        <v>0</v>
      </c>
      <c r="H981" s="21" t="n">
        <f aca="false">IFERROR(F981*G981,0)</f>
        <v>0</v>
      </c>
      <c r="I981" s="21" t="n">
        <f aca="false">F981+H981</f>
        <v>1387.7675956599</v>
      </c>
      <c r="J981" s="11" t="s">
        <v>88</v>
      </c>
    </row>
    <row r="982" customFormat="false" ht="14.25" hidden="false" customHeight="true" outlineLevel="0" collapsed="false">
      <c r="A982" s="16" t="s">
        <v>40</v>
      </c>
      <c r="B982" s="16" t="str">
        <f aca="false">INDEX(SETORES!$B:$B,MATCH(A982,SETORES!$A:$A,0))</f>
        <v>Clientes</v>
      </c>
      <c r="C982" s="16" t="s">
        <v>12</v>
      </c>
      <c r="D982" s="14" t="n">
        <f aca="false">IF(B982="Clientes",SUMIFS(PARÂMETROS!$D$8:$D$907,PARÂMETROS!$A$8:$A$907,C982,PARÂMETROS!$G$8:$G$907,J982),SUMIFS(PARÂMETROS!$E$8:$E$907,PARÂMETROS!$A$8:$A$907,C982,PARÂMETROS!$G$8:$G$907,J982))</f>
        <v>0.0685195516559314</v>
      </c>
      <c r="E982" s="22" t="n">
        <f aca="false">SUMIFS(SETORES!$D:$D,SETORES!$A:$A,A982,SETORES!$F:$F,J982)</f>
        <v>41165.3583325202</v>
      </c>
      <c r="F982" s="22" t="n">
        <f aca="false">IFERROR(D982*E982,0)</f>
        <v>2820.63189670005</v>
      </c>
      <c r="G982" s="14" t="n">
        <f aca="false">SUMIFS(PARÂMETROS!$F$8:$F$907,PARÂMETROS!$A$8:$A$907,C982,PARÂMETROS!$G$8:$G$907,J982)</f>
        <v>0</v>
      </c>
      <c r="H982" s="22" t="n">
        <f aca="false">IFERROR(F982*G982,0)</f>
        <v>0</v>
      </c>
      <c r="I982" s="22" t="n">
        <f aca="false">F982+H982</f>
        <v>2820.63189670005</v>
      </c>
      <c r="J982" s="16" t="s">
        <v>88</v>
      </c>
    </row>
    <row r="983" customFormat="false" ht="14.25" hidden="false" customHeight="true" outlineLevel="0" collapsed="false">
      <c r="A983" s="11" t="s">
        <v>40</v>
      </c>
      <c r="B983" s="20" t="str">
        <f aca="false">INDEX(SETORES!$B:$B,MATCH(A983,SETORES!$A:$A,0))</f>
        <v>Clientes</v>
      </c>
      <c r="C983" s="11" t="s">
        <v>13</v>
      </c>
      <c r="D983" s="9" t="n">
        <f aca="false">IF(B983="Clientes",SUMIFS(PARÂMETROS!$D$8:$D$907,PARÂMETROS!$A$8:$A$907,C983,PARÂMETROS!$G$8:$G$907,J983),SUMIFS(PARÂMETROS!$E$8:$E$907,PARÂMETROS!$A$8:$A$907,C983,PARÂMETROS!$G$8:$G$907,J983))</f>
        <v>0.0745397372825481</v>
      </c>
      <c r="E983" s="21" t="n">
        <f aca="false">SUMIFS(SETORES!$D:$D,SETORES!$A:$A,A983,SETORES!$F:$F,J983)</f>
        <v>41165.3583325202</v>
      </c>
      <c r="F983" s="21" t="n">
        <f aca="false">IFERROR(D983*E983,0)</f>
        <v>3068.45499524801</v>
      </c>
      <c r="G983" s="9" t="n">
        <f aca="false">SUMIFS(PARÂMETROS!$F$8:$F$907,PARÂMETROS!$A$8:$A$907,C983,PARÂMETROS!$G$8:$G$907,J983)</f>
        <v>0</v>
      </c>
      <c r="H983" s="21" t="n">
        <f aca="false">IFERROR(F983*G983,0)</f>
        <v>0</v>
      </c>
      <c r="I983" s="21" t="n">
        <f aca="false">F983+H983</f>
        <v>3068.45499524801</v>
      </c>
      <c r="J983" s="11" t="s">
        <v>88</v>
      </c>
    </row>
    <row r="984" customFormat="false" ht="14.25" hidden="false" customHeight="true" outlineLevel="0" collapsed="false">
      <c r="A984" s="16" t="s">
        <v>40</v>
      </c>
      <c r="B984" s="16" t="str">
        <f aca="false">INDEX(SETORES!$B:$B,MATCH(A984,SETORES!$A:$A,0))</f>
        <v>Clientes</v>
      </c>
      <c r="C984" s="16" t="s">
        <v>14</v>
      </c>
      <c r="D984" s="14" t="n">
        <f aca="false">IF(B984="Clientes",SUMIFS(PARÂMETROS!$D$8:$D$907,PARÂMETROS!$A$8:$A$907,C984,PARÂMETROS!$G$8:$G$907,J984),SUMIFS(PARÂMETROS!$E$8:$E$907,PARÂMETROS!$A$8:$A$907,C984,PARÂMETROS!$G$8:$G$907,J984))</f>
        <v>0.018943044073642</v>
      </c>
      <c r="E984" s="22" t="n">
        <f aca="false">SUMIFS(SETORES!$D:$D,SETORES!$A:$A,A984,SETORES!$F:$F,J984)</f>
        <v>41165.3583325202</v>
      </c>
      <c r="F984" s="22" t="n">
        <f aca="false">IFERROR(D984*E984,0)</f>
        <v>779.797197200198</v>
      </c>
      <c r="G984" s="14" t="n">
        <f aca="false">SUMIFS(PARÂMETROS!$F$8:$F$907,PARÂMETROS!$A$8:$A$907,C984,PARÂMETROS!$G$8:$G$907,J984)</f>
        <v>0</v>
      </c>
      <c r="H984" s="22" t="n">
        <f aca="false">IFERROR(F984*G984,0)</f>
        <v>0</v>
      </c>
      <c r="I984" s="22" t="n">
        <f aca="false">F984+H984</f>
        <v>779.797197200198</v>
      </c>
      <c r="J984" s="16" t="s">
        <v>88</v>
      </c>
    </row>
    <row r="985" customFormat="false" ht="14.25" hidden="false" customHeight="true" outlineLevel="0" collapsed="false">
      <c r="A985" s="11" t="s">
        <v>40</v>
      </c>
      <c r="B985" s="20" t="str">
        <f aca="false">INDEX(SETORES!$B:$B,MATCH(A985,SETORES!$A:$A,0))</f>
        <v>Clientes</v>
      </c>
      <c r="C985" s="11" t="s">
        <v>15</v>
      </c>
      <c r="D985" s="9" t="n">
        <f aca="false">IF(B985="Clientes",SUMIFS(PARÂMETROS!$D$8:$D$907,PARÂMETROS!$A$8:$A$907,C985,PARÂMETROS!$G$8:$G$907,J985),SUMIFS(PARÂMETROS!$E$8:$E$907,PARÂMETROS!$A$8:$A$907,C985,PARÂMETROS!$G$8:$G$907,J985))</f>
        <v>0.0334787239438048</v>
      </c>
      <c r="E985" s="21" t="n">
        <f aca="false">SUMIFS(SETORES!$D:$D,SETORES!$A:$A,A985,SETORES!$F:$F,J985)</f>
        <v>41165.3583325202</v>
      </c>
      <c r="F985" s="21" t="n">
        <f aca="false">IFERROR(D985*E985,0)</f>
        <v>1378.16366766225</v>
      </c>
      <c r="G985" s="9" t="n">
        <f aca="false">SUMIFS(PARÂMETROS!$F$8:$F$907,PARÂMETROS!$A$8:$A$907,C985,PARÂMETROS!$G$8:$G$907,J985)</f>
        <v>0</v>
      </c>
      <c r="H985" s="21" t="n">
        <f aca="false">IFERROR(F985*G985,0)</f>
        <v>0</v>
      </c>
      <c r="I985" s="21" t="n">
        <f aca="false">F985+H985</f>
        <v>1378.16366766225</v>
      </c>
      <c r="J985" s="11" t="s">
        <v>88</v>
      </c>
    </row>
    <row r="986" customFormat="false" ht="14.25" hidden="false" customHeight="true" outlineLevel="0" collapsed="false">
      <c r="A986" s="16" t="s">
        <v>40</v>
      </c>
      <c r="B986" s="16" t="str">
        <f aca="false">INDEX(SETORES!$B:$B,MATCH(A986,SETORES!$A:$A,0))</f>
        <v>Clientes</v>
      </c>
      <c r="C986" s="16" t="s">
        <v>16</v>
      </c>
      <c r="D986" s="14" t="n">
        <f aca="false">IF(B986="Clientes",SUMIFS(PARÂMETROS!$D$8:$D$907,PARÂMETROS!$A$8:$A$907,C986,PARÂMETROS!$G$8:$G$907,J986),SUMIFS(PARÂMETROS!$E$8:$E$907,PARÂMETROS!$A$8:$A$907,C986,PARÂMETROS!$G$8:$G$907,J986))</f>
        <v>0.0242886848912106</v>
      </c>
      <c r="E986" s="22" t="n">
        <f aca="false">SUMIFS(SETORES!$D:$D,SETORES!$A:$A,A986,SETORES!$F:$F,J986)</f>
        <v>41165.3583325202</v>
      </c>
      <c r="F986" s="22" t="n">
        <f aca="false">IFERROR(D986*E986,0)</f>
        <v>999.852416972356</v>
      </c>
      <c r="G986" s="14" t="n">
        <f aca="false">SUMIFS(PARÂMETROS!$F$8:$F$907,PARÂMETROS!$A$8:$A$907,C986,PARÂMETROS!$G$8:$G$907,J986)</f>
        <v>0</v>
      </c>
      <c r="H986" s="22" t="n">
        <f aca="false">IFERROR(F986*G986,0)</f>
        <v>0</v>
      </c>
      <c r="I986" s="22" t="n">
        <f aca="false">F986+H986</f>
        <v>999.852416972356</v>
      </c>
      <c r="J986" s="16" t="s">
        <v>88</v>
      </c>
    </row>
    <row r="987" customFormat="false" ht="14.25" hidden="false" customHeight="true" outlineLevel="0" collapsed="false">
      <c r="A987" s="11" t="s">
        <v>40</v>
      </c>
      <c r="B987" s="20" t="str">
        <f aca="false">INDEX(SETORES!$B:$B,MATCH(A987,SETORES!$A:$A,0))</f>
        <v>Clientes</v>
      </c>
      <c r="C987" s="11" t="s">
        <v>17</v>
      </c>
      <c r="D987" s="9" t="n">
        <f aca="false">IF(B987="Clientes",SUMIFS(PARÂMETROS!$D$8:$D$907,PARÂMETROS!$A$8:$A$907,C987,PARÂMETROS!$G$8:$G$907,J987),SUMIFS(PARÂMETROS!$E$8:$E$907,PARÂMETROS!$A$8:$A$907,C987,PARÂMETROS!$G$8:$G$907,J987))</f>
        <v>0.0243241872495816</v>
      </c>
      <c r="E987" s="21" t="n">
        <f aca="false">SUMIFS(SETORES!$D:$D,SETORES!$A:$A,A987,SETORES!$F:$F,J987)</f>
        <v>41165.3583325202</v>
      </c>
      <c r="F987" s="21" t="n">
        <f aca="false">IFERROR(D987*E987,0)</f>
        <v>1001.31388427635</v>
      </c>
      <c r="G987" s="9" t="n">
        <f aca="false">SUMIFS(PARÂMETROS!$F$8:$F$907,PARÂMETROS!$A$8:$A$907,C987,PARÂMETROS!$G$8:$G$907,J987)</f>
        <v>0</v>
      </c>
      <c r="H987" s="21" t="n">
        <f aca="false">IFERROR(F987*G987,0)</f>
        <v>0</v>
      </c>
      <c r="I987" s="21" t="n">
        <f aca="false">F987+H987</f>
        <v>1001.31388427635</v>
      </c>
      <c r="J987" s="11" t="s">
        <v>88</v>
      </c>
    </row>
    <row r="988" customFormat="false" ht="14.25" hidden="false" customHeight="true" outlineLevel="0" collapsed="false">
      <c r="A988" s="16" t="s">
        <v>40</v>
      </c>
      <c r="B988" s="16" t="str">
        <f aca="false">INDEX(SETORES!$B:$B,MATCH(A988,SETORES!$A:$A,0))</f>
        <v>Clientes</v>
      </c>
      <c r="C988" s="16" t="s">
        <v>18</v>
      </c>
      <c r="D988" s="14" t="n">
        <f aca="false">IF(B988="Clientes",SUMIFS(PARÂMETROS!$D$8:$D$907,PARÂMETROS!$A$8:$A$907,C988,PARÂMETROS!$G$8:$G$907,J988),SUMIFS(PARÂMETROS!$E$8:$E$907,PARÂMETROS!$A$8:$A$907,C988,PARÂMETROS!$G$8:$G$907,J988))</f>
        <v>0.722194045747325</v>
      </c>
      <c r="E988" s="22" t="n">
        <f aca="false">SUMIFS(SETORES!$D:$D,SETORES!$A:$A,A988,SETORES!$F:$F,J988)</f>
        <v>41165.3583325202</v>
      </c>
      <c r="F988" s="22" t="n">
        <f aca="false">IFERROR(D988*E988,0)</f>
        <v>29729.3766788011</v>
      </c>
      <c r="G988" s="14" t="n">
        <f aca="false">SUMIFS(PARÂMETROS!$F$8:$F$907,PARÂMETROS!$A$8:$A$907,C988,PARÂMETROS!$G$8:$G$907,J988)</f>
        <v>0</v>
      </c>
      <c r="H988" s="22" t="n">
        <f aca="false">IFERROR(F988*G988,0)</f>
        <v>0</v>
      </c>
      <c r="I988" s="22" t="n">
        <f aca="false">F988+H988</f>
        <v>29729.3766788011</v>
      </c>
      <c r="J988" s="16" t="s">
        <v>88</v>
      </c>
    </row>
    <row r="989" customFormat="false" ht="14.25" hidden="false" customHeight="true" outlineLevel="0" collapsed="false">
      <c r="A989" s="11" t="s">
        <v>41</v>
      </c>
      <c r="B989" s="20" t="str">
        <f aca="false">INDEX(SETORES!$B:$B,MATCH(A989,SETORES!$A:$A,0))</f>
        <v>Clientes</v>
      </c>
      <c r="C989" s="11" t="s">
        <v>10</v>
      </c>
      <c r="D989" s="9" t="n">
        <f aca="false">IF(B989="Clientes",SUMIFS(PARÂMETROS!$D$8:$D$907,PARÂMETROS!$A$8:$A$907,C989,PARÂMETROS!$G$8:$G$907,J989),SUMIFS(PARÂMETROS!$E$8:$E$907,PARÂMETROS!$A$8:$A$907,C989,PARÂMETROS!$G$8:$G$907,J989))</f>
        <v>0.0337120251559568</v>
      </c>
      <c r="E989" s="21" t="n">
        <f aca="false">SUMIFS(SETORES!$D:$D,SETORES!$A:$A,A989,SETORES!$F:$F,J989)</f>
        <v>19948.2874185855</v>
      </c>
      <c r="F989" s="21" t="n">
        <f aca="false">IFERROR(D989*E989,0)</f>
        <v>672.497167273612</v>
      </c>
      <c r="G989" s="9" t="n">
        <f aca="false">SUMIFS(PARÂMETROS!$F$8:$F$907,PARÂMETROS!$A$8:$A$907,C989,PARÂMETROS!$G$8:$G$907,J989)</f>
        <v>0</v>
      </c>
      <c r="H989" s="21" t="n">
        <f aca="false">IFERROR(F989*G989,0)</f>
        <v>0</v>
      </c>
      <c r="I989" s="21" t="n">
        <f aca="false">F989+H989</f>
        <v>672.497167273612</v>
      </c>
      <c r="J989" s="11" t="s">
        <v>88</v>
      </c>
    </row>
    <row r="990" customFormat="false" ht="14.25" hidden="false" customHeight="true" outlineLevel="0" collapsed="false">
      <c r="A990" s="16" t="s">
        <v>41</v>
      </c>
      <c r="B990" s="16" t="str">
        <f aca="false">INDEX(SETORES!$B:$B,MATCH(A990,SETORES!$A:$A,0))</f>
        <v>Clientes</v>
      </c>
      <c r="C990" s="16" t="s">
        <v>12</v>
      </c>
      <c r="D990" s="14" t="n">
        <f aca="false">IF(B990="Clientes",SUMIFS(PARÂMETROS!$D$8:$D$907,PARÂMETROS!$A$8:$A$907,C990,PARÂMETROS!$G$8:$G$907,J990),SUMIFS(PARÂMETROS!$E$8:$E$907,PARÂMETROS!$A$8:$A$907,C990,PARÂMETROS!$G$8:$G$907,J990))</f>
        <v>0.0685195516559314</v>
      </c>
      <c r="E990" s="22" t="n">
        <f aca="false">SUMIFS(SETORES!$D:$D,SETORES!$A:$A,A990,SETORES!$F:$F,J990)</f>
        <v>19948.2874185855</v>
      </c>
      <c r="F990" s="22" t="n">
        <f aca="false">IFERROR(D990*E990,0)</f>
        <v>1366.84771022514</v>
      </c>
      <c r="G990" s="14" t="n">
        <f aca="false">SUMIFS(PARÂMETROS!$F$8:$F$907,PARÂMETROS!$A$8:$A$907,C990,PARÂMETROS!$G$8:$G$907,J990)</f>
        <v>0</v>
      </c>
      <c r="H990" s="22" t="n">
        <f aca="false">IFERROR(F990*G990,0)</f>
        <v>0</v>
      </c>
      <c r="I990" s="22" t="n">
        <f aca="false">F990+H990</f>
        <v>1366.84771022514</v>
      </c>
      <c r="J990" s="16" t="s">
        <v>88</v>
      </c>
    </row>
    <row r="991" customFormat="false" ht="14.25" hidden="false" customHeight="true" outlineLevel="0" collapsed="false">
      <c r="A991" s="11" t="s">
        <v>41</v>
      </c>
      <c r="B991" s="20" t="str">
        <f aca="false">INDEX(SETORES!$B:$B,MATCH(A991,SETORES!$A:$A,0))</f>
        <v>Clientes</v>
      </c>
      <c r="C991" s="11" t="s">
        <v>13</v>
      </c>
      <c r="D991" s="9" t="n">
        <f aca="false">IF(B991="Clientes",SUMIFS(PARÂMETROS!$D$8:$D$907,PARÂMETROS!$A$8:$A$907,C991,PARÂMETROS!$G$8:$G$907,J991),SUMIFS(PARÂMETROS!$E$8:$E$907,PARÂMETROS!$A$8:$A$907,C991,PARÂMETROS!$G$8:$G$907,J991))</f>
        <v>0.0745397372825481</v>
      </c>
      <c r="E991" s="21" t="n">
        <f aca="false">SUMIFS(SETORES!$D:$D,SETORES!$A:$A,A991,SETORES!$F:$F,J991)</f>
        <v>19948.2874185855</v>
      </c>
      <c r="F991" s="21" t="n">
        <f aca="false">IFERROR(D991*E991,0)</f>
        <v>1486.94010341812</v>
      </c>
      <c r="G991" s="9" t="n">
        <f aca="false">SUMIFS(PARÂMETROS!$F$8:$F$907,PARÂMETROS!$A$8:$A$907,C991,PARÂMETROS!$G$8:$G$907,J991)</f>
        <v>0</v>
      </c>
      <c r="H991" s="21" t="n">
        <f aca="false">IFERROR(F991*G991,0)</f>
        <v>0</v>
      </c>
      <c r="I991" s="21" t="n">
        <f aca="false">F991+H991</f>
        <v>1486.94010341812</v>
      </c>
      <c r="J991" s="11" t="s">
        <v>88</v>
      </c>
    </row>
    <row r="992" customFormat="false" ht="14.25" hidden="false" customHeight="true" outlineLevel="0" collapsed="false">
      <c r="A992" s="16" t="s">
        <v>41</v>
      </c>
      <c r="B992" s="16" t="str">
        <f aca="false">INDEX(SETORES!$B:$B,MATCH(A992,SETORES!$A:$A,0))</f>
        <v>Clientes</v>
      </c>
      <c r="C992" s="16" t="s">
        <v>14</v>
      </c>
      <c r="D992" s="14" t="n">
        <f aca="false">IF(B992="Clientes",SUMIFS(PARÂMETROS!$D$8:$D$907,PARÂMETROS!$A$8:$A$907,C992,PARÂMETROS!$G$8:$G$907,J992),SUMIFS(PARÂMETROS!$E$8:$E$907,PARÂMETROS!$A$8:$A$907,C992,PARÂMETROS!$G$8:$G$907,J992))</f>
        <v>0.018943044073642</v>
      </c>
      <c r="E992" s="22" t="n">
        <f aca="false">SUMIFS(SETORES!$D:$D,SETORES!$A:$A,A992,SETORES!$F:$F,J992)</f>
        <v>19948.2874185855</v>
      </c>
      <c r="F992" s="22" t="n">
        <f aca="false">IFERROR(D992*E992,0)</f>
        <v>377.881287763945</v>
      </c>
      <c r="G992" s="14" t="n">
        <f aca="false">SUMIFS(PARÂMETROS!$F$8:$F$907,PARÂMETROS!$A$8:$A$907,C992,PARÂMETROS!$G$8:$G$907,J992)</f>
        <v>0</v>
      </c>
      <c r="H992" s="22" t="n">
        <f aca="false">IFERROR(F992*G992,0)</f>
        <v>0</v>
      </c>
      <c r="I992" s="22" t="n">
        <f aca="false">F992+H992</f>
        <v>377.881287763945</v>
      </c>
      <c r="J992" s="16" t="s">
        <v>88</v>
      </c>
    </row>
    <row r="993" customFormat="false" ht="14.25" hidden="false" customHeight="true" outlineLevel="0" collapsed="false">
      <c r="A993" s="11" t="s">
        <v>41</v>
      </c>
      <c r="B993" s="20" t="str">
        <f aca="false">INDEX(SETORES!$B:$B,MATCH(A993,SETORES!$A:$A,0))</f>
        <v>Clientes</v>
      </c>
      <c r="C993" s="11" t="s">
        <v>15</v>
      </c>
      <c r="D993" s="9" t="n">
        <f aca="false">IF(B993="Clientes",SUMIFS(PARÂMETROS!$D$8:$D$907,PARÂMETROS!$A$8:$A$907,C993,PARÂMETROS!$G$8:$G$907,J993),SUMIFS(PARÂMETROS!$E$8:$E$907,PARÂMETROS!$A$8:$A$907,C993,PARÂMETROS!$G$8:$G$907,J993))</f>
        <v>0.0334787239438048</v>
      </c>
      <c r="E993" s="21" t="n">
        <f aca="false">SUMIFS(SETORES!$D:$D,SETORES!$A:$A,A993,SETORES!$F:$F,J993)</f>
        <v>19948.2874185855</v>
      </c>
      <c r="F993" s="21" t="n">
        <f aca="false">IFERROR(D993*E993,0)</f>
        <v>667.843207638501</v>
      </c>
      <c r="G993" s="9" t="n">
        <f aca="false">SUMIFS(PARÂMETROS!$F$8:$F$907,PARÂMETROS!$A$8:$A$907,C993,PARÂMETROS!$G$8:$G$907,J993)</f>
        <v>0</v>
      </c>
      <c r="H993" s="21" t="n">
        <f aca="false">IFERROR(F993*G993,0)</f>
        <v>0</v>
      </c>
      <c r="I993" s="21" t="n">
        <f aca="false">F993+H993</f>
        <v>667.843207638501</v>
      </c>
      <c r="J993" s="11" t="s">
        <v>88</v>
      </c>
    </row>
    <row r="994" customFormat="false" ht="14.25" hidden="false" customHeight="true" outlineLevel="0" collapsed="false">
      <c r="A994" s="16" t="s">
        <v>41</v>
      </c>
      <c r="B994" s="16" t="str">
        <f aca="false">INDEX(SETORES!$B:$B,MATCH(A994,SETORES!$A:$A,0))</f>
        <v>Clientes</v>
      </c>
      <c r="C994" s="16" t="s">
        <v>16</v>
      </c>
      <c r="D994" s="14" t="n">
        <f aca="false">IF(B994="Clientes",SUMIFS(PARÂMETROS!$D$8:$D$907,PARÂMETROS!$A$8:$A$907,C994,PARÂMETROS!$G$8:$G$907,J994),SUMIFS(PARÂMETROS!$E$8:$E$907,PARÂMETROS!$A$8:$A$907,C994,PARÂMETROS!$G$8:$G$907,J994))</f>
        <v>0.0242886848912106</v>
      </c>
      <c r="E994" s="22" t="n">
        <f aca="false">SUMIFS(SETORES!$D:$D,SETORES!$A:$A,A994,SETORES!$F:$F,J994)</f>
        <v>19948.2874185855</v>
      </c>
      <c r="F994" s="22" t="n">
        <f aca="false">IFERROR(D994*E994,0)</f>
        <v>484.517667229326</v>
      </c>
      <c r="G994" s="14" t="n">
        <f aca="false">SUMIFS(PARÂMETROS!$F$8:$F$907,PARÂMETROS!$A$8:$A$907,C994,PARÂMETROS!$G$8:$G$907,J994)</f>
        <v>0</v>
      </c>
      <c r="H994" s="22" t="n">
        <f aca="false">IFERROR(F994*G994,0)</f>
        <v>0</v>
      </c>
      <c r="I994" s="22" t="n">
        <f aca="false">F994+H994</f>
        <v>484.517667229326</v>
      </c>
      <c r="J994" s="16" t="s">
        <v>88</v>
      </c>
    </row>
    <row r="995" customFormat="false" ht="14.25" hidden="false" customHeight="true" outlineLevel="0" collapsed="false">
      <c r="A995" s="11" t="s">
        <v>41</v>
      </c>
      <c r="B995" s="20" t="str">
        <f aca="false">INDEX(SETORES!$B:$B,MATCH(A995,SETORES!$A:$A,0))</f>
        <v>Clientes</v>
      </c>
      <c r="C995" s="11" t="s">
        <v>17</v>
      </c>
      <c r="D995" s="9" t="n">
        <f aca="false">IF(B995="Clientes",SUMIFS(PARÂMETROS!$D$8:$D$907,PARÂMETROS!$A$8:$A$907,C995,PARÂMETROS!$G$8:$G$907,J995),SUMIFS(PARÂMETROS!$E$8:$E$907,PARÂMETROS!$A$8:$A$907,C995,PARÂMETROS!$G$8:$G$907,J995))</f>
        <v>0.0243241872495816</v>
      </c>
      <c r="E995" s="21" t="n">
        <f aca="false">SUMIFS(SETORES!$D:$D,SETORES!$A:$A,A995,SETORES!$F:$F,J995)</f>
        <v>19948.2874185855</v>
      </c>
      <c r="F995" s="21" t="n">
        <f aca="false">IFERROR(D995*E995,0)</f>
        <v>485.225878478147</v>
      </c>
      <c r="G995" s="9" t="n">
        <f aca="false">SUMIFS(PARÂMETROS!$F$8:$F$907,PARÂMETROS!$A$8:$A$907,C995,PARÂMETROS!$G$8:$G$907,J995)</f>
        <v>0</v>
      </c>
      <c r="H995" s="21" t="n">
        <f aca="false">IFERROR(F995*G995,0)</f>
        <v>0</v>
      </c>
      <c r="I995" s="21" t="n">
        <f aca="false">F995+H995</f>
        <v>485.225878478147</v>
      </c>
      <c r="J995" s="11" t="s">
        <v>88</v>
      </c>
    </row>
    <row r="996" customFormat="false" ht="14.25" hidden="false" customHeight="true" outlineLevel="0" collapsed="false">
      <c r="A996" s="16" t="s">
        <v>41</v>
      </c>
      <c r="B996" s="16" t="str">
        <f aca="false">INDEX(SETORES!$B:$B,MATCH(A996,SETORES!$A:$A,0))</f>
        <v>Clientes</v>
      </c>
      <c r="C996" s="16" t="s">
        <v>18</v>
      </c>
      <c r="D996" s="14" t="n">
        <f aca="false">IF(B996="Clientes",SUMIFS(PARÂMETROS!$D$8:$D$907,PARÂMETROS!$A$8:$A$907,C996,PARÂMETROS!$G$8:$G$907,J996),SUMIFS(PARÂMETROS!$E$8:$E$907,PARÂMETROS!$A$8:$A$907,C996,PARÂMETROS!$G$8:$G$907,J996))</f>
        <v>0.722194045747325</v>
      </c>
      <c r="E996" s="22" t="n">
        <f aca="false">SUMIFS(SETORES!$D:$D,SETORES!$A:$A,A996,SETORES!$F:$F,J996)</f>
        <v>19948.2874185855</v>
      </c>
      <c r="F996" s="22" t="n">
        <f aca="false">IFERROR(D996*E996,0)</f>
        <v>14406.5343965587</v>
      </c>
      <c r="G996" s="14" t="n">
        <f aca="false">SUMIFS(PARÂMETROS!$F$8:$F$907,PARÂMETROS!$A$8:$A$907,C996,PARÂMETROS!$G$8:$G$907,J996)</f>
        <v>0</v>
      </c>
      <c r="H996" s="22" t="n">
        <f aca="false">IFERROR(F996*G996,0)</f>
        <v>0</v>
      </c>
      <c r="I996" s="22" t="n">
        <f aca="false">F996+H996</f>
        <v>14406.5343965587</v>
      </c>
      <c r="J996" s="16" t="s">
        <v>88</v>
      </c>
    </row>
    <row r="997" customFormat="false" ht="14.25" hidden="false" customHeight="true" outlineLevel="0" collapsed="false">
      <c r="A997" s="11" t="s">
        <v>42</v>
      </c>
      <c r="B997" s="20" t="str">
        <f aca="false">INDEX(SETORES!$B:$B,MATCH(A997,SETORES!$A:$A,0))</f>
        <v>Clientes</v>
      </c>
      <c r="C997" s="11" t="s">
        <v>10</v>
      </c>
      <c r="D997" s="9" t="n">
        <f aca="false">IF(B997="Clientes",SUMIFS(PARÂMETROS!$D$8:$D$907,PARÂMETROS!$A$8:$A$907,C997,PARÂMETROS!$G$8:$G$907,J997),SUMIFS(PARÂMETROS!$E$8:$E$907,PARÂMETROS!$A$8:$A$907,C997,PARÂMETROS!$G$8:$G$907,J997))</f>
        <v>0.0337120251559568</v>
      </c>
      <c r="E997" s="21" t="n">
        <f aca="false">SUMIFS(SETORES!$D:$D,SETORES!$A:$A,A997,SETORES!$F:$F,J997)</f>
        <v>29069.1848371711</v>
      </c>
      <c r="F997" s="21" t="n">
        <f aca="false">IFERROR(D997*E997,0)</f>
        <v>979.981090493869</v>
      </c>
      <c r="G997" s="9" t="n">
        <f aca="false">SUMIFS(PARÂMETROS!$F$8:$F$907,PARÂMETROS!$A$8:$A$907,C997,PARÂMETROS!$G$8:$G$907,J997)</f>
        <v>0</v>
      </c>
      <c r="H997" s="21" t="n">
        <f aca="false">IFERROR(F997*G997,0)</f>
        <v>0</v>
      </c>
      <c r="I997" s="21" t="n">
        <f aca="false">F997+H997</f>
        <v>979.981090493869</v>
      </c>
      <c r="J997" s="11" t="s">
        <v>88</v>
      </c>
    </row>
    <row r="998" customFormat="false" ht="14.25" hidden="false" customHeight="true" outlineLevel="0" collapsed="false">
      <c r="A998" s="16" t="s">
        <v>42</v>
      </c>
      <c r="B998" s="16" t="str">
        <f aca="false">INDEX(SETORES!$B:$B,MATCH(A998,SETORES!$A:$A,0))</f>
        <v>Clientes</v>
      </c>
      <c r="C998" s="16" t="s">
        <v>12</v>
      </c>
      <c r="D998" s="14" t="n">
        <f aca="false">IF(B998="Clientes",SUMIFS(PARÂMETROS!$D$8:$D$907,PARÂMETROS!$A$8:$A$907,C998,PARÂMETROS!$G$8:$G$907,J998),SUMIFS(PARÂMETROS!$E$8:$E$907,PARÂMETROS!$A$8:$A$907,C998,PARÂMETROS!$G$8:$G$907,J998))</f>
        <v>0.0685195516559314</v>
      </c>
      <c r="E998" s="22" t="n">
        <f aca="false">SUMIFS(SETORES!$D:$D,SETORES!$A:$A,A998,SETORES!$F:$F,J998)</f>
        <v>29069.1848371711</v>
      </c>
      <c r="F998" s="22" t="n">
        <f aca="false">IFERROR(D998*E998,0)</f>
        <v>1991.80751204636</v>
      </c>
      <c r="G998" s="14" t="n">
        <f aca="false">SUMIFS(PARÂMETROS!$F$8:$F$907,PARÂMETROS!$A$8:$A$907,C998,PARÂMETROS!$G$8:$G$907,J998)</f>
        <v>0</v>
      </c>
      <c r="H998" s="22" t="n">
        <f aca="false">IFERROR(F998*G998,0)</f>
        <v>0</v>
      </c>
      <c r="I998" s="22" t="n">
        <f aca="false">F998+H998</f>
        <v>1991.80751204636</v>
      </c>
      <c r="J998" s="16" t="s">
        <v>88</v>
      </c>
    </row>
    <row r="999" customFormat="false" ht="14.25" hidden="false" customHeight="true" outlineLevel="0" collapsed="false">
      <c r="A999" s="11" t="s">
        <v>42</v>
      </c>
      <c r="B999" s="20" t="str">
        <f aca="false">INDEX(SETORES!$B:$B,MATCH(A999,SETORES!$A:$A,0))</f>
        <v>Clientes</v>
      </c>
      <c r="C999" s="11" t="s">
        <v>13</v>
      </c>
      <c r="D999" s="9" t="n">
        <f aca="false">IF(B999="Clientes",SUMIFS(PARÂMETROS!$D$8:$D$907,PARÂMETROS!$A$8:$A$907,C999,PARÂMETROS!$G$8:$G$907,J999),SUMIFS(PARÂMETROS!$E$8:$E$907,PARÂMETROS!$A$8:$A$907,C999,PARÂMETROS!$G$8:$G$907,J999))</f>
        <v>0.0745397372825481</v>
      </c>
      <c r="E999" s="21" t="n">
        <f aca="false">SUMIFS(SETORES!$D:$D,SETORES!$A:$A,A999,SETORES!$F:$F,J999)</f>
        <v>29069.1848371711</v>
      </c>
      <c r="F999" s="21" t="n">
        <f aca="false">IFERROR(D999*E999,0)</f>
        <v>2166.80940078056</v>
      </c>
      <c r="G999" s="9" t="n">
        <f aca="false">SUMIFS(PARÂMETROS!$F$8:$F$907,PARÂMETROS!$A$8:$A$907,C999,PARÂMETROS!$G$8:$G$907,J999)</f>
        <v>0</v>
      </c>
      <c r="H999" s="21" t="n">
        <f aca="false">IFERROR(F999*G999,0)</f>
        <v>0</v>
      </c>
      <c r="I999" s="21" t="n">
        <f aca="false">F999+H999</f>
        <v>2166.80940078056</v>
      </c>
      <c r="J999" s="11" t="s">
        <v>88</v>
      </c>
    </row>
    <row r="1000" customFormat="false" ht="14.25" hidden="false" customHeight="true" outlineLevel="0" collapsed="false">
      <c r="A1000" s="16" t="s">
        <v>42</v>
      </c>
      <c r="B1000" s="16" t="str">
        <f aca="false">INDEX(SETORES!$B:$B,MATCH(A1000,SETORES!$A:$A,0))</f>
        <v>Clientes</v>
      </c>
      <c r="C1000" s="16" t="s">
        <v>14</v>
      </c>
      <c r="D1000" s="14" t="n">
        <f aca="false">IF(B1000="Clientes",SUMIFS(PARÂMETROS!$D$8:$D$907,PARÂMETROS!$A$8:$A$907,C1000,PARÂMETROS!$G$8:$G$907,J1000),SUMIFS(PARÂMETROS!$E$8:$E$907,PARÂMETROS!$A$8:$A$907,C1000,PARÂMETROS!$G$8:$G$907,J1000))</f>
        <v>0.018943044073642</v>
      </c>
      <c r="E1000" s="22" t="n">
        <f aca="false">SUMIFS(SETORES!$D:$D,SETORES!$A:$A,A1000,SETORES!$F:$F,J1000)</f>
        <v>29069.1848371711</v>
      </c>
      <c r="F1000" s="22" t="n">
        <f aca="false">IFERROR(D1000*E1000,0)</f>
        <v>550.658849555379</v>
      </c>
      <c r="G1000" s="14" t="n">
        <f aca="false">SUMIFS(PARÂMETROS!$F$8:$F$907,PARÂMETROS!$A$8:$A$907,C1000,PARÂMETROS!$G$8:$G$907,J1000)</f>
        <v>0</v>
      </c>
      <c r="H1000" s="22" t="n">
        <f aca="false">IFERROR(F1000*G1000,0)</f>
        <v>0</v>
      </c>
      <c r="I1000" s="22" t="n">
        <f aca="false">F1000+H1000</f>
        <v>550.658849555379</v>
      </c>
      <c r="J1000" s="16" t="s">
        <v>88</v>
      </c>
    </row>
    <row r="1001" customFormat="false" ht="14.25" hidden="false" customHeight="true" outlineLevel="0" collapsed="false">
      <c r="A1001" s="11" t="s">
        <v>42</v>
      </c>
      <c r="B1001" s="20" t="str">
        <f aca="false">INDEX(SETORES!$B:$B,MATCH(A1001,SETORES!$A:$A,0))</f>
        <v>Clientes</v>
      </c>
      <c r="C1001" s="11" t="s">
        <v>15</v>
      </c>
      <c r="D1001" s="9" t="n">
        <f aca="false">IF(B1001="Clientes",SUMIFS(PARÂMETROS!$D$8:$D$907,PARÂMETROS!$A$8:$A$907,C1001,PARÂMETROS!$G$8:$G$907,J1001),SUMIFS(PARÂMETROS!$E$8:$E$907,PARÂMETROS!$A$8:$A$907,C1001,PARÂMETROS!$G$8:$G$907,J1001))</f>
        <v>0.0334787239438048</v>
      </c>
      <c r="E1001" s="21" t="n">
        <f aca="false">SUMIFS(SETORES!$D:$D,SETORES!$A:$A,A1001,SETORES!$F:$F,J1001)</f>
        <v>29069.1848371711</v>
      </c>
      <c r="F1001" s="21" t="n">
        <f aca="false">IFERROR(D1001*E1001,0)</f>
        <v>973.199214435088</v>
      </c>
      <c r="G1001" s="9" t="n">
        <f aca="false">SUMIFS(PARÂMETROS!$F$8:$F$907,PARÂMETROS!$A$8:$A$907,C1001,PARÂMETROS!$G$8:$G$907,J1001)</f>
        <v>0</v>
      </c>
      <c r="H1001" s="21" t="n">
        <f aca="false">IFERROR(F1001*G1001,0)</f>
        <v>0</v>
      </c>
      <c r="I1001" s="21" t="n">
        <f aca="false">F1001+H1001</f>
        <v>973.199214435088</v>
      </c>
      <c r="J1001" s="11" t="s">
        <v>88</v>
      </c>
    </row>
    <row r="1002" customFormat="false" ht="14.25" hidden="false" customHeight="true" outlineLevel="0" collapsed="false">
      <c r="A1002" s="16" t="s">
        <v>42</v>
      </c>
      <c r="B1002" s="16" t="str">
        <f aca="false">INDEX(SETORES!$B:$B,MATCH(A1002,SETORES!$A:$A,0))</f>
        <v>Clientes</v>
      </c>
      <c r="C1002" s="16" t="s">
        <v>16</v>
      </c>
      <c r="D1002" s="14" t="n">
        <f aca="false">IF(B1002="Clientes",SUMIFS(PARÂMETROS!$D$8:$D$907,PARÂMETROS!$A$8:$A$907,C1002,PARÂMETROS!$G$8:$G$907,J1002),SUMIFS(PARÂMETROS!$E$8:$E$907,PARÂMETROS!$A$8:$A$907,C1002,PARÂMETROS!$G$8:$G$907,J1002))</f>
        <v>0.0242886848912106</v>
      </c>
      <c r="E1002" s="22" t="n">
        <f aca="false">SUMIFS(SETORES!$D:$D,SETORES!$A:$A,A1002,SETORES!$F:$F,J1002)</f>
        <v>29069.1848371711</v>
      </c>
      <c r="F1002" s="22" t="n">
        <f aca="false">IFERROR(D1002*E1002,0)</f>
        <v>706.052270554406</v>
      </c>
      <c r="G1002" s="14" t="n">
        <f aca="false">SUMIFS(PARÂMETROS!$F$8:$F$907,PARÂMETROS!$A$8:$A$907,C1002,PARÂMETROS!$G$8:$G$907,J1002)</f>
        <v>0</v>
      </c>
      <c r="H1002" s="22" t="n">
        <f aca="false">IFERROR(F1002*G1002,0)</f>
        <v>0</v>
      </c>
      <c r="I1002" s="22" t="n">
        <f aca="false">F1002+H1002</f>
        <v>706.052270554406</v>
      </c>
      <c r="J1002" s="16" t="s">
        <v>88</v>
      </c>
    </row>
    <row r="1003" customFormat="false" ht="14.25" hidden="false" customHeight="true" outlineLevel="0" collapsed="false">
      <c r="A1003" s="11" t="s">
        <v>42</v>
      </c>
      <c r="B1003" s="20" t="str">
        <f aca="false">INDEX(SETORES!$B:$B,MATCH(A1003,SETORES!$A:$A,0))</f>
        <v>Clientes</v>
      </c>
      <c r="C1003" s="11" t="s">
        <v>17</v>
      </c>
      <c r="D1003" s="9" t="n">
        <f aca="false">IF(B1003="Clientes",SUMIFS(PARÂMETROS!$D$8:$D$907,PARÂMETROS!$A$8:$A$907,C1003,PARÂMETROS!$G$8:$G$907,J1003),SUMIFS(PARÂMETROS!$E$8:$E$907,PARÂMETROS!$A$8:$A$907,C1003,PARÂMETROS!$G$8:$G$907,J1003))</f>
        <v>0.0243241872495816</v>
      </c>
      <c r="E1003" s="21" t="n">
        <f aca="false">SUMIFS(SETORES!$D:$D,SETORES!$A:$A,A1003,SETORES!$F:$F,J1003)</f>
        <v>29069.1848371711</v>
      </c>
      <c r="F1003" s="21" t="n">
        <f aca="false">IFERROR(D1003*E1003,0)</f>
        <v>707.084295172047</v>
      </c>
      <c r="G1003" s="9" t="n">
        <f aca="false">SUMIFS(PARÂMETROS!$F$8:$F$907,PARÂMETROS!$A$8:$A$907,C1003,PARÂMETROS!$G$8:$G$907,J1003)</f>
        <v>0</v>
      </c>
      <c r="H1003" s="21" t="n">
        <f aca="false">IFERROR(F1003*G1003,0)</f>
        <v>0</v>
      </c>
      <c r="I1003" s="21" t="n">
        <f aca="false">F1003+H1003</f>
        <v>707.084295172047</v>
      </c>
      <c r="J1003" s="11" t="s">
        <v>88</v>
      </c>
    </row>
    <row r="1004" customFormat="false" ht="14.25" hidden="false" customHeight="true" outlineLevel="0" collapsed="false">
      <c r="A1004" s="16" t="s">
        <v>42</v>
      </c>
      <c r="B1004" s="16" t="str">
        <f aca="false">INDEX(SETORES!$B:$B,MATCH(A1004,SETORES!$A:$A,0))</f>
        <v>Clientes</v>
      </c>
      <c r="C1004" s="16" t="s">
        <v>18</v>
      </c>
      <c r="D1004" s="14" t="n">
        <f aca="false">IF(B1004="Clientes",SUMIFS(PARÂMETROS!$D$8:$D$907,PARÂMETROS!$A$8:$A$907,C1004,PARÂMETROS!$G$8:$G$907,J1004),SUMIFS(PARÂMETROS!$E$8:$E$907,PARÂMETROS!$A$8:$A$907,C1004,PARÂMETROS!$G$8:$G$907,J1004))</f>
        <v>0.722194045747325</v>
      </c>
      <c r="E1004" s="22" t="n">
        <f aca="false">SUMIFS(SETORES!$D:$D,SETORES!$A:$A,A1004,SETORES!$F:$F,J1004)</f>
        <v>29069.1848371711</v>
      </c>
      <c r="F1004" s="22" t="n">
        <f aca="false">IFERROR(D1004*E1004,0)</f>
        <v>20993.5922041334</v>
      </c>
      <c r="G1004" s="14" t="n">
        <f aca="false">SUMIFS(PARÂMETROS!$F$8:$F$907,PARÂMETROS!$A$8:$A$907,C1004,PARÂMETROS!$G$8:$G$907,J1004)</f>
        <v>0</v>
      </c>
      <c r="H1004" s="22" t="n">
        <f aca="false">IFERROR(F1004*G1004,0)</f>
        <v>0</v>
      </c>
      <c r="I1004" s="22" t="n">
        <f aca="false">F1004+H1004</f>
        <v>20993.5922041334</v>
      </c>
      <c r="J1004" s="16" t="s">
        <v>88</v>
      </c>
    </row>
    <row r="1005" customFormat="false" ht="14.25" hidden="false" customHeight="true" outlineLevel="0" collapsed="false">
      <c r="A1005" s="11" t="s">
        <v>43</v>
      </c>
      <c r="B1005" s="20" t="str">
        <f aca="false">INDEX(SETORES!$B:$B,MATCH(A1005,SETORES!$A:$A,0))</f>
        <v>Clientes</v>
      </c>
      <c r="C1005" s="11" t="s">
        <v>10</v>
      </c>
      <c r="D1005" s="9" t="n">
        <f aca="false">IF(B1005="Clientes",SUMIFS(PARÂMETROS!$D$8:$D$907,PARÂMETROS!$A$8:$A$907,C1005,PARÂMETROS!$G$8:$G$907,J1005),SUMIFS(PARÂMETROS!$E$8:$E$907,PARÂMETROS!$A$8:$A$907,C1005,PARÂMETROS!$G$8:$G$907,J1005))</f>
        <v>0.0337120251559568</v>
      </c>
      <c r="E1005" s="21" t="n">
        <f aca="false">SUMIFS(SETORES!$D:$D,SETORES!$A:$A,A1005,SETORES!$F:$F,J1005)</f>
        <v>26587.41885</v>
      </c>
      <c r="F1005" s="21" t="n">
        <f aca="false">IFERROR(D1005*E1005,0)</f>
        <v>896.31573310316</v>
      </c>
      <c r="G1005" s="9" t="n">
        <f aca="false">SUMIFS(PARÂMETROS!$F$8:$F$907,PARÂMETROS!$A$8:$A$907,C1005,PARÂMETROS!$G$8:$G$907,J1005)</f>
        <v>0</v>
      </c>
      <c r="H1005" s="21" t="n">
        <f aca="false">IFERROR(F1005*G1005,0)</f>
        <v>0</v>
      </c>
      <c r="I1005" s="21" t="n">
        <f aca="false">F1005+H1005</f>
        <v>896.31573310316</v>
      </c>
      <c r="J1005" s="11" t="s">
        <v>88</v>
      </c>
    </row>
    <row r="1006" customFormat="false" ht="14.25" hidden="false" customHeight="true" outlineLevel="0" collapsed="false">
      <c r="A1006" s="16" t="s">
        <v>43</v>
      </c>
      <c r="B1006" s="16" t="str">
        <f aca="false">INDEX(SETORES!$B:$B,MATCH(A1006,SETORES!$A:$A,0))</f>
        <v>Clientes</v>
      </c>
      <c r="C1006" s="16" t="s">
        <v>12</v>
      </c>
      <c r="D1006" s="14" t="n">
        <f aca="false">IF(B1006="Clientes",SUMIFS(PARÂMETROS!$D$8:$D$907,PARÂMETROS!$A$8:$A$907,C1006,PARÂMETROS!$G$8:$G$907,J1006),SUMIFS(PARÂMETROS!$E$8:$E$907,PARÂMETROS!$A$8:$A$907,C1006,PARÂMETROS!$G$8:$G$907,J1006))</f>
        <v>0.0685195516559314</v>
      </c>
      <c r="E1006" s="22" t="n">
        <f aca="false">SUMIFS(SETORES!$D:$D,SETORES!$A:$A,A1006,SETORES!$F:$F,J1006)</f>
        <v>26587.41885</v>
      </c>
      <c r="F1006" s="22" t="n">
        <f aca="false">IFERROR(D1006*E1006,0)</f>
        <v>1821.75801929046</v>
      </c>
      <c r="G1006" s="14" t="n">
        <f aca="false">SUMIFS(PARÂMETROS!$F$8:$F$907,PARÂMETROS!$A$8:$A$907,C1006,PARÂMETROS!$G$8:$G$907,J1006)</f>
        <v>0</v>
      </c>
      <c r="H1006" s="22" t="n">
        <f aca="false">IFERROR(F1006*G1006,0)</f>
        <v>0</v>
      </c>
      <c r="I1006" s="22" t="n">
        <f aca="false">F1006+H1006</f>
        <v>1821.75801929046</v>
      </c>
      <c r="J1006" s="16" t="s">
        <v>88</v>
      </c>
    </row>
    <row r="1007" customFormat="false" ht="14.25" hidden="false" customHeight="true" outlineLevel="0" collapsed="false">
      <c r="A1007" s="11" t="s">
        <v>43</v>
      </c>
      <c r="B1007" s="20" t="str">
        <f aca="false">INDEX(SETORES!$B:$B,MATCH(A1007,SETORES!$A:$A,0))</f>
        <v>Clientes</v>
      </c>
      <c r="C1007" s="11" t="s">
        <v>13</v>
      </c>
      <c r="D1007" s="9" t="n">
        <f aca="false">IF(B1007="Clientes",SUMIFS(PARÂMETROS!$D$8:$D$907,PARÂMETROS!$A$8:$A$907,C1007,PARÂMETROS!$G$8:$G$907,J1007),SUMIFS(PARÂMETROS!$E$8:$E$907,PARÂMETROS!$A$8:$A$907,C1007,PARÂMETROS!$G$8:$G$907,J1007))</f>
        <v>0.0745397372825481</v>
      </c>
      <c r="E1007" s="21" t="n">
        <f aca="false">SUMIFS(SETORES!$D:$D,SETORES!$A:$A,A1007,SETORES!$F:$F,J1007)</f>
        <v>26587.41885</v>
      </c>
      <c r="F1007" s="21" t="n">
        <f aca="false">IFERROR(D1007*E1007,0)</f>
        <v>1981.81921610007</v>
      </c>
      <c r="G1007" s="9" t="n">
        <f aca="false">SUMIFS(PARÂMETROS!$F$8:$F$907,PARÂMETROS!$A$8:$A$907,C1007,PARÂMETROS!$G$8:$G$907,J1007)</f>
        <v>0</v>
      </c>
      <c r="H1007" s="21" t="n">
        <f aca="false">IFERROR(F1007*G1007,0)</f>
        <v>0</v>
      </c>
      <c r="I1007" s="21" t="n">
        <f aca="false">F1007+H1007</f>
        <v>1981.81921610007</v>
      </c>
      <c r="J1007" s="11" t="s">
        <v>88</v>
      </c>
    </row>
    <row r="1008" customFormat="false" ht="14.25" hidden="false" customHeight="true" outlineLevel="0" collapsed="false">
      <c r="A1008" s="16" t="s">
        <v>43</v>
      </c>
      <c r="B1008" s="16" t="str">
        <f aca="false">INDEX(SETORES!$B:$B,MATCH(A1008,SETORES!$A:$A,0))</f>
        <v>Clientes</v>
      </c>
      <c r="C1008" s="16" t="s">
        <v>14</v>
      </c>
      <c r="D1008" s="14" t="n">
        <f aca="false">IF(B1008="Clientes",SUMIFS(PARÂMETROS!$D$8:$D$907,PARÂMETROS!$A$8:$A$907,C1008,PARÂMETROS!$G$8:$G$907,J1008),SUMIFS(PARÂMETROS!$E$8:$E$907,PARÂMETROS!$A$8:$A$907,C1008,PARÂMETROS!$G$8:$G$907,J1008))</f>
        <v>0.018943044073642</v>
      </c>
      <c r="E1008" s="22" t="n">
        <f aca="false">SUMIFS(SETORES!$D:$D,SETORES!$A:$A,A1008,SETORES!$F:$F,J1008)</f>
        <v>26587.41885</v>
      </c>
      <c r="F1008" s="22" t="n">
        <f aca="false">IFERROR(D1008*E1008,0)</f>
        <v>503.646647079931</v>
      </c>
      <c r="G1008" s="14" t="n">
        <f aca="false">SUMIFS(PARÂMETROS!$F$8:$F$907,PARÂMETROS!$A$8:$A$907,C1008,PARÂMETROS!$G$8:$G$907,J1008)</f>
        <v>0</v>
      </c>
      <c r="H1008" s="22" t="n">
        <f aca="false">IFERROR(F1008*G1008,0)</f>
        <v>0</v>
      </c>
      <c r="I1008" s="22" t="n">
        <f aca="false">F1008+H1008</f>
        <v>503.646647079931</v>
      </c>
      <c r="J1008" s="16" t="s">
        <v>88</v>
      </c>
    </row>
    <row r="1009" customFormat="false" ht="14.25" hidden="false" customHeight="true" outlineLevel="0" collapsed="false">
      <c r="A1009" s="11" t="s">
        <v>43</v>
      </c>
      <c r="B1009" s="20" t="str">
        <f aca="false">INDEX(SETORES!$B:$B,MATCH(A1009,SETORES!$A:$A,0))</f>
        <v>Clientes</v>
      </c>
      <c r="C1009" s="11" t="s">
        <v>15</v>
      </c>
      <c r="D1009" s="9" t="n">
        <f aca="false">IF(B1009="Clientes",SUMIFS(PARÂMETROS!$D$8:$D$907,PARÂMETROS!$A$8:$A$907,C1009,PARÂMETROS!$G$8:$G$907,J1009),SUMIFS(PARÂMETROS!$E$8:$E$907,PARÂMETROS!$A$8:$A$907,C1009,PARÂMETROS!$G$8:$G$907,J1009))</f>
        <v>0.0334787239438048</v>
      </c>
      <c r="E1009" s="21" t="n">
        <f aca="false">SUMIFS(SETORES!$D:$D,SETORES!$A:$A,A1009,SETORES!$F:$F,J1009)</f>
        <v>26587.41885</v>
      </c>
      <c r="F1009" s="21" t="n">
        <f aca="false">IFERROR(D1009*E1009,0)</f>
        <v>890.112856057463</v>
      </c>
      <c r="G1009" s="9" t="n">
        <f aca="false">SUMIFS(PARÂMETROS!$F$8:$F$907,PARÂMETROS!$A$8:$A$907,C1009,PARÂMETROS!$G$8:$G$907,J1009)</f>
        <v>0</v>
      </c>
      <c r="H1009" s="21" t="n">
        <f aca="false">IFERROR(F1009*G1009,0)</f>
        <v>0</v>
      </c>
      <c r="I1009" s="21" t="n">
        <f aca="false">F1009+H1009</f>
        <v>890.112856057463</v>
      </c>
      <c r="J1009" s="11" t="s">
        <v>88</v>
      </c>
    </row>
    <row r="1010" customFormat="false" ht="14.25" hidden="false" customHeight="true" outlineLevel="0" collapsed="false">
      <c r="A1010" s="16" t="s">
        <v>43</v>
      </c>
      <c r="B1010" s="16" t="str">
        <f aca="false">INDEX(SETORES!$B:$B,MATCH(A1010,SETORES!$A:$A,0))</f>
        <v>Clientes</v>
      </c>
      <c r="C1010" s="16" t="s">
        <v>16</v>
      </c>
      <c r="D1010" s="14" t="n">
        <f aca="false">IF(B1010="Clientes",SUMIFS(PARÂMETROS!$D$8:$D$907,PARÂMETROS!$A$8:$A$907,C1010,PARÂMETROS!$G$8:$G$907,J1010),SUMIFS(PARÂMETROS!$E$8:$E$907,PARÂMETROS!$A$8:$A$907,C1010,PARÂMETROS!$G$8:$G$907,J1010))</f>
        <v>0.0242886848912106</v>
      </c>
      <c r="E1010" s="22" t="n">
        <f aca="false">SUMIFS(SETORES!$D:$D,SETORES!$A:$A,A1010,SETORES!$F:$F,J1010)</f>
        <v>26587.41885</v>
      </c>
      <c r="F1010" s="22" t="n">
        <f aca="false">IFERROR(D1010*E1010,0)</f>
        <v>645.773438518284</v>
      </c>
      <c r="G1010" s="14" t="n">
        <f aca="false">SUMIFS(PARÂMETROS!$F$8:$F$907,PARÂMETROS!$A$8:$A$907,C1010,PARÂMETROS!$G$8:$G$907,J1010)</f>
        <v>0</v>
      </c>
      <c r="H1010" s="22" t="n">
        <f aca="false">IFERROR(F1010*G1010,0)</f>
        <v>0</v>
      </c>
      <c r="I1010" s="22" t="n">
        <f aca="false">F1010+H1010</f>
        <v>645.773438518284</v>
      </c>
      <c r="J1010" s="16" t="s">
        <v>88</v>
      </c>
    </row>
    <row r="1011" customFormat="false" ht="14.25" hidden="false" customHeight="true" outlineLevel="0" collapsed="false">
      <c r="A1011" s="11" t="s">
        <v>43</v>
      </c>
      <c r="B1011" s="20" t="str">
        <f aca="false">INDEX(SETORES!$B:$B,MATCH(A1011,SETORES!$A:$A,0))</f>
        <v>Clientes</v>
      </c>
      <c r="C1011" s="11" t="s">
        <v>17</v>
      </c>
      <c r="D1011" s="9" t="n">
        <f aca="false">IF(B1011="Clientes",SUMIFS(PARÂMETROS!$D$8:$D$907,PARÂMETROS!$A$8:$A$907,C1011,PARÂMETROS!$G$8:$G$907,J1011),SUMIFS(PARÂMETROS!$E$8:$E$907,PARÂMETROS!$A$8:$A$907,C1011,PARÂMETROS!$G$8:$G$907,J1011))</f>
        <v>0.0243241872495816</v>
      </c>
      <c r="E1011" s="21" t="n">
        <f aca="false">SUMIFS(SETORES!$D:$D,SETORES!$A:$A,A1011,SETORES!$F:$F,J1011)</f>
        <v>26587.41885</v>
      </c>
      <c r="F1011" s="21" t="n">
        <f aca="false">IFERROR(D1011*E1011,0)</f>
        <v>646.717354590455</v>
      </c>
      <c r="G1011" s="9" t="n">
        <f aca="false">SUMIFS(PARÂMETROS!$F$8:$F$907,PARÂMETROS!$A$8:$A$907,C1011,PARÂMETROS!$G$8:$G$907,J1011)</f>
        <v>0</v>
      </c>
      <c r="H1011" s="21" t="n">
        <f aca="false">IFERROR(F1011*G1011,0)</f>
        <v>0</v>
      </c>
      <c r="I1011" s="21" t="n">
        <f aca="false">F1011+H1011</f>
        <v>646.717354590455</v>
      </c>
      <c r="J1011" s="11" t="s">
        <v>88</v>
      </c>
    </row>
    <row r="1012" customFormat="false" ht="14.25" hidden="false" customHeight="true" outlineLevel="0" collapsed="false">
      <c r="A1012" s="16" t="s">
        <v>43</v>
      </c>
      <c r="B1012" s="16" t="str">
        <f aca="false">INDEX(SETORES!$B:$B,MATCH(A1012,SETORES!$A:$A,0))</f>
        <v>Clientes</v>
      </c>
      <c r="C1012" s="16" t="s">
        <v>18</v>
      </c>
      <c r="D1012" s="14" t="n">
        <f aca="false">IF(B1012="Clientes",SUMIFS(PARÂMETROS!$D$8:$D$907,PARÂMETROS!$A$8:$A$907,C1012,PARÂMETROS!$G$8:$G$907,J1012),SUMIFS(PARÂMETROS!$E$8:$E$907,PARÂMETROS!$A$8:$A$907,C1012,PARÂMETROS!$G$8:$G$907,J1012))</f>
        <v>0.722194045747325</v>
      </c>
      <c r="E1012" s="22" t="n">
        <f aca="false">SUMIFS(SETORES!$D:$D,SETORES!$A:$A,A1012,SETORES!$F:$F,J1012)</f>
        <v>26587.41885</v>
      </c>
      <c r="F1012" s="22" t="n">
        <f aca="false">IFERROR(D1012*E1012,0)</f>
        <v>19201.2755852602</v>
      </c>
      <c r="G1012" s="14" t="n">
        <f aca="false">SUMIFS(PARÂMETROS!$F$8:$F$907,PARÂMETROS!$A$8:$A$907,C1012,PARÂMETROS!$G$8:$G$907,J1012)</f>
        <v>0</v>
      </c>
      <c r="H1012" s="22" t="n">
        <f aca="false">IFERROR(F1012*G1012,0)</f>
        <v>0</v>
      </c>
      <c r="I1012" s="22" t="n">
        <f aca="false">F1012+H1012</f>
        <v>19201.2755852602</v>
      </c>
      <c r="J1012" s="16" t="s">
        <v>88</v>
      </c>
    </row>
    <row r="1013" customFormat="false" ht="14.25" hidden="false" customHeight="true" outlineLevel="0" collapsed="false">
      <c r="A1013" s="11" t="s">
        <v>44</v>
      </c>
      <c r="B1013" s="20" t="str">
        <f aca="false">INDEX(SETORES!$B:$B,MATCH(A1013,SETORES!$A:$A,0))</f>
        <v>Funcionários</v>
      </c>
      <c r="C1013" s="11" t="s">
        <v>10</v>
      </c>
      <c r="D1013" s="9" t="n">
        <f aca="false">IF(B1013="Clientes",SUMIFS(PARÂMETROS!$D$8:$D$907,PARÂMETROS!$A$8:$A$907,C1013,PARÂMETROS!$G$8:$G$907,J1013),SUMIFS(PARÂMETROS!$E$8:$E$907,PARÂMETROS!$A$8:$A$907,C1013,PARÂMETROS!$G$8:$G$907,J1013))</f>
        <v>0.0285171102661597</v>
      </c>
      <c r="E1013" s="21" t="n">
        <f aca="false">SUMIFS(SETORES!$D:$D,SETORES!$A:$A,A1013,SETORES!$F:$F,J1013)</f>
        <v>59052.04416</v>
      </c>
      <c r="F1013" s="21" t="n">
        <f aca="false">IFERROR(D1013*E1013,0)</f>
        <v>1683.99365475285</v>
      </c>
      <c r="G1013" s="9" t="n">
        <f aca="false">SUMIFS(PARÂMETROS!$F$8:$F$907,PARÂMETROS!$A$8:$A$907,C1013,PARÂMETROS!$G$8:$G$907,J1013)</f>
        <v>0</v>
      </c>
      <c r="H1013" s="21" t="n">
        <f aca="false">IFERROR(F1013*G1013,0)</f>
        <v>0</v>
      </c>
      <c r="I1013" s="21" t="n">
        <f aca="false">F1013+H1013</f>
        <v>1683.99365475285</v>
      </c>
      <c r="J1013" s="11" t="s">
        <v>88</v>
      </c>
    </row>
    <row r="1014" customFormat="false" ht="14.25" hidden="false" customHeight="true" outlineLevel="0" collapsed="false">
      <c r="A1014" s="16" t="s">
        <v>44</v>
      </c>
      <c r="B1014" s="16" t="str">
        <f aca="false">INDEX(SETORES!$B:$B,MATCH(A1014,SETORES!$A:$A,0))</f>
        <v>Funcionários</v>
      </c>
      <c r="C1014" s="16" t="s">
        <v>12</v>
      </c>
      <c r="D1014" s="14" t="n">
        <f aca="false">IF(B1014="Clientes",SUMIFS(PARÂMETROS!$D$8:$D$907,PARÂMETROS!$A$8:$A$907,C1014,PARÂMETROS!$G$8:$G$907,J1014),SUMIFS(PARÂMETROS!$E$8:$E$907,PARÂMETROS!$A$8:$A$907,C1014,PARÂMETROS!$G$8:$G$907,J1014))</f>
        <v>0</v>
      </c>
      <c r="E1014" s="22" t="n">
        <f aca="false">SUMIFS(SETORES!$D:$D,SETORES!$A:$A,A1014,SETORES!$F:$F,J1014)</f>
        <v>59052.04416</v>
      </c>
      <c r="F1014" s="22" t="n">
        <f aca="false">IFERROR(D1014*E1014,0)</f>
        <v>0</v>
      </c>
      <c r="G1014" s="14" t="n">
        <f aca="false">SUMIFS(PARÂMETROS!$F$8:$F$907,PARÂMETROS!$A$8:$A$907,C1014,PARÂMETROS!$G$8:$G$907,J1014)</f>
        <v>0</v>
      </c>
      <c r="H1014" s="22" t="n">
        <f aca="false">IFERROR(F1014*G1014,0)</f>
        <v>0</v>
      </c>
      <c r="I1014" s="22" t="n">
        <f aca="false">F1014+H1014</f>
        <v>0</v>
      </c>
      <c r="J1014" s="16" t="s">
        <v>88</v>
      </c>
    </row>
    <row r="1015" customFormat="false" ht="14.25" hidden="false" customHeight="true" outlineLevel="0" collapsed="false">
      <c r="A1015" s="11" t="s">
        <v>44</v>
      </c>
      <c r="B1015" s="20" t="str">
        <f aca="false">INDEX(SETORES!$B:$B,MATCH(A1015,SETORES!$A:$A,0))</f>
        <v>Funcionários</v>
      </c>
      <c r="C1015" s="11" t="s">
        <v>13</v>
      </c>
      <c r="D1015" s="9" t="n">
        <f aca="false">IF(B1015="Clientes",SUMIFS(PARÂMETROS!$D$8:$D$907,PARÂMETROS!$A$8:$A$907,C1015,PARÂMETROS!$G$8:$G$907,J1015),SUMIFS(PARÂMETROS!$E$8:$E$907,PARÂMETROS!$A$8:$A$907,C1015,PARÂMETROS!$G$8:$G$907,J1015))</f>
        <v>0.0427756653992395</v>
      </c>
      <c r="E1015" s="21" t="n">
        <f aca="false">SUMIFS(SETORES!$D:$D,SETORES!$A:$A,A1015,SETORES!$F:$F,J1015)</f>
        <v>59052.04416</v>
      </c>
      <c r="F1015" s="21" t="n">
        <f aca="false">IFERROR(D1015*E1015,0)</f>
        <v>2525.99048212928</v>
      </c>
      <c r="G1015" s="9" t="n">
        <f aca="false">SUMIFS(PARÂMETROS!$F$8:$F$907,PARÂMETROS!$A$8:$A$907,C1015,PARÂMETROS!$G$8:$G$907,J1015)</f>
        <v>0</v>
      </c>
      <c r="H1015" s="21" t="n">
        <f aca="false">IFERROR(F1015*G1015,0)</f>
        <v>0</v>
      </c>
      <c r="I1015" s="21" t="n">
        <f aca="false">F1015+H1015</f>
        <v>2525.99048212928</v>
      </c>
      <c r="J1015" s="11" t="s">
        <v>88</v>
      </c>
    </row>
    <row r="1016" customFormat="false" ht="14.25" hidden="false" customHeight="true" outlineLevel="0" collapsed="false">
      <c r="A1016" s="16" t="s">
        <v>44</v>
      </c>
      <c r="B1016" s="16" t="str">
        <f aca="false">INDEX(SETORES!$B:$B,MATCH(A1016,SETORES!$A:$A,0))</f>
        <v>Funcionários</v>
      </c>
      <c r="C1016" s="16" t="s">
        <v>14</v>
      </c>
      <c r="D1016" s="14" t="n">
        <f aca="false">IF(B1016="Clientes",SUMIFS(PARÂMETROS!$D$8:$D$907,PARÂMETROS!$A$8:$A$907,C1016,PARÂMETROS!$G$8:$G$907,J1016),SUMIFS(PARÂMETROS!$E$8:$E$907,PARÂMETROS!$A$8:$A$907,C1016,PARÂMETROS!$G$8:$G$907,J1016))</f>
        <v>0.00950570342205323</v>
      </c>
      <c r="E1016" s="22" t="n">
        <f aca="false">SUMIFS(SETORES!$D:$D,SETORES!$A:$A,A1016,SETORES!$F:$F,J1016)</f>
        <v>59052.04416</v>
      </c>
      <c r="F1016" s="22" t="n">
        <f aca="false">IFERROR(D1016*E1016,0)</f>
        <v>561.331218250951</v>
      </c>
      <c r="G1016" s="14" t="n">
        <f aca="false">SUMIFS(PARÂMETROS!$F$8:$F$907,PARÂMETROS!$A$8:$A$907,C1016,PARÂMETROS!$G$8:$G$907,J1016)</f>
        <v>0</v>
      </c>
      <c r="H1016" s="22" t="n">
        <f aca="false">IFERROR(F1016*G1016,0)</f>
        <v>0</v>
      </c>
      <c r="I1016" s="22" t="n">
        <f aca="false">F1016+H1016</f>
        <v>561.331218250951</v>
      </c>
      <c r="J1016" s="16" t="s">
        <v>88</v>
      </c>
    </row>
    <row r="1017" customFormat="false" ht="14.25" hidden="false" customHeight="true" outlineLevel="0" collapsed="false">
      <c r="A1017" s="11" t="s">
        <v>44</v>
      </c>
      <c r="B1017" s="20" t="str">
        <f aca="false">INDEX(SETORES!$B:$B,MATCH(A1017,SETORES!$A:$A,0))</f>
        <v>Funcionários</v>
      </c>
      <c r="C1017" s="11" t="s">
        <v>15</v>
      </c>
      <c r="D1017" s="9" t="n">
        <f aca="false">IF(B1017="Clientes",SUMIFS(PARÂMETROS!$D$8:$D$907,PARÂMETROS!$A$8:$A$907,C1017,PARÂMETROS!$G$8:$G$907,J1017),SUMIFS(PARÂMETROS!$E$8:$E$907,PARÂMETROS!$A$8:$A$907,C1017,PARÂMETROS!$G$8:$G$907,J1017))</f>
        <v>0.0437262357414449</v>
      </c>
      <c r="E1017" s="21" t="n">
        <f aca="false">SUMIFS(SETORES!$D:$D,SETORES!$A:$A,A1017,SETORES!$F:$F,J1017)</f>
        <v>59052.04416</v>
      </c>
      <c r="F1017" s="21" t="n">
        <f aca="false">IFERROR(D1017*E1017,0)</f>
        <v>2582.12360395437</v>
      </c>
      <c r="G1017" s="9" t="n">
        <f aca="false">SUMIFS(PARÂMETROS!$F$8:$F$907,PARÂMETROS!$A$8:$A$907,C1017,PARÂMETROS!$G$8:$G$907,J1017)</f>
        <v>0</v>
      </c>
      <c r="H1017" s="21" t="n">
        <f aca="false">IFERROR(F1017*G1017,0)</f>
        <v>0</v>
      </c>
      <c r="I1017" s="21" t="n">
        <f aca="false">F1017+H1017</f>
        <v>2582.12360395437</v>
      </c>
      <c r="J1017" s="11" t="s">
        <v>88</v>
      </c>
    </row>
    <row r="1018" customFormat="false" ht="14.25" hidden="false" customHeight="true" outlineLevel="0" collapsed="false">
      <c r="A1018" s="16" t="s">
        <v>44</v>
      </c>
      <c r="B1018" s="16" t="str">
        <f aca="false">INDEX(SETORES!$B:$B,MATCH(A1018,SETORES!$A:$A,0))</f>
        <v>Funcionários</v>
      </c>
      <c r="C1018" s="16" t="s">
        <v>16</v>
      </c>
      <c r="D1018" s="14" t="n">
        <f aca="false">IF(B1018="Clientes",SUMIFS(PARÂMETROS!$D$8:$D$907,PARÂMETROS!$A$8:$A$907,C1018,PARÂMETROS!$G$8:$G$907,J1018),SUMIFS(PARÂMETROS!$E$8:$E$907,PARÂMETROS!$A$8:$A$907,C1018,PARÂMETROS!$G$8:$G$907,J1018))</f>
        <v>0.0161596958174905</v>
      </c>
      <c r="E1018" s="22" t="n">
        <f aca="false">SUMIFS(SETORES!$D:$D,SETORES!$A:$A,A1018,SETORES!$F:$F,J1018)</f>
        <v>59052.04416</v>
      </c>
      <c r="F1018" s="22" t="n">
        <f aca="false">IFERROR(D1018*E1018,0)</f>
        <v>954.263071026616</v>
      </c>
      <c r="G1018" s="14" t="n">
        <f aca="false">SUMIFS(PARÂMETROS!$F$8:$F$907,PARÂMETROS!$A$8:$A$907,C1018,PARÂMETROS!$G$8:$G$907,J1018)</f>
        <v>0</v>
      </c>
      <c r="H1018" s="22" t="n">
        <f aca="false">IFERROR(F1018*G1018,0)</f>
        <v>0</v>
      </c>
      <c r="I1018" s="22" t="n">
        <f aca="false">F1018+H1018</f>
        <v>954.263071026616</v>
      </c>
      <c r="J1018" s="16" t="s">
        <v>88</v>
      </c>
    </row>
    <row r="1019" customFormat="false" ht="14.25" hidden="false" customHeight="true" outlineLevel="0" collapsed="false">
      <c r="A1019" s="11" t="s">
        <v>44</v>
      </c>
      <c r="B1019" s="20" t="str">
        <f aca="false">INDEX(SETORES!$B:$B,MATCH(A1019,SETORES!$A:$A,0))</f>
        <v>Funcionários</v>
      </c>
      <c r="C1019" s="11" t="s">
        <v>17</v>
      </c>
      <c r="D1019" s="9" t="n">
        <f aca="false">IF(B1019="Clientes",SUMIFS(PARÂMETROS!$D$8:$D$907,PARÂMETROS!$A$8:$A$907,C1019,PARÂMETROS!$G$8:$G$907,J1019),SUMIFS(PARÂMETROS!$E$8:$E$907,PARÂMETROS!$A$8:$A$907,C1019,PARÂMETROS!$G$8:$G$907,J1019))</f>
        <v>0.0218631178707224</v>
      </c>
      <c r="E1019" s="21" t="n">
        <f aca="false">SUMIFS(SETORES!$D:$D,SETORES!$A:$A,A1019,SETORES!$F:$F,J1019)</f>
        <v>59052.04416</v>
      </c>
      <c r="F1019" s="21" t="n">
        <f aca="false">IFERROR(D1019*E1019,0)</f>
        <v>1291.06180197719</v>
      </c>
      <c r="G1019" s="9" t="n">
        <f aca="false">SUMIFS(PARÂMETROS!$F$8:$F$907,PARÂMETROS!$A$8:$A$907,C1019,PARÂMETROS!$G$8:$G$907,J1019)</f>
        <v>0</v>
      </c>
      <c r="H1019" s="21" t="n">
        <f aca="false">IFERROR(F1019*G1019,0)</f>
        <v>0</v>
      </c>
      <c r="I1019" s="21" t="n">
        <f aca="false">F1019+H1019</f>
        <v>1291.06180197719</v>
      </c>
      <c r="J1019" s="11" t="s">
        <v>88</v>
      </c>
    </row>
    <row r="1020" customFormat="false" ht="14.25" hidden="false" customHeight="true" outlineLevel="0" collapsed="false">
      <c r="A1020" s="16" t="s">
        <v>44</v>
      </c>
      <c r="B1020" s="16" t="str">
        <f aca="false">INDEX(SETORES!$B:$B,MATCH(A1020,SETORES!$A:$A,0))</f>
        <v>Funcionários</v>
      </c>
      <c r="C1020" s="16" t="s">
        <v>18</v>
      </c>
      <c r="D1020" s="14" t="n">
        <f aca="false">IF(B1020="Clientes",SUMIFS(PARÂMETROS!$D$8:$D$907,PARÂMETROS!$A$8:$A$907,C1020,PARÂMETROS!$G$8:$G$907,J1020),SUMIFS(PARÂMETROS!$E$8:$E$907,PARÂMETROS!$A$8:$A$907,C1020,PARÂMETROS!$G$8:$G$907,J1020))</f>
        <v>0.83745247148289</v>
      </c>
      <c r="E1020" s="22" t="n">
        <f aca="false">SUMIFS(SETORES!$D:$D,SETORES!$A:$A,A1020,SETORES!$F:$F,J1020)</f>
        <v>59052.04416</v>
      </c>
      <c r="F1020" s="22" t="n">
        <f aca="false">IFERROR(D1020*E1020,0)</f>
        <v>49453.2803279087</v>
      </c>
      <c r="G1020" s="14" t="n">
        <f aca="false">SUMIFS(PARÂMETROS!$F$8:$F$907,PARÂMETROS!$A$8:$A$907,C1020,PARÂMETROS!$G$8:$G$907,J1020)</f>
        <v>0</v>
      </c>
      <c r="H1020" s="22" t="n">
        <f aca="false">IFERROR(F1020*G1020,0)</f>
        <v>0</v>
      </c>
      <c r="I1020" s="22" t="n">
        <f aca="false">F1020+H1020</f>
        <v>49453.2803279087</v>
      </c>
      <c r="J1020" s="16" t="s">
        <v>88</v>
      </c>
    </row>
    <row r="1021" customFormat="false" ht="14.25" hidden="false" customHeight="true" outlineLevel="0" collapsed="false">
      <c r="A1021" s="11" t="s">
        <v>45</v>
      </c>
      <c r="B1021" s="20" t="str">
        <f aca="false">INDEX(SETORES!$B:$B,MATCH(A1021,SETORES!$A:$A,0))</f>
        <v>Clientes</v>
      </c>
      <c r="C1021" s="11" t="s">
        <v>10</v>
      </c>
      <c r="D1021" s="9" t="n">
        <f aca="false">IF(B1021="Clientes",SUMIFS(PARÂMETROS!$D$8:$D$907,PARÂMETROS!$A$8:$A$907,C1021,PARÂMETROS!$G$8:$G$907,J1021),SUMIFS(PARÂMETROS!$E$8:$E$907,PARÂMETROS!$A$8:$A$907,C1021,PARÂMETROS!$G$8:$G$907,J1021))</f>
        <v>0.0337120251559568</v>
      </c>
      <c r="E1021" s="21" t="n">
        <f aca="false">SUMIFS(SETORES!$D:$D,SETORES!$A:$A,A1021,SETORES!$F:$F,J1021)</f>
        <v>73687.77593</v>
      </c>
      <c r="F1021" s="21" t="n">
        <f aca="false">IFERROR(D1021*E1021,0)</f>
        <v>2484.16415583867</v>
      </c>
      <c r="G1021" s="9" t="n">
        <f aca="false">SUMIFS(PARÂMETROS!$F$8:$F$907,PARÂMETROS!$A$8:$A$907,C1021,PARÂMETROS!$G$8:$G$907,J1021)</f>
        <v>0</v>
      </c>
      <c r="H1021" s="21" t="n">
        <f aca="false">IFERROR(F1021*G1021,0)</f>
        <v>0</v>
      </c>
      <c r="I1021" s="21" t="n">
        <f aca="false">F1021+H1021</f>
        <v>2484.16415583867</v>
      </c>
      <c r="J1021" s="11" t="s">
        <v>88</v>
      </c>
    </row>
    <row r="1022" customFormat="false" ht="14.25" hidden="false" customHeight="true" outlineLevel="0" collapsed="false">
      <c r="A1022" s="16" t="s">
        <v>45</v>
      </c>
      <c r="B1022" s="16" t="str">
        <f aca="false">INDEX(SETORES!$B:$B,MATCH(A1022,SETORES!$A:$A,0))</f>
        <v>Clientes</v>
      </c>
      <c r="C1022" s="16" t="s">
        <v>12</v>
      </c>
      <c r="D1022" s="14" t="n">
        <f aca="false">IF(B1022="Clientes",SUMIFS(PARÂMETROS!$D$8:$D$907,PARÂMETROS!$A$8:$A$907,C1022,PARÂMETROS!$G$8:$G$907,J1022),SUMIFS(PARÂMETROS!$E$8:$E$907,PARÂMETROS!$A$8:$A$907,C1022,PARÂMETROS!$G$8:$G$907,J1022))</f>
        <v>0.0685195516559314</v>
      </c>
      <c r="E1022" s="22" t="n">
        <f aca="false">SUMIFS(SETORES!$D:$D,SETORES!$A:$A,A1022,SETORES!$F:$F,J1022)</f>
        <v>73687.77593</v>
      </c>
      <c r="F1022" s="22" t="n">
        <f aca="false">IFERROR(D1022*E1022,0)</f>
        <v>5049.05336924634</v>
      </c>
      <c r="G1022" s="14" t="n">
        <f aca="false">SUMIFS(PARÂMETROS!$F$8:$F$907,PARÂMETROS!$A$8:$A$907,C1022,PARÂMETROS!$G$8:$G$907,J1022)</f>
        <v>0</v>
      </c>
      <c r="H1022" s="22" t="n">
        <f aca="false">IFERROR(F1022*G1022,0)</f>
        <v>0</v>
      </c>
      <c r="I1022" s="22" t="n">
        <f aca="false">F1022+H1022</f>
        <v>5049.05336924634</v>
      </c>
      <c r="J1022" s="16" t="s">
        <v>88</v>
      </c>
    </row>
    <row r="1023" customFormat="false" ht="14.25" hidden="false" customHeight="true" outlineLevel="0" collapsed="false">
      <c r="A1023" s="11" t="s">
        <v>45</v>
      </c>
      <c r="B1023" s="20" t="str">
        <f aca="false">INDEX(SETORES!$B:$B,MATCH(A1023,SETORES!$A:$A,0))</f>
        <v>Clientes</v>
      </c>
      <c r="C1023" s="11" t="s">
        <v>13</v>
      </c>
      <c r="D1023" s="9" t="n">
        <f aca="false">IF(B1023="Clientes",SUMIFS(PARÂMETROS!$D$8:$D$907,PARÂMETROS!$A$8:$A$907,C1023,PARÂMETROS!$G$8:$G$907,J1023),SUMIFS(PARÂMETROS!$E$8:$E$907,PARÂMETROS!$A$8:$A$907,C1023,PARÂMETROS!$G$8:$G$907,J1023))</f>
        <v>0.0745397372825481</v>
      </c>
      <c r="E1023" s="21" t="n">
        <f aca="false">SUMIFS(SETORES!$D:$D,SETORES!$A:$A,A1023,SETORES!$F:$F,J1023)</f>
        <v>73687.77593</v>
      </c>
      <c r="F1023" s="21" t="n">
        <f aca="false">IFERROR(D1023*E1023,0)</f>
        <v>5492.66745875747</v>
      </c>
      <c r="G1023" s="9" t="n">
        <f aca="false">SUMIFS(PARÂMETROS!$F$8:$F$907,PARÂMETROS!$A$8:$A$907,C1023,PARÂMETROS!$G$8:$G$907,J1023)</f>
        <v>0</v>
      </c>
      <c r="H1023" s="21" t="n">
        <f aca="false">IFERROR(F1023*G1023,0)</f>
        <v>0</v>
      </c>
      <c r="I1023" s="21" t="n">
        <f aca="false">F1023+H1023</f>
        <v>5492.66745875747</v>
      </c>
      <c r="J1023" s="11" t="s">
        <v>88</v>
      </c>
    </row>
    <row r="1024" customFormat="false" ht="14.25" hidden="false" customHeight="true" outlineLevel="0" collapsed="false">
      <c r="A1024" s="16" t="s">
        <v>45</v>
      </c>
      <c r="B1024" s="16" t="str">
        <f aca="false">INDEX(SETORES!$B:$B,MATCH(A1024,SETORES!$A:$A,0))</f>
        <v>Clientes</v>
      </c>
      <c r="C1024" s="16" t="s">
        <v>14</v>
      </c>
      <c r="D1024" s="14" t="n">
        <f aca="false">IF(B1024="Clientes",SUMIFS(PARÂMETROS!$D$8:$D$907,PARÂMETROS!$A$8:$A$907,C1024,PARÂMETROS!$G$8:$G$907,J1024),SUMIFS(PARÂMETROS!$E$8:$E$907,PARÂMETROS!$A$8:$A$907,C1024,PARÂMETROS!$G$8:$G$907,J1024))</f>
        <v>0.018943044073642</v>
      </c>
      <c r="E1024" s="22" t="n">
        <f aca="false">SUMIFS(SETORES!$D:$D,SETORES!$A:$A,A1024,SETORES!$F:$F,J1024)</f>
        <v>73687.77593</v>
      </c>
      <c r="F1024" s="22" t="n">
        <f aca="false">IFERROR(D1024*E1024,0)</f>
        <v>1395.87078713065</v>
      </c>
      <c r="G1024" s="14" t="n">
        <f aca="false">SUMIFS(PARÂMETROS!$F$8:$F$907,PARÂMETROS!$A$8:$A$907,C1024,PARÂMETROS!$G$8:$G$907,J1024)</f>
        <v>0</v>
      </c>
      <c r="H1024" s="22" t="n">
        <f aca="false">IFERROR(F1024*G1024,0)</f>
        <v>0</v>
      </c>
      <c r="I1024" s="22" t="n">
        <f aca="false">F1024+H1024</f>
        <v>1395.87078713065</v>
      </c>
      <c r="J1024" s="16" t="s">
        <v>88</v>
      </c>
    </row>
    <row r="1025" customFormat="false" ht="14.25" hidden="false" customHeight="true" outlineLevel="0" collapsed="false">
      <c r="A1025" s="11" t="s">
        <v>45</v>
      </c>
      <c r="B1025" s="20" t="str">
        <f aca="false">INDEX(SETORES!$B:$B,MATCH(A1025,SETORES!$A:$A,0))</f>
        <v>Clientes</v>
      </c>
      <c r="C1025" s="11" t="s">
        <v>15</v>
      </c>
      <c r="D1025" s="9" t="n">
        <f aca="false">IF(B1025="Clientes",SUMIFS(PARÂMETROS!$D$8:$D$907,PARÂMETROS!$A$8:$A$907,C1025,PARÂMETROS!$G$8:$G$907,J1025),SUMIFS(PARÂMETROS!$E$8:$E$907,PARÂMETROS!$A$8:$A$907,C1025,PARÂMETROS!$G$8:$G$907,J1025))</f>
        <v>0.0334787239438048</v>
      </c>
      <c r="E1025" s="21" t="n">
        <f aca="false">SUMIFS(SETORES!$D:$D,SETORES!$A:$A,A1025,SETORES!$F:$F,J1025)</f>
        <v>73687.77593</v>
      </c>
      <c r="F1025" s="21" t="n">
        <f aca="false">IFERROR(D1025*E1025,0)</f>
        <v>2466.97270839342</v>
      </c>
      <c r="G1025" s="9" t="n">
        <f aca="false">SUMIFS(PARÂMETROS!$F$8:$F$907,PARÂMETROS!$A$8:$A$907,C1025,PARÂMETROS!$G$8:$G$907,J1025)</f>
        <v>0</v>
      </c>
      <c r="H1025" s="21" t="n">
        <f aca="false">IFERROR(F1025*G1025,0)</f>
        <v>0</v>
      </c>
      <c r="I1025" s="21" t="n">
        <f aca="false">F1025+H1025</f>
        <v>2466.97270839342</v>
      </c>
      <c r="J1025" s="11" t="s">
        <v>88</v>
      </c>
    </row>
    <row r="1026" customFormat="false" ht="14.25" hidden="false" customHeight="true" outlineLevel="0" collapsed="false">
      <c r="A1026" s="16" t="s">
        <v>45</v>
      </c>
      <c r="B1026" s="16" t="str">
        <f aca="false">INDEX(SETORES!$B:$B,MATCH(A1026,SETORES!$A:$A,0))</f>
        <v>Clientes</v>
      </c>
      <c r="C1026" s="16" t="s">
        <v>16</v>
      </c>
      <c r="D1026" s="14" t="n">
        <f aca="false">IF(B1026="Clientes",SUMIFS(PARÂMETROS!$D$8:$D$907,PARÂMETROS!$A$8:$A$907,C1026,PARÂMETROS!$G$8:$G$907,J1026),SUMIFS(PARÂMETROS!$E$8:$E$907,PARÂMETROS!$A$8:$A$907,C1026,PARÂMETROS!$G$8:$G$907,J1026))</f>
        <v>0.0242886848912106</v>
      </c>
      <c r="E1026" s="22" t="n">
        <f aca="false">SUMIFS(SETORES!$D:$D,SETORES!$A:$A,A1026,SETORES!$F:$F,J1026)</f>
        <v>73687.77593</v>
      </c>
      <c r="F1026" s="22" t="n">
        <f aca="false">IFERROR(D1026*E1026,0)</f>
        <v>1789.77916989791</v>
      </c>
      <c r="G1026" s="14" t="n">
        <f aca="false">SUMIFS(PARÂMETROS!$F$8:$F$907,PARÂMETROS!$A$8:$A$907,C1026,PARÂMETROS!$G$8:$G$907,J1026)</f>
        <v>0</v>
      </c>
      <c r="H1026" s="22" t="n">
        <f aca="false">IFERROR(F1026*G1026,0)</f>
        <v>0</v>
      </c>
      <c r="I1026" s="22" t="n">
        <f aca="false">F1026+H1026</f>
        <v>1789.77916989791</v>
      </c>
      <c r="J1026" s="16" t="s">
        <v>88</v>
      </c>
    </row>
    <row r="1027" customFormat="false" ht="14.25" hidden="false" customHeight="true" outlineLevel="0" collapsed="false">
      <c r="A1027" s="11" t="s">
        <v>45</v>
      </c>
      <c r="B1027" s="20" t="str">
        <f aca="false">INDEX(SETORES!$B:$B,MATCH(A1027,SETORES!$A:$A,0))</f>
        <v>Clientes</v>
      </c>
      <c r="C1027" s="11" t="s">
        <v>17</v>
      </c>
      <c r="D1027" s="9" t="n">
        <f aca="false">IF(B1027="Clientes",SUMIFS(PARÂMETROS!$D$8:$D$907,PARÂMETROS!$A$8:$A$907,C1027,PARÂMETROS!$G$8:$G$907,J1027),SUMIFS(PARÂMETROS!$E$8:$E$907,PARÂMETROS!$A$8:$A$907,C1027,PARÂMETROS!$G$8:$G$907,J1027))</f>
        <v>0.0243241872495816</v>
      </c>
      <c r="E1027" s="21" t="n">
        <f aca="false">SUMIFS(SETORES!$D:$D,SETORES!$A:$A,A1027,SETORES!$F:$F,J1027)</f>
        <v>73687.77593</v>
      </c>
      <c r="F1027" s="21" t="n">
        <f aca="false">IFERROR(D1027*E1027,0)</f>
        <v>1792.39525972653</v>
      </c>
      <c r="G1027" s="9" t="n">
        <f aca="false">SUMIFS(PARÂMETROS!$F$8:$F$907,PARÂMETROS!$A$8:$A$907,C1027,PARÂMETROS!$G$8:$G$907,J1027)</f>
        <v>0</v>
      </c>
      <c r="H1027" s="21" t="n">
        <f aca="false">IFERROR(F1027*G1027,0)</f>
        <v>0</v>
      </c>
      <c r="I1027" s="21" t="n">
        <f aca="false">F1027+H1027</f>
        <v>1792.39525972653</v>
      </c>
      <c r="J1027" s="11" t="s">
        <v>88</v>
      </c>
    </row>
    <row r="1028" customFormat="false" ht="14.25" hidden="false" customHeight="true" outlineLevel="0" collapsed="false">
      <c r="A1028" s="16" t="s">
        <v>45</v>
      </c>
      <c r="B1028" s="16" t="str">
        <f aca="false">INDEX(SETORES!$B:$B,MATCH(A1028,SETORES!$A:$A,0))</f>
        <v>Clientes</v>
      </c>
      <c r="C1028" s="16" t="s">
        <v>18</v>
      </c>
      <c r="D1028" s="14" t="n">
        <f aca="false">IF(B1028="Clientes",SUMIFS(PARÂMETROS!$D$8:$D$907,PARÂMETROS!$A$8:$A$907,C1028,PARÂMETROS!$G$8:$G$907,J1028),SUMIFS(PARÂMETROS!$E$8:$E$907,PARÂMETROS!$A$8:$A$907,C1028,PARÂMETROS!$G$8:$G$907,J1028))</f>
        <v>0.722194045747325</v>
      </c>
      <c r="E1028" s="22" t="n">
        <f aca="false">SUMIFS(SETORES!$D:$D,SETORES!$A:$A,A1028,SETORES!$F:$F,J1028)</f>
        <v>73687.77593</v>
      </c>
      <c r="F1028" s="22" t="n">
        <f aca="false">IFERROR(D1028*E1028,0)</f>
        <v>53216.873021009</v>
      </c>
      <c r="G1028" s="14" t="n">
        <f aca="false">SUMIFS(PARÂMETROS!$F$8:$F$907,PARÂMETROS!$A$8:$A$907,C1028,PARÂMETROS!$G$8:$G$907,J1028)</f>
        <v>0</v>
      </c>
      <c r="H1028" s="22" t="n">
        <f aca="false">IFERROR(F1028*G1028,0)</f>
        <v>0</v>
      </c>
      <c r="I1028" s="22" t="n">
        <f aca="false">F1028+H1028</f>
        <v>53216.873021009</v>
      </c>
      <c r="J1028" s="16" t="s">
        <v>88</v>
      </c>
    </row>
    <row r="1029" customFormat="false" ht="14.25" hidden="false" customHeight="true" outlineLevel="0" collapsed="false">
      <c r="A1029" s="11" t="s">
        <v>46</v>
      </c>
      <c r="B1029" s="20" t="str">
        <f aca="false">INDEX(SETORES!$B:$B,MATCH(A1029,SETORES!$A:$A,0))</f>
        <v>Clientes</v>
      </c>
      <c r="C1029" s="11" t="s">
        <v>10</v>
      </c>
      <c r="D1029" s="9" t="n">
        <f aca="false">IF(B1029="Clientes",SUMIFS(PARÂMETROS!$D$8:$D$907,PARÂMETROS!$A$8:$A$907,C1029,PARÂMETROS!$G$8:$G$907,J1029),SUMIFS(PARÂMETROS!$E$8:$E$907,PARÂMETROS!$A$8:$A$907,C1029,PARÂMETROS!$G$8:$G$907,J1029))</f>
        <v>0.0337120251559568</v>
      </c>
      <c r="E1029" s="21" t="n">
        <f aca="false">SUMIFS(SETORES!$D:$D,SETORES!$A:$A,A1029,SETORES!$F:$F,J1029)</f>
        <v>175276.64</v>
      </c>
      <c r="F1029" s="21" t="n">
        <f aca="false">IFERROR(D1029*E1029,0)</f>
        <v>5908.93049693158</v>
      </c>
      <c r="G1029" s="9" t="n">
        <f aca="false">SUMIFS(PARÂMETROS!$F$8:$F$907,PARÂMETROS!$A$8:$A$907,C1029,PARÂMETROS!$G$8:$G$907,J1029)</f>
        <v>0</v>
      </c>
      <c r="H1029" s="21" t="n">
        <f aca="false">IFERROR(F1029*G1029,0)</f>
        <v>0</v>
      </c>
      <c r="I1029" s="21" t="n">
        <f aca="false">F1029+H1029</f>
        <v>5908.93049693158</v>
      </c>
      <c r="J1029" s="11" t="s">
        <v>88</v>
      </c>
    </row>
    <row r="1030" customFormat="false" ht="14.25" hidden="false" customHeight="true" outlineLevel="0" collapsed="false">
      <c r="A1030" s="16" t="s">
        <v>46</v>
      </c>
      <c r="B1030" s="16" t="str">
        <f aca="false">INDEX(SETORES!$B:$B,MATCH(A1030,SETORES!$A:$A,0))</f>
        <v>Clientes</v>
      </c>
      <c r="C1030" s="16" t="s">
        <v>12</v>
      </c>
      <c r="D1030" s="14" t="n">
        <f aca="false">IF(B1030="Clientes",SUMIFS(PARÂMETROS!$D$8:$D$907,PARÂMETROS!$A$8:$A$907,C1030,PARÂMETROS!$G$8:$G$907,J1030),SUMIFS(PARÂMETROS!$E$8:$E$907,PARÂMETROS!$A$8:$A$907,C1030,PARÂMETROS!$G$8:$G$907,J1030))</f>
        <v>0.0685195516559314</v>
      </c>
      <c r="E1030" s="22" t="n">
        <f aca="false">SUMIFS(SETORES!$D:$D,SETORES!$A:$A,A1030,SETORES!$F:$F,J1030)</f>
        <v>175276.64</v>
      </c>
      <c r="F1030" s="22" t="n">
        <f aca="false">IFERROR(D1030*E1030,0)</f>
        <v>12009.8767885581</v>
      </c>
      <c r="G1030" s="14" t="n">
        <f aca="false">SUMIFS(PARÂMETROS!$F$8:$F$907,PARÂMETROS!$A$8:$A$907,C1030,PARÂMETROS!$G$8:$G$907,J1030)</f>
        <v>0</v>
      </c>
      <c r="H1030" s="22" t="n">
        <f aca="false">IFERROR(F1030*G1030,0)</f>
        <v>0</v>
      </c>
      <c r="I1030" s="22" t="n">
        <f aca="false">F1030+H1030</f>
        <v>12009.8767885581</v>
      </c>
      <c r="J1030" s="16" t="s">
        <v>88</v>
      </c>
    </row>
    <row r="1031" customFormat="false" ht="14.25" hidden="false" customHeight="true" outlineLevel="0" collapsed="false">
      <c r="A1031" s="11" t="s">
        <v>46</v>
      </c>
      <c r="B1031" s="20" t="str">
        <f aca="false">INDEX(SETORES!$B:$B,MATCH(A1031,SETORES!$A:$A,0))</f>
        <v>Clientes</v>
      </c>
      <c r="C1031" s="11" t="s">
        <v>13</v>
      </c>
      <c r="D1031" s="9" t="n">
        <f aca="false">IF(B1031="Clientes",SUMIFS(PARÂMETROS!$D$8:$D$907,PARÂMETROS!$A$8:$A$907,C1031,PARÂMETROS!$G$8:$G$907,J1031),SUMIFS(PARÂMETROS!$E$8:$E$907,PARÂMETROS!$A$8:$A$907,C1031,PARÂMETROS!$G$8:$G$907,J1031))</f>
        <v>0.0745397372825481</v>
      </c>
      <c r="E1031" s="21" t="n">
        <f aca="false">SUMIFS(SETORES!$D:$D,SETORES!$A:$A,A1031,SETORES!$F:$F,J1031)</f>
        <v>175276.64</v>
      </c>
      <c r="F1031" s="21" t="n">
        <f aca="false">IFERROR(D1031*E1031,0)</f>
        <v>13065.0746973678</v>
      </c>
      <c r="G1031" s="9" t="n">
        <f aca="false">SUMIFS(PARÂMETROS!$F$8:$F$907,PARÂMETROS!$A$8:$A$907,C1031,PARÂMETROS!$G$8:$G$907,J1031)</f>
        <v>0</v>
      </c>
      <c r="H1031" s="21" t="n">
        <f aca="false">IFERROR(F1031*G1031,0)</f>
        <v>0</v>
      </c>
      <c r="I1031" s="21" t="n">
        <f aca="false">F1031+H1031</f>
        <v>13065.0746973678</v>
      </c>
      <c r="J1031" s="11" t="s">
        <v>88</v>
      </c>
    </row>
    <row r="1032" customFormat="false" ht="14.25" hidden="false" customHeight="true" outlineLevel="0" collapsed="false">
      <c r="A1032" s="16" t="s">
        <v>46</v>
      </c>
      <c r="B1032" s="16" t="str">
        <f aca="false">INDEX(SETORES!$B:$B,MATCH(A1032,SETORES!$A:$A,0))</f>
        <v>Clientes</v>
      </c>
      <c r="C1032" s="16" t="s">
        <v>14</v>
      </c>
      <c r="D1032" s="14" t="n">
        <f aca="false">IF(B1032="Clientes",SUMIFS(PARÂMETROS!$D$8:$D$907,PARÂMETROS!$A$8:$A$907,C1032,PARÂMETROS!$G$8:$G$907,J1032),SUMIFS(PARÂMETROS!$E$8:$E$907,PARÂMETROS!$A$8:$A$907,C1032,PARÂMETROS!$G$8:$G$907,J1032))</f>
        <v>0.018943044073642</v>
      </c>
      <c r="E1032" s="22" t="n">
        <f aca="false">SUMIFS(SETORES!$D:$D,SETORES!$A:$A,A1032,SETORES!$F:$F,J1032)</f>
        <v>175276.64</v>
      </c>
      <c r="F1032" s="22" t="n">
        <f aca="false">IFERROR(D1032*E1032,0)</f>
        <v>3320.27311659989</v>
      </c>
      <c r="G1032" s="14" t="n">
        <f aca="false">SUMIFS(PARÂMETROS!$F$8:$F$907,PARÂMETROS!$A$8:$A$907,C1032,PARÂMETROS!$G$8:$G$907,J1032)</f>
        <v>0</v>
      </c>
      <c r="H1032" s="22" t="n">
        <f aca="false">IFERROR(F1032*G1032,0)</f>
        <v>0</v>
      </c>
      <c r="I1032" s="22" t="n">
        <f aca="false">F1032+H1032</f>
        <v>3320.27311659989</v>
      </c>
      <c r="J1032" s="16" t="s">
        <v>88</v>
      </c>
    </row>
    <row r="1033" customFormat="false" ht="14.25" hidden="false" customHeight="true" outlineLevel="0" collapsed="false">
      <c r="A1033" s="11" t="s">
        <v>46</v>
      </c>
      <c r="B1033" s="20" t="str">
        <f aca="false">INDEX(SETORES!$B:$B,MATCH(A1033,SETORES!$A:$A,0))</f>
        <v>Clientes</v>
      </c>
      <c r="C1033" s="11" t="s">
        <v>15</v>
      </c>
      <c r="D1033" s="9" t="n">
        <f aca="false">IF(B1033="Clientes",SUMIFS(PARÂMETROS!$D$8:$D$907,PARÂMETROS!$A$8:$A$907,C1033,PARÂMETROS!$G$8:$G$907,J1033),SUMIFS(PARÂMETROS!$E$8:$E$907,PARÂMETROS!$A$8:$A$907,C1033,PARÂMETROS!$G$8:$G$907,J1033))</f>
        <v>0.0334787239438048</v>
      </c>
      <c r="E1033" s="21" t="n">
        <f aca="false">SUMIFS(SETORES!$D:$D,SETORES!$A:$A,A1033,SETORES!$F:$F,J1033)</f>
        <v>175276.64</v>
      </c>
      <c r="F1033" s="21" t="n">
        <f aca="false">IFERROR(D1033*E1033,0)</f>
        <v>5868.03824435766</v>
      </c>
      <c r="G1033" s="9" t="n">
        <f aca="false">SUMIFS(PARÂMETROS!$F$8:$F$907,PARÂMETROS!$A$8:$A$907,C1033,PARÂMETROS!$G$8:$G$907,J1033)</f>
        <v>0</v>
      </c>
      <c r="H1033" s="21" t="n">
        <f aca="false">IFERROR(F1033*G1033,0)</f>
        <v>0</v>
      </c>
      <c r="I1033" s="21" t="n">
        <f aca="false">F1033+H1033</f>
        <v>5868.03824435766</v>
      </c>
      <c r="J1033" s="11" t="s">
        <v>88</v>
      </c>
    </row>
    <row r="1034" customFormat="false" ht="14.25" hidden="false" customHeight="true" outlineLevel="0" collapsed="false">
      <c r="A1034" s="16" t="s">
        <v>46</v>
      </c>
      <c r="B1034" s="16" t="str">
        <f aca="false">INDEX(SETORES!$B:$B,MATCH(A1034,SETORES!$A:$A,0))</f>
        <v>Clientes</v>
      </c>
      <c r="C1034" s="16" t="s">
        <v>16</v>
      </c>
      <c r="D1034" s="14" t="n">
        <f aca="false">IF(B1034="Clientes",SUMIFS(PARÂMETROS!$D$8:$D$907,PARÂMETROS!$A$8:$A$907,C1034,PARÂMETROS!$G$8:$G$907,J1034),SUMIFS(PARÂMETROS!$E$8:$E$907,PARÂMETROS!$A$8:$A$907,C1034,PARÂMETROS!$G$8:$G$907,J1034))</f>
        <v>0.0242886848912106</v>
      </c>
      <c r="E1034" s="22" t="n">
        <f aca="false">SUMIFS(SETORES!$D:$D,SETORES!$A:$A,A1034,SETORES!$F:$F,J1034)</f>
        <v>175276.64</v>
      </c>
      <c r="F1034" s="22" t="n">
        <f aca="false">IFERROR(D1034*E1034,0)</f>
        <v>4257.23907775017</v>
      </c>
      <c r="G1034" s="14" t="n">
        <f aca="false">SUMIFS(PARÂMETROS!$F$8:$F$907,PARÂMETROS!$A$8:$A$907,C1034,PARÂMETROS!$G$8:$G$907,J1034)</f>
        <v>0</v>
      </c>
      <c r="H1034" s="22" t="n">
        <f aca="false">IFERROR(F1034*G1034,0)</f>
        <v>0</v>
      </c>
      <c r="I1034" s="22" t="n">
        <f aca="false">F1034+H1034</f>
        <v>4257.23907775017</v>
      </c>
      <c r="J1034" s="16" t="s">
        <v>88</v>
      </c>
    </row>
    <row r="1035" customFormat="false" ht="14.25" hidden="false" customHeight="true" outlineLevel="0" collapsed="false">
      <c r="A1035" s="11" t="s">
        <v>46</v>
      </c>
      <c r="B1035" s="20" t="str">
        <f aca="false">INDEX(SETORES!$B:$B,MATCH(A1035,SETORES!$A:$A,0))</f>
        <v>Clientes</v>
      </c>
      <c r="C1035" s="11" t="s">
        <v>17</v>
      </c>
      <c r="D1035" s="9" t="n">
        <f aca="false">IF(B1035="Clientes",SUMIFS(PARÂMETROS!$D$8:$D$907,PARÂMETROS!$A$8:$A$907,C1035,PARÂMETROS!$G$8:$G$907,J1035),SUMIFS(PARÂMETROS!$E$8:$E$907,PARÂMETROS!$A$8:$A$907,C1035,PARÂMETROS!$G$8:$G$907,J1035))</f>
        <v>0.0243241872495816</v>
      </c>
      <c r="E1035" s="21" t="n">
        <f aca="false">SUMIFS(SETORES!$D:$D,SETORES!$A:$A,A1035,SETORES!$F:$F,J1035)</f>
        <v>175276.64</v>
      </c>
      <c r="F1035" s="21" t="n">
        <f aca="false">IFERROR(D1035*E1035,0)</f>
        <v>4263.4618118375</v>
      </c>
      <c r="G1035" s="9" t="n">
        <f aca="false">SUMIFS(PARÂMETROS!$F$8:$F$907,PARÂMETROS!$A$8:$A$907,C1035,PARÂMETROS!$G$8:$G$907,J1035)</f>
        <v>0</v>
      </c>
      <c r="H1035" s="21" t="n">
        <f aca="false">IFERROR(F1035*G1035,0)</f>
        <v>0</v>
      </c>
      <c r="I1035" s="21" t="n">
        <f aca="false">F1035+H1035</f>
        <v>4263.4618118375</v>
      </c>
      <c r="J1035" s="11" t="s">
        <v>88</v>
      </c>
    </row>
    <row r="1036" customFormat="false" ht="14.25" hidden="false" customHeight="true" outlineLevel="0" collapsed="false">
      <c r="A1036" s="16" t="s">
        <v>46</v>
      </c>
      <c r="B1036" s="16" t="str">
        <f aca="false">INDEX(SETORES!$B:$B,MATCH(A1036,SETORES!$A:$A,0))</f>
        <v>Clientes</v>
      </c>
      <c r="C1036" s="16" t="s">
        <v>18</v>
      </c>
      <c r="D1036" s="14" t="n">
        <f aca="false">IF(B1036="Clientes",SUMIFS(PARÂMETROS!$D$8:$D$907,PARÂMETROS!$A$8:$A$907,C1036,PARÂMETROS!$G$8:$G$907,J1036),SUMIFS(PARÂMETROS!$E$8:$E$907,PARÂMETROS!$A$8:$A$907,C1036,PARÂMETROS!$G$8:$G$907,J1036))</f>
        <v>0.722194045747325</v>
      </c>
      <c r="E1036" s="22" t="n">
        <f aca="false">SUMIFS(SETORES!$D:$D,SETORES!$A:$A,A1036,SETORES!$F:$F,J1036)</f>
        <v>175276.64</v>
      </c>
      <c r="F1036" s="22" t="n">
        <f aca="false">IFERROR(D1036*E1036,0)</f>
        <v>126583.745766597</v>
      </c>
      <c r="G1036" s="14" t="n">
        <f aca="false">SUMIFS(PARÂMETROS!$F$8:$F$907,PARÂMETROS!$A$8:$A$907,C1036,PARÂMETROS!$G$8:$G$907,J1036)</f>
        <v>0</v>
      </c>
      <c r="H1036" s="22" t="n">
        <f aca="false">IFERROR(F1036*G1036,0)</f>
        <v>0</v>
      </c>
      <c r="I1036" s="22" t="n">
        <f aca="false">F1036+H1036</f>
        <v>126583.745766597</v>
      </c>
      <c r="J1036" s="16" t="s">
        <v>88</v>
      </c>
    </row>
    <row r="1037" customFormat="false" ht="14.25" hidden="false" customHeight="true" outlineLevel="0" collapsed="false">
      <c r="A1037" s="11" t="s">
        <v>47</v>
      </c>
      <c r="B1037" s="20" t="str">
        <f aca="false">INDEX(SETORES!$B:$B,MATCH(A1037,SETORES!$A:$A,0))</f>
        <v>Clientes</v>
      </c>
      <c r="C1037" s="11" t="s">
        <v>10</v>
      </c>
      <c r="D1037" s="9" t="n">
        <f aca="false">IF(B1037="Clientes",SUMIFS(PARÂMETROS!$D$8:$D$907,PARÂMETROS!$A$8:$A$907,C1037,PARÂMETROS!$G$8:$G$907,J1037),SUMIFS(PARÂMETROS!$E$8:$E$907,PARÂMETROS!$A$8:$A$907,C1037,PARÂMETROS!$G$8:$G$907,J1037))</f>
        <v>0.0337120251559568</v>
      </c>
      <c r="E1037" s="21" t="n">
        <f aca="false">SUMIFS(SETORES!$D:$D,SETORES!$A:$A,A1037,SETORES!$F:$F,J1037)</f>
        <v>133708.32</v>
      </c>
      <c r="F1037" s="21" t="n">
        <f aca="false">IFERROR(D1037*E1037,0)</f>
        <v>4507.57824740072</v>
      </c>
      <c r="G1037" s="9" t="n">
        <f aca="false">SUMIFS(PARÂMETROS!$F$8:$F$907,PARÂMETROS!$A$8:$A$907,C1037,PARÂMETROS!$G$8:$G$907,J1037)</f>
        <v>0</v>
      </c>
      <c r="H1037" s="21" t="n">
        <f aca="false">IFERROR(F1037*G1037,0)</f>
        <v>0</v>
      </c>
      <c r="I1037" s="21" t="n">
        <f aca="false">F1037+H1037</f>
        <v>4507.57824740072</v>
      </c>
      <c r="J1037" s="11" t="s">
        <v>88</v>
      </c>
    </row>
    <row r="1038" customFormat="false" ht="14.25" hidden="false" customHeight="true" outlineLevel="0" collapsed="false">
      <c r="A1038" s="16" t="s">
        <v>47</v>
      </c>
      <c r="B1038" s="16" t="str">
        <f aca="false">INDEX(SETORES!$B:$B,MATCH(A1038,SETORES!$A:$A,0))</f>
        <v>Clientes</v>
      </c>
      <c r="C1038" s="16" t="s">
        <v>12</v>
      </c>
      <c r="D1038" s="14" t="n">
        <f aca="false">IF(B1038="Clientes",SUMIFS(PARÂMETROS!$D$8:$D$907,PARÂMETROS!$A$8:$A$907,C1038,PARÂMETROS!$G$8:$G$907,J1038),SUMIFS(PARÂMETROS!$E$8:$E$907,PARÂMETROS!$A$8:$A$907,C1038,PARÂMETROS!$G$8:$G$907,J1038))</f>
        <v>0.0685195516559314</v>
      </c>
      <c r="E1038" s="22" t="n">
        <f aca="false">SUMIFS(SETORES!$D:$D,SETORES!$A:$A,A1038,SETORES!$F:$F,J1038)</f>
        <v>133708.32</v>
      </c>
      <c r="F1038" s="22" t="n">
        <f aca="false">IFERROR(D1038*E1038,0)</f>
        <v>9161.63413906781</v>
      </c>
      <c r="G1038" s="14" t="n">
        <f aca="false">SUMIFS(PARÂMETROS!$F$8:$F$907,PARÂMETROS!$A$8:$A$907,C1038,PARÂMETROS!$G$8:$G$907,J1038)</f>
        <v>0</v>
      </c>
      <c r="H1038" s="22" t="n">
        <f aca="false">IFERROR(F1038*G1038,0)</f>
        <v>0</v>
      </c>
      <c r="I1038" s="22" t="n">
        <f aca="false">F1038+H1038</f>
        <v>9161.63413906781</v>
      </c>
      <c r="J1038" s="16" t="s">
        <v>88</v>
      </c>
    </row>
    <row r="1039" customFormat="false" ht="14.25" hidden="false" customHeight="true" outlineLevel="0" collapsed="false">
      <c r="A1039" s="11" t="s">
        <v>47</v>
      </c>
      <c r="B1039" s="20" t="str">
        <f aca="false">INDEX(SETORES!$B:$B,MATCH(A1039,SETORES!$A:$A,0))</f>
        <v>Clientes</v>
      </c>
      <c r="C1039" s="11" t="s">
        <v>13</v>
      </c>
      <c r="D1039" s="9" t="n">
        <f aca="false">IF(B1039="Clientes",SUMIFS(PARÂMETROS!$D$8:$D$907,PARÂMETROS!$A$8:$A$907,C1039,PARÂMETROS!$G$8:$G$907,J1039),SUMIFS(PARÂMETROS!$E$8:$E$907,PARÂMETROS!$A$8:$A$907,C1039,PARÂMETROS!$G$8:$G$907,J1039))</f>
        <v>0.0745397372825481</v>
      </c>
      <c r="E1039" s="21" t="n">
        <f aca="false">SUMIFS(SETORES!$D:$D,SETORES!$A:$A,A1039,SETORES!$F:$F,J1039)</f>
        <v>133708.32</v>
      </c>
      <c r="F1039" s="21" t="n">
        <f aca="false">IFERROR(D1039*E1039,0)</f>
        <v>9966.58304529087</v>
      </c>
      <c r="G1039" s="9" t="n">
        <f aca="false">SUMIFS(PARÂMETROS!$F$8:$F$907,PARÂMETROS!$A$8:$A$907,C1039,PARÂMETROS!$G$8:$G$907,J1039)</f>
        <v>0</v>
      </c>
      <c r="H1039" s="21" t="n">
        <f aca="false">IFERROR(F1039*G1039,0)</f>
        <v>0</v>
      </c>
      <c r="I1039" s="21" t="n">
        <f aca="false">F1039+H1039</f>
        <v>9966.58304529087</v>
      </c>
      <c r="J1039" s="11" t="s">
        <v>88</v>
      </c>
    </row>
    <row r="1040" customFormat="false" ht="14.25" hidden="false" customHeight="true" outlineLevel="0" collapsed="false">
      <c r="A1040" s="16" t="s">
        <v>47</v>
      </c>
      <c r="B1040" s="16" t="str">
        <f aca="false">INDEX(SETORES!$B:$B,MATCH(A1040,SETORES!$A:$A,0))</f>
        <v>Clientes</v>
      </c>
      <c r="C1040" s="16" t="s">
        <v>14</v>
      </c>
      <c r="D1040" s="14" t="n">
        <f aca="false">IF(B1040="Clientes",SUMIFS(PARÂMETROS!$D$8:$D$907,PARÂMETROS!$A$8:$A$907,C1040,PARÂMETROS!$G$8:$G$907,J1040),SUMIFS(PARÂMETROS!$E$8:$E$907,PARÂMETROS!$A$8:$A$907,C1040,PARÂMETROS!$G$8:$G$907,J1040))</f>
        <v>0.018943044073642</v>
      </c>
      <c r="E1040" s="22" t="n">
        <f aca="false">SUMIFS(SETORES!$D:$D,SETORES!$A:$A,A1040,SETORES!$F:$F,J1040)</f>
        <v>133708.32</v>
      </c>
      <c r="F1040" s="22" t="n">
        <f aca="false">IFERROR(D1040*E1040,0)</f>
        <v>2532.84259877263</v>
      </c>
      <c r="G1040" s="14" t="n">
        <f aca="false">SUMIFS(PARÂMETROS!$F$8:$F$907,PARÂMETROS!$A$8:$A$907,C1040,PARÂMETROS!$G$8:$G$907,J1040)</f>
        <v>0</v>
      </c>
      <c r="H1040" s="22" t="n">
        <f aca="false">IFERROR(F1040*G1040,0)</f>
        <v>0</v>
      </c>
      <c r="I1040" s="22" t="n">
        <f aca="false">F1040+H1040</f>
        <v>2532.84259877263</v>
      </c>
      <c r="J1040" s="16" t="s">
        <v>88</v>
      </c>
    </row>
    <row r="1041" customFormat="false" ht="14.25" hidden="false" customHeight="true" outlineLevel="0" collapsed="false">
      <c r="A1041" s="11" t="s">
        <v>47</v>
      </c>
      <c r="B1041" s="20" t="str">
        <f aca="false">INDEX(SETORES!$B:$B,MATCH(A1041,SETORES!$A:$A,0))</f>
        <v>Clientes</v>
      </c>
      <c r="C1041" s="11" t="s">
        <v>15</v>
      </c>
      <c r="D1041" s="9" t="n">
        <f aca="false">IF(B1041="Clientes",SUMIFS(PARÂMETROS!$D$8:$D$907,PARÂMETROS!$A$8:$A$907,C1041,PARÂMETROS!$G$8:$G$907,J1041),SUMIFS(PARÂMETROS!$E$8:$E$907,PARÂMETROS!$A$8:$A$907,C1041,PARÂMETROS!$G$8:$G$907,J1041))</f>
        <v>0.0334787239438048</v>
      </c>
      <c r="E1041" s="21" t="n">
        <f aca="false">SUMIFS(SETORES!$D:$D,SETORES!$A:$A,A1041,SETORES!$F:$F,J1041)</f>
        <v>133708.32</v>
      </c>
      <c r="F1041" s="21" t="n">
        <f aca="false">IFERROR(D1041*E1041,0)</f>
        <v>4476.38393426992</v>
      </c>
      <c r="G1041" s="9" t="n">
        <f aca="false">SUMIFS(PARÂMETROS!$F$8:$F$907,PARÂMETROS!$A$8:$A$907,C1041,PARÂMETROS!$G$8:$G$907,J1041)</f>
        <v>0</v>
      </c>
      <c r="H1041" s="21" t="n">
        <f aca="false">IFERROR(F1041*G1041,0)</f>
        <v>0</v>
      </c>
      <c r="I1041" s="21" t="n">
        <f aca="false">F1041+H1041</f>
        <v>4476.38393426992</v>
      </c>
      <c r="J1041" s="11" t="s">
        <v>88</v>
      </c>
    </row>
    <row r="1042" customFormat="false" ht="14.25" hidden="false" customHeight="true" outlineLevel="0" collapsed="false">
      <c r="A1042" s="16" t="s">
        <v>47</v>
      </c>
      <c r="B1042" s="16" t="str">
        <f aca="false">INDEX(SETORES!$B:$B,MATCH(A1042,SETORES!$A:$A,0))</f>
        <v>Clientes</v>
      </c>
      <c r="C1042" s="16" t="s">
        <v>16</v>
      </c>
      <c r="D1042" s="14" t="n">
        <f aca="false">IF(B1042="Clientes",SUMIFS(PARÂMETROS!$D$8:$D$907,PARÂMETROS!$A$8:$A$907,C1042,PARÂMETROS!$G$8:$G$907,J1042),SUMIFS(PARÂMETROS!$E$8:$E$907,PARÂMETROS!$A$8:$A$907,C1042,PARÂMETROS!$G$8:$G$907,J1042))</f>
        <v>0.0242886848912106</v>
      </c>
      <c r="E1042" s="22" t="n">
        <f aca="false">SUMIFS(SETORES!$D:$D,SETORES!$A:$A,A1042,SETORES!$F:$F,J1042)</f>
        <v>133708.32</v>
      </c>
      <c r="F1042" s="22" t="n">
        <f aca="false">IFERROR(D1042*E1042,0)</f>
        <v>3247.59925181316</v>
      </c>
      <c r="G1042" s="14" t="n">
        <f aca="false">SUMIFS(PARÂMETROS!$F$8:$F$907,PARÂMETROS!$A$8:$A$907,C1042,PARÂMETROS!$G$8:$G$907,J1042)</f>
        <v>0</v>
      </c>
      <c r="H1042" s="22" t="n">
        <f aca="false">IFERROR(F1042*G1042,0)</f>
        <v>0</v>
      </c>
      <c r="I1042" s="22" t="n">
        <f aca="false">F1042+H1042</f>
        <v>3247.59925181316</v>
      </c>
      <c r="J1042" s="16" t="s">
        <v>88</v>
      </c>
    </row>
    <row r="1043" customFormat="false" ht="14.25" hidden="false" customHeight="true" outlineLevel="0" collapsed="false">
      <c r="A1043" s="11" t="s">
        <v>47</v>
      </c>
      <c r="B1043" s="20" t="str">
        <f aca="false">INDEX(SETORES!$B:$B,MATCH(A1043,SETORES!$A:$A,0))</f>
        <v>Clientes</v>
      </c>
      <c r="C1043" s="11" t="s">
        <v>17</v>
      </c>
      <c r="D1043" s="9" t="n">
        <f aca="false">IF(B1043="Clientes",SUMIFS(PARÂMETROS!$D$8:$D$907,PARÂMETROS!$A$8:$A$907,C1043,PARÂMETROS!$G$8:$G$907,J1043),SUMIFS(PARÂMETROS!$E$8:$E$907,PARÂMETROS!$A$8:$A$907,C1043,PARÂMETROS!$G$8:$G$907,J1043))</f>
        <v>0.0243241872495816</v>
      </c>
      <c r="E1043" s="21" t="n">
        <f aca="false">SUMIFS(SETORES!$D:$D,SETORES!$A:$A,A1043,SETORES!$F:$F,J1043)</f>
        <v>133708.32</v>
      </c>
      <c r="F1043" s="21" t="n">
        <f aca="false">IFERROR(D1043*E1043,0)</f>
        <v>3252.34621250697</v>
      </c>
      <c r="G1043" s="9" t="n">
        <f aca="false">SUMIFS(PARÂMETROS!$F$8:$F$907,PARÂMETROS!$A$8:$A$907,C1043,PARÂMETROS!$G$8:$G$907,J1043)</f>
        <v>0</v>
      </c>
      <c r="H1043" s="21" t="n">
        <f aca="false">IFERROR(F1043*G1043,0)</f>
        <v>0</v>
      </c>
      <c r="I1043" s="21" t="n">
        <f aca="false">F1043+H1043</f>
        <v>3252.34621250697</v>
      </c>
      <c r="J1043" s="11" t="s">
        <v>88</v>
      </c>
    </row>
    <row r="1044" customFormat="false" ht="14.25" hidden="false" customHeight="true" outlineLevel="0" collapsed="false">
      <c r="A1044" s="16" t="s">
        <v>47</v>
      </c>
      <c r="B1044" s="16" t="str">
        <f aca="false">INDEX(SETORES!$B:$B,MATCH(A1044,SETORES!$A:$A,0))</f>
        <v>Clientes</v>
      </c>
      <c r="C1044" s="16" t="s">
        <v>18</v>
      </c>
      <c r="D1044" s="14" t="n">
        <f aca="false">IF(B1044="Clientes",SUMIFS(PARÂMETROS!$D$8:$D$907,PARÂMETROS!$A$8:$A$907,C1044,PARÂMETROS!$G$8:$G$907,J1044),SUMIFS(PARÂMETROS!$E$8:$E$907,PARÂMETROS!$A$8:$A$907,C1044,PARÂMETROS!$G$8:$G$907,J1044))</f>
        <v>0.722194045747325</v>
      </c>
      <c r="E1044" s="22" t="n">
        <f aca="false">SUMIFS(SETORES!$D:$D,SETORES!$A:$A,A1044,SETORES!$F:$F,J1044)</f>
        <v>133708.32</v>
      </c>
      <c r="F1044" s="22" t="n">
        <f aca="false">IFERROR(D1044*E1044,0)</f>
        <v>96563.3525708779</v>
      </c>
      <c r="G1044" s="14" t="n">
        <f aca="false">SUMIFS(PARÂMETROS!$F$8:$F$907,PARÂMETROS!$A$8:$A$907,C1044,PARÂMETROS!$G$8:$G$907,J1044)</f>
        <v>0</v>
      </c>
      <c r="H1044" s="22" t="n">
        <f aca="false">IFERROR(F1044*G1044,0)</f>
        <v>0</v>
      </c>
      <c r="I1044" s="22" t="n">
        <f aca="false">F1044+H1044</f>
        <v>96563.3525708779</v>
      </c>
      <c r="J1044" s="16" t="s">
        <v>88</v>
      </c>
    </row>
    <row r="1045" customFormat="false" ht="14.25" hidden="false" customHeight="true" outlineLevel="0" collapsed="false">
      <c r="A1045" s="11" t="s">
        <v>48</v>
      </c>
      <c r="B1045" s="20" t="str">
        <f aca="false">INDEX(SETORES!$B:$B,MATCH(A1045,SETORES!$A:$A,0))</f>
        <v>Clientes</v>
      </c>
      <c r="C1045" s="11" t="s">
        <v>10</v>
      </c>
      <c r="D1045" s="9" t="n">
        <f aca="false">IF(B1045="Clientes",SUMIFS(PARÂMETROS!$D$8:$D$907,PARÂMETROS!$A$8:$A$907,C1045,PARÂMETROS!$G$8:$G$907,J1045),SUMIFS(PARÂMETROS!$E$8:$E$907,PARÂMETROS!$A$8:$A$907,C1045,PARÂMETROS!$G$8:$G$907,J1045))</f>
        <v>0.0337120251559568</v>
      </c>
      <c r="E1045" s="21" t="n">
        <f aca="false">SUMIFS(SETORES!$D:$D,SETORES!$A:$A,A1045,SETORES!$F:$F,J1045)</f>
        <v>149308.52832</v>
      </c>
      <c r="F1045" s="21" t="n">
        <f aca="false">IFERROR(D1045*E1045,0)</f>
        <v>5033.49286272273</v>
      </c>
      <c r="G1045" s="9" t="n">
        <f aca="false">SUMIFS(PARÂMETROS!$F$8:$F$907,PARÂMETROS!$A$8:$A$907,C1045,PARÂMETROS!$G$8:$G$907,J1045)</f>
        <v>0</v>
      </c>
      <c r="H1045" s="21" t="n">
        <f aca="false">IFERROR(F1045*G1045,0)</f>
        <v>0</v>
      </c>
      <c r="I1045" s="21" t="n">
        <f aca="false">F1045+H1045</f>
        <v>5033.49286272273</v>
      </c>
      <c r="J1045" s="11" t="s">
        <v>88</v>
      </c>
    </row>
    <row r="1046" customFormat="false" ht="14.25" hidden="false" customHeight="true" outlineLevel="0" collapsed="false">
      <c r="A1046" s="16" t="s">
        <v>48</v>
      </c>
      <c r="B1046" s="16" t="str">
        <f aca="false">INDEX(SETORES!$B:$B,MATCH(A1046,SETORES!$A:$A,0))</f>
        <v>Clientes</v>
      </c>
      <c r="C1046" s="16" t="s">
        <v>12</v>
      </c>
      <c r="D1046" s="14" t="n">
        <f aca="false">IF(B1046="Clientes",SUMIFS(PARÂMETROS!$D$8:$D$907,PARÂMETROS!$A$8:$A$907,C1046,PARÂMETROS!$G$8:$G$907,J1046),SUMIFS(PARÂMETROS!$E$8:$E$907,PARÂMETROS!$A$8:$A$907,C1046,PARÂMETROS!$G$8:$G$907,J1046))</f>
        <v>0.0685195516559314</v>
      </c>
      <c r="E1046" s="22" t="n">
        <f aca="false">SUMIFS(SETORES!$D:$D,SETORES!$A:$A,A1046,SETORES!$F:$F,J1046)</f>
        <v>149308.52832</v>
      </c>
      <c r="F1046" s="22" t="n">
        <f aca="false">IFERROR(D1046*E1046,0)</f>
        <v>10230.5534188933</v>
      </c>
      <c r="G1046" s="14" t="n">
        <f aca="false">SUMIFS(PARÂMETROS!$F$8:$F$907,PARÂMETROS!$A$8:$A$907,C1046,PARÂMETROS!$G$8:$G$907,J1046)</f>
        <v>0</v>
      </c>
      <c r="H1046" s="22" t="n">
        <f aca="false">IFERROR(F1046*G1046,0)</f>
        <v>0</v>
      </c>
      <c r="I1046" s="22" t="n">
        <f aca="false">F1046+H1046</f>
        <v>10230.5534188933</v>
      </c>
      <c r="J1046" s="16" t="s">
        <v>88</v>
      </c>
    </row>
    <row r="1047" customFormat="false" ht="14.25" hidden="false" customHeight="true" outlineLevel="0" collapsed="false">
      <c r="A1047" s="11" t="s">
        <v>48</v>
      </c>
      <c r="B1047" s="20" t="str">
        <f aca="false">INDEX(SETORES!$B:$B,MATCH(A1047,SETORES!$A:$A,0))</f>
        <v>Clientes</v>
      </c>
      <c r="C1047" s="11" t="s">
        <v>13</v>
      </c>
      <c r="D1047" s="9" t="n">
        <f aca="false">IF(B1047="Clientes",SUMIFS(PARÂMETROS!$D$8:$D$907,PARÂMETROS!$A$8:$A$907,C1047,PARÂMETROS!$G$8:$G$907,J1047),SUMIFS(PARÂMETROS!$E$8:$E$907,PARÂMETROS!$A$8:$A$907,C1047,PARÂMETROS!$G$8:$G$907,J1047))</f>
        <v>0.0745397372825481</v>
      </c>
      <c r="E1047" s="21" t="n">
        <f aca="false">SUMIFS(SETORES!$D:$D,SETORES!$A:$A,A1047,SETORES!$F:$F,J1047)</f>
        <v>149308.52832</v>
      </c>
      <c r="F1047" s="21" t="n">
        <f aca="false">IFERROR(D1047*E1047,0)</f>
        <v>11129.4184750167</v>
      </c>
      <c r="G1047" s="9" t="n">
        <f aca="false">SUMIFS(PARÂMETROS!$F$8:$F$907,PARÂMETROS!$A$8:$A$907,C1047,PARÂMETROS!$G$8:$G$907,J1047)</f>
        <v>0</v>
      </c>
      <c r="H1047" s="21" t="n">
        <f aca="false">IFERROR(F1047*G1047,0)</f>
        <v>0</v>
      </c>
      <c r="I1047" s="21" t="n">
        <f aca="false">F1047+H1047</f>
        <v>11129.4184750167</v>
      </c>
      <c r="J1047" s="11" t="s">
        <v>88</v>
      </c>
    </row>
    <row r="1048" customFormat="false" ht="14.25" hidden="false" customHeight="true" outlineLevel="0" collapsed="false">
      <c r="A1048" s="16" t="s">
        <v>48</v>
      </c>
      <c r="B1048" s="16" t="str">
        <f aca="false">INDEX(SETORES!$B:$B,MATCH(A1048,SETORES!$A:$A,0))</f>
        <v>Clientes</v>
      </c>
      <c r="C1048" s="16" t="s">
        <v>14</v>
      </c>
      <c r="D1048" s="14" t="n">
        <f aca="false">IF(B1048="Clientes",SUMIFS(PARÂMETROS!$D$8:$D$907,PARÂMETROS!$A$8:$A$907,C1048,PARÂMETROS!$G$8:$G$907,J1048),SUMIFS(PARÂMETROS!$E$8:$E$907,PARÂMETROS!$A$8:$A$907,C1048,PARÂMETROS!$G$8:$G$907,J1048))</f>
        <v>0.018943044073642</v>
      </c>
      <c r="E1048" s="22" t="n">
        <f aca="false">SUMIFS(SETORES!$D:$D,SETORES!$A:$A,A1048,SETORES!$F:$F,J1048)</f>
        <v>149308.52832</v>
      </c>
      <c r="F1048" s="22" t="n">
        <f aca="false">IFERROR(D1048*E1048,0)</f>
        <v>2828.35803253639</v>
      </c>
      <c r="G1048" s="14" t="n">
        <f aca="false">SUMIFS(PARÂMETROS!$F$8:$F$907,PARÂMETROS!$A$8:$A$907,C1048,PARÂMETROS!$G$8:$G$907,J1048)</f>
        <v>0</v>
      </c>
      <c r="H1048" s="22" t="n">
        <f aca="false">IFERROR(F1048*G1048,0)</f>
        <v>0</v>
      </c>
      <c r="I1048" s="22" t="n">
        <f aca="false">F1048+H1048</f>
        <v>2828.35803253639</v>
      </c>
      <c r="J1048" s="16" t="s">
        <v>88</v>
      </c>
    </row>
    <row r="1049" customFormat="false" ht="14.25" hidden="false" customHeight="true" outlineLevel="0" collapsed="false">
      <c r="A1049" s="11" t="s">
        <v>48</v>
      </c>
      <c r="B1049" s="20" t="str">
        <f aca="false">INDEX(SETORES!$B:$B,MATCH(A1049,SETORES!$A:$A,0))</f>
        <v>Clientes</v>
      </c>
      <c r="C1049" s="11" t="s">
        <v>15</v>
      </c>
      <c r="D1049" s="9" t="n">
        <f aca="false">IF(B1049="Clientes",SUMIFS(PARÂMETROS!$D$8:$D$907,PARÂMETROS!$A$8:$A$907,C1049,PARÂMETROS!$G$8:$G$907,J1049),SUMIFS(PARÂMETROS!$E$8:$E$907,PARÂMETROS!$A$8:$A$907,C1049,PARÂMETROS!$G$8:$G$907,J1049))</f>
        <v>0.0334787239438048</v>
      </c>
      <c r="E1049" s="21" t="n">
        <f aca="false">SUMIFS(SETORES!$D:$D,SETORES!$A:$A,A1049,SETORES!$F:$F,J1049)</f>
        <v>149308.52832</v>
      </c>
      <c r="F1049" s="21" t="n">
        <f aca="false">IFERROR(D1049*E1049,0)</f>
        <v>4998.65900208105</v>
      </c>
      <c r="G1049" s="9" t="n">
        <f aca="false">SUMIFS(PARÂMETROS!$F$8:$F$907,PARÂMETROS!$A$8:$A$907,C1049,PARÂMETROS!$G$8:$G$907,J1049)</f>
        <v>0</v>
      </c>
      <c r="H1049" s="21" t="n">
        <f aca="false">IFERROR(F1049*G1049,0)</f>
        <v>0</v>
      </c>
      <c r="I1049" s="21" t="n">
        <f aca="false">F1049+H1049</f>
        <v>4998.65900208105</v>
      </c>
      <c r="J1049" s="11" t="s">
        <v>88</v>
      </c>
    </row>
    <row r="1050" customFormat="false" ht="14.25" hidden="false" customHeight="true" outlineLevel="0" collapsed="false">
      <c r="A1050" s="16" t="s">
        <v>48</v>
      </c>
      <c r="B1050" s="16" t="str">
        <f aca="false">INDEX(SETORES!$B:$B,MATCH(A1050,SETORES!$A:$A,0))</f>
        <v>Clientes</v>
      </c>
      <c r="C1050" s="16" t="s">
        <v>16</v>
      </c>
      <c r="D1050" s="14" t="n">
        <f aca="false">IF(B1050="Clientes",SUMIFS(PARÂMETROS!$D$8:$D$907,PARÂMETROS!$A$8:$A$907,C1050,PARÂMETROS!$G$8:$G$907,J1050),SUMIFS(PARÂMETROS!$E$8:$E$907,PARÂMETROS!$A$8:$A$907,C1050,PARÂMETROS!$G$8:$G$907,J1050))</f>
        <v>0.0242886848912106</v>
      </c>
      <c r="E1050" s="22" t="n">
        <f aca="false">SUMIFS(SETORES!$D:$D,SETORES!$A:$A,A1050,SETORES!$F:$F,J1050)</f>
        <v>149308.52832</v>
      </c>
      <c r="F1050" s="22" t="n">
        <f aca="false">IFERROR(D1050*E1050,0)</f>
        <v>3626.50779593488</v>
      </c>
      <c r="G1050" s="14" t="n">
        <f aca="false">SUMIFS(PARÂMETROS!$F$8:$F$907,PARÂMETROS!$A$8:$A$907,C1050,PARÂMETROS!$G$8:$G$907,J1050)</f>
        <v>0</v>
      </c>
      <c r="H1050" s="22" t="n">
        <f aca="false">IFERROR(F1050*G1050,0)</f>
        <v>0</v>
      </c>
      <c r="I1050" s="22" t="n">
        <f aca="false">F1050+H1050</f>
        <v>3626.50779593488</v>
      </c>
      <c r="J1050" s="16" t="s">
        <v>88</v>
      </c>
    </row>
    <row r="1051" customFormat="false" ht="14.25" hidden="false" customHeight="true" outlineLevel="0" collapsed="false">
      <c r="A1051" s="11" t="s">
        <v>48</v>
      </c>
      <c r="B1051" s="20" t="str">
        <f aca="false">INDEX(SETORES!$B:$B,MATCH(A1051,SETORES!$A:$A,0))</f>
        <v>Clientes</v>
      </c>
      <c r="C1051" s="11" t="s">
        <v>17</v>
      </c>
      <c r="D1051" s="9" t="n">
        <f aca="false">IF(B1051="Clientes",SUMIFS(PARÂMETROS!$D$8:$D$907,PARÂMETROS!$A$8:$A$907,C1051,PARÂMETROS!$G$8:$G$907,J1051),SUMIFS(PARÂMETROS!$E$8:$E$907,PARÂMETROS!$A$8:$A$907,C1051,PARÂMETROS!$G$8:$G$907,J1051))</f>
        <v>0.0243241872495816</v>
      </c>
      <c r="E1051" s="21" t="n">
        <f aca="false">SUMIFS(SETORES!$D:$D,SETORES!$A:$A,A1051,SETORES!$F:$F,J1051)</f>
        <v>149308.52832</v>
      </c>
      <c r="F1051" s="21" t="n">
        <f aca="false">IFERROR(D1051*E1051,0)</f>
        <v>3631.80860081513</v>
      </c>
      <c r="G1051" s="9" t="n">
        <f aca="false">SUMIFS(PARÂMETROS!$F$8:$F$907,PARÂMETROS!$A$8:$A$907,C1051,PARÂMETROS!$G$8:$G$907,J1051)</f>
        <v>0</v>
      </c>
      <c r="H1051" s="21" t="n">
        <f aca="false">IFERROR(F1051*G1051,0)</f>
        <v>0</v>
      </c>
      <c r="I1051" s="21" t="n">
        <f aca="false">F1051+H1051</f>
        <v>3631.80860081513</v>
      </c>
      <c r="J1051" s="11" t="s">
        <v>88</v>
      </c>
    </row>
    <row r="1052" customFormat="false" ht="14.25" hidden="false" customHeight="true" outlineLevel="0" collapsed="false">
      <c r="A1052" s="16" t="s">
        <v>48</v>
      </c>
      <c r="B1052" s="16" t="str">
        <f aca="false">INDEX(SETORES!$B:$B,MATCH(A1052,SETORES!$A:$A,0))</f>
        <v>Clientes</v>
      </c>
      <c r="C1052" s="16" t="s">
        <v>18</v>
      </c>
      <c r="D1052" s="14" t="n">
        <f aca="false">IF(B1052="Clientes",SUMIFS(PARÂMETROS!$D$8:$D$907,PARÂMETROS!$A$8:$A$907,C1052,PARÂMETROS!$G$8:$G$907,J1052),SUMIFS(PARÂMETROS!$E$8:$E$907,PARÂMETROS!$A$8:$A$907,C1052,PARÂMETROS!$G$8:$G$907,J1052))</f>
        <v>0.722194045747325</v>
      </c>
      <c r="E1052" s="22" t="n">
        <f aca="false">SUMIFS(SETORES!$D:$D,SETORES!$A:$A,A1052,SETORES!$F:$F,J1052)</f>
        <v>149308.52832</v>
      </c>
      <c r="F1052" s="22" t="n">
        <f aca="false">IFERROR(D1052*E1052,0)</f>
        <v>107829.730132</v>
      </c>
      <c r="G1052" s="14" t="n">
        <f aca="false">SUMIFS(PARÂMETROS!$F$8:$F$907,PARÂMETROS!$A$8:$A$907,C1052,PARÂMETROS!$G$8:$G$907,J1052)</f>
        <v>0</v>
      </c>
      <c r="H1052" s="22" t="n">
        <f aca="false">IFERROR(F1052*G1052,0)</f>
        <v>0</v>
      </c>
      <c r="I1052" s="22" t="n">
        <f aca="false">F1052+H1052</f>
        <v>107829.730132</v>
      </c>
      <c r="J1052" s="16" t="s">
        <v>88</v>
      </c>
    </row>
    <row r="1053" customFormat="false" ht="14.25" hidden="false" customHeight="true" outlineLevel="0" collapsed="false">
      <c r="A1053" s="11" t="s">
        <v>49</v>
      </c>
      <c r="B1053" s="20" t="str">
        <f aca="false">INDEX(SETORES!$B:$B,MATCH(A1053,SETORES!$A:$A,0))</f>
        <v>Clientes</v>
      </c>
      <c r="C1053" s="11" t="s">
        <v>10</v>
      </c>
      <c r="D1053" s="9" t="n">
        <f aca="false">IF(B1053="Clientes",SUMIFS(PARÂMETROS!$D$8:$D$907,PARÂMETROS!$A$8:$A$907,C1053,PARÂMETROS!$G$8:$G$907,J1053),SUMIFS(PARÂMETROS!$E$8:$E$907,PARÂMETROS!$A$8:$A$907,C1053,PARÂMETROS!$G$8:$G$907,J1053))</f>
        <v>0.0337120251559568</v>
      </c>
      <c r="E1053" s="21" t="n">
        <f aca="false">SUMIFS(SETORES!$D:$D,SETORES!$A:$A,A1053,SETORES!$F:$F,J1053)</f>
        <v>31996.26708</v>
      </c>
      <c r="F1053" s="21" t="n">
        <f aca="false">IFERROR(D1053*E1053,0)</f>
        <v>1078.65896069767</v>
      </c>
      <c r="G1053" s="9" t="n">
        <f aca="false">SUMIFS(PARÂMETROS!$F$8:$F$907,PARÂMETROS!$A$8:$A$907,C1053,PARÂMETROS!$G$8:$G$907,J1053)</f>
        <v>0</v>
      </c>
      <c r="H1053" s="21" t="n">
        <f aca="false">IFERROR(F1053*G1053,0)</f>
        <v>0</v>
      </c>
      <c r="I1053" s="21" t="n">
        <f aca="false">F1053+H1053</f>
        <v>1078.65896069767</v>
      </c>
      <c r="J1053" s="11" t="s">
        <v>88</v>
      </c>
    </row>
    <row r="1054" customFormat="false" ht="14.25" hidden="false" customHeight="true" outlineLevel="0" collapsed="false">
      <c r="A1054" s="16" t="s">
        <v>49</v>
      </c>
      <c r="B1054" s="16" t="str">
        <f aca="false">INDEX(SETORES!$B:$B,MATCH(A1054,SETORES!$A:$A,0))</f>
        <v>Clientes</v>
      </c>
      <c r="C1054" s="16" t="s">
        <v>12</v>
      </c>
      <c r="D1054" s="14" t="n">
        <f aca="false">IF(B1054="Clientes",SUMIFS(PARÂMETROS!$D$8:$D$907,PARÂMETROS!$A$8:$A$907,C1054,PARÂMETROS!$G$8:$G$907,J1054),SUMIFS(PARÂMETROS!$E$8:$E$907,PARÂMETROS!$A$8:$A$907,C1054,PARÂMETROS!$G$8:$G$907,J1054))</f>
        <v>0.0685195516559314</v>
      </c>
      <c r="E1054" s="22" t="n">
        <f aca="false">SUMIFS(SETORES!$D:$D,SETORES!$A:$A,A1054,SETORES!$F:$F,J1054)</f>
        <v>31996.26708</v>
      </c>
      <c r="F1054" s="22" t="n">
        <f aca="false">IFERROR(D1054*E1054,0)</f>
        <v>2192.36987498504</v>
      </c>
      <c r="G1054" s="14" t="n">
        <f aca="false">SUMIFS(PARÂMETROS!$F$8:$F$907,PARÂMETROS!$A$8:$A$907,C1054,PARÂMETROS!$G$8:$G$907,J1054)</f>
        <v>0</v>
      </c>
      <c r="H1054" s="22" t="n">
        <f aca="false">IFERROR(F1054*G1054,0)</f>
        <v>0</v>
      </c>
      <c r="I1054" s="22" t="n">
        <f aca="false">F1054+H1054</f>
        <v>2192.36987498504</v>
      </c>
      <c r="J1054" s="16" t="s">
        <v>88</v>
      </c>
    </row>
    <row r="1055" customFormat="false" ht="14.25" hidden="false" customHeight="true" outlineLevel="0" collapsed="false">
      <c r="A1055" s="11" t="s">
        <v>49</v>
      </c>
      <c r="B1055" s="20" t="str">
        <f aca="false">INDEX(SETORES!$B:$B,MATCH(A1055,SETORES!$A:$A,0))</f>
        <v>Clientes</v>
      </c>
      <c r="C1055" s="11" t="s">
        <v>13</v>
      </c>
      <c r="D1055" s="9" t="n">
        <f aca="false">IF(B1055="Clientes",SUMIFS(PARÂMETROS!$D$8:$D$907,PARÂMETROS!$A$8:$A$907,C1055,PARÂMETROS!$G$8:$G$907,J1055),SUMIFS(PARÂMETROS!$E$8:$E$907,PARÂMETROS!$A$8:$A$907,C1055,PARÂMETROS!$G$8:$G$907,J1055))</f>
        <v>0.0745397372825481</v>
      </c>
      <c r="E1055" s="21" t="n">
        <f aca="false">SUMIFS(SETORES!$D:$D,SETORES!$A:$A,A1055,SETORES!$F:$F,J1055)</f>
        <v>31996.26708</v>
      </c>
      <c r="F1055" s="21" t="n">
        <f aca="false">IFERROR(D1055*E1055,0)</f>
        <v>2384.99334216544</v>
      </c>
      <c r="G1055" s="9" t="n">
        <f aca="false">SUMIFS(PARÂMETROS!$F$8:$F$907,PARÂMETROS!$A$8:$A$907,C1055,PARÂMETROS!$G$8:$G$907,J1055)</f>
        <v>0</v>
      </c>
      <c r="H1055" s="21" t="n">
        <f aca="false">IFERROR(F1055*G1055,0)</f>
        <v>0</v>
      </c>
      <c r="I1055" s="21" t="n">
        <f aca="false">F1055+H1055</f>
        <v>2384.99334216544</v>
      </c>
      <c r="J1055" s="11" t="s">
        <v>88</v>
      </c>
    </row>
    <row r="1056" customFormat="false" ht="14.25" hidden="false" customHeight="true" outlineLevel="0" collapsed="false">
      <c r="A1056" s="16" t="s">
        <v>49</v>
      </c>
      <c r="B1056" s="16" t="str">
        <f aca="false">INDEX(SETORES!$B:$B,MATCH(A1056,SETORES!$A:$A,0))</f>
        <v>Clientes</v>
      </c>
      <c r="C1056" s="16" t="s">
        <v>14</v>
      </c>
      <c r="D1056" s="14" t="n">
        <f aca="false">IF(B1056="Clientes",SUMIFS(PARÂMETROS!$D$8:$D$907,PARÂMETROS!$A$8:$A$907,C1056,PARÂMETROS!$G$8:$G$907,J1056),SUMIFS(PARÂMETROS!$E$8:$E$907,PARÂMETROS!$A$8:$A$907,C1056,PARÂMETROS!$G$8:$G$907,J1056))</f>
        <v>0.018943044073642</v>
      </c>
      <c r="E1056" s="22" t="n">
        <f aca="false">SUMIFS(SETORES!$D:$D,SETORES!$A:$A,A1056,SETORES!$F:$F,J1056)</f>
        <v>31996.26708</v>
      </c>
      <c r="F1056" s="22" t="n">
        <f aca="false">IFERROR(D1056*E1056,0)</f>
        <v>606.106697488462</v>
      </c>
      <c r="G1056" s="14" t="n">
        <f aca="false">SUMIFS(PARÂMETROS!$F$8:$F$907,PARÂMETROS!$A$8:$A$907,C1056,PARÂMETROS!$G$8:$G$907,J1056)</f>
        <v>0</v>
      </c>
      <c r="H1056" s="22" t="n">
        <f aca="false">IFERROR(F1056*G1056,0)</f>
        <v>0</v>
      </c>
      <c r="I1056" s="22" t="n">
        <f aca="false">F1056+H1056</f>
        <v>606.106697488462</v>
      </c>
      <c r="J1056" s="16" t="s">
        <v>88</v>
      </c>
    </row>
    <row r="1057" customFormat="false" ht="14.25" hidden="false" customHeight="true" outlineLevel="0" collapsed="false">
      <c r="A1057" s="11" t="s">
        <v>49</v>
      </c>
      <c r="B1057" s="20" t="str">
        <f aca="false">INDEX(SETORES!$B:$B,MATCH(A1057,SETORES!$A:$A,0))</f>
        <v>Clientes</v>
      </c>
      <c r="C1057" s="11" t="s">
        <v>15</v>
      </c>
      <c r="D1057" s="9" t="n">
        <f aca="false">IF(B1057="Clientes",SUMIFS(PARÂMETROS!$D$8:$D$907,PARÂMETROS!$A$8:$A$907,C1057,PARÂMETROS!$G$8:$G$907,J1057),SUMIFS(PARÂMETROS!$E$8:$E$907,PARÂMETROS!$A$8:$A$907,C1057,PARÂMETROS!$G$8:$G$907,J1057))</f>
        <v>0.0334787239438048</v>
      </c>
      <c r="E1057" s="21" t="n">
        <f aca="false">SUMIFS(SETORES!$D:$D,SETORES!$A:$A,A1057,SETORES!$F:$F,J1057)</f>
        <v>31996.26708</v>
      </c>
      <c r="F1057" s="21" t="n">
        <f aca="false">IFERROR(D1057*E1057,0)</f>
        <v>1071.19419280357</v>
      </c>
      <c r="G1057" s="9" t="n">
        <f aca="false">SUMIFS(PARÂMETROS!$F$8:$F$907,PARÂMETROS!$A$8:$A$907,C1057,PARÂMETROS!$G$8:$G$907,J1057)</f>
        <v>0</v>
      </c>
      <c r="H1057" s="21" t="n">
        <f aca="false">IFERROR(F1057*G1057,0)</f>
        <v>0</v>
      </c>
      <c r="I1057" s="21" t="n">
        <f aca="false">F1057+H1057</f>
        <v>1071.19419280357</v>
      </c>
      <c r="J1057" s="11" t="s">
        <v>88</v>
      </c>
    </row>
    <row r="1058" customFormat="false" ht="14.25" hidden="false" customHeight="true" outlineLevel="0" collapsed="false">
      <c r="A1058" s="16" t="s">
        <v>49</v>
      </c>
      <c r="B1058" s="16" t="str">
        <f aca="false">INDEX(SETORES!$B:$B,MATCH(A1058,SETORES!$A:$A,0))</f>
        <v>Clientes</v>
      </c>
      <c r="C1058" s="16" t="s">
        <v>16</v>
      </c>
      <c r="D1058" s="14" t="n">
        <f aca="false">IF(B1058="Clientes",SUMIFS(PARÂMETROS!$D$8:$D$907,PARÂMETROS!$A$8:$A$907,C1058,PARÂMETROS!$G$8:$G$907,J1058),SUMIFS(PARÂMETROS!$E$8:$E$907,PARÂMETROS!$A$8:$A$907,C1058,PARÂMETROS!$G$8:$G$907,J1058))</f>
        <v>0.0242886848912106</v>
      </c>
      <c r="E1058" s="22" t="n">
        <f aca="false">SUMIFS(SETORES!$D:$D,SETORES!$A:$A,A1058,SETORES!$F:$F,J1058)</f>
        <v>31996.26708</v>
      </c>
      <c r="F1058" s="22" t="n">
        <f aca="false">IFERROR(D1058*E1058,0)</f>
        <v>777.147248801136</v>
      </c>
      <c r="G1058" s="14" t="n">
        <f aca="false">SUMIFS(PARÂMETROS!$F$8:$F$907,PARÂMETROS!$A$8:$A$907,C1058,PARÂMETROS!$G$8:$G$907,J1058)</f>
        <v>0</v>
      </c>
      <c r="H1058" s="22" t="n">
        <f aca="false">IFERROR(F1058*G1058,0)</f>
        <v>0</v>
      </c>
      <c r="I1058" s="22" t="n">
        <f aca="false">F1058+H1058</f>
        <v>777.147248801136</v>
      </c>
      <c r="J1058" s="16" t="s">
        <v>88</v>
      </c>
    </row>
    <row r="1059" customFormat="false" ht="14.25" hidden="false" customHeight="true" outlineLevel="0" collapsed="false">
      <c r="A1059" s="11" t="s">
        <v>49</v>
      </c>
      <c r="B1059" s="20" t="str">
        <f aca="false">INDEX(SETORES!$B:$B,MATCH(A1059,SETORES!$A:$A,0))</f>
        <v>Clientes</v>
      </c>
      <c r="C1059" s="11" t="s">
        <v>17</v>
      </c>
      <c r="D1059" s="9" t="n">
        <f aca="false">IF(B1059="Clientes",SUMIFS(PARÂMETROS!$D$8:$D$907,PARÂMETROS!$A$8:$A$907,C1059,PARÂMETROS!$G$8:$G$907,J1059),SUMIFS(PARÂMETROS!$E$8:$E$907,PARÂMETROS!$A$8:$A$907,C1059,PARÂMETROS!$G$8:$G$907,J1059))</f>
        <v>0.0243241872495816</v>
      </c>
      <c r="E1059" s="21" t="n">
        <f aca="false">SUMIFS(SETORES!$D:$D,SETORES!$A:$A,A1059,SETORES!$F:$F,J1059)</f>
        <v>31996.26708</v>
      </c>
      <c r="F1059" s="21" t="n">
        <f aca="false">IFERROR(D1059*E1059,0)</f>
        <v>778.283191741543</v>
      </c>
      <c r="G1059" s="9" t="n">
        <f aca="false">SUMIFS(PARÂMETROS!$F$8:$F$907,PARÂMETROS!$A$8:$A$907,C1059,PARÂMETROS!$G$8:$G$907,J1059)</f>
        <v>0</v>
      </c>
      <c r="H1059" s="21" t="n">
        <f aca="false">IFERROR(F1059*G1059,0)</f>
        <v>0</v>
      </c>
      <c r="I1059" s="21" t="n">
        <f aca="false">F1059+H1059</f>
        <v>778.283191741543</v>
      </c>
      <c r="J1059" s="11" t="s">
        <v>88</v>
      </c>
    </row>
    <row r="1060" customFormat="false" ht="14.25" hidden="false" customHeight="true" outlineLevel="0" collapsed="false">
      <c r="A1060" s="16" t="s">
        <v>49</v>
      </c>
      <c r="B1060" s="16" t="str">
        <f aca="false">INDEX(SETORES!$B:$B,MATCH(A1060,SETORES!$A:$A,0))</f>
        <v>Clientes</v>
      </c>
      <c r="C1060" s="16" t="s">
        <v>18</v>
      </c>
      <c r="D1060" s="14" t="n">
        <f aca="false">IF(B1060="Clientes",SUMIFS(PARÂMETROS!$D$8:$D$907,PARÂMETROS!$A$8:$A$907,C1060,PARÂMETROS!$G$8:$G$907,J1060),SUMIFS(PARÂMETROS!$E$8:$E$907,PARÂMETROS!$A$8:$A$907,C1060,PARÂMETROS!$G$8:$G$907,J1060))</f>
        <v>0.722194045747325</v>
      </c>
      <c r="E1060" s="22" t="n">
        <f aca="false">SUMIFS(SETORES!$D:$D,SETORES!$A:$A,A1060,SETORES!$F:$F,J1060)</f>
        <v>31996.26708</v>
      </c>
      <c r="F1060" s="22" t="n">
        <f aca="false">IFERROR(D1060*E1060,0)</f>
        <v>23107.5135713171</v>
      </c>
      <c r="G1060" s="14" t="n">
        <f aca="false">SUMIFS(PARÂMETROS!$F$8:$F$907,PARÂMETROS!$A$8:$A$907,C1060,PARÂMETROS!$G$8:$G$907,J1060)</f>
        <v>0</v>
      </c>
      <c r="H1060" s="22" t="n">
        <f aca="false">IFERROR(F1060*G1060,0)</f>
        <v>0</v>
      </c>
      <c r="I1060" s="22" t="n">
        <f aca="false">F1060+H1060</f>
        <v>23107.5135713171</v>
      </c>
      <c r="J1060" s="16" t="s">
        <v>88</v>
      </c>
    </row>
    <row r="1061" customFormat="false" ht="14.25" hidden="false" customHeight="true" outlineLevel="0" collapsed="false">
      <c r="A1061" s="11" t="s">
        <v>50</v>
      </c>
      <c r="B1061" s="20" t="str">
        <f aca="false">INDEX(SETORES!$B:$B,MATCH(A1061,SETORES!$A:$A,0))</f>
        <v>Clientes</v>
      </c>
      <c r="C1061" s="11" t="s">
        <v>10</v>
      </c>
      <c r="D1061" s="9" t="n">
        <f aca="false">IF(B1061="Clientes",SUMIFS(PARÂMETROS!$D$8:$D$907,PARÂMETROS!$A$8:$A$907,C1061,PARÂMETROS!$G$8:$G$907,J1061),SUMIFS(PARÂMETROS!$E$8:$E$907,PARÂMETROS!$A$8:$A$907,C1061,PARÂMETROS!$G$8:$G$907,J1061))</f>
        <v>0.0337120251559568</v>
      </c>
      <c r="E1061" s="21" t="n">
        <f aca="false">SUMIFS(SETORES!$D:$D,SETORES!$A:$A,A1061,SETORES!$F:$F,J1061)</f>
        <v>102382.15832</v>
      </c>
      <c r="F1061" s="21" t="n">
        <f aca="false">IFERROR(D1061*E1061,0)</f>
        <v>3451.50989680499</v>
      </c>
      <c r="G1061" s="9" t="n">
        <f aca="false">SUMIFS(PARÂMETROS!$F$8:$F$907,PARÂMETROS!$A$8:$A$907,C1061,PARÂMETROS!$G$8:$G$907,J1061)</f>
        <v>0</v>
      </c>
      <c r="H1061" s="21" t="n">
        <f aca="false">IFERROR(F1061*G1061,0)</f>
        <v>0</v>
      </c>
      <c r="I1061" s="21" t="n">
        <f aca="false">F1061+H1061</f>
        <v>3451.50989680499</v>
      </c>
      <c r="J1061" s="11" t="s">
        <v>88</v>
      </c>
    </row>
    <row r="1062" customFormat="false" ht="14.25" hidden="false" customHeight="true" outlineLevel="0" collapsed="false">
      <c r="A1062" s="16" t="s">
        <v>50</v>
      </c>
      <c r="B1062" s="16" t="str">
        <f aca="false">INDEX(SETORES!$B:$B,MATCH(A1062,SETORES!$A:$A,0))</f>
        <v>Clientes</v>
      </c>
      <c r="C1062" s="16" t="s">
        <v>12</v>
      </c>
      <c r="D1062" s="14" t="n">
        <f aca="false">IF(B1062="Clientes",SUMIFS(PARÂMETROS!$D$8:$D$907,PARÂMETROS!$A$8:$A$907,C1062,PARÂMETROS!$G$8:$G$907,J1062),SUMIFS(PARÂMETROS!$E$8:$E$907,PARÂMETROS!$A$8:$A$907,C1062,PARÂMETROS!$G$8:$G$907,J1062))</f>
        <v>0.0685195516559314</v>
      </c>
      <c r="E1062" s="22" t="n">
        <f aca="false">SUMIFS(SETORES!$D:$D,SETORES!$A:$A,A1062,SETORES!$F:$F,J1062)</f>
        <v>102382.15832</v>
      </c>
      <c r="F1062" s="22" t="n">
        <f aca="false">IFERROR(D1062*E1062,0)</f>
        <v>7015.17958565299</v>
      </c>
      <c r="G1062" s="14" t="n">
        <f aca="false">SUMIFS(PARÂMETROS!$F$8:$F$907,PARÂMETROS!$A$8:$A$907,C1062,PARÂMETROS!$G$8:$G$907,J1062)</f>
        <v>0</v>
      </c>
      <c r="H1062" s="22" t="n">
        <f aca="false">IFERROR(F1062*G1062,0)</f>
        <v>0</v>
      </c>
      <c r="I1062" s="22" t="n">
        <f aca="false">F1062+H1062</f>
        <v>7015.17958565299</v>
      </c>
      <c r="J1062" s="16" t="s">
        <v>88</v>
      </c>
    </row>
    <row r="1063" customFormat="false" ht="14.25" hidden="false" customHeight="true" outlineLevel="0" collapsed="false">
      <c r="A1063" s="11" t="s">
        <v>50</v>
      </c>
      <c r="B1063" s="20" t="str">
        <f aca="false">INDEX(SETORES!$B:$B,MATCH(A1063,SETORES!$A:$A,0))</f>
        <v>Clientes</v>
      </c>
      <c r="C1063" s="11" t="s">
        <v>13</v>
      </c>
      <c r="D1063" s="9" t="n">
        <f aca="false">IF(B1063="Clientes",SUMIFS(PARÂMETROS!$D$8:$D$907,PARÂMETROS!$A$8:$A$907,C1063,PARÂMETROS!$G$8:$G$907,J1063),SUMIFS(PARÂMETROS!$E$8:$E$907,PARÂMETROS!$A$8:$A$907,C1063,PARÂMETROS!$G$8:$G$907,J1063))</f>
        <v>0.0745397372825481</v>
      </c>
      <c r="E1063" s="21" t="n">
        <f aca="false">SUMIFS(SETORES!$D:$D,SETORES!$A:$A,A1063,SETORES!$F:$F,J1063)</f>
        <v>102382.15832</v>
      </c>
      <c r="F1063" s="21" t="n">
        <f aca="false">IFERROR(D1063*E1063,0)</f>
        <v>7631.53918359304</v>
      </c>
      <c r="G1063" s="9" t="n">
        <f aca="false">SUMIFS(PARÂMETROS!$F$8:$F$907,PARÂMETROS!$A$8:$A$907,C1063,PARÂMETROS!$G$8:$G$907,J1063)</f>
        <v>0</v>
      </c>
      <c r="H1063" s="21" t="n">
        <f aca="false">IFERROR(F1063*G1063,0)</f>
        <v>0</v>
      </c>
      <c r="I1063" s="21" t="n">
        <f aca="false">F1063+H1063</f>
        <v>7631.53918359304</v>
      </c>
      <c r="J1063" s="11" t="s">
        <v>88</v>
      </c>
    </row>
    <row r="1064" customFormat="false" ht="14.25" hidden="false" customHeight="true" outlineLevel="0" collapsed="false">
      <c r="A1064" s="16" t="s">
        <v>50</v>
      </c>
      <c r="B1064" s="16" t="str">
        <f aca="false">INDEX(SETORES!$B:$B,MATCH(A1064,SETORES!$A:$A,0))</f>
        <v>Clientes</v>
      </c>
      <c r="C1064" s="16" t="s">
        <v>14</v>
      </c>
      <c r="D1064" s="14" t="n">
        <f aca="false">IF(B1064="Clientes",SUMIFS(PARÂMETROS!$D$8:$D$907,PARÂMETROS!$A$8:$A$907,C1064,PARÂMETROS!$G$8:$G$907,J1064),SUMIFS(PARÂMETROS!$E$8:$E$907,PARÂMETROS!$A$8:$A$907,C1064,PARÂMETROS!$G$8:$G$907,J1064))</f>
        <v>0.018943044073642</v>
      </c>
      <c r="E1064" s="22" t="n">
        <f aca="false">SUMIFS(SETORES!$D:$D,SETORES!$A:$A,A1064,SETORES!$F:$F,J1064)</f>
        <v>102382.15832</v>
      </c>
      <c r="F1064" s="22" t="n">
        <f aca="false">IFERROR(D1064*E1064,0)</f>
        <v>1939.42973741036</v>
      </c>
      <c r="G1064" s="14" t="n">
        <f aca="false">SUMIFS(PARÂMETROS!$F$8:$F$907,PARÂMETROS!$A$8:$A$907,C1064,PARÂMETROS!$G$8:$G$907,J1064)</f>
        <v>0</v>
      </c>
      <c r="H1064" s="22" t="n">
        <f aca="false">IFERROR(F1064*G1064,0)</f>
        <v>0</v>
      </c>
      <c r="I1064" s="22" t="n">
        <f aca="false">F1064+H1064</f>
        <v>1939.42973741036</v>
      </c>
      <c r="J1064" s="16" t="s">
        <v>88</v>
      </c>
    </row>
    <row r="1065" customFormat="false" ht="14.25" hidden="false" customHeight="true" outlineLevel="0" collapsed="false">
      <c r="A1065" s="11" t="s">
        <v>50</v>
      </c>
      <c r="B1065" s="20" t="str">
        <f aca="false">INDEX(SETORES!$B:$B,MATCH(A1065,SETORES!$A:$A,0))</f>
        <v>Clientes</v>
      </c>
      <c r="C1065" s="11" t="s">
        <v>15</v>
      </c>
      <c r="D1065" s="9" t="n">
        <f aca="false">IF(B1065="Clientes",SUMIFS(PARÂMETROS!$D$8:$D$907,PARÂMETROS!$A$8:$A$907,C1065,PARÂMETROS!$G$8:$G$907,J1065),SUMIFS(PARÂMETROS!$E$8:$E$907,PARÂMETROS!$A$8:$A$907,C1065,PARÂMETROS!$G$8:$G$907,J1065))</f>
        <v>0.0334787239438048</v>
      </c>
      <c r="E1065" s="21" t="n">
        <f aca="false">SUMIFS(SETORES!$D:$D,SETORES!$A:$A,A1065,SETORES!$F:$F,J1065)</f>
        <v>102382.15832</v>
      </c>
      <c r="F1065" s="21" t="n">
        <f aca="false">IFERROR(D1065*E1065,0)</f>
        <v>3427.6240151662</v>
      </c>
      <c r="G1065" s="9" t="n">
        <f aca="false">SUMIFS(PARÂMETROS!$F$8:$F$907,PARÂMETROS!$A$8:$A$907,C1065,PARÂMETROS!$G$8:$G$907,J1065)</f>
        <v>0</v>
      </c>
      <c r="H1065" s="21" t="n">
        <f aca="false">IFERROR(F1065*G1065,0)</f>
        <v>0</v>
      </c>
      <c r="I1065" s="21" t="n">
        <f aca="false">F1065+H1065</f>
        <v>3427.6240151662</v>
      </c>
      <c r="J1065" s="11" t="s">
        <v>88</v>
      </c>
    </row>
    <row r="1066" customFormat="false" ht="14.25" hidden="false" customHeight="true" outlineLevel="0" collapsed="false">
      <c r="A1066" s="16" t="s">
        <v>50</v>
      </c>
      <c r="B1066" s="16" t="str">
        <f aca="false">INDEX(SETORES!$B:$B,MATCH(A1066,SETORES!$A:$A,0))</f>
        <v>Clientes</v>
      </c>
      <c r="C1066" s="16" t="s">
        <v>16</v>
      </c>
      <c r="D1066" s="14" t="n">
        <f aca="false">IF(B1066="Clientes",SUMIFS(PARÂMETROS!$D$8:$D$907,PARÂMETROS!$A$8:$A$907,C1066,PARÂMETROS!$G$8:$G$907,J1066),SUMIFS(PARÂMETROS!$E$8:$E$907,PARÂMETROS!$A$8:$A$907,C1066,PARÂMETROS!$G$8:$G$907,J1066))</f>
        <v>0.0242886848912106</v>
      </c>
      <c r="E1066" s="22" t="n">
        <f aca="false">SUMIFS(SETORES!$D:$D,SETORES!$A:$A,A1066,SETORES!$F:$F,J1066)</f>
        <v>102382.15832</v>
      </c>
      <c r="F1066" s="22" t="n">
        <f aca="false">IFERROR(D1066*E1066,0)</f>
        <v>2486.72798191652</v>
      </c>
      <c r="G1066" s="14" t="n">
        <f aca="false">SUMIFS(PARÂMETROS!$F$8:$F$907,PARÂMETROS!$A$8:$A$907,C1066,PARÂMETROS!$G$8:$G$907,J1066)</f>
        <v>0</v>
      </c>
      <c r="H1066" s="22" t="n">
        <f aca="false">IFERROR(F1066*G1066,0)</f>
        <v>0</v>
      </c>
      <c r="I1066" s="22" t="n">
        <f aca="false">F1066+H1066</f>
        <v>2486.72798191652</v>
      </c>
      <c r="J1066" s="16" t="s">
        <v>88</v>
      </c>
    </row>
    <row r="1067" customFormat="false" ht="14.25" hidden="false" customHeight="true" outlineLevel="0" collapsed="false">
      <c r="A1067" s="11" t="s">
        <v>50</v>
      </c>
      <c r="B1067" s="20" t="str">
        <f aca="false">INDEX(SETORES!$B:$B,MATCH(A1067,SETORES!$A:$A,0))</f>
        <v>Clientes</v>
      </c>
      <c r="C1067" s="11" t="s">
        <v>17</v>
      </c>
      <c r="D1067" s="9" t="n">
        <f aca="false">IF(B1067="Clientes",SUMIFS(PARÂMETROS!$D$8:$D$907,PARÂMETROS!$A$8:$A$907,C1067,PARÂMETROS!$G$8:$G$907,J1067),SUMIFS(PARÂMETROS!$E$8:$E$907,PARÂMETROS!$A$8:$A$907,C1067,PARÂMETROS!$G$8:$G$907,J1067))</f>
        <v>0.0243241872495816</v>
      </c>
      <c r="E1067" s="21" t="n">
        <f aca="false">SUMIFS(SETORES!$D:$D,SETORES!$A:$A,A1067,SETORES!$F:$F,J1067)</f>
        <v>102382.15832</v>
      </c>
      <c r="F1067" s="21" t="n">
        <f aca="false">IFERROR(D1067*E1067,0)</f>
        <v>2490.36278999199</v>
      </c>
      <c r="G1067" s="9" t="n">
        <f aca="false">SUMIFS(PARÂMETROS!$F$8:$F$907,PARÂMETROS!$A$8:$A$907,C1067,PARÂMETROS!$G$8:$G$907,J1067)</f>
        <v>0</v>
      </c>
      <c r="H1067" s="21" t="n">
        <f aca="false">IFERROR(F1067*G1067,0)</f>
        <v>0</v>
      </c>
      <c r="I1067" s="21" t="n">
        <f aca="false">F1067+H1067</f>
        <v>2490.36278999199</v>
      </c>
      <c r="J1067" s="11" t="s">
        <v>88</v>
      </c>
    </row>
    <row r="1068" customFormat="false" ht="14.25" hidden="false" customHeight="true" outlineLevel="0" collapsed="false">
      <c r="A1068" s="16" t="s">
        <v>50</v>
      </c>
      <c r="B1068" s="16" t="str">
        <f aca="false">INDEX(SETORES!$B:$B,MATCH(A1068,SETORES!$A:$A,0))</f>
        <v>Clientes</v>
      </c>
      <c r="C1068" s="16" t="s">
        <v>18</v>
      </c>
      <c r="D1068" s="14" t="n">
        <f aca="false">IF(B1068="Clientes",SUMIFS(PARÂMETROS!$D$8:$D$907,PARÂMETROS!$A$8:$A$907,C1068,PARÂMETROS!$G$8:$G$907,J1068),SUMIFS(PARÂMETROS!$E$8:$E$907,PARÂMETROS!$A$8:$A$907,C1068,PARÂMETROS!$G$8:$G$907,J1068))</f>
        <v>0.722194045747325</v>
      </c>
      <c r="E1068" s="22" t="n">
        <f aca="false">SUMIFS(SETORES!$D:$D,SETORES!$A:$A,A1068,SETORES!$F:$F,J1068)</f>
        <v>102382.15832</v>
      </c>
      <c r="F1068" s="22" t="n">
        <f aca="false">IFERROR(D1068*E1068,0)</f>
        <v>73939.7851294639</v>
      </c>
      <c r="G1068" s="14" t="n">
        <f aca="false">SUMIFS(PARÂMETROS!$F$8:$F$907,PARÂMETROS!$A$8:$A$907,C1068,PARÂMETROS!$G$8:$G$907,J1068)</f>
        <v>0</v>
      </c>
      <c r="H1068" s="22" t="n">
        <f aca="false">IFERROR(F1068*G1068,0)</f>
        <v>0</v>
      </c>
      <c r="I1068" s="22" t="n">
        <f aca="false">F1068+H1068</f>
        <v>73939.7851294639</v>
      </c>
      <c r="J1068" s="16" t="s">
        <v>88</v>
      </c>
    </row>
    <row r="1069" customFormat="false" ht="14.25" hidden="false" customHeight="true" outlineLevel="0" collapsed="false">
      <c r="A1069" s="11" t="s">
        <v>51</v>
      </c>
      <c r="B1069" s="20" t="str">
        <f aca="false">INDEX(SETORES!$B:$B,MATCH(A1069,SETORES!$A:$A,0))</f>
        <v>Clientes</v>
      </c>
      <c r="C1069" s="11" t="s">
        <v>10</v>
      </c>
      <c r="D1069" s="9" t="n">
        <f aca="false">IF(B1069="Clientes",SUMIFS(PARÂMETROS!$D$8:$D$907,PARÂMETROS!$A$8:$A$907,C1069,PARÂMETROS!$G$8:$G$907,J1069),SUMIFS(PARÂMETROS!$E$8:$E$907,PARÂMETROS!$A$8:$A$907,C1069,PARÂMETROS!$G$8:$G$907,J1069))</f>
        <v>0.0337120251559568</v>
      </c>
      <c r="E1069" s="21" t="n">
        <f aca="false">SUMIFS(SETORES!$D:$D,SETORES!$A:$A,A1069,SETORES!$F:$F,J1069)</f>
        <v>139221.437267108</v>
      </c>
      <c r="F1069" s="21" t="n">
        <f aca="false">IFERROR(D1069*E1069,0)</f>
        <v>4693.43659539719</v>
      </c>
      <c r="G1069" s="9" t="n">
        <f aca="false">SUMIFS(PARÂMETROS!$F$8:$F$907,PARÂMETROS!$A$8:$A$907,C1069,PARÂMETROS!$G$8:$G$907,J1069)</f>
        <v>0</v>
      </c>
      <c r="H1069" s="21" t="n">
        <f aca="false">IFERROR(F1069*G1069,0)</f>
        <v>0</v>
      </c>
      <c r="I1069" s="21" t="n">
        <f aca="false">F1069+H1069</f>
        <v>4693.43659539719</v>
      </c>
      <c r="J1069" s="11" t="s">
        <v>88</v>
      </c>
    </row>
    <row r="1070" customFormat="false" ht="14.25" hidden="false" customHeight="true" outlineLevel="0" collapsed="false">
      <c r="A1070" s="16" t="s">
        <v>51</v>
      </c>
      <c r="B1070" s="16" t="str">
        <f aca="false">INDEX(SETORES!$B:$B,MATCH(A1070,SETORES!$A:$A,0))</f>
        <v>Clientes</v>
      </c>
      <c r="C1070" s="16" t="s">
        <v>12</v>
      </c>
      <c r="D1070" s="14" t="n">
        <f aca="false">IF(B1070="Clientes",SUMIFS(PARÂMETROS!$D$8:$D$907,PARÂMETROS!$A$8:$A$907,C1070,PARÂMETROS!$G$8:$G$907,J1070),SUMIFS(PARÂMETROS!$E$8:$E$907,PARÂMETROS!$A$8:$A$907,C1070,PARÂMETROS!$G$8:$G$907,J1070))</f>
        <v>0.0685195516559314</v>
      </c>
      <c r="E1070" s="22" t="n">
        <f aca="false">SUMIFS(SETORES!$D:$D,SETORES!$A:$A,A1070,SETORES!$F:$F,J1070)</f>
        <v>139221.437267108</v>
      </c>
      <c r="F1070" s="22" t="n">
        <f aca="false">IFERROR(D1070*E1070,0)</f>
        <v>9539.3904624366</v>
      </c>
      <c r="G1070" s="14" t="n">
        <f aca="false">SUMIFS(PARÂMETROS!$F$8:$F$907,PARÂMETROS!$A$8:$A$907,C1070,PARÂMETROS!$G$8:$G$907,J1070)</f>
        <v>0</v>
      </c>
      <c r="H1070" s="22" t="n">
        <f aca="false">IFERROR(F1070*G1070,0)</f>
        <v>0</v>
      </c>
      <c r="I1070" s="22" t="n">
        <f aca="false">F1070+H1070</f>
        <v>9539.3904624366</v>
      </c>
      <c r="J1070" s="16" t="s">
        <v>88</v>
      </c>
    </row>
    <row r="1071" customFormat="false" ht="14.25" hidden="false" customHeight="true" outlineLevel="0" collapsed="false">
      <c r="A1071" s="11" t="s">
        <v>51</v>
      </c>
      <c r="B1071" s="20" t="str">
        <f aca="false">INDEX(SETORES!$B:$B,MATCH(A1071,SETORES!$A:$A,0))</f>
        <v>Clientes</v>
      </c>
      <c r="C1071" s="11" t="s">
        <v>13</v>
      </c>
      <c r="D1071" s="9" t="n">
        <f aca="false">IF(B1071="Clientes",SUMIFS(PARÂMETROS!$D$8:$D$907,PARÂMETROS!$A$8:$A$907,C1071,PARÂMETROS!$G$8:$G$907,J1071),SUMIFS(PARÂMETROS!$E$8:$E$907,PARÂMETROS!$A$8:$A$907,C1071,PARÂMETROS!$G$8:$G$907,J1071))</f>
        <v>0.0745397372825481</v>
      </c>
      <c r="E1071" s="21" t="n">
        <f aca="false">SUMIFS(SETORES!$D:$D,SETORES!$A:$A,A1071,SETORES!$F:$F,J1071)</f>
        <v>139221.437267108</v>
      </c>
      <c r="F1071" s="21" t="n">
        <f aca="false">IFERROR(D1071*E1071,0)</f>
        <v>10377.5293579889</v>
      </c>
      <c r="G1071" s="9" t="n">
        <f aca="false">SUMIFS(PARÂMETROS!$F$8:$F$907,PARÂMETROS!$A$8:$A$907,C1071,PARÂMETROS!$G$8:$G$907,J1071)</f>
        <v>0</v>
      </c>
      <c r="H1071" s="21" t="n">
        <f aca="false">IFERROR(F1071*G1071,0)</f>
        <v>0</v>
      </c>
      <c r="I1071" s="21" t="n">
        <f aca="false">F1071+H1071</f>
        <v>10377.5293579889</v>
      </c>
      <c r="J1071" s="11" t="s">
        <v>88</v>
      </c>
    </row>
    <row r="1072" customFormat="false" ht="14.25" hidden="false" customHeight="true" outlineLevel="0" collapsed="false">
      <c r="A1072" s="16" t="s">
        <v>51</v>
      </c>
      <c r="B1072" s="16" t="str">
        <f aca="false">INDEX(SETORES!$B:$B,MATCH(A1072,SETORES!$A:$A,0))</f>
        <v>Clientes</v>
      </c>
      <c r="C1072" s="16" t="s">
        <v>14</v>
      </c>
      <c r="D1072" s="14" t="n">
        <f aca="false">IF(B1072="Clientes",SUMIFS(PARÂMETROS!$D$8:$D$907,PARÂMETROS!$A$8:$A$907,C1072,PARÂMETROS!$G$8:$G$907,J1072),SUMIFS(PARÂMETROS!$E$8:$E$907,PARÂMETROS!$A$8:$A$907,C1072,PARÂMETROS!$G$8:$G$907,J1072))</f>
        <v>0.018943044073642</v>
      </c>
      <c r="E1072" s="22" t="n">
        <f aca="false">SUMIFS(SETORES!$D:$D,SETORES!$A:$A,A1072,SETORES!$F:$F,J1072)</f>
        <v>139221.437267108</v>
      </c>
      <c r="F1072" s="22" t="n">
        <f aca="false">IFERROR(D1072*E1072,0)</f>
        <v>2637.27782214661</v>
      </c>
      <c r="G1072" s="14" t="n">
        <f aca="false">SUMIFS(PARÂMETROS!$F$8:$F$907,PARÂMETROS!$A$8:$A$907,C1072,PARÂMETROS!$G$8:$G$907,J1072)</f>
        <v>0</v>
      </c>
      <c r="H1072" s="22" t="n">
        <f aca="false">IFERROR(F1072*G1072,0)</f>
        <v>0</v>
      </c>
      <c r="I1072" s="22" t="n">
        <f aca="false">F1072+H1072</f>
        <v>2637.27782214661</v>
      </c>
      <c r="J1072" s="16" t="s">
        <v>88</v>
      </c>
    </row>
    <row r="1073" customFormat="false" ht="14.25" hidden="false" customHeight="true" outlineLevel="0" collapsed="false">
      <c r="A1073" s="11" t="s">
        <v>51</v>
      </c>
      <c r="B1073" s="20" t="str">
        <f aca="false">INDEX(SETORES!$B:$B,MATCH(A1073,SETORES!$A:$A,0))</f>
        <v>Clientes</v>
      </c>
      <c r="C1073" s="11" t="s">
        <v>15</v>
      </c>
      <c r="D1073" s="9" t="n">
        <f aca="false">IF(B1073="Clientes",SUMIFS(PARÂMETROS!$D$8:$D$907,PARÂMETROS!$A$8:$A$907,C1073,PARÂMETROS!$G$8:$G$907,J1073),SUMIFS(PARÂMETROS!$E$8:$E$907,PARÂMETROS!$A$8:$A$907,C1073,PARÂMETROS!$G$8:$G$907,J1073))</f>
        <v>0.0334787239438048</v>
      </c>
      <c r="E1073" s="21" t="n">
        <f aca="false">SUMIFS(SETORES!$D:$D,SETORES!$A:$A,A1073,SETORES!$F:$F,J1073)</f>
        <v>139221.437267108</v>
      </c>
      <c r="F1073" s="21" t="n">
        <f aca="false">IFERROR(D1073*E1073,0)</f>
        <v>4660.95606532524</v>
      </c>
      <c r="G1073" s="9" t="n">
        <f aca="false">SUMIFS(PARÂMETROS!$F$8:$F$907,PARÂMETROS!$A$8:$A$907,C1073,PARÂMETROS!$G$8:$G$907,J1073)</f>
        <v>0</v>
      </c>
      <c r="H1073" s="21" t="n">
        <f aca="false">IFERROR(F1073*G1073,0)</f>
        <v>0</v>
      </c>
      <c r="I1073" s="21" t="n">
        <f aca="false">F1073+H1073</f>
        <v>4660.95606532524</v>
      </c>
      <c r="J1073" s="11" t="s">
        <v>88</v>
      </c>
    </row>
    <row r="1074" customFormat="false" ht="14.25" hidden="false" customHeight="true" outlineLevel="0" collapsed="false">
      <c r="A1074" s="16" t="s">
        <v>51</v>
      </c>
      <c r="B1074" s="16" t="str">
        <f aca="false">INDEX(SETORES!$B:$B,MATCH(A1074,SETORES!$A:$A,0))</f>
        <v>Clientes</v>
      </c>
      <c r="C1074" s="16" t="s">
        <v>16</v>
      </c>
      <c r="D1074" s="14" t="n">
        <f aca="false">IF(B1074="Clientes",SUMIFS(PARÂMETROS!$D$8:$D$907,PARÂMETROS!$A$8:$A$907,C1074,PARÂMETROS!$G$8:$G$907,J1074),SUMIFS(PARÂMETROS!$E$8:$E$907,PARÂMETROS!$A$8:$A$907,C1074,PARÂMETROS!$G$8:$G$907,J1074))</f>
        <v>0.0242886848912106</v>
      </c>
      <c r="E1074" s="22" t="n">
        <f aca="false">SUMIFS(SETORES!$D:$D,SETORES!$A:$A,A1074,SETORES!$F:$F,J1074)</f>
        <v>139221.437267108</v>
      </c>
      <c r="F1074" s="22" t="n">
        <f aca="false">IFERROR(D1074*E1074,0)</f>
        <v>3381.50561988223</v>
      </c>
      <c r="G1074" s="14" t="n">
        <f aca="false">SUMIFS(PARÂMETROS!$F$8:$F$907,PARÂMETROS!$A$8:$A$907,C1074,PARÂMETROS!$G$8:$G$907,J1074)</f>
        <v>0</v>
      </c>
      <c r="H1074" s="22" t="n">
        <f aca="false">IFERROR(F1074*G1074,0)</f>
        <v>0</v>
      </c>
      <c r="I1074" s="22" t="n">
        <f aca="false">F1074+H1074</f>
        <v>3381.50561988223</v>
      </c>
      <c r="J1074" s="16" t="s">
        <v>88</v>
      </c>
    </row>
    <row r="1075" customFormat="false" ht="14.25" hidden="false" customHeight="true" outlineLevel="0" collapsed="false">
      <c r="A1075" s="11" t="s">
        <v>51</v>
      </c>
      <c r="B1075" s="20" t="str">
        <f aca="false">INDEX(SETORES!$B:$B,MATCH(A1075,SETORES!$A:$A,0))</f>
        <v>Clientes</v>
      </c>
      <c r="C1075" s="11" t="s">
        <v>17</v>
      </c>
      <c r="D1075" s="9" t="n">
        <f aca="false">IF(B1075="Clientes",SUMIFS(PARÂMETROS!$D$8:$D$907,PARÂMETROS!$A$8:$A$907,C1075,PARÂMETROS!$G$8:$G$907,J1075),SUMIFS(PARÂMETROS!$E$8:$E$907,PARÂMETROS!$A$8:$A$907,C1075,PARÂMETROS!$G$8:$G$907,J1075))</f>
        <v>0.0243241872495816</v>
      </c>
      <c r="E1075" s="21" t="n">
        <f aca="false">SUMIFS(SETORES!$D:$D,SETORES!$A:$A,A1075,SETORES!$F:$F,J1075)</f>
        <v>139221.437267108</v>
      </c>
      <c r="F1075" s="21" t="n">
        <f aca="false">IFERROR(D1075*E1075,0)</f>
        <v>3386.448309241</v>
      </c>
      <c r="G1075" s="9" t="n">
        <f aca="false">SUMIFS(PARÂMETROS!$F$8:$F$907,PARÂMETROS!$A$8:$A$907,C1075,PARÂMETROS!$G$8:$G$907,J1075)</f>
        <v>0</v>
      </c>
      <c r="H1075" s="21" t="n">
        <f aca="false">IFERROR(F1075*G1075,0)</f>
        <v>0</v>
      </c>
      <c r="I1075" s="21" t="n">
        <f aca="false">F1075+H1075</f>
        <v>3386.448309241</v>
      </c>
      <c r="J1075" s="11" t="s">
        <v>88</v>
      </c>
    </row>
    <row r="1076" customFormat="false" ht="14.25" hidden="false" customHeight="true" outlineLevel="0" collapsed="false">
      <c r="A1076" s="16" t="s">
        <v>51</v>
      </c>
      <c r="B1076" s="16" t="str">
        <f aca="false">INDEX(SETORES!$B:$B,MATCH(A1076,SETORES!$A:$A,0))</f>
        <v>Clientes</v>
      </c>
      <c r="C1076" s="16" t="s">
        <v>18</v>
      </c>
      <c r="D1076" s="14" t="n">
        <f aca="false">IF(B1076="Clientes",SUMIFS(PARÂMETROS!$D$8:$D$907,PARÂMETROS!$A$8:$A$907,C1076,PARÂMETROS!$G$8:$G$907,J1076),SUMIFS(PARÂMETROS!$E$8:$E$907,PARÂMETROS!$A$8:$A$907,C1076,PARÂMETROS!$G$8:$G$907,J1076))</f>
        <v>0.722194045747325</v>
      </c>
      <c r="E1076" s="22" t="n">
        <f aca="false">SUMIFS(SETORES!$D:$D,SETORES!$A:$A,A1076,SETORES!$F:$F,J1076)</f>
        <v>139221.437267108</v>
      </c>
      <c r="F1076" s="22" t="n">
        <f aca="false">IFERROR(D1076*E1076,0)</f>
        <v>100544.89303469</v>
      </c>
      <c r="G1076" s="14" t="n">
        <f aca="false">SUMIFS(PARÂMETROS!$F$8:$F$907,PARÂMETROS!$A$8:$A$907,C1076,PARÂMETROS!$G$8:$G$907,J1076)</f>
        <v>0</v>
      </c>
      <c r="H1076" s="22" t="n">
        <f aca="false">IFERROR(F1076*G1076,0)</f>
        <v>0</v>
      </c>
      <c r="I1076" s="22" t="n">
        <f aca="false">F1076+H1076</f>
        <v>100544.89303469</v>
      </c>
      <c r="J1076" s="16" t="s">
        <v>88</v>
      </c>
    </row>
    <row r="1077" customFormat="false" ht="14.25" hidden="false" customHeight="true" outlineLevel="0" collapsed="false">
      <c r="A1077" s="11" t="s">
        <v>52</v>
      </c>
      <c r="B1077" s="20" t="str">
        <f aca="false">INDEX(SETORES!$B:$B,MATCH(A1077,SETORES!$A:$A,0))</f>
        <v>Clientes</v>
      </c>
      <c r="C1077" s="11" t="s">
        <v>10</v>
      </c>
      <c r="D1077" s="9" t="n">
        <f aca="false">IF(B1077="Clientes",SUMIFS(PARÂMETROS!$D$8:$D$907,PARÂMETROS!$A$8:$A$907,C1077,PARÂMETROS!$G$8:$G$907,J1077),SUMIFS(PARÂMETROS!$E$8:$E$907,PARÂMETROS!$A$8:$A$907,C1077,PARÂMETROS!$G$8:$G$907,J1077))</f>
        <v>0.0337120251559568</v>
      </c>
      <c r="E1077" s="21" t="n">
        <f aca="false">SUMIFS(SETORES!$D:$D,SETORES!$A:$A,A1077,SETORES!$F:$F,J1077)</f>
        <v>39035.1861200783</v>
      </c>
      <c r="F1077" s="21" t="n">
        <f aca="false">IFERROR(D1077*E1077,0)</f>
        <v>1315.95517644753</v>
      </c>
      <c r="G1077" s="9" t="n">
        <f aca="false">SUMIFS(PARÂMETROS!$F$8:$F$907,PARÂMETROS!$A$8:$A$907,C1077,PARÂMETROS!$G$8:$G$907,J1077)</f>
        <v>0</v>
      </c>
      <c r="H1077" s="21" t="n">
        <f aca="false">IFERROR(F1077*G1077,0)</f>
        <v>0</v>
      </c>
      <c r="I1077" s="21" t="n">
        <f aca="false">F1077+H1077</f>
        <v>1315.95517644753</v>
      </c>
      <c r="J1077" s="11" t="s">
        <v>88</v>
      </c>
    </row>
    <row r="1078" customFormat="false" ht="14.25" hidden="false" customHeight="true" outlineLevel="0" collapsed="false">
      <c r="A1078" s="16" t="s">
        <v>52</v>
      </c>
      <c r="B1078" s="16" t="str">
        <f aca="false">INDEX(SETORES!$B:$B,MATCH(A1078,SETORES!$A:$A,0))</f>
        <v>Clientes</v>
      </c>
      <c r="C1078" s="16" t="s">
        <v>12</v>
      </c>
      <c r="D1078" s="14" t="n">
        <f aca="false">IF(B1078="Clientes",SUMIFS(PARÂMETROS!$D$8:$D$907,PARÂMETROS!$A$8:$A$907,C1078,PARÂMETROS!$G$8:$G$907,J1078),SUMIFS(PARÂMETROS!$E$8:$E$907,PARÂMETROS!$A$8:$A$907,C1078,PARÂMETROS!$G$8:$G$907,J1078))</f>
        <v>0.0685195516559314</v>
      </c>
      <c r="E1078" s="22" t="n">
        <f aca="false">SUMIFS(SETORES!$D:$D,SETORES!$A:$A,A1078,SETORES!$F:$F,J1078)</f>
        <v>39035.1861200783</v>
      </c>
      <c r="F1078" s="22" t="n">
        <f aca="false">IFERROR(D1078*E1078,0)</f>
        <v>2674.6734517536</v>
      </c>
      <c r="G1078" s="14" t="n">
        <f aca="false">SUMIFS(PARÂMETROS!$F$8:$F$907,PARÂMETROS!$A$8:$A$907,C1078,PARÂMETROS!$G$8:$G$907,J1078)</f>
        <v>0</v>
      </c>
      <c r="H1078" s="22" t="n">
        <f aca="false">IFERROR(F1078*G1078,0)</f>
        <v>0</v>
      </c>
      <c r="I1078" s="22" t="n">
        <f aca="false">F1078+H1078</f>
        <v>2674.6734517536</v>
      </c>
      <c r="J1078" s="16" t="s">
        <v>88</v>
      </c>
    </row>
    <row r="1079" customFormat="false" ht="14.25" hidden="false" customHeight="true" outlineLevel="0" collapsed="false">
      <c r="A1079" s="11" t="s">
        <v>52</v>
      </c>
      <c r="B1079" s="20" t="str">
        <f aca="false">INDEX(SETORES!$B:$B,MATCH(A1079,SETORES!$A:$A,0))</f>
        <v>Clientes</v>
      </c>
      <c r="C1079" s="11" t="s">
        <v>13</v>
      </c>
      <c r="D1079" s="9" t="n">
        <f aca="false">IF(B1079="Clientes",SUMIFS(PARÂMETROS!$D$8:$D$907,PARÂMETROS!$A$8:$A$907,C1079,PARÂMETROS!$G$8:$G$907,J1079),SUMIFS(PARÂMETROS!$E$8:$E$907,PARÂMETROS!$A$8:$A$907,C1079,PARÂMETROS!$G$8:$G$907,J1079))</f>
        <v>0.0745397372825481</v>
      </c>
      <c r="E1079" s="21" t="n">
        <f aca="false">SUMIFS(SETORES!$D:$D,SETORES!$A:$A,A1079,SETORES!$F:$F,J1079)</f>
        <v>39035.1861200783</v>
      </c>
      <c r="F1079" s="21" t="n">
        <f aca="false">IFERROR(D1079*E1079,0)</f>
        <v>2909.672518166</v>
      </c>
      <c r="G1079" s="9" t="n">
        <f aca="false">SUMIFS(PARÂMETROS!$F$8:$F$907,PARÂMETROS!$A$8:$A$907,C1079,PARÂMETROS!$G$8:$G$907,J1079)</f>
        <v>0</v>
      </c>
      <c r="H1079" s="21" t="n">
        <f aca="false">IFERROR(F1079*G1079,0)</f>
        <v>0</v>
      </c>
      <c r="I1079" s="21" t="n">
        <f aca="false">F1079+H1079</f>
        <v>2909.672518166</v>
      </c>
      <c r="J1079" s="11" t="s">
        <v>88</v>
      </c>
    </row>
    <row r="1080" customFormat="false" ht="14.25" hidden="false" customHeight="true" outlineLevel="0" collapsed="false">
      <c r="A1080" s="16" t="s">
        <v>52</v>
      </c>
      <c r="B1080" s="16" t="str">
        <f aca="false">INDEX(SETORES!$B:$B,MATCH(A1080,SETORES!$A:$A,0))</f>
        <v>Clientes</v>
      </c>
      <c r="C1080" s="16" t="s">
        <v>14</v>
      </c>
      <c r="D1080" s="14" t="n">
        <f aca="false">IF(B1080="Clientes",SUMIFS(PARÂMETROS!$D$8:$D$907,PARÂMETROS!$A$8:$A$907,C1080,PARÂMETROS!$G$8:$G$907,J1080),SUMIFS(PARÂMETROS!$E$8:$E$907,PARÂMETROS!$A$8:$A$907,C1080,PARÂMETROS!$G$8:$G$907,J1080))</f>
        <v>0.018943044073642</v>
      </c>
      <c r="E1080" s="22" t="n">
        <f aca="false">SUMIFS(SETORES!$D:$D,SETORES!$A:$A,A1080,SETORES!$F:$F,J1080)</f>
        <v>39035.1861200783</v>
      </c>
      <c r="F1080" s="22" t="n">
        <f aca="false">IFERROR(D1080*E1080,0)</f>
        <v>739.445251095463</v>
      </c>
      <c r="G1080" s="14" t="n">
        <f aca="false">SUMIFS(PARÂMETROS!$F$8:$F$907,PARÂMETROS!$A$8:$A$907,C1080,PARÂMETROS!$G$8:$G$907,J1080)</f>
        <v>0</v>
      </c>
      <c r="H1080" s="22" t="n">
        <f aca="false">IFERROR(F1080*G1080,0)</f>
        <v>0</v>
      </c>
      <c r="I1080" s="22" t="n">
        <f aca="false">F1080+H1080</f>
        <v>739.445251095463</v>
      </c>
      <c r="J1080" s="16" t="s">
        <v>88</v>
      </c>
    </row>
    <row r="1081" customFormat="false" ht="14.25" hidden="false" customHeight="true" outlineLevel="0" collapsed="false">
      <c r="A1081" s="11" t="s">
        <v>52</v>
      </c>
      <c r="B1081" s="20" t="str">
        <f aca="false">INDEX(SETORES!$B:$B,MATCH(A1081,SETORES!$A:$A,0))</f>
        <v>Clientes</v>
      </c>
      <c r="C1081" s="11" t="s">
        <v>15</v>
      </c>
      <c r="D1081" s="9" t="n">
        <f aca="false">IF(B1081="Clientes",SUMIFS(PARÂMETROS!$D$8:$D$907,PARÂMETROS!$A$8:$A$907,C1081,PARÂMETROS!$G$8:$G$907,J1081),SUMIFS(PARÂMETROS!$E$8:$E$907,PARÂMETROS!$A$8:$A$907,C1081,PARÂMETROS!$G$8:$G$907,J1081))</f>
        <v>0.0334787239438048</v>
      </c>
      <c r="E1081" s="21" t="n">
        <f aca="false">SUMIFS(SETORES!$D:$D,SETORES!$A:$A,A1081,SETORES!$F:$F,J1081)</f>
        <v>39035.1861200783</v>
      </c>
      <c r="F1081" s="21" t="n">
        <f aca="false">IFERROR(D1081*E1081,0)</f>
        <v>1306.84822020914</v>
      </c>
      <c r="G1081" s="9" t="n">
        <f aca="false">SUMIFS(PARÂMETROS!$F$8:$F$907,PARÂMETROS!$A$8:$A$907,C1081,PARÂMETROS!$G$8:$G$907,J1081)</f>
        <v>0</v>
      </c>
      <c r="H1081" s="21" t="n">
        <f aca="false">IFERROR(F1081*G1081,0)</f>
        <v>0</v>
      </c>
      <c r="I1081" s="21" t="n">
        <f aca="false">F1081+H1081</f>
        <v>1306.84822020914</v>
      </c>
      <c r="J1081" s="11" t="s">
        <v>88</v>
      </c>
    </row>
    <row r="1082" customFormat="false" ht="14.25" hidden="false" customHeight="true" outlineLevel="0" collapsed="false">
      <c r="A1082" s="16" t="s">
        <v>52</v>
      </c>
      <c r="B1082" s="16" t="str">
        <f aca="false">INDEX(SETORES!$B:$B,MATCH(A1082,SETORES!$A:$A,0))</f>
        <v>Clientes</v>
      </c>
      <c r="C1082" s="16" t="s">
        <v>16</v>
      </c>
      <c r="D1082" s="14" t="n">
        <f aca="false">IF(B1082="Clientes",SUMIFS(PARÂMETROS!$D$8:$D$907,PARÂMETROS!$A$8:$A$907,C1082,PARÂMETROS!$G$8:$G$907,J1082),SUMIFS(PARÂMETROS!$E$8:$E$907,PARÂMETROS!$A$8:$A$907,C1082,PARÂMETROS!$G$8:$G$907,J1082))</f>
        <v>0.0242886848912106</v>
      </c>
      <c r="E1082" s="22" t="n">
        <f aca="false">SUMIFS(SETORES!$D:$D,SETORES!$A:$A,A1082,SETORES!$F:$F,J1082)</f>
        <v>39035.1861200783</v>
      </c>
      <c r="F1082" s="22" t="n">
        <f aca="false">IFERROR(D1082*E1082,0)</f>
        <v>948.11333534034</v>
      </c>
      <c r="G1082" s="14" t="n">
        <f aca="false">SUMIFS(PARÂMETROS!$F$8:$F$907,PARÂMETROS!$A$8:$A$907,C1082,PARÂMETROS!$G$8:$G$907,J1082)</f>
        <v>0</v>
      </c>
      <c r="H1082" s="22" t="n">
        <f aca="false">IFERROR(F1082*G1082,0)</f>
        <v>0</v>
      </c>
      <c r="I1082" s="22" t="n">
        <f aca="false">F1082+H1082</f>
        <v>948.11333534034</v>
      </c>
      <c r="J1082" s="16" t="s">
        <v>88</v>
      </c>
    </row>
    <row r="1083" customFormat="false" ht="14.25" hidden="false" customHeight="true" outlineLevel="0" collapsed="false">
      <c r="A1083" s="11" t="s">
        <v>52</v>
      </c>
      <c r="B1083" s="20" t="str">
        <f aca="false">INDEX(SETORES!$B:$B,MATCH(A1083,SETORES!$A:$A,0))</f>
        <v>Clientes</v>
      </c>
      <c r="C1083" s="11" t="s">
        <v>17</v>
      </c>
      <c r="D1083" s="9" t="n">
        <f aca="false">IF(B1083="Clientes",SUMIFS(PARÂMETROS!$D$8:$D$907,PARÂMETROS!$A$8:$A$907,C1083,PARÂMETROS!$G$8:$G$907,J1083),SUMIFS(PARÂMETROS!$E$8:$E$907,PARÂMETROS!$A$8:$A$907,C1083,PARÂMETROS!$G$8:$G$907,J1083))</f>
        <v>0.0243241872495816</v>
      </c>
      <c r="E1083" s="21" t="n">
        <f aca="false">SUMIFS(SETORES!$D:$D,SETORES!$A:$A,A1083,SETORES!$F:$F,J1083)</f>
        <v>39035.1861200783</v>
      </c>
      <c r="F1083" s="21" t="n">
        <f aca="false">IFERROR(D1083*E1083,0)</f>
        <v>949.499176507052</v>
      </c>
      <c r="G1083" s="9" t="n">
        <f aca="false">SUMIFS(PARÂMETROS!$F$8:$F$907,PARÂMETROS!$A$8:$A$907,C1083,PARÂMETROS!$G$8:$G$907,J1083)</f>
        <v>0</v>
      </c>
      <c r="H1083" s="21" t="n">
        <f aca="false">IFERROR(F1083*G1083,0)</f>
        <v>0</v>
      </c>
      <c r="I1083" s="21" t="n">
        <f aca="false">F1083+H1083</f>
        <v>949.499176507052</v>
      </c>
      <c r="J1083" s="11" t="s">
        <v>88</v>
      </c>
    </row>
    <row r="1084" customFormat="false" ht="14.25" hidden="false" customHeight="true" outlineLevel="0" collapsed="false">
      <c r="A1084" s="16" t="s">
        <v>52</v>
      </c>
      <c r="B1084" s="16" t="str">
        <f aca="false">INDEX(SETORES!$B:$B,MATCH(A1084,SETORES!$A:$A,0))</f>
        <v>Clientes</v>
      </c>
      <c r="C1084" s="16" t="s">
        <v>18</v>
      </c>
      <c r="D1084" s="14" t="n">
        <f aca="false">IF(B1084="Clientes",SUMIFS(PARÂMETROS!$D$8:$D$907,PARÂMETROS!$A$8:$A$907,C1084,PARÂMETROS!$G$8:$G$907,J1084),SUMIFS(PARÂMETROS!$E$8:$E$907,PARÂMETROS!$A$8:$A$907,C1084,PARÂMETROS!$G$8:$G$907,J1084))</f>
        <v>0.722194045747325</v>
      </c>
      <c r="E1084" s="22" t="n">
        <f aca="false">SUMIFS(SETORES!$D:$D,SETORES!$A:$A,A1084,SETORES!$F:$F,J1084)</f>
        <v>39035.1861200783</v>
      </c>
      <c r="F1084" s="22" t="n">
        <f aca="false">IFERROR(D1084*E1084,0)</f>
        <v>28190.9789905591</v>
      </c>
      <c r="G1084" s="14" t="n">
        <f aca="false">SUMIFS(PARÂMETROS!$F$8:$F$907,PARÂMETROS!$A$8:$A$907,C1084,PARÂMETROS!$G$8:$G$907,J1084)</f>
        <v>0</v>
      </c>
      <c r="H1084" s="22" t="n">
        <f aca="false">IFERROR(F1084*G1084,0)</f>
        <v>0</v>
      </c>
      <c r="I1084" s="22" t="n">
        <f aca="false">F1084+H1084</f>
        <v>28190.9789905591</v>
      </c>
      <c r="J1084" s="16" t="s">
        <v>88</v>
      </c>
    </row>
    <row r="1085" customFormat="false" ht="14.25" hidden="false" customHeight="true" outlineLevel="0" collapsed="false">
      <c r="A1085" s="11" t="s">
        <v>53</v>
      </c>
      <c r="B1085" s="20" t="str">
        <f aca="false">INDEX(SETORES!$B:$B,MATCH(A1085,SETORES!$A:$A,0))</f>
        <v>Clientes</v>
      </c>
      <c r="C1085" s="11" t="s">
        <v>10</v>
      </c>
      <c r="D1085" s="9" t="n">
        <f aca="false">IF(B1085="Clientes",SUMIFS(PARÂMETROS!$D$8:$D$907,PARÂMETROS!$A$8:$A$907,C1085,PARÂMETROS!$G$8:$G$907,J1085),SUMIFS(PARÂMETROS!$E$8:$E$907,PARÂMETROS!$A$8:$A$907,C1085,PARÂMETROS!$G$8:$G$907,J1085))</f>
        <v>0.0337120251559568</v>
      </c>
      <c r="E1085" s="21" t="n">
        <f aca="false">SUMIFS(SETORES!$D:$D,SETORES!$A:$A,A1085,SETORES!$F:$F,J1085)</f>
        <v>134983.410819323</v>
      </c>
      <c r="F1085" s="21" t="n">
        <f aca="false">IFERROR(D1085*E1085,0)</f>
        <v>4550.56414117786</v>
      </c>
      <c r="G1085" s="9" t="n">
        <f aca="false">SUMIFS(PARÂMETROS!$F$8:$F$907,PARÂMETROS!$A$8:$A$907,C1085,PARÂMETROS!$G$8:$G$907,J1085)</f>
        <v>0</v>
      </c>
      <c r="H1085" s="21" t="n">
        <f aca="false">IFERROR(F1085*G1085,0)</f>
        <v>0</v>
      </c>
      <c r="I1085" s="21" t="n">
        <f aca="false">F1085+H1085</f>
        <v>4550.56414117786</v>
      </c>
      <c r="J1085" s="11" t="s">
        <v>88</v>
      </c>
    </row>
    <row r="1086" customFormat="false" ht="14.25" hidden="false" customHeight="true" outlineLevel="0" collapsed="false">
      <c r="A1086" s="16" t="s">
        <v>53</v>
      </c>
      <c r="B1086" s="16" t="str">
        <f aca="false">INDEX(SETORES!$B:$B,MATCH(A1086,SETORES!$A:$A,0))</f>
        <v>Clientes</v>
      </c>
      <c r="C1086" s="16" t="s">
        <v>12</v>
      </c>
      <c r="D1086" s="14" t="n">
        <f aca="false">IF(B1086="Clientes",SUMIFS(PARÂMETROS!$D$8:$D$907,PARÂMETROS!$A$8:$A$907,C1086,PARÂMETROS!$G$8:$G$907,J1086),SUMIFS(PARÂMETROS!$E$8:$E$907,PARÂMETROS!$A$8:$A$907,C1086,PARÂMETROS!$G$8:$G$907,J1086))</f>
        <v>0.0685195516559314</v>
      </c>
      <c r="E1086" s="22" t="n">
        <f aca="false">SUMIFS(SETORES!$D:$D,SETORES!$A:$A,A1086,SETORES!$F:$F,J1086)</f>
        <v>134983.410819323</v>
      </c>
      <c r="F1086" s="22" t="n">
        <f aca="false">IFERROR(D1086*E1086,0)</f>
        <v>9249.00279032841</v>
      </c>
      <c r="G1086" s="14" t="n">
        <f aca="false">SUMIFS(PARÂMETROS!$F$8:$F$907,PARÂMETROS!$A$8:$A$907,C1086,PARÂMETROS!$G$8:$G$907,J1086)</f>
        <v>0</v>
      </c>
      <c r="H1086" s="22" t="n">
        <f aca="false">IFERROR(F1086*G1086,0)</f>
        <v>0</v>
      </c>
      <c r="I1086" s="22" t="n">
        <f aca="false">F1086+H1086</f>
        <v>9249.00279032841</v>
      </c>
      <c r="J1086" s="16" t="s">
        <v>88</v>
      </c>
    </row>
    <row r="1087" customFormat="false" ht="14.25" hidden="false" customHeight="true" outlineLevel="0" collapsed="false">
      <c r="A1087" s="11" t="s">
        <v>53</v>
      </c>
      <c r="B1087" s="20" t="str">
        <f aca="false">INDEX(SETORES!$B:$B,MATCH(A1087,SETORES!$A:$A,0))</f>
        <v>Clientes</v>
      </c>
      <c r="C1087" s="11" t="s">
        <v>13</v>
      </c>
      <c r="D1087" s="9" t="n">
        <f aca="false">IF(B1087="Clientes",SUMIFS(PARÂMETROS!$D$8:$D$907,PARÂMETROS!$A$8:$A$907,C1087,PARÂMETROS!$G$8:$G$907,J1087),SUMIFS(PARÂMETROS!$E$8:$E$907,PARÂMETROS!$A$8:$A$907,C1087,PARÂMETROS!$G$8:$G$907,J1087))</f>
        <v>0.0745397372825481</v>
      </c>
      <c r="E1087" s="21" t="n">
        <f aca="false">SUMIFS(SETORES!$D:$D,SETORES!$A:$A,A1087,SETORES!$F:$F,J1087)</f>
        <v>134983.410819323</v>
      </c>
      <c r="F1087" s="21" t="n">
        <f aca="false">IFERROR(D1087*E1087,0)</f>
        <v>10061.6279799746</v>
      </c>
      <c r="G1087" s="9" t="n">
        <f aca="false">SUMIFS(PARÂMETROS!$F$8:$F$907,PARÂMETROS!$A$8:$A$907,C1087,PARÂMETROS!$G$8:$G$907,J1087)</f>
        <v>0</v>
      </c>
      <c r="H1087" s="21" t="n">
        <f aca="false">IFERROR(F1087*G1087,0)</f>
        <v>0</v>
      </c>
      <c r="I1087" s="21" t="n">
        <f aca="false">F1087+H1087</f>
        <v>10061.6279799746</v>
      </c>
      <c r="J1087" s="11" t="s">
        <v>88</v>
      </c>
    </row>
    <row r="1088" customFormat="false" ht="14.25" hidden="false" customHeight="true" outlineLevel="0" collapsed="false">
      <c r="A1088" s="16" t="s">
        <v>53</v>
      </c>
      <c r="B1088" s="16" t="str">
        <f aca="false">INDEX(SETORES!$B:$B,MATCH(A1088,SETORES!$A:$A,0))</f>
        <v>Clientes</v>
      </c>
      <c r="C1088" s="16" t="s">
        <v>14</v>
      </c>
      <c r="D1088" s="14" t="n">
        <f aca="false">IF(B1088="Clientes",SUMIFS(PARÂMETROS!$D$8:$D$907,PARÂMETROS!$A$8:$A$907,C1088,PARÂMETROS!$G$8:$G$907,J1088),SUMIFS(PARÂMETROS!$E$8:$E$907,PARÂMETROS!$A$8:$A$907,C1088,PARÂMETROS!$G$8:$G$907,J1088))</f>
        <v>0.018943044073642</v>
      </c>
      <c r="E1088" s="22" t="n">
        <f aca="false">SUMIFS(SETORES!$D:$D,SETORES!$A:$A,A1088,SETORES!$F:$F,J1088)</f>
        <v>134983.410819323</v>
      </c>
      <c r="F1088" s="22" t="n">
        <f aca="false">IFERROR(D1088*E1088,0)</f>
        <v>2556.99670036096</v>
      </c>
      <c r="G1088" s="14" t="n">
        <f aca="false">SUMIFS(PARÂMETROS!$F$8:$F$907,PARÂMETROS!$A$8:$A$907,C1088,PARÂMETROS!$G$8:$G$907,J1088)</f>
        <v>0</v>
      </c>
      <c r="H1088" s="22" t="n">
        <f aca="false">IFERROR(F1088*G1088,0)</f>
        <v>0</v>
      </c>
      <c r="I1088" s="22" t="n">
        <f aca="false">F1088+H1088</f>
        <v>2556.99670036096</v>
      </c>
      <c r="J1088" s="16" t="s">
        <v>88</v>
      </c>
    </row>
    <row r="1089" customFormat="false" ht="14.25" hidden="false" customHeight="true" outlineLevel="0" collapsed="false">
      <c r="A1089" s="11" t="s">
        <v>53</v>
      </c>
      <c r="B1089" s="20" t="str">
        <f aca="false">INDEX(SETORES!$B:$B,MATCH(A1089,SETORES!$A:$A,0))</f>
        <v>Clientes</v>
      </c>
      <c r="C1089" s="11" t="s">
        <v>15</v>
      </c>
      <c r="D1089" s="9" t="n">
        <f aca="false">IF(B1089="Clientes",SUMIFS(PARÂMETROS!$D$8:$D$907,PARÂMETROS!$A$8:$A$907,C1089,PARÂMETROS!$G$8:$G$907,J1089),SUMIFS(PARÂMETROS!$E$8:$E$907,PARÂMETROS!$A$8:$A$907,C1089,PARÂMETROS!$G$8:$G$907,J1089))</f>
        <v>0.0334787239438048</v>
      </c>
      <c r="E1089" s="21" t="n">
        <f aca="false">SUMIFS(SETORES!$D:$D,SETORES!$A:$A,A1089,SETORES!$F:$F,J1089)</f>
        <v>134983.410819323</v>
      </c>
      <c r="F1089" s="21" t="n">
        <f aca="false">IFERROR(D1089*E1089,0)</f>
        <v>4519.07234781331</v>
      </c>
      <c r="G1089" s="9" t="n">
        <f aca="false">SUMIFS(PARÂMETROS!$F$8:$F$907,PARÂMETROS!$A$8:$A$907,C1089,PARÂMETROS!$G$8:$G$907,J1089)</f>
        <v>0</v>
      </c>
      <c r="H1089" s="21" t="n">
        <f aca="false">IFERROR(F1089*G1089,0)</f>
        <v>0</v>
      </c>
      <c r="I1089" s="21" t="n">
        <f aca="false">F1089+H1089</f>
        <v>4519.07234781331</v>
      </c>
      <c r="J1089" s="11" t="s">
        <v>88</v>
      </c>
    </row>
    <row r="1090" customFormat="false" ht="14.25" hidden="false" customHeight="true" outlineLevel="0" collapsed="false">
      <c r="A1090" s="16" t="s">
        <v>53</v>
      </c>
      <c r="B1090" s="16" t="str">
        <f aca="false">INDEX(SETORES!$B:$B,MATCH(A1090,SETORES!$A:$A,0))</f>
        <v>Clientes</v>
      </c>
      <c r="C1090" s="16" t="s">
        <v>16</v>
      </c>
      <c r="D1090" s="14" t="n">
        <f aca="false">IF(B1090="Clientes",SUMIFS(PARÂMETROS!$D$8:$D$907,PARÂMETROS!$A$8:$A$907,C1090,PARÂMETROS!$G$8:$G$907,J1090),SUMIFS(PARÂMETROS!$E$8:$E$907,PARÂMETROS!$A$8:$A$907,C1090,PARÂMETROS!$G$8:$G$907,J1090))</f>
        <v>0.0242886848912106</v>
      </c>
      <c r="E1090" s="22" t="n">
        <f aca="false">SUMIFS(SETORES!$D:$D,SETORES!$A:$A,A1090,SETORES!$F:$F,J1090)</f>
        <v>134983.410819323</v>
      </c>
      <c r="F1090" s="22" t="n">
        <f aca="false">IFERROR(D1090*E1090,0)</f>
        <v>3278.56953093136</v>
      </c>
      <c r="G1090" s="14" t="n">
        <f aca="false">SUMIFS(PARÂMETROS!$F$8:$F$907,PARÂMETROS!$A$8:$A$907,C1090,PARÂMETROS!$G$8:$G$907,J1090)</f>
        <v>0</v>
      </c>
      <c r="H1090" s="22" t="n">
        <f aca="false">IFERROR(F1090*G1090,0)</f>
        <v>0</v>
      </c>
      <c r="I1090" s="22" t="n">
        <f aca="false">F1090+H1090</f>
        <v>3278.56953093136</v>
      </c>
      <c r="J1090" s="16" t="s">
        <v>88</v>
      </c>
    </row>
    <row r="1091" customFormat="false" ht="14.25" hidden="false" customHeight="true" outlineLevel="0" collapsed="false">
      <c r="A1091" s="11" t="s">
        <v>53</v>
      </c>
      <c r="B1091" s="20" t="str">
        <f aca="false">INDEX(SETORES!$B:$B,MATCH(A1091,SETORES!$A:$A,0))</f>
        <v>Clientes</v>
      </c>
      <c r="C1091" s="11" t="s">
        <v>17</v>
      </c>
      <c r="D1091" s="9" t="n">
        <f aca="false">IF(B1091="Clientes",SUMIFS(PARÂMETROS!$D$8:$D$907,PARÂMETROS!$A$8:$A$907,C1091,PARÂMETROS!$G$8:$G$907,J1091),SUMIFS(PARÂMETROS!$E$8:$E$907,PARÂMETROS!$A$8:$A$907,C1091,PARÂMETROS!$G$8:$G$907,J1091))</f>
        <v>0.0243241872495816</v>
      </c>
      <c r="E1091" s="21" t="n">
        <f aca="false">SUMIFS(SETORES!$D:$D,SETORES!$A:$A,A1091,SETORES!$F:$F,J1091)</f>
        <v>134983.410819323</v>
      </c>
      <c r="F1091" s="21" t="n">
        <f aca="false">IFERROR(D1091*E1091,0)</f>
        <v>3283.36176035641</v>
      </c>
      <c r="G1091" s="9" t="n">
        <f aca="false">SUMIFS(PARÂMETROS!$F$8:$F$907,PARÂMETROS!$A$8:$A$907,C1091,PARÂMETROS!$G$8:$G$907,J1091)</f>
        <v>0</v>
      </c>
      <c r="H1091" s="21" t="n">
        <f aca="false">IFERROR(F1091*G1091,0)</f>
        <v>0</v>
      </c>
      <c r="I1091" s="21" t="n">
        <f aca="false">F1091+H1091</f>
        <v>3283.36176035641</v>
      </c>
      <c r="J1091" s="11" t="s">
        <v>88</v>
      </c>
    </row>
    <row r="1092" customFormat="false" ht="14.25" hidden="false" customHeight="true" outlineLevel="0" collapsed="false">
      <c r="A1092" s="16" t="s">
        <v>53</v>
      </c>
      <c r="B1092" s="16" t="str">
        <f aca="false">INDEX(SETORES!$B:$B,MATCH(A1092,SETORES!$A:$A,0))</f>
        <v>Clientes</v>
      </c>
      <c r="C1092" s="16" t="s">
        <v>18</v>
      </c>
      <c r="D1092" s="14" t="n">
        <f aca="false">IF(B1092="Clientes",SUMIFS(PARÂMETROS!$D$8:$D$907,PARÂMETROS!$A$8:$A$907,C1092,PARÂMETROS!$G$8:$G$907,J1092),SUMIFS(PARÂMETROS!$E$8:$E$907,PARÂMETROS!$A$8:$A$907,C1092,PARÂMETROS!$G$8:$G$907,J1092))</f>
        <v>0.722194045747325</v>
      </c>
      <c r="E1092" s="22" t="n">
        <f aca="false">SUMIFS(SETORES!$D:$D,SETORES!$A:$A,A1092,SETORES!$F:$F,J1092)</f>
        <v>134983.410819323</v>
      </c>
      <c r="F1092" s="22" t="n">
        <f aca="false">IFERROR(D1092*E1092,0)</f>
        <v>97484.21556838</v>
      </c>
      <c r="G1092" s="14" t="n">
        <f aca="false">SUMIFS(PARÂMETROS!$F$8:$F$907,PARÂMETROS!$A$8:$A$907,C1092,PARÂMETROS!$G$8:$G$907,J1092)</f>
        <v>0</v>
      </c>
      <c r="H1092" s="22" t="n">
        <f aca="false">IFERROR(F1092*G1092,0)</f>
        <v>0</v>
      </c>
      <c r="I1092" s="22" t="n">
        <f aca="false">F1092+H1092</f>
        <v>97484.21556838</v>
      </c>
      <c r="J1092" s="16" t="s">
        <v>88</v>
      </c>
    </row>
    <row r="1093" customFormat="false" ht="14.25" hidden="false" customHeight="true" outlineLevel="0" collapsed="false">
      <c r="A1093" s="11" t="s">
        <v>54</v>
      </c>
      <c r="B1093" s="20" t="str">
        <f aca="false">INDEX(SETORES!$B:$B,MATCH(A1093,SETORES!$A:$A,0))</f>
        <v>Clientes</v>
      </c>
      <c r="C1093" s="11" t="s">
        <v>10</v>
      </c>
      <c r="D1093" s="9" t="n">
        <f aca="false">IF(B1093="Clientes",SUMIFS(PARÂMETROS!$D$8:$D$907,PARÂMETROS!$A$8:$A$907,C1093,PARÂMETROS!$G$8:$G$907,J1093),SUMIFS(PARÂMETROS!$E$8:$E$907,PARÂMETROS!$A$8:$A$907,C1093,PARÂMETROS!$G$8:$G$907,J1093))</f>
        <v>0.0337120251559568</v>
      </c>
      <c r="E1093" s="21" t="n">
        <f aca="false">SUMIFS(SETORES!$D:$D,SETORES!$A:$A,A1093,SETORES!$F:$F,J1093)</f>
        <v>205129.686665041</v>
      </c>
      <c r="F1093" s="21" t="n">
        <f aca="false">IFERROR(D1093*E1093,0)</f>
        <v>6915.33715708538</v>
      </c>
      <c r="G1093" s="9" t="n">
        <f aca="false">SUMIFS(PARÂMETROS!$F$8:$F$907,PARÂMETROS!$A$8:$A$907,C1093,PARÂMETROS!$G$8:$G$907,J1093)</f>
        <v>0</v>
      </c>
      <c r="H1093" s="21" t="n">
        <f aca="false">IFERROR(F1093*G1093,0)</f>
        <v>0</v>
      </c>
      <c r="I1093" s="21" t="n">
        <f aca="false">F1093+H1093</f>
        <v>6915.33715708538</v>
      </c>
      <c r="J1093" s="11" t="s">
        <v>88</v>
      </c>
    </row>
    <row r="1094" customFormat="false" ht="14.25" hidden="false" customHeight="true" outlineLevel="0" collapsed="false">
      <c r="A1094" s="16" t="s">
        <v>54</v>
      </c>
      <c r="B1094" s="16" t="str">
        <f aca="false">INDEX(SETORES!$B:$B,MATCH(A1094,SETORES!$A:$A,0))</f>
        <v>Clientes</v>
      </c>
      <c r="C1094" s="16" t="s">
        <v>12</v>
      </c>
      <c r="D1094" s="14" t="n">
        <f aca="false">IF(B1094="Clientes",SUMIFS(PARÂMETROS!$D$8:$D$907,PARÂMETROS!$A$8:$A$907,C1094,PARÂMETROS!$G$8:$G$907,J1094),SUMIFS(PARÂMETROS!$E$8:$E$907,PARÂMETROS!$A$8:$A$907,C1094,PARÂMETROS!$G$8:$G$907,J1094))</f>
        <v>0.0685195516559314</v>
      </c>
      <c r="E1094" s="22" t="n">
        <f aca="false">SUMIFS(SETORES!$D:$D,SETORES!$A:$A,A1094,SETORES!$F:$F,J1094)</f>
        <v>205129.686665041</v>
      </c>
      <c r="F1094" s="22" t="n">
        <f aca="false">IFERROR(D1094*E1094,0)</f>
        <v>14055.3941616103</v>
      </c>
      <c r="G1094" s="14" t="n">
        <f aca="false">SUMIFS(PARÂMETROS!$F$8:$F$907,PARÂMETROS!$A$8:$A$907,C1094,PARÂMETROS!$G$8:$G$907,J1094)</f>
        <v>0</v>
      </c>
      <c r="H1094" s="22" t="n">
        <f aca="false">IFERROR(F1094*G1094,0)</f>
        <v>0</v>
      </c>
      <c r="I1094" s="22" t="n">
        <f aca="false">F1094+H1094</f>
        <v>14055.3941616103</v>
      </c>
      <c r="J1094" s="16" t="s">
        <v>88</v>
      </c>
    </row>
    <row r="1095" customFormat="false" ht="14.25" hidden="false" customHeight="true" outlineLevel="0" collapsed="false">
      <c r="A1095" s="11" t="s">
        <v>54</v>
      </c>
      <c r="B1095" s="20" t="str">
        <f aca="false">INDEX(SETORES!$B:$B,MATCH(A1095,SETORES!$A:$A,0))</f>
        <v>Clientes</v>
      </c>
      <c r="C1095" s="11" t="s">
        <v>13</v>
      </c>
      <c r="D1095" s="9" t="n">
        <f aca="false">IF(B1095="Clientes",SUMIFS(PARÂMETROS!$D$8:$D$907,PARÂMETROS!$A$8:$A$907,C1095,PARÂMETROS!$G$8:$G$907,J1095),SUMIFS(PARÂMETROS!$E$8:$E$907,PARÂMETROS!$A$8:$A$907,C1095,PARÂMETROS!$G$8:$G$907,J1095))</f>
        <v>0.0745397372825481</v>
      </c>
      <c r="E1095" s="21" t="n">
        <f aca="false">SUMIFS(SETORES!$D:$D,SETORES!$A:$A,A1095,SETORES!$F:$F,J1095)</f>
        <v>205129.686665041</v>
      </c>
      <c r="F1095" s="21" t="n">
        <f aca="false">IFERROR(D1095*E1095,0)</f>
        <v>15290.3129528635</v>
      </c>
      <c r="G1095" s="9" t="n">
        <f aca="false">SUMIFS(PARÂMETROS!$F$8:$F$907,PARÂMETROS!$A$8:$A$907,C1095,PARÂMETROS!$G$8:$G$907,J1095)</f>
        <v>0</v>
      </c>
      <c r="H1095" s="21" t="n">
        <f aca="false">IFERROR(F1095*G1095,0)</f>
        <v>0</v>
      </c>
      <c r="I1095" s="21" t="n">
        <f aca="false">F1095+H1095</f>
        <v>15290.3129528635</v>
      </c>
      <c r="J1095" s="11" t="s">
        <v>88</v>
      </c>
    </row>
    <row r="1096" customFormat="false" ht="14.25" hidden="false" customHeight="true" outlineLevel="0" collapsed="false">
      <c r="A1096" s="16" t="s">
        <v>54</v>
      </c>
      <c r="B1096" s="16" t="str">
        <f aca="false">INDEX(SETORES!$B:$B,MATCH(A1096,SETORES!$A:$A,0))</f>
        <v>Clientes</v>
      </c>
      <c r="C1096" s="16" t="s">
        <v>14</v>
      </c>
      <c r="D1096" s="14" t="n">
        <f aca="false">IF(B1096="Clientes",SUMIFS(PARÂMETROS!$D$8:$D$907,PARÂMETROS!$A$8:$A$907,C1096,PARÂMETROS!$G$8:$G$907,J1096),SUMIFS(PARÂMETROS!$E$8:$E$907,PARÂMETROS!$A$8:$A$907,C1096,PARÂMETROS!$G$8:$G$907,J1096))</f>
        <v>0.018943044073642</v>
      </c>
      <c r="E1096" s="22" t="n">
        <f aca="false">SUMIFS(SETORES!$D:$D,SETORES!$A:$A,A1096,SETORES!$F:$F,J1096)</f>
        <v>205129.686665041</v>
      </c>
      <c r="F1096" s="22" t="n">
        <f aca="false">IFERROR(D1096*E1096,0)</f>
        <v>3885.78069530824</v>
      </c>
      <c r="G1096" s="14" t="n">
        <f aca="false">SUMIFS(PARÂMETROS!$F$8:$F$907,PARÂMETROS!$A$8:$A$907,C1096,PARÂMETROS!$G$8:$G$907,J1096)</f>
        <v>0</v>
      </c>
      <c r="H1096" s="22" t="n">
        <f aca="false">IFERROR(F1096*G1096,0)</f>
        <v>0</v>
      </c>
      <c r="I1096" s="22" t="n">
        <f aca="false">F1096+H1096</f>
        <v>3885.78069530824</v>
      </c>
      <c r="J1096" s="16" t="s">
        <v>88</v>
      </c>
    </row>
    <row r="1097" customFormat="false" ht="14.25" hidden="false" customHeight="true" outlineLevel="0" collapsed="false">
      <c r="A1097" s="11" t="s">
        <v>54</v>
      </c>
      <c r="B1097" s="20" t="str">
        <f aca="false">INDEX(SETORES!$B:$B,MATCH(A1097,SETORES!$A:$A,0))</f>
        <v>Clientes</v>
      </c>
      <c r="C1097" s="11" t="s">
        <v>15</v>
      </c>
      <c r="D1097" s="9" t="n">
        <f aca="false">IF(B1097="Clientes",SUMIFS(PARÂMETROS!$D$8:$D$907,PARÂMETROS!$A$8:$A$907,C1097,PARÂMETROS!$G$8:$G$907,J1097),SUMIFS(PARÂMETROS!$E$8:$E$907,PARÂMETROS!$A$8:$A$907,C1097,PARÂMETROS!$G$8:$G$907,J1097))</f>
        <v>0.0334787239438048</v>
      </c>
      <c r="E1097" s="21" t="n">
        <f aca="false">SUMIFS(SETORES!$D:$D,SETORES!$A:$A,A1097,SETORES!$F:$F,J1097)</f>
        <v>205129.686665041</v>
      </c>
      <c r="F1097" s="21" t="n">
        <f aca="false">IFERROR(D1097*E1097,0)</f>
        <v>6867.48015253808</v>
      </c>
      <c r="G1097" s="9" t="n">
        <f aca="false">SUMIFS(PARÂMETROS!$F$8:$F$907,PARÂMETROS!$A$8:$A$907,C1097,PARÂMETROS!$G$8:$G$907,J1097)</f>
        <v>0</v>
      </c>
      <c r="H1097" s="21" t="n">
        <f aca="false">IFERROR(F1097*G1097,0)</f>
        <v>0</v>
      </c>
      <c r="I1097" s="21" t="n">
        <f aca="false">F1097+H1097</f>
        <v>6867.48015253808</v>
      </c>
      <c r="J1097" s="11" t="s">
        <v>88</v>
      </c>
    </row>
    <row r="1098" customFormat="false" ht="14.25" hidden="false" customHeight="true" outlineLevel="0" collapsed="false">
      <c r="A1098" s="16" t="s">
        <v>54</v>
      </c>
      <c r="B1098" s="16" t="str">
        <f aca="false">INDEX(SETORES!$B:$B,MATCH(A1098,SETORES!$A:$A,0))</f>
        <v>Clientes</v>
      </c>
      <c r="C1098" s="16" t="s">
        <v>16</v>
      </c>
      <c r="D1098" s="14" t="n">
        <f aca="false">IF(B1098="Clientes",SUMIFS(PARÂMETROS!$D$8:$D$907,PARÂMETROS!$A$8:$A$907,C1098,PARÂMETROS!$G$8:$G$907,J1098),SUMIFS(PARÂMETROS!$E$8:$E$907,PARÂMETROS!$A$8:$A$907,C1098,PARÂMETROS!$G$8:$G$907,J1098))</f>
        <v>0.0242886848912106</v>
      </c>
      <c r="E1098" s="22" t="n">
        <f aca="false">SUMIFS(SETORES!$D:$D,SETORES!$A:$A,A1098,SETORES!$F:$F,J1098)</f>
        <v>205129.686665041</v>
      </c>
      <c r="F1098" s="22" t="n">
        <f aca="false">IFERROR(D1098*E1098,0)</f>
        <v>4982.33032123994</v>
      </c>
      <c r="G1098" s="14" t="n">
        <f aca="false">SUMIFS(PARÂMETROS!$F$8:$F$907,PARÂMETROS!$A$8:$A$907,C1098,PARÂMETROS!$G$8:$G$907,J1098)</f>
        <v>0</v>
      </c>
      <c r="H1098" s="22" t="n">
        <f aca="false">IFERROR(F1098*G1098,0)</f>
        <v>0</v>
      </c>
      <c r="I1098" s="22" t="n">
        <f aca="false">F1098+H1098</f>
        <v>4982.33032123994</v>
      </c>
      <c r="J1098" s="16" t="s">
        <v>88</v>
      </c>
    </row>
    <row r="1099" customFormat="false" ht="14.25" hidden="false" customHeight="true" outlineLevel="0" collapsed="false">
      <c r="A1099" s="11" t="s">
        <v>54</v>
      </c>
      <c r="B1099" s="20" t="str">
        <f aca="false">INDEX(SETORES!$B:$B,MATCH(A1099,SETORES!$A:$A,0))</f>
        <v>Clientes</v>
      </c>
      <c r="C1099" s="11" t="s">
        <v>17</v>
      </c>
      <c r="D1099" s="9" t="n">
        <f aca="false">IF(B1099="Clientes",SUMIFS(PARÂMETROS!$D$8:$D$907,PARÂMETROS!$A$8:$A$907,C1099,PARÂMETROS!$G$8:$G$907,J1099),SUMIFS(PARÂMETROS!$E$8:$E$907,PARÂMETROS!$A$8:$A$907,C1099,PARÂMETROS!$G$8:$G$907,J1099))</f>
        <v>0.0243241872495816</v>
      </c>
      <c r="E1099" s="21" t="n">
        <f aca="false">SUMIFS(SETORES!$D:$D,SETORES!$A:$A,A1099,SETORES!$F:$F,J1099)</f>
        <v>205129.686665041</v>
      </c>
      <c r="F1099" s="21" t="n">
        <f aca="false">IFERROR(D1099*E1099,0)</f>
        <v>4989.61290888844</v>
      </c>
      <c r="G1099" s="9" t="n">
        <f aca="false">SUMIFS(PARÂMETROS!$F$8:$F$907,PARÂMETROS!$A$8:$A$907,C1099,PARÂMETROS!$G$8:$G$907,J1099)</f>
        <v>0</v>
      </c>
      <c r="H1099" s="21" t="n">
        <f aca="false">IFERROR(F1099*G1099,0)</f>
        <v>0</v>
      </c>
      <c r="I1099" s="21" t="n">
        <f aca="false">F1099+H1099</f>
        <v>4989.61290888844</v>
      </c>
      <c r="J1099" s="11" t="s">
        <v>88</v>
      </c>
    </row>
    <row r="1100" customFormat="false" ht="14.25" hidden="false" customHeight="true" outlineLevel="0" collapsed="false">
      <c r="A1100" s="16" t="s">
        <v>54</v>
      </c>
      <c r="B1100" s="16" t="str">
        <f aca="false">INDEX(SETORES!$B:$B,MATCH(A1100,SETORES!$A:$A,0))</f>
        <v>Clientes</v>
      </c>
      <c r="C1100" s="16" t="s">
        <v>18</v>
      </c>
      <c r="D1100" s="14" t="n">
        <f aca="false">IF(B1100="Clientes",SUMIFS(PARÂMETROS!$D$8:$D$907,PARÂMETROS!$A$8:$A$907,C1100,PARÂMETROS!$G$8:$G$907,J1100),SUMIFS(PARÂMETROS!$E$8:$E$907,PARÂMETROS!$A$8:$A$907,C1100,PARÂMETROS!$G$8:$G$907,J1100))</f>
        <v>0.722194045747325</v>
      </c>
      <c r="E1100" s="22" t="n">
        <f aca="false">SUMIFS(SETORES!$D:$D,SETORES!$A:$A,A1100,SETORES!$F:$F,J1100)</f>
        <v>205129.686665041</v>
      </c>
      <c r="F1100" s="22" t="n">
        <f aca="false">IFERROR(D1100*E1100,0)</f>
        <v>148143.438315507</v>
      </c>
      <c r="G1100" s="14" t="n">
        <f aca="false">SUMIFS(PARÂMETROS!$F$8:$F$907,PARÂMETROS!$A$8:$A$907,C1100,PARÂMETROS!$G$8:$G$907,J1100)</f>
        <v>0</v>
      </c>
      <c r="H1100" s="22" t="n">
        <f aca="false">IFERROR(F1100*G1100,0)</f>
        <v>0</v>
      </c>
      <c r="I1100" s="22" t="n">
        <f aca="false">F1100+H1100</f>
        <v>148143.438315507</v>
      </c>
      <c r="J1100" s="16" t="s">
        <v>88</v>
      </c>
    </row>
    <row r="1101" customFormat="false" ht="14.25" hidden="false" customHeight="true" outlineLevel="0" collapsed="false">
      <c r="A1101" s="11" t="s">
        <v>55</v>
      </c>
      <c r="B1101" s="20" t="str">
        <f aca="false">INDEX(SETORES!$B:$B,MATCH(A1101,SETORES!$A:$A,0))</f>
        <v>Funcionários</v>
      </c>
      <c r="C1101" s="11" t="s">
        <v>10</v>
      </c>
      <c r="D1101" s="9" t="n">
        <f aca="false">IF(B1101="Clientes",SUMIFS(PARÂMETROS!$D$8:$D$907,PARÂMETROS!$A$8:$A$907,C1101,PARÂMETROS!$G$8:$G$907,J1101),SUMIFS(PARÂMETROS!$E$8:$E$907,PARÂMETROS!$A$8:$A$907,C1101,PARÂMETROS!$G$8:$G$907,J1101))</f>
        <v>0.0285171102661597</v>
      </c>
      <c r="E1101" s="21" t="n">
        <f aca="false">SUMIFS(SETORES!$D:$D,SETORES!$A:$A,A1101,SETORES!$F:$F,J1101)</f>
        <v>23340.09</v>
      </c>
      <c r="F1101" s="21" t="n">
        <f aca="false">IFERROR(D1101*E1101,0)</f>
        <v>665.591920152091</v>
      </c>
      <c r="G1101" s="9" t="n">
        <f aca="false">SUMIFS(PARÂMETROS!$F$8:$F$907,PARÂMETROS!$A$8:$A$907,C1101,PARÂMETROS!$G$8:$G$907,J1101)</f>
        <v>0</v>
      </c>
      <c r="H1101" s="21" t="n">
        <f aca="false">IFERROR(F1101*G1101,0)</f>
        <v>0</v>
      </c>
      <c r="I1101" s="21" t="n">
        <f aca="false">F1101+H1101</f>
        <v>665.591920152091</v>
      </c>
      <c r="J1101" s="11" t="s">
        <v>88</v>
      </c>
    </row>
    <row r="1102" customFormat="false" ht="14.25" hidden="false" customHeight="true" outlineLevel="0" collapsed="false">
      <c r="A1102" s="16" t="s">
        <v>55</v>
      </c>
      <c r="B1102" s="16" t="str">
        <f aca="false">INDEX(SETORES!$B:$B,MATCH(A1102,SETORES!$A:$A,0))</f>
        <v>Funcionários</v>
      </c>
      <c r="C1102" s="16" t="s">
        <v>12</v>
      </c>
      <c r="D1102" s="14" t="n">
        <f aca="false">IF(B1102="Clientes",SUMIFS(PARÂMETROS!$D$8:$D$907,PARÂMETROS!$A$8:$A$907,C1102,PARÂMETROS!$G$8:$G$907,J1102),SUMIFS(PARÂMETROS!$E$8:$E$907,PARÂMETROS!$A$8:$A$907,C1102,PARÂMETROS!$G$8:$G$907,J1102))</f>
        <v>0</v>
      </c>
      <c r="E1102" s="22" t="n">
        <f aca="false">SUMIFS(SETORES!$D:$D,SETORES!$A:$A,A1102,SETORES!$F:$F,J1102)</f>
        <v>23340.09</v>
      </c>
      <c r="F1102" s="22" t="n">
        <f aca="false">IFERROR(D1102*E1102,0)</f>
        <v>0</v>
      </c>
      <c r="G1102" s="14" t="n">
        <f aca="false">SUMIFS(PARÂMETROS!$F$8:$F$907,PARÂMETROS!$A$8:$A$907,C1102,PARÂMETROS!$G$8:$G$907,J1102)</f>
        <v>0</v>
      </c>
      <c r="H1102" s="22" t="n">
        <f aca="false">IFERROR(F1102*G1102,0)</f>
        <v>0</v>
      </c>
      <c r="I1102" s="22" t="n">
        <f aca="false">F1102+H1102</f>
        <v>0</v>
      </c>
      <c r="J1102" s="16" t="s">
        <v>88</v>
      </c>
    </row>
    <row r="1103" customFormat="false" ht="14.25" hidden="false" customHeight="true" outlineLevel="0" collapsed="false">
      <c r="A1103" s="11" t="s">
        <v>55</v>
      </c>
      <c r="B1103" s="20" t="str">
        <f aca="false">INDEX(SETORES!$B:$B,MATCH(A1103,SETORES!$A:$A,0))</f>
        <v>Funcionários</v>
      </c>
      <c r="C1103" s="11" t="s">
        <v>13</v>
      </c>
      <c r="D1103" s="9" t="n">
        <f aca="false">IF(B1103="Clientes",SUMIFS(PARÂMETROS!$D$8:$D$907,PARÂMETROS!$A$8:$A$907,C1103,PARÂMETROS!$G$8:$G$907,J1103),SUMIFS(PARÂMETROS!$E$8:$E$907,PARÂMETROS!$A$8:$A$907,C1103,PARÂMETROS!$G$8:$G$907,J1103))</f>
        <v>0.0427756653992395</v>
      </c>
      <c r="E1103" s="21" t="n">
        <f aca="false">SUMIFS(SETORES!$D:$D,SETORES!$A:$A,A1103,SETORES!$F:$F,J1103)</f>
        <v>23340.09</v>
      </c>
      <c r="F1103" s="21" t="n">
        <f aca="false">IFERROR(D1103*E1103,0)</f>
        <v>998.387880228137</v>
      </c>
      <c r="G1103" s="9" t="n">
        <f aca="false">SUMIFS(PARÂMETROS!$F$8:$F$907,PARÂMETROS!$A$8:$A$907,C1103,PARÂMETROS!$G$8:$G$907,J1103)</f>
        <v>0</v>
      </c>
      <c r="H1103" s="21" t="n">
        <f aca="false">IFERROR(F1103*G1103,0)</f>
        <v>0</v>
      </c>
      <c r="I1103" s="21" t="n">
        <f aca="false">F1103+H1103</f>
        <v>998.387880228137</v>
      </c>
      <c r="J1103" s="11" t="s">
        <v>88</v>
      </c>
    </row>
    <row r="1104" customFormat="false" ht="14.25" hidden="false" customHeight="true" outlineLevel="0" collapsed="false">
      <c r="A1104" s="16" t="s">
        <v>55</v>
      </c>
      <c r="B1104" s="16" t="str">
        <f aca="false">INDEX(SETORES!$B:$B,MATCH(A1104,SETORES!$A:$A,0))</f>
        <v>Funcionários</v>
      </c>
      <c r="C1104" s="16" t="s">
        <v>14</v>
      </c>
      <c r="D1104" s="14" t="n">
        <f aca="false">IF(B1104="Clientes",SUMIFS(PARÂMETROS!$D$8:$D$907,PARÂMETROS!$A$8:$A$907,C1104,PARÂMETROS!$G$8:$G$907,J1104),SUMIFS(PARÂMETROS!$E$8:$E$907,PARÂMETROS!$A$8:$A$907,C1104,PARÂMETROS!$G$8:$G$907,J1104))</f>
        <v>0.00950570342205323</v>
      </c>
      <c r="E1104" s="22" t="n">
        <f aca="false">SUMIFS(SETORES!$D:$D,SETORES!$A:$A,A1104,SETORES!$F:$F,J1104)</f>
        <v>23340.09</v>
      </c>
      <c r="F1104" s="22" t="n">
        <f aca="false">IFERROR(D1104*E1104,0)</f>
        <v>221.86397338403</v>
      </c>
      <c r="G1104" s="14" t="n">
        <f aca="false">SUMIFS(PARÂMETROS!$F$8:$F$907,PARÂMETROS!$A$8:$A$907,C1104,PARÂMETROS!$G$8:$G$907,J1104)</f>
        <v>0</v>
      </c>
      <c r="H1104" s="22" t="n">
        <f aca="false">IFERROR(F1104*G1104,0)</f>
        <v>0</v>
      </c>
      <c r="I1104" s="22" t="n">
        <f aca="false">F1104+H1104</f>
        <v>221.86397338403</v>
      </c>
      <c r="J1104" s="16" t="s">
        <v>88</v>
      </c>
    </row>
    <row r="1105" customFormat="false" ht="14.25" hidden="false" customHeight="true" outlineLevel="0" collapsed="false">
      <c r="A1105" s="11" t="s">
        <v>55</v>
      </c>
      <c r="B1105" s="20" t="str">
        <f aca="false">INDEX(SETORES!$B:$B,MATCH(A1105,SETORES!$A:$A,0))</f>
        <v>Funcionários</v>
      </c>
      <c r="C1105" s="11" t="s">
        <v>15</v>
      </c>
      <c r="D1105" s="9" t="n">
        <f aca="false">IF(B1105="Clientes",SUMIFS(PARÂMETROS!$D$8:$D$907,PARÂMETROS!$A$8:$A$907,C1105,PARÂMETROS!$G$8:$G$907,J1105),SUMIFS(PARÂMETROS!$E$8:$E$907,PARÂMETROS!$A$8:$A$907,C1105,PARÂMETROS!$G$8:$G$907,J1105))</f>
        <v>0.0437262357414449</v>
      </c>
      <c r="E1105" s="21" t="n">
        <f aca="false">SUMIFS(SETORES!$D:$D,SETORES!$A:$A,A1105,SETORES!$F:$F,J1105)</f>
        <v>23340.09</v>
      </c>
      <c r="F1105" s="21" t="n">
        <f aca="false">IFERROR(D1105*E1105,0)</f>
        <v>1020.57427756654</v>
      </c>
      <c r="G1105" s="9" t="n">
        <f aca="false">SUMIFS(PARÂMETROS!$F$8:$F$907,PARÂMETROS!$A$8:$A$907,C1105,PARÂMETROS!$G$8:$G$907,J1105)</f>
        <v>0</v>
      </c>
      <c r="H1105" s="21" t="n">
        <f aca="false">IFERROR(F1105*G1105,0)</f>
        <v>0</v>
      </c>
      <c r="I1105" s="21" t="n">
        <f aca="false">F1105+H1105</f>
        <v>1020.57427756654</v>
      </c>
      <c r="J1105" s="11" t="s">
        <v>88</v>
      </c>
    </row>
    <row r="1106" customFormat="false" ht="14.25" hidden="false" customHeight="true" outlineLevel="0" collapsed="false">
      <c r="A1106" s="16" t="s">
        <v>55</v>
      </c>
      <c r="B1106" s="16" t="str">
        <f aca="false">INDEX(SETORES!$B:$B,MATCH(A1106,SETORES!$A:$A,0))</f>
        <v>Funcionários</v>
      </c>
      <c r="C1106" s="16" t="s">
        <v>16</v>
      </c>
      <c r="D1106" s="14" t="n">
        <f aca="false">IF(B1106="Clientes",SUMIFS(PARÂMETROS!$D$8:$D$907,PARÂMETROS!$A$8:$A$907,C1106,PARÂMETROS!$G$8:$G$907,J1106),SUMIFS(PARÂMETROS!$E$8:$E$907,PARÂMETROS!$A$8:$A$907,C1106,PARÂMETROS!$G$8:$G$907,J1106))</f>
        <v>0.0161596958174905</v>
      </c>
      <c r="E1106" s="22" t="n">
        <f aca="false">SUMIFS(SETORES!$D:$D,SETORES!$A:$A,A1106,SETORES!$F:$F,J1106)</f>
        <v>23340.09</v>
      </c>
      <c r="F1106" s="22" t="n">
        <f aca="false">IFERROR(D1106*E1106,0)</f>
        <v>377.168754752852</v>
      </c>
      <c r="G1106" s="14" t="n">
        <f aca="false">SUMIFS(PARÂMETROS!$F$8:$F$907,PARÂMETROS!$A$8:$A$907,C1106,PARÂMETROS!$G$8:$G$907,J1106)</f>
        <v>0</v>
      </c>
      <c r="H1106" s="22" t="n">
        <f aca="false">IFERROR(F1106*G1106,0)</f>
        <v>0</v>
      </c>
      <c r="I1106" s="22" t="n">
        <f aca="false">F1106+H1106</f>
        <v>377.168754752852</v>
      </c>
      <c r="J1106" s="16" t="s">
        <v>88</v>
      </c>
    </row>
    <row r="1107" customFormat="false" ht="14.25" hidden="false" customHeight="true" outlineLevel="0" collapsed="false">
      <c r="A1107" s="11" t="s">
        <v>55</v>
      </c>
      <c r="B1107" s="20" t="str">
        <f aca="false">INDEX(SETORES!$B:$B,MATCH(A1107,SETORES!$A:$A,0))</f>
        <v>Funcionários</v>
      </c>
      <c r="C1107" s="11" t="s">
        <v>17</v>
      </c>
      <c r="D1107" s="9" t="n">
        <f aca="false">IF(B1107="Clientes",SUMIFS(PARÂMETROS!$D$8:$D$907,PARÂMETROS!$A$8:$A$907,C1107,PARÂMETROS!$G$8:$G$907,J1107),SUMIFS(PARÂMETROS!$E$8:$E$907,PARÂMETROS!$A$8:$A$907,C1107,PARÂMETROS!$G$8:$G$907,J1107))</f>
        <v>0.0218631178707224</v>
      </c>
      <c r="E1107" s="21" t="n">
        <f aca="false">SUMIFS(SETORES!$D:$D,SETORES!$A:$A,A1107,SETORES!$F:$F,J1107)</f>
        <v>23340.09</v>
      </c>
      <c r="F1107" s="21" t="n">
        <f aca="false">IFERROR(D1107*E1107,0)</f>
        <v>510.28713878327</v>
      </c>
      <c r="G1107" s="9" t="n">
        <f aca="false">SUMIFS(PARÂMETROS!$F$8:$F$907,PARÂMETROS!$A$8:$A$907,C1107,PARÂMETROS!$G$8:$G$907,J1107)</f>
        <v>0</v>
      </c>
      <c r="H1107" s="21" t="n">
        <f aca="false">IFERROR(F1107*G1107,0)</f>
        <v>0</v>
      </c>
      <c r="I1107" s="21" t="n">
        <f aca="false">F1107+H1107</f>
        <v>510.28713878327</v>
      </c>
      <c r="J1107" s="11" t="s">
        <v>88</v>
      </c>
    </row>
    <row r="1108" customFormat="false" ht="14.25" hidden="false" customHeight="true" outlineLevel="0" collapsed="false">
      <c r="A1108" s="16" t="s">
        <v>55</v>
      </c>
      <c r="B1108" s="16" t="str">
        <f aca="false">INDEX(SETORES!$B:$B,MATCH(A1108,SETORES!$A:$A,0))</f>
        <v>Funcionários</v>
      </c>
      <c r="C1108" s="16" t="s">
        <v>18</v>
      </c>
      <c r="D1108" s="14" t="n">
        <f aca="false">IF(B1108="Clientes",SUMIFS(PARÂMETROS!$D$8:$D$907,PARÂMETROS!$A$8:$A$907,C1108,PARÂMETROS!$G$8:$G$907,J1108),SUMIFS(PARÂMETROS!$E$8:$E$907,PARÂMETROS!$A$8:$A$907,C1108,PARÂMETROS!$G$8:$G$907,J1108))</f>
        <v>0.83745247148289</v>
      </c>
      <c r="E1108" s="22" t="n">
        <f aca="false">SUMIFS(SETORES!$D:$D,SETORES!$A:$A,A1108,SETORES!$F:$F,J1108)</f>
        <v>23340.09</v>
      </c>
      <c r="F1108" s="22" t="n">
        <f aca="false">IFERROR(D1108*E1108,0)</f>
        <v>19546.2160551331</v>
      </c>
      <c r="G1108" s="14" t="n">
        <f aca="false">SUMIFS(PARÂMETROS!$F$8:$F$907,PARÂMETROS!$A$8:$A$907,C1108,PARÂMETROS!$G$8:$G$907,J1108)</f>
        <v>0</v>
      </c>
      <c r="H1108" s="22" t="n">
        <f aca="false">IFERROR(F1108*G1108,0)</f>
        <v>0</v>
      </c>
      <c r="I1108" s="22" t="n">
        <f aca="false">F1108+H1108</f>
        <v>19546.2160551331</v>
      </c>
      <c r="J1108" s="16" t="s">
        <v>88</v>
      </c>
    </row>
    <row r="1109" customFormat="false" ht="14.25" hidden="false" customHeight="true" outlineLevel="0" collapsed="false">
      <c r="A1109" s="1" t="s">
        <v>78</v>
      </c>
      <c r="B1109" s="1" t="str">
        <f aca="false">INDEX(SETORES!$B:$B,MATCH(A1109,SETORES!$A:$A,0))</f>
        <v>Clientes</v>
      </c>
      <c r="C1109" s="1" t="s">
        <v>10</v>
      </c>
      <c r="D1109" s="25" t="n">
        <f aca="false">IF(B1109="Clientes",SUMIFS(PARÂMETROS!$D$8:$D$907,PARÂMETROS!$A$8:$A$907,C1109,PARÂMETROS!$G$8:$G$907,J1109),SUMIFS(PARÂMETROS!$E$8:$E$907,PARÂMETROS!$A$8:$A$907,C1109,PARÂMETROS!$G$8:$G$907,J1109))</f>
        <v>0.0337120251559568</v>
      </c>
      <c r="E1109" s="26" t="n">
        <f aca="false">SUMIFS(SETORES!$D:$D,SETORES!$A:$A,A1109,SETORES!$F:$F,J1109)</f>
        <v>75785.85947</v>
      </c>
      <c r="F1109" s="26" t="n">
        <v>0</v>
      </c>
      <c r="G1109" s="25" t="n">
        <f aca="false">SUMIFS(PARÂMETROS!$F$8:$F$907,PARÂMETROS!$A$8:$A$907,C1109,PARÂMETROS!$G$8:$G$907,J1109)</f>
        <v>0</v>
      </c>
      <c r="H1109" s="26" t="n">
        <f aca="false">IFERROR(F1109*G1109,0)</f>
        <v>0</v>
      </c>
      <c r="I1109" s="26" t="n">
        <f aca="false">F1109+H1109</f>
        <v>0</v>
      </c>
      <c r="J1109" s="1" t="s">
        <v>88</v>
      </c>
    </row>
    <row r="1110" customFormat="false" ht="14.25" hidden="false" customHeight="true" outlineLevel="0" collapsed="false">
      <c r="A1110" s="1" t="s">
        <v>78</v>
      </c>
      <c r="B1110" s="1" t="str">
        <f aca="false">INDEX(SETORES!$B:$B,MATCH(A1110,SETORES!$A:$A,0))</f>
        <v>Clientes</v>
      </c>
      <c r="C1110" s="1" t="s">
        <v>12</v>
      </c>
      <c r="D1110" s="25" t="n">
        <f aca="false">IF(B1110="Clientes",SUMIFS(PARÂMETROS!$D$8:$D$907,PARÂMETROS!$A$8:$A$907,C1110,PARÂMETROS!$G$8:$G$907,J1110),SUMIFS(PARÂMETROS!$E$8:$E$907,PARÂMETROS!$A$8:$A$907,C1110,PARÂMETROS!$G$8:$G$907,J1110))</f>
        <v>0.0685195516559314</v>
      </c>
      <c r="E1110" s="26" t="n">
        <f aca="false">SUMIFS(SETORES!$D:$D,SETORES!$A:$A,A1110,SETORES!$F:$F,J1110)</f>
        <v>75785.85947</v>
      </c>
      <c r="F1110" s="26" t="n">
        <v>0</v>
      </c>
      <c r="G1110" s="25" t="n">
        <f aca="false">SUMIFS(PARÂMETROS!$F$8:$F$907,PARÂMETROS!$A$8:$A$907,C1110,PARÂMETROS!$G$8:$G$907,J1110)</f>
        <v>0</v>
      </c>
      <c r="H1110" s="26" t="n">
        <f aca="false">IFERROR(F1110*G1110,0)</f>
        <v>0</v>
      </c>
      <c r="I1110" s="26" t="n">
        <f aca="false">F1110+H1110</f>
        <v>0</v>
      </c>
      <c r="J1110" s="1" t="s">
        <v>88</v>
      </c>
    </row>
    <row r="1111" customFormat="false" ht="14.25" hidden="false" customHeight="true" outlineLevel="0" collapsed="false">
      <c r="A1111" s="1" t="s">
        <v>78</v>
      </c>
      <c r="B1111" s="1" t="str">
        <f aca="false">INDEX(SETORES!$B:$B,MATCH(A1111,SETORES!$A:$A,0))</f>
        <v>Clientes</v>
      </c>
      <c r="C1111" s="1" t="s">
        <v>13</v>
      </c>
      <c r="D1111" s="25" t="n">
        <f aca="false">IF(B1111="Clientes",SUMIFS(PARÂMETROS!$D$8:$D$907,PARÂMETROS!$A$8:$A$907,C1111,PARÂMETROS!$G$8:$G$907,J1111),SUMIFS(PARÂMETROS!$E$8:$E$907,PARÂMETROS!$A$8:$A$907,C1111,PARÂMETROS!$G$8:$G$907,J1111))</f>
        <v>0.0745397372825481</v>
      </c>
      <c r="E1111" s="26" t="n">
        <f aca="false">SUMIFS(SETORES!$D:$D,SETORES!$A:$A,A1111,SETORES!$F:$F,J1111)</f>
        <v>75785.85947</v>
      </c>
      <c r="F1111" s="26" t="n">
        <v>6316.27</v>
      </c>
      <c r="G1111" s="25" t="n">
        <f aca="false">SUMIFS(PARÂMETROS!$F$8:$F$907,PARÂMETROS!$A$8:$A$907,C1111,PARÂMETROS!$G$8:$G$907,J1111)</f>
        <v>0</v>
      </c>
      <c r="H1111" s="26" t="n">
        <f aca="false">IFERROR(F1111*G1111,0)</f>
        <v>0</v>
      </c>
      <c r="I1111" s="26" t="n">
        <f aca="false">F1111+H1111</f>
        <v>6316.27</v>
      </c>
      <c r="J1111" s="1" t="s">
        <v>88</v>
      </c>
    </row>
    <row r="1112" customFormat="false" ht="14.25" hidden="false" customHeight="true" outlineLevel="0" collapsed="false">
      <c r="A1112" s="1" t="s">
        <v>78</v>
      </c>
      <c r="B1112" s="1" t="str">
        <f aca="false">INDEX(SETORES!$B:$B,MATCH(A1112,SETORES!$A:$A,0))</f>
        <v>Clientes</v>
      </c>
      <c r="C1112" s="1" t="s">
        <v>14</v>
      </c>
      <c r="D1112" s="25" t="n">
        <f aca="false">IF(B1112="Clientes",SUMIFS(PARÂMETROS!$D$8:$D$907,PARÂMETROS!$A$8:$A$907,C1112,PARÂMETROS!$G$8:$G$907,J1112),SUMIFS(PARÂMETROS!$E$8:$E$907,PARÂMETROS!$A$8:$A$907,C1112,PARÂMETROS!$G$8:$G$907,J1112))</f>
        <v>0.018943044073642</v>
      </c>
      <c r="E1112" s="26" t="n">
        <f aca="false">SUMIFS(SETORES!$D:$D,SETORES!$A:$A,A1112,SETORES!$F:$F,J1112)</f>
        <v>75785.85947</v>
      </c>
      <c r="F1112" s="26" t="n">
        <v>1618.95</v>
      </c>
      <c r="G1112" s="25" t="n">
        <f aca="false">SUMIFS(PARÂMETROS!$F$8:$F$907,PARÂMETROS!$A$8:$A$907,C1112,PARÂMETROS!$G$8:$G$907,J1112)</f>
        <v>0</v>
      </c>
      <c r="H1112" s="26" t="n">
        <f aca="false">IFERROR(F1112*G1112,0)</f>
        <v>0</v>
      </c>
      <c r="I1112" s="26" t="n">
        <f aca="false">F1112+H1112</f>
        <v>1618.95</v>
      </c>
      <c r="J1112" s="1" t="s">
        <v>88</v>
      </c>
    </row>
    <row r="1113" customFormat="false" ht="14.25" hidden="false" customHeight="true" outlineLevel="0" collapsed="false">
      <c r="A1113" s="1" t="s">
        <v>78</v>
      </c>
      <c r="B1113" s="1" t="str">
        <f aca="false">INDEX(SETORES!$B:$B,MATCH(A1113,SETORES!$A:$A,0))</f>
        <v>Clientes</v>
      </c>
      <c r="C1113" s="1" t="s">
        <v>15</v>
      </c>
      <c r="D1113" s="25" t="n">
        <f aca="false">IF(B1113="Clientes",SUMIFS(PARÂMETROS!$D$8:$D$907,PARÂMETROS!$A$8:$A$907,C1113,PARÂMETROS!$G$8:$G$907,J1113),SUMIFS(PARÂMETROS!$E$8:$E$907,PARÂMETROS!$A$8:$A$907,C1113,PARÂMETROS!$G$8:$G$907,J1113))</f>
        <v>0.0334787239438048</v>
      </c>
      <c r="E1113" s="26" t="n">
        <f aca="false">SUMIFS(SETORES!$D:$D,SETORES!$A:$A,A1113,SETORES!$F:$F,J1113)</f>
        <v>75785.85947</v>
      </c>
      <c r="F1113" s="26" t="n">
        <v>0</v>
      </c>
      <c r="G1113" s="25" t="n">
        <f aca="false">SUMIFS(PARÂMETROS!$F$8:$F$907,PARÂMETROS!$A$8:$A$907,C1113,PARÂMETROS!$G$8:$G$907,J1113)</f>
        <v>0</v>
      </c>
      <c r="H1113" s="26" t="n">
        <f aca="false">IFERROR(F1113*G1113,0)</f>
        <v>0</v>
      </c>
      <c r="I1113" s="26" t="n">
        <f aca="false">F1113+H1113</f>
        <v>0</v>
      </c>
      <c r="J1113" s="1" t="s">
        <v>88</v>
      </c>
    </row>
    <row r="1114" customFormat="false" ht="14.25" hidden="false" customHeight="true" outlineLevel="0" collapsed="false">
      <c r="A1114" s="1" t="s">
        <v>78</v>
      </c>
      <c r="B1114" s="1" t="str">
        <f aca="false">INDEX(SETORES!$B:$B,MATCH(A1114,SETORES!$A:$A,0))</f>
        <v>Clientes</v>
      </c>
      <c r="C1114" s="1" t="s">
        <v>16</v>
      </c>
      <c r="D1114" s="25" t="n">
        <f aca="false">IF(B1114="Clientes",SUMIFS(PARÂMETROS!$D$8:$D$907,PARÂMETROS!$A$8:$A$907,C1114,PARÂMETROS!$G$8:$G$907,J1114),SUMIFS(PARÂMETROS!$E$8:$E$907,PARÂMETROS!$A$8:$A$907,C1114,PARÂMETROS!$G$8:$G$907,J1114))</f>
        <v>0.0242886848912106</v>
      </c>
      <c r="E1114" s="26" t="n">
        <f aca="false">SUMIFS(SETORES!$D:$D,SETORES!$A:$A,A1114,SETORES!$F:$F,J1114)</f>
        <v>75785.85947</v>
      </c>
      <c r="F1114" s="26" t="n">
        <v>0</v>
      </c>
      <c r="G1114" s="25" t="n">
        <f aca="false">SUMIFS(PARÂMETROS!$F$8:$F$907,PARÂMETROS!$A$8:$A$907,C1114,PARÂMETROS!$G$8:$G$907,J1114)</f>
        <v>0</v>
      </c>
      <c r="H1114" s="26" t="n">
        <f aca="false">IFERROR(F1114*G1114,0)</f>
        <v>0</v>
      </c>
      <c r="I1114" s="26" t="n">
        <f aca="false">F1114+H1114</f>
        <v>0</v>
      </c>
      <c r="J1114" s="1" t="s">
        <v>88</v>
      </c>
    </row>
    <row r="1115" customFormat="false" ht="14.25" hidden="false" customHeight="true" outlineLevel="0" collapsed="false">
      <c r="A1115" s="1" t="s">
        <v>78</v>
      </c>
      <c r="B1115" s="1" t="str">
        <f aca="false">INDEX(SETORES!$B:$B,MATCH(A1115,SETORES!$A:$A,0))</f>
        <v>Clientes</v>
      </c>
      <c r="C1115" s="1" t="s">
        <v>17</v>
      </c>
      <c r="D1115" s="25" t="n">
        <f aca="false">IF(B1115="Clientes",SUMIFS(PARÂMETROS!$D$8:$D$907,PARÂMETROS!$A$8:$A$907,C1115,PARÂMETROS!$G$8:$G$907,J1115),SUMIFS(PARÂMETROS!$E$8:$E$907,PARÂMETROS!$A$8:$A$907,C1115,PARÂMETROS!$G$8:$G$907,J1115))</f>
        <v>0.0243241872495816</v>
      </c>
      <c r="E1115" s="26" t="n">
        <f aca="false">SUMIFS(SETORES!$D:$D,SETORES!$A:$A,A1115,SETORES!$F:$F,J1115)</f>
        <v>75785.85947</v>
      </c>
      <c r="F1115" s="26" t="n">
        <v>2066.58</v>
      </c>
      <c r="G1115" s="25" t="n">
        <f aca="false">SUMIFS(PARÂMETROS!$F$8:$F$907,PARÂMETROS!$A$8:$A$907,C1115,PARÂMETROS!$G$8:$G$907,J1115)</f>
        <v>0</v>
      </c>
      <c r="H1115" s="26" t="n">
        <f aca="false">IFERROR(F1115*G1115,0)</f>
        <v>0</v>
      </c>
      <c r="I1115" s="26" t="n">
        <f aca="false">F1115+H1115</f>
        <v>2066.58</v>
      </c>
      <c r="J1115" s="1" t="s">
        <v>88</v>
      </c>
    </row>
    <row r="1116" customFormat="false" ht="14.25" hidden="false" customHeight="true" outlineLevel="0" collapsed="false">
      <c r="A1116" s="1" t="s">
        <v>78</v>
      </c>
      <c r="B1116" s="1" t="str">
        <f aca="false">INDEX(SETORES!$B:$B,MATCH(A1116,SETORES!$A:$A,0))</f>
        <v>Clientes</v>
      </c>
      <c r="C1116" s="1" t="s">
        <v>18</v>
      </c>
      <c r="D1116" s="25" t="n">
        <f aca="false">IF(B1116="Clientes",SUMIFS(PARÂMETROS!$D$8:$D$907,PARÂMETROS!$A$8:$A$907,C1116,PARÂMETROS!$G$8:$G$907,J1116),SUMIFS(PARÂMETROS!$E$8:$E$907,PARÂMETROS!$A$8:$A$907,C1116,PARÂMETROS!$G$8:$G$907,J1116))</f>
        <v>0.722194045747325</v>
      </c>
      <c r="E1116" s="26" t="n">
        <f aca="false">SUMIFS(SETORES!$D:$D,SETORES!$A:$A,A1116,SETORES!$F:$F,J1116)</f>
        <v>75785.85947</v>
      </c>
      <c r="F1116" s="26" t="n">
        <f aca="false">IFERROR(D1116*E1116,0)</f>
        <v>54732.0964610775</v>
      </c>
      <c r="G1116" s="25" t="n">
        <f aca="false">SUMIFS(PARÂMETROS!$F$8:$F$907,PARÂMETROS!$A$8:$A$907,C1116,PARÂMETROS!$G$8:$G$907,J1116)</f>
        <v>0</v>
      </c>
      <c r="H1116" s="26" t="n">
        <f aca="false">IFERROR(F1116*G1116,0)</f>
        <v>0</v>
      </c>
      <c r="I1116" s="26" t="n">
        <f aca="false">F1116+H1116</f>
        <v>54732.0964610775</v>
      </c>
      <c r="J1116" s="1" t="s">
        <v>88</v>
      </c>
    </row>
    <row r="1117" customFormat="false" ht="14.25" hidden="false" customHeight="true" outlineLevel="0" collapsed="false">
      <c r="A1117" s="1" t="s">
        <v>79</v>
      </c>
      <c r="B1117" s="1" t="str">
        <f aca="false">INDEX(SETORES!$B:$B,MATCH(A1117,SETORES!$A:$A,0))</f>
        <v>Funcionários</v>
      </c>
      <c r="C1117" s="1" t="s">
        <v>10</v>
      </c>
      <c r="D1117" s="25" t="n">
        <f aca="false">IF(B1117="Clientes",SUMIFS(PARÂMETROS!$D$8:$D$907,PARÂMETROS!$A$8:$A$907,C1117,PARÂMETROS!$G$8:$G$907,J1117),SUMIFS(PARÂMETROS!$E$8:$E$907,PARÂMETROS!$A$8:$A$907,C1117,PARÂMETROS!$G$8:$G$907,J1117))</f>
        <v>0.0285171102661597</v>
      </c>
      <c r="E1117" s="26" t="n">
        <f aca="false">SUMIFS(SETORES!$D:$D,SETORES!$A:$A,A1117,SETORES!$F:$F,J1117)</f>
        <v>108830.75708</v>
      </c>
      <c r="F1117" s="26" t="n">
        <f aca="false">IFERROR(D1117*E1117,0)</f>
        <v>3103.5387</v>
      </c>
      <c r="G1117" s="25" t="n">
        <f aca="false">SUMIFS(PARÂMETROS!$F$8:$F$907,PARÂMETROS!$A$8:$A$907,C1117,PARÂMETROS!$G$8:$G$907,J1117)</f>
        <v>0</v>
      </c>
      <c r="H1117" s="26" t="n">
        <f aca="false">IFERROR(F1117*G1117,0)</f>
        <v>0</v>
      </c>
      <c r="I1117" s="26" t="n">
        <f aca="false">F1117+H1117</f>
        <v>3103.5387</v>
      </c>
      <c r="J1117" s="1" t="s">
        <v>88</v>
      </c>
    </row>
    <row r="1118" customFormat="false" ht="14.25" hidden="false" customHeight="true" outlineLevel="0" collapsed="false">
      <c r="A1118" s="1" t="s">
        <v>79</v>
      </c>
      <c r="B1118" s="1" t="str">
        <f aca="false">INDEX(SETORES!$B:$B,MATCH(A1118,SETORES!$A:$A,0))</f>
        <v>Funcionários</v>
      </c>
      <c r="C1118" s="1" t="s">
        <v>12</v>
      </c>
      <c r="D1118" s="25" t="n">
        <f aca="false">IF(B1118="Clientes",SUMIFS(PARÂMETROS!$D$8:$D$907,PARÂMETROS!$A$8:$A$907,C1118,PARÂMETROS!$G$8:$G$907,J1118),SUMIFS(PARÂMETROS!$E$8:$E$907,PARÂMETROS!$A$8:$A$907,C1118,PARÂMETROS!$G$8:$G$907,J1118))</f>
        <v>0</v>
      </c>
      <c r="E1118" s="26" t="n">
        <f aca="false">SUMIFS(SETORES!$D:$D,SETORES!$A:$A,A1118,SETORES!$F:$F,J1118)</f>
        <v>108830.75708</v>
      </c>
      <c r="F1118" s="26" t="n">
        <f aca="false">IFERROR(D1118*E1118,0)</f>
        <v>0</v>
      </c>
      <c r="G1118" s="25" t="n">
        <f aca="false">SUMIFS(PARÂMETROS!$F$8:$F$907,PARÂMETROS!$A$8:$A$907,C1118,PARÂMETROS!$G$8:$G$907,J1118)</f>
        <v>0</v>
      </c>
      <c r="H1118" s="26" t="n">
        <f aca="false">IFERROR(F1118*G1118,0)</f>
        <v>0</v>
      </c>
      <c r="I1118" s="26" t="n">
        <f aca="false">F1118+H1118</f>
        <v>0</v>
      </c>
      <c r="J1118" s="1" t="s">
        <v>88</v>
      </c>
    </row>
    <row r="1119" customFormat="false" ht="14.25" hidden="false" customHeight="true" outlineLevel="0" collapsed="false">
      <c r="A1119" s="1" t="s">
        <v>79</v>
      </c>
      <c r="B1119" s="1" t="str">
        <f aca="false">INDEX(SETORES!$B:$B,MATCH(A1119,SETORES!$A:$A,0))</f>
        <v>Funcionários</v>
      </c>
      <c r="C1119" s="1" t="s">
        <v>13</v>
      </c>
      <c r="D1119" s="25" t="n">
        <f aca="false">IF(B1119="Clientes",SUMIFS(PARÂMETROS!$D$8:$D$907,PARÂMETROS!$A$8:$A$907,C1119,PARÂMETROS!$G$8:$G$907,J1119),SUMIFS(PARÂMETROS!$E$8:$E$907,PARÂMETROS!$A$8:$A$907,C1119,PARÂMETROS!$G$8:$G$907,J1119))</f>
        <v>0.0427756653992395</v>
      </c>
      <c r="E1119" s="26" t="n">
        <f aca="false">SUMIFS(SETORES!$D:$D,SETORES!$A:$A,A1119,SETORES!$F:$F,J1119)</f>
        <v>108830.75708</v>
      </c>
      <c r="F1119" s="26" t="n">
        <f aca="false">IFERROR(D1119*E1119,0)</f>
        <v>4655.30805</v>
      </c>
      <c r="G1119" s="25" t="n">
        <f aca="false">SUMIFS(PARÂMETROS!$F$8:$F$907,PARÂMETROS!$A$8:$A$907,C1119,PARÂMETROS!$G$8:$G$907,J1119)</f>
        <v>0</v>
      </c>
      <c r="H1119" s="26" t="n">
        <f aca="false">IFERROR(F1119*G1119,0)</f>
        <v>0</v>
      </c>
      <c r="I1119" s="26" t="n">
        <f aca="false">F1119+H1119</f>
        <v>4655.30805</v>
      </c>
      <c r="J1119" s="1" t="s">
        <v>88</v>
      </c>
    </row>
    <row r="1120" customFormat="false" ht="14.25" hidden="false" customHeight="true" outlineLevel="0" collapsed="false">
      <c r="A1120" s="1" t="s">
        <v>79</v>
      </c>
      <c r="B1120" s="1" t="str">
        <f aca="false">INDEX(SETORES!$B:$B,MATCH(A1120,SETORES!$A:$A,0))</f>
        <v>Funcionários</v>
      </c>
      <c r="C1120" s="1" t="s">
        <v>14</v>
      </c>
      <c r="D1120" s="25" t="n">
        <f aca="false">IF(B1120="Clientes",SUMIFS(PARÂMETROS!$D$8:$D$907,PARÂMETROS!$A$8:$A$907,C1120,PARÂMETROS!$G$8:$G$907,J1120),SUMIFS(PARÂMETROS!$E$8:$E$907,PARÂMETROS!$A$8:$A$907,C1120,PARÂMETROS!$G$8:$G$907,J1120))</f>
        <v>0.00950570342205323</v>
      </c>
      <c r="E1120" s="26" t="n">
        <f aca="false">SUMIFS(SETORES!$D:$D,SETORES!$A:$A,A1120,SETORES!$F:$F,J1120)</f>
        <v>108830.75708</v>
      </c>
      <c r="F1120" s="26" t="n">
        <f aca="false">IFERROR(D1120*E1120,0)</f>
        <v>1034.5129</v>
      </c>
      <c r="G1120" s="25" t="n">
        <f aca="false">SUMIFS(PARÂMETROS!$F$8:$F$907,PARÂMETROS!$A$8:$A$907,C1120,PARÂMETROS!$G$8:$G$907,J1120)</f>
        <v>0</v>
      </c>
      <c r="H1120" s="26" t="n">
        <f aca="false">IFERROR(F1120*G1120,0)</f>
        <v>0</v>
      </c>
      <c r="I1120" s="26" t="n">
        <f aca="false">F1120+H1120</f>
        <v>1034.5129</v>
      </c>
      <c r="J1120" s="1" t="s">
        <v>88</v>
      </c>
    </row>
    <row r="1121" customFormat="false" ht="14.25" hidden="false" customHeight="true" outlineLevel="0" collapsed="false">
      <c r="A1121" s="1" t="s">
        <v>79</v>
      </c>
      <c r="B1121" s="1" t="str">
        <f aca="false">INDEX(SETORES!$B:$B,MATCH(A1121,SETORES!$A:$A,0))</f>
        <v>Funcionários</v>
      </c>
      <c r="C1121" s="1" t="s">
        <v>15</v>
      </c>
      <c r="D1121" s="25" t="n">
        <f aca="false">IF(B1121="Clientes",SUMIFS(PARÂMETROS!$D$8:$D$907,PARÂMETROS!$A$8:$A$907,C1121,PARÂMETROS!$G$8:$G$907,J1121),SUMIFS(PARÂMETROS!$E$8:$E$907,PARÂMETROS!$A$8:$A$907,C1121,PARÂMETROS!$G$8:$G$907,J1121))</f>
        <v>0.0437262357414449</v>
      </c>
      <c r="E1121" s="26" t="n">
        <f aca="false">SUMIFS(SETORES!$D:$D,SETORES!$A:$A,A1121,SETORES!$F:$F,J1121)</f>
        <v>108830.75708</v>
      </c>
      <c r="F1121" s="26" t="n">
        <f aca="false">IFERROR(D1121*E1121,0)</f>
        <v>4758.75934</v>
      </c>
      <c r="G1121" s="25" t="n">
        <f aca="false">SUMIFS(PARÂMETROS!$F$8:$F$907,PARÂMETROS!$A$8:$A$907,C1121,PARÂMETROS!$G$8:$G$907,J1121)</f>
        <v>0</v>
      </c>
      <c r="H1121" s="26" t="n">
        <f aca="false">IFERROR(F1121*G1121,0)</f>
        <v>0</v>
      </c>
      <c r="I1121" s="26" t="n">
        <f aca="false">F1121+H1121</f>
        <v>4758.75934</v>
      </c>
      <c r="J1121" s="1" t="s">
        <v>88</v>
      </c>
    </row>
    <row r="1122" customFormat="false" ht="14.25" hidden="false" customHeight="true" outlineLevel="0" collapsed="false">
      <c r="A1122" s="1" t="s">
        <v>79</v>
      </c>
      <c r="B1122" s="1" t="str">
        <f aca="false">INDEX(SETORES!$B:$B,MATCH(A1122,SETORES!$A:$A,0))</f>
        <v>Funcionários</v>
      </c>
      <c r="C1122" s="1" t="s">
        <v>16</v>
      </c>
      <c r="D1122" s="25" t="n">
        <f aca="false">IF(B1122="Clientes",SUMIFS(PARÂMETROS!$D$8:$D$907,PARÂMETROS!$A$8:$A$907,C1122,PARÂMETROS!$G$8:$G$907,J1122),SUMIFS(PARÂMETROS!$E$8:$E$907,PARÂMETROS!$A$8:$A$907,C1122,PARÂMETROS!$G$8:$G$907,J1122))</f>
        <v>0.0161596958174905</v>
      </c>
      <c r="E1122" s="26" t="n">
        <f aca="false">SUMIFS(SETORES!$D:$D,SETORES!$A:$A,A1122,SETORES!$F:$F,J1122)</f>
        <v>108830.75708</v>
      </c>
      <c r="F1122" s="26" t="n">
        <f aca="false">IFERROR(D1122*E1122,0)</f>
        <v>1758.67193</v>
      </c>
      <c r="G1122" s="25" t="n">
        <f aca="false">SUMIFS(PARÂMETROS!$F$8:$F$907,PARÂMETROS!$A$8:$A$907,C1122,PARÂMETROS!$G$8:$G$907,J1122)</f>
        <v>0</v>
      </c>
      <c r="H1122" s="26" t="n">
        <f aca="false">IFERROR(F1122*G1122,0)</f>
        <v>0</v>
      </c>
      <c r="I1122" s="26" t="n">
        <f aca="false">F1122+H1122</f>
        <v>1758.67193</v>
      </c>
      <c r="J1122" s="1" t="s">
        <v>88</v>
      </c>
    </row>
    <row r="1123" customFormat="false" ht="14.25" hidden="false" customHeight="true" outlineLevel="0" collapsed="false">
      <c r="A1123" s="1" t="s">
        <v>79</v>
      </c>
      <c r="B1123" s="1" t="str">
        <f aca="false">INDEX(SETORES!$B:$B,MATCH(A1123,SETORES!$A:$A,0))</f>
        <v>Funcionários</v>
      </c>
      <c r="C1123" s="1" t="s">
        <v>17</v>
      </c>
      <c r="D1123" s="25" t="n">
        <f aca="false">IF(B1123="Clientes",SUMIFS(PARÂMETROS!$D$8:$D$907,PARÂMETROS!$A$8:$A$907,C1123,PARÂMETROS!$G$8:$G$907,J1123),SUMIFS(PARÂMETROS!$E$8:$E$907,PARÂMETROS!$A$8:$A$907,C1123,PARÂMETROS!$G$8:$G$907,J1123))</f>
        <v>0.0218631178707224</v>
      </c>
      <c r="E1123" s="26" t="n">
        <f aca="false">SUMIFS(SETORES!$D:$D,SETORES!$A:$A,A1123,SETORES!$F:$F,J1123)</f>
        <v>108830.75708</v>
      </c>
      <c r="F1123" s="26" t="n">
        <f aca="false">IFERROR(D1123*E1123,0)</f>
        <v>2379.37967</v>
      </c>
      <c r="G1123" s="25" t="n">
        <f aca="false">SUMIFS(PARÂMETROS!$F$8:$F$907,PARÂMETROS!$A$8:$A$907,C1123,PARÂMETROS!$G$8:$G$907,J1123)</f>
        <v>0</v>
      </c>
      <c r="H1123" s="26" t="n">
        <f aca="false">IFERROR(F1123*G1123,0)</f>
        <v>0</v>
      </c>
      <c r="I1123" s="26" t="n">
        <f aca="false">F1123+H1123</f>
        <v>2379.37967</v>
      </c>
      <c r="J1123" s="1" t="s">
        <v>88</v>
      </c>
    </row>
    <row r="1124" customFormat="false" ht="14.25" hidden="false" customHeight="true" outlineLevel="0" collapsed="false">
      <c r="A1124" s="1" t="s">
        <v>79</v>
      </c>
      <c r="B1124" s="1" t="str">
        <f aca="false">INDEX(SETORES!$B:$B,MATCH(A1124,SETORES!$A:$A,0))</f>
        <v>Funcionários</v>
      </c>
      <c r="C1124" s="1" t="s">
        <v>18</v>
      </c>
      <c r="D1124" s="25" t="n">
        <f aca="false">IF(B1124="Clientes",SUMIFS(PARÂMETROS!$D$8:$D$907,PARÂMETROS!$A$8:$A$907,C1124,PARÂMETROS!$G$8:$G$907,J1124),SUMIFS(PARÂMETROS!$E$8:$E$907,PARÂMETROS!$A$8:$A$907,C1124,PARÂMETROS!$G$8:$G$907,J1124))</f>
        <v>0.83745247148289</v>
      </c>
      <c r="E1124" s="26" t="n">
        <f aca="false">SUMIFS(SETORES!$D:$D,SETORES!$A:$A,A1124,SETORES!$F:$F,J1124)</f>
        <v>108830.75708</v>
      </c>
      <c r="F1124" s="26" t="n">
        <f aca="false">IFERROR(D1124*E1124,0)</f>
        <v>91140.58649</v>
      </c>
      <c r="G1124" s="25" t="n">
        <f aca="false">SUMIFS(PARÂMETROS!$F$8:$F$907,PARÂMETROS!$A$8:$A$907,C1124,PARÂMETROS!$G$8:$G$907,J1124)</f>
        <v>0</v>
      </c>
      <c r="H1124" s="26" t="n">
        <f aca="false">IFERROR(F1124*G1124,0)</f>
        <v>0</v>
      </c>
      <c r="I1124" s="26" t="n">
        <f aca="false">F1124+H1124</f>
        <v>91140.58649</v>
      </c>
      <c r="J1124" s="1" t="s">
        <v>88</v>
      </c>
    </row>
    <row r="1125" customFormat="false" ht="14.25" hidden="false" customHeight="true" outlineLevel="0" collapsed="false">
      <c r="A1125" s="1" t="s">
        <v>80</v>
      </c>
      <c r="B1125" s="1" t="str">
        <f aca="false">INDEX(SETORES!$B:$B,MATCH(A1125,SETORES!$A:$A,0))</f>
        <v>Clientes</v>
      </c>
      <c r="C1125" s="1" t="s">
        <v>10</v>
      </c>
      <c r="D1125" s="25" t="n">
        <f aca="false">IF(B1125="Clientes",SUMIFS(PARÂMETROS!$D$8:$D$907,PARÂMETROS!$A$8:$A$907,C1125,PARÂMETROS!$G$8:$G$907,J1125),SUMIFS(PARÂMETROS!$E$8:$E$907,PARÂMETROS!$A$8:$A$907,C1125,PARÂMETROS!$G$8:$G$907,J1125))</f>
        <v>0.0337120251559568</v>
      </c>
      <c r="E1125" s="26" t="n">
        <f aca="false">SUMIFS(SETORES!$D:$D,SETORES!$A:$A,A1125,SETORES!$F:$F,J1125)</f>
        <v>11793.5748371711</v>
      </c>
      <c r="F1125" s="26" t="n">
        <f aca="false">IFERROR(D1125*E1125,0)</f>
        <v>397.585291589371</v>
      </c>
      <c r="G1125" s="25" t="n">
        <f aca="false">SUMIFS(PARÂMETROS!$F$8:$F$907,PARÂMETROS!$A$8:$A$907,C1125,PARÂMETROS!$G$8:$G$907,J1125)</f>
        <v>0</v>
      </c>
      <c r="H1125" s="26" t="n">
        <f aca="false">IFERROR(F1125*G1125,0)</f>
        <v>0</v>
      </c>
      <c r="I1125" s="26" t="n">
        <f aca="false">F1125+H1125</f>
        <v>397.585291589371</v>
      </c>
      <c r="J1125" s="1" t="s">
        <v>88</v>
      </c>
    </row>
    <row r="1126" customFormat="false" ht="14.25" hidden="false" customHeight="true" outlineLevel="0" collapsed="false">
      <c r="A1126" s="1" t="s">
        <v>80</v>
      </c>
      <c r="B1126" s="1" t="str">
        <f aca="false">INDEX(SETORES!$B:$B,MATCH(A1126,SETORES!$A:$A,0))</f>
        <v>Clientes</v>
      </c>
      <c r="C1126" s="1" t="s">
        <v>12</v>
      </c>
      <c r="D1126" s="25" t="n">
        <f aca="false">IF(B1126="Clientes",SUMIFS(PARÂMETROS!$D$8:$D$907,PARÂMETROS!$A$8:$A$907,C1126,PARÂMETROS!$G$8:$G$907,J1126),SUMIFS(PARÂMETROS!$E$8:$E$907,PARÂMETROS!$A$8:$A$907,C1126,PARÂMETROS!$G$8:$G$907,J1126))</f>
        <v>0.0685195516559314</v>
      </c>
      <c r="E1126" s="26" t="n">
        <f aca="false">SUMIFS(SETORES!$D:$D,SETORES!$A:$A,A1126,SETORES!$F:$F,J1126)</f>
        <v>11793.5748371711</v>
      </c>
      <c r="F1126" s="26" t="n">
        <f aca="false">IFERROR(D1126*E1126,0)</f>
        <v>808.090460263637</v>
      </c>
      <c r="G1126" s="25" t="n">
        <f aca="false">SUMIFS(PARÂMETROS!$F$8:$F$907,PARÂMETROS!$A$8:$A$907,C1126,PARÂMETROS!$G$8:$G$907,J1126)</f>
        <v>0</v>
      </c>
      <c r="H1126" s="26" t="n">
        <f aca="false">IFERROR(F1126*G1126,0)</f>
        <v>0</v>
      </c>
      <c r="I1126" s="26" t="n">
        <f aca="false">F1126+H1126</f>
        <v>808.090460263637</v>
      </c>
      <c r="J1126" s="1" t="s">
        <v>88</v>
      </c>
    </row>
    <row r="1127" customFormat="false" ht="14.25" hidden="false" customHeight="true" outlineLevel="0" collapsed="false">
      <c r="A1127" s="1" t="s">
        <v>80</v>
      </c>
      <c r="B1127" s="1" t="str">
        <f aca="false">INDEX(SETORES!$B:$B,MATCH(A1127,SETORES!$A:$A,0))</f>
        <v>Clientes</v>
      </c>
      <c r="C1127" s="1" t="s">
        <v>13</v>
      </c>
      <c r="D1127" s="25" t="n">
        <f aca="false">IF(B1127="Clientes",SUMIFS(PARÂMETROS!$D$8:$D$907,PARÂMETROS!$A$8:$A$907,C1127,PARÂMETROS!$G$8:$G$907,J1127),SUMIFS(PARÂMETROS!$E$8:$E$907,PARÂMETROS!$A$8:$A$907,C1127,PARÂMETROS!$G$8:$G$907,J1127))</f>
        <v>0.0745397372825481</v>
      </c>
      <c r="E1127" s="26" t="n">
        <f aca="false">SUMIFS(SETORES!$D:$D,SETORES!$A:$A,A1127,SETORES!$F:$F,J1127)</f>
        <v>11793.5748371711</v>
      </c>
      <c r="F1127" s="26" t="n">
        <f aca="false">IFERROR(D1127*E1127,0)</f>
        <v>879.089969984802</v>
      </c>
      <c r="G1127" s="25" t="n">
        <f aca="false">SUMIFS(PARÂMETROS!$F$8:$F$907,PARÂMETROS!$A$8:$A$907,C1127,PARÂMETROS!$G$8:$G$907,J1127)</f>
        <v>0</v>
      </c>
      <c r="H1127" s="26" t="n">
        <f aca="false">IFERROR(F1127*G1127,0)</f>
        <v>0</v>
      </c>
      <c r="I1127" s="26" t="n">
        <f aca="false">F1127+H1127</f>
        <v>879.089969984802</v>
      </c>
      <c r="J1127" s="1" t="s">
        <v>88</v>
      </c>
    </row>
    <row r="1128" customFormat="false" ht="14.25" hidden="false" customHeight="true" outlineLevel="0" collapsed="false">
      <c r="A1128" s="1" t="s">
        <v>80</v>
      </c>
      <c r="B1128" s="1" t="str">
        <f aca="false">INDEX(SETORES!$B:$B,MATCH(A1128,SETORES!$A:$A,0))</f>
        <v>Clientes</v>
      </c>
      <c r="C1128" s="1" t="s">
        <v>14</v>
      </c>
      <c r="D1128" s="25" t="n">
        <f aca="false">IF(B1128="Clientes",SUMIFS(PARÂMETROS!$D$8:$D$907,PARÂMETROS!$A$8:$A$907,C1128,PARÂMETROS!$G$8:$G$907,J1128),SUMIFS(PARÂMETROS!$E$8:$E$907,PARÂMETROS!$A$8:$A$907,C1128,PARÂMETROS!$G$8:$G$907,J1128))</f>
        <v>0.018943044073642</v>
      </c>
      <c r="E1128" s="26" t="n">
        <f aca="false">SUMIFS(SETORES!$D:$D,SETORES!$A:$A,A1128,SETORES!$F:$F,J1128)</f>
        <v>11793.5748371711</v>
      </c>
      <c r="F1128" s="26" t="n">
        <f aca="false">IFERROR(D1128*E1128,0)</f>
        <v>223.406207926328</v>
      </c>
      <c r="G1128" s="25" t="n">
        <f aca="false">SUMIFS(PARÂMETROS!$F$8:$F$907,PARÂMETROS!$A$8:$A$907,C1128,PARÂMETROS!$G$8:$G$907,J1128)</f>
        <v>0</v>
      </c>
      <c r="H1128" s="26" t="n">
        <f aca="false">IFERROR(F1128*G1128,0)</f>
        <v>0</v>
      </c>
      <c r="I1128" s="26" t="n">
        <f aca="false">F1128+H1128</f>
        <v>223.406207926328</v>
      </c>
      <c r="J1128" s="1" t="s">
        <v>88</v>
      </c>
    </row>
    <row r="1129" customFormat="false" ht="14.25" hidden="false" customHeight="true" outlineLevel="0" collapsed="false">
      <c r="A1129" s="1" t="s">
        <v>80</v>
      </c>
      <c r="B1129" s="1" t="str">
        <f aca="false">INDEX(SETORES!$B:$B,MATCH(A1129,SETORES!$A:$A,0))</f>
        <v>Clientes</v>
      </c>
      <c r="C1129" s="1" t="s">
        <v>15</v>
      </c>
      <c r="D1129" s="25" t="n">
        <f aca="false">IF(B1129="Clientes",SUMIFS(PARÂMETROS!$D$8:$D$907,PARÂMETROS!$A$8:$A$907,C1129,PARÂMETROS!$G$8:$G$907,J1129),SUMIFS(PARÂMETROS!$E$8:$E$907,PARÂMETROS!$A$8:$A$907,C1129,PARÂMETROS!$G$8:$G$907,J1129))</f>
        <v>0.0334787239438048</v>
      </c>
      <c r="E1129" s="26" t="n">
        <f aca="false">SUMIFS(SETORES!$D:$D,SETORES!$A:$A,A1129,SETORES!$F:$F,J1129)</f>
        <v>11793.5748371711</v>
      </c>
      <c r="F1129" s="26" t="n">
        <f aca="false">IFERROR(D1129*E1129,0)</f>
        <v>394.833836284254</v>
      </c>
      <c r="G1129" s="25" t="n">
        <f aca="false">SUMIFS(PARÂMETROS!$F$8:$F$907,PARÂMETROS!$A$8:$A$907,C1129,PARÂMETROS!$G$8:$G$907,J1129)</f>
        <v>0</v>
      </c>
      <c r="H1129" s="26" t="n">
        <f aca="false">IFERROR(F1129*G1129,0)</f>
        <v>0</v>
      </c>
      <c r="I1129" s="26" t="n">
        <f aca="false">F1129+H1129</f>
        <v>394.833836284254</v>
      </c>
      <c r="J1129" s="1" t="s">
        <v>88</v>
      </c>
    </row>
    <row r="1130" customFormat="false" ht="14.25" hidden="false" customHeight="true" outlineLevel="0" collapsed="false">
      <c r="A1130" s="1" t="s">
        <v>80</v>
      </c>
      <c r="B1130" s="1" t="str">
        <f aca="false">INDEX(SETORES!$B:$B,MATCH(A1130,SETORES!$A:$A,0))</f>
        <v>Clientes</v>
      </c>
      <c r="C1130" s="1" t="s">
        <v>16</v>
      </c>
      <c r="D1130" s="25" t="n">
        <f aca="false">IF(B1130="Clientes",SUMIFS(PARÂMETROS!$D$8:$D$907,PARÂMETROS!$A$8:$A$907,C1130,PARÂMETROS!$G$8:$G$907,J1130),SUMIFS(PARÂMETROS!$E$8:$E$907,PARÂMETROS!$A$8:$A$907,C1130,PARÂMETROS!$G$8:$G$907,J1130))</f>
        <v>0.0242886848912106</v>
      </c>
      <c r="E1130" s="26" t="n">
        <f aca="false">SUMIFS(SETORES!$D:$D,SETORES!$A:$A,A1130,SETORES!$F:$F,J1130)</f>
        <v>11793.5748371711</v>
      </c>
      <c r="F1130" s="26" t="n">
        <f aca="false">IFERROR(D1130*E1130,0)</f>
        <v>286.450422960959</v>
      </c>
      <c r="G1130" s="25" t="n">
        <f aca="false">SUMIFS(PARÂMETROS!$F$8:$F$907,PARÂMETROS!$A$8:$A$907,C1130,PARÂMETROS!$G$8:$G$907,J1130)</f>
        <v>0</v>
      </c>
      <c r="H1130" s="26" t="n">
        <f aca="false">IFERROR(F1130*G1130,0)</f>
        <v>0</v>
      </c>
      <c r="I1130" s="26" t="n">
        <f aca="false">F1130+H1130</f>
        <v>286.450422960959</v>
      </c>
      <c r="J1130" s="1" t="s">
        <v>88</v>
      </c>
    </row>
    <row r="1131" customFormat="false" ht="14.25" hidden="false" customHeight="true" outlineLevel="0" collapsed="false">
      <c r="A1131" s="1" t="s">
        <v>80</v>
      </c>
      <c r="B1131" s="1" t="str">
        <f aca="false">INDEX(SETORES!$B:$B,MATCH(A1131,SETORES!$A:$A,0))</f>
        <v>Clientes</v>
      </c>
      <c r="C1131" s="1" t="s">
        <v>17</v>
      </c>
      <c r="D1131" s="25" t="n">
        <f aca="false">IF(B1131="Clientes",SUMIFS(PARÂMETROS!$D$8:$D$907,PARÂMETROS!$A$8:$A$907,C1131,PARÂMETROS!$G$8:$G$907,J1131),SUMIFS(PARÂMETROS!$E$8:$E$907,PARÂMETROS!$A$8:$A$907,C1131,PARÂMETROS!$G$8:$G$907,J1131))</f>
        <v>0.0243241872495816</v>
      </c>
      <c r="E1131" s="26" t="n">
        <f aca="false">SUMIFS(SETORES!$D:$D,SETORES!$A:$A,A1131,SETORES!$F:$F,J1131)</f>
        <v>11793.5748371711</v>
      </c>
      <c r="F1131" s="26" t="n">
        <f aca="false">IFERROR(D1131*E1131,0)</f>
        <v>286.869122681303</v>
      </c>
      <c r="G1131" s="25" t="n">
        <f aca="false">SUMIFS(PARÂMETROS!$F$8:$F$907,PARÂMETROS!$A$8:$A$907,C1131,PARÂMETROS!$G$8:$G$907,J1131)</f>
        <v>0</v>
      </c>
      <c r="H1131" s="26" t="n">
        <f aca="false">IFERROR(F1131*G1131,0)</f>
        <v>0</v>
      </c>
      <c r="I1131" s="26" t="n">
        <f aca="false">F1131+H1131</f>
        <v>286.869122681303</v>
      </c>
      <c r="J1131" s="1" t="s">
        <v>88</v>
      </c>
    </row>
    <row r="1132" customFormat="false" ht="14.25" hidden="false" customHeight="true" outlineLevel="0" collapsed="false">
      <c r="A1132" s="1" t="s">
        <v>80</v>
      </c>
      <c r="B1132" s="1" t="str">
        <f aca="false">INDEX(SETORES!$B:$B,MATCH(A1132,SETORES!$A:$A,0))</f>
        <v>Clientes</v>
      </c>
      <c r="C1132" s="1" t="s">
        <v>18</v>
      </c>
      <c r="D1132" s="25" t="n">
        <f aca="false">IF(B1132="Clientes",SUMIFS(PARÂMETROS!$D$8:$D$907,PARÂMETROS!$A$8:$A$907,C1132,PARÂMETROS!$G$8:$G$907,J1132),SUMIFS(PARÂMETROS!$E$8:$E$907,PARÂMETROS!$A$8:$A$907,C1132,PARÂMETROS!$G$8:$G$907,J1132))</f>
        <v>0.722194045747325</v>
      </c>
      <c r="E1132" s="26" t="n">
        <f aca="false">SUMIFS(SETORES!$D:$D,SETORES!$A:$A,A1132,SETORES!$F:$F,J1132)</f>
        <v>11793.5748371711</v>
      </c>
      <c r="F1132" s="26" t="n">
        <f aca="false">IFERROR(D1132*E1132,0)</f>
        <v>8517.24952548043</v>
      </c>
      <c r="G1132" s="25" t="n">
        <f aca="false">SUMIFS(PARÂMETROS!$F$8:$F$907,PARÂMETROS!$A$8:$A$907,C1132,PARÂMETROS!$G$8:$G$907,J1132)</f>
        <v>0</v>
      </c>
      <c r="H1132" s="26" t="n">
        <f aca="false">IFERROR(F1132*G1132,0)</f>
        <v>0</v>
      </c>
      <c r="I1132" s="26" t="n">
        <f aca="false">F1132+H1132</f>
        <v>8517.24952548043</v>
      </c>
      <c r="J1132" s="1" t="s">
        <v>88</v>
      </c>
    </row>
    <row r="1133" customFormat="false" ht="14.25" hidden="false" customHeight="true" outlineLevel="0" collapsed="false">
      <c r="A1133" s="1" t="s">
        <v>81</v>
      </c>
      <c r="B1133" s="1" t="str">
        <f aca="false">INDEX(SETORES!$B:$B,MATCH(A1133,SETORES!$A:$A,0))</f>
        <v>Clientes</v>
      </c>
      <c r="C1133" s="1" t="s">
        <v>10</v>
      </c>
      <c r="D1133" s="25" t="n">
        <f aca="false">IF(B1133="Clientes",SUMIFS(PARÂMETROS!$D$8:$D$907,PARÂMETROS!$A$8:$A$907,C1133,PARÂMETROS!$G$8:$G$907,J1133),SUMIFS(PARÂMETROS!$E$8:$E$907,PARÂMETROS!$A$8:$A$907,C1133,PARÂMETROS!$G$8:$G$907,J1133))</f>
        <v>0.0337120251559568</v>
      </c>
      <c r="E1133" s="26" t="n">
        <f aca="false">SUMIFS(SETORES!$D:$D,SETORES!$A:$A,A1133,SETORES!$F:$F,J1133)</f>
        <v>15036.7009482308</v>
      </c>
      <c r="F1133" s="26" t="n">
        <f aca="false">IFERROR(D1133*E1133,0)</f>
        <v>506.917640629355</v>
      </c>
      <c r="G1133" s="25" t="n">
        <f aca="false">SUMIFS(PARÂMETROS!$F$8:$F$907,PARÂMETROS!$A$8:$A$907,C1133,PARÂMETROS!$G$8:$G$907,J1133)</f>
        <v>0</v>
      </c>
      <c r="H1133" s="26" t="n">
        <f aca="false">IFERROR(F1133*G1133,0)</f>
        <v>0</v>
      </c>
      <c r="I1133" s="26" t="n">
        <f aca="false">F1133+H1133</f>
        <v>506.917640629355</v>
      </c>
      <c r="J1133" s="1" t="s">
        <v>88</v>
      </c>
    </row>
    <row r="1134" customFormat="false" ht="14.25" hidden="false" customHeight="true" outlineLevel="0" collapsed="false">
      <c r="A1134" s="1" t="s">
        <v>81</v>
      </c>
      <c r="B1134" s="1" t="str">
        <f aca="false">INDEX(SETORES!$B:$B,MATCH(A1134,SETORES!$A:$A,0))</f>
        <v>Clientes</v>
      </c>
      <c r="C1134" s="1" t="s">
        <v>12</v>
      </c>
      <c r="D1134" s="25" t="n">
        <f aca="false">IF(B1134="Clientes",SUMIFS(PARÂMETROS!$D$8:$D$907,PARÂMETROS!$A$8:$A$907,C1134,PARÂMETROS!$G$8:$G$907,J1134),SUMIFS(PARÂMETROS!$E$8:$E$907,PARÂMETROS!$A$8:$A$907,C1134,PARÂMETROS!$G$8:$G$907,J1134))</f>
        <v>0.0685195516559314</v>
      </c>
      <c r="E1134" s="26" t="n">
        <f aca="false">SUMIFS(SETORES!$D:$D,SETORES!$A:$A,A1134,SETORES!$F:$F,J1134)</f>
        <v>15036.7009482308</v>
      </c>
      <c r="F1134" s="26" t="n">
        <f aca="false">IFERROR(D1134*E1134,0)</f>
        <v>1030.30800735709</v>
      </c>
      <c r="G1134" s="25" t="n">
        <f aca="false">SUMIFS(PARÂMETROS!$F$8:$F$907,PARÂMETROS!$A$8:$A$907,C1134,PARÂMETROS!$G$8:$G$907,J1134)</f>
        <v>0</v>
      </c>
      <c r="H1134" s="26" t="n">
        <f aca="false">IFERROR(F1134*G1134,0)</f>
        <v>0</v>
      </c>
      <c r="I1134" s="26" t="n">
        <f aca="false">F1134+H1134</f>
        <v>1030.30800735709</v>
      </c>
      <c r="J1134" s="1" t="s">
        <v>88</v>
      </c>
    </row>
    <row r="1135" customFormat="false" ht="14.25" hidden="false" customHeight="true" outlineLevel="0" collapsed="false">
      <c r="A1135" s="1" t="s">
        <v>81</v>
      </c>
      <c r="B1135" s="1" t="str">
        <f aca="false">INDEX(SETORES!$B:$B,MATCH(A1135,SETORES!$A:$A,0))</f>
        <v>Clientes</v>
      </c>
      <c r="C1135" s="1" t="s">
        <v>13</v>
      </c>
      <c r="D1135" s="25" t="n">
        <f aca="false">IF(B1135="Clientes",SUMIFS(PARÂMETROS!$D$8:$D$907,PARÂMETROS!$A$8:$A$907,C1135,PARÂMETROS!$G$8:$G$907,J1135),SUMIFS(PARÂMETROS!$E$8:$E$907,PARÂMETROS!$A$8:$A$907,C1135,PARÂMETROS!$G$8:$G$907,J1135))</f>
        <v>0.0745397372825481</v>
      </c>
      <c r="E1135" s="26" t="n">
        <f aca="false">SUMIFS(SETORES!$D:$D,SETORES!$A:$A,A1135,SETORES!$F:$F,J1135)</f>
        <v>15036.7009482308</v>
      </c>
      <c r="F1135" s="26" t="n">
        <f aca="false">IFERROR(D1135*E1135,0)</f>
        <v>1120.83173827736</v>
      </c>
      <c r="G1135" s="25" t="n">
        <f aca="false">SUMIFS(PARÂMETROS!$F$8:$F$907,PARÂMETROS!$A$8:$A$907,C1135,PARÂMETROS!$G$8:$G$907,J1135)</f>
        <v>0</v>
      </c>
      <c r="H1135" s="26" t="n">
        <f aca="false">IFERROR(F1135*G1135,0)</f>
        <v>0</v>
      </c>
      <c r="I1135" s="26" t="n">
        <f aca="false">F1135+H1135</f>
        <v>1120.83173827736</v>
      </c>
      <c r="J1135" s="1" t="s">
        <v>88</v>
      </c>
    </row>
    <row r="1136" customFormat="false" ht="14.25" hidden="false" customHeight="true" outlineLevel="0" collapsed="false">
      <c r="A1136" s="1" t="s">
        <v>81</v>
      </c>
      <c r="B1136" s="1" t="str">
        <f aca="false">INDEX(SETORES!$B:$B,MATCH(A1136,SETORES!$A:$A,0))</f>
        <v>Clientes</v>
      </c>
      <c r="C1136" s="1" t="s">
        <v>14</v>
      </c>
      <c r="D1136" s="25" t="n">
        <f aca="false">IF(B1136="Clientes",SUMIFS(PARÂMETROS!$D$8:$D$907,PARÂMETROS!$A$8:$A$907,C1136,PARÂMETROS!$G$8:$G$907,J1136),SUMIFS(PARÂMETROS!$E$8:$E$907,PARÂMETROS!$A$8:$A$907,C1136,PARÂMETROS!$G$8:$G$907,J1136))</f>
        <v>0.018943044073642</v>
      </c>
      <c r="E1136" s="26" t="n">
        <f aca="false">SUMIFS(SETORES!$D:$D,SETORES!$A:$A,A1136,SETORES!$F:$F,J1136)</f>
        <v>15036.7009482308</v>
      </c>
      <c r="F1136" s="26" t="n">
        <f aca="false">IFERROR(D1136*E1136,0)</f>
        <v>284.84088878451</v>
      </c>
      <c r="G1136" s="25" t="n">
        <f aca="false">SUMIFS(PARÂMETROS!$F$8:$F$907,PARÂMETROS!$A$8:$A$907,C1136,PARÂMETROS!$G$8:$G$907,J1136)</f>
        <v>0</v>
      </c>
      <c r="H1136" s="26" t="n">
        <f aca="false">IFERROR(F1136*G1136,0)</f>
        <v>0</v>
      </c>
      <c r="I1136" s="26" t="n">
        <f aca="false">F1136+H1136</f>
        <v>284.84088878451</v>
      </c>
      <c r="J1136" s="1" t="s">
        <v>88</v>
      </c>
    </row>
    <row r="1137" customFormat="false" ht="14.25" hidden="false" customHeight="true" outlineLevel="0" collapsed="false">
      <c r="A1137" s="1" t="s">
        <v>81</v>
      </c>
      <c r="B1137" s="1" t="str">
        <f aca="false">INDEX(SETORES!$B:$B,MATCH(A1137,SETORES!$A:$A,0))</f>
        <v>Clientes</v>
      </c>
      <c r="C1137" s="1" t="s">
        <v>15</v>
      </c>
      <c r="D1137" s="25" t="n">
        <f aca="false">IF(B1137="Clientes",SUMIFS(PARÂMETROS!$D$8:$D$907,PARÂMETROS!$A$8:$A$907,C1137,PARÂMETROS!$G$8:$G$907,J1137),SUMIFS(PARÂMETROS!$E$8:$E$907,PARÂMETROS!$A$8:$A$907,C1137,PARÂMETROS!$G$8:$G$907,J1137))</f>
        <v>0.0334787239438048</v>
      </c>
      <c r="E1137" s="26" t="n">
        <f aca="false">SUMIFS(SETORES!$D:$D,SETORES!$A:$A,A1137,SETORES!$F:$F,J1137)</f>
        <v>15036.7009482308</v>
      </c>
      <c r="F1137" s="26" t="n">
        <f aca="false">IFERROR(D1137*E1137,0)</f>
        <v>503.409560071366</v>
      </c>
      <c r="G1137" s="25" t="n">
        <f aca="false">SUMIFS(PARÂMETROS!$F$8:$F$907,PARÂMETROS!$A$8:$A$907,C1137,PARÂMETROS!$G$8:$G$907,J1137)</f>
        <v>0</v>
      </c>
      <c r="H1137" s="26" t="n">
        <f aca="false">IFERROR(F1137*G1137,0)</f>
        <v>0</v>
      </c>
      <c r="I1137" s="26" t="n">
        <f aca="false">F1137+H1137</f>
        <v>503.409560071366</v>
      </c>
      <c r="J1137" s="1" t="s">
        <v>88</v>
      </c>
    </row>
    <row r="1138" customFormat="false" ht="14.25" hidden="false" customHeight="true" outlineLevel="0" collapsed="false">
      <c r="A1138" s="1" t="s">
        <v>81</v>
      </c>
      <c r="B1138" s="1" t="str">
        <f aca="false">INDEX(SETORES!$B:$B,MATCH(A1138,SETORES!$A:$A,0))</f>
        <v>Clientes</v>
      </c>
      <c r="C1138" s="1" t="s">
        <v>16</v>
      </c>
      <c r="D1138" s="25" t="n">
        <f aca="false">IF(B1138="Clientes",SUMIFS(PARÂMETROS!$D$8:$D$907,PARÂMETROS!$A$8:$A$907,C1138,PARÂMETROS!$G$8:$G$907,J1138),SUMIFS(PARÂMETROS!$E$8:$E$907,PARÂMETROS!$A$8:$A$907,C1138,PARÂMETROS!$G$8:$G$907,J1138))</f>
        <v>0.0242886848912106</v>
      </c>
      <c r="E1138" s="26" t="n">
        <f aca="false">SUMIFS(SETORES!$D:$D,SETORES!$A:$A,A1138,SETORES!$F:$F,J1138)</f>
        <v>15036.7009482308</v>
      </c>
      <c r="F1138" s="26" t="n">
        <f aca="false">IFERROR(D1138*E1138,0)</f>
        <v>365.221691134945</v>
      </c>
      <c r="G1138" s="25" t="n">
        <f aca="false">SUMIFS(PARÂMETROS!$F$8:$F$907,PARÂMETROS!$A$8:$A$907,C1138,PARÂMETROS!$G$8:$G$907,J1138)</f>
        <v>0</v>
      </c>
      <c r="H1138" s="26" t="n">
        <f aca="false">IFERROR(F1138*G1138,0)</f>
        <v>0</v>
      </c>
      <c r="I1138" s="26" t="n">
        <f aca="false">F1138+H1138</f>
        <v>365.221691134945</v>
      </c>
      <c r="J1138" s="1" t="s">
        <v>88</v>
      </c>
    </row>
    <row r="1139" customFormat="false" ht="14.25" hidden="false" customHeight="true" outlineLevel="0" collapsed="false">
      <c r="A1139" s="1" t="s">
        <v>81</v>
      </c>
      <c r="B1139" s="1" t="str">
        <f aca="false">INDEX(SETORES!$B:$B,MATCH(A1139,SETORES!$A:$A,0))</f>
        <v>Clientes</v>
      </c>
      <c r="C1139" s="1" t="s">
        <v>17</v>
      </c>
      <c r="D1139" s="25" t="n">
        <f aca="false">IF(B1139="Clientes",SUMIFS(PARÂMETROS!$D$8:$D$907,PARÂMETROS!$A$8:$A$907,C1139,PARÂMETROS!$G$8:$G$907,J1139),SUMIFS(PARÂMETROS!$E$8:$E$907,PARÂMETROS!$A$8:$A$907,C1139,PARÂMETROS!$G$8:$G$907,J1139))</f>
        <v>0.0243241872495816</v>
      </c>
      <c r="E1139" s="26" t="n">
        <f aca="false">SUMIFS(SETORES!$D:$D,SETORES!$A:$A,A1139,SETORES!$F:$F,J1139)</f>
        <v>15036.7009482308</v>
      </c>
      <c r="F1139" s="26" t="n">
        <f aca="false">IFERROR(D1139*E1139,0)</f>
        <v>365.755529480726</v>
      </c>
      <c r="G1139" s="25" t="n">
        <f aca="false">SUMIFS(PARÂMETROS!$F$8:$F$907,PARÂMETROS!$A$8:$A$907,C1139,PARÂMETROS!$G$8:$G$907,J1139)</f>
        <v>0</v>
      </c>
      <c r="H1139" s="26" t="n">
        <f aca="false">IFERROR(F1139*G1139,0)</f>
        <v>0</v>
      </c>
      <c r="I1139" s="26" t="n">
        <f aca="false">F1139+H1139</f>
        <v>365.755529480726</v>
      </c>
      <c r="J1139" s="1" t="s">
        <v>88</v>
      </c>
    </row>
    <row r="1140" customFormat="false" ht="14.25" hidden="false" customHeight="true" outlineLevel="0" collapsed="false">
      <c r="A1140" s="1" t="s">
        <v>81</v>
      </c>
      <c r="B1140" s="1" t="str">
        <f aca="false">INDEX(SETORES!$B:$B,MATCH(A1140,SETORES!$A:$A,0))</f>
        <v>Clientes</v>
      </c>
      <c r="C1140" s="1" t="s">
        <v>18</v>
      </c>
      <c r="D1140" s="25" t="n">
        <f aca="false">IF(B1140="Clientes",SUMIFS(PARÂMETROS!$D$8:$D$907,PARÂMETROS!$A$8:$A$907,C1140,PARÂMETROS!$G$8:$G$907,J1140),SUMIFS(PARÂMETROS!$E$8:$E$907,PARÂMETROS!$A$8:$A$907,C1140,PARÂMETROS!$G$8:$G$907,J1140))</f>
        <v>0.722194045747325</v>
      </c>
      <c r="E1140" s="26" t="n">
        <f aca="false">SUMIFS(SETORES!$D:$D,SETORES!$A:$A,A1140,SETORES!$F:$F,J1140)</f>
        <v>15036.7009482308</v>
      </c>
      <c r="F1140" s="26" t="n">
        <f aca="false">IFERROR(D1140*E1140,0)</f>
        <v>10859.4158924954</v>
      </c>
      <c r="G1140" s="25" t="n">
        <f aca="false">SUMIFS(PARÂMETROS!$F$8:$F$907,PARÂMETROS!$A$8:$A$907,C1140,PARÂMETROS!$G$8:$G$907,J1140)</f>
        <v>0</v>
      </c>
      <c r="H1140" s="26" t="n">
        <f aca="false">IFERROR(F1140*G1140,0)</f>
        <v>0</v>
      </c>
      <c r="I1140" s="26" t="n">
        <f aca="false">F1140+H1140</f>
        <v>10859.4158924954</v>
      </c>
      <c r="J1140" s="1" t="s">
        <v>88</v>
      </c>
    </row>
    <row r="1141" customFormat="false" ht="14.25" hidden="false" customHeight="true" outlineLevel="0" collapsed="false">
      <c r="A1141" s="1" t="s">
        <v>82</v>
      </c>
      <c r="B1141" s="1" t="str">
        <f aca="false">INDEX(SETORES!$B:$B,MATCH(A1141,SETORES!$A:$A,0))</f>
        <v>Clientes</v>
      </c>
      <c r="C1141" s="1" t="s">
        <v>10</v>
      </c>
      <c r="D1141" s="25" t="n">
        <f aca="false">IF(B1141="Clientes",SUMIFS(PARÂMETROS!$D$8:$D$907,PARÂMETROS!$A$8:$A$907,C1141,PARÂMETROS!$G$8:$G$907,J1141),SUMIFS(PARÂMETROS!$E$8:$E$907,PARÂMETROS!$A$8:$A$907,C1141,PARÂMETROS!$G$8:$G$907,J1141))</f>
        <v>0.0337120251559568</v>
      </c>
      <c r="E1141" s="26" t="n">
        <f aca="false">SUMIFS(SETORES!$D:$D,SETORES!$A:$A,A1141,SETORES!$F:$F,J1141)</f>
        <v>136026.67</v>
      </c>
      <c r="F1141" s="26" t="n">
        <f aca="false">IFERROR(D1141*E1141,0)</f>
        <v>4585.73452092103</v>
      </c>
      <c r="G1141" s="25" t="n">
        <f aca="false">SUMIFS(PARÂMETROS!$F$8:$F$907,PARÂMETROS!$A$8:$A$907,C1141,PARÂMETROS!$G$8:$G$907,J1141)</f>
        <v>0</v>
      </c>
      <c r="H1141" s="26" t="n">
        <f aca="false">IFERROR(F1141*G1141,0)</f>
        <v>0</v>
      </c>
      <c r="I1141" s="26" t="n">
        <f aca="false">F1141+H1141</f>
        <v>4585.73452092103</v>
      </c>
      <c r="J1141" s="1" t="s">
        <v>88</v>
      </c>
    </row>
    <row r="1142" customFormat="false" ht="14.25" hidden="false" customHeight="true" outlineLevel="0" collapsed="false">
      <c r="A1142" s="1" t="s">
        <v>82</v>
      </c>
      <c r="B1142" s="1" t="str">
        <f aca="false">INDEX(SETORES!$B:$B,MATCH(A1142,SETORES!$A:$A,0))</f>
        <v>Clientes</v>
      </c>
      <c r="C1142" s="1" t="s">
        <v>12</v>
      </c>
      <c r="D1142" s="25" t="n">
        <f aca="false">IF(B1142="Clientes",SUMIFS(PARÂMETROS!$D$8:$D$907,PARÂMETROS!$A$8:$A$907,C1142,PARÂMETROS!$G$8:$G$907,J1142),SUMIFS(PARÂMETROS!$E$8:$E$907,PARÂMETROS!$A$8:$A$907,C1142,PARÂMETROS!$G$8:$G$907,J1142))</f>
        <v>0.0685195516559314</v>
      </c>
      <c r="E1142" s="26" t="n">
        <f aca="false">SUMIFS(SETORES!$D:$D,SETORES!$A:$A,A1142,SETORES!$F:$F,J1142)</f>
        <v>136026.67</v>
      </c>
      <c r="F1142" s="26" t="n">
        <f aca="false">IFERROR(D1142*E1142,0)</f>
        <v>9320.48644164934</v>
      </c>
      <c r="G1142" s="25" t="n">
        <f aca="false">SUMIFS(PARÂMETROS!$F$8:$F$907,PARÂMETROS!$A$8:$A$907,C1142,PARÂMETROS!$G$8:$G$907,J1142)</f>
        <v>0</v>
      </c>
      <c r="H1142" s="26" t="n">
        <f aca="false">IFERROR(F1142*G1142,0)</f>
        <v>0</v>
      </c>
      <c r="I1142" s="26" t="n">
        <f aca="false">F1142+H1142</f>
        <v>9320.48644164934</v>
      </c>
      <c r="J1142" s="1" t="s">
        <v>88</v>
      </c>
    </row>
    <row r="1143" customFormat="false" ht="14.25" hidden="false" customHeight="true" outlineLevel="0" collapsed="false">
      <c r="A1143" s="1" t="s">
        <v>82</v>
      </c>
      <c r="B1143" s="1" t="str">
        <f aca="false">INDEX(SETORES!$B:$B,MATCH(A1143,SETORES!$A:$A,0))</f>
        <v>Clientes</v>
      </c>
      <c r="C1143" s="1" t="s">
        <v>13</v>
      </c>
      <c r="D1143" s="25" t="n">
        <f aca="false">IF(B1143="Clientes",SUMIFS(PARÂMETROS!$D$8:$D$907,PARÂMETROS!$A$8:$A$907,C1143,PARÂMETROS!$G$8:$G$907,J1143),SUMIFS(PARÂMETROS!$E$8:$E$907,PARÂMETROS!$A$8:$A$907,C1143,PARÂMETROS!$G$8:$G$907,J1143))</f>
        <v>0.0745397372825481</v>
      </c>
      <c r="E1143" s="26" t="n">
        <f aca="false">SUMIFS(SETORES!$D:$D,SETORES!$A:$A,A1143,SETORES!$F:$F,J1143)</f>
        <v>136026.67</v>
      </c>
      <c r="F1143" s="26" t="n">
        <f aca="false">IFERROR(D1143*E1143,0)</f>
        <v>10139.3922452199</v>
      </c>
      <c r="G1143" s="25" t="n">
        <f aca="false">SUMIFS(PARÂMETROS!$F$8:$F$907,PARÂMETROS!$A$8:$A$907,C1143,PARÂMETROS!$G$8:$G$907,J1143)</f>
        <v>0</v>
      </c>
      <c r="H1143" s="26" t="n">
        <f aca="false">IFERROR(F1143*G1143,0)</f>
        <v>0</v>
      </c>
      <c r="I1143" s="26" t="n">
        <f aca="false">F1143+H1143</f>
        <v>10139.3922452199</v>
      </c>
      <c r="J1143" s="1" t="s">
        <v>88</v>
      </c>
    </row>
    <row r="1144" customFormat="false" ht="14.25" hidden="false" customHeight="true" outlineLevel="0" collapsed="false">
      <c r="A1144" s="1" t="s">
        <v>82</v>
      </c>
      <c r="B1144" s="1" t="str">
        <f aca="false">INDEX(SETORES!$B:$B,MATCH(A1144,SETORES!$A:$A,0))</f>
        <v>Clientes</v>
      </c>
      <c r="C1144" s="1" t="s">
        <v>14</v>
      </c>
      <c r="D1144" s="25" t="n">
        <f aca="false">IF(B1144="Clientes",SUMIFS(PARÂMETROS!$D$8:$D$907,PARÂMETROS!$A$8:$A$907,C1144,PARÂMETROS!$G$8:$G$907,J1144),SUMIFS(PARÂMETROS!$E$8:$E$907,PARÂMETROS!$A$8:$A$907,C1144,PARÂMETROS!$G$8:$G$907,J1144))</f>
        <v>0.018943044073642</v>
      </c>
      <c r="E1144" s="26" t="n">
        <f aca="false">SUMIFS(SETORES!$D:$D,SETORES!$A:$A,A1144,SETORES!$F:$F,J1144)</f>
        <v>136026.67</v>
      </c>
      <c r="F1144" s="26" t="n">
        <f aca="false">IFERROR(D1144*E1144,0)</f>
        <v>2576.75920500076</v>
      </c>
      <c r="G1144" s="25" t="n">
        <f aca="false">SUMIFS(PARÂMETROS!$F$8:$F$907,PARÂMETROS!$A$8:$A$907,C1144,PARÂMETROS!$G$8:$G$907,J1144)</f>
        <v>0</v>
      </c>
      <c r="H1144" s="26" t="n">
        <f aca="false">IFERROR(F1144*G1144,0)</f>
        <v>0</v>
      </c>
      <c r="I1144" s="26" t="n">
        <f aca="false">F1144+H1144</f>
        <v>2576.75920500076</v>
      </c>
      <c r="J1144" s="1" t="s">
        <v>88</v>
      </c>
    </row>
    <row r="1145" customFormat="false" ht="14.25" hidden="false" customHeight="true" outlineLevel="0" collapsed="false">
      <c r="A1145" s="1" t="s">
        <v>82</v>
      </c>
      <c r="B1145" s="1" t="str">
        <f aca="false">INDEX(SETORES!$B:$B,MATCH(A1145,SETORES!$A:$A,0))</f>
        <v>Clientes</v>
      </c>
      <c r="C1145" s="1" t="s">
        <v>15</v>
      </c>
      <c r="D1145" s="25" t="n">
        <f aca="false">IF(B1145="Clientes",SUMIFS(PARÂMETROS!$D$8:$D$907,PARÂMETROS!$A$8:$A$907,C1145,PARÂMETROS!$G$8:$G$907,J1145),SUMIFS(PARÂMETROS!$E$8:$E$907,PARÂMETROS!$A$8:$A$907,C1145,PARÂMETROS!$G$8:$G$907,J1145))</f>
        <v>0.0334787239438048</v>
      </c>
      <c r="E1145" s="26" t="n">
        <f aca="false">SUMIFS(SETORES!$D:$D,SETORES!$A:$A,A1145,SETORES!$F:$F,J1145)</f>
        <v>136026.67</v>
      </c>
      <c r="F1145" s="26" t="n">
        <f aca="false">IFERROR(D1145*E1145,0)</f>
        <v>4553.99933392504</v>
      </c>
      <c r="G1145" s="25" t="n">
        <f aca="false">SUMIFS(PARÂMETROS!$F$8:$F$907,PARÂMETROS!$A$8:$A$907,C1145,PARÂMETROS!$G$8:$G$907,J1145)</f>
        <v>0</v>
      </c>
      <c r="H1145" s="26" t="n">
        <f aca="false">IFERROR(F1145*G1145,0)</f>
        <v>0</v>
      </c>
      <c r="I1145" s="26" t="n">
        <f aca="false">F1145+H1145</f>
        <v>4553.99933392504</v>
      </c>
      <c r="J1145" s="1" t="s">
        <v>88</v>
      </c>
    </row>
    <row r="1146" customFormat="false" ht="14.25" hidden="false" customHeight="true" outlineLevel="0" collapsed="false">
      <c r="A1146" s="1" t="s">
        <v>82</v>
      </c>
      <c r="B1146" s="1" t="str">
        <f aca="false">INDEX(SETORES!$B:$B,MATCH(A1146,SETORES!$A:$A,0))</f>
        <v>Clientes</v>
      </c>
      <c r="C1146" s="1" t="s">
        <v>16</v>
      </c>
      <c r="D1146" s="25" t="n">
        <f aca="false">IF(B1146="Clientes",SUMIFS(PARÂMETROS!$D$8:$D$907,PARÂMETROS!$A$8:$A$907,C1146,PARÂMETROS!$G$8:$G$907,J1146),SUMIFS(PARÂMETROS!$E$8:$E$907,PARÂMETROS!$A$8:$A$907,C1146,PARÂMETROS!$G$8:$G$907,J1146))</f>
        <v>0.0242886848912106</v>
      </c>
      <c r="E1146" s="26" t="n">
        <f aca="false">SUMIFS(SETORES!$D:$D,SETORES!$A:$A,A1146,SETORES!$F:$F,J1146)</f>
        <v>136026.67</v>
      </c>
      <c r="F1146" s="26" t="n">
        <f aca="false">IFERROR(D1146*E1146,0)</f>
        <v>3303.90892443069</v>
      </c>
      <c r="G1146" s="25" t="n">
        <f aca="false">SUMIFS(PARÂMETROS!$F$8:$F$907,PARÂMETROS!$A$8:$A$907,C1146,PARÂMETROS!$G$8:$G$907,J1146)</f>
        <v>0</v>
      </c>
      <c r="H1146" s="26" t="n">
        <f aca="false">IFERROR(F1146*G1146,0)</f>
        <v>0</v>
      </c>
      <c r="I1146" s="26" t="n">
        <f aca="false">F1146+H1146</f>
        <v>3303.90892443069</v>
      </c>
      <c r="J1146" s="1" t="s">
        <v>88</v>
      </c>
    </row>
    <row r="1147" customFormat="false" ht="14.25" hidden="false" customHeight="true" outlineLevel="0" collapsed="false">
      <c r="A1147" s="1" t="s">
        <v>82</v>
      </c>
      <c r="B1147" s="1" t="str">
        <f aca="false">INDEX(SETORES!$B:$B,MATCH(A1147,SETORES!$A:$A,0))</f>
        <v>Clientes</v>
      </c>
      <c r="C1147" s="1" t="s">
        <v>17</v>
      </c>
      <c r="D1147" s="25" t="n">
        <f aca="false">IF(B1147="Clientes",SUMIFS(PARÂMETROS!$D$8:$D$907,PARÂMETROS!$A$8:$A$907,C1147,PARÂMETROS!$G$8:$G$907,J1147),SUMIFS(PARÂMETROS!$E$8:$E$907,PARÂMETROS!$A$8:$A$907,C1147,PARÂMETROS!$G$8:$G$907,J1147))</f>
        <v>0.0243241872495816</v>
      </c>
      <c r="E1147" s="26" t="n">
        <f aca="false">SUMIFS(SETORES!$D:$D,SETORES!$A:$A,A1147,SETORES!$F:$F,J1147)</f>
        <v>136026.67</v>
      </c>
      <c r="F1147" s="26" t="n">
        <f aca="false">IFERROR(D1147*E1147,0)</f>
        <v>3308.73819201704</v>
      </c>
      <c r="G1147" s="25" t="n">
        <f aca="false">SUMIFS(PARÂMETROS!$F$8:$F$907,PARÂMETROS!$A$8:$A$907,C1147,PARÂMETROS!$G$8:$G$907,J1147)</f>
        <v>0</v>
      </c>
      <c r="H1147" s="26" t="n">
        <f aca="false">IFERROR(F1147*G1147,0)</f>
        <v>0</v>
      </c>
      <c r="I1147" s="26" t="n">
        <f aca="false">F1147+H1147</f>
        <v>3308.73819201704</v>
      </c>
      <c r="J1147" s="1" t="s">
        <v>88</v>
      </c>
    </row>
    <row r="1148" customFormat="false" ht="14.25" hidden="false" customHeight="true" outlineLevel="0" collapsed="false">
      <c r="A1148" s="1" t="s">
        <v>82</v>
      </c>
      <c r="B1148" s="1" t="str">
        <f aca="false">INDEX(SETORES!$B:$B,MATCH(A1148,SETORES!$A:$A,0))</f>
        <v>Clientes</v>
      </c>
      <c r="C1148" s="1" t="s">
        <v>18</v>
      </c>
      <c r="D1148" s="25" t="n">
        <f aca="false">IF(B1148="Clientes",SUMIFS(PARÂMETROS!$D$8:$D$907,PARÂMETROS!$A$8:$A$907,C1148,PARÂMETROS!$G$8:$G$907,J1148),SUMIFS(PARÂMETROS!$E$8:$E$907,PARÂMETROS!$A$8:$A$907,C1148,PARÂMETROS!$G$8:$G$907,J1148))</f>
        <v>0.722194045747325</v>
      </c>
      <c r="E1148" s="26" t="n">
        <f aca="false">SUMIFS(SETORES!$D:$D,SETORES!$A:$A,A1148,SETORES!$F:$F,J1148)</f>
        <v>136026.67</v>
      </c>
      <c r="F1148" s="26" t="n">
        <f aca="false">IFERROR(D1148*E1148,0)</f>
        <v>98237.6511368362</v>
      </c>
      <c r="G1148" s="25" t="n">
        <f aca="false">SUMIFS(PARÂMETROS!$F$8:$F$907,PARÂMETROS!$A$8:$A$907,C1148,PARÂMETROS!$G$8:$G$907,J1148)</f>
        <v>0</v>
      </c>
      <c r="H1148" s="26" t="n">
        <f aca="false">IFERROR(F1148*G1148,0)</f>
        <v>0</v>
      </c>
      <c r="I1148" s="26" t="n">
        <f aca="false">F1148+H1148</f>
        <v>98237.6511368362</v>
      </c>
      <c r="J1148" s="1" t="s">
        <v>88</v>
      </c>
    </row>
    <row r="1149" customFormat="false" ht="14.25" hidden="false" customHeight="true" outlineLevel="0" collapsed="false">
      <c r="A1149" s="1" t="s">
        <v>83</v>
      </c>
      <c r="B1149" s="1" t="str">
        <f aca="false">INDEX(SETORES!$B:$B,MATCH(A1149,SETORES!$A:$A,0))</f>
        <v>Clientes</v>
      </c>
      <c r="C1149" s="1" t="s">
        <v>10</v>
      </c>
      <c r="D1149" s="25" t="n">
        <f aca="false">IF(B1149="Clientes",SUMIFS(PARÂMETROS!$D$8:$D$907,PARÂMETROS!$A$8:$A$907,C1149,PARÂMETROS!$G$8:$G$907,J1149),SUMIFS(PARÂMETROS!$E$8:$E$907,PARÂMETROS!$A$8:$A$907,C1149,PARÂMETROS!$G$8:$G$907,J1149))</f>
        <v>0.0337120251559568</v>
      </c>
      <c r="E1149" s="26" t="n">
        <f aca="false">SUMIFS(SETORES!$D:$D,SETORES!$A:$A,A1149,SETORES!$F:$F,J1149)</f>
        <v>17264.55</v>
      </c>
      <c r="F1149" s="26" t="n">
        <f aca="false">IFERROR(D1149*E1149,0)</f>
        <v>582.022943906274</v>
      </c>
      <c r="G1149" s="25" t="n">
        <f aca="false">SUMIFS(PARÂMETROS!$F$8:$F$907,PARÂMETROS!$A$8:$A$907,C1149,PARÂMETROS!$G$8:$G$907,J1149)</f>
        <v>0</v>
      </c>
      <c r="H1149" s="26" t="n">
        <f aca="false">IFERROR(F1149*G1149,0)</f>
        <v>0</v>
      </c>
      <c r="I1149" s="26" t="n">
        <f aca="false">F1149+H1149</f>
        <v>582.022943906274</v>
      </c>
      <c r="J1149" s="1" t="s">
        <v>88</v>
      </c>
    </row>
    <row r="1150" customFormat="false" ht="14.25" hidden="false" customHeight="true" outlineLevel="0" collapsed="false">
      <c r="A1150" s="1" t="s">
        <v>83</v>
      </c>
      <c r="B1150" s="1" t="str">
        <f aca="false">INDEX(SETORES!$B:$B,MATCH(A1150,SETORES!$A:$A,0))</f>
        <v>Clientes</v>
      </c>
      <c r="C1150" s="1" t="s">
        <v>12</v>
      </c>
      <c r="D1150" s="25" t="n">
        <f aca="false">IF(B1150="Clientes",SUMIFS(PARÂMETROS!$D$8:$D$907,PARÂMETROS!$A$8:$A$907,C1150,PARÂMETROS!$G$8:$G$907,J1150),SUMIFS(PARÂMETROS!$E$8:$E$907,PARÂMETROS!$A$8:$A$907,C1150,PARÂMETROS!$G$8:$G$907,J1150))</f>
        <v>0.0685195516559314</v>
      </c>
      <c r="E1150" s="26" t="n">
        <f aca="false">SUMIFS(SETORES!$D:$D,SETORES!$A:$A,A1150,SETORES!$F:$F,J1150)</f>
        <v>17264.55</v>
      </c>
      <c r="F1150" s="26" t="n">
        <f aca="false">IFERROR(D1150*E1150,0)</f>
        <v>1182.95922554141</v>
      </c>
      <c r="G1150" s="25" t="n">
        <f aca="false">SUMIFS(PARÂMETROS!$F$8:$F$907,PARÂMETROS!$A$8:$A$907,C1150,PARÂMETROS!$G$8:$G$907,J1150)</f>
        <v>0</v>
      </c>
      <c r="H1150" s="26" t="n">
        <f aca="false">IFERROR(F1150*G1150,0)</f>
        <v>0</v>
      </c>
      <c r="I1150" s="26" t="n">
        <f aca="false">F1150+H1150</f>
        <v>1182.95922554141</v>
      </c>
      <c r="J1150" s="1" t="s">
        <v>88</v>
      </c>
    </row>
    <row r="1151" customFormat="false" ht="14.25" hidden="false" customHeight="true" outlineLevel="0" collapsed="false">
      <c r="A1151" s="1" t="s">
        <v>83</v>
      </c>
      <c r="B1151" s="1" t="str">
        <f aca="false">INDEX(SETORES!$B:$B,MATCH(A1151,SETORES!$A:$A,0))</f>
        <v>Clientes</v>
      </c>
      <c r="C1151" s="1" t="s">
        <v>13</v>
      </c>
      <c r="D1151" s="25" t="n">
        <f aca="false">IF(B1151="Clientes",SUMIFS(PARÂMETROS!$D$8:$D$907,PARÂMETROS!$A$8:$A$907,C1151,PARÂMETROS!$G$8:$G$907,J1151),SUMIFS(PARÂMETROS!$E$8:$E$907,PARÂMETROS!$A$8:$A$907,C1151,PARÂMETROS!$G$8:$G$907,J1151))</f>
        <v>0.0745397372825481</v>
      </c>
      <c r="E1151" s="26" t="n">
        <f aca="false">SUMIFS(SETORES!$D:$D,SETORES!$A:$A,A1151,SETORES!$F:$F,J1151)</f>
        <v>17264.55</v>
      </c>
      <c r="F1151" s="26" t="n">
        <f aca="false">IFERROR(D1151*E1151,0)</f>
        <v>1286.89502130141</v>
      </c>
      <c r="G1151" s="25" t="n">
        <f aca="false">SUMIFS(PARÂMETROS!$F$8:$F$907,PARÂMETROS!$A$8:$A$907,C1151,PARÂMETROS!$G$8:$G$907,J1151)</f>
        <v>0</v>
      </c>
      <c r="H1151" s="26" t="n">
        <f aca="false">IFERROR(F1151*G1151,0)</f>
        <v>0</v>
      </c>
      <c r="I1151" s="26" t="n">
        <f aca="false">F1151+H1151</f>
        <v>1286.89502130141</v>
      </c>
      <c r="J1151" s="1" t="s">
        <v>88</v>
      </c>
    </row>
    <row r="1152" customFormat="false" ht="14.25" hidden="false" customHeight="true" outlineLevel="0" collapsed="false">
      <c r="A1152" s="1" t="s">
        <v>83</v>
      </c>
      <c r="B1152" s="1" t="str">
        <f aca="false">INDEX(SETORES!$B:$B,MATCH(A1152,SETORES!$A:$A,0))</f>
        <v>Clientes</v>
      </c>
      <c r="C1152" s="1" t="s">
        <v>14</v>
      </c>
      <c r="D1152" s="25" t="n">
        <f aca="false">IF(B1152="Clientes",SUMIFS(PARÂMETROS!$D$8:$D$907,PARÂMETROS!$A$8:$A$907,C1152,PARÂMETROS!$G$8:$G$907,J1152),SUMIFS(PARÂMETROS!$E$8:$E$907,PARÂMETROS!$A$8:$A$907,C1152,PARÂMETROS!$G$8:$G$907,J1152))</f>
        <v>0.018943044073642</v>
      </c>
      <c r="E1152" s="26" t="n">
        <f aca="false">SUMIFS(SETORES!$D:$D,SETORES!$A:$A,A1152,SETORES!$F:$F,J1152)</f>
        <v>17264.55</v>
      </c>
      <c r="F1152" s="26" t="n">
        <f aca="false">IFERROR(D1152*E1152,0)</f>
        <v>327.043131561597</v>
      </c>
      <c r="G1152" s="25" t="n">
        <f aca="false">SUMIFS(PARÂMETROS!$F$8:$F$907,PARÂMETROS!$A$8:$A$907,C1152,PARÂMETROS!$G$8:$G$907,J1152)</f>
        <v>0</v>
      </c>
      <c r="H1152" s="26" t="n">
        <f aca="false">IFERROR(F1152*G1152,0)</f>
        <v>0</v>
      </c>
      <c r="I1152" s="26" t="n">
        <f aca="false">F1152+H1152</f>
        <v>327.043131561597</v>
      </c>
      <c r="J1152" s="1" t="s">
        <v>88</v>
      </c>
    </row>
    <row r="1153" customFormat="false" ht="14.25" hidden="false" customHeight="true" outlineLevel="0" collapsed="false">
      <c r="A1153" s="1" t="s">
        <v>83</v>
      </c>
      <c r="B1153" s="1" t="str">
        <f aca="false">INDEX(SETORES!$B:$B,MATCH(A1153,SETORES!$A:$A,0))</f>
        <v>Clientes</v>
      </c>
      <c r="C1153" s="1" t="s">
        <v>15</v>
      </c>
      <c r="D1153" s="25" t="n">
        <f aca="false">IF(B1153="Clientes",SUMIFS(PARÂMETROS!$D$8:$D$907,PARÂMETROS!$A$8:$A$907,C1153,PARÂMETROS!$G$8:$G$907,J1153),SUMIFS(PARÂMETROS!$E$8:$E$907,PARÂMETROS!$A$8:$A$907,C1153,PARÂMETROS!$G$8:$G$907,J1153))</f>
        <v>0.0334787239438048</v>
      </c>
      <c r="E1153" s="26" t="n">
        <f aca="false">SUMIFS(SETORES!$D:$D,SETORES!$A:$A,A1153,SETORES!$F:$F,J1153)</f>
        <v>17264.55</v>
      </c>
      <c r="F1153" s="26" t="n">
        <f aca="false">IFERROR(D1153*E1153,0)</f>
        <v>577.995103464016</v>
      </c>
      <c r="G1153" s="25" t="n">
        <f aca="false">SUMIFS(PARÂMETROS!$F$8:$F$907,PARÂMETROS!$A$8:$A$907,C1153,PARÂMETROS!$G$8:$G$907,J1153)</f>
        <v>0</v>
      </c>
      <c r="H1153" s="26" t="n">
        <f aca="false">IFERROR(F1153*G1153,0)</f>
        <v>0</v>
      </c>
      <c r="I1153" s="26" t="n">
        <f aca="false">F1153+H1153</f>
        <v>577.995103464016</v>
      </c>
      <c r="J1153" s="1" t="s">
        <v>88</v>
      </c>
    </row>
    <row r="1154" customFormat="false" ht="14.25" hidden="false" customHeight="true" outlineLevel="0" collapsed="false">
      <c r="A1154" s="1" t="s">
        <v>83</v>
      </c>
      <c r="B1154" s="1" t="str">
        <f aca="false">INDEX(SETORES!$B:$B,MATCH(A1154,SETORES!$A:$A,0))</f>
        <v>Clientes</v>
      </c>
      <c r="C1154" s="1" t="s">
        <v>16</v>
      </c>
      <c r="D1154" s="25" t="n">
        <f aca="false">IF(B1154="Clientes",SUMIFS(PARÂMETROS!$D$8:$D$907,PARÂMETROS!$A$8:$A$907,C1154,PARÂMETROS!$G$8:$G$907,J1154),SUMIFS(PARÂMETROS!$E$8:$E$907,PARÂMETROS!$A$8:$A$907,C1154,PARÂMETROS!$G$8:$G$907,J1154))</f>
        <v>0.0242886848912106</v>
      </c>
      <c r="E1154" s="26" t="n">
        <f aca="false">SUMIFS(SETORES!$D:$D,SETORES!$A:$A,A1154,SETORES!$F:$F,J1154)</f>
        <v>17264.55</v>
      </c>
      <c r="F1154" s="26" t="n">
        <f aca="false">IFERROR(D1154*E1154,0)</f>
        <v>419.33321473855</v>
      </c>
      <c r="G1154" s="25" t="n">
        <f aca="false">SUMIFS(PARÂMETROS!$F$8:$F$907,PARÂMETROS!$A$8:$A$907,C1154,PARÂMETROS!$G$8:$G$907,J1154)</f>
        <v>0</v>
      </c>
      <c r="H1154" s="26" t="n">
        <f aca="false">IFERROR(F1154*G1154,0)</f>
        <v>0</v>
      </c>
      <c r="I1154" s="26" t="n">
        <f aca="false">F1154+H1154</f>
        <v>419.33321473855</v>
      </c>
      <c r="J1154" s="1" t="s">
        <v>88</v>
      </c>
    </row>
    <row r="1155" customFormat="false" ht="14.25" hidden="false" customHeight="true" outlineLevel="0" collapsed="false">
      <c r="A1155" s="1" t="s">
        <v>83</v>
      </c>
      <c r="B1155" s="1" t="str">
        <f aca="false">INDEX(SETORES!$B:$B,MATCH(A1155,SETORES!$A:$A,0))</f>
        <v>Clientes</v>
      </c>
      <c r="C1155" s="1" t="s">
        <v>17</v>
      </c>
      <c r="D1155" s="25" t="n">
        <f aca="false">IF(B1155="Clientes",SUMIFS(PARÂMETROS!$D$8:$D$907,PARÂMETROS!$A$8:$A$907,C1155,PARÂMETROS!$G$8:$G$907,J1155),SUMIFS(PARÂMETROS!$E$8:$E$907,PARÂMETROS!$A$8:$A$907,C1155,PARÂMETROS!$G$8:$G$907,J1155))</f>
        <v>0.0243241872495816</v>
      </c>
      <c r="E1155" s="26" t="n">
        <f aca="false">SUMIFS(SETORES!$D:$D,SETORES!$A:$A,A1155,SETORES!$F:$F,J1155)</f>
        <v>17264.55</v>
      </c>
      <c r="F1155" s="26" t="n">
        <f aca="false">IFERROR(D1155*E1155,0)</f>
        <v>419.946146979764</v>
      </c>
      <c r="G1155" s="25" t="n">
        <f aca="false">SUMIFS(PARÂMETROS!$F$8:$F$907,PARÂMETROS!$A$8:$A$907,C1155,PARÂMETROS!$G$8:$G$907,J1155)</f>
        <v>0</v>
      </c>
      <c r="H1155" s="26" t="n">
        <f aca="false">IFERROR(F1155*G1155,0)</f>
        <v>0</v>
      </c>
      <c r="I1155" s="26" t="n">
        <f aca="false">F1155+H1155</f>
        <v>419.946146979764</v>
      </c>
      <c r="J1155" s="1" t="s">
        <v>88</v>
      </c>
    </row>
    <row r="1156" customFormat="false" ht="14.25" hidden="false" customHeight="true" outlineLevel="0" collapsed="false">
      <c r="A1156" s="1" t="s">
        <v>83</v>
      </c>
      <c r="B1156" s="1" t="str">
        <f aca="false">INDEX(SETORES!$B:$B,MATCH(A1156,SETORES!$A:$A,0))</f>
        <v>Clientes</v>
      </c>
      <c r="C1156" s="1" t="s">
        <v>18</v>
      </c>
      <c r="D1156" s="25" t="n">
        <f aca="false">IF(B1156="Clientes",SUMIFS(PARÂMETROS!$D$8:$D$907,PARÂMETROS!$A$8:$A$907,C1156,PARÂMETROS!$G$8:$G$907,J1156),SUMIFS(PARÂMETROS!$E$8:$E$907,PARÂMETROS!$A$8:$A$907,C1156,PARÂMETROS!$G$8:$G$907,J1156))</f>
        <v>0.722194045747325</v>
      </c>
      <c r="E1156" s="26" t="n">
        <f aca="false">SUMIFS(SETORES!$D:$D,SETORES!$A:$A,A1156,SETORES!$F:$F,J1156)</f>
        <v>17264.55</v>
      </c>
      <c r="F1156" s="26" t="n">
        <f aca="false">IFERROR(D1156*E1156,0)</f>
        <v>12468.355212507</v>
      </c>
      <c r="G1156" s="25" t="n">
        <f aca="false">SUMIFS(PARÂMETROS!$F$8:$F$907,PARÂMETROS!$A$8:$A$907,C1156,PARÂMETROS!$G$8:$G$907,J1156)</f>
        <v>0</v>
      </c>
      <c r="H1156" s="26" t="n">
        <f aca="false">IFERROR(F1156*G1156,0)</f>
        <v>0</v>
      </c>
      <c r="I1156" s="26" t="n">
        <f aca="false">F1156+H1156</f>
        <v>12468.355212507</v>
      </c>
      <c r="J1156" s="1" t="s">
        <v>88</v>
      </c>
    </row>
    <row r="1157" customFormat="false" ht="14.25" hidden="false" customHeight="true" outlineLevel="0" collapsed="false">
      <c r="A1157" s="1" t="s">
        <v>84</v>
      </c>
      <c r="B1157" s="1" t="str">
        <f aca="false">INDEX(SETORES!$B:$B,MATCH(A1157,SETORES!$A:$A,0))</f>
        <v>Clientes</v>
      </c>
      <c r="C1157" s="1" t="s">
        <v>10</v>
      </c>
      <c r="D1157" s="25" t="n">
        <f aca="false">IF(B1157="Clientes",SUMIFS(PARÂMETROS!$D$8:$D$907,PARÂMETROS!$A$8:$A$907,C1157,PARÂMETROS!$G$8:$G$907,J1157),SUMIFS(PARÂMETROS!$E$8:$E$907,PARÂMETROS!$A$8:$A$907,C1157,PARÂMETROS!$G$8:$G$907,J1157))</f>
        <v>0.0337120251559568</v>
      </c>
      <c r="E1157" s="26" t="n">
        <f aca="false">SUMIFS(SETORES!$D:$D,SETORES!$A:$A,A1157,SETORES!$F:$F,J1157)</f>
        <v>215608.64</v>
      </c>
      <c r="F1157" s="26" t="n">
        <f aca="false">IFERROR(D1157*E1157,0)</f>
        <v>7268.60389552163</v>
      </c>
      <c r="G1157" s="25" t="n">
        <f aca="false">SUMIFS(PARÂMETROS!$F$8:$F$907,PARÂMETROS!$A$8:$A$907,C1157,PARÂMETROS!$G$8:$G$907,J1157)</f>
        <v>0</v>
      </c>
      <c r="H1157" s="26" t="n">
        <f aca="false">IFERROR(F1157*G1157,0)</f>
        <v>0</v>
      </c>
      <c r="I1157" s="26" t="n">
        <f aca="false">F1157+H1157</f>
        <v>7268.60389552163</v>
      </c>
      <c r="J1157" s="1" t="s">
        <v>88</v>
      </c>
    </row>
    <row r="1158" customFormat="false" ht="14.25" hidden="false" customHeight="true" outlineLevel="0" collapsed="false">
      <c r="A1158" s="1" t="s">
        <v>84</v>
      </c>
      <c r="B1158" s="1" t="str">
        <f aca="false">INDEX(SETORES!$B:$B,MATCH(A1158,SETORES!$A:$A,0))</f>
        <v>Clientes</v>
      </c>
      <c r="C1158" s="1" t="s">
        <v>12</v>
      </c>
      <c r="D1158" s="25" t="n">
        <f aca="false">IF(B1158="Clientes",SUMIFS(PARÂMETROS!$D$8:$D$907,PARÂMETROS!$A$8:$A$907,C1158,PARÂMETROS!$G$8:$G$907,J1158),SUMIFS(PARÂMETROS!$E$8:$E$907,PARÂMETROS!$A$8:$A$907,C1158,PARÂMETROS!$G$8:$G$907,J1158))</f>
        <v>0.0685195516559314</v>
      </c>
      <c r="E1158" s="26" t="n">
        <f aca="false">SUMIFS(SETORES!$D:$D,SETORES!$A:$A,A1158,SETORES!$F:$F,J1158)</f>
        <v>215608.64</v>
      </c>
      <c r="F1158" s="26" t="n">
        <f aca="false">IFERROR(D1158*E1158,0)</f>
        <v>14773.4073459451</v>
      </c>
      <c r="G1158" s="25" t="n">
        <f aca="false">SUMIFS(PARÂMETROS!$F$8:$F$907,PARÂMETROS!$A$8:$A$907,C1158,PARÂMETROS!$G$8:$G$907,J1158)</f>
        <v>0</v>
      </c>
      <c r="H1158" s="26" t="n">
        <f aca="false">IFERROR(F1158*G1158,0)</f>
        <v>0</v>
      </c>
      <c r="I1158" s="26" t="n">
        <f aca="false">F1158+H1158</f>
        <v>14773.4073459451</v>
      </c>
      <c r="J1158" s="1" t="s">
        <v>88</v>
      </c>
    </row>
    <row r="1159" customFormat="false" ht="14.25" hidden="false" customHeight="true" outlineLevel="0" collapsed="false">
      <c r="A1159" s="1" t="s">
        <v>84</v>
      </c>
      <c r="B1159" s="1" t="str">
        <f aca="false">INDEX(SETORES!$B:$B,MATCH(A1159,SETORES!$A:$A,0))</f>
        <v>Clientes</v>
      </c>
      <c r="C1159" s="1" t="s">
        <v>13</v>
      </c>
      <c r="D1159" s="25" t="n">
        <f aca="false">IF(B1159="Clientes",SUMIFS(PARÂMETROS!$D$8:$D$907,PARÂMETROS!$A$8:$A$907,C1159,PARÂMETROS!$G$8:$G$907,J1159),SUMIFS(PARÂMETROS!$E$8:$E$907,PARÂMETROS!$A$8:$A$907,C1159,PARÂMETROS!$G$8:$G$907,J1159))</f>
        <v>0.0745397372825481</v>
      </c>
      <c r="E1159" s="26" t="n">
        <f aca="false">SUMIFS(SETORES!$D:$D,SETORES!$A:$A,A1159,SETORES!$F:$F,J1159)</f>
        <v>215608.64</v>
      </c>
      <c r="F1159" s="26" t="n">
        <f aca="false">IFERROR(D1159*E1159,0)</f>
        <v>16071.4113814475</v>
      </c>
      <c r="G1159" s="25" t="n">
        <f aca="false">SUMIFS(PARÂMETROS!$F$8:$F$907,PARÂMETROS!$A$8:$A$907,C1159,PARÂMETROS!$G$8:$G$907,J1159)</f>
        <v>0</v>
      </c>
      <c r="H1159" s="26" t="n">
        <f aca="false">IFERROR(F1159*G1159,0)</f>
        <v>0</v>
      </c>
      <c r="I1159" s="26" t="n">
        <f aca="false">F1159+H1159</f>
        <v>16071.4113814475</v>
      </c>
      <c r="J1159" s="1" t="s">
        <v>88</v>
      </c>
    </row>
    <row r="1160" customFormat="false" ht="14.25" hidden="false" customHeight="true" outlineLevel="0" collapsed="false">
      <c r="A1160" s="1" t="s">
        <v>84</v>
      </c>
      <c r="B1160" s="1" t="str">
        <f aca="false">INDEX(SETORES!$B:$B,MATCH(A1160,SETORES!$A:$A,0))</f>
        <v>Clientes</v>
      </c>
      <c r="C1160" s="1" t="s">
        <v>14</v>
      </c>
      <c r="D1160" s="25" t="n">
        <f aca="false">IF(B1160="Clientes",SUMIFS(PARÂMETROS!$D$8:$D$907,PARÂMETROS!$A$8:$A$907,C1160,PARÂMETROS!$G$8:$G$907,J1160),SUMIFS(PARÂMETROS!$E$8:$E$907,PARÂMETROS!$A$8:$A$907,C1160,PARÂMETROS!$G$8:$G$907,J1160))</f>
        <v>0.018943044073642</v>
      </c>
      <c r="E1160" s="26" t="n">
        <f aca="false">SUMIFS(SETORES!$D:$D,SETORES!$A:$A,A1160,SETORES!$F:$F,J1160)</f>
        <v>215608.64</v>
      </c>
      <c r="F1160" s="26" t="n">
        <f aca="false">IFERROR(D1160*E1160,0)</f>
        <v>4084.28397017802</v>
      </c>
      <c r="G1160" s="25" t="n">
        <f aca="false">SUMIFS(PARÂMETROS!$F$8:$F$907,PARÂMETROS!$A$8:$A$907,C1160,PARÂMETROS!$G$8:$G$907,J1160)</f>
        <v>0</v>
      </c>
      <c r="H1160" s="26" t="n">
        <f aca="false">IFERROR(F1160*G1160,0)</f>
        <v>0</v>
      </c>
      <c r="I1160" s="26" t="n">
        <f aca="false">F1160+H1160</f>
        <v>4084.28397017802</v>
      </c>
      <c r="J1160" s="1" t="s">
        <v>88</v>
      </c>
    </row>
    <row r="1161" customFormat="false" ht="14.25" hidden="false" customHeight="true" outlineLevel="0" collapsed="false">
      <c r="A1161" s="1" t="s">
        <v>84</v>
      </c>
      <c r="B1161" s="1" t="str">
        <f aca="false">INDEX(SETORES!$B:$B,MATCH(A1161,SETORES!$A:$A,0))</f>
        <v>Clientes</v>
      </c>
      <c r="C1161" s="1" t="s">
        <v>15</v>
      </c>
      <c r="D1161" s="25" t="n">
        <f aca="false">IF(B1161="Clientes",SUMIFS(PARÂMETROS!$D$8:$D$907,PARÂMETROS!$A$8:$A$907,C1161,PARÂMETROS!$G$8:$G$907,J1161),SUMIFS(PARÂMETROS!$E$8:$E$907,PARÂMETROS!$A$8:$A$907,C1161,PARÂMETROS!$G$8:$G$907,J1161))</f>
        <v>0.0334787239438048</v>
      </c>
      <c r="E1161" s="26" t="n">
        <f aca="false">SUMIFS(SETORES!$D:$D,SETORES!$A:$A,A1161,SETORES!$F:$F,J1161)</f>
        <v>215608.64</v>
      </c>
      <c r="F1161" s="26" t="n">
        <f aca="false">IFERROR(D1161*E1161,0)</f>
        <v>7218.3021384592</v>
      </c>
      <c r="G1161" s="25" t="n">
        <f aca="false">SUMIFS(PARÂMETROS!$F$8:$F$907,PARÂMETROS!$A$8:$A$907,C1161,PARÂMETROS!$G$8:$G$907,J1161)</f>
        <v>0</v>
      </c>
      <c r="H1161" s="26" t="n">
        <f aca="false">IFERROR(F1161*G1161,0)</f>
        <v>0</v>
      </c>
      <c r="I1161" s="26" t="n">
        <f aca="false">F1161+H1161</f>
        <v>7218.3021384592</v>
      </c>
      <c r="J1161" s="1" t="s">
        <v>88</v>
      </c>
    </row>
    <row r="1162" customFormat="false" ht="14.25" hidden="false" customHeight="true" outlineLevel="0" collapsed="false">
      <c r="A1162" s="1" t="s">
        <v>84</v>
      </c>
      <c r="B1162" s="1" t="str">
        <f aca="false">INDEX(SETORES!$B:$B,MATCH(A1162,SETORES!$A:$A,0))</f>
        <v>Clientes</v>
      </c>
      <c r="C1162" s="1" t="s">
        <v>16</v>
      </c>
      <c r="D1162" s="25" t="n">
        <f aca="false">IF(B1162="Clientes",SUMIFS(PARÂMETROS!$D$8:$D$907,PARÂMETROS!$A$8:$A$907,C1162,PARÂMETROS!$G$8:$G$907,J1162),SUMIFS(PARÂMETROS!$E$8:$E$907,PARÂMETROS!$A$8:$A$907,C1162,PARÂMETROS!$G$8:$G$907,J1162))</f>
        <v>0.0242886848912106</v>
      </c>
      <c r="E1162" s="26" t="n">
        <f aca="false">SUMIFS(SETORES!$D:$D,SETORES!$A:$A,A1162,SETORES!$F:$F,J1162)</f>
        <v>215608.64</v>
      </c>
      <c r="F1162" s="26" t="n">
        <f aca="false">IFERROR(D1162*E1162,0)</f>
        <v>5236.85031678247</v>
      </c>
      <c r="G1162" s="25" t="n">
        <f aca="false">SUMIFS(PARÂMETROS!$F$8:$F$907,PARÂMETROS!$A$8:$A$907,C1162,PARÂMETROS!$G$8:$G$907,J1162)</f>
        <v>0</v>
      </c>
      <c r="H1162" s="26" t="n">
        <f aca="false">IFERROR(F1162*G1162,0)</f>
        <v>0</v>
      </c>
      <c r="I1162" s="26" t="n">
        <f aca="false">F1162+H1162</f>
        <v>5236.85031678247</v>
      </c>
      <c r="J1162" s="1" t="s">
        <v>88</v>
      </c>
    </row>
    <row r="1163" customFormat="false" ht="14.25" hidden="false" customHeight="true" outlineLevel="0" collapsed="false">
      <c r="A1163" s="1" t="s">
        <v>84</v>
      </c>
      <c r="B1163" s="1" t="str">
        <f aca="false">INDEX(SETORES!$B:$B,MATCH(A1163,SETORES!$A:$A,0))</f>
        <v>Clientes</v>
      </c>
      <c r="C1163" s="1" t="s">
        <v>17</v>
      </c>
      <c r="D1163" s="25" t="n">
        <f aca="false">IF(B1163="Clientes",SUMIFS(PARÂMETROS!$D$8:$D$907,PARÂMETROS!$A$8:$A$907,C1163,PARÂMETROS!$G$8:$G$907,J1163),SUMIFS(PARÂMETROS!$E$8:$E$907,PARÂMETROS!$A$8:$A$907,C1163,PARÂMETROS!$G$8:$G$907,J1163))</f>
        <v>0.0243241872495816</v>
      </c>
      <c r="E1163" s="26" t="n">
        <f aca="false">SUMIFS(SETORES!$D:$D,SETORES!$A:$A,A1163,SETORES!$F:$F,J1163)</f>
        <v>215608.64</v>
      </c>
      <c r="F1163" s="26" t="n">
        <f aca="false">IFERROR(D1163*E1163,0)</f>
        <v>5244.50493198762</v>
      </c>
      <c r="G1163" s="25" t="n">
        <f aca="false">SUMIFS(PARÂMETROS!$F$8:$F$907,PARÂMETROS!$A$8:$A$907,C1163,PARÂMETROS!$G$8:$G$907,J1163)</f>
        <v>0</v>
      </c>
      <c r="H1163" s="26" t="n">
        <f aca="false">IFERROR(F1163*G1163,0)</f>
        <v>0</v>
      </c>
      <c r="I1163" s="26" t="n">
        <f aca="false">F1163+H1163</f>
        <v>5244.50493198762</v>
      </c>
      <c r="J1163" s="1" t="s">
        <v>88</v>
      </c>
    </row>
    <row r="1164" customFormat="false" ht="14.25" hidden="false" customHeight="true" outlineLevel="0" collapsed="false">
      <c r="A1164" s="1" t="s">
        <v>84</v>
      </c>
      <c r="B1164" s="1" t="str">
        <f aca="false">INDEX(SETORES!$B:$B,MATCH(A1164,SETORES!$A:$A,0))</f>
        <v>Clientes</v>
      </c>
      <c r="C1164" s="1" t="s">
        <v>18</v>
      </c>
      <c r="D1164" s="25" t="n">
        <f aca="false">IF(B1164="Clientes",SUMIFS(PARÂMETROS!$D$8:$D$907,PARÂMETROS!$A$8:$A$907,C1164,PARÂMETROS!$G$8:$G$907,J1164),SUMIFS(PARÂMETROS!$E$8:$E$907,PARÂMETROS!$A$8:$A$907,C1164,PARÂMETROS!$G$8:$G$907,J1164))</f>
        <v>0.722194045747325</v>
      </c>
      <c r="E1164" s="26" t="n">
        <f aca="false">SUMIFS(SETORES!$D:$D,SETORES!$A:$A,A1164,SETORES!$F:$F,J1164)</f>
        <v>215608.64</v>
      </c>
      <c r="F1164" s="26" t="n">
        <f aca="false">IFERROR(D1164*E1164,0)</f>
        <v>155711.276019678</v>
      </c>
      <c r="G1164" s="25" t="n">
        <f aca="false">SUMIFS(PARÂMETROS!$F$8:$F$907,PARÂMETROS!$A$8:$A$907,C1164,PARÂMETROS!$G$8:$G$907,J1164)</f>
        <v>0</v>
      </c>
      <c r="H1164" s="26" t="n">
        <f aca="false">IFERROR(F1164*G1164,0)</f>
        <v>0</v>
      </c>
      <c r="I1164" s="26" t="n">
        <f aca="false">F1164+H1164</f>
        <v>155711.276019678</v>
      </c>
      <c r="J1164" s="1" t="s">
        <v>88</v>
      </c>
    </row>
    <row r="1165" customFormat="false" ht="14.25" hidden="false" customHeight="true" outlineLevel="0" collapsed="false">
      <c r="A1165" s="1" t="s">
        <v>85</v>
      </c>
      <c r="B1165" s="1" t="str">
        <f aca="false">INDEX(SETORES!$B:$B,MATCH(A1165,SETORES!$A:$A,0))</f>
        <v>Clientes</v>
      </c>
      <c r="C1165" s="1" t="s">
        <v>10</v>
      </c>
      <c r="D1165" s="25" t="n">
        <f aca="false">IF(B1165="Clientes",SUMIFS(PARÂMETROS!$D$8:$D$907,PARÂMETROS!$A$8:$A$907,C1165,PARÂMETROS!$G$8:$G$907,J1165),SUMIFS(PARÂMETROS!$E$8:$E$907,PARÂMETROS!$A$8:$A$907,C1165,PARÂMETROS!$G$8:$G$907,J1165))</f>
        <v>0.0337120251559568</v>
      </c>
      <c r="E1165" s="26" t="n">
        <f aca="false">SUMIFS(SETORES!$D:$D,SETORES!$A:$A,A1165,SETORES!$F:$F,J1165)</f>
        <v>70647.5125831663</v>
      </c>
      <c r="F1165" s="26" t="n">
        <f aca="false">IFERROR(D1165*E1165,0)</f>
        <v>2381.67072140948</v>
      </c>
      <c r="G1165" s="25" t="n">
        <f aca="false">SUMIFS(PARÂMETROS!$F$8:$F$907,PARÂMETROS!$A$8:$A$907,C1165,PARÂMETROS!$G$8:$G$907,J1165)</f>
        <v>0</v>
      </c>
      <c r="H1165" s="26" t="n">
        <f aca="false">IFERROR(F1165*G1165,0)</f>
        <v>0</v>
      </c>
      <c r="I1165" s="26" t="n">
        <f aca="false">F1165+H1165</f>
        <v>2381.67072140948</v>
      </c>
      <c r="J1165" s="1" t="s">
        <v>88</v>
      </c>
    </row>
    <row r="1166" customFormat="false" ht="14.25" hidden="false" customHeight="true" outlineLevel="0" collapsed="false">
      <c r="A1166" s="1" t="s">
        <v>85</v>
      </c>
      <c r="B1166" s="1" t="str">
        <f aca="false">INDEX(SETORES!$B:$B,MATCH(A1166,SETORES!$A:$A,0))</f>
        <v>Clientes</v>
      </c>
      <c r="C1166" s="1" t="s">
        <v>12</v>
      </c>
      <c r="D1166" s="25" t="n">
        <f aca="false">IF(B1166="Clientes",SUMIFS(PARÂMETROS!$D$8:$D$907,PARÂMETROS!$A$8:$A$907,C1166,PARÂMETROS!$G$8:$G$907,J1166),SUMIFS(PARÂMETROS!$E$8:$E$907,PARÂMETROS!$A$8:$A$907,C1166,PARÂMETROS!$G$8:$G$907,J1166))</f>
        <v>0.0685195516559314</v>
      </c>
      <c r="E1166" s="26" t="n">
        <f aca="false">SUMIFS(SETORES!$D:$D,SETORES!$A:$A,A1166,SETORES!$F:$F,J1166)</f>
        <v>70647.5125831663</v>
      </c>
      <c r="F1166" s="26" t="n">
        <f aca="false">IFERROR(D1166*E1166,0)</f>
        <v>4840.73588780533</v>
      </c>
      <c r="G1166" s="25" t="n">
        <f aca="false">SUMIFS(PARÂMETROS!$F$8:$F$907,PARÂMETROS!$A$8:$A$907,C1166,PARÂMETROS!$G$8:$G$907,J1166)</f>
        <v>0</v>
      </c>
      <c r="H1166" s="26" t="n">
        <f aca="false">IFERROR(F1166*G1166,0)</f>
        <v>0</v>
      </c>
      <c r="I1166" s="26" t="n">
        <f aca="false">F1166+H1166</f>
        <v>4840.73588780533</v>
      </c>
      <c r="J1166" s="1" t="s">
        <v>88</v>
      </c>
    </row>
    <row r="1167" customFormat="false" ht="14.25" hidden="false" customHeight="true" outlineLevel="0" collapsed="false">
      <c r="A1167" s="1" t="s">
        <v>85</v>
      </c>
      <c r="B1167" s="1" t="str">
        <f aca="false">INDEX(SETORES!$B:$B,MATCH(A1167,SETORES!$A:$A,0))</f>
        <v>Clientes</v>
      </c>
      <c r="C1167" s="1" t="s">
        <v>13</v>
      </c>
      <c r="D1167" s="25" t="n">
        <f aca="false">IF(B1167="Clientes",SUMIFS(PARÂMETROS!$D$8:$D$907,PARÂMETROS!$A$8:$A$907,C1167,PARÂMETROS!$G$8:$G$907,J1167),SUMIFS(PARÂMETROS!$E$8:$E$907,PARÂMETROS!$A$8:$A$907,C1167,PARÂMETROS!$G$8:$G$907,J1167))</f>
        <v>0.0745397372825481</v>
      </c>
      <c r="E1167" s="26" t="n">
        <f aca="false">SUMIFS(SETORES!$D:$D,SETORES!$A:$A,A1167,SETORES!$F:$F,J1167)</f>
        <v>70647.5125831663</v>
      </c>
      <c r="F1167" s="26" t="n">
        <f aca="false">IFERROR(D1167*E1167,0)</f>
        <v>5266.04702761472</v>
      </c>
      <c r="G1167" s="25" t="n">
        <f aca="false">SUMIFS(PARÂMETROS!$F$8:$F$907,PARÂMETROS!$A$8:$A$907,C1167,PARÂMETROS!$G$8:$G$907,J1167)</f>
        <v>0</v>
      </c>
      <c r="H1167" s="26" t="n">
        <f aca="false">IFERROR(F1167*G1167,0)</f>
        <v>0</v>
      </c>
      <c r="I1167" s="26" t="n">
        <f aca="false">F1167+H1167</f>
        <v>5266.04702761472</v>
      </c>
      <c r="J1167" s="1" t="s">
        <v>88</v>
      </c>
    </row>
    <row r="1168" customFormat="false" ht="14.25" hidden="false" customHeight="true" outlineLevel="0" collapsed="false">
      <c r="A1168" s="1" t="s">
        <v>85</v>
      </c>
      <c r="B1168" s="1" t="str">
        <f aca="false">INDEX(SETORES!$B:$B,MATCH(A1168,SETORES!$A:$A,0))</f>
        <v>Clientes</v>
      </c>
      <c r="C1168" s="1" t="s">
        <v>14</v>
      </c>
      <c r="D1168" s="25" t="n">
        <f aca="false">IF(B1168="Clientes",SUMIFS(PARÂMETROS!$D$8:$D$907,PARÂMETROS!$A$8:$A$907,C1168,PARÂMETROS!$G$8:$G$907,J1168),SUMIFS(PARÂMETROS!$E$8:$E$907,PARÂMETROS!$A$8:$A$907,C1168,PARÂMETROS!$G$8:$G$907,J1168))</f>
        <v>0.018943044073642</v>
      </c>
      <c r="E1168" s="26" t="n">
        <f aca="false">SUMIFS(SETORES!$D:$D,SETORES!$A:$A,A1168,SETORES!$F:$F,J1168)</f>
        <v>70647.5125831663</v>
      </c>
      <c r="F1168" s="26" t="n">
        <f aca="false">IFERROR(D1168*E1168,0)</f>
        <v>1338.2789445561</v>
      </c>
      <c r="G1168" s="25" t="n">
        <f aca="false">SUMIFS(PARÂMETROS!$F$8:$F$907,PARÂMETROS!$A$8:$A$907,C1168,PARÂMETROS!$G$8:$G$907,J1168)</f>
        <v>0</v>
      </c>
      <c r="H1168" s="26" t="n">
        <f aca="false">IFERROR(F1168*G1168,0)</f>
        <v>0</v>
      </c>
      <c r="I1168" s="26" t="n">
        <f aca="false">F1168+H1168</f>
        <v>1338.2789445561</v>
      </c>
      <c r="J1168" s="1" t="s">
        <v>88</v>
      </c>
    </row>
    <row r="1169" customFormat="false" ht="14.25" hidden="false" customHeight="true" outlineLevel="0" collapsed="false">
      <c r="A1169" s="1" t="s">
        <v>85</v>
      </c>
      <c r="B1169" s="1" t="str">
        <f aca="false">INDEX(SETORES!$B:$B,MATCH(A1169,SETORES!$A:$A,0))</f>
        <v>Clientes</v>
      </c>
      <c r="C1169" s="1" t="s">
        <v>15</v>
      </c>
      <c r="D1169" s="25" t="n">
        <f aca="false">IF(B1169="Clientes",SUMIFS(PARÂMETROS!$D$8:$D$907,PARÂMETROS!$A$8:$A$907,C1169,PARÂMETROS!$G$8:$G$907,J1169),SUMIFS(PARÂMETROS!$E$8:$E$907,PARÂMETROS!$A$8:$A$907,C1169,PARÂMETROS!$G$8:$G$907,J1169))</f>
        <v>0.0334787239438048</v>
      </c>
      <c r="E1169" s="26" t="n">
        <f aca="false">SUMIFS(SETORES!$D:$D,SETORES!$A:$A,A1169,SETORES!$F:$F,J1169)</f>
        <v>70647.5125831663</v>
      </c>
      <c r="F1169" s="26" t="n">
        <f aca="false">IFERROR(D1169*E1169,0)</f>
        <v>2365.1885710883</v>
      </c>
      <c r="G1169" s="25" t="n">
        <f aca="false">SUMIFS(PARÂMETROS!$F$8:$F$907,PARÂMETROS!$A$8:$A$907,C1169,PARÂMETROS!$G$8:$G$907,J1169)</f>
        <v>0</v>
      </c>
      <c r="H1169" s="26" t="n">
        <f aca="false">IFERROR(F1169*G1169,0)</f>
        <v>0</v>
      </c>
      <c r="I1169" s="26" t="n">
        <f aca="false">F1169+H1169</f>
        <v>2365.1885710883</v>
      </c>
      <c r="J1169" s="1" t="s">
        <v>88</v>
      </c>
    </row>
    <row r="1170" customFormat="false" ht="14.25" hidden="false" customHeight="true" outlineLevel="0" collapsed="false">
      <c r="A1170" s="1" t="s">
        <v>85</v>
      </c>
      <c r="B1170" s="1" t="str">
        <f aca="false">INDEX(SETORES!$B:$B,MATCH(A1170,SETORES!$A:$A,0))</f>
        <v>Clientes</v>
      </c>
      <c r="C1170" s="1" t="s">
        <v>16</v>
      </c>
      <c r="D1170" s="25" t="n">
        <f aca="false">IF(B1170="Clientes",SUMIFS(PARÂMETROS!$D$8:$D$907,PARÂMETROS!$A$8:$A$907,C1170,PARÂMETROS!$G$8:$G$907,J1170),SUMIFS(PARÂMETROS!$E$8:$E$907,PARÂMETROS!$A$8:$A$907,C1170,PARÂMETROS!$G$8:$G$907,J1170))</f>
        <v>0.0242886848912106</v>
      </c>
      <c r="E1170" s="26" t="n">
        <f aca="false">SUMIFS(SETORES!$D:$D,SETORES!$A:$A,A1170,SETORES!$F:$F,J1170)</f>
        <v>70647.5125831663</v>
      </c>
      <c r="F1170" s="26" t="n">
        <f aca="false">IFERROR(D1170*E1170,0)</f>
        <v>1715.93517148036</v>
      </c>
      <c r="G1170" s="25" t="n">
        <f aca="false">SUMIFS(PARÂMETROS!$F$8:$F$907,PARÂMETROS!$A$8:$A$907,C1170,PARÂMETROS!$G$8:$G$907,J1170)</f>
        <v>0</v>
      </c>
      <c r="H1170" s="26" t="n">
        <f aca="false">IFERROR(F1170*G1170,0)</f>
        <v>0</v>
      </c>
      <c r="I1170" s="26" t="n">
        <f aca="false">F1170+H1170</f>
        <v>1715.93517148036</v>
      </c>
      <c r="J1170" s="1" t="s">
        <v>88</v>
      </c>
    </row>
    <row r="1171" customFormat="false" ht="14.25" hidden="false" customHeight="true" outlineLevel="0" collapsed="false">
      <c r="A1171" s="1" t="s">
        <v>85</v>
      </c>
      <c r="B1171" s="1" t="str">
        <f aca="false">INDEX(SETORES!$B:$B,MATCH(A1171,SETORES!$A:$A,0))</f>
        <v>Clientes</v>
      </c>
      <c r="C1171" s="1" t="s">
        <v>17</v>
      </c>
      <c r="D1171" s="25" t="n">
        <f aca="false">IF(B1171="Clientes",SUMIFS(PARÂMETROS!$D$8:$D$907,PARÂMETROS!$A$8:$A$907,C1171,PARÂMETROS!$G$8:$G$907,J1171),SUMIFS(PARÂMETROS!$E$8:$E$907,PARÂMETROS!$A$8:$A$907,C1171,PARÂMETROS!$G$8:$G$907,J1171))</f>
        <v>0.0243241872495816</v>
      </c>
      <c r="E1171" s="26" t="n">
        <f aca="false">SUMIFS(SETORES!$D:$D,SETORES!$A:$A,A1171,SETORES!$F:$F,J1171)</f>
        <v>70647.5125831663</v>
      </c>
      <c r="F1171" s="26" t="n">
        <f aca="false">IFERROR(D1171*E1171,0)</f>
        <v>1718.44332479011</v>
      </c>
      <c r="G1171" s="25" t="n">
        <f aca="false">SUMIFS(PARÂMETROS!$F$8:$F$907,PARÂMETROS!$A$8:$A$907,C1171,PARÂMETROS!$G$8:$G$907,J1171)</f>
        <v>0</v>
      </c>
      <c r="H1171" s="26" t="n">
        <f aca="false">IFERROR(F1171*G1171,0)</f>
        <v>0</v>
      </c>
      <c r="I1171" s="26" t="n">
        <f aca="false">F1171+H1171</f>
        <v>1718.44332479011</v>
      </c>
      <c r="J1171" s="1" t="s">
        <v>88</v>
      </c>
    </row>
    <row r="1172" customFormat="false" ht="14.25" hidden="false" customHeight="true" outlineLevel="0" collapsed="false">
      <c r="A1172" s="1" t="s">
        <v>85</v>
      </c>
      <c r="B1172" s="1" t="str">
        <f aca="false">INDEX(SETORES!$B:$B,MATCH(A1172,SETORES!$A:$A,0))</f>
        <v>Clientes</v>
      </c>
      <c r="C1172" s="1" t="s">
        <v>18</v>
      </c>
      <c r="D1172" s="25" t="n">
        <f aca="false">IF(B1172="Clientes",SUMIFS(PARÂMETROS!$D$8:$D$907,PARÂMETROS!$A$8:$A$907,C1172,PARÂMETROS!$G$8:$G$907,J1172),SUMIFS(PARÂMETROS!$E$8:$E$907,PARÂMETROS!$A$8:$A$907,C1172,PARÂMETROS!$G$8:$G$907,J1172))</f>
        <v>0.722194045747325</v>
      </c>
      <c r="E1172" s="26" t="n">
        <f aca="false">SUMIFS(SETORES!$D:$D,SETORES!$A:$A,A1172,SETORES!$F:$F,J1172)</f>
        <v>70647.5125831663</v>
      </c>
      <c r="F1172" s="26" t="n">
        <f aca="false">IFERROR(D1172*E1172,0)</f>
        <v>51021.2129344219</v>
      </c>
      <c r="G1172" s="25" t="n">
        <f aca="false">SUMIFS(PARÂMETROS!$F$8:$F$907,PARÂMETROS!$A$8:$A$907,C1172,PARÂMETROS!$G$8:$G$907,J1172)</f>
        <v>0</v>
      </c>
      <c r="H1172" s="26" t="n">
        <f aca="false">IFERROR(F1172*G1172,0)</f>
        <v>0</v>
      </c>
      <c r="I1172" s="26" t="n">
        <f aca="false">F1172+H1172</f>
        <v>51021.2129344219</v>
      </c>
      <c r="J1172" s="1" t="s">
        <v>88</v>
      </c>
    </row>
    <row r="1173" customFormat="false" ht="14.25" hidden="false" customHeight="true" outlineLevel="0" collapsed="false">
      <c r="A1173" s="1" t="s">
        <v>86</v>
      </c>
      <c r="B1173" s="1" t="str">
        <f aca="false">INDEX(SETORES!$B:$B,MATCH(A1173,SETORES!$A:$A,0))</f>
        <v>Clientes</v>
      </c>
      <c r="C1173" s="1" t="s">
        <v>10</v>
      </c>
      <c r="D1173" s="25" t="n">
        <f aca="false">IF(B1173="Clientes",SUMIFS(PARÂMETROS!$D$8:$D$907,PARÂMETROS!$A$8:$A$907,C1173,PARÂMETROS!$G$8:$G$907,J1173),SUMIFS(PARÂMETROS!$E$8:$E$907,PARÂMETROS!$A$8:$A$907,C1173,PARÂMETROS!$G$8:$G$907,J1173))</f>
        <v>0.0337120251559568</v>
      </c>
      <c r="E1173" s="26" t="n">
        <f aca="false">SUMIFS(SETORES!$D:$D,SETORES!$A:$A,A1173,SETORES!$F:$F,J1173)</f>
        <v>45319.1701435128</v>
      </c>
      <c r="F1173" s="26" t="n">
        <f aca="false">IFERROR(D1173*E1173,0)</f>
        <v>1527.80100392519</v>
      </c>
      <c r="G1173" s="25" t="n">
        <f aca="false">SUMIFS(PARÂMETROS!$F$8:$F$907,PARÂMETROS!$A$8:$A$907,C1173,PARÂMETROS!$G$8:$G$907,J1173)</f>
        <v>0</v>
      </c>
      <c r="H1173" s="26" t="n">
        <f aca="false">IFERROR(F1173*G1173,0)</f>
        <v>0</v>
      </c>
      <c r="I1173" s="26" t="n">
        <f aca="false">F1173+H1173</f>
        <v>1527.80100392519</v>
      </c>
      <c r="J1173" s="1" t="s">
        <v>88</v>
      </c>
    </row>
    <row r="1174" customFormat="false" ht="14.25" hidden="false" customHeight="true" outlineLevel="0" collapsed="false">
      <c r="A1174" s="1" t="s">
        <v>86</v>
      </c>
      <c r="B1174" s="1" t="str">
        <f aca="false">INDEX(SETORES!$B:$B,MATCH(A1174,SETORES!$A:$A,0))</f>
        <v>Clientes</v>
      </c>
      <c r="C1174" s="1" t="s">
        <v>12</v>
      </c>
      <c r="D1174" s="25" t="n">
        <f aca="false">IF(B1174="Clientes",SUMIFS(PARÂMETROS!$D$8:$D$907,PARÂMETROS!$A$8:$A$907,C1174,PARÂMETROS!$G$8:$G$907,J1174),SUMIFS(PARÂMETROS!$E$8:$E$907,PARÂMETROS!$A$8:$A$907,C1174,PARÂMETROS!$G$8:$G$907,J1174))</f>
        <v>0.0685195516559314</v>
      </c>
      <c r="E1174" s="26" t="n">
        <f aca="false">SUMIFS(SETORES!$D:$D,SETORES!$A:$A,A1174,SETORES!$F:$F,J1174)</f>
        <v>45319.1701435128</v>
      </c>
      <c r="F1174" s="26" t="n">
        <f aca="false">IFERROR(D1174*E1174,0)</f>
        <v>3105.24921965237</v>
      </c>
      <c r="G1174" s="25" t="n">
        <f aca="false">SUMIFS(PARÂMETROS!$F$8:$F$907,PARÂMETROS!$A$8:$A$907,C1174,PARÂMETROS!$G$8:$G$907,J1174)</f>
        <v>0</v>
      </c>
      <c r="H1174" s="26" t="n">
        <f aca="false">IFERROR(F1174*G1174,0)</f>
        <v>0</v>
      </c>
      <c r="I1174" s="26" t="n">
        <f aca="false">F1174+H1174</f>
        <v>3105.24921965237</v>
      </c>
      <c r="J1174" s="1" t="s">
        <v>88</v>
      </c>
    </row>
    <row r="1175" customFormat="false" ht="14.25" hidden="false" customHeight="true" outlineLevel="0" collapsed="false">
      <c r="A1175" s="1" t="s">
        <v>86</v>
      </c>
      <c r="B1175" s="1" t="str">
        <f aca="false">INDEX(SETORES!$B:$B,MATCH(A1175,SETORES!$A:$A,0))</f>
        <v>Clientes</v>
      </c>
      <c r="C1175" s="1" t="s">
        <v>13</v>
      </c>
      <c r="D1175" s="25" t="n">
        <f aca="false">IF(B1175="Clientes",SUMIFS(PARÂMETROS!$D$8:$D$907,PARÂMETROS!$A$8:$A$907,C1175,PARÂMETROS!$G$8:$G$907,J1175),SUMIFS(PARÂMETROS!$E$8:$E$907,PARÂMETROS!$A$8:$A$907,C1175,PARÂMETROS!$G$8:$G$907,J1175))</f>
        <v>0.0745397372825481</v>
      </c>
      <c r="E1175" s="26" t="n">
        <f aca="false">SUMIFS(SETORES!$D:$D,SETORES!$A:$A,A1175,SETORES!$F:$F,J1175)</f>
        <v>45319.1701435128</v>
      </c>
      <c r="F1175" s="26" t="n">
        <f aca="false">IFERROR(D1175*E1175,0)</f>
        <v>3378.07903636054</v>
      </c>
      <c r="G1175" s="25" t="n">
        <f aca="false">SUMIFS(PARÂMETROS!$F$8:$F$907,PARÂMETROS!$A$8:$A$907,C1175,PARÂMETROS!$G$8:$G$907,J1175)</f>
        <v>0</v>
      </c>
      <c r="H1175" s="26" t="n">
        <f aca="false">IFERROR(F1175*G1175,0)</f>
        <v>0</v>
      </c>
      <c r="I1175" s="26" t="n">
        <f aca="false">F1175+H1175</f>
        <v>3378.07903636054</v>
      </c>
      <c r="J1175" s="1" t="s">
        <v>88</v>
      </c>
    </row>
    <row r="1176" customFormat="false" ht="14.25" hidden="false" customHeight="true" outlineLevel="0" collapsed="false">
      <c r="A1176" s="1" t="s">
        <v>86</v>
      </c>
      <c r="B1176" s="1" t="str">
        <f aca="false">INDEX(SETORES!$B:$B,MATCH(A1176,SETORES!$A:$A,0))</f>
        <v>Clientes</v>
      </c>
      <c r="C1176" s="1" t="s">
        <v>14</v>
      </c>
      <c r="D1176" s="25" t="n">
        <f aca="false">IF(B1176="Clientes",SUMIFS(PARÂMETROS!$D$8:$D$907,PARÂMETROS!$A$8:$A$907,C1176,PARÂMETROS!$G$8:$G$907,J1176),SUMIFS(PARÂMETROS!$E$8:$E$907,PARÂMETROS!$A$8:$A$907,C1176,PARÂMETROS!$G$8:$G$907,J1176))</f>
        <v>0.018943044073642</v>
      </c>
      <c r="E1176" s="26" t="n">
        <f aca="false">SUMIFS(SETORES!$D:$D,SETORES!$A:$A,A1176,SETORES!$F:$F,J1176)</f>
        <v>45319.1701435128</v>
      </c>
      <c r="F1176" s="26" t="n">
        <f aca="false">IFERROR(D1176*E1176,0)</f>
        <v>858.483037409446</v>
      </c>
      <c r="G1176" s="25" t="n">
        <f aca="false">SUMIFS(PARÂMETROS!$F$8:$F$907,PARÂMETROS!$A$8:$A$907,C1176,PARÂMETROS!$G$8:$G$907,J1176)</f>
        <v>0</v>
      </c>
      <c r="H1176" s="26" t="n">
        <f aca="false">IFERROR(F1176*G1176,0)</f>
        <v>0</v>
      </c>
      <c r="I1176" s="26" t="n">
        <f aca="false">F1176+H1176</f>
        <v>858.483037409446</v>
      </c>
      <c r="J1176" s="1" t="s">
        <v>88</v>
      </c>
    </row>
    <row r="1177" customFormat="false" ht="14.25" hidden="false" customHeight="true" outlineLevel="0" collapsed="false">
      <c r="A1177" s="1" t="s">
        <v>86</v>
      </c>
      <c r="B1177" s="1" t="str">
        <f aca="false">INDEX(SETORES!$B:$B,MATCH(A1177,SETORES!$A:$A,0))</f>
        <v>Clientes</v>
      </c>
      <c r="C1177" s="1" t="s">
        <v>15</v>
      </c>
      <c r="D1177" s="25" t="n">
        <f aca="false">IF(B1177="Clientes",SUMIFS(PARÂMETROS!$D$8:$D$907,PARÂMETROS!$A$8:$A$907,C1177,PARÂMETROS!$G$8:$G$907,J1177),SUMIFS(PARÂMETROS!$E$8:$E$907,PARÂMETROS!$A$8:$A$907,C1177,PARÂMETROS!$G$8:$G$907,J1177))</f>
        <v>0.0334787239438048</v>
      </c>
      <c r="E1177" s="26" t="n">
        <f aca="false">SUMIFS(SETORES!$D:$D,SETORES!$A:$A,A1177,SETORES!$F:$F,J1177)</f>
        <v>45319.1701435128</v>
      </c>
      <c r="F1177" s="26" t="n">
        <f aca="false">IFERROR(D1177*E1177,0)</f>
        <v>1517.22798659699</v>
      </c>
      <c r="G1177" s="25" t="n">
        <f aca="false">SUMIFS(PARÂMETROS!$F$8:$F$907,PARÂMETROS!$A$8:$A$907,C1177,PARÂMETROS!$G$8:$G$907,J1177)</f>
        <v>0</v>
      </c>
      <c r="H1177" s="26" t="n">
        <f aca="false">IFERROR(F1177*G1177,0)</f>
        <v>0</v>
      </c>
      <c r="I1177" s="26" t="n">
        <f aca="false">F1177+H1177</f>
        <v>1517.22798659699</v>
      </c>
      <c r="J1177" s="1" t="s">
        <v>88</v>
      </c>
    </row>
    <row r="1178" customFormat="false" ht="14.25" hidden="false" customHeight="true" outlineLevel="0" collapsed="false">
      <c r="A1178" s="1" t="s">
        <v>86</v>
      </c>
      <c r="B1178" s="1" t="str">
        <f aca="false">INDEX(SETORES!$B:$B,MATCH(A1178,SETORES!$A:$A,0))</f>
        <v>Clientes</v>
      </c>
      <c r="C1178" s="1" t="s">
        <v>16</v>
      </c>
      <c r="D1178" s="25" t="n">
        <f aca="false">IF(B1178="Clientes",SUMIFS(PARÂMETROS!$D$8:$D$907,PARÂMETROS!$A$8:$A$907,C1178,PARÂMETROS!$G$8:$G$907,J1178),SUMIFS(PARÂMETROS!$E$8:$E$907,PARÂMETROS!$A$8:$A$907,C1178,PARÂMETROS!$G$8:$G$907,J1178))</f>
        <v>0.0242886848912106</v>
      </c>
      <c r="E1178" s="26" t="n">
        <f aca="false">SUMIFS(SETORES!$D:$D,SETORES!$A:$A,A1178,SETORES!$F:$F,J1178)</f>
        <v>45319.1701435128</v>
      </c>
      <c r="F1178" s="26" t="n">
        <f aca="false">IFERROR(D1178*E1178,0)</f>
        <v>1100.74304314694</v>
      </c>
      <c r="G1178" s="25" t="n">
        <f aca="false">SUMIFS(PARÂMETROS!$F$8:$F$907,PARÂMETROS!$A$8:$A$907,C1178,PARÂMETROS!$G$8:$G$907,J1178)</f>
        <v>0</v>
      </c>
      <c r="H1178" s="26" t="n">
        <f aca="false">IFERROR(F1178*G1178,0)</f>
        <v>0</v>
      </c>
      <c r="I1178" s="26" t="n">
        <f aca="false">F1178+H1178</f>
        <v>1100.74304314694</v>
      </c>
      <c r="J1178" s="1" t="s">
        <v>88</v>
      </c>
    </row>
    <row r="1179" customFormat="false" ht="14.25" hidden="false" customHeight="true" outlineLevel="0" collapsed="false">
      <c r="A1179" s="1" t="s">
        <v>86</v>
      </c>
      <c r="B1179" s="1" t="str">
        <f aca="false">INDEX(SETORES!$B:$B,MATCH(A1179,SETORES!$A:$A,0))</f>
        <v>Clientes</v>
      </c>
      <c r="C1179" s="1" t="s">
        <v>17</v>
      </c>
      <c r="D1179" s="25" t="n">
        <f aca="false">IF(B1179="Clientes",SUMIFS(PARÂMETROS!$D$8:$D$907,PARÂMETROS!$A$8:$A$907,C1179,PARÂMETROS!$G$8:$G$907,J1179),SUMIFS(PARÂMETROS!$E$8:$E$907,PARÂMETROS!$A$8:$A$907,C1179,PARÂMETROS!$G$8:$G$907,J1179))</f>
        <v>0.0243241872495816</v>
      </c>
      <c r="E1179" s="26" t="n">
        <f aca="false">SUMIFS(SETORES!$D:$D,SETORES!$A:$A,A1179,SETORES!$F:$F,J1179)</f>
        <v>45319.1701435128</v>
      </c>
      <c r="F1179" s="26" t="n">
        <f aca="false">IFERROR(D1179*E1179,0)</f>
        <v>1102.35198056645</v>
      </c>
      <c r="G1179" s="25" t="n">
        <f aca="false">SUMIFS(PARÂMETROS!$F$8:$F$907,PARÂMETROS!$A$8:$A$907,C1179,PARÂMETROS!$G$8:$G$907,J1179)</f>
        <v>0</v>
      </c>
      <c r="H1179" s="26" t="n">
        <f aca="false">IFERROR(F1179*G1179,0)</f>
        <v>0</v>
      </c>
      <c r="I1179" s="26" t="n">
        <f aca="false">F1179+H1179</f>
        <v>1102.35198056645</v>
      </c>
      <c r="J1179" s="1" t="s">
        <v>88</v>
      </c>
    </row>
    <row r="1180" customFormat="false" ht="14.25" hidden="false" customHeight="true" outlineLevel="0" collapsed="false">
      <c r="A1180" s="1" t="s">
        <v>86</v>
      </c>
      <c r="B1180" s="1" t="str">
        <f aca="false">INDEX(SETORES!$B:$B,MATCH(A1180,SETORES!$A:$A,0))</f>
        <v>Clientes</v>
      </c>
      <c r="C1180" s="1" t="s">
        <v>18</v>
      </c>
      <c r="D1180" s="25" t="n">
        <f aca="false">IF(B1180="Clientes",SUMIFS(PARÂMETROS!$D$8:$D$907,PARÂMETROS!$A$8:$A$907,C1180,PARÂMETROS!$G$8:$G$907,J1180),SUMIFS(PARÂMETROS!$E$8:$E$907,PARÂMETROS!$A$8:$A$907,C1180,PARÂMETROS!$G$8:$G$907,J1180))</f>
        <v>0.722194045747325</v>
      </c>
      <c r="E1180" s="26" t="n">
        <f aca="false">SUMIFS(SETORES!$D:$D,SETORES!$A:$A,A1180,SETORES!$F:$F,J1180)</f>
        <v>45319.1701435128</v>
      </c>
      <c r="F1180" s="26" t="n">
        <f aca="false">IFERROR(D1180*E1180,0)</f>
        <v>32729.2348358549</v>
      </c>
      <c r="G1180" s="25" t="n">
        <f aca="false">SUMIFS(PARÂMETROS!$F$8:$F$907,PARÂMETROS!$A$8:$A$907,C1180,PARÂMETROS!$G$8:$G$907,J1180)</f>
        <v>0</v>
      </c>
      <c r="H1180" s="26" t="n">
        <f aca="false">IFERROR(F1180*G1180,0)</f>
        <v>0</v>
      </c>
      <c r="I1180" s="26" t="n">
        <f aca="false">F1180+H1180</f>
        <v>32729.2348358549</v>
      </c>
      <c r="J1180" s="1" t="s">
        <v>88</v>
      </c>
    </row>
    <row r="1181" customFormat="false" ht="14.25" hidden="false" customHeight="true" outlineLevel="0" collapsed="false">
      <c r="A1181" s="1" t="s">
        <v>87</v>
      </c>
      <c r="B1181" s="1" t="str">
        <f aca="false">INDEX(SETORES!$B:$B,MATCH(A1181,SETORES!$A:$A,0))</f>
        <v>Clientes</v>
      </c>
      <c r="C1181" s="1" t="s">
        <v>10</v>
      </c>
      <c r="D1181" s="25" t="n">
        <f aca="false">IF(B1181="Clientes",SUMIFS(PARÂMETROS!$D$8:$D$907,PARÂMETROS!$A$8:$A$907,C1181,PARÂMETROS!$G$8:$G$907,J1181),SUMIFS(PARÂMETROS!$E$8:$E$907,PARÂMETROS!$A$8:$A$907,C1181,PARÂMETROS!$G$8:$G$907,J1181))</f>
        <v>0.0337120251559568</v>
      </c>
      <c r="E1181" s="26" t="n">
        <f aca="false">SUMIFS(SETORES!$D:$D,SETORES!$A:$A,A1181,SETORES!$F:$F,J1181)</f>
        <v>37722.9163879403</v>
      </c>
      <c r="F1181" s="26" t="n">
        <f aca="false">IFERROR(D1181*E1181,0)</f>
        <v>1271.7159062263</v>
      </c>
      <c r="G1181" s="25" t="n">
        <f aca="false">SUMIFS(PARÂMETROS!$F$8:$F$907,PARÂMETROS!$A$8:$A$907,C1181,PARÂMETROS!$G$8:$G$907,J1181)</f>
        <v>0</v>
      </c>
      <c r="H1181" s="26" t="n">
        <f aca="false">IFERROR(F1181*G1181,0)</f>
        <v>0</v>
      </c>
      <c r="I1181" s="26" t="n">
        <f aca="false">F1181+H1181</f>
        <v>1271.7159062263</v>
      </c>
      <c r="J1181" s="1" t="s">
        <v>88</v>
      </c>
    </row>
    <row r="1182" customFormat="false" ht="14.25" hidden="false" customHeight="true" outlineLevel="0" collapsed="false">
      <c r="A1182" s="1" t="s">
        <v>87</v>
      </c>
      <c r="B1182" s="1" t="str">
        <f aca="false">INDEX(SETORES!$B:$B,MATCH(A1182,SETORES!$A:$A,0))</f>
        <v>Clientes</v>
      </c>
      <c r="C1182" s="1" t="s">
        <v>12</v>
      </c>
      <c r="D1182" s="25" t="n">
        <f aca="false">IF(B1182="Clientes",SUMIFS(PARÂMETROS!$D$8:$D$907,PARÂMETROS!$A$8:$A$907,C1182,PARÂMETROS!$G$8:$G$907,J1182),SUMIFS(PARÂMETROS!$E$8:$E$907,PARÂMETROS!$A$8:$A$907,C1182,PARÂMETROS!$G$8:$G$907,J1182))</f>
        <v>0.0685195516559314</v>
      </c>
      <c r="E1182" s="26" t="n">
        <f aca="false">SUMIFS(SETORES!$D:$D,SETORES!$A:$A,A1182,SETORES!$F:$F,J1182)</f>
        <v>37722.9163879403</v>
      </c>
      <c r="F1182" s="26" t="n">
        <f aca="false">IFERROR(D1182*E1182,0)</f>
        <v>2584.75731805586</v>
      </c>
      <c r="G1182" s="25" t="n">
        <f aca="false">SUMIFS(PARÂMETROS!$F$8:$F$907,PARÂMETROS!$A$8:$A$907,C1182,PARÂMETROS!$G$8:$G$907,J1182)</f>
        <v>0</v>
      </c>
      <c r="H1182" s="26" t="n">
        <f aca="false">IFERROR(F1182*G1182,0)</f>
        <v>0</v>
      </c>
      <c r="I1182" s="26" t="n">
        <f aca="false">F1182+H1182</f>
        <v>2584.75731805586</v>
      </c>
      <c r="J1182" s="1" t="s">
        <v>88</v>
      </c>
    </row>
    <row r="1183" customFormat="false" ht="14.25" hidden="false" customHeight="true" outlineLevel="0" collapsed="false">
      <c r="A1183" s="1" t="s">
        <v>87</v>
      </c>
      <c r="B1183" s="1" t="str">
        <f aca="false">INDEX(SETORES!$B:$B,MATCH(A1183,SETORES!$A:$A,0))</f>
        <v>Clientes</v>
      </c>
      <c r="C1183" s="1" t="s">
        <v>13</v>
      </c>
      <c r="D1183" s="25" t="n">
        <f aca="false">IF(B1183="Clientes",SUMIFS(PARÂMETROS!$D$8:$D$907,PARÂMETROS!$A$8:$A$907,C1183,PARÂMETROS!$G$8:$G$907,J1183),SUMIFS(PARÂMETROS!$E$8:$E$907,PARÂMETROS!$A$8:$A$907,C1183,PARÂMETROS!$G$8:$G$907,J1183))</f>
        <v>0.0745397372825481</v>
      </c>
      <c r="E1183" s="26" t="n">
        <f aca="false">SUMIFS(SETORES!$D:$D,SETORES!$A:$A,A1183,SETORES!$F:$F,J1183)</f>
        <v>37722.9163879403</v>
      </c>
      <c r="F1183" s="26" t="n">
        <f aca="false">IFERROR(D1183*E1183,0)</f>
        <v>2811.8562770886</v>
      </c>
      <c r="G1183" s="25" t="n">
        <f aca="false">SUMIFS(PARÂMETROS!$F$8:$F$907,PARÂMETROS!$A$8:$A$907,C1183,PARÂMETROS!$G$8:$G$907,J1183)</f>
        <v>0</v>
      </c>
      <c r="H1183" s="26" t="n">
        <f aca="false">IFERROR(F1183*G1183,0)</f>
        <v>0</v>
      </c>
      <c r="I1183" s="26" t="n">
        <f aca="false">F1183+H1183</f>
        <v>2811.8562770886</v>
      </c>
      <c r="J1183" s="1" t="s">
        <v>88</v>
      </c>
    </row>
    <row r="1184" customFormat="false" ht="14.25" hidden="false" customHeight="true" outlineLevel="0" collapsed="false">
      <c r="A1184" s="1" t="s">
        <v>87</v>
      </c>
      <c r="B1184" s="1" t="str">
        <f aca="false">INDEX(SETORES!$B:$B,MATCH(A1184,SETORES!$A:$A,0))</f>
        <v>Clientes</v>
      </c>
      <c r="C1184" s="1" t="s">
        <v>14</v>
      </c>
      <c r="D1184" s="25" t="n">
        <f aca="false">IF(B1184="Clientes",SUMIFS(PARÂMETROS!$D$8:$D$907,PARÂMETROS!$A$8:$A$907,C1184,PARÂMETROS!$G$8:$G$907,J1184),SUMIFS(PARÂMETROS!$E$8:$E$907,PARÂMETROS!$A$8:$A$907,C1184,PARÂMETROS!$G$8:$G$907,J1184))</f>
        <v>0.018943044073642</v>
      </c>
      <c r="E1184" s="26" t="n">
        <f aca="false">SUMIFS(SETORES!$D:$D,SETORES!$A:$A,A1184,SETORES!$F:$F,J1184)</f>
        <v>37722.9163879403</v>
      </c>
      <c r="F1184" s="26" t="n">
        <f aca="false">IFERROR(D1184*E1184,0)</f>
        <v>714.586867723066</v>
      </c>
      <c r="G1184" s="25" t="n">
        <f aca="false">SUMIFS(PARÂMETROS!$F$8:$F$907,PARÂMETROS!$A$8:$A$907,C1184,PARÂMETROS!$G$8:$G$907,J1184)</f>
        <v>0</v>
      </c>
      <c r="H1184" s="26" t="n">
        <f aca="false">IFERROR(F1184*G1184,0)</f>
        <v>0</v>
      </c>
      <c r="I1184" s="26" t="n">
        <f aca="false">F1184+H1184</f>
        <v>714.586867723066</v>
      </c>
      <c r="J1184" s="1" t="s">
        <v>88</v>
      </c>
    </row>
    <row r="1185" customFormat="false" ht="14.25" hidden="false" customHeight="true" outlineLevel="0" collapsed="false">
      <c r="A1185" s="1" t="s">
        <v>87</v>
      </c>
      <c r="B1185" s="1" t="str">
        <f aca="false">INDEX(SETORES!$B:$B,MATCH(A1185,SETORES!$A:$A,0))</f>
        <v>Clientes</v>
      </c>
      <c r="C1185" s="1" t="s">
        <v>15</v>
      </c>
      <c r="D1185" s="25" t="n">
        <f aca="false">IF(B1185="Clientes",SUMIFS(PARÂMETROS!$D$8:$D$907,PARÂMETROS!$A$8:$A$907,C1185,PARÂMETROS!$G$8:$G$907,J1185),SUMIFS(PARÂMETROS!$E$8:$E$907,PARÂMETROS!$A$8:$A$907,C1185,PARÂMETROS!$G$8:$G$907,J1185))</f>
        <v>0.0334787239438048</v>
      </c>
      <c r="E1185" s="26" t="n">
        <f aca="false">SUMIFS(SETORES!$D:$D,SETORES!$A:$A,A1185,SETORES!$F:$F,J1185)</f>
        <v>37722.9163879403</v>
      </c>
      <c r="F1185" s="26" t="n">
        <f aca="false">IFERROR(D1185*E1185,0)</f>
        <v>1262.91510410708</v>
      </c>
      <c r="G1185" s="25" t="n">
        <f aca="false">SUMIFS(PARÂMETROS!$F$8:$F$907,PARÂMETROS!$A$8:$A$907,C1185,PARÂMETROS!$G$8:$G$907,J1185)</f>
        <v>0</v>
      </c>
      <c r="H1185" s="26" t="n">
        <f aca="false">IFERROR(F1185*G1185,0)</f>
        <v>0</v>
      </c>
      <c r="I1185" s="26" t="n">
        <f aca="false">F1185+H1185</f>
        <v>1262.91510410708</v>
      </c>
      <c r="J1185" s="1" t="s">
        <v>88</v>
      </c>
    </row>
    <row r="1186" customFormat="false" ht="14.25" hidden="false" customHeight="true" outlineLevel="0" collapsed="false">
      <c r="A1186" s="1" t="s">
        <v>87</v>
      </c>
      <c r="B1186" s="1" t="str">
        <f aca="false">INDEX(SETORES!$B:$B,MATCH(A1186,SETORES!$A:$A,0))</f>
        <v>Clientes</v>
      </c>
      <c r="C1186" s="1" t="s">
        <v>16</v>
      </c>
      <c r="D1186" s="25" t="n">
        <f aca="false">IF(B1186="Clientes",SUMIFS(PARÂMETROS!$D$8:$D$907,PARÂMETROS!$A$8:$A$907,C1186,PARÂMETROS!$G$8:$G$907,J1186),SUMIFS(PARÂMETROS!$E$8:$E$907,PARÂMETROS!$A$8:$A$907,C1186,PARÂMETROS!$G$8:$G$907,J1186))</f>
        <v>0.0242886848912106</v>
      </c>
      <c r="E1186" s="26" t="n">
        <f aca="false">SUMIFS(SETORES!$D:$D,SETORES!$A:$A,A1186,SETORES!$F:$F,J1186)</f>
        <v>37722.9163879403</v>
      </c>
      <c r="F1186" s="26" t="n">
        <f aca="false">IFERROR(D1186*E1186,0)</f>
        <v>916.240029324167</v>
      </c>
      <c r="G1186" s="25" t="n">
        <f aca="false">SUMIFS(PARÂMETROS!$F$8:$F$907,PARÂMETROS!$A$8:$A$907,C1186,PARÂMETROS!$G$8:$G$907,J1186)</f>
        <v>0</v>
      </c>
      <c r="H1186" s="26" t="n">
        <f aca="false">IFERROR(F1186*G1186,0)</f>
        <v>0</v>
      </c>
      <c r="I1186" s="26" t="n">
        <f aca="false">F1186+H1186</f>
        <v>916.240029324167</v>
      </c>
      <c r="J1186" s="1" t="s">
        <v>88</v>
      </c>
    </row>
    <row r="1187" customFormat="false" ht="14.25" hidden="false" customHeight="true" outlineLevel="0" collapsed="false">
      <c r="A1187" s="1" t="s">
        <v>87</v>
      </c>
      <c r="B1187" s="1" t="str">
        <f aca="false">INDEX(SETORES!$B:$B,MATCH(A1187,SETORES!$A:$A,0))</f>
        <v>Clientes</v>
      </c>
      <c r="C1187" s="1" t="s">
        <v>17</v>
      </c>
      <c r="D1187" s="25" t="n">
        <f aca="false">IF(B1187="Clientes",SUMIFS(PARÂMETROS!$D$8:$D$907,PARÂMETROS!$A$8:$A$907,C1187,PARÂMETROS!$G$8:$G$907,J1187),SUMIFS(PARÂMETROS!$E$8:$E$907,PARÂMETROS!$A$8:$A$907,C1187,PARÂMETROS!$G$8:$G$907,J1187))</f>
        <v>0.0243241872495816</v>
      </c>
      <c r="E1187" s="26" t="n">
        <f aca="false">SUMIFS(SETORES!$D:$D,SETORES!$A:$A,A1187,SETORES!$F:$F,J1187)</f>
        <v>37722.9163879403</v>
      </c>
      <c r="F1187" s="26" t="n">
        <f aca="false">IFERROR(D1187*E1187,0)</f>
        <v>917.579281820569</v>
      </c>
      <c r="G1187" s="25" t="n">
        <f aca="false">SUMIFS(PARÂMETROS!$F$8:$F$907,PARÂMETROS!$A$8:$A$907,C1187,PARÂMETROS!$G$8:$G$907,J1187)</f>
        <v>0</v>
      </c>
      <c r="H1187" s="26" t="n">
        <f aca="false">IFERROR(F1187*G1187,0)</f>
        <v>0</v>
      </c>
      <c r="I1187" s="26" t="n">
        <f aca="false">F1187+H1187</f>
        <v>917.579281820569</v>
      </c>
      <c r="J1187" s="1" t="s">
        <v>88</v>
      </c>
    </row>
    <row r="1188" customFormat="false" ht="14.25" hidden="false" customHeight="true" outlineLevel="0" collapsed="false">
      <c r="A1188" s="1" t="s">
        <v>87</v>
      </c>
      <c r="B1188" s="1" t="str">
        <f aca="false">INDEX(SETORES!$B:$B,MATCH(A1188,SETORES!$A:$A,0))</f>
        <v>Clientes</v>
      </c>
      <c r="C1188" s="1" t="s">
        <v>18</v>
      </c>
      <c r="D1188" s="25" t="n">
        <f aca="false">IF(B1188="Clientes",SUMIFS(PARÂMETROS!$D$8:$D$907,PARÂMETROS!$A$8:$A$907,C1188,PARÂMETROS!$G$8:$G$907,J1188),SUMIFS(PARÂMETROS!$E$8:$E$907,PARÂMETROS!$A$8:$A$907,C1188,PARÂMETROS!$G$8:$G$907,J1188))</f>
        <v>0.722194045747325</v>
      </c>
      <c r="E1188" s="26" t="n">
        <f aca="false">SUMIFS(SETORES!$D:$D,SETORES!$A:$A,A1188,SETORES!$F:$F,J1188)</f>
        <v>37722.9163879403</v>
      </c>
      <c r="F1188" s="26" t="n">
        <f aca="false">IFERROR(D1188*E1188,0)</f>
        <v>27243.2656035946</v>
      </c>
      <c r="G1188" s="25" t="n">
        <f aca="false">SUMIFS(PARÂMETROS!$F$8:$F$907,PARÂMETROS!$A$8:$A$907,C1188,PARÂMETROS!$G$8:$G$907,J1188)</f>
        <v>0</v>
      </c>
      <c r="H1188" s="26" t="n">
        <f aca="false">IFERROR(F1188*G1188,0)</f>
        <v>0</v>
      </c>
      <c r="I1188" s="26" t="n">
        <f aca="false">F1188+H1188</f>
        <v>27243.2656035946</v>
      </c>
      <c r="J1188" s="1" t="s">
        <v>88</v>
      </c>
    </row>
    <row r="1189" customFormat="false" ht="14.25" hidden="false" customHeight="true" outlineLevel="0" collapsed="false">
      <c r="A1189" s="1" t="s">
        <v>89</v>
      </c>
      <c r="B1189" s="1" t="str">
        <f aca="false">INDEX(SETORES!$B:$B,MATCH(A1189,SETORES!$A:$A,0))</f>
        <v>Clientes</v>
      </c>
      <c r="C1189" s="1" t="s">
        <v>10</v>
      </c>
      <c r="D1189" s="1" t="n">
        <f aca="false">IF(B1189="Clientes",SUMIFS(PARÂMETROS!$D$8:$D$907,PARÂMETROS!$A$8:$A$907,C1189,PARÂMETROS!$G$8:$G$907,J1189),SUMIFS(PARÂMETROS!$E$8:$E$907,PARÂMETROS!$A$8:$A$907,C1189,PARÂMETROS!$G$8:$G$907,J1189))</f>
        <v>0.0328233861399593</v>
      </c>
      <c r="E1189" s="1" t="n">
        <f aca="false">SUMIFS(SETORES!$D:$D,SETORES!$A:$A,A1189,SETORES!$F:$F,J1189)</f>
        <v>7873.6916</v>
      </c>
      <c r="F1189" s="1" t="n">
        <f aca="false">IFERROR(D1189*E1189,0)</f>
        <v>258.441219733754</v>
      </c>
      <c r="G1189" s="1" t="n">
        <f aca="false">SUMIFS(PARÂMETROS!$F$8:$F$907,PARÂMETROS!$A$8:$A$907,C1189,PARÂMETROS!$G$8:$G$907,J1189)</f>
        <v>0</v>
      </c>
      <c r="H1189" s="1" t="n">
        <f aca="false">IFERROR(F1189*G1189,0)</f>
        <v>0</v>
      </c>
      <c r="I1189" s="1" t="n">
        <f aca="false">F1189+H1189</f>
        <v>258.441219733754</v>
      </c>
      <c r="J1189" s="1" t="s">
        <v>20</v>
      </c>
    </row>
    <row r="1190" customFormat="false" ht="14.25" hidden="false" customHeight="true" outlineLevel="0" collapsed="false">
      <c r="A1190" s="1" t="s">
        <v>89</v>
      </c>
      <c r="B1190" s="1" t="str">
        <f aca="false">INDEX(SETORES!$B:$B,MATCH(A1190,SETORES!$A:$A,0))</f>
        <v>Clientes</v>
      </c>
      <c r="C1190" s="1" t="s">
        <v>12</v>
      </c>
      <c r="D1190" s="1" t="n">
        <f aca="false">IF(B1190="Clientes",SUMIFS(PARÂMETROS!$D$8:$D$907,PARÂMETROS!$A$8:$A$907,C1190,PARÂMETROS!$G$8:$G$907,J1190),SUMIFS(PARÂMETROS!$E$8:$E$907,PARÂMETROS!$A$8:$A$907,C1190,PARÂMETROS!$G$8:$G$907,J1190))</f>
        <v>0.0700476148165183</v>
      </c>
      <c r="E1190" s="1" t="n">
        <f aca="false">SUMIFS(SETORES!$D:$D,SETORES!$A:$A,A1190,SETORES!$F:$F,J1190)</f>
        <v>7873.6916</v>
      </c>
      <c r="F1190" s="1" t="n">
        <f aca="false">IFERROR(D1190*E1190,0)</f>
        <v>551.533316380856</v>
      </c>
      <c r="G1190" s="1" t="n">
        <f aca="false">SUMIFS(PARÂMETROS!$F$8:$F$907,PARÂMETROS!$A$8:$A$907,C1190,PARÂMETROS!$G$8:$G$907,J1190)</f>
        <v>0</v>
      </c>
      <c r="H1190" s="1" t="n">
        <f aca="false">IFERROR(F1190*G1190,0)</f>
        <v>0</v>
      </c>
      <c r="I1190" s="1" t="n">
        <f aca="false">F1190+H1190</f>
        <v>551.533316380856</v>
      </c>
      <c r="J1190" s="1" t="s">
        <v>20</v>
      </c>
    </row>
    <row r="1191" customFormat="false" ht="14.25" hidden="false" customHeight="true" outlineLevel="0" collapsed="false">
      <c r="A1191" s="1" t="s">
        <v>89</v>
      </c>
      <c r="B1191" s="1" t="str">
        <f aca="false">INDEX(SETORES!$B:$B,MATCH(A1191,SETORES!$A:$A,0))</f>
        <v>Clientes</v>
      </c>
      <c r="C1191" s="1" t="s">
        <v>13</v>
      </c>
      <c r="D1191" s="1" t="n">
        <f aca="false">IF(B1191="Clientes",SUMIFS(PARÂMETROS!$D$8:$D$907,PARÂMETROS!$A$8:$A$907,C1191,PARÂMETROS!$G$8:$G$907,J1191),SUMIFS(PARÂMETROS!$E$8:$E$907,PARÂMETROS!$A$8:$A$907,C1191,PARÂMETROS!$G$8:$G$907,J1191))</f>
        <v>0.074903176237541</v>
      </c>
      <c r="E1191" s="1" t="n">
        <f aca="false">SUMIFS(SETORES!$D:$D,SETORES!$A:$A,A1191,SETORES!$F:$F,J1191)</f>
        <v>7873.6916</v>
      </c>
      <c r="F1191" s="1" t="n">
        <f aca="false">IFERROR(D1191*E1191,0)</f>
        <v>589.764509554846</v>
      </c>
      <c r="G1191" s="1" t="n">
        <f aca="false">SUMIFS(PARÂMETROS!$F$8:$F$907,PARÂMETROS!$A$8:$A$907,C1191,PARÂMETROS!$G$8:$G$907,J1191)</f>
        <v>0</v>
      </c>
      <c r="H1191" s="1" t="n">
        <f aca="false">IFERROR(F1191*G1191,0)</f>
        <v>0</v>
      </c>
      <c r="I1191" s="1" t="n">
        <f aca="false">F1191+H1191</f>
        <v>589.764509554846</v>
      </c>
      <c r="J1191" s="1" t="s">
        <v>20</v>
      </c>
    </row>
    <row r="1192" customFormat="false" ht="14.25" hidden="false" customHeight="true" outlineLevel="0" collapsed="false">
      <c r="A1192" s="1" t="s">
        <v>89</v>
      </c>
      <c r="B1192" s="1" t="str">
        <f aca="false">INDEX(SETORES!$B:$B,MATCH(A1192,SETORES!$A:$A,0))</f>
        <v>Clientes</v>
      </c>
      <c r="C1192" s="1" t="s">
        <v>14</v>
      </c>
      <c r="D1192" s="1" t="n">
        <f aca="false">IF(B1192="Clientes",SUMIFS(PARÂMETROS!$D$8:$D$907,PARÂMETROS!$A$8:$A$907,C1192,PARÂMETROS!$G$8:$G$907,J1192),SUMIFS(PARÂMETROS!$E$8:$E$907,PARÂMETROS!$A$8:$A$907,C1192,PARÂMETROS!$G$8:$G$907,J1192))</f>
        <v>0.0190772865303904</v>
      </c>
      <c r="E1192" s="1" t="n">
        <f aca="false">SUMIFS(SETORES!$D:$D,SETORES!$A:$A,A1192,SETORES!$F:$F,J1192)</f>
        <v>7873.6916</v>
      </c>
      <c r="F1192" s="1" t="n">
        <f aca="false">IFERROR(D1192*E1192,0)</f>
        <v>150.208670705128</v>
      </c>
      <c r="G1192" s="1" t="n">
        <f aca="false">SUMIFS(PARÂMETROS!$F$8:$F$907,PARÂMETROS!$A$8:$A$907,C1192,PARÂMETROS!$G$8:$G$907,J1192)</f>
        <v>0</v>
      </c>
      <c r="H1192" s="1" t="n">
        <f aca="false">IFERROR(F1192*G1192,0)</f>
        <v>0</v>
      </c>
      <c r="I1192" s="1" t="n">
        <f aca="false">F1192+H1192</f>
        <v>150.208670705128</v>
      </c>
      <c r="J1192" s="1" t="s">
        <v>20</v>
      </c>
    </row>
    <row r="1193" customFormat="false" ht="14.25" hidden="false" customHeight="true" outlineLevel="0" collapsed="false">
      <c r="A1193" s="1" t="s">
        <v>89</v>
      </c>
      <c r="B1193" s="1" t="str">
        <f aca="false">INDEX(SETORES!$B:$B,MATCH(A1193,SETORES!$A:$A,0))</f>
        <v>Clientes</v>
      </c>
      <c r="C1193" s="1" t="s">
        <v>15</v>
      </c>
      <c r="D1193" s="1" t="n">
        <f aca="false">IF(B1193="Clientes",SUMIFS(PARÂMETROS!$D$8:$D$907,PARÂMETROS!$A$8:$A$907,C1193,PARÂMETROS!$G$8:$G$907,J1193),SUMIFS(PARÂMETROS!$E$8:$E$907,PARÂMETROS!$A$8:$A$907,C1193,PARÂMETROS!$G$8:$G$907,J1193))</f>
        <v>0.0334296779858567</v>
      </c>
      <c r="E1193" s="1" t="n">
        <f aca="false">SUMIFS(SETORES!$D:$D,SETORES!$A:$A,A1193,SETORES!$F:$F,J1193)</f>
        <v>7873.6916</v>
      </c>
      <c r="F1193" s="1" t="n">
        <f aca="false">IFERROR(D1193*E1193,0)</f>
        <v>263.214974747945</v>
      </c>
      <c r="G1193" s="1" t="n">
        <f aca="false">SUMIFS(PARÂMETROS!$F$8:$F$907,PARÂMETROS!$A$8:$A$907,C1193,PARÂMETROS!$G$8:$G$907,J1193)</f>
        <v>0</v>
      </c>
      <c r="H1193" s="1" t="n">
        <f aca="false">IFERROR(F1193*G1193,0)</f>
        <v>0</v>
      </c>
      <c r="I1193" s="1" t="n">
        <f aca="false">F1193+H1193</f>
        <v>263.214974747945</v>
      </c>
      <c r="J1193" s="1" t="s">
        <v>20</v>
      </c>
    </row>
    <row r="1194" customFormat="false" ht="14.25" hidden="false" customHeight="true" outlineLevel="0" collapsed="false">
      <c r="A1194" s="1" t="s">
        <v>89</v>
      </c>
      <c r="B1194" s="1" t="str">
        <f aca="false">INDEX(SETORES!$B:$B,MATCH(A1194,SETORES!$A:$A,0))</f>
        <v>Clientes</v>
      </c>
      <c r="C1194" s="1" t="s">
        <v>16</v>
      </c>
      <c r="D1194" s="1" t="n">
        <f aca="false">IF(B1194="Clientes",SUMIFS(PARÂMETROS!$D$8:$D$907,PARÂMETROS!$A$8:$A$907,C1194,PARÂMETROS!$G$8:$G$907,J1194),SUMIFS(PARÂMETROS!$E$8:$E$907,PARÂMETROS!$A$8:$A$907,C1194,PARÂMETROS!$G$8:$G$907,J1194))</f>
        <v>0.0247220726818484</v>
      </c>
      <c r="E1194" s="1" t="n">
        <f aca="false">SUMIFS(SETORES!$D:$D,SETORES!$A:$A,A1194,SETORES!$F:$F,J1194)</f>
        <v>7873.6916</v>
      </c>
      <c r="F1194" s="1" t="n">
        <f aca="false">IFERROR(D1194*E1194,0)</f>
        <v>194.653976009659</v>
      </c>
      <c r="G1194" s="1" t="n">
        <f aca="false">SUMIFS(PARÂMETROS!$F$8:$F$907,PARÂMETROS!$A$8:$A$907,C1194,PARÂMETROS!$G$8:$G$907,J1194)</f>
        <v>0</v>
      </c>
      <c r="H1194" s="1" t="n">
        <f aca="false">IFERROR(F1194*G1194,0)</f>
        <v>0</v>
      </c>
      <c r="I1194" s="1" t="n">
        <f aca="false">F1194+H1194</f>
        <v>194.653976009659</v>
      </c>
      <c r="J1194" s="1" t="s">
        <v>20</v>
      </c>
    </row>
    <row r="1195" customFormat="false" ht="14.25" hidden="false" customHeight="true" outlineLevel="0" collapsed="false">
      <c r="A1195" s="1" t="s">
        <v>89</v>
      </c>
      <c r="B1195" s="1" t="str">
        <f aca="false">INDEX(SETORES!$B:$B,MATCH(A1195,SETORES!$A:$A,0))</f>
        <v>Clientes</v>
      </c>
      <c r="C1195" s="1" t="s">
        <v>17</v>
      </c>
      <c r="D1195" s="1" t="n">
        <f aca="false">IF(B1195="Clientes",SUMIFS(PARÂMETROS!$D$8:$D$907,PARÂMETROS!$A$8:$A$907,C1195,PARÂMETROS!$G$8:$G$907,J1195),SUMIFS(PARÂMETROS!$E$8:$E$907,PARÂMETROS!$A$8:$A$907,C1195,PARÂMETROS!$G$8:$G$907,J1195))</f>
        <v>0.0249938586817334</v>
      </c>
      <c r="E1195" s="1" t="n">
        <f aca="false">SUMIFS(SETORES!$D:$D,SETORES!$A:$A,A1195,SETORES!$F:$F,J1195)</f>
        <v>7873.6916</v>
      </c>
      <c r="F1195" s="1" t="n">
        <f aca="false">IFERROR(D1195*E1195,0)</f>
        <v>196.793935153951</v>
      </c>
      <c r="G1195" s="1" t="n">
        <f aca="false">SUMIFS(PARÂMETROS!$F$8:$F$907,PARÂMETROS!$A$8:$A$907,C1195,PARÂMETROS!$G$8:$G$907,J1195)</f>
        <v>0</v>
      </c>
      <c r="H1195" s="1" t="n">
        <f aca="false">IFERROR(F1195*G1195,0)</f>
        <v>0</v>
      </c>
      <c r="I1195" s="1" t="n">
        <f aca="false">F1195+H1195</f>
        <v>196.793935153951</v>
      </c>
      <c r="J1195" s="1" t="s">
        <v>20</v>
      </c>
    </row>
    <row r="1196" customFormat="false" ht="14.25" hidden="false" customHeight="true" outlineLevel="0" collapsed="false">
      <c r="A1196" s="1" t="s">
        <v>89</v>
      </c>
      <c r="B1196" s="1" t="str">
        <f aca="false">INDEX(SETORES!$B:$B,MATCH(A1196,SETORES!$A:$A,0))</f>
        <v>Clientes</v>
      </c>
      <c r="C1196" s="1" t="s">
        <v>18</v>
      </c>
      <c r="D1196" s="1" t="n">
        <f aca="false">IF(B1196="Clientes",SUMIFS(PARÂMETROS!$D$8:$D$907,PARÂMETROS!$A$8:$A$907,C1196,PARÂMETROS!$G$8:$G$907,J1196),SUMIFS(PARÂMETROS!$E$8:$E$907,PARÂMETROS!$A$8:$A$907,C1196,PARÂMETROS!$G$8:$G$907,J1196))</f>
        <v>0.720002926926153</v>
      </c>
      <c r="E1196" s="1" t="n">
        <f aca="false">SUMIFS(SETORES!$D:$D,SETORES!$A:$A,A1196,SETORES!$F:$F,J1196)</f>
        <v>7873.6916</v>
      </c>
      <c r="F1196" s="1" t="n">
        <f aca="false">IFERROR(D1196*E1196,0)</f>
        <v>5669.08099771386</v>
      </c>
      <c r="G1196" s="1" t="n">
        <f aca="false">SUMIFS(PARÂMETROS!$F$8:$F$907,PARÂMETROS!$A$8:$A$907,C1196,PARÂMETROS!$G$8:$G$907,J1196)</f>
        <v>0</v>
      </c>
      <c r="H1196" s="1" t="n">
        <f aca="false">IFERROR(F1196*G1196,0)</f>
        <v>0</v>
      </c>
      <c r="I1196" s="1" t="n">
        <f aca="false">F1196+H1196</f>
        <v>5669.08099771386</v>
      </c>
      <c r="J1196" s="1" t="s">
        <v>20</v>
      </c>
    </row>
    <row r="1197" customFormat="false" ht="14.25" hidden="false" customHeight="true" outlineLevel="0" collapsed="false">
      <c r="A1197" s="1" t="s">
        <v>89</v>
      </c>
      <c r="B1197" s="1" t="str">
        <f aca="false">INDEX(SETORES!$B:$B,MATCH(A1197,SETORES!$A:$A,0))</f>
        <v>Clientes</v>
      </c>
      <c r="C1197" s="1" t="s">
        <v>10</v>
      </c>
      <c r="D1197" s="1" t="n">
        <f aca="false">IF(B1197="Clientes",SUMIFS(PARÂMETROS!$D$8:$D$907,PARÂMETROS!$A$8:$A$907,C1197,PARÂMETROS!$G$8:$G$907,J1197),SUMIFS(PARÂMETROS!$E$8:$E$907,PARÂMETROS!$A$8:$A$907,C1197,PARÂMETROS!$G$8:$G$907,J1197))</f>
        <v>0.0330779140128206</v>
      </c>
      <c r="E1197" s="1" t="n">
        <f aca="false">SUMIFS(SETORES!$D:$D,SETORES!$A:$A,A1197,SETORES!$F:$F,J1197)</f>
        <v>8894.0744</v>
      </c>
      <c r="F1197" s="1" t="n">
        <f aca="false">IFERROR(D1197*E1197,0)</f>
        <v>294.197428226829</v>
      </c>
      <c r="G1197" s="1" t="n">
        <f aca="false">SUMIFS(PARÂMETROS!$F$8:$F$907,PARÂMETROS!$A$8:$A$907,C1197,PARÂMETROS!$G$8:$G$907,J1197)</f>
        <v>0</v>
      </c>
      <c r="H1197" s="1" t="n">
        <f aca="false">IFERROR(F1197*G1197,0)</f>
        <v>0</v>
      </c>
      <c r="I1197" s="1" t="n">
        <f aca="false">F1197+H1197</f>
        <v>294.197428226829</v>
      </c>
      <c r="J1197" s="1" t="s">
        <v>11</v>
      </c>
    </row>
    <row r="1198" customFormat="false" ht="14.25" hidden="false" customHeight="true" outlineLevel="0" collapsed="false">
      <c r="A1198" s="1" t="s">
        <v>89</v>
      </c>
      <c r="B1198" s="1" t="str">
        <f aca="false">INDEX(SETORES!$B:$B,MATCH(A1198,SETORES!$A:$A,0))</f>
        <v>Clientes</v>
      </c>
      <c r="C1198" s="1" t="s">
        <v>12</v>
      </c>
      <c r="D1198" s="1" t="n">
        <f aca="false">IF(B1198="Clientes",SUMIFS(PARÂMETROS!$D$8:$D$907,PARÂMETROS!$A$8:$A$907,C1198,PARÂMETROS!$G$8:$G$907,J1198),SUMIFS(PARÂMETROS!$E$8:$E$907,PARÂMETROS!$A$8:$A$907,C1198,PARÂMETROS!$G$8:$G$907,J1198))</f>
        <v>0.0688657021294068</v>
      </c>
      <c r="E1198" s="1" t="n">
        <f aca="false">SUMIFS(SETORES!$D:$D,SETORES!$A:$A,A1198,SETORES!$F:$F,J1198)</f>
        <v>8894.0744</v>
      </c>
      <c r="F1198" s="1" t="n">
        <f aca="false">IFERROR(D1198*E1198,0)</f>
        <v>612.496678347182</v>
      </c>
      <c r="G1198" s="1" t="n">
        <f aca="false">SUMIFS(PARÂMETROS!$F$8:$F$907,PARÂMETROS!$A$8:$A$907,C1198,PARÂMETROS!$G$8:$G$907,J1198)</f>
        <v>0</v>
      </c>
      <c r="H1198" s="1" t="n">
        <f aca="false">IFERROR(F1198*G1198,0)</f>
        <v>0</v>
      </c>
      <c r="I1198" s="1" t="n">
        <f aca="false">F1198+H1198</f>
        <v>612.496678347182</v>
      </c>
      <c r="J1198" s="1" t="s">
        <v>11</v>
      </c>
    </row>
    <row r="1199" customFormat="false" ht="14.25" hidden="false" customHeight="true" outlineLevel="0" collapsed="false">
      <c r="A1199" s="1" t="s">
        <v>89</v>
      </c>
      <c r="B1199" s="1" t="str">
        <f aca="false">INDEX(SETORES!$B:$B,MATCH(A1199,SETORES!$A:$A,0))</f>
        <v>Clientes</v>
      </c>
      <c r="C1199" s="1" t="s">
        <v>13</v>
      </c>
      <c r="D1199" s="1" t="n">
        <f aca="false">IF(B1199="Clientes",SUMIFS(PARÂMETROS!$D$8:$D$907,PARÂMETROS!$A$8:$A$907,C1199,PARÂMETROS!$G$8:$G$907,J1199),SUMIFS(PARÂMETROS!$E$8:$E$907,PARÂMETROS!$A$8:$A$907,C1199,PARÂMETROS!$G$8:$G$907,J1199))</f>
        <v>0.0741160832054526</v>
      </c>
      <c r="E1199" s="1" t="n">
        <f aca="false">SUMIFS(SETORES!$D:$D,SETORES!$A:$A,A1199,SETORES!$F:$F,J1199)</f>
        <v>8894.0744</v>
      </c>
      <c r="F1199" s="1" t="n">
        <f aca="false">IFERROR(D1199*E1199,0)</f>
        <v>659.193958265886</v>
      </c>
      <c r="G1199" s="1" t="n">
        <f aca="false">SUMIFS(PARÂMETROS!$F$8:$F$907,PARÂMETROS!$A$8:$A$907,C1199,PARÂMETROS!$G$8:$G$907,J1199)</f>
        <v>0</v>
      </c>
      <c r="H1199" s="1" t="n">
        <f aca="false">IFERROR(F1199*G1199,0)</f>
        <v>0</v>
      </c>
      <c r="I1199" s="1" t="n">
        <f aca="false">F1199+H1199</f>
        <v>659.193958265886</v>
      </c>
      <c r="J1199" s="1" t="s">
        <v>11</v>
      </c>
    </row>
    <row r="1200" customFormat="false" ht="14.25" hidden="false" customHeight="true" outlineLevel="0" collapsed="false">
      <c r="A1200" s="1" t="s">
        <v>89</v>
      </c>
      <c r="B1200" s="1" t="str">
        <f aca="false">INDEX(SETORES!$B:$B,MATCH(A1200,SETORES!$A:$A,0))</f>
        <v>Clientes</v>
      </c>
      <c r="C1200" s="1" t="s">
        <v>14</v>
      </c>
      <c r="D1200" s="1" t="n">
        <f aca="false">IF(B1200="Clientes",SUMIFS(PARÂMETROS!$D$8:$D$907,PARÂMETROS!$A$8:$A$907,C1200,PARÂMETROS!$G$8:$G$907,J1200),SUMIFS(PARÂMETROS!$E$8:$E$907,PARÂMETROS!$A$8:$A$907,C1200,PARÂMETROS!$G$8:$G$907,J1200))</f>
        <v>0.0190101774249011</v>
      </c>
      <c r="E1200" s="1" t="n">
        <f aca="false">SUMIFS(SETORES!$D:$D,SETORES!$A:$A,A1200,SETORES!$F:$F,J1200)</f>
        <v>8894.0744</v>
      </c>
      <c r="F1200" s="1" t="n">
        <f aca="false">IFERROR(D1200*E1200,0)</f>
        <v>169.077932374271</v>
      </c>
      <c r="G1200" s="1" t="n">
        <f aca="false">SUMIFS(PARÂMETROS!$F$8:$F$907,PARÂMETROS!$A$8:$A$907,C1200,PARÂMETROS!$G$8:$G$907,J1200)</f>
        <v>0</v>
      </c>
      <c r="H1200" s="1" t="n">
        <f aca="false">IFERROR(F1200*G1200,0)</f>
        <v>0</v>
      </c>
      <c r="I1200" s="1" t="n">
        <f aca="false">F1200+H1200</f>
        <v>169.077932374271</v>
      </c>
      <c r="J1200" s="1" t="s">
        <v>11</v>
      </c>
    </row>
    <row r="1201" customFormat="false" ht="14.25" hidden="false" customHeight="true" outlineLevel="0" collapsed="false">
      <c r="A1201" s="1" t="s">
        <v>89</v>
      </c>
      <c r="B1201" s="1" t="str">
        <f aca="false">INDEX(SETORES!$B:$B,MATCH(A1201,SETORES!$A:$A,0))</f>
        <v>Clientes</v>
      </c>
      <c r="C1201" s="1" t="s">
        <v>15</v>
      </c>
      <c r="D1201" s="1" t="n">
        <f aca="false">IF(B1201="Clientes",SUMIFS(PARÂMETROS!$D$8:$D$907,PARÂMETROS!$A$8:$A$907,C1201,PARÂMETROS!$G$8:$G$907,J1201),SUMIFS(PARÂMETROS!$E$8:$E$907,PARÂMETROS!$A$8:$A$907,C1201,PARÂMETROS!$G$8:$G$907,J1201))</f>
        <v>0.0330214583023255</v>
      </c>
      <c r="E1201" s="1" t="n">
        <f aca="false">SUMIFS(SETORES!$D:$D,SETORES!$A:$A,A1201,SETORES!$F:$F,J1201)</f>
        <v>8894.0744</v>
      </c>
      <c r="F1201" s="1" t="n">
        <f aca="false">IFERROR(D1201*E1201,0)</f>
        <v>293.69530693738</v>
      </c>
      <c r="G1201" s="1" t="n">
        <f aca="false">SUMIFS(PARÂMETROS!$F$8:$F$907,PARÂMETROS!$A$8:$A$907,C1201,PARÂMETROS!$G$8:$G$907,J1201)</f>
        <v>0</v>
      </c>
      <c r="H1201" s="1" t="n">
        <f aca="false">IFERROR(F1201*G1201,0)</f>
        <v>0</v>
      </c>
      <c r="I1201" s="1" t="n">
        <f aca="false">F1201+H1201</f>
        <v>293.69530693738</v>
      </c>
      <c r="J1201" s="1" t="s">
        <v>11</v>
      </c>
    </row>
    <row r="1202" customFormat="false" ht="14.25" hidden="false" customHeight="true" outlineLevel="0" collapsed="false">
      <c r="A1202" s="1" t="s">
        <v>89</v>
      </c>
      <c r="B1202" s="1" t="str">
        <f aca="false">INDEX(SETORES!$B:$B,MATCH(A1202,SETORES!$A:$A,0))</f>
        <v>Clientes</v>
      </c>
      <c r="C1202" s="1" t="s">
        <v>16</v>
      </c>
      <c r="D1202" s="1" t="n">
        <f aca="false">IF(B1202="Clientes",SUMIFS(PARÂMETROS!$D$8:$D$907,PARÂMETROS!$A$8:$A$907,C1202,PARÂMETROS!$G$8:$G$907,J1202),SUMIFS(PARÂMETROS!$E$8:$E$907,PARÂMETROS!$A$8:$A$907,C1202,PARÂMETROS!$G$8:$G$907,J1202))</f>
        <v>0.0243734699219372</v>
      </c>
      <c r="E1202" s="1" t="n">
        <f aca="false">SUMIFS(SETORES!$D:$D,SETORES!$A:$A,A1202,SETORES!$F:$F,J1202)</f>
        <v>8894.0744</v>
      </c>
      <c r="F1202" s="1" t="n">
        <f aca="false">IFERROR(D1202*E1202,0)</f>
        <v>216.779454871871</v>
      </c>
      <c r="G1202" s="1" t="n">
        <f aca="false">SUMIFS(PARÂMETROS!$F$8:$F$907,PARÂMETROS!$A$8:$A$907,C1202,PARÂMETROS!$G$8:$G$907,J1202)</f>
        <v>0</v>
      </c>
      <c r="H1202" s="1" t="n">
        <f aca="false">IFERROR(F1202*G1202,0)</f>
        <v>0</v>
      </c>
      <c r="I1202" s="1" t="n">
        <f aca="false">F1202+H1202</f>
        <v>216.779454871871</v>
      </c>
      <c r="J1202" s="1" t="s">
        <v>11</v>
      </c>
    </row>
    <row r="1203" customFormat="false" ht="14.25" hidden="false" customHeight="true" outlineLevel="0" collapsed="false">
      <c r="A1203" s="1" t="s">
        <v>89</v>
      </c>
      <c r="B1203" s="1" t="str">
        <f aca="false">INDEX(SETORES!$B:$B,MATCH(A1203,SETORES!$A:$A,0))</f>
        <v>Clientes</v>
      </c>
      <c r="C1203" s="1" t="s">
        <v>17</v>
      </c>
      <c r="D1203" s="1" t="n">
        <f aca="false">IF(B1203="Clientes",SUMIFS(PARÂMETROS!$D$8:$D$907,PARÂMETROS!$A$8:$A$907,C1203,PARÂMETROS!$G$8:$G$907,J1203),SUMIFS(PARÂMETROS!$E$8:$E$907,PARÂMETROS!$A$8:$A$907,C1203,PARÂMETROS!$G$8:$G$907,J1203))</f>
        <v>0.0246095574385531</v>
      </c>
      <c r="E1203" s="1" t="n">
        <f aca="false">SUMIFS(SETORES!$D:$D,SETORES!$A:$A,A1203,SETORES!$F:$F,J1203)</f>
        <v>8894.0744</v>
      </c>
      <c r="F1203" s="1" t="n">
        <f aca="false">IFERROR(D1203*E1203,0)</f>
        <v>218.879234809565</v>
      </c>
      <c r="G1203" s="1" t="n">
        <f aca="false">SUMIFS(PARÂMETROS!$F$8:$F$907,PARÂMETROS!$A$8:$A$907,C1203,PARÂMETROS!$G$8:$G$907,J1203)</f>
        <v>0</v>
      </c>
      <c r="H1203" s="1" t="n">
        <f aca="false">IFERROR(F1203*G1203,0)</f>
        <v>0</v>
      </c>
      <c r="I1203" s="1" t="n">
        <f aca="false">F1203+H1203</f>
        <v>218.879234809565</v>
      </c>
      <c r="J1203" s="1" t="s">
        <v>11</v>
      </c>
    </row>
    <row r="1204" customFormat="false" ht="14.25" hidden="false" customHeight="true" outlineLevel="0" collapsed="false">
      <c r="A1204" s="1" t="s">
        <v>89</v>
      </c>
      <c r="B1204" s="1" t="str">
        <f aca="false">INDEX(SETORES!$B:$B,MATCH(A1204,SETORES!$A:$A,0))</f>
        <v>Clientes</v>
      </c>
      <c r="C1204" s="1" t="s">
        <v>18</v>
      </c>
      <c r="D1204" s="1" t="n">
        <f aca="false">IF(B1204="Clientes",SUMIFS(PARÂMETROS!$D$8:$D$907,PARÂMETROS!$A$8:$A$907,C1204,PARÂMETROS!$G$8:$G$907,J1204),SUMIFS(PARÂMETROS!$E$8:$E$907,PARÂMETROS!$A$8:$A$907,C1204,PARÂMETROS!$G$8:$G$907,J1204))</f>
        <v>0.722925637564603</v>
      </c>
      <c r="E1204" s="1" t="n">
        <f aca="false">SUMIFS(SETORES!$D:$D,SETORES!$A:$A,A1204,SETORES!$F:$F,J1204)</f>
        <v>8894.0744</v>
      </c>
      <c r="F1204" s="1" t="n">
        <f aca="false">IFERROR(D1204*E1204,0)</f>
        <v>6429.75440616702</v>
      </c>
      <c r="G1204" s="1" t="n">
        <f aca="false">SUMIFS(PARÂMETROS!$F$8:$F$907,PARÂMETROS!$A$8:$A$907,C1204,PARÂMETROS!$G$8:$G$907,J1204)</f>
        <v>0</v>
      </c>
      <c r="H1204" s="1" t="n">
        <f aca="false">IFERROR(F1204*G1204,0)</f>
        <v>0</v>
      </c>
      <c r="I1204" s="1" t="n">
        <f aca="false">F1204+H1204</f>
        <v>6429.75440616702</v>
      </c>
      <c r="J1204" s="1" t="s">
        <v>11</v>
      </c>
    </row>
    <row r="1205" customFormat="false" ht="14.25" hidden="false" customHeight="true" outlineLevel="0" collapsed="false">
      <c r="A1205" s="1" t="s">
        <v>89</v>
      </c>
      <c r="B1205" s="1" t="str">
        <f aca="false">INDEX(SETORES!$B:$B,MATCH(A1205,SETORES!$A:$A,0))</f>
        <v>Clientes</v>
      </c>
      <c r="C1205" s="1" t="s">
        <v>10</v>
      </c>
      <c r="D1205" s="1" t="n">
        <f aca="false">IF(B1205="Clientes",SUMIFS(PARÂMETROS!$D$8:$D$907,PARÂMETROS!$A$8:$A$907,C1205,PARÂMETROS!$G$8:$G$907,J1205),SUMIFS(PARÂMETROS!$E$8:$E$907,PARÂMETROS!$A$8:$A$907,C1205,PARÂMETROS!$G$8:$G$907,J1205))</f>
        <v>0.0326962494602737</v>
      </c>
      <c r="E1205" s="1" t="n">
        <f aca="false">SUMIFS(SETORES!$D:$D,SETORES!$A:$A,A1205,SETORES!$F:$F,J1205)</f>
        <v>7791.2645</v>
      </c>
      <c r="F1205" s="1" t="n">
        <f aca="false">IFERROR(D1205*E1205,0)</f>
        <v>254.745127702974</v>
      </c>
      <c r="G1205" s="1" t="n">
        <f aca="false">SUMIFS(PARÂMETROS!$F$8:$F$907,PARÂMETROS!$A$8:$A$907,C1205,PARÂMETROS!$G$8:$G$907,J1205)</f>
        <v>0</v>
      </c>
      <c r="H1205" s="1" t="n">
        <f aca="false">IFERROR(F1205*G1205,0)</f>
        <v>0</v>
      </c>
      <c r="I1205" s="1" t="n">
        <f aca="false">F1205+H1205</f>
        <v>254.745127702974</v>
      </c>
      <c r="J1205" s="1" t="s">
        <v>21</v>
      </c>
    </row>
    <row r="1206" customFormat="false" ht="14.25" hidden="false" customHeight="true" outlineLevel="0" collapsed="false">
      <c r="A1206" s="1" t="s">
        <v>89</v>
      </c>
      <c r="B1206" s="1" t="str">
        <f aca="false">INDEX(SETORES!$B:$B,MATCH(A1206,SETORES!$A:$A,0))</f>
        <v>Clientes</v>
      </c>
      <c r="C1206" s="1" t="s">
        <v>12</v>
      </c>
      <c r="D1206" s="1" t="n">
        <f aca="false">IF(B1206="Clientes",SUMIFS(PARÂMETROS!$D$8:$D$907,PARÂMETROS!$A$8:$A$907,C1206,PARÂMETROS!$G$8:$G$907,J1206),SUMIFS(PARÂMETROS!$E$8:$E$907,PARÂMETROS!$A$8:$A$907,C1206,PARÂMETROS!$G$8:$G$907,J1206))</f>
        <v>0.06714940121395</v>
      </c>
      <c r="E1206" s="1" t="n">
        <f aca="false">SUMIFS(SETORES!$D:$D,SETORES!$A:$A,A1206,SETORES!$F:$F,J1206)</f>
        <v>7791.2645</v>
      </c>
      <c r="F1206" s="1" t="n">
        <f aca="false">IFERROR(D1206*E1206,0)</f>
        <v>523.178745874506</v>
      </c>
      <c r="G1206" s="1" t="n">
        <f aca="false">SUMIFS(PARÂMETROS!$F$8:$F$907,PARÂMETROS!$A$8:$A$907,C1206,PARÂMETROS!$G$8:$G$907,J1206)</f>
        <v>0</v>
      </c>
      <c r="H1206" s="1" t="n">
        <f aca="false">IFERROR(F1206*G1206,0)</f>
        <v>0</v>
      </c>
      <c r="I1206" s="1" t="n">
        <f aca="false">F1206+H1206</f>
        <v>523.178745874506</v>
      </c>
      <c r="J1206" s="1" t="s">
        <v>21</v>
      </c>
    </row>
    <row r="1207" customFormat="false" ht="14.25" hidden="false" customHeight="true" outlineLevel="0" collapsed="false">
      <c r="A1207" s="1" t="s">
        <v>89</v>
      </c>
      <c r="B1207" s="1" t="str">
        <f aca="false">INDEX(SETORES!$B:$B,MATCH(A1207,SETORES!$A:$A,0))</f>
        <v>Clientes</v>
      </c>
      <c r="C1207" s="1" t="s">
        <v>13</v>
      </c>
      <c r="D1207" s="1" t="n">
        <f aca="false">IF(B1207="Clientes",SUMIFS(PARÂMETROS!$D$8:$D$907,PARÂMETROS!$A$8:$A$907,C1207,PARÂMETROS!$G$8:$G$907,J1207),SUMIFS(PARÂMETROS!$E$8:$E$907,PARÂMETROS!$A$8:$A$907,C1207,PARÂMETROS!$G$8:$G$907,J1207))</f>
        <v>0.0729015191745537</v>
      </c>
      <c r="E1207" s="1" t="n">
        <f aca="false">SUMIFS(SETORES!$D:$D,SETORES!$A:$A,A1207,SETORES!$F:$F,J1207)</f>
        <v>7791.2645</v>
      </c>
      <c r="F1207" s="1" t="n">
        <f aca="false">IFERROR(D1207*E1207,0)</f>
        <v>567.99501834077</v>
      </c>
      <c r="G1207" s="1" t="n">
        <f aca="false">SUMIFS(PARÂMETROS!$F$8:$F$907,PARÂMETROS!$A$8:$A$907,C1207,PARÂMETROS!$G$8:$G$907,J1207)</f>
        <v>0</v>
      </c>
      <c r="H1207" s="1" t="n">
        <f aca="false">IFERROR(F1207*G1207,0)</f>
        <v>0</v>
      </c>
      <c r="I1207" s="1" t="n">
        <f aca="false">F1207+H1207</f>
        <v>567.99501834077</v>
      </c>
      <c r="J1207" s="1" t="s">
        <v>21</v>
      </c>
    </row>
    <row r="1208" customFormat="false" ht="14.25" hidden="false" customHeight="true" outlineLevel="0" collapsed="false">
      <c r="A1208" s="1" t="s">
        <v>89</v>
      </c>
      <c r="B1208" s="1" t="str">
        <f aca="false">INDEX(SETORES!$B:$B,MATCH(A1208,SETORES!$A:$A,0))</f>
        <v>Clientes</v>
      </c>
      <c r="C1208" s="1" t="s">
        <v>14</v>
      </c>
      <c r="D1208" s="1" t="n">
        <f aca="false">IF(B1208="Clientes",SUMIFS(PARÂMETROS!$D$8:$D$907,PARÂMETROS!$A$8:$A$907,C1208,PARÂMETROS!$G$8:$G$907,J1208),SUMIFS(PARÂMETROS!$E$8:$E$907,PARÂMETROS!$A$8:$A$907,C1208,PARÂMETROS!$G$8:$G$907,J1208))</f>
        <v>0.0186856981205116</v>
      </c>
      <c r="E1208" s="1" t="n">
        <f aca="false">SUMIFS(SETORES!$D:$D,SETORES!$A:$A,A1208,SETORES!$F:$F,J1208)</f>
        <v>7791.2645</v>
      </c>
      <c r="F1208" s="1" t="n">
        <f aca="false">IFERROR(D1208*E1208,0)</f>
        <v>145.585216424059</v>
      </c>
      <c r="G1208" s="1" t="n">
        <f aca="false">SUMIFS(PARÂMETROS!$F$8:$F$907,PARÂMETROS!$A$8:$A$907,C1208,PARÂMETROS!$G$8:$G$907,J1208)</f>
        <v>0</v>
      </c>
      <c r="H1208" s="1" t="n">
        <f aca="false">IFERROR(F1208*G1208,0)</f>
        <v>0</v>
      </c>
      <c r="I1208" s="1" t="n">
        <f aca="false">F1208+H1208</f>
        <v>145.585216424059</v>
      </c>
      <c r="J1208" s="1" t="s">
        <v>21</v>
      </c>
    </row>
    <row r="1209" customFormat="false" ht="14.25" hidden="false" customHeight="true" outlineLevel="0" collapsed="false">
      <c r="A1209" s="1" t="s">
        <v>89</v>
      </c>
      <c r="B1209" s="1" t="str">
        <f aca="false">INDEX(SETORES!$B:$B,MATCH(A1209,SETORES!$A:$A,0))</f>
        <v>Clientes</v>
      </c>
      <c r="C1209" s="1" t="s">
        <v>15</v>
      </c>
      <c r="D1209" s="1" t="n">
        <f aca="false">IF(B1209="Clientes",SUMIFS(PARÂMETROS!$D$8:$D$907,PARÂMETROS!$A$8:$A$907,C1209,PARÂMETROS!$G$8:$G$907,J1209),SUMIFS(PARÂMETROS!$E$8:$E$907,PARÂMETROS!$A$8:$A$907,C1209,PARÂMETROS!$G$8:$G$907,J1209))</f>
        <v>0.0325969894436972</v>
      </c>
      <c r="E1209" s="1" t="n">
        <f aca="false">SUMIFS(SETORES!$D:$D,SETORES!$A:$A,A1209,SETORES!$F:$F,J1209)</f>
        <v>7791.2645</v>
      </c>
      <c r="F1209" s="1" t="n">
        <f aca="false">IFERROR(D1209*E1209,0)</f>
        <v>253.971766659553</v>
      </c>
      <c r="G1209" s="1" t="n">
        <f aca="false">SUMIFS(PARÂMETROS!$F$8:$F$907,PARÂMETROS!$A$8:$A$907,C1209,PARÂMETROS!$G$8:$G$907,J1209)</f>
        <v>0</v>
      </c>
      <c r="H1209" s="1" t="n">
        <f aca="false">IFERROR(F1209*G1209,0)</f>
        <v>0</v>
      </c>
      <c r="I1209" s="1" t="n">
        <f aca="false">F1209+H1209</f>
        <v>253.971766659553</v>
      </c>
      <c r="J1209" s="1" t="s">
        <v>21</v>
      </c>
    </row>
    <row r="1210" customFormat="false" ht="14.25" hidden="false" customHeight="true" outlineLevel="0" collapsed="false">
      <c r="A1210" s="1" t="s">
        <v>89</v>
      </c>
      <c r="B1210" s="1" t="str">
        <f aca="false">INDEX(SETORES!$B:$B,MATCH(A1210,SETORES!$A:$A,0))</f>
        <v>Clientes</v>
      </c>
      <c r="C1210" s="1" t="s">
        <v>16</v>
      </c>
      <c r="D1210" s="1" t="n">
        <f aca="false">IF(B1210="Clientes",SUMIFS(PARÂMETROS!$D$8:$D$907,PARÂMETROS!$A$8:$A$907,C1210,PARÂMETROS!$G$8:$G$907,J1210),SUMIFS(PARÂMETROS!$E$8:$E$907,PARÂMETROS!$A$8:$A$907,C1210,PARÂMETROS!$G$8:$G$907,J1210))</f>
        <v>0.0238472189824856</v>
      </c>
      <c r="E1210" s="1" t="n">
        <f aca="false">SUMIFS(SETORES!$D:$D,SETORES!$A:$A,A1210,SETORES!$F:$F,J1210)</f>
        <v>7791.2645</v>
      </c>
      <c r="F1210" s="1" t="n">
        <f aca="false">IFERROR(D1210*E1210,0)</f>
        <v>185.799990681966</v>
      </c>
      <c r="G1210" s="1" t="n">
        <f aca="false">SUMIFS(PARÂMETROS!$F$8:$F$907,PARÂMETROS!$A$8:$A$907,C1210,PARÂMETROS!$G$8:$G$907,J1210)</f>
        <v>0</v>
      </c>
      <c r="H1210" s="1" t="n">
        <f aca="false">IFERROR(F1210*G1210,0)</f>
        <v>0</v>
      </c>
      <c r="I1210" s="1" t="n">
        <f aca="false">F1210+H1210</f>
        <v>185.799990681966</v>
      </c>
      <c r="J1210" s="1" t="s">
        <v>21</v>
      </c>
    </row>
    <row r="1211" customFormat="false" ht="14.25" hidden="false" customHeight="true" outlineLevel="0" collapsed="false">
      <c r="A1211" s="1" t="s">
        <v>89</v>
      </c>
      <c r="B1211" s="1" t="str">
        <f aca="false">INDEX(SETORES!$B:$B,MATCH(A1211,SETORES!$A:$A,0))</f>
        <v>Clientes</v>
      </c>
      <c r="C1211" s="1" t="s">
        <v>17</v>
      </c>
      <c r="D1211" s="1" t="n">
        <f aca="false">IF(B1211="Clientes",SUMIFS(PARÂMETROS!$D$8:$D$907,PARÂMETROS!$A$8:$A$907,C1211,PARÂMETROS!$G$8:$G$907,J1211),SUMIFS(PARÂMETROS!$E$8:$E$907,PARÂMETROS!$A$8:$A$907,C1211,PARÂMETROS!$G$8:$G$907,J1211))</f>
        <v>0.0238521819833144</v>
      </c>
      <c r="E1211" s="1" t="n">
        <f aca="false">SUMIFS(SETORES!$D:$D,SETORES!$A:$A,A1211,SETORES!$F:$F,J1211)</f>
        <v>7791.2645</v>
      </c>
      <c r="F1211" s="1" t="n">
        <f aca="false">IFERROR(D1211*E1211,0)</f>
        <v>185.838658734137</v>
      </c>
      <c r="G1211" s="1" t="n">
        <f aca="false">SUMIFS(PARÂMETROS!$F$8:$F$907,PARÂMETROS!$A$8:$A$907,C1211,PARÂMETROS!$G$8:$G$907,J1211)</f>
        <v>0</v>
      </c>
      <c r="H1211" s="1" t="n">
        <f aca="false">IFERROR(F1211*G1211,0)</f>
        <v>0</v>
      </c>
      <c r="I1211" s="1" t="n">
        <f aca="false">F1211+H1211</f>
        <v>185.838658734137</v>
      </c>
      <c r="J1211" s="1" t="s">
        <v>21</v>
      </c>
    </row>
    <row r="1212" customFormat="false" ht="14.25" hidden="false" customHeight="true" outlineLevel="0" collapsed="false">
      <c r="A1212" s="1" t="s">
        <v>89</v>
      </c>
      <c r="B1212" s="1" t="str">
        <f aca="false">INDEX(SETORES!$B:$B,MATCH(A1212,SETORES!$A:$A,0))</f>
        <v>Clientes</v>
      </c>
      <c r="C1212" s="1" t="s">
        <v>18</v>
      </c>
      <c r="D1212" s="1" t="n">
        <f aca="false">IF(B1212="Clientes",SUMIFS(PARÂMETROS!$D$8:$D$907,PARÂMETROS!$A$8:$A$907,C1212,PARÂMETROS!$G$8:$G$907,J1212),SUMIFS(PARÂMETROS!$E$8:$E$907,PARÂMETROS!$A$8:$A$907,C1212,PARÂMETROS!$G$8:$G$907,J1212))</f>
        <v>0.728270741621214</v>
      </c>
      <c r="E1212" s="1" t="n">
        <f aca="false">SUMIFS(SETORES!$D:$D,SETORES!$A:$A,A1212,SETORES!$F:$F,J1212)</f>
        <v>7791.2645</v>
      </c>
      <c r="F1212" s="1" t="n">
        <f aca="false">IFERROR(D1212*E1212,0)</f>
        <v>5674.14997558204</v>
      </c>
      <c r="G1212" s="1" t="n">
        <f aca="false">SUMIFS(PARÂMETROS!$F$8:$F$907,PARÂMETROS!$A$8:$A$907,C1212,PARÂMETROS!$G$8:$G$907,J1212)</f>
        <v>0</v>
      </c>
      <c r="H1212" s="1" t="n">
        <f aca="false">IFERROR(F1212*G1212,0)</f>
        <v>0</v>
      </c>
      <c r="I1212" s="1" t="n">
        <f aca="false">F1212+H1212</f>
        <v>5674.14997558204</v>
      </c>
      <c r="J1212" s="1" t="s">
        <v>21</v>
      </c>
    </row>
    <row r="1213" customFormat="false" ht="14.25" hidden="false" customHeight="true" outlineLevel="0" collapsed="false">
      <c r="A1213" s="1" t="s">
        <v>89</v>
      </c>
      <c r="B1213" s="1" t="str">
        <f aca="false">INDEX(SETORES!$B:$B,MATCH(A1213,SETORES!$A:$A,0))</f>
        <v>Clientes</v>
      </c>
      <c r="C1213" s="1" t="s">
        <v>10</v>
      </c>
      <c r="D1213" s="1" t="n">
        <f aca="false">IF(B1213="Clientes",SUMIFS(PARÂMETROS!$D$8:$D$907,PARÂMETROS!$A$8:$A$907,C1213,PARÂMETROS!$G$8:$G$907,J1213),SUMIFS(PARÂMETROS!$E$8:$E$907,PARÂMETROS!$A$8:$A$907,C1213,PARÂMETROS!$G$8:$G$907,J1213))</f>
        <v>0.0337120251559568</v>
      </c>
      <c r="E1213" s="1" t="n">
        <f aca="false">SUMIFS(SETORES!$D:$D,SETORES!$A:$A,A1213,SETORES!$F:$F,J1213)</f>
        <v>8477.80332201957</v>
      </c>
      <c r="F1213" s="1" t="n">
        <f aca="false">IFERROR(D1213*E1213,0)</f>
        <v>285.803918859178</v>
      </c>
      <c r="G1213" s="1" t="n">
        <f aca="false">SUMIFS(PARÂMETROS!$F$8:$F$907,PARÂMETROS!$A$8:$A$907,C1213,PARÂMETROS!$G$8:$G$907,J1213)</f>
        <v>0</v>
      </c>
      <c r="H1213" s="1" t="n">
        <f aca="false">IFERROR(F1213*G1213,0)</f>
        <v>0</v>
      </c>
      <c r="I1213" s="1" t="n">
        <f aca="false">F1213+H1213</f>
        <v>285.803918859178</v>
      </c>
      <c r="J1213" s="1" t="s">
        <v>88</v>
      </c>
    </row>
    <row r="1214" customFormat="false" ht="14.25" hidden="false" customHeight="true" outlineLevel="0" collapsed="false">
      <c r="A1214" s="1" t="s">
        <v>89</v>
      </c>
      <c r="B1214" s="1" t="str">
        <f aca="false">INDEX(SETORES!$B:$B,MATCH(A1214,SETORES!$A:$A,0))</f>
        <v>Clientes</v>
      </c>
      <c r="C1214" s="1" t="s">
        <v>12</v>
      </c>
      <c r="D1214" s="1" t="n">
        <f aca="false">IF(B1214="Clientes",SUMIFS(PARÂMETROS!$D$8:$D$907,PARÂMETROS!$A$8:$A$907,C1214,PARÂMETROS!$G$8:$G$907,J1214),SUMIFS(PARÂMETROS!$E$8:$E$907,PARÂMETROS!$A$8:$A$907,C1214,PARÂMETROS!$G$8:$G$907,J1214))</f>
        <v>0.0685195516559314</v>
      </c>
      <c r="E1214" s="1" t="n">
        <f aca="false">SUMIFS(SETORES!$D:$D,SETORES!$A:$A,A1214,SETORES!$F:$F,J1214)</f>
        <v>8477.80332201957</v>
      </c>
      <c r="F1214" s="1" t="n">
        <f aca="false">IFERROR(D1214*E1214,0)</f>
        <v>580.895282651947</v>
      </c>
      <c r="G1214" s="1" t="n">
        <f aca="false">SUMIFS(PARÂMETROS!$F$8:$F$907,PARÂMETROS!$A$8:$A$907,C1214,PARÂMETROS!$G$8:$G$907,J1214)</f>
        <v>0</v>
      </c>
      <c r="H1214" s="1" t="n">
        <f aca="false">IFERROR(F1214*G1214,0)</f>
        <v>0</v>
      </c>
      <c r="I1214" s="1" t="n">
        <f aca="false">F1214+H1214</f>
        <v>580.895282651947</v>
      </c>
      <c r="J1214" s="1" t="s">
        <v>88</v>
      </c>
    </row>
    <row r="1215" customFormat="false" ht="14.25" hidden="false" customHeight="true" outlineLevel="0" collapsed="false">
      <c r="A1215" s="1" t="s">
        <v>89</v>
      </c>
      <c r="B1215" s="1" t="str">
        <f aca="false">INDEX(SETORES!$B:$B,MATCH(A1215,SETORES!$A:$A,0))</f>
        <v>Clientes</v>
      </c>
      <c r="C1215" s="1" t="s">
        <v>13</v>
      </c>
      <c r="D1215" s="1" t="n">
        <f aca="false">IF(B1215="Clientes",SUMIFS(PARÂMETROS!$D$8:$D$907,PARÂMETROS!$A$8:$A$907,C1215,PARÂMETROS!$G$8:$G$907,J1215),SUMIFS(PARÂMETROS!$E$8:$E$907,PARÂMETROS!$A$8:$A$907,C1215,PARÂMETROS!$G$8:$G$907,J1215))</f>
        <v>0.0745397372825481</v>
      </c>
      <c r="E1215" s="1" t="n">
        <f aca="false">SUMIFS(SETORES!$D:$D,SETORES!$A:$A,A1215,SETORES!$F:$F,J1215)</f>
        <v>8477.80332201957</v>
      </c>
      <c r="F1215" s="1" t="n">
        <f aca="false">IFERROR(D1215*E1215,0)</f>
        <v>631.933232356452</v>
      </c>
      <c r="G1215" s="1" t="n">
        <f aca="false">SUMIFS(PARÂMETROS!$F$8:$F$907,PARÂMETROS!$A$8:$A$907,C1215,PARÂMETROS!$G$8:$G$907,J1215)</f>
        <v>0</v>
      </c>
      <c r="H1215" s="1" t="n">
        <f aca="false">IFERROR(F1215*G1215,0)</f>
        <v>0</v>
      </c>
      <c r="I1215" s="1" t="n">
        <f aca="false">F1215+H1215</f>
        <v>631.933232356452</v>
      </c>
      <c r="J1215" s="1" t="s">
        <v>88</v>
      </c>
    </row>
    <row r="1216" customFormat="false" ht="14.25" hidden="false" customHeight="true" outlineLevel="0" collapsed="false">
      <c r="A1216" s="1" t="s">
        <v>89</v>
      </c>
      <c r="B1216" s="1" t="str">
        <f aca="false">INDEX(SETORES!$B:$B,MATCH(A1216,SETORES!$A:$A,0))</f>
        <v>Clientes</v>
      </c>
      <c r="C1216" s="1" t="s">
        <v>14</v>
      </c>
      <c r="D1216" s="1" t="n">
        <f aca="false">IF(B1216="Clientes",SUMIFS(PARÂMETROS!$D$8:$D$907,PARÂMETROS!$A$8:$A$907,C1216,PARÂMETROS!$G$8:$G$907,J1216),SUMIFS(PARÂMETROS!$E$8:$E$907,PARÂMETROS!$A$8:$A$907,C1216,PARÂMETROS!$G$8:$G$907,J1216))</f>
        <v>0.018943044073642</v>
      </c>
      <c r="E1216" s="1" t="n">
        <f aca="false">SUMIFS(SETORES!$D:$D,SETORES!$A:$A,A1216,SETORES!$F:$F,J1216)</f>
        <v>8477.80332201957</v>
      </c>
      <c r="F1216" s="1" t="n">
        <f aca="false">IFERROR(D1216*E1216,0)</f>
        <v>160.595401976686</v>
      </c>
      <c r="G1216" s="1" t="n">
        <f aca="false">SUMIFS(PARÂMETROS!$F$8:$F$907,PARÂMETROS!$A$8:$A$907,C1216,PARÂMETROS!$G$8:$G$907,J1216)</f>
        <v>0</v>
      </c>
      <c r="H1216" s="1" t="n">
        <f aca="false">IFERROR(F1216*G1216,0)</f>
        <v>0</v>
      </c>
      <c r="I1216" s="1" t="n">
        <f aca="false">F1216+H1216</f>
        <v>160.595401976686</v>
      </c>
      <c r="J1216" s="1" t="s">
        <v>88</v>
      </c>
    </row>
    <row r="1217" customFormat="false" ht="14.25" hidden="false" customHeight="true" outlineLevel="0" collapsed="false">
      <c r="A1217" s="1" t="s">
        <v>89</v>
      </c>
      <c r="B1217" s="1" t="str">
        <f aca="false">INDEX(SETORES!$B:$B,MATCH(A1217,SETORES!$A:$A,0))</f>
        <v>Clientes</v>
      </c>
      <c r="C1217" s="1" t="s">
        <v>15</v>
      </c>
      <c r="D1217" s="1" t="n">
        <f aca="false">IF(B1217="Clientes",SUMIFS(PARÂMETROS!$D$8:$D$907,PARÂMETROS!$A$8:$A$907,C1217,PARÂMETROS!$G$8:$G$907,J1217),SUMIFS(PARÂMETROS!$E$8:$E$907,PARÂMETROS!$A$8:$A$907,C1217,PARÂMETROS!$G$8:$G$907,J1217))</f>
        <v>0.0334787239438048</v>
      </c>
      <c r="E1217" s="1" t="n">
        <f aca="false">SUMIFS(SETORES!$D:$D,SETORES!$A:$A,A1217,SETORES!$F:$F,J1217)</f>
        <v>8477.80332201957</v>
      </c>
      <c r="F1217" s="1" t="n">
        <f aca="false">IFERROR(D1217*E1217,0)</f>
        <v>283.826037067765</v>
      </c>
      <c r="G1217" s="1" t="n">
        <f aca="false">SUMIFS(PARÂMETROS!$F$8:$F$907,PARÂMETROS!$A$8:$A$907,C1217,PARÂMETROS!$G$8:$G$907,J1217)</f>
        <v>0</v>
      </c>
      <c r="H1217" s="1" t="n">
        <f aca="false">IFERROR(F1217*G1217,0)</f>
        <v>0</v>
      </c>
      <c r="I1217" s="1" t="n">
        <f aca="false">F1217+H1217</f>
        <v>283.826037067765</v>
      </c>
      <c r="J1217" s="1" t="s">
        <v>88</v>
      </c>
    </row>
    <row r="1218" customFormat="false" ht="14.25" hidden="false" customHeight="true" outlineLevel="0" collapsed="false">
      <c r="A1218" s="1" t="s">
        <v>89</v>
      </c>
      <c r="B1218" s="1" t="str">
        <f aca="false">INDEX(SETORES!$B:$B,MATCH(A1218,SETORES!$A:$A,0))</f>
        <v>Clientes</v>
      </c>
      <c r="C1218" s="1" t="s">
        <v>16</v>
      </c>
      <c r="D1218" s="1" t="n">
        <f aca="false">IF(B1218="Clientes",SUMIFS(PARÂMETROS!$D$8:$D$907,PARÂMETROS!$A$8:$A$907,C1218,PARÂMETROS!$G$8:$G$907,J1218),SUMIFS(PARÂMETROS!$E$8:$E$907,PARÂMETROS!$A$8:$A$907,C1218,PARÂMETROS!$G$8:$G$907,J1218))</f>
        <v>0.0242886848912106</v>
      </c>
      <c r="E1218" s="1" t="n">
        <f aca="false">SUMIFS(SETORES!$D:$D,SETORES!$A:$A,A1218,SETORES!$F:$F,J1218)</f>
        <v>8477.80332201957</v>
      </c>
      <c r="F1218" s="1" t="n">
        <f aca="false">IFERROR(D1218*E1218,0)</f>
        <v>205.914693458192</v>
      </c>
      <c r="G1218" s="1" t="n">
        <f aca="false">SUMIFS(PARÂMETROS!$F$8:$F$907,PARÂMETROS!$A$8:$A$907,C1218,PARÂMETROS!$G$8:$G$907,J1218)</f>
        <v>0</v>
      </c>
      <c r="H1218" s="1" t="n">
        <f aca="false">IFERROR(F1218*G1218,0)</f>
        <v>0</v>
      </c>
      <c r="I1218" s="1" t="n">
        <f aca="false">F1218+H1218</f>
        <v>205.914693458192</v>
      </c>
      <c r="J1218" s="1" t="s">
        <v>88</v>
      </c>
    </row>
    <row r="1219" customFormat="false" ht="14.25" hidden="false" customHeight="true" outlineLevel="0" collapsed="false">
      <c r="A1219" s="1" t="s">
        <v>89</v>
      </c>
      <c r="B1219" s="1" t="str">
        <f aca="false">INDEX(SETORES!$B:$B,MATCH(A1219,SETORES!$A:$A,0))</f>
        <v>Clientes</v>
      </c>
      <c r="C1219" s="1" t="s">
        <v>17</v>
      </c>
      <c r="D1219" s="1" t="n">
        <f aca="false">IF(B1219="Clientes",SUMIFS(PARÂMETROS!$D$8:$D$907,PARÂMETROS!$A$8:$A$907,C1219,PARÂMETROS!$G$8:$G$907,J1219),SUMIFS(PARÂMETROS!$E$8:$E$907,PARÂMETROS!$A$8:$A$907,C1219,PARÂMETROS!$G$8:$G$907,J1219))</f>
        <v>0.0243241872495816</v>
      </c>
      <c r="E1219" s="1" t="n">
        <f aca="false">SUMIFS(SETORES!$D:$D,SETORES!$A:$A,A1219,SETORES!$F:$F,J1219)</f>
        <v>8477.80332201957</v>
      </c>
      <c r="F1219" s="1" t="n">
        <f aca="false">IFERROR(D1219*E1219,0)</f>
        <v>206.215675469929</v>
      </c>
      <c r="G1219" s="1" t="n">
        <f aca="false">SUMIFS(PARÂMETROS!$F$8:$F$907,PARÂMETROS!$A$8:$A$907,C1219,PARÂMETROS!$G$8:$G$907,J1219)</f>
        <v>0</v>
      </c>
      <c r="H1219" s="1" t="n">
        <f aca="false">IFERROR(F1219*G1219,0)</f>
        <v>0</v>
      </c>
      <c r="I1219" s="1" t="n">
        <f aca="false">F1219+H1219</f>
        <v>206.215675469929</v>
      </c>
      <c r="J1219" s="1" t="s">
        <v>88</v>
      </c>
    </row>
    <row r="1220" customFormat="false" ht="14.25" hidden="false" customHeight="true" outlineLevel="0" collapsed="false">
      <c r="A1220" s="1" t="s">
        <v>89</v>
      </c>
      <c r="B1220" s="1" t="str">
        <f aca="false">INDEX(SETORES!$B:$B,MATCH(A1220,SETORES!$A:$A,0))</f>
        <v>Clientes</v>
      </c>
      <c r="C1220" s="1" t="s">
        <v>18</v>
      </c>
      <c r="D1220" s="1" t="n">
        <f aca="false">IF(B1220="Clientes",SUMIFS(PARÂMETROS!$D$8:$D$907,PARÂMETROS!$A$8:$A$907,C1220,PARÂMETROS!$G$8:$G$907,J1220),SUMIFS(PARÂMETROS!$E$8:$E$907,PARÂMETROS!$A$8:$A$907,C1220,PARÂMETROS!$G$8:$G$907,J1220))</f>
        <v>0.722194045747325</v>
      </c>
      <c r="E1220" s="1" t="n">
        <f aca="false">SUMIFS(SETORES!$D:$D,SETORES!$A:$A,A1220,SETORES!$F:$F,J1220)</f>
        <v>8477.80332201957</v>
      </c>
      <c r="F1220" s="1" t="n">
        <f aca="false">IFERROR(D1220*E1220,0)</f>
        <v>6122.61908017942</v>
      </c>
      <c r="G1220" s="1" t="n">
        <f aca="false">SUMIFS(PARÂMETROS!$F$8:$F$907,PARÂMETROS!$A$8:$A$907,C1220,PARÂMETROS!$G$8:$G$907,J1220)</f>
        <v>0</v>
      </c>
      <c r="H1220" s="1" t="n">
        <f aca="false">IFERROR(F1220*G1220,0)</f>
        <v>0</v>
      </c>
      <c r="I1220" s="1" t="n">
        <f aca="false">F1220+H1220</f>
        <v>6122.61908017942</v>
      </c>
      <c r="J1220" s="1" t="s">
        <v>88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11" activePane="bottomLeft" state="frozen"/>
      <selection pane="topLeft" activeCell="A1" activeCellId="0" sqref="A1"/>
      <selection pane="bottomLeft" activeCell="A41" activeCellId="0" sqref="A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9.22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  <col collapsed="false" customWidth="true" hidden="false" outlineLevel="0" max="7" min="7" style="1" width="22"/>
  </cols>
  <sheetData>
    <row r="1" customFormat="false" ht="25.5" hidden="false" customHeight="true" outlineLevel="0" collapsed="false">
      <c r="A1" s="2" t="s">
        <v>90</v>
      </c>
      <c r="B1" s="2"/>
      <c r="C1" s="2"/>
      <c r="D1" s="2"/>
      <c r="E1" s="2"/>
    </row>
    <row r="2" customFormat="false" ht="15" hidden="false" customHeight="true" outlineLevel="0" collapsed="false">
      <c r="A2" s="5" t="s">
        <v>91</v>
      </c>
      <c r="B2" s="5"/>
      <c r="C2" s="5"/>
      <c r="D2" s="5"/>
      <c r="E2" s="5"/>
      <c r="F2" s="5"/>
      <c r="G2" s="5"/>
    </row>
    <row r="4" customFormat="false" ht="27.75" hidden="false" customHeight="true" outlineLevel="0" collapsed="false">
      <c r="A4" s="6" t="s">
        <v>24</v>
      </c>
      <c r="B4" s="6" t="s">
        <v>92</v>
      </c>
      <c r="C4" s="6" t="s">
        <v>93</v>
      </c>
      <c r="D4" s="6" t="s">
        <v>94</v>
      </c>
      <c r="E4" s="6" t="s">
        <v>95</v>
      </c>
      <c r="F4" s="6" t="s">
        <v>9</v>
      </c>
      <c r="G4" s="6" t="s">
        <v>96</v>
      </c>
    </row>
    <row r="5" customFormat="false" ht="15" hidden="false" customHeight="true" outlineLevel="0" collapsed="false">
      <c r="A5" s="27"/>
      <c r="B5" s="28"/>
      <c r="C5" s="29"/>
      <c r="D5" s="30" t="n">
        <f aca="false">SUMIFS('CUSTOS MENSAIS'!$F:$F,'CUSTOS MENSAIS'!$A:$A,A5,'CUSTOS MENSAIS'!$H:$H,F5)</f>
        <v>0</v>
      </c>
      <c r="E5" s="30" t="n">
        <f aca="false">IFERROR(D5/IF(B5="Clientes",SUMIFS(PARÂMETROS!$B$8:$B$907,PARÂMETROS!$G$8:$G$907,F5),SUMIFS(PARÂMETROS!$C$8:$C$907,PARÂMETROS!$G$8:$G$907,F5)),0)</f>
        <v>0</v>
      </c>
      <c r="F5" s="11"/>
      <c r="G5" s="31" t="n">
        <f aca="false">IF(B5="Clientes",SUMIFS(PARÂMETROS!$B$8:$B$907,PARÂMETROS!$G$8:$G$907,F5),SUMIFS(PARÂMETROS!$C$8:$C$907,PARÂMETROS!$G$8:$G$907,F5))</f>
        <v>0</v>
      </c>
    </row>
    <row r="6" customFormat="false" ht="15" hidden="false" customHeight="true" outlineLevel="0" collapsed="false">
      <c r="A6" s="27" t="s">
        <v>31</v>
      </c>
      <c r="B6" s="28" t="s">
        <v>97</v>
      </c>
      <c r="C6" s="29" t="s">
        <v>98</v>
      </c>
      <c r="D6" s="21" t="n">
        <f aca="false">SUMIFS('CUSTOS MENSAIS'!$F:$F,'CUSTOS MENSAIS'!$A:$A,A6,'CUSTOS MENSAIS'!$H:$H,F6)</f>
        <v>48782.8532</v>
      </c>
      <c r="E6" s="21" t="n">
        <f aca="false">IFERROR(D6/IF(B6="Clientes",SUMIFS(PARÂMETROS!$B$8:$B$907,PARÂMETROS!$G$8:$G$907,F6),SUMIFS(PARÂMETROS!$C$8:$C$907,PARÂMETROS!$G$8:$G$907,F6)),0)</f>
        <v>0.254971087196266</v>
      </c>
      <c r="F6" s="11" t="s">
        <v>20</v>
      </c>
      <c r="G6" s="31" t="n">
        <f aca="false">IF(B6="Clientes",SUMIFS(PARÂMETROS!$B$8:$B$907,PARÂMETROS!$G$8:$G$907,F6),SUMIFS(PARÂMETROS!$C$8:$C$907,PARÂMETROS!$G$8:$G$907,F6))</f>
        <v>191327</v>
      </c>
    </row>
    <row r="7" customFormat="false" ht="15" hidden="false" customHeight="true" outlineLevel="0" collapsed="false">
      <c r="A7" s="27" t="s">
        <v>32</v>
      </c>
      <c r="B7" s="28" t="s">
        <v>99</v>
      </c>
      <c r="C7" s="29" t="s">
        <v>100</v>
      </c>
      <c r="D7" s="21" t="n">
        <f aca="false">SUMIFS('CUSTOS MENSAIS'!$F:$F,'CUSTOS MENSAIS'!$A:$A,A7,'CUSTOS MENSAIS'!$H:$H,F7)</f>
        <v>30023.397644</v>
      </c>
      <c r="E7" s="21" t="n">
        <f aca="false">IFERROR(D7/IF(B7="Clientes",SUMIFS(PARÂMETROS!$B$8:$B$907,PARÂMETROS!$G$8:$G$907,F7),SUMIFS(PARÂMETROS!$C$8:$C$907,PARÂMETROS!$G$8:$G$907,F7)),0)</f>
        <v>28.5122484748338</v>
      </c>
      <c r="F7" s="11" t="s">
        <v>20</v>
      </c>
      <c r="G7" s="31" t="n">
        <f aca="false">IF(B7="Clientes",SUMIFS(PARÂMETROS!$B$8:$B$907,PARÂMETROS!$G$8:$G$907,F7),SUMIFS(PARÂMETROS!$C$8:$C$907,PARÂMETROS!$G$8:$G$907,F7))</f>
        <v>1053</v>
      </c>
    </row>
    <row r="8" customFormat="false" ht="15" hidden="false" customHeight="true" outlineLevel="0" collapsed="false">
      <c r="A8" s="27" t="s">
        <v>33</v>
      </c>
      <c r="B8" s="28" t="s">
        <v>99</v>
      </c>
      <c r="C8" s="29" t="s">
        <v>101</v>
      </c>
      <c r="D8" s="21" t="n">
        <f aca="false">SUMIFS('CUSTOS MENSAIS'!$F:$F,'CUSTOS MENSAIS'!$A:$A,A8,'CUSTOS MENSAIS'!$H:$H,F8)</f>
        <v>49826.4459</v>
      </c>
      <c r="E8" s="21" t="n">
        <f aca="false">IFERROR(D8/IF(B8="Clientes",SUMIFS(PARÂMETROS!$B$8:$B$907,PARÂMETROS!$G$8:$G$907,F8),SUMIFS(PARÂMETROS!$C$8:$C$907,PARÂMETROS!$G$8:$G$907,F8)),0)</f>
        <v>47.3185621082621</v>
      </c>
      <c r="F8" s="11" t="s">
        <v>20</v>
      </c>
      <c r="G8" s="31" t="n">
        <f aca="false">IF(B8="Clientes",SUMIFS(PARÂMETROS!$B$8:$B$907,PARÂMETROS!$G$8:$G$907,F8),SUMIFS(PARÂMETROS!$C$8:$C$907,PARÂMETROS!$G$8:$G$907,F8))</f>
        <v>1053</v>
      </c>
    </row>
    <row r="9" customFormat="false" ht="15" hidden="false" customHeight="true" outlineLevel="0" collapsed="false">
      <c r="A9" s="27" t="s">
        <v>34</v>
      </c>
      <c r="B9" s="28" t="s">
        <v>97</v>
      </c>
      <c r="C9" s="29" t="s">
        <v>102</v>
      </c>
      <c r="D9" s="21" t="n">
        <f aca="false">SUMIFS('CUSTOS MENSAIS'!$F:$F,'CUSTOS MENSAIS'!$A:$A,A9,'CUSTOS MENSAIS'!$H:$H,F9)</f>
        <v>35247.309555</v>
      </c>
      <c r="E9" s="21" t="n">
        <f aca="false">IFERROR(D9/IF(B9="Clientes",SUMIFS(PARÂMETROS!$B$8:$B$907,PARÂMETROS!$G$8:$G$907,F9),SUMIFS(PARÂMETROS!$C$8:$C$907,PARÂMETROS!$G$8:$G$907,F9)),0)</f>
        <v>0.184225485974274</v>
      </c>
      <c r="F9" s="11" t="s">
        <v>20</v>
      </c>
      <c r="G9" s="31" t="n">
        <f aca="false">IF(B9="Clientes",SUMIFS(PARÂMETROS!$B$8:$B$907,PARÂMETROS!$G$8:$G$907,F9),SUMIFS(PARÂMETROS!$C$8:$C$907,PARÂMETROS!$G$8:$G$907,F9))</f>
        <v>191327</v>
      </c>
    </row>
    <row r="10" customFormat="false" ht="15" hidden="false" customHeight="true" outlineLevel="0" collapsed="false">
      <c r="A10" s="27" t="s">
        <v>35</v>
      </c>
      <c r="B10" s="28" t="s">
        <v>97</v>
      </c>
      <c r="C10" s="29" t="s">
        <v>103</v>
      </c>
      <c r="D10" s="21" t="n">
        <f aca="false">SUMIFS('CUSTOS MENSAIS'!$F:$F,'CUSTOS MENSAIS'!$A:$A,A10,'CUSTOS MENSAIS'!$H:$H,F10)</f>
        <v>16366.8932</v>
      </c>
      <c r="E10" s="21" t="n">
        <f aca="false">IFERROR(D10/IF(B10="Clientes",SUMIFS(PARÂMETROS!$B$8:$B$907,PARÂMETROS!$G$8:$G$907,F10),SUMIFS(PARÂMETROS!$C$8:$C$907,PARÂMETROS!$G$8:$G$907,F10)),0)</f>
        <v>0.0855440852571775</v>
      </c>
      <c r="F10" s="11" t="s">
        <v>20</v>
      </c>
      <c r="G10" s="31" t="n">
        <f aca="false">IF(B10="Clientes",SUMIFS(PARÂMETROS!$B$8:$B$907,PARÂMETROS!$G$8:$G$907,F10),SUMIFS(PARÂMETROS!$C$8:$C$907,PARÂMETROS!$G$8:$G$907,F10))</f>
        <v>191327</v>
      </c>
    </row>
    <row r="11" customFormat="false" ht="15" hidden="false" customHeight="true" outlineLevel="0" collapsed="false">
      <c r="A11" s="27" t="s">
        <v>36</v>
      </c>
      <c r="B11" s="28" t="s">
        <v>97</v>
      </c>
      <c r="C11" s="29" t="s">
        <v>104</v>
      </c>
      <c r="D11" s="21" t="n">
        <f aca="false">SUMIFS('CUSTOS MENSAIS'!$F:$F,'CUSTOS MENSAIS'!$A:$A,A11,'CUSTOS MENSAIS'!$H:$H,F11)</f>
        <v>71467.0056</v>
      </c>
      <c r="E11" s="21" t="n">
        <f aca="false">IFERROR(D11/IF(B11="Clientes",SUMIFS(PARÂMETROS!$B$8:$B$907,PARÂMETROS!$G$8:$G$907,F11),SUMIFS(PARÂMETROS!$C$8:$C$907,PARÂMETROS!$G$8:$G$907,F11)),0)</f>
        <v>0.373533299534305</v>
      </c>
      <c r="F11" s="11" t="s">
        <v>20</v>
      </c>
      <c r="G11" s="31" t="n">
        <f aca="false">IF(B11="Clientes",SUMIFS(PARÂMETROS!$B$8:$B$907,PARÂMETROS!$G$8:$G$907,F11),SUMIFS(PARÂMETROS!$C$8:$C$907,PARÂMETROS!$G$8:$G$907,F11))</f>
        <v>191327</v>
      </c>
    </row>
    <row r="12" customFormat="false" ht="15" hidden="false" customHeight="true" outlineLevel="0" collapsed="false">
      <c r="A12" s="27" t="s">
        <v>37</v>
      </c>
      <c r="B12" s="28" t="s">
        <v>97</v>
      </c>
      <c r="C12" s="29" t="s">
        <v>105</v>
      </c>
      <c r="D12" s="21" t="n">
        <f aca="false">SUMIFS('CUSTOS MENSAIS'!$F:$F,'CUSTOS MENSAIS'!$A:$A,A12,'CUSTOS MENSAIS'!$H:$H,F12)</f>
        <v>153380.796264</v>
      </c>
      <c r="E12" s="21" t="n">
        <f aca="false">IFERROR(D12/IF(B12="Clientes",SUMIFS(PARÂMETROS!$B$8:$B$907,PARÂMETROS!$G$8:$G$907,F12),SUMIFS(PARÂMETROS!$C$8:$C$907,PARÂMETROS!$G$8:$G$907,F12)),0)</f>
        <v>0.801668328380208</v>
      </c>
      <c r="F12" s="11" t="s">
        <v>20</v>
      </c>
      <c r="G12" s="31" t="n">
        <f aca="false">IF(B12="Clientes",SUMIFS(PARÂMETROS!$B$8:$B$907,PARÂMETROS!$G$8:$G$907,F12),SUMIFS(PARÂMETROS!$C$8:$C$907,PARÂMETROS!$G$8:$G$907,F12))</f>
        <v>191327</v>
      </c>
    </row>
    <row r="13" customFormat="false" ht="15" hidden="false" customHeight="true" outlineLevel="0" collapsed="false">
      <c r="A13" s="27" t="s">
        <v>38</v>
      </c>
      <c r="B13" s="28" t="s">
        <v>97</v>
      </c>
      <c r="C13" s="29" t="s">
        <v>106</v>
      </c>
      <c r="D13" s="21" t="n">
        <f aca="false">SUMIFS('CUSTOS MENSAIS'!$F:$F,'CUSTOS MENSAIS'!$A:$A,A13,'CUSTOS MENSAIS'!$H:$H,F13)</f>
        <v>43385.321577</v>
      </c>
      <c r="E13" s="21" t="n">
        <f aca="false">IFERROR(D13/IF(B13="Clientes",SUMIFS(PARÂMETROS!$B$8:$B$907,PARÂMETROS!$G$8:$G$907,F13),SUMIFS(PARÂMETROS!$C$8:$C$907,PARÂMETROS!$G$8:$G$907,F13)),0)</f>
        <v>0.226760057791112</v>
      </c>
      <c r="F13" s="11" t="s">
        <v>20</v>
      </c>
      <c r="G13" s="31" t="n">
        <f aca="false">IF(B13="Clientes",SUMIFS(PARÂMETROS!$B$8:$B$907,PARÂMETROS!$G$8:$G$907,F13),SUMIFS(PARÂMETROS!$C$8:$C$907,PARÂMETROS!$G$8:$G$907,F13))</f>
        <v>191327</v>
      </c>
    </row>
    <row r="14" customFormat="false" ht="15" hidden="false" customHeight="true" outlineLevel="0" collapsed="false">
      <c r="A14" s="27" t="s">
        <v>39</v>
      </c>
      <c r="B14" s="28" t="s">
        <v>97</v>
      </c>
      <c r="C14" s="29" t="s">
        <v>107</v>
      </c>
      <c r="D14" s="21" t="n">
        <f aca="false">SUMIFS('CUSTOS MENSAIS'!$F:$F,'CUSTOS MENSAIS'!$A:$A,A14,'CUSTOS MENSAIS'!$H:$H,F14)</f>
        <v>37959.882964</v>
      </c>
      <c r="E14" s="21" t="n">
        <f aca="false">IFERROR(D14/IF(B14="Clientes",SUMIFS(PARÂMETROS!$B$8:$B$907,PARÂMETROS!$G$8:$G$907,F14),SUMIFS(PARÂMETROS!$C$8:$C$907,PARÂMETROS!$G$8:$G$907,F14)),0)</f>
        <v>0.198403168209401</v>
      </c>
      <c r="F14" s="11" t="s">
        <v>20</v>
      </c>
      <c r="G14" s="31" t="n">
        <f aca="false">IF(B14="Clientes",SUMIFS(PARÂMETROS!$B$8:$B$907,PARÂMETROS!$G$8:$G$907,F14),SUMIFS(PARÂMETROS!$C$8:$C$907,PARÂMETROS!$G$8:$G$907,F14))</f>
        <v>191327</v>
      </c>
    </row>
    <row r="15" customFormat="false" ht="15" hidden="false" customHeight="true" outlineLevel="0" collapsed="false">
      <c r="A15" s="27" t="s">
        <v>40</v>
      </c>
      <c r="B15" s="28" t="s">
        <v>97</v>
      </c>
      <c r="C15" s="29" t="s">
        <v>108</v>
      </c>
      <c r="D15" s="21" t="n">
        <f aca="false">SUMIFS('CUSTOS MENSAIS'!$F:$F,'CUSTOS MENSAIS'!$A:$A,A15,'CUSTOS MENSAIS'!$H:$H,F15)</f>
        <v>27353.279555</v>
      </c>
      <c r="E15" s="21" t="n">
        <f aca="false">IFERROR(D15/IF(B15="Clientes",SUMIFS(PARÂMETROS!$B$8:$B$907,PARÂMETROS!$G$8:$G$907,F15),SUMIFS(PARÂMETROS!$C$8:$C$907,PARÂMETROS!$G$8:$G$907,F15)),0)</f>
        <v>0.142966123730576</v>
      </c>
      <c r="F15" s="11" t="s">
        <v>20</v>
      </c>
      <c r="G15" s="31" t="n">
        <f aca="false">IF(B15="Clientes",SUMIFS(PARÂMETROS!$B$8:$B$907,PARÂMETROS!$G$8:$G$907,F15),SUMIFS(PARÂMETROS!$C$8:$C$907,PARÂMETROS!$G$8:$G$907,F15))</f>
        <v>191327</v>
      </c>
    </row>
    <row r="16" customFormat="false" ht="15" hidden="false" customHeight="true" outlineLevel="0" collapsed="false">
      <c r="A16" s="27" t="s">
        <v>41</v>
      </c>
      <c r="B16" s="28" t="s">
        <v>97</v>
      </c>
      <c r="C16" s="29" t="s">
        <v>109</v>
      </c>
      <c r="D16" s="21" t="n">
        <f aca="false">SUMIFS('CUSTOS MENSAIS'!$F:$F,'CUSTOS MENSAIS'!$A:$A,A16,'CUSTOS MENSAIS'!$H:$H,F16)</f>
        <v>18230.291911</v>
      </c>
      <c r="E16" s="21" t="n">
        <f aca="false">IFERROR(D16/IF(B16="Clientes",SUMIFS(PARÂMETROS!$B$8:$B$907,PARÂMETROS!$G$8:$G$907,F16),SUMIFS(PARÂMETROS!$C$8:$C$907,PARÂMETROS!$G$8:$G$907,F16)),0)</f>
        <v>0.0952834252928233</v>
      </c>
      <c r="F16" s="11" t="s">
        <v>20</v>
      </c>
      <c r="G16" s="31" t="n">
        <f aca="false">IF(B16="Clientes",SUMIFS(PARÂMETROS!$B$8:$B$907,PARÂMETROS!$G$8:$G$907,F16),SUMIFS(PARÂMETROS!$C$8:$C$907,PARÂMETROS!$G$8:$G$907,F16))</f>
        <v>191327</v>
      </c>
    </row>
    <row r="17" customFormat="false" ht="15" hidden="false" customHeight="true" outlineLevel="0" collapsed="false">
      <c r="A17" s="27" t="s">
        <v>42</v>
      </c>
      <c r="B17" s="28" t="s">
        <v>97</v>
      </c>
      <c r="C17" s="29" t="s">
        <v>110</v>
      </c>
      <c r="D17" s="21" t="n">
        <f aca="false">SUMIFS('CUSTOS MENSAIS'!$F:$F,'CUSTOS MENSAIS'!$A:$A,A17,'CUSTOS MENSAIS'!$H:$H,F17)</f>
        <v>27698.6271997778</v>
      </c>
      <c r="E17" s="21" t="n">
        <f aca="false">IFERROR(D17/IF(B17="Clientes",SUMIFS(PARÂMETROS!$B$8:$B$907,PARÂMETROS!$G$8:$G$907,F17),SUMIFS(PARÂMETROS!$C$8:$C$907,PARÂMETROS!$G$8:$G$907,F17)),0)</f>
        <v>0.144771136325651</v>
      </c>
      <c r="F17" s="11" t="s">
        <v>20</v>
      </c>
      <c r="G17" s="31" t="n">
        <f aca="false">IF(B17="Clientes",SUMIFS(PARÂMETROS!$B$8:$B$907,PARÂMETROS!$G$8:$G$907,F17),SUMIFS(PARÂMETROS!$C$8:$C$907,PARÂMETROS!$G$8:$G$907,F17))</f>
        <v>191327</v>
      </c>
    </row>
    <row r="18" customFormat="false" ht="15" hidden="false" customHeight="true" outlineLevel="0" collapsed="false">
      <c r="A18" s="27" t="s">
        <v>43</v>
      </c>
      <c r="B18" s="28" t="s">
        <v>97</v>
      </c>
      <c r="C18" s="29" t="s">
        <v>111</v>
      </c>
      <c r="D18" s="21" t="n">
        <f aca="false">SUMIFS('CUSTOS MENSAIS'!$F:$F,'CUSTOS MENSAIS'!$A:$A,A18,'CUSTOS MENSAIS'!$H:$H,F18)</f>
        <v>22548.92</v>
      </c>
      <c r="E18" s="21" t="n">
        <f aca="false">IFERROR(D18/IF(B18="Clientes",SUMIFS(PARÂMETROS!$B$8:$B$907,PARÂMETROS!$G$8:$G$907,F18),SUMIFS(PARÂMETROS!$C$8:$C$907,PARÂMETROS!$G$8:$G$907,F18)),0)</f>
        <v>0.117855399394753</v>
      </c>
      <c r="F18" s="11" t="s">
        <v>20</v>
      </c>
      <c r="G18" s="31" t="n">
        <f aca="false">IF(B18="Clientes",SUMIFS(PARÂMETROS!$B$8:$B$907,PARÂMETROS!$G$8:$G$907,F18),SUMIFS(PARÂMETROS!$C$8:$C$907,PARÂMETROS!$G$8:$G$907,F18))</f>
        <v>191327</v>
      </c>
    </row>
    <row r="19" customFormat="false" ht="14.25" hidden="false" customHeight="true" outlineLevel="0" collapsed="false">
      <c r="A19" s="27" t="s">
        <v>44</v>
      </c>
      <c r="B19" s="28" t="s">
        <v>99</v>
      </c>
      <c r="C19" s="29" t="s">
        <v>112</v>
      </c>
      <c r="D19" s="21" t="n">
        <f aca="false">SUMIFS('CUSTOS MENSAIS'!$F:$F,'CUSTOS MENSAIS'!$A:$A,A19,'CUSTOS MENSAIS'!$H:$H,F19)</f>
        <v>53968.47</v>
      </c>
      <c r="E19" s="21" t="n">
        <f aca="false">IFERROR(D19/IF(B19="Clientes",SUMIFS(PARÂMETROS!$B$8:$B$907,PARÂMETROS!$G$8:$G$907,F19),SUMIFS(PARÂMETROS!$C$8:$C$907,PARÂMETROS!$G$8:$G$907,F19)),0)</f>
        <v>51.2521082621083</v>
      </c>
      <c r="F19" s="11" t="s">
        <v>20</v>
      </c>
      <c r="G19" s="31" t="n">
        <f aca="false">IF(B19="Clientes",SUMIFS(PARÂMETROS!$B$8:$B$907,PARÂMETROS!$G$8:$G$907,F19),SUMIFS(PARÂMETROS!$C$8:$C$907,PARÂMETROS!$G$8:$G$907,F19))</f>
        <v>1053</v>
      </c>
    </row>
    <row r="20" customFormat="false" ht="15" hidden="false" customHeight="true" outlineLevel="0" collapsed="false">
      <c r="A20" s="27" t="s">
        <v>45</v>
      </c>
      <c r="B20" s="28" t="s">
        <v>97</v>
      </c>
      <c r="C20" s="29" t="s">
        <v>113</v>
      </c>
      <c r="D20" s="21" t="n">
        <f aca="false">SUMIFS('CUSTOS MENSAIS'!$F:$F,'CUSTOS MENSAIS'!$A:$A,A20,'CUSTOS MENSAIS'!$H:$H,F20)</f>
        <v>73343.73</v>
      </c>
      <c r="E20" s="21" t="n">
        <f aca="false">IFERROR(D20/IF(B20="Clientes",SUMIFS(PARÂMETROS!$B$8:$B$907,PARÂMETROS!$G$8:$G$907,F20),SUMIFS(PARÂMETROS!$C$8:$C$907,PARÂMETROS!$G$8:$G$907,F20)),0)</f>
        <v>0.383342288333586</v>
      </c>
      <c r="F20" s="11" t="s">
        <v>20</v>
      </c>
      <c r="G20" s="31" t="n">
        <f aca="false">IF(B20="Clientes",SUMIFS(PARÂMETROS!$B$8:$B$907,PARÂMETROS!$G$8:$G$907,F20),SUMIFS(PARÂMETROS!$C$8:$C$907,PARÂMETROS!$G$8:$G$907,F20))</f>
        <v>191327</v>
      </c>
    </row>
    <row r="21" customFormat="false" ht="15" hidden="false" customHeight="true" outlineLevel="0" collapsed="false">
      <c r="A21" s="27" t="s">
        <v>46</v>
      </c>
      <c r="B21" s="28" t="s">
        <v>97</v>
      </c>
      <c r="C21" s="29" t="s">
        <v>114</v>
      </c>
      <c r="D21" s="21" t="n">
        <f aca="false">SUMIFS('CUSTOS MENSAIS'!$F:$F,'CUSTOS MENSAIS'!$A:$A,A21,'CUSTOS MENSAIS'!$H:$H,F21)</f>
        <v>184735.25</v>
      </c>
      <c r="E21" s="21" t="n">
        <f aca="false">IFERROR(D21/IF(B21="Clientes",SUMIFS(PARÂMETROS!$B$8:$B$907,PARÂMETROS!$G$8:$G$907,F21),SUMIFS(PARÂMETROS!$C$8:$C$907,PARÂMETROS!$G$8:$G$907,F21)),0)</f>
        <v>0.965547204524192</v>
      </c>
      <c r="F21" s="11" t="s">
        <v>20</v>
      </c>
      <c r="G21" s="31" t="n">
        <f aca="false">IF(B21="Clientes",SUMIFS(PARÂMETROS!$B$8:$B$907,PARÂMETROS!$G$8:$G$907,F21),SUMIFS(PARÂMETROS!$C$8:$C$907,PARÂMETROS!$G$8:$G$907,F21))</f>
        <v>191327</v>
      </c>
    </row>
    <row r="22" customFormat="false" ht="15" hidden="false" customHeight="true" outlineLevel="0" collapsed="false">
      <c r="A22" s="27" t="s">
        <v>47</v>
      </c>
      <c r="B22" s="28" t="s">
        <v>97</v>
      </c>
      <c r="C22" s="29" t="s">
        <v>115</v>
      </c>
      <c r="D22" s="21" t="n">
        <f aca="false">SUMIFS('CUSTOS MENSAIS'!$F:$F,'CUSTOS MENSAIS'!$A:$A,A22,'CUSTOS MENSAIS'!$H:$H,F22)</f>
        <v>137420.52</v>
      </c>
      <c r="E22" s="21" t="n">
        <f aca="false">IFERROR(D22/IF(B22="Clientes",SUMIFS(PARÂMETROS!$B$8:$B$907,PARÂMETROS!$G$8:$G$907,F22),SUMIFS(PARÂMETROS!$C$8:$C$907,PARÂMETROS!$G$8:$G$907,F22)),0)</f>
        <v>0.718249489094587</v>
      </c>
      <c r="F22" s="11" t="s">
        <v>20</v>
      </c>
      <c r="G22" s="31" t="n">
        <f aca="false">IF(B22="Clientes",SUMIFS(PARÂMETROS!$B$8:$B$907,PARÂMETROS!$G$8:$G$907,F22),SUMIFS(PARÂMETROS!$C$8:$C$907,PARÂMETROS!$G$8:$G$907,F22))</f>
        <v>191327</v>
      </c>
    </row>
    <row r="23" customFormat="false" ht="15" hidden="false" customHeight="true" outlineLevel="0" collapsed="false">
      <c r="A23" s="27" t="s">
        <v>48</v>
      </c>
      <c r="B23" s="28" t="s">
        <v>97</v>
      </c>
      <c r="C23" s="29" t="s">
        <v>116</v>
      </c>
      <c r="D23" s="21" t="n">
        <f aca="false">SUMIFS('CUSTOS MENSAIS'!$F:$F,'CUSTOS MENSAIS'!$A:$A,A23,'CUSTOS MENSAIS'!$H:$H,F23)</f>
        <v>121872.420789</v>
      </c>
      <c r="E23" s="21" t="n">
        <f aca="false">IFERROR(D23/IF(B23="Clientes",SUMIFS(PARÂMETROS!$B$8:$B$907,PARÂMETROS!$G$8:$G$907,F23),SUMIFS(PARÂMETROS!$C$8:$C$907,PARÂMETROS!$G$8:$G$907,F23)),0)</f>
        <v>0.636984956587413</v>
      </c>
      <c r="F23" s="11" t="s">
        <v>20</v>
      </c>
      <c r="G23" s="31" t="n">
        <f aca="false">IF(B23="Clientes",SUMIFS(PARÂMETROS!$B$8:$B$907,PARÂMETROS!$G$8:$G$907,F23),SUMIFS(PARÂMETROS!$C$8:$C$907,PARÂMETROS!$G$8:$G$907,F23))</f>
        <v>191327</v>
      </c>
    </row>
    <row r="24" customFormat="false" ht="15" hidden="false" customHeight="true" outlineLevel="0" collapsed="false">
      <c r="A24" s="27" t="s">
        <v>49</v>
      </c>
      <c r="B24" s="28" t="s">
        <v>97</v>
      </c>
      <c r="C24" s="29" t="s">
        <v>117</v>
      </c>
      <c r="D24" s="21" t="n">
        <f aca="false">SUMIFS('CUSTOS MENSAIS'!$F:$F,'CUSTOS MENSAIS'!$A:$A,A24,'CUSTOS MENSAIS'!$H:$H,F24)</f>
        <v>30291.239211</v>
      </c>
      <c r="E24" s="21" t="n">
        <f aca="false">IFERROR(D24/IF(B24="Clientes",SUMIFS(PARÂMETROS!$B$8:$B$907,PARÂMETROS!$G$8:$G$907,F24),SUMIFS(PARÂMETROS!$C$8:$C$907,PARÂMETROS!$G$8:$G$907,F24)),0)</f>
        <v>0.158321821859957</v>
      </c>
      <c r="F24" s="11" t="s">
        <v>20</v>
      </c>
      <c r="G24" s="31" t="n">
        <f aca="false">IF(B24="Clientes",SUMIFS(PARÂMETROS!$B$8:$B$907,PARÂMETROS!$G$8:$G$907,F24),SUMIFS(PARÂMETROS!$C$8:$C$907,PARÂMETROS!$G$8:$G$907,F24))</f>
        <v>191327</v>
      </c>
    </row>
    <row r="25" customFormat="false" ht="15" hidden="false" customHeight="true" outlineLevel="0" collapsed="false">
      <c r="A25" s="27" t="s">
        <v>50</v>
      </c>
      <c r="B25" s="28" t="s">
        <v>97</v>
      </c>
      <c r="C25" s="29" t="s">
        <v>118</v>
      </c>
      <c r="D25" s="21" t="n">
        <f aca="false">SUMIFS('CUSTOS MENSAIS'!$F:$F,'CUSTOS MENSAIS'!$A:$A,A25,'CUSTOS MENSAIS'!$H:$H,F25)</f>
        <v>79377.16</v>
      </c>
      <c r="E25" s="21" t="n">
        <f aca="false">IFERROR(D25/IF(B25="Clientes",SUMIFS(PARÂMETROS!$B$8:$B$907,PARÂMETROS!$G$8:$G$907,F25),SUMIFS(PARÂMETROS!$C$8:$C$907,PARÂMETROS!$G$8:$G$907,F25)),0)</f>
        <v>0.414876938435244</v>
      </c>
      <c r="F25" s="11" t="s">
        <v>20</v>
      </c>
      <c r="G25" s="31" t="n">
        <f aca="false">IF(B25="Clientes",SUMIFS(PARÂMETROS!$B$8:$B$907,PARÂMETROS!$G$8:$G$907,F25),SUMIFS(PARÂMETROS!$C$8:$C$907,PARÂMETROS!$G$8:$G$907,F25))</f>
        <v>191327</v>
      </c>
    </row>
    <row r="26" customFormat="false" ht="15" hidden="false" customHeight="true" outlineLevel="0" collapsed="false">
      <c r="A26" s="27" t="s">
        <v>51</v>
      </c>
      <c r="B26" s="28" t="s">
        <v>97</v>
      </c>
      <c r="C26" s="29" t="s">
        <v>119</v>
      </c>
      <c r="D26" s="21" t="n">
        <f aca="false">SUMIFS('CUSTOS MENSAIS'!$F:$F,'CUSTOS MENSAIS'!$A:$A,A26,'CUSTOS MENSAIS'!$H:$H,F26)</f>
        <v>63760.7558395556</v>
      </c>
      <c r="E26" s="21" t="n">
        <f aca="false">IFERROR(D26/IF(B26="Clientes",SUMIFS(PARÂMETROS!$B$8:$B$907,PARÂMETROS!$G$8:$G$907,F26),SUMIFS(PARÂMETROS!$C$8:$C$907,PARÂMETROS!$G$8:$G$907,F26)),0)</f>
        <v>0.333255399601497</v>
      </c>
      <c r="F26" s="11" t="s">
        <v>20</v>
      </c>
      <c r="G26" s="31" t="n">
        <f aca="false">IF(B26="Clientes",SUMIFS(PARÂMETROS!$B$8:$B$907,PARÂMETROS!$G$8:$G$907,F26),SUMIFS(PARÂMETROS!$C$8:$C$907,PARÂMETROS!$G$8:$G$907,F26))</f>
        <v>191327</v>
      </c>
    </row>
    <row r="27" customFormat="false" ht="15" hidden="false" customHeight="true" outlineLevel="0" collapsed="false">
      <c r="A27" s="27" t="s">
        <v>52</v>
      </c>
      <c r="B27" s="28" t="s">
        <v>97</v>
      </c>
      <c r="C27" s="29" t="s">
        <v>120</v>
      </c>
      <c r="D27" s="21" t="n">
        <f aca="false">SUMIFS('CUSTOS MENSAIS'!$F:$F,'CUSTOS MENSAIS'!$A:$A,A27,'CUSTOS MENSAIS'!$H:$H,F27)</f>
        <v>35788.658658</v>
      </c>
      <c r="E27" s="21" t="n">
        <f aca="false">IFERROR(D27/IF(B27="Clientes",SUMIFS(PARÂMETROS!$B$8:$B$907,PARÂMETROS!$G$8:$G$907,F27),SUMIFS(PARÂMETROS!$C$8:$C$907,PARÂMETROS!$G$8:$G$907,F27)),0)</f>
        <v>0.187054930344384</v>
      </c>
      <c r="F27" s="11" t="s">
        <v>20</v>
      </c>
      <c r="G27" s="31" t="n">
        <f aca="false">IF(B27="Clientes",SUMIFS(PARÂMETROS!$B$8:$B$907,PARÂMETROS!$G$8:$G$907,F27),SUMIFS(PARÂMETROS!$C$8:$C$907,PARÂMETROS!$G$8:$G$907,F27))</f>
        <v>191327</v>
      </c>
    </row>
    <row r="28" customFormat="false" ht="15" hidden="false" customHeight="true" outlineLevel="0" collapsed="false">
      <c r="A28" s="27" t="s">
        <v>53</v>
      </c>
      <c r="B28" s="28" t="s">
        <v>97</v>
      </c>
      <c r="C28" s="29" t="s">
        <v>121</v>
      </c>
      <c r="D28" s="21" t="n">
        <f aca="false">SUMIFS('CUSTOS MENSAIS'!$F:$F,'CUSTOS MENSAIS'!$A:$A,A28,'CUSTOS MENSAIS'!$H:$H,F28)</f>
        <v>117989.9133</v>
      </c>
      <c r="E28" s="21" t="n">
        <f aca="false">IFERROR(D28/IF(B28="Clientes",SUMIFS(PARÂMETROS!$B$8:$B$907,PARÂMETROS!$G$8:$G$907,F28),SUMIFS(PARÂMETROS!$C$8:$C$907,PARÂMETROS!$G$8:$G$907,F28)),0)</f>
        <v>0.616692433895896</v>
      </c>
      <c r="F28" s="11" t="s">
        <v>20</v>
      </c>
      <c r="G28" s="31" t="n">
        <f aca="false">IF(B28="Clientes",SUMIFS(PARÂMETROS!$B$8:$B$907,PARÂMETROS!$G$8:$G$907,F28),SUMIFS(PARÂMETROS!$C$8:$C$907,PARÂMETROS!$G$8:$G$907,F28))</f>
        <v>191327</v>
      </c>
    </row>
    <row r="29" customFormat="false" ht="15" hidden="false" customHeight="true" outlineLevel="0" collapsed="false">
      <c r="A29" s="27" t="s">
        <v>54</v>
      </c>
      <c r="B29" s="28" t="s">
        <v>97</v>
      </c>
      <c r="C29" s="29" t="s">
        <v>122</v>
      </c>
      <c r="D29" s="21" t="n">
        <f aca="false">SUMIFS('CUSTOS MENSAIS'!$F:$F,'CUSTOS MENSAIS'!$A:$A,A29,'CUSTOS MENSAIS'!$H:$H,F29)</f>
        <v>115604.63981</v>
      </c>
      <c r="E29" s="21" t="n">
        <f aca="false">IFERROR(D29/IF(B29="Clientes",SUMIFS(PARÂMETROS!$B$8:$B$907,PARÂMETROS!$G$8:$G$907,F29),SUMIFS(PARÂMETROS!$C$8:$C$907,PARÂMETROS!$G$8:$G$907,F29)),0)</f>
        <v>0.604225435040533</v>
      </c>
      <c r="F29" s="11" t="s">
        <v>20</v>
      </c>
      <c r="G29" s="31" t="n">
        <f aca="false">IF(B29="Clientes",SUMIFS(PARÂMETROS!$B$8:$B$907,PARÂMETROS!$G$8:$G$907,F29),SUMIFS(PARÂMETROS!$C$8:$C$907,PARÂMETROS!$G$8:$G$907,F29))</f>
        <v>191327</v>
      </c>
    </row>
    <row r="30" customFormat="false" ht="15" hidden="false" customHeight="true" outlineLevel="0" collapsed="false">
      <c r="A30" s="27" t="s">
        <v>55</v>
      </c>
      <c r="B30" s="28" t="s">
        <v>99</v>
      </c>
      <c r="C30" s="29" t="s">
        <v>123</v>
      </c>
      <c r="D30" s="21" t="n">
        <f aca="false">SUMIFS('CUSTOS MENSAIS'!$F:$F,'CUSTOS MENSAIS'!$A:$A,A30,'CUSTOS MENSAIS'!$H:$H,F30)</f>
        <v>23776.15</v>
      </c>
      <c r="E30" s="21" t="n">
        <f aca="false">IFERROR(D30/IF(B30="Clientes",SUMIFS(PARÂMETROS!$B$8:$B$907,PARÂMETROS!$G$8:$G$907,F30),SUMIFS(PARÂMETROS!$C$8:$C$907,PARÂMETROS!$G$8:$G$907,F30)),0)</f>
        <v>22.5794396961064</v>
      </c>
      <c r="F30" s="11" t="s">
        <v>20</v>
      </c>
      <c r="G30" s="31" t="n">
        <f aca="false">IF(B30="Clientes",SUMIFS(PARÂMETROS!$B$8:$B$907,PARÂMETROS!$G$8:$G$907,F30),SUMIFS(PARÂMETROS!$C$8:$C$907,PARÂMETROS!$G$8:$G$907,F30))</f>
        <v>1053</v>
      </c>
    </row>
    <row r="31" customFormat="false" ht="15" hidden="false" customHeight="true" outlineLevel="0" collapsed="false">
      <c r="A31" s="27" t="s">
        <v>86</v>
      </c>
      <c r="B31" s="28" t="s">
        <v>97</v>
      </c>
      <c r="C31" s="29" t="s">
        <v>124</v>
      </c>
      <c r="D31" s="21" t="n">
        <f aca="false">SUMIFS('CUSTOS MENSAIS'!$F:$F,'CUSTOS MENSAIS'!$A:$A,A31,'CUSTOS MENSAIS'!$H:$H,F31)</f>
        <v>25901.077777</v>
      </c>
      <c r="E31" s="21" t="n">
        <f aca="false">IFERROR(D31/IF(B31="Clientes",SUMIFS(PARÂMETROS!$B$8:$B$907,PARÂMETROS!$G$8:$G$907,F31),SUMIFS(PARÂMETROS!$C$8:$C$907,PARÂMETROS!$G$8:$G$907,F31)),0)</f>
        <v>0.135375967725413</v>
      </c>
      <c r="F31" s="11" t="s">
        <v>20</v>
      </c>
      <c r="G31" s="31" t="n">
        <f aca="false">IF(B31="Clientes",SUMIFS(PARÂMETROS!$B$8:$B$907,PARÂMETROS!$G$8:$G$907,F31),SUMIFS(PARÂMETROS!$C$8:$C$907,PARÂMETROS!$G$8:$G$907,F31))</f>
        <v>191327</v>
      </c>
    </row>
    <row r="32" customFormat="false" ht="15" hidden="false" customHeight="true" outlineLevel="0" collapsed="false">
      <c r="A32" s="27" t="s">
        <v>83</v>
      </c>
      <c r="B32" s="28" t="s">
        <v>97</v>
      </c>
      <c r="C32" s="29" t="s">
        <v>125</v>
      </c>
      <c r="D32" s="21" t="n">
        <f aca="false">SUMIFS('CUSTOS MENSAIS'!$F:$F,'CUSTOS MENSAIS'!$A:$A,A32,'CUSTOS MENSAIS'!$H:$H,F32)</f>
        <v>12681.53</v>
      </c>
      <c r="E32" s="21" t="n">
        <f aca="false">IFERROR(D32/IF(B32="Clientes",SUMIFS(PARÂMETROS!$B$8:$B$907,PARÂMETROS!$G$8:$G$907,F32),SUMIFS(PARÂMETROS!$C$8:$C$907,PARÂMETROS!$G$8:$G$907,F32)),0)</f>
        <v>0.066281967521573</v>
      </c>
      <c r="F32" s="11" t="s">
        <v>20</v>
      </c>
      <c r="G32" s="31" t="n">
        <f aca="false">IF(B32="Clientes",SUMIFS(PARÂMETROS!$B$8:$B$907,PARÂMETROS!$G$8:$G$907,F32),SUMIFS(PARÂMETROS!$C$8:$C$907,PARÂMETROS!$G$8:$G$907,F32))</f>
        <v>191327</v>
      </c>
    </row>
    <row r="33" customFormat="false" ht="15" hidden="false" customHeight="true" outlineLevel="0" collapsed="false">
      <c r="A33" s="27" t="s">
        <v>85</v>
      </c>
      <c r="B33" s="28" t="s">
        <v>97</v>
      </c>
      <c r="C33" s="29" t="s">
        <v>126</v>
      </c>
      <c r="D33" s="21" t="n">
        <f aca="false">SUMIFS('CUSTOS MENSAIS'!$F:$F,'CUSTOS MENSAIS'!$A:$A,A33,'CUSTOS MENSAIS'!$H:$H,F33)</f>
        <v>61122.0895</v>
      </c>
      <c r="E33" s="21" t="n">
        <f aca="false">IFERROR(D33/IF(B33="Clientes",SUMIFS(PARÂMETROS!$B$8:$B$907,PARÂMETROS!$G$8:$G$907,F33),SUMIFS(PARÂMETROS!$C$8:$C$907,PARÂMETROS!$G$8:$G$907,F33)),0)</f>
        <v>0.319464004034977</v>
      </c>
      <c r="F33" s="11" t="s">
        <v>20</v>
      </c>
      <c r="G33" s="31" t="n">
        <f aca="false">IF(B33="Clientes",SUMIFS(PARÂMETROS!$B$8:$B$907,PARÂMETROS!$G$8:$G$907,F33),SUMIFS(PARÂMETROS!$C$8:$C$907,PARÂMETROS!$G$8:$G$907,F33))</f>
        <v>191327</v>
      </c>
    </row>
    <row r="34" customFormat="false" ht="15" hidden="false" customHeight="true" outlineLevel="0" collapsed="false">
      <c r="A34" s="27" t="s">
        <v>87</v>
      </c>
      <c r="B34" s="28" t="s">
        <v>97</v>
      </c>
      <c r="C34" s="29" t="s">
        <v>127</v>
      </c>
      <c r="D34" s="21" t="n">
        <f aca="false">SUMIFS('CUSTOS MENSAIS'!$F:$F,'CUSTOS MENSAIS'!$A:$A,A34,'CUSTOS MENSAIS'!$H:$H,F34)</f>
        <v>28475.231466</v>
      </c>
      <c r="E34" s="21" t="n">
        <f aca="false">IFERROR(D34/IF(B34="Clientes",SUMIFS(PARÂMETROS!$B$8:$B$907,PARÂMETROS!$G$8:$G$907,F34),SUMIFS(PARÂMETROS!$C$8:$C$907,PARÂMETROS!$G$8:$G$907,F34)),0)</f>
        <v>0.148830177998923</v>
      </c>
      <c r="F34" s="11" t="s">
        <v>20</v>
      </c>
      <c r="G34" s="31" t="n">
        <f aca="false">IF(B34="Clientes",SUMIFS(PARÂMETROS!$B$8:$B$907,PARÂMETROS!$G$8:$G$907,F34),SUMIFS(PARÂMETROS!$C$8:$C$907,PARÂMETROS!$G$8:$G$907,F34))</f>
        <v>191327</v>
      </c>
    </row>
    <row r="35" customFormat="false" ht="14.25" hidden="false" customHeight="true" outlineLevel="0" collapsed="false">
      <c r="A35" s="27" t="s">
        <v>78</v>
      </c>
      <c r="B35" s="28" t="s">
        <v>97</v>
      </c>
      <c r="C35" s="29" t="s">
        <v>128</v>
      </c>
      <c r="D35" s="21" t="n">
        <f aca="false">SUMIFS('CUSTOS MENSAIS'!$F:$F,'CUSTOS MENSAIS'!$A:$A,A35,'CUSTOS MENSAIS'!$H:$H,F35)</f>
        <v>85589.3</v>
      </c>
      <c r="E35" s="21" t="n">
        <f aca="false">IFERROR(D35/IF(B35="Clientes",SUMIFS(PARÂMETROS!$B$8:$B$907,PARÂMETROS!$G$8:$G$907,F35),SUMIFS(PARÂMETROS!$C$8:$C$907,PARÂMETROS!$G$8:$G$907,F35)),0)</f>
        <v>0.447345643845354</v>
      </c>
      <c r="F35" s="11" t="s">
        <v>20</v>
      </c>
      <c r="G35" s="31" t="n">
        <f aca="false">IF(B35="Clientes",SUMIFS(PARÂMETROS!$B$8:$B$907,PARÂMETROS!$G$8:$G$907,F35),SUMIFS(PARÂMETROS!$C$8:$C$907,PARÂMETROS!$G$8:$G$907,F35))</f>
        <v>191327</v>
      </c>
    </row>
    <row r="36" customFormat="false" ht="14.25" hidden="false" customHeight="true" outlineLevel="0" collapsed="false">
      <c r="A36" s="27" t="s">
        <v>81</v>
      </c>
      <c r="B36" s="28" t="s">
        <v>97</v>
      </c>
      <c r="C36" s="29" t="s">
        <v>129</v>
      </c>
      <c r="D36" s="21" t="n">
        <f aca="false">SUMIFS('CUSTOS MENSAIS'!$F:$F,'CUSTOS MENSAIS'!$A:$A,A36,'CUSTOS MENSAIS'!$H:$H,F36)</f>
        <v>9882.542222</v>
      </c>
      <c r="E36" s="21" t="n">
        <f aca="false">IFERROR(D36/IF(B36="Clientes",SUMIFS(PARÂMETROS!$B$8:$B$907,PARÂMETROS!$G$8:$G$907,F36),SUMIFS(PARÂMETROS!$C$8:$C$907,PARÂMETROS!$G$8:$G$907,F36)),0)</f>
        <v>0.051652627292541</v>
      </c>
      <c r="F36" s="11" t="s">
        <v>20</v>
      </c>
      <c r="G36" s="31" t="n">
        <f aca="false">IF(B36="Clientes",SUMIFS(PARÂMETROS!$B$8:$B$907,PARÂMETROS!$G$8:$G$907,F36),SUMIFS(PARÂMETROS!$C$8:$C$907,PARÂMETROS!$G$8:$G$907,F36))</f>
        <v>191327</v>
      </c>
    </row>
    <row r="37" customFormat="false" ht="14.25" hidden="false" customHeight="true" outlineLevel="0" collapsed="false">
      <c r="A37" s="27" t="s">
        <v>84</v>
      </c>
      <c r="B37" s="28" t="s">
        <v>97</v>
      </c>
      <c r="C37" s="29" t="s">
        <v>130</v>
      </c>
      <c r="D37" s="21" t="n">
        <f aca="false">SUMIFS('CUSTOS MENSAIS'!$F:$F,'CUSTOS MENSAIS'!$A:$A,A37,'CUSTOS MENSAIS'!$H:$H,F37)</f>
        <v>145025.91</v>
      </c>
      <c r="E37" s="21" t="n">
        <f aca="false">IFERROR(D37/IF(B37="Clientes",SUMIFS(PARÂMETROS!$B$8:$B$907,PARÂMETROS!$G$8:$G$907,F37),SUMIFS(PARÂMETROS!$C$8:$C$907,PARÂMETROS!$G$8:$G$907,F37)),0)</f>
        <v>0.758000229972769</v>
      </c>
      <c r="F37" s="11" t="s">
        <v>20</v>
      </c>
      <c r="G37" s="31" t="n">
        <f aca="false">IF(B37="Clientes",SUMIFS(PARÂMETROS!$B$8:$B$907,PARÂMETROS!$G$8:$G$907,F37),SUMIFS(PARÂMETROS!$C$8:$C$907,PARÂMETROS!$G$8:$G$907,F37))</f>
        <v>191327</v>
      </c>
    </row>
    <row r="38" customFormat="false" ht="14.25" hidden="false" customHeight="true" outlineLevel="0" collapsed="false">
      <c r="A38" s="27" t="s">
        <v>82</v>
      </c>
      <c r="B38" s="28" t="s">
        <v>97</v>
      </c>
      <c r="C38" s="29" t="s">
        <v>131</v>
      </c>
      <c r="D38" s="21" t="n">
        <f aca="false">SUMIFS('CUSTOS MENSAIS'!$F:$F,'CUSTOS MENSAIS'!$A:$A,A38,'CUSTOS MENSAIS'!$H:$H,F38)</f>
        <v>73311.97</v>
      </c>
      <c r="E38" s="21" t="n">
        <f aca="false">IFERROR(D38/IF(B38="Clientes",SUMIFS(PARÂMETROS!$B$8:$B$907,PARÂMETROS!$G$8:$G$907,F38),SUMIFS(PARÂMETROS!$C$8:$C$907,PARÂMETROS!$G$8:$G$907,F38)),0)</f>
        <v>0.383176289807502</v>
      </c>
      <c r="F38" s="11" t="s">
        <v>20</v>
      </c>
      <c r="G38" s="31" t="n">
        <f aca="false">IF(B38="Clientes",SUMIFS(PARÂMETROS!$B$8:$B$907,PARÂMETROS!$G$8:$G$907,F38),SUMIFS(PARÂMETROS!$C$8:$C$907,PARÂMETROS!$G$8:$G$907,F38))</f>
        <v>191327</v>
      </c>
    </row>
    <row r="39" customFormat="false" ht="14.25" hidden="false" customHeight="true" outlineLevel="0" collapsed="false">
      <c r="A39" s="27" t="s">
        <v>80</v>
      </c>
      <c r="B39" s="28" t="s">
        <v>97</v>
      </c>
      <c r="C39" s="29" t="s">
        <v>132</v>
      </c>
      <c r="D39" s="21" t="n">
        <f aca="false">SUMIFS('CUSTOS MENSAIS'!$F:$F,'CUSTOS MENSAIS'!$A:$A,A39,'CUSTOS MENSAIS'!$H:$H,F39)</f>
        <v>29568.365733</v>
      </c>
      <c r="E39" s="21" t="n">
        <f aca="false">IFERROR(D39/IF(B39="Clientes",SUMIFS(PARÂMETROS!$B$8:$B$907,PARÂMETROS!$G$8:$G$907,F39),SUMIFS(PARÂMETROS!$C$8:$C$907,PARÂMETROS!$G$8:$G$907,F39)),0)</f>
        <v>0.154543612417484</v>
      </c>
      <c r="F39" s="11" t="s">
        <v>20</v>
      </c>
      <c r="G39" s="31" t="n">
        <f aca="false">IF(B39="Clientes",SUMIFS(PARÂMETROS!$B$8:$B$907,PARÂMETROS!$G$8:$G$907,F39),SUMIFS(PARÂMETROS!$C$8:$C$907,PARÂMETROS!$G$8:$G$907,F39))</f>
        <v>191327</v>
      </c>
    </row>
    <row r="40" customFormat="false" ht="14.25" hidden="false" customHeight="true" outlineLevel="0" collapsed="false">
      <c r="A40" s="27" t="s">
        <v>79</v>
      </c>
      <c r="B40" s="28" t="s">
        <v>99</v>
      </c>
      <c r="C40" s="29" t="s">
        <v>133</v>
      </c>
      <c r="D40" s="21" t="n">
        <f aca="false">SUMIFS('CUSTOS MENSAIS'!$F:$F,'CUSTOS MENSAIS'!$A:$A,A40,'CUSTOS MENSAIS'!$H:$H,F40)</f>
        <v>29728.81</v>
      </c>
      <c r="E40" s="21" t="n">
        <f aca="false">IFERROR(D40/IF(B40="Clientes",SUMIFS(PARÂMETROS!$B$8:$B$907,PARÂMETROS!$G$8:$G$907,F40),SUMIFS(PARÂMETROS!$C$8:$C$907,PARÂMETROS!$G$8:$G$907,F40)),0)</f>
        <v>28.2324881291548</v>
      </c>
      <c r="F40" s="11" t="s">
        <v>20</v>
      </c>
      <c r="G40" s="31" t="n">
        <f aca="false">IF(B40="Clientes",SUMIFS(PARÂMETROS!$B$8:$B$907,PARÂMETROS!$G$8:$G$907,F40),SUMIFS(PARÂMETROS!$C$8:$C$907,PARÂMETROS!$G$8:$G$907,F40))</f>
        <v>1053</v>
      </c>
    </row>
    <row r="41" customFormat="false" ht="14.25" hidden="false" customHeight="true" outlineLevel="0" collapsed="false">
      <c r="A41" s="17" t="s">
        <v>134</v>
      </c>
      <c r="B41" s="32"/>
      <c r="C41" s="33"/>
      <c r="D41" s="34" t="n">
        <f aca="false">SUMIFS('CUSTOS MENSAIS'!$F:$F,'CUSTOS MENSAIS'!$A:$A,A41,'CUSTOS MENSAIS'!$H:$H,F41)</f>
        <v>0</v>
      </c>
      <c r="E41" s="34" t="n">
        <f aca="false">IFERROR(D41/IF(B41="Clientes",SUMIFS(PARÂMETROS!$B$8:$B$907,PARÂMETROS!$G$8:$G$907,F41),SUMIFS(PARÂMETROS!$C$8:$C$907,PARÂMETROS!$G$8:$G$907,F41)),0)</f>
        <v>0</v>
      </c>
      <c r="F41" s="32"/>
      <c r="G41" s="35" t="n">
        <f aca="false">IF(B41="Clientes",SUMIFS(PARÂMETROS!$B$8:$B$907,PARÂMETROS!$G$8:$G$907,F41),SUMIFS(PARÂMETROS!$C$8:$C$907,PARÂMETROS!$G$8:$G$907,F41))</f>
        <v>0</v>
      </c>
    </row>
    <row r="42" customFormat="false" ht="14.25" hidden="false" customHeight="true" outlineLevel="0" collapsed="false">
      <c r="A42" s="27" t="s">
        <v>31</v>
      </c>
      <c r="B42" s="28" t="s">
        <v>97</v>
      </c>
      <c r="C42" s="29" t="s">
        <v>98</v>
      </c>
      <c r="D42" s="21" t="n">
        <f aca="false">SUMIFS('CUSTOS MENSAIS'!$F:$F,'CUSTOS MENSAIS'!$A:$A,A42,'CUSTOS MENSAIS'!$H:$H,F42)</f>
        <v>70674.8511</v>
      </c>
      <c r="E42" s="21" t="n">
        <f aca="false">IFERROR(D42/IF(B42="Clientes",SUMIFS(PARÂMETROS!$B$8:$B$907,PARÂMETROS!$G$8:$G$907,F42),SUMIFS(PARÂMETROS!$C$8:$C$907,PARÂMETROS!$G$8:$G$907,F42)),0)</f>
        <v>0.362727175726097</v>
      </c>
      <c r="F42" s="11" t="s">
        <v>11</v>
      </c>
      <c r="G42" s="31" t="n">
        <f aca="false">IF(B42="Clientes",SUMIFS(PARÂMETROS!$B$8:$B$907,PARÂMETROS!$G$8:$G$907,F42),SUMIFS(PARÂMETROS!$C$8:$C$907,PARÂMETROS!$G$8:$G$907,F42))</f>
        <v>194843</v>
      </c>
    </row>
    <row r="43" customFormat="false" ht="14.25" hidden="false" customHeight="true" outlineLevel="0" collapsed="false">
      <c r="A43" s="27" t="s">
        <v>32</v>
      </c>
      <c r="B43" s="28" t="s">
        <v>99</v>
      </c>
      <c r="C43" s="29" t="s">
        <v>100</v>
      </c>
      <c r="D43" s="21" t="n">
        <f aca="false">SUMIFS('CUSTOS MENSAIS'!$F:$F,'CUSTOS MENSAIS'!$A:$A,A43,'CUSTOS MENSAIS'!$H:$H,F43)</f>
        <v>36632.674356</v>
      </c>
      <c r="E43" s="21" t="n">
        <f aca="false">IFERROR(D43/IF(B43="Clientes",SUMIFS(PARÂMETROS!$B$8:$B$907,PARÂMETROS!$G$8:$G$907,F43),SUMIFS(PARÂMETROS!$C$8:$C$907,PARÂMETROS!$G$8:$G$907,F43)),0)</f>
        <v>34.9215198817922</v>
      </c>
      <c r="F43" s="11" t="s">
        <v>11</v>
      </c>
      <c r="G43" s="31" t="n">
        <f aca="false">IF(B43="Clientes",SUMIFS(PARÂMETROS!$B$8:$B$907,PARÂMETROS!$G$8:$G$907,F43),SUMIFS(PARÂMETROS!$C$8:$C$907,PARÂMETROS!$G$8:$G$907,F43))</f>
        <v>1049</v>
      </c>
    </row>
    <row r="44" customFormat="false" ht="14.25" hidden="false" customHeight="true" outlineLevel="0" collapsed="false">
      <c r="A44" s="27" t="s">
        <v>33</v>
      </c>
      <c r="B44" s="28" t="s">
        <v>99</v>
      </c>
      <c r="C44" s="29" t="s">
        <v>101</v>
      </c>
      <c r="D44" s="21" t="n">
        <f aca="false">SUMIFS('CUSTOS MENSAIS'!$F:$F,'CUSTOS MENSAIS'!$A:$A,A44,'CUSTOS MENSAIS'!$H:$H,F44)</f>
        <v>55639.2755</v>
      </c>
      <c r="E44" s="21" t="n">
        <f aca="false">IFERROR(D44/IF(B44="Clientes",SUMIFS(PARÂMETROS!$B$8:$B$907,PARÂMETROS!$G$8:$G$907,F44),SUMIFS(PARÂMETROS!$C$8:$C$907,PARÂMETROS!$G$8:$G$907,F44)),0)</f>
        <v>53.0403007626311</v>
      </c>
      <c r="F44" s="11" t="s">
        <v>11</v>
      </c>
      <c r="G44" s="31" t="n">
        <f aca="false">IF(B44="Clientes",SUMIFS(PARÂMETROS!$B$8:$B$907,PARÂMETROS!$G$8:$G$907,F44),SUMIFS(PARÂMETROS!$C$8:$C$907,PARÂMETROS!$G$8:$G$907,F44))</f>
        <v>1049</v>
      </c>
    </row>
    <row r="45" customFormat="false" ht="14.25" hidden="false" customHeight="true" outlineLevel="0" collapsed="false">
      <c r="A45" s="27" t="s">
        <v>34</v>
      </c>
      <c r="B45" s="28" t="s">
        <v>97</v>
      </c>
      <c r="C45" s="29" t="s">
        <v>102</v>
      </c>
      <c r="D45" s="21" t="n">
        <f aca="false">SUMIFS('CUSTOS MENSAIS'!$F:$F,'CUSTOS MENSAIS'!$A:$A,A45,'CUSTOS MENSAIS'!$H:$H,F45)</f>
        <v>40053.35292</v>
      </c>
      <c r="E45" s="21" t="n">
        <f aca="false">IFERROR(D45/IF(B45="Clientes",SUMIFS(PARÂMETROS!$B$8:$B$907,PARÂMETROS!$G$8:$G$907,F45),SUMIFS(PARÂMETROS!$C$8:$C$907,PARÂMETROS!$G$8:$G$907,F45)),0)</f>
        <v>0.205567317891841</v>
      </c>
      <c r="F45" s="11" t="s">
        <v>11</v>
      </c>
      <c r="G45" s="31" t="n">
        <f aca="false">IF(B45="Clientes",SUMIFS(PARÂMETROS!$B$8:$B$907,PARÂMETROS!$G$8:$G$907,F45),SUMIFS(PARÂMETROS!$C$8:$C$907,PARÂMETROS!$G$8:$G$907,F45))</f>
        <v>194843</v>
      </c>
    </row>
    <row r="46" customFormat="false" ht="14.25" hidden="false" customHeight="true" outlineLevel="0" collapsed="false">
      <c r="A46" s="27" t="s">
        <v>35</v>
      </c>
      <c r="B46" s="28" t="s">
        <v>97</v>
      </c>
      <c r="C46" s="29" t="s">
        <v>103</v>
      </c>
      <c r="D46" s="21" t="n">
        <f aca="false">SUMIFS('CUSTOS MENSAIS'!$F:$F,'CUSTOS MENSAIS'!$A:$A,A46,'CUSTOS MENSAIS'!$H:$H,F46)</f>
        <v>17219.4689</v>
      </c>
      <c r="E46" s="21" t="n">
        <f aca="false">IFERROR(D46/IF(B46="Clientes",SUMIFS(PARÂMETROS!$B$8:$B$907,PARÂMETROS!$G$8:$G$907,F46),SUMIFS(PARÂMETROS!$C$8:$C$907,PARÂMETROS!$G$8:$G$907,F46)),0)</f>
        <v>0.0883761228270967</v>
      </c>
      <c r="F46" s="11" t="s">
        <v>11</v>
      </c>
      <c r="G46" s="31" t="n">
        <f aca="false">IF(B46="Clientes",SUMIFS(PARÂMETROS!$B$8:$B$907,PARÂMETROS!$G$8:$G$907,F46),SUMIFS(PARÂMETROS!$C$8:$C$907,PARÂMETROS!$G$8:$G$907,F46))</f>
        <v>194843</v>
      </c>
    </row>
    <row r="47" customFormat="false" ht="14.25" hidden="false" customHeight="true" outlineLevel="0" collapsed="false">
      <c r="A47" s="27" t="s">
        <v>36</v>
      </c>
      <c r="B47" s="28" t="s">
        <v>97</v>
      </c>
      <c r="C47" s="29" t="s">
        <v>104</v>
      </c>
      <c r="D47" s="21" t="n">
        <f aca="false">SUMIFS('CUSTOS MENSAIS'!$F:$F,'CUSTOS MENSAIS'!$A:$A,A47,'CUSTOS MENSAIS'!$H:$H,F47)</f>
        <v>71800.2255</v>
      </c>
      <c r="E47" s="21" t="n">
        <f aca="false">IFERROR(D47/IF(B47="Clientes",SUMIFS(PARÂMETROS!$B$8:$B$907,PARÂMETROS!$G$8:$G$907,F47),SUMIFS(PARÂMETROS!$C$8:$C$907,PARÂMETROS!$G$8:$G$907,F47)),0)</f>
        <v>0.368502976755644</v>
      </c>
      <c r="F47" s="11" t="s">
        <v>11</v>
      </c>
      <c r="G47" s="31" t="n">
        <f aca="false">IF(B47="Clientes",SUMIFS(PARÂMETROS!$B$8:$B$907,PARÂMETROS!$G$8:$G$907,F47),SUMIFS(PARÂMETROS!$C$8:$C$907,PARÂMETROS!$G$8:$G$907,F47))</f>
        <v>194843</v>
      </c>
    </row>
    <row r="48" customFormat="false" ht="14.25" hidden="false" customHeight="true" outlineLevel="0" collapsed="false">
      <c r="A48" s="27" t="s">
        <v>37</v>
      </c>
      <c r="B48" s="28" t="s">
        <v>97</v>
      </c>
      <c r="C48" s="29" t="s">
        <v>105</v>
      </c>
      <c r="D48" s="21" t="n">
        <f aca="false">SUMIFS('CUSTOS MENSAIS'!$F:$F,'CUSTOS MENSAIS'!$A:$A,A48,'CUSTOS MENSAIS'!$H:$H,F48)</f>
        <v>179714.214106</v>
      </c>
      <c r="E48" s="21" t="n">
        <f aca="false">IFERROR(D48/IF(B48="Clientes",SUMIFS(PARÂMETROS!$B$8:$B$907,PARÂMETROS!$G$8:$G$907,F48),SUMIFS(PARÂMETROS!$C$8:$C$907,PARÂMETROS!$G$8:$G$907,F48)),0)</f>
        <v>0.922353967584158</v>
      </c>
      <c r="F48" s="11" t="s">
        <v>11</v>
      </c>
      <c r="G48" s="31" t="n">
        <f aca="false">IF(B48="Clientes",SUMIFS(PARÂMETROS!$B$8:$B$907,PARÂMETROS!$G$8:$G$907,F48),SUMIFS(PARÂMETROS!$C$8:$C$907,PARÂMETROS!$G$8:$G$907,F48))</f>
        <v>194843</v>
      </c>
    </row>
    <row r="49" customFormat="false" ht="14.25" hidden="false" customHeight="true" outlineLevel="0" collapsed="false">
      <c r="A49" s="27" t="s">
        <v>38</v>
      </c>
      <c r="B49" s="28" t="s">
        <v>97</v>
      </c>
      <c r="C49" s="29" t="s">
        <v>106</v>
      </c>
      <c r="D49" s="21" t="n">
        <f aca="false">SUMIFS('CUSTOS MENSAIS'!$F:$F,'CUSTOS MENSAIS'!$A:$A,A49,'CUSTOS MENSAIS'!$H:$H,F49)</f>
        <v>44286.736051</v>
      </c>
      <c r="E49" s="21" t="n">
        <f aca="false">IFERROR(D49/IF(B49="Clientes",SUMIFS(PARÂMETROS!$B$8:$B$907,PARÂMETROS!$G$8:$G$907,F49),SUMIFS(PARÂMETROS!$C$8:$C$907,PARÂMETROS!$G$8:$G$907,F49)),0)</f>
        <v>0.227294468115354</v>
      </c>
      <c r="F49" s="11" t="s">
        <v>11</v>
      </c>
      <c r="G49" s="31" t="n">
        <f aca="false">IF(B49="Clientes",SUMIFS(PARÂMETROS!$B$8:$B$907,PARÂMETROS!$G$8:$G$907,F49),SUMIFS(PARÂMETROS!$C$8:$C$907,PARÂMETROS!$G$8:$G$907,F49))</f>
        <v>194843</v>
      </c>
    </row>
    <row r="50" customFormat="false" ht="14.25" hidden="false" customHeight="true" outlineLevel="0" collapsed="false">
      <c r="A50" s="27" t="s">
        <v>39</v>
      </c>
      <c r="B50" s="28" t="s">
        <v>97</v>
      </c>
      <c r="C50" s="29" t="s">
        <v>107</v>
      </c>
      <c r="D50" s="21" t="n">
        <f aca="false">SUMIFS('CUSTOS MENSAIS'!$F:$F,'CUSTOS MENSAIS'!$A:$A,A50,'CUSTOS MENSAIS'!$H:$H,F50)</f>
        <v>53069.948556</v>
      </c>
      <c r="E50" s="21" t="n">
        <f aca="false">IFERROR(D50/IF(B50="Clientes",SUMIFS(PARÂMETROS!$B$8:$B$907,PARÂMETROS!$G$8:$G$907,F50),SUMIFS(PARÂMETROS!$C$8:$C$907,PARÂMETROS!$G$8:$G$907,F50)),0)</f>
        <v>0.272372877424388</v>
      </c>
      <c r="F50" s="11" t="s">
        <v>11</v>
      </c>
      <c r="G50" s="31" t="n">
        <f aca="false">IF(B50="Clientes",SUMIFS(PARÂMETROS!$B$8:$B$907,PARÂMETROS!$G$8:$G$907,F50),SUMIFS(PARÂMETROS!$C$8:$C$907,PARÂMETROS!$G$8:$G$907,F50))</f>
        <v>194843</v>
      </c>
    </row>
    <row r="51" customFormat="false" ht="14.25" hidden="false" customHeight="true" outlineLevel="0" collapsed="false">
      <c r="A51" s="27" t="s">
        <v>40</v>
      </c>
      <c r="B51" s="28" t="s">
        <v>97</v>
      </c>
      <c r="C51" s="29" t="s">
        <v>108</v>
      </c>
      <c r="D51" s="21" t="n">
        <f aca="false">SUMIFS('CUSTOS MENSAIS'!$F:$F,'CUSTOS MENSAIS'!$A:$A,A51,'CUSTOS MENSAIS'!$H:$H,F51)</f>
        <v>38110.164356</v>
      </c>
      <c r="E51" s="21" t="n">
        <f aca="false">IFERROR(D51/IF(B51="Clientes",SUMIFS(PARÂMETROS!$B$8:$B$907,PARÂMETROS!$G$8:$G$907,F51),SUMIFS(PARÂMETROS!$C$8:$C$907,PARÂMETROS!$G$8:$G$907,F51)),0)</f>
        <v>0.195594218709422</v>
      </c>
      <c r="F51" s="11" t="s">
        <v>11</v>
      </c>
      <c r="G51" s="31" t="n">
        <f aca="false">IF(B51="Clientes",SUMIFS(PARÂMETROS!$B$8:$B$907,PARÂMETROS!$G$8:$G$907,F51),SUMIFS(PARÂMETROS!$C$8:$C$907,PARÂMETROS!$G$8:$G$907,F51))</f>
        <v>194843</v>
      </c>
    </row>
    <row r="52" customFormat="false" ht="14.25" hidden="false" customHeight="true" outlineLevel="0" collapsed="false">
      <c r="A52" s="27" t="s">
        <v>41</v>
      </c>
      <c r="B52" s="28" t="s">
        <v>97</v>
      </c>
      <c r="C52" s="29" t="s">
        <v>109</v>
      </c>
      <c r="D52" s="21" t="n">
        <f aca="false">SUMIFS('CUSTOS MENSAIS'!$F:$F,'CUSTOS MENSAIS'!$A:$A,A52,'CUSTOS MENSAIS'!$H:$H,F52)</f>
        <v>18248.008564</v>
      </c>
      <c r="E52" s="21" t="n">
        <f aca="false">IFERROR(D52/IF(B52="Clientes",SUMIFS(PARÂMETROS!$B$8:$B$907,PARÂMETROS!$G$8:$G$907,F52),SUMIFS(PARÂMETROS!$C$8:$C$907,PARÂMETROS!$G$8:$G$907,F52)),0)</f>
        <v>0.0936549353274175</v>
      </c>
      <c r="F52" s="11" t="s">
        <v>11</v>
      </c>
      <c r="G52" s="31" t="n">
        <f aca="false">IF(B52="Clientes",SUMIFS(PARÂMETROS!$B$8:$B$907,PARÂMETROS!$G$8:$G$907,F52),SUMIFS(PARÂMETROS!$C$8:$C$907,PARÂMETROS!$G$8:$G$907,F52))</f>
        <v>194843</v>
      </c>
    </row>
    <row r="53" customFormat="false" ht="14.25" hidden="false" customHeight="true" outlineLevel="0" collapsed="false">
      <c r="A53" s="27" t="s">
        <v>42</v>
      </c>
      <c r="B53" s="28" t="s">
        <v>97</v>
      </c>
      <c r="C53" s="29" t="s">
        <v>110</v>
      </c>
      <c r="D53" s="21" t="n">
        <f aca="false">SUMIFS('CUSTOS MENSAIS'!$F:$F,'CUSTOS MENSAIS'!$A:$A,A53,'CUSTOS MENSAIS'!$H:$H,F53)</f>
        <v>28741.9277887408</v>
      </c>
      <c r="E53" s="21" t="n">
        <f aca="false">IFERROR(D53/IF(B53="Clientes",SUMIFS(PARÂMETROS!$B$8:$B$907,PARÂMETROS!$G$8:$G$907,F53),SUMIFS(PARÂMETROS!$C$8:$C$907,PARÂMETROS!$G$8:$G$907,F53)),0)</f>
        <v>0.147513268573882</v>
      </c>
      <c r="F53" s="11" t="s">
        <v>11</v>
      </c>
      <c r="G53" s="31" t="n">
        <f aca="false">IF(B53="Clientes",SUMIFS(PARÂMETROS!$B$8:$B$907,PARÂMETROS!$G$8:$G$907,F53),SUMIFS(PARÂMETROS!$C$8:$C$907,PARÂMETROS!$G$8:$G$907,F53))</f>
        <v>194843</v>
      </c>
    </row>
    <row r="54" customFormat="false" ht="14.25" hidden="false" customHeight="true" outlineLevel="0" collapsed="false">
      <c r="A54" s="27" t="s">
        <v>43</v>
      </c>
      <c r="B54" s="28" t="s">
        <v>97</v>
      </c>
      <c r="C54" s="29" t="s">
        <v>111</v>
      </c>
      <c r="D54" s="21" t="n">
        <f aca="false">SUMIFS('CUSTOS MENSAIS'!$F:$F,'CUSTOS MENSAIS'!$A:$A,A54,'CUSTOS MENSAIS'!$H:$H,F54)</f>
        <v>24421.9904</v>
      </c>
      <c r="E54" s="21" t="n">
        <f aca="false">IFERROR(D54/IF(B54="Clientes",SUMIFS(PARÂMETROS!$B$8:$B$907,PARÂMETROS!$G$8:$G$907,F54),SUMIFS(PARÂMETROS!$C$8:$C$907,PARÂMETROS!$G$8:$G$907,F54)),0)</f>
        <v>0.125341892703356</v>
      </c>
      <c r="F54" s="11" t="s">
        <v>11</v>
      </c>
      <c r="G54" s="31" t="n">
        <f aca="false">IF(B54="Clientes",SUMIFS(PARÂMETROS!$B$8:$B$907,PARÂMETROS!$G$8:$G$907,F54),SUMIFS(PARÂMETROS!$C$8:$C$907,PARÂMETROS!$G$8:$G$907,F54))</f>
        <v>194843</v>
      </c>
    </row>
    <row r="55" customFormat="false" ht="14.25" hidden="false" customHeight="true" outlineLevel="0" collapsed="false">
      <c r="A55" s="27" t="s">
        <v>44</v>
      </c>
      <c r="B55" s="28" t="s">
        <v>99</v>
      </c>
      <c r="C55" s="29" t="s">
        <v>112</v>
      </c>
      <c r="D55" s="21" t="n">
        <f aca="false">SUMIFS('CUSTOS MENSAIS'!$F:$F,'CUSTOS MENSAIS'!$A:$A,A55,'CUSTOS MENSAIS'!$H:$H,F55)</f>
        <v>51377.7106</v>
      </c>
      <c r="E55" s="21" t="n">
        <f aca="false">IFERROR(D55/IF(B55="Clientes",SUMIFS(PARÂMETROS!$B$8:$B$907,PARÂMETROS!$G$8:$G$907,F55),SUMIFS(PARÂMETROS!$C$8:$C$907,PARÂMETROS!$G$8:$G$907,F55)),0)</f>
        <v>48.9777984747378</v>
      </c>
      <c r="F55" s="11" t="s">
        <v>11</v>
      </c>
      <c r="G55" s="31" t="n">
        <f aca="false">IF(B55="Clientes",SUMIFS(PARÂMETROS!$B$8:$B$907,PARÂMETROS!$G$8:$G$907,F55),SUMIFS(PARÂMETROS!$C$8:$C$907,PARÂMETROS!$G$8:$G$907,F55))</f>
        <v>1049</v>
      </c>
    </row>
    <row r="56" customFormat="false" ht="14.25" hidden="false" customHeight="true" outlineLevel="0" collapsed="false">
      <c r="A56" s="27" t="s">
        <v>45</v>
      </c>
      <c r="B56" s="28" t="s">
        <v>97</v>
      </c>
      <c r="C56" s="29" t="s">
        <v>113</v>
      </c>
      <c r="D56" s="21" t="n">
        <f aca="false">SUMIFS('CUSTOS MENSAIS'!$F:$F,'CUSTOS MENSAIS'!$A:$A,A56,'CUSTOS MENSAIS'!$H:$H,F56)</f>
        <v>74359.0007</v>
      </c>
      <c r="E56" s="21" t="n">
        <f aca="false">IFERROR(D56/IF(B56="Clientes",SUMIFS(PARÂMETROS!$B$8:$B$907,PARÂMETROS!$G$8:$G$907,F56),SUMIFS(PARÂMETROS!$C$8:$C$907,PARÂMETROS!$G$8:$G$907,F56)),0)</f>
        <v>0.381635474202307</v>
      </c>
      <c r="F56" s="11" t="s">
        <v>11</v>
      </c>
      <c r="G56" s="31" t="n">
        <f aca="false">IF(B56="Clientes",SUMIFS(PARÂMETROS!$B$8:$B$907,PARÂMETROS!$G$8:$G$907,F56),SUMIFS(PARÂMETROS!$C$8:$C$907,PARÂMETROS!$G$8:$G$907,F56))</f>
        <v>194843</v>
      </c>
    </row>
    <row r="57" customFormat="false" ht="14.25" hidden="false" customHeight="true" outlineLevel="0" collapsed="false">
      <c r="A57" s="27" t="s">
        <v>46</v>
      </c>
      <c r="B57" s="28" t="s">
        <v>97</v>
      </c>
      <c r="C57" s="29" t="s">
        <v>114</v>
      </c>
      <c r="D57" s="21" t="n">
        <f aca="false">SUMIFS('CUSTOS MENSAIS'!$F:$F,'CUSTOS MENSAIS'!$A:$A,A57,'CUSTOS MENSAIS'!$H:$H,F57)</f>
        <v>188228.35</v>
      </c>
      <c r="E57" s="21" t="n">
        <f aca="false">IFERROR(D57/IF(B57="Clientes",SUMIFS(PARÂMETROS!$B$8:$B$907,PARÂMETROS!$G$8:$G$907,F57),SUMIFS(PARÂMETROS!$C$8:$C$907,PARÂMETROS!$G$8:$G$907,F57)),0)</f>
        <v>0.966051384961225</v>
      </c>
      <c r="F57" s="11" t="s">
        <v>11</v>
      </c>
      <c r="G57" s="31" t="n">
        <f aca="false">IF(B57="Clientes",SUMIFS(PARÂMETROS!$B$8:$B$907,PARÂMETROS!$G$8:$G$907,F57),SUMIFS(PARÂMETROS!$C$8:$C$907,PARÂMETROS!$G$8:$G$907,F57))</f>
        <v>194843</v>
      </c>
    </row>
    <row r="58" customFormat="false" ht="14.25" hidden="false" customHeight="true" outlineLevel="0" collapsed="false">
      <c r="A58" s="27" t="s">
        <v>47</v>
      </c>
      <c r="B58" s="28" t="s">
        <v>97</v>
      </c>
      <c r="C58" s="29" t="s">
        <v>115</v>
      </c>
      <c r="D58" s="21" t="n">
        <f aca="false">SUMIFS('CUSTOS MENSAIS'!$F:$F,'CUSTOS MENSAIS'!$A:$A,A58,'CUSTOS MENSAIS'!$H:$H,F58)</f>
        <v>129568.99</v>
      </c>
      <c r="E58" s="21" t="n">
        <f aca="false">IFERROR(D58/IF(B58="Clientes",SUMIFS(PARÂMETROS!$B$8:$B$907,PARÂMETROS!$G$8:$G$907,F58),SUMIFS(PARÂMETROS!$C$8:$C$907,PARÂMETROS!$G$8:$G$907,F58)),0)</f>
        <v>0.664991762598605</v>
      </c>
      <c r="F58" s="11" t="s">
        <v>11</v>
      </c>
      <c r="G58" s="31" t="n">
        <f aca="false">IF(B58="Clientes",SUMIFS(PARÂMETROS!$B$8:$B$907,PARÂMETROS!$G$8:$G$907,F58),SUMIFS(PARÂMETROS!$C$8:$C$907,PARÂMETROS!$G$8:$G$907,F58))</f>
        <v>194843</v>
      </c>
    </row>
    <row r="59" customFormat="false" ht="15" hidden="false" customHeight="true" outlineLevel="0" collapsed="false">
      <c r="A59" s="27" t="s">
        <v>48</v>
      </c>
      <c r="B59" s="28" t="s">
        <v>97</v>
      </c>
      <c r="C59" s="29" t="s">
        <v>116</v>
      </c>
      <c r="D59" s="21" t="n">
        <f aca="false">SUMIFS('CUSTOS MENSAIS'!$F:$F,'CUSTOS MENSAIS'!$A:$A,A59,'CUSTOS MENSAIS'!$H:$H,F59)</f>
        <v>134329.156757</v>
      </c>
      <c r="E59" s="21" t="n">
        <f aca="false">IFERROR(D59/IF(B59="Clientes",SUMIFS(PARÂMETROS!$B$8:$B$907,PARÂMETROS!$G$8:$G$907,F59),SUMIFS(PARÂMETROS!$C$8:$C$907,PARÂMETROS!$G$8:$G$907,F59)),0)</f>
        <v>0.689422544084211</v>
      </c>
      <c r="F59" s="11" t="s">
        <v>11</v>
      </c>
      <c r="G59" s="31" t="n">
        <f aca="false">IF(B59="Clientes",SUMIFS(PARÂMETROS!$B$8:$B$907,PARÂMETROS!$G$8:$G$907,F59),SUMIFS(PARÂMETROS!$C$8:$C$907,PARÂMETROS!$G$8:$G$907,F59))</f>
        <v>194843</v>
      </c>
    </row>
    <row r="60" customFormat="false" ht="15" hidden="false" customHeight="true" outlineLevel="0" collapsed="false">
      <c r="A60" s="27" t="s">
        <v>49</v>
      </c>
      <c r="B60" s="28" t="s">
        <v>97</v>
      </c>
      <c r="C60" s="29" t="s">
        <v>117</v>
      </c>
      <c r="D60" s="21" t="n">
        <f aca="false">SUMIFS('CUSTOS MENSAIS'!$F:$F,'CUSTOS MENSAIS'!$A:$A,A60,'CUSTOS MENSAIS'!$H:$H,F60)</f>
        <v>33959.055043</v>
      </c>
      <c r="E60" s="21" t="n">
        <f aca="false">IFERROR(D60/IF(B60="Clientes",SUMIFS(PARÂMETROS!$B$8:$B$907,PARÂMETROS!$G$8:$G$907,F60),SUMIFS(PARÂMETROS!$C$8:$C$907,PARÂMETROS!$G$8:$G$907,F60)),0)</f>
        <v>0.174289325472303</v>
      </c>
      <c r="F60" s="11" t="s">
        <v>11</v>
      </c>
      <c r="G60" s="31" t="n">
        <f aca="false">IF(B60="Clientes",SUMIFS(PARÂMETROS!$B$8:$B$907,PARÂMETROS!$G$8:$G$907,F60),SUMIFS(PARÂMETROS!$C$8:$C$907,PARÂMETROS!$G$8:$G$907,F60))</f>
        <v>194843</v>
      </c>
    </row>
    <row r="61" customFormat="false" ht="15" hidden="false" customHeight="true" outlineLevel="0" collapsed="false">
      <c r="A61" s="27" t="s">
        <v>50</v>
      </c>
      <c r="B61" s="28" t="s">
        <v>97</v>
      </c>
      <c r="C61" s="29" t="s">
        <v>118</v>
      </c>
      <c r="D61" s="21" t="n">
        <f aca="false">SUMIFS('CUSTOS MENSAIS'!$F:$F,'CUSTOS MENSAIS'!$A:$A,A61,'CUSTOS MENSAIS'!$H:$H,F61)</f>
        <v>85495.6712</v>
      </c>
      <c r="E61" s="21" t="n">
        <f aca="false">IFERROR(D61/IF(B61="Clientes",SUMIFS(PARÂMETROS!$B$8:$B$907,PARÂMETROS!$G$8:$G$907,F61),SUMIFS(PARÂMETROS!$C$8:$C$907,PARÂMETROS!$G$8:$G$907,F61)),0)</f>
        <v>0.438792623804807</v>
      </c>
      <c r="F61" s="11" t="s">
        <v>11</v>
      </c>
      <c r="G61" s="31" t="n">
        <f aca="false">IF(B61="Clientes",SUMIFS(PARÂMETROS!$B$8:$B$907,PARÂMETROS!$G$8:$G$907,F61),SUMIFS(PARÂMETROS!$C$8:$C$907,PARÂMETROS!$G$8:$G$907,F61))</f>
        <v>194843</v>
      </c>
    </row>
    <row r="62" customFormat="false" ht="15" hidden="false" customHeight="true" outlineLevel="0" collapsed="false">
      <c r="A62" s="27" t="s">
        <v>51</v>
      </c>
      <c r="B62" s="28" t="s">
        <v>97</v>
      </c>
      <c r="C62" s="29" t="s">
        <v>119</v>
      </c>
      <c r="D62" s="21" t="n">
        <f aca="false">SUMIFS('CUSTOS MENSAIS'!$F:$F,'CUSTOS MENSAIS'!$A:$A,A62,'CUSTOS MENSAIS'!$H:$H,F62)</f>
        <v>157287.158118445</v>
      </c>
      <c r="E62" s="21" t="n">
        <f aca="false">IFERROR(D62/IF(B62="Clientes",SUMIFS(PARÂMETROS!$B$8:$B$907,PARÂMETROS!$G$8:$G$907,F62),SUMIFS(PARÂMETROS!$C$8:$C$907,PARÂMETROS!$G$8:$G$907,F62)),0)</f>
        <v>0.807250751212232</v>
      </c>
      <c r="F62" s="11" t="s">
        <v>11</v>
      </c>
      <c r="G62" s="31" t="n">
        <f aca="false">IF(B62="Clientes",SUMIFS(PARÂMETROS!$B$8:$B$907,PARÂMETROS!$G$8:$G$907,F62),SUMIFS(PARÂMETROS!$C$8:$C$907,PARÂMETROS!$G$8:$G$907,F62))</f>
        <v>194843</v>
      </c>
    </row>
    <row r="63" customFormat="false" ht="15" hidden="false" customHeight="true" outlineLevel="0" collapsed="false">
      <c r="A63" s="27" t="s">
        <v>52</v>
      </c>
      <c r="B63" s="28" t="s">
        <v>97</v>
      </c>
      <c r="C63" s="29" t="s">
        <v>120</v>
      </c>
      <c r="D63" s="21" t="n">
        <f aca="false">SUMIFS('CUSTOS MENSAIS'!$F:$F,'CUSTOS MENSAIS'!$A:$A,A63,'CUSTOS MENSAIS'!$H:$H,F63)</f>
        <v>36358.913446</v>
      </c>
      <c r="E63" s="21" t="n">
        <f aca="false">IFERROR(D63/IF(B63="Clientes",SUMIFS(PARÂMETROS!$B$8:$B$907,PARÂMETROS!$G$8:$G$907,F63),SUMIFS(PARÂMETROS!$C$8:$C$907,PARÂMETROS!$G$8:$G$907,F63)),0)</f>
        <v>0.186606208311307</v>
      </c>
      <c r="F63" s="11" t="s">
        <v>11</v>
      </c>
      <c r="G63" s="31" t="n">
        <f aca="false">IF(B63="Clientes",SUMIFS(PARÂMETROS!$B$8:$B$907,PARÂMETROS!$G$8:$G$907,F63),SUMIFS(PARÂMETROS!$C$8:$C$907,PARÂMETROS!$G$8:$G$907,F63))</f>
        <v>194843</v>
      </c>
    </row>
    <row r="64" customFormat="false" ht="15" hidden="false" customHeight="true" outlineLevel="0" collapsed="false">
      <c r="A64" s="27" t="s">
        <v>53</v>
      </c>
      <c r="B64" s="28" t="s">
        <v>97</v>
      </c>
      <c r="C64" s="29" t="s">
        <v>121</v>
      </c>
      <c r="D64" s="21" t="n">
        <f aca="false">SUMIFS('CUSTOS MENSAIS'!$F:$F,'CUSTOS MENSAIS'!$A:$A,A64,'CUSTOS MENSAIS'!$H:$H,F64)</f>
        <v>131632.083886</v>
      </c>
      <c r="E64" s="21" t="n">
        <f aca="false">IFERROR(D64/IF(B64="Clientes",SUMIFS(PARÂMETROS!$B$8:$B$907,PARÂMETROS!$G$8:$G$907,F64),SUMIFS(PARÂMETROS!$C$8:$C$907,PARÂMETROS!$G$8:$G$907,F64)),0)</f>
        <v>0.67558025633972</v>
      </c>
      <c r="F64" s="11" t="s">
        <v>11</v>
      </c>
      <c r="G64" s="31" t="n">
        <f aca="false">IF(B64="Clientes",SUMIFS(PARÂMETROS!$B$8:$B$907,PARÂMETROS!$G$8:$G$907,F64),SUMIFS(PARÂMETROS!$C$8:$C$907,PARÂMETROS!$G$8:$G$907,F64))</f>
        <v>194843</v>
      </c>
    </row>
    <row r="65" customFormat="false" ht="15" hidden="false" customHeight="true" outlineLevel="0" collapsed="false">
      <c r="A65" s="27" t="s">
        <v>54</v>
      </c>
      <c r="B65" s="28" t="s">
        <v>135</v>
      </c>
      <c r="C65" s="29" t="s">
        <v>122</v>
      </c>
      <c r="D65" s="21" t="n">
        <f aca="false">SUMIFS('CUSTOS MENSAIS'!$F:$F,'CUSTOS MENSAIS'!$A:$A,A65,'CUSTOS MENSAIS'!$H:$H,F65)</f>
        <v>144169.76804</v>
      </c>
      <c r="E65" s="21" t="n">
        <f aca="false">IFERROR(D65/G65,0)</f>
        <v>1001.17894472222</v>
      </c>
      <c r="F65" s="11" t="s">
        <v>11</v>
      </c>
      <c r="G65" s="31" t="n">
        <v>144</v>
      </c>
    </row>
    <row r="66" customFormat="false" ht="15" hidden="false" customHeight="true" outlineLevel="0" collapsed="false">
      <c r="A66" s="27" t="s">
        <v>55</v>
      </c>
      <c r="B66" s="28" t="s">
        <v>99</v>
      </c>
      <c r="C66" s="29" t="s">
        <v>123</v>
      </c>
      <c r="D66" s="21" t="n">
        <f aca="false">SUMIFS('CUSTOS MENSAIS'!$F:$F,'CUSTOS MENSAIS'!$A:$A,A66,'CUSTOS MENSAIS'!$H:$H,F66)</f>
        <v>23776.15</v>
      </c>
      <c r="E66" s="21" t="n">
        <f aca="false">IFERROR(D66/IF(B66="Clientes",SUMIFS(PARÂMETROS!$B$8:$B$907,PARÂMETROS!$G$8:$G$907,F66),SUMIFS(PARÂMETROS!$C$8:$C$907,PARÂMETROS!$G$8:$G$907,F66)),0)</f>
        <v>22.6655386081983</v>
      </c>
      <c r="F66" s="11" t="s">
        <v>11</v>
      </c>
      <c r="G66" s="31" t="n">
        <f aca="false">IF(B66="Clientes",SUMIFS(PARÂMETROS!$B$8:$B$907,PARÂMETROS!$G$8:$G$907,F66),SUMIFS(PARÂMETROS!$C$8:$C$907,PARÂMETROS!$G$8:$G$907,F66))</f>
        <v>1049</v>
      </c>
    </row>
    <row r="67" customFormat="false" ht="15" hidden="false" customHeight="true" outlineLevel="0" collapsed="false">
      <c r="A67" s="27" t="s">
        <v>86</v>
      </c>
      <c r="B67" s="28" t="s">
        <v>97</v>
      </c>
      <c r="C67" s="29" t="s">
        <v>124</v>
      </c>
      <c r="D67" s="21" t="n">
        <f aca="false">SUMIFS('CUSTOS MENSAIS'!$F:$F,'CUSTOS MENSAIS'!$A:$A,A67,'CUSTOS MENSAIS'!$H:$H,F67)</f>
        <v>35036.850912</v>
      </c>
      <c r="E67" s="21" t="n">
        <f aca="false">IFERROR(D67/IF(B67="Clientes",SUMIFS(PARÂMETROS!$B$8:$B$907,PARÂMETROS!$G$8:$G$907,F67),SUMIFS(PARÂMETROS!$C$8:$C$907,PARÂMETROS!$G$8:$G$907,F67)),0)</f>
        <v>0.179820937431676</v>
      </c>
      <c r="F67" s="11" t="s">
        <v>11</v>
      </c>
      <c r="G67" s="31" t="n">
        <f aca="false">IF(B67="Clientes",SUMIFS(PARÂMETROS!$B$8:$B$907,PARÂMETROS!$G$8:$G$907,F67),SUMIFS(PARÂMETROS!$C$8:$C$907,PARÂMETROS!$G$8:$G$907,F67))</f>
        <v>194843</v>
      </c>
    </row>
    <row r="68" customFormat="false" ht="15" hidden="false" customHeight="true" outlineLevel="0" collapsed="false">
      <c r="A68" s="27" t="s">
        <v>83</v>
      </c>
      <c r="B68" s="28" t="s">
        <v>97</v>
      </c>
      <c r="C68" s="29" t="s">
        <v>125</v>
      </c>
      <c r="D68" s="21" t="n">
        <f aca="false">SUMIFS('CUSTOS MENSAIS'!$F:$F,'CUSTOS MENSAIS'!$A:$A,A68,'CUSTOS MENSAIS'!$H:$H,F68)</f>
        <v>15607.95</v>
      </c>
      <c r="E68" s="21" t="n">
        <f aca="false">IFERROR(D68/IF(B68="Clientes",SUMIFS(PARÂMETROS!$B$8:$B$907,PARÂMETROS!$G$8:$G$907,F68),SUMIFS(PARÂMETROS!$C$8:$C$907,PARÂMETROS!$G$8:$G$907,F68)),0)</f>
        <v>0.0801052642383868</v>
      </c>
      <c r="F68" s="11" t="s">
        <v>11</v>
      </c>
      <c r="G68" s="31" t="n">
        <f aca="false">IF(B68="Clientes",SUMIFS(PARÂMETROS!$B$8:$B$907,PARÂMETROS!$G$8:$G$907,F68),SUMIFS(PARÂMETROS!$C$8:$C$907,PARÂMETROS!$G$8:$G$907,F68))</f>
        <v>194843</v>
      </c>
    </row>
    <row r="69" customFormat="false" ht="15" hidden="false" customHeight="true" outlineLevel="0" collapsed="false">
      <c r="A69" s="27" t="s">
        <v>85</v>
      </c>
      <c r="B69" s="28" t="s">
        <v>97</v>
      </c>
      <c r="C69" s="29" t="s">
        <v>126</v>
      </c>
      <c r="D69" s="21" t="n">
        <f aca="false">SUMIFS('CUSTOS MENSAIS'!$F:$F,'CUSTOS MENSAIS'!$A:$A,A69,'CUSTOS MENSAIS'!$H:$H,F69)</f>
        <v>57175.1466</v>
      </c>
      <c r="E69" s="21" t="n">
        <f aca="false">IFERROR(D69/IF(B69="Clientes",SUMIFS(PARÂMETROS!$B$8:$B$907,PARÂMETROS!$G$8:$G$907,F69),SUMIFS(PARÂMETROS!$C$8:$C$907,PARÂMETROS!$G$8:$G$907,F69)),0)</f>
        <v>0.293442138542314</v>
      </c>
      <c r="F69" s="11" t="s">
        <v>11</v>
      </c>
      <c r="G69" s="31" t="n">
        <f aca="false">IF(B69="Clientes",SUMIFS(PARÂMETROS!$B$8:$B$907,PARÂMETROS!$G$8:$G$907,F69),SUMIFS(PARÂMETROS!$C$8:$C$907,PARÂMETROS!$G$8:$G$907,F69))</f>
        <v>194843</v>
      </c>
    </row>
    <row r="70" customFormat="false" ht="15" hidden="false" customHeight="true" outlineLevel="0" collapsed="false">
      <c r="A70" s="27" t="s">
        <v>87</v>
      </c>
      <c r="B70" s="28" t="s">
        <v>97</v>
      </c>
      <c r="C70" s="29" t="s">
        <v>127</v>
      </c>
      <c r="D70" s="21" t="n">
        <f aca="false">SUMIFS('CUSTOS MENSAIS'!$F:$F,'CUSTOS MENSAIS'!$A:$A,A70,'CUSTOS MENSAIS'!$H:$H,F70)</f>
        <v>32275.312921</v>
      </c>
      <c r="E70" s="21" t="n">
        <f aca="false">IFERROR(D70/IF(B70="Clientes",SUMIFS(PARÂMETROS!$B$8:$B$907,PARÂMETROS!$G$8:$G$907,F70),SUMIFS(PARÂMETROS!$C$8:$C$907,PARÂMETROS!$G$8:$G$907,F70)),0)</f>
        <v>0.165647792946116</v>
      </c>
      <c r="F70" s="11" t="s">
        <v>11</v>
      </c>
      <c r="G70" s="31" t="n">
        <f aca="false">IF(B70="Clientes",SUMIFS(PARÂMETROS!$B$8:$B$907,PARÂMETROS!$G$8:$G$907,F70),SUMIFS(PARÂMETROS!$C$8:$C$907,PARÂMETROS!$G$8:$G$907,F70))</f>
        <v>194843</v>
      </c>
    </row>
    <row r="71" customFormat="false" ht="15" hidden="false" customHeight="true" outlineLevel="0" collapsed="false">
      <c r="A71" s="27" t="s">
        <v>78</v>
      </c>
      <c r="B71" s="28" t="s">
        <v>97</v>
      </c>
      <c r="C71" s="29" t="s">
        <v>128</v>
      </c>
      <c r="D71" s="21" t="n">
        <f aca="false">SUMIFS('CUSTOS MENSAIS'!$F:$F,'CUSTOS MENSAIS'!$A:$A,A71,'CUSTOS MENSAIS'!$H:$H,F71)</f>
        <v>94565.1315</v>
      </c>
      <c r="E71" s="21" t="n">
        <f aca="false">IFERROR(D71/IF(B71="Clientes",SUMIFS(PARÂMETROS!$B$8:$B$907,PARÂMETROS!$G$8:$G$907,F71),SUMIFS(PARÂMETROS!$C$8:$C$907,PARÂMETROS!$G$8:$G$907,F71)),0)</f>
        <v>0.485340153354239</v>
      </c>
      <c r="F71" s="11" t="s">
        <v>11</v>
      </c>
      <c r="G71" s="31" t="n">
        <f aca="false">IF(B71="Clientes",SUMIFS(PARÂMETROS!$B$8:$B$907,PARÂMETROS!$G$8:$G$907,F71),SUMIFS(PARÂMETROS!$C$8:$C$907,PARÂMETROS!$G$8:$G$907,F71))</f>
        <v>194843</v>
      </c>
    </row>
    <row r="72" customFormat="false" ht="15" hidden="false" customHeight="true" outlineLevel="0" collapsed="false">
      <c r="A72" s="27" t="s">
        <v>81</v>
      </c>
      <c r="B72" s="28" t="s">
        <v>97</v>
      </c>
      <c r="C72" s="29" t="s">
        <v>129</v>
      </c>
      <c r="D72" s="21" t="n">
        <f aca="false">SUMIFS('CUSTOS MENSAIS'!$F:$F,'CUSTOS MENSAIS'!$A:$A,A72,'CUSTOS MENSAIS'!$H:$H,F72)</f>
        <v>13388.392728</v>
      </c>
      <c r="E72" s="21" t="n">
        <f aca="false">IFERROR(D72/IF(B72="Clientes",SUMIFS(PARÂMETROS!$B$8:$B$907,PARÂMETROS!$G$8:$G$907,F72),SUMIFS(PARÂMETROS!$C$8:$C$907,PARÂMETROS!$G$8:$G$907,F72)),0)</f>
        <v>0.0687137476224447</v>
      </c>
      <c r="F72" s="11" t="s">
        <v>11</v>
      </c>
      <c r="G72" s="31" t="n">
        <f aca="false">IF(B72="Clientes",SUMIFS(PARÂMETROS!$B$8:$B$907,PARÂMETROS!$G$8:$G$907,F72),SUMIFS(PARÂMETROS!$C$8:$C$907,PARÂMETROS!$G$8:$G$907,F72))</f>
        <v>194843</v>
      </c>
    </row>
    <row r="73" customFormat="false" ht="14.25" hidden="false" customHeight="true" outlineLevel="0" collapsed="false">
      <c r="A73" s="27" t="s">
        <v>84</v>
      </c>
      <c r="B73" s="28" t="s">
        <v>97</v>
      </c>
      <c r="C73" s="29" t="s">
        <v>130</v>
      </c>
      <c r="D73" s="21" t="n">
        <f aca="false">SUMIFS('CUSTOS MENSAIS'!$F:$F,'CUSTOS MENSAIS'!$A:$A,A73,'CUSTOS MENSAIS'!$H:$H,F73)</f>
        <v>161884.54</v>
      </c>
      <c r="E73" s="21" t="n">
        <f aca="false">IFERROR(D73/IF(B73="Clientes",SUMIFS(PARÂMETROS!$B$8:$B$907,PARÂMETROS!$G$8:$G$907,F73),SUMIFS(PARÂMETROS!$C$8:$C$907,PARÂMETROS!$G$8:$G$907,F73)),0)</f>
        <v>0.830846065806829</v>
      </c>
      <c r="F73" s="11" t="s">
        <v>11</v>
      </c>
      <c r="G73" s="31" t="n">
        <f aca="false">IF(B73="Clientes",SUMIFS(PARÂMETROS!$B$8:$B$907,PARÂMETROS!$G$8:$G$907,F73),SUMIFS(PARÂMETROS!$C$8:$C$907,PARÂMETROS!$G$8:$G$907,F73))</f>
        <v>194843</v>
      </c>
    </row>
    <row r="74" customFormat="false" ht="15" hidden="false" customHeight="true" outlineLevel="0" collapsed="false">
      <c r="A74" s="27" t="s">
        <v>82</v>
      </c>
      <c r="B74" s="28" t="s">
        <v>97</v>
      </c>
      <c r="C74" s="29" t="s">
        <v>131</v>
      </c>
      <c r="D74" s="21" t="n">
        <f aca="false">SUMIFS('CUSTOS MENSAIS'!$F:$F,'CUSTOS MENSAIS'!$A:$A,A74,'CUSTOS MENSAIS'!$H:$H,F74)</f>
        <v>106133.77</v>
      </c>
      <c r="E74" s="21" t="n">
        <f aca="false">IFERROR(D74/IF(B74="Clientes",SUMIFS(PARÂMETROS!$B$8:$B$907,PARÂMETROS!$G$8:$G$907,F74),SUMIFS(PARÂMETROS!$C$8:$C$907,PARÂMETROS!$G$8:$G$907,F74)),0)</f>
        <v>0.544714308443208</v>
      </c>
      <c r="F74" s="11" t="s">
        <v>11</v>
      </c>
      <c r="G74" s="31" t="n">
        <f aca="false">IF(B74="Clientes",SUMIFS(PARÂMETROS!$B$8:$B$907,PARÂMETROS!$G$8:$G$907,F74),SUMIFS(PARÂMETROS!$C$8:$C$907,PARÂMETROS!$G$8:$G$907,F74))</f>
        <v>194843</v>
      </c>
    </row>
    <row r="75" customFormat="false" ht="15" hidden="false" customHeight="true" outlineLevel="0" collapsed="false">
      <c r="A75" s="27" t="s">
        <v>80</v>
      </c>
      <c r="B75" s="28" t="s">
        <v>97</v>
      </c>
      <c r="C75" s="29" t="s">
        <v>132</v>
      </c>
      <c r="D75" s="21" t="n">
        <f aca="false">SUMIFS('CUSTOS MENSAIS'!$F:$F,'CUSTOS MENSAIS'!$A:$A,A75,'CUSTOS MENSAIS'!$H:$H,F75)</f>
        <v>29374.965692</v>
      </c>
      <c r="E75" s="21" t="n">
        <f aca="false">IFERROR(D75/IF(B75="Clientes",SUMIFS(PARÂMETROS!$B$8:$B$907,PARÂMETROS!$G$8:$G$907,F75),SUMIFS(PARÂMETROS!$C$8:$C$907,PARÂMETROS!$G$8:$G$907,F75)),0)</f>
        <v>0.150762232628321</v>
      </c>
      <c r="F75" s="11" t="s">
        <v>11</v>
      </c>
      <c r="G75" s="31" t="n">
        <f aca="false">IF(B75="Clientes",SUMIFS(PARÂMETROS!$B$8:$B$907,PARÂMETROS!$G$8:$G$907,F75),SUMIFS(PARÂMETROS!$C$8:$C$907,PARÂMETROS!$G$8:$G$907,F75))</f>
        <v>194843</v>
      </c>
    </row>
    <row r="76" customFormat="false" ht="15" hidden="false" customHeight="true" outlineLevel="0" collapsed="false">
      <c r="A76" s="27" t="s">
        <v>79</v>
      </c>
      <c r="B76" s="28" t="s">
        <v>99</v>
      </c>
      <c r="C76" s="29" t="s">
        <v>133</v>
      </c>
      <c r="D76" s="21" t="n">
        <f aca="false">SUMIFS('CUSTOS MENSAIS'!$F:$F,'CUSTOS MENSAIS'!$A:$A,A76,'CUSTOS MENSAIS'!$H:$H,F76)</f>
        <v>46935.8807</v>
      </c>
      <c r="E76" s="21" t="n">
        <f aca="false">IFERROR(D76/IF(B76="Clientes",SUMIFS(PARÂMETROS!$B$8:$B$907,PARÂMETROS!$G$8:$G$907,F76),SUMIFS(PARÂMETROS!$C$8:$C$907,PARÂMETROS!$G$8:$G$907,F76)),0)</f>
        <v>44.7434515729266</v>
      </c>
      <c r="F76" s="11" t="s">
        <v>11</v>
      </c>
      <c r="G76" s="31" t="n">
        <f aca="false">IF(B76="Clientes",SUMIFS(PARÂMETROS!$B$8:$B$907,PARÂMETROS!$G$8:$G$907,F76),SUMIFS(PARÂMETROS!$C$8:$C$907,PARÂMETROS!$G$8:$G$907,F76))</f>
        <v>1049</v>
      </c>
    </row>
    <row r="77" customFormat="false" ht="15" hidden="false" customHeight="true" outlineLevel="0" collapsed="false">
      <c r="A77" s="17" t="s">
        <v>136</v>
      </c>
      <c r="B77" s="32"/>
      <c r="C77" s="33"/>
      <c r="D77" s="34" t="n">
        <f aca="false">SUMIFS('CUSTOS MENSAIS'!$F:$F,'CUSTOS MENSAIS'!$A:$A,A77,'CUSTOS MENSAIS'!$H:$H,F77)</f>
        <v>0</v>
      </c>
      <c r="E77" s="34" t="n">
        <f aca="false">IFERROR(D77/IF(B77="Clientes",SUMIFS(PARÂMETROS!$B$8:$B$907,PARÂMETROS!$G$8:$G$907,F77),SUMIFS(PARÂMETROS!$C$8:$C$907,PARÂMETROS!$G$8:$G$907,F77)),0)</f>
        <v>0</v>
      </c>
      <c r="F77" s="32"/>
      <c r="G77" s="35" t="n">
        <f aca="false">IF(B77="Clientes",SUMIFS(PARÂMETROS!$B$8:$B$907,PARÂMETROS!$G$8:$G$907,F77),SUMIFS(PARÂMETROS!$C$8:$C$907,PARÂMETROS!$G$8:$G$907,F77))</f>
        <v>0</v>
      </c>
    </row>
    <row r="78" customFormat="false" ht="15" hidden="false" customHeight="true" outlineLevel="0" collapsed="false">
      <c r="A78" s="27" t="s">
        <v>31</v>
      </c>
      <c r="B78" s="28" t="s">
        <v>97</v>
      </c>
      <c r="C78" s="29" t="s">
        <v>98</v>
      </c>
      <c r="D78" s="21" t="n">
        <f aca="false">SUMIFS('CUSTOS MENSAIS'!$F:$F,'CUSTOS MENSAIS'!$A:$A,A78,'CUSTOS MENSAIS'!$H:$H,F78)</f>
        <v>74925.2562</v>
      </c>
      <c r="E78" s="21" t="n">
        <f aca="false">IFERROR(D78/IF(B78="Clientes",SUMIFS(PARÂMETROS!$B$8:$B$907,PARÂMETROS!$G$8:$G$907,F78),SUMIFS(PARÂMETROS!$C$8:$C$907,PARÂMETROS!$G$8:$G$907,F78)),0)</f>
        <v>0.371854108620236</v>
      </c>
      <c r="F78" s="11" t="s">
        <v>21</v>
      </c>
      <c r="G78" s="31" t="n">
        <f aca="false">IF(B78="Clientes",SUMIFS(PARÂMETROS!$B$8:$B$907,PARÂMETROS!$G$8:$G$907,F78),SUMIFS(PARÂMETROS!$C$8:$C$907,PARÂMETROS!$G$8:$G$907,F78))</f>
        <v>201491</v>
      </c>
    </row>
    <row r="79" customFormat="false" ht="15" hidden="false" customHeight="true" outlineLevel="0" collapsed="false">
      <c r="A79" s="27" t="s">
        <v>32</v>
      </c>
      <c r="B79" s="28" t="s">
        <v>99</v>
      </c>
      <c r="C79" s="29" t="s">
        <v>100</v>
      </c>
      <c r="D79" s="21" t="n">
        <f aca="false">SUMIFS('CUSTOS MENSAIS'!$F:$F,'CUSTOS MENSAIS'!$A:$A,A79,'CUSTOS MENSAIS'!$H:$H,F79)</f>
        <v>38844.825852</v>
      </c>
      <c r="E79" s="21" t="n">
        <f aca="false">IFERROR(D79/IF(B79="Clientes",SUMIFS(PARÂMETROS!$B$8:$B$907,PARÂMETROS!$G$8:$G$907,F79),SUMIFS(PARÂMETROS!$C$8:$C$907,PARÂMETROS!$G$8:$G$907,F79)),0)</f>
        <v>35.6374549100918</v>
      </c>
      <c r="F79" s="11" t="s">
        <v>21</v>
      </c>
      <c r="G79" s="31" t="n">
        <f aca="false">IF(B79="Clientes",SUMIFS(PARÂMETROS!$B$8:$B$907,PARÂMETROS!$G$8:$G$907,F79),SUMIFS(PARÂMETROS!$C$8:$C$907,PARÂMETROS!$G$8:$G$907,F79))</f>
        <v>1090</v>
      </c>
    </row>
    <row r="80" customFormat="false" ht="15" hidden="false" customHeight="true" outlineLevel="0" collapsed="false">
      <c r="A80" s="27" t="s">
        <v>33</v>
      </c>
      <c r="B80" s="28" t="s">
        <v>99</v>
      </c>
      <c r="C80" s="29" t="s">
        <v>101</v>
      </c>
      <c r="D80" s="21" t="n">
        <f aca="false">SUMIFS('CUSTOS MENSAIS'!$F:$F,'CUSTOS MENSAIS'!$A:$A,A80,'CUSTOS MENSAIS'!$H:$H,F80)</f>
        <v>57153.8507</v>
      </c>
      <c r="E80" s="21" t="n">
        <f aca="false">IFERROR(D80/IF(B80="Clientes",SUMIFS(PARÂMETROS!$B$8:$B$907,PARÂMETROS!$G$8:$G$907,F80),SUMIFS(PARÂMETROS!$C$8:$C$907,PARÂMETROS!$G$8:$G$907,F80)),0)</f>
        <v>52.434725412844</v>
      </c>
      <c r="F80" s="11" t="s">
        <v>21</v>
      </c>
      <c r="G80" s="31" t="n">
        <f aca="false">IF(B80="Clientes",SUMIFS(PARÂMETROS!$B$8:$B$907,PARÂMETROS!$G$8:$G$907,F80),SUMIFS(PARÂMETROS!$C$8:$C$907,PARÂMETROS!$G$8:$G$907,F80))</f>
        <v>1090</v>
      </c>
    </row>
    <row r="81" customFormat="false" ht="15" hidden="false" customHeight="true" outlineLevel="0" collapsed="false">
      <c r="A81" s="27" t="s">
        <v>34</v>
      </c>
      <c r="B81" s="28" t="s">
        <v>97</v>
      </c>
      <c r="C81" s="29" t="s">
        <v>102</v>
      </c>
      <c r="D81" s="21" t="n">
        <f aca="false">SUMIFS('CUSTOS MENSAIS'!$F:$F,'CUSTOS MENSAIS'!$A:$A,A81,'CUSTOS MENSAIS'!$H:$H,F81)</f>
        <v>45092.662152</v>
      </c>
      <c r="E81" s="21" t="n">
        <f aca="false">IFERROR(D81/IF(B81="Clientes",SUMIFS(PARÂMETROS!$B$8:$B$907,PARÂMETROS!$G$8:$G$907,F81),SUMIFS(PARÂMETROS!$C$8:$C$907,PARÂMETROS!$G$8:$G$907,F81)),0)</f>
        <v>0.223794919634128</v>
      </c>
      <c r="F81" s="11" t="s">
        <v>21</v>
      </c>
      <c r="G81" s="31" t="n">
        <f aca="false">IF(B81="Clientes",SUMIFS(PARÂMETROS!$B$8:$B$907,PARÂMETROS!$G$8:$G$907,F81),SUMIFS(PARÂMETROS!$C$8:$C$907,PARÂMETROS!$G$8:$G$907,F81))</f>
        <v>201491</v>
      </c>
    </row>
    <row r="82" customFormat="false" ht="15" hidden="false" customHeight="true" outlineLevel="0" collapsed="false">
      <c r="A82" s="27" t="s">
        <v>35</v>
      </c>
      <c r="B82" s="28" t="s">
        <v>97</v>
      </c>
      <c r="C82" s="29" t="s">
        <v>103</v>
      </c>
      <c r="D82" s="21" t="n">
        <f aca="false">SUMIFS('CUSTOS MENSAIS'!$F:$F,'CUSTOS MENSAIS'!$A:$A,A82,'CUSTOS MENSAIS'!$H:$H,F82)</f>
        <v>11204.9218</v>
      </c>
      <c r="E82" s="21" t="n">
        <f aca="false">IFERROR(D82/IF(B82="Clientes",SUMIFS(PARÂMETROS!$B$8:$B$907,PARÂMETROS!$G$8:$G$907,F82),SUMIFS(PARÂMETROS!$C$8:$C$907,PARÂMETROS!$G$8:$G$907,F82)),0)</f>
        <v>0.055610036180276</v>
      </c>
      <c r="F82" s="11" t="s">
        <v>21</v>
      </c>
      <c r="G82" s="31" t="n">
        <f aca="false">IF(B82="Clientes",SUMIFS(PARÂMETROS!$B$8:$B$907,PARÂMETROS!$G$8:$G$907,F82),SUMIFS(PARÂMETROS!$C$8:$C$907,PARÂMETROS!$G$8:$G$907,F82))</f>
        <v>201491</v>
      </c>
    </row>
    <row r="83" customFormat="false" ht="15" hidden="false" customHeight="true" outlineLevel="0" collapsed="false">
      <c r="A83" s="27" t="s">
        <v>36</v>
      </c>
      <c r="B83" s="28" t="s">
        <v>97</v>
      </c>
      <c r="C83" s="29" t="s">
        <v>104</v>
      </c>
      <c r="D83" s="21" t="n">
        <f aca="false">SUMIFS('CUSTOS MENSAIS'!$F:$F,'CUSTOS MENSAIS'!$A:$A,A83,'CUSTOS MENSAIS'!$H:$H,F83)</f>
        <v>75309.6884</v>
      </c>
      <c r="E83" s="21" t="n">
        <f aca="false">IFERROR(D83/IF(B83="Clientes",SUMIFS(PARÂMETROS!$B$8:$B$907,PARÂMETROS!$G$8:$G$907,F83),SUMIFS(PARÂMETROS!$C$8:$C$907,PARÂMETROS!$G$8:$G$907,F83)),0)</f>
        <v>0.373762045947462</v>
      </c>
      <c r="F83" s="11" t="s">
        <v>21</v>
      </c>
      <c r="G83" s="31" t="n">
        <f aca="false">IF(B83="Clientes",SUMIFS(PARÂMETROS!$B$8:$B$907,PARÂMETROS!$G$8:$G$907,F83),SUMIFS(PARÂMETROS!$C$8:$C$907,PARÂMETROS!$G$8:$G$907,F83))</f>
        <v>201491</v>
      </c>
    </row>
    <row r="84" customFormat="false" ht="15" hidden="false" customHeight="true" outlineLevel="0" collapsed="false">
      <c r="A84" s="27" t="s">
        <v>37</v>
      </c>
      <c r="B84" s="28" t="s">
        <v>97</v>
      </c>
      <c r="C84" s="29" t="s">
        <v>105</v>
      </c>
      <c r="D84" s="21" t="n">
        <f aca="false">SUMIFS('CUSTOS MENSAIS'!$F:$F,'CUSTOS MENSAIS'!$A:$A,A84,'CUSTOS MENSAIS'!$H:$H,F84)</f>
        <v>162494.876084</v>
      </c>
      <c r="E84" s="21" t="n">
        <f aca="false">IFERROR(D84/IF(B84="Clientes",SUMIFS(PARÂMETROS!$B$8:$B$907,PARÂMETROS!$G$8:$G$907,F84),SUMIFS(PARÂMETROS!$C$8:$C$907,PARÂMETROS!$G$8:$G$907,F84)),0)</f>
        <v>0.80646220468408</v>
      </c>
      <c r="F84" s="11" t="s">
        <v>21</v>
      </c>
      <c r="G84" s="31" t="n">
        <f aca="false">IF(B84="Clientes",SUMIFS(PARÂMETROS!$B$8:$B$907,PARÂMETROS!$G$8:$G$907,F84),SUMIFS(PARÂMETROS!$C$8:$C$907,PARÂMETROS!$G$8:$G$907,F84))</f>
        <v>201491</v>
      </c>
    </row>
    <row r="85" customFormat="false" ht="14.25" hidden="false" customHeight="true" outlineLevel="0" collapsed="false">
      <c r="A85" s="27" t="s">
        <v>38</v>
      </c>
      <c r="B85" s="28" t="s">
        <v>97</v>
      </c>
      <c r="C85" s="29" t="s">
        <v>106</v>
      </c>
      <c r="D85" s="21" t="n">
        <f aca="false">SUMIFS('CUSTOS MENSAIS'!$F:$F,'CUSTOS MENSAIS'!$A:$A,A85,'CUSTOS MENSAIS'!$H:$H,F85)</f>
        <v>43123.897386</v>
      </c>
      <c r="E85" s="21" t="n">
        <f aca="false">IFERROR(D85/IF(B85="Clientes",SUMIFS(PARÂMETROS!$B$8:$B$907,PARÂMETROS!$G$8:$G$907,F85),SUMIFS(PARÂMETROS!$C$8:$C$907,PARÂMETROS!$G$8:$G$907,F85)),0)</f>
        <v>0.214023938468716</v>
      </c>
      <c r="F85" s="11" t="s">
        <v>21</v>
      </c>
      <c r="G85" s="31" t="n">
        <f aca="false">IF(B85="Clientes",SUMIFS(PARÂMETROS!$B$8:$B$907,PARÂMETROS!$G$8:$G$907,F85),SUMIFS(PARÂMETROS!$C$8:$C$907,PARÂMETROS!$G$8:$G$907,F85))</f>
        <v>201491</v>
      </c>
    </row>
    <row r="86" customFormat="false" ht="14.25" hidden="false" customHeight="true" outlineLevel="0" collapsed="false">
      <c r="A86" s="27" t="s">
        <v>39</v>
      </c>
      <c r="B86" s="28" t="s">
        <v>97</v>
      </c>
      <c r="C86" s="29" t="s">
        <v>107</v>
      </c>
      <c r="D86" s="21" t="n">
        <f aca="false">SUMIFS('CUSTOS MENSAIS'!$F:$F,'CUSTOS MENSAIS'!$A:$A,A86,'CUSTOS MENSAIS'!$H:$H,F86)</f>
        <v>52493.491479</v>
      </c>
      <c r="E86" s="21" t="n">
        <f aca="false">IFERROR(D86/IF(B86="Clientes",SUMIFS(PARÂMETROS!$B$8:$B$907,PARÂMETROS!$G$8:$G$907,F86),SUMIFS(PARÂMETROS!$C$8:$C$907,PARÂMETROS!$G$8:$G$907,F86)),0)</f>
        <v>0.260525241717992</v>
      </c>
      <c r="F86" s="11" t="s">
        <v>21</v>
      </c>
      <c r="G86" s="31" t="n">
        <f aca="false">IF(B86="Clientes",SUMIFS(PARÂMETROS!$B$8:$B$907,PARÂMETROS!$G$8:$G$907,F86),SUMIFS(PARÂMETROS!$C$8:$C$907,PARÂMETROS!$G$8:$G$907,F86))</f>
        <v>201491</v>
      </c>
    </row>
    <row r="87" customFormat="false" ht="14.25" hidden="false" customHeight="true" outlineLevel="0" collapsed="false">
      <c r="A87" s="27" t="s">
        <v>40</v>
      </c>
      <c r="B87" s="28" t="s">
        <v>97</v>
      </c>
      <c r="C87" s="29" t="s">
        <v>108</v>
      </c>
      <c r="D87" s="21" t="n">
        <f aca="false">SUMIFS('CUSTOS MENSAIS'!$F:$F,'CUSTOS MENSAIS'!$A:$A,A87,'CUSTOS MENSAIS'!$H:$H,F87)</f>
        <v>36743.58816</v>
      </c>
      <c r="E87" s="21" t="n">
        <f aca="false">IFERROR(D87/IF(B87="Clientes",SUMIFS(PARÂMETROS!$B$8:$B$907,PARÂMETROS!$G$8:$G$907,F87),SUMIFS(PARÂMETROS!$C$8:$C$907,PARÂMETROS!$G$8:$G$907,F87)),0)</f>
        <v>0.182358458491943</v>
      </c>
      <c r="F87" s="11" t="s">
        <v>21</v>
      </c>
      <c r="G87" s="31" t="n">
        <f aca="false">IF(B87="Clientes",SUMIFS(PARÂMETROS!$B$8:$B$907,PARÂMETROS!$G$8:$G$907,F87),SUMIFS(PARÂMETROS!$C$8:$C$907,PARÂMETROS!$G$8:$G$907,F87))</f>
        <v>201491</v>
      </c>
    </row>
    <row r="88" customFormat="false" ht="14.25" hidden="false" customHeight="true" outlineLevel="0" collapsed="false">
      <c r="A88" s="27" t="s">
        <v>41</v>
      </c>
      <c r="B88" s="28" t="s">
        <v>97</v>
      </c>
      <c r="C88" s="29" t="s">
        <v>109</v>
      </c>
      <c r="D88" s="21" t="n">
        <f aca="false">SUMIFS('CUSTOS MENSAIS'!$F:$F,'CUSTOS MENSAIS'!$A:$A,A88,'CUSTOS MENSAIS'!$H:$H,F88)</f>
        <v>20096.857592</v>
      </c>
      <c r="E88" s="21" t="n">
        <f aca="false">IFERROR(D88/IF(B88="Clientes",SUMIFS(PARÂMETROS!$B$8:$B$907,PARÂMETROS!$G$8:$G$907,F88),SUMIFS(PARÂMETROS!$C$8:$C$907,PARÂMETROS!$G$8:$G$907,F88)),0)</f>
        <v>0.0997407208857964</v>
      </c>
      <c r="F88" s="11" t="s">
        <v>21</v>
      </c>
      <c r="G88" s="31" t="n">
        <f aca="false">IF(B88="Clientes",SUMIFS(PARÂMETROS!$B$8:$B$907,PARÂMETROS!$G$8:$G$907,F88),SUMIFS(PARÂMETROS!$C$8:$C$907,PARÂMETROS!$G$8:$G$907,F88))</f>
        <v>201491</v>
      </c>
    </row>
    <row r="89" customFormat="false" ht="14.25" hidden="false" customHeight="true" outlineLevel="0" collapsed="false">
      <c r="A89" s="27" t="s">
        <v>42</v>
      </c>
      <c r="B89" s="28" t="s">
        <v>97</v>
      </c>
      <c r="C89" s="29" t="s">
        <v>110</v>
      </c>
      <c r="D89" s="21" t="n">
        <f aca="false">SUMIFS('CUSTOS MENSAIS'!$F:$F,'CUSTOS MENSAIS'!$A:$A,A89,'CUSTOS MENSAIS'!$H:$H,F89)</f>
        <v>27599.8786617778</v>
      </c>
      <c r="E89" s="21" t="n">
        <f aca="false">IFERROR(D89/IF(B89="Clientes",SUMIFS(PARÂMETROS!$B$8:$B$907,PARÂMETROS!$G$8:$G$907,F89),SUMIFS(PARÂMETROS!$C$8:$C$907,PARÂMETROS!$G$8:$G$907,F89)),0)</f>
        <v>0.136978220673766</v>
      </c>
      <c r="F89" s="11" t="s">
        <v>21</v>
      </c>
      <c r="G89" s="31" t="n">
        <f aca="false">IF(B89="Clientes",SUMIFS(PARÂMETROS!$B$8:$B$907,PARÂMETROS!$G$8:$G$907,F89),SUMIFS(PARÂMETROS!$C$8:$C$907,PARÂMETROS!$G$8:$G$907,F89))</f>
        <v>201491</v>
      </c>
    </row>
    <row r="90" customFormat="false" ht="14.25" hidden="false" customHeight="true" outlineLevel="0" collapsed="false">
      <c r="A90" s="27" t="s">
        <v>43</v>
      </c>
      <c r="B90" s="28" t="s">
        <v>97</v>
      </c>
      <c r="C90" s="29" t="s">
        <v>111</v>
      </c>
      <c r="D90" s="21" t="n">
        <f aca="false">SUMIFS('CUSTOS MENSAIS'!$F:$F,'CUSTOS MENSAIS'!$A:$A,A90,'CUSTOS MENSAIS'!$H:$H,F90)</f>
        <v>27878.5445</v>
      </c>
      <c r="E90" s="21" t="n">
        <f aca="false">IFERROR(D90/IF(B90="Clientes",SUMIFS(PARÂMETROS!$B$8:$B$907,PARÂMETROS!$G$8:$G$907,F90),SUMIFS(PARÂMETROS!$C$8:$C$907,PARÂMETROS!$G$8:$G$907,F90)),0)</f>
        <v>0.138361239459827</v>
      </c>
      <c r="F90" s="11" t="s">
        <v>21</v>
      </c>
      <c r="G90" s="31" t="n">
        <f aca="false">IF(B90="Clientes",SUMIFS(PARÂMETROS!$B$8:$B$907,PARÂMETROS!$G$8:$G$907,F90),SUMIFS(PARÂMETROS!$C$8:$C$907,PARÂMETROS!$G$8:$G$907,F90))</f>
        <v>201491</v>
      </c>
    </row>
    <row r="91" customFormat="false" ht="14.25" hidden="false" customHeight="true" outlineLevel="0" collapsed="false">
      <c r="A91" s="27" t="s">
        <v>44</v>
      </c>
      <c r="B91" s="28" t="s">
        <v>99</v>
      </c>
      <c r="C91" s="29" t="s">
        <v>112</v>
      </c>
      <c r="D91" s="21" t="n">
        <f aca="false">SUMIFS('CUSTOS MENSAIS'!$F:$F,'CUSTOS MENSAIS'!$A:$A,A91,'CUSTOS MENSAIS'!$H:$H,F91)</f>
        <v>65390.0961</v>
      </c>
      <c r="E91" s="21" t="n">
        <f aca="false">IFERROR(D91/IF(B91="Clientes",SUMIFS(PARÂMETROS!$B$8:$B$907,PARÂMETROS!$G$8:$G$907,F91),SUMIFS(PARÂMETROS!$C$8:$C$907,PARÂMETROS!$G$8:$G$907,F91)),0)</f>
        <v>59.990913853211</v>
      </c>
      <c r="F91" s="11" t="s">
        <v>21</v>
      </c>
      <c r="G91" s="31" t="n">
        <f aca="false">IF(B91="Clientes",SUMIFS(PARÂMETROS!$B$8:$B$907,PARÂMETROS!$G$8:$G$907,F91),SUMIFS(PARÂMETROS!$C$8:$C$907,PARÂMETROS!$G$8:$G$907,F91))</f>
        <v>1090</v>
      </c>
    </row>
    <row r="92" customFormat="false" ht="14.25" hidden="false" customHeight="true" outlineLevel="0" collapsed="false">
      <c r="A92" s="27" t="s">
        <v>45</v>
      </c>
      <c r="B92" s="28" t="s">
        <v>97</v>
      </c>
      <c r="C92" s="29" t="s">
        <v>113</v>
      </c>
      <c r="D92" s="21" t="n">
        <f aca="false">SUMIFS('CUSTOS MENSAIS'!$F:$F,'CUSTOS MENSAIS'!$A:$A,A92,'CUSTOS MENSAIS'!$H:$H,F92)</f>
        <v>89451.289</v>
      </c>
      <c r="E92" s="21" t="n">
        <f aca="false">IFERROR(D92/IF(B92="Clientes",SUMIFS(PARÂMETROS!$B$8:$B$907,PARÂMETROS!$G$8:$G$907,F92),SUMIFS(PARÂMETROS!$C$8:$C$907,PARÂMETROS!$G$8:$G$907,F92)),0)</f>
        <v>0.443946821446119</v>
      </c>
      <c r="F92" s="11" t="s">
        <v>21</v>
      </c>
      <c r="G92" s="31" t="n">
        <f aca="false">IF(B92="Clientes",SUMIFS(PARÂMETROS!$B$8:$B$907,PARÂMETROS!$G$8:$G$907,F92),SUMIFS(PARÂMETROS!$C$8:$C$907,PARÂMETROS!$G$8:$G$907,F92))</f>
        <v>201491</v>
      </c>
    </row>
    <row r="93" customFormat="false" ht="14.25" hidden="false" customHeight="true" outlineLevel="0" collapsed="false">
      <c r="A93" s="27" t="s">
        <v>46</v>
      </c>
      <c r="B93" s="28" t="s">
        <v>97</v>
      </c>
      <c r="C93" s="29" t="s">
        <v>114</v>
      </c>
      <c r="D93" s="21" t="n">
        <f aca="false">SUMIFS('CUSTOS MENSAIS'!$F:$F,'CUSTOS MENSAIS'!$A:$A,A93,'CUSTOS MENSAIS'!$H:$H,F93)</f>
        <v>182531.94</v>
      </c>
      <c r="E93" s="21" t="n">
        <f aca="false">IFERROR(D93/IF(B93="Clientes",SUMIFS(PARÂMETROS!$B$8:$B$907,PARÂMETROS!$G$8:$G$907,F93),SUMIFS(PARÂMETROS!$C$8:$C$907,PARÂMETROS!$G$8:$G$907,F93)),0)</f>
        <v>0.90590616950633</v>
      </c>
      <c r="F93" s="11" t="s">
        <v>21</v>
      </c>
      <c r="G93" s="31" t="n">
        <f aca="false">IF(B93="Clientes",SUMIFS(PARÂMETROS!$B$8:$B$907,PARÂMETROS!$G$8:$G$907,F93),SUMIFS(PARÂMETROS!$C$8:$C$907,PARÂMETROS!$G$8:$G$907,F93))</f>
        <v>201491</v>
      </c>
    </row>
    <row r="94" customFormat="false" ht="14.25" hidden="false" customHeight="true" outlineLevel="0" collapsed="false">
      <c r="A94" s="27" t="s">
        <v>47</v>
      </c>
      <c r="B94" s="28" t="s">
        <v>97</v>
      </c>
      <c r="C94" s="29" t="s">
        <v>115</v>
      </c>
      <c r="D94" s="21" t="n">
        <f aca="false">SUMIFS('CUSTOS MENSAIS'!$F:$F,'CUSTOS MENSAIS'!$A:$A,A94,'CUSTOS MENSAIS'!$H:$H,F94)</f>
        <v>120124.91</v>
      </c>
      <c r="E94" s="21" t="n">
        <f aca="false">IFERROR(D94/IF(B94="Clientes",SUMIFS(PARÂMETROS!$B$8:$B$907,PARÂMETROS!$G$8:$G$907,F94),SUMIFS(PARÂMETROS!$C$8:$C$907,PARÂMETROS!$G$8:$G$907,F94)),0)</f>
        <v>0.596180027892065</v>
      </c>
      <c r="F94" s="11" t="s">
        <v>21</v>
      </c>
      <c r="G94" s="31" t="n">
        <f aca="false">IF(B94="Clientes",SUMIFS(PARÂMETROS!$B$8:$B$907,PARÂMETROS!$G$8:$G$907,F94),SUMIFS(PARÂMETROS!$C$8:$C$907,PARÂMETROS!$G$8:$G$907,F94))</f>
        <v>201491</v>
      </c>
    </row>
    <row r="95" customFormat="false" ht="14.25" hidden="false" customHeight="true" outlineLevel="0" collapsed="false">
      <c r="A95" s="27" t="s">
        <v>48</v>
      </c>
      <c r="B95" s="28" t="s">
        <v>97</v>
      </c>
      <c r="C95" s="29" t="s">
        <v>116</v>
      </c>
      <c r="D95" s="21" t="n">
        <f aca="false">SUMIFS('CUSTOS MENSAIS'!$F:$F,'CUSTOS MENSAIS'!$A:$A,A95,'CUSTOS MENSAIS'!$H:$H,F95)</f>
        <v>143777.077562</v>
      </c>
      <c r="E95" s="21" t="n">
        <f aca="false">IFERROR(D95/IF(B95="Clientes",SUMIFS(PARÂMETROS!$B$8:$B$907,PARÂMETROS!$G$8:$G$907,F95),SUMIFS(PARÂMETROS!$C$8:$C$907,PARÂMETROS!$G$8:$G$907,F95)),0)</f>
        <v>0.713565755105687</v>
      </c>
      <c r="F95" s="11" t="s">
        <v>21</v>
      </c>
      <c r="G95" s="31" t="n">
        <f aca="false">IF(B95="Clientes",SUMIFS(PARÂMETROS!$B$8:$B$907,PARÂMETROS!$G$8:$G$907,F95),SUMIFS(PARÂMETROS!$C$8:$C$907,PARÂMETROS!$G$8:$G$907,F95))</f>
        <v>201491</v>
      </c>
    </row>
    <row r="96" customFormat="false" ht="14.25" hidden="false" customHeight="true" outlineLevel="0" collapsed="false">
      <c r="A96" s="27" t="s">
        <v>49</v>
      </c>
      <c r="B96" s="28" t="s">
        <v>97</v>
      </c>
      <c r="C96" s="29" t="s">
        <v>117</v>
      </c>
      <c r="D96" s="21" t="n">
        <f aca="false">SUMIFS('CUSTOS MENSAIS'!$F:$F,'CUSTOS MENSAIS'!$A:$A,A96,'CUSTOS MENSAIS'!$H:$H,F96)</f>
        <v>29550.204638</v>
      </c>
      <c r="E96" s="21" t="n">
        <f aca="false">IFERROR(D96/IF(B96="Clientes",SUMIFS(PARÂMETROS!$B$8:$B$907,PARÂMETROS!$G$8:$G$907,F96),SUMIFS(PARÂMETROS!$C$8:$C$907,PARÂMETROS!$G$8:$G$907,F96)),0)</f>
        <v>0.146657690110228</v>
      </c>
      <c r="F96" s="11" t="s">
        <v>21</v>
      </c>
      <c r="G96" s="31" t="n">
        <f aca="false">IF(B96="Clientes",SUMIFS(PARÂMETROS!$B$8:$B$907,PARÂMETROS!$G$8:$G$907,F96),SUMIFS(PARÂMETROS!$C$8:$C$907,PARÂMETROS!$G$8:$G$907,F96))</f>
        <v>201491</v>
      </c>
    </row>
    <row r="97" customFormat="false" ht="14.25" hidden="false" customHeight="true" outlineLevel="0" collapsed="false">
      <c r="A97" s="27" t="s">
        <v>50</v>
      </c>
      <c r="B97" s="28" t="s">
        <v>97</v>
      </c>
      <c r="C97" s="29" t="s">
        <v>118</v>
      </c>
      <c r="D97" s="21" t="n">
        <f aca="false">SUMIFS('CUSTOS MENSAIS'!$F:$F,'CUSTOS MENSAIS'!$A:$A,A97,'CUSTOS MENSAIS'!$H:$H,F97)</f>
        <v>119434.4264</v>
      </c>
      <c r="E97" s="21" t="n">
        <f aca="false">IFERROR(D97/IF(B97="Clientes",SUMIFS(PARÂMETROS!$B$8:$B$907,PARÂMETROS!$G$8:$G$907,F97),SUMIFS(PARÂMETROS!$C$8:$C$907,PARÂMETROS!$G$8:$G$907,F97)),0)</f>
        <v>0.592753157212977</v>
      </c>
      <c r="F97" s="11" t="s">
        <v>21</v>
      </c>
      <c r="G97" s="31" t="n">
        <f aca="false">IF(B97="Clientes",SUMIFS(PARÂMETROS!$B$8:$B$907,PARÂMETROS!$G$8:$G$907,F97),SUMIFS(PARÂMETROS!$C$8:$C$907,PARÂMETROS!$G$8:$G$907,F97))</f>
        <v>201491</v>
      </c>
    </row>
    <row r="98" customFormat="false" ht="14.25" hidden="false" customHeight="true" outlineLevel="0" collapsed="false">
      <c r="A98" s="27" t="s">
        <v>51</v>
      </c>
      <c r="B98" s="28" t="s">
        <v>97</v>
      </c>
      <c r="C98" s="29" t="s">
        <v>119</v>
      </c>
      <c r="D98" s="21" t="n">
        <f aca="false">SUMIFS('CUSTOS MENSAIS'!$F:$F,'CUSTOS MENSAIS'!$A:$A,A98,'CUSTOS MENSAIS'!$H:$H,F98)</f>
        <v>140869.007172667</v>
      </c>
      <c r="E98" s="21" t="n">
        <f aca="false">IFERROR(D98/IF(B98="Clientes",SUMIFS(PARÂMETROS!$B$8:$B$907,PARÂMETROS!$G$8:$G$907,F98),SUMIFS(PARÂMETROS!$C$8:$C$907,PARÂMETROS!$G$8:$G$907,F98)),0)</f>
        <v>0.699132999353157</v>
      </c>
      <c r="F98" s="11" t="s">
        <v>21</v>
      </c>
      <c r="G98" s="31" t="n">
        <f aca="false">IF(B98="Clientes",SUMIFS(PARÂMETROS!$B$8:$B$907,PARÂMETROS!$G$8:$G$907,F98),SUMIFS(PARÂMETROS!$C$8:$C$907,PARÂMETROS!$G$8:$G$907,F98))</f>
        <v>201491</v>
      </c>
    </row>
    <row r="99" customFormat="false" ht="14.25" hidden="false" customHeight="true" outlineLevel="0" collapsed="false">
      <c r="A99" s="27" t="s">
        <v>52</v>
      </c>
      <c r="B99" s="28" t="s">
        <v>97</v>
      </c>
      <c r="C99" s="29" t="s">
        <v>120</v>
      </c>
      <c r="D99" s="21" t="n">
        <f aca="false">SUMIFS('CUSTOS MENSAIS'!$F:$F,'CUSTOS MENSAIS'!$A:$A,A99,'CUSTOS MENSAIS'!$H:$H,F99)</f>
        <v>28891.437653</v>
      </c>
      <c r="E99" s="21" t="n">
        <f aca="false">IFERROR(D99/IF(B99="Clientes",SUMIFS(PARÂMETROS!$B$8:$B$907,PARÂMETROS!$G$8:$G$907,F99),SUMIFS(PARÂMETROS!$C$8:$C$907,PARÂMETROS!$G$8:$G$907,F99)),0)</f>
        <v>0.143388229017673</v>
      </c>
      <c r="F99" s="11" t="s">
        <v>21</v>
      </c>
      <c r="G99" s="31" t="n">
        <f aca="false">IF(B99="Clientes",SUMIFS(PARÂMETROS!$B$8:$B$907,PARÂMETROS!$G$8:$G$907,F99),SUMIFS(PARÂMETROS!$C$8:$C$907,PARÂMETROS!$G$8:$G$907,F99))</f>
        <v>201491</v>
      </c>
    </row>
    <row r="100" customFormat="false" ht="14.25" hidden="false" customHeight="true" outlineLevel="0" collapsed="false">
      <c r="A100" s="27" t="s">
        <v>53</v>
      </c>
      <c r="B100" s="28" t="s">
        <v>97</v>
      </c>
      <c r="C100" s="29" t="s">
        <v>121</v>
      </c>
      <c r="D100" s="21" t="n">
        <f aca="false">SUMIFS('CUSTOS MENSAIS'!$F:$F,'CUSTOS MENSAIS'!$A:$A,A100,'CUSTOS MENSAIS'!$H:$H,F100)</f>
        <v>213378.496518</v>
      </c>
      <c r="E100" s="21" t="n">
        <f aca="false">IFERROR(D100/IF(B100="Clientes",SUMIFS(PARÂMETROS!$B$8:$B$907,PARÂMETROS!$G$8:$G$907,F100),SUMIFS(PARÂMETROS!$C$8:$C$907,PARÂMETROS!$G$8:$G$907,F100)),0)</f>
        <v>1.05899765507144</v>
      </c>
      <c r="F100" s="11" t="s">
        <v>21</v>
      </c>
      <c r="G100" s="31" t="n">
        <f aca="false">IF(B100="Clientes",SUMIFS(PARÂMETROS!$B$8:$B$907,PARÂMETROS!$G$8:$G$907,F100),SUMIFS(PARÂMETROS!$C$8:$C$907,PARÂMETROS!$G$8:$G$907,F100))</f>
        <v>201491</v>
      </c>
    </row>
    <row r="101" customFormat="false" ht="14.25" hidden="false" customHeight="true" outlineLevel="0" collapsed="false">
      <c r="A101" s="27" t="s">
        <v>54</v>
      </c>
      <c r="B101" s="28" t="s">
        <v>135</v>
      </c>
      <c r="C101" s="29" t="s">
        <v>122</v>
      </c>
      <c r="D101" s="21" t="n">
        <f aca="false">SUMIFS('CUSTOS MENSAIS'!$F:$F,'CUSTOS MENSAIS'!$A:$A,A101,'CUSTOS MENSAIS'!$H:$H,F101)</f>
        <v>126197.894012</v>
      </c>
      <c r="E101" s="21" t="n">
        <f aca="false">IFERROR(D101/G101,0)</f>
        <v>1705.37694610811</v>
      </c>
      <c r="F101" s="11" t="s">
        <v>21</v>
      </c>
      <c r="G101" s="31" t="n">
        <v>74</v>
      </c>
    </row>
    <row r="102" customFormat="false" ht="14.25" hidden="false" customHeight="true" outlineLevel="0" collapsed="false">
      <c r="A102" s="27" t="s">
        <v>55</v>
      </c>
      <c r="B102" s="28" t="s">
        <v>99</v>
      </c>
      <c r="C102" s="29" t="s">
        <v>123</v>
      </c>
      <c r="D102" s="21" t="n">
        <f aca="false">SUMIFS('CUSTOS MENSAIS'!$F:$F,'CUSTOS MENSAIS'!$A:$A,A102,'CUSTOS MENSAIS'!$H:$H,F102)</f>
        <v>23776.09</v>
      </c>
      <c r="E102" s="21" t="n">
        <f aca="false">IFERROR(D102/IF(B102="Clientes",SUMIFS(PARÂMETROS!$B$8:$B$907,PARÂMETROS!$G$8:$G$907,F102),SUMIFS(PARÂMETROS!$C$8:$C$907,PARÂMETROS!$G$8:$G$907,F102)),0)</f>
        <v>21.8129266055046</v>
      </c>
      <c r="F102" s="11" t="s">
        <v>21</v>
      </c>
      <c r="G102" s="31" t="n">
        <f aca="false">IF(B102="Clientes",SUMIFS(PARÂMETROS!$B$8:$B$907,PARÂMETROS!$G$8:$G$907,F102),SUMIFS(PARÂMETROS!$C$8:$C$907,PARÂMETROS!$G$8:$G$907,F102))</f>
        <v>1090</v>
      </c>
    </row>
    <row r="103" customFormat="false" ht="14.25" hidden="false" customHeight="true" outlineLevel="0" collapsed="false">
      <c r="A103" s="27" t="s">
        <v>86</v>
      </c>
      <c r="B103" s="28" t="s">
        <v>97</v>
      </c>
      <c r="C103" s="29" t="s">
        <v>124</v>
      </c>
      <c r="D103" s="21" t="n">
        <f aca="false">SUMIFS('CUSTOS MENSAIS'!$F:$F,'CUSTOS MENSAIS'!$A:$A,A103,'CUSTOS MENSAIS'!$H:$H,F103)</f>
        <v>29475.712744</v>
      </c>
      <c r="E103" s="21" t="n">
        <f aca="false">IFERROR(D103/IF(B103="Clientes",SUMIFS(PARÂMETROS!$B$8:$B$907,PARÂMETROS!$G$8:$G$907,F103),SUMIFS(PARÂMETROS!$C$8:$C$907,PARÂMETROS!$G$8:$G$907,F103)),0)</f>
        <v>0.146287986778566</v>
      </c>
      <c r="F103" s="11" t="s">
        <v>21</v>
      </c>
      <c r="G103" s="31" t="n">
        <f aca="false">IF(B103="Clientes",SUMIFS(PARÂMETROS!$B$8:$B$907,PARÂMETROS!$G$8:$G$907,F103),SUMIFS(PARÂMETROS!$C$8:$C$907,PARÂMETROS!$G$8:$G$907,F103))</f>
        <v>201491</v>
      </c>
    </row>
    <row r="104" customFormat="false" ht="14.25" hidden="false" customHeight="true" outlineLevel="0" collapsed="false">
      <c r="A104" s="27" t="s">
        <v>83</v>
      </c>
      <c r="B104" s="28" t="s">
        <v>97</v>
      </c>
      <c r="C104" s="29" t="s">
        <v>125</v>
      </c>
      <c r="D104" s="21" t="n">
        <f aca="false">SUMIFS('CUSTOS MENSAIS'!$F:$F,'CUSTOS MENSAIS'!$A:$A,A104,'CUSTOS MENSAIS'!$H:$H,F104)</f>
        <v>15993.41</v>
      </c>
      <c r="E104" s="21" t="n">
        <f aca="false">IFERROR(D104/IF(B104="Clientes",SUMIFS(PARÂMETROS!$B$8:$B$907,PARÂMETROS!$G$8:$G$907,F104),SUMIFS(PARÂMETROS!$C$8:$C$907,PARÂMETROS!$G$8:$G$907,F104)),0)</f>
        <v>0.0793753070856763</v>
      </c>
      <c r="F104" s="11" t="s">
        <v>21</v>
      </c>
      <c r="G104" s="31" t="n">
        <f aca="false">IF(B104="Clientes",SUMIFS(PARÂMETROS!$B$8:$B$907,PARÂMETROS!$G$8:$G$907,F104),SUMIFS(PARÂMETROS!$C$8:$C$907,PARÂMETROS!$G$8:$G$907,F104))</f>
        <v>201491</v>
      </c>
    </row>
    <row r="105" customFormat="false" ht="14.25" hidden="false" customHeight="true" outlineLevel="0" collapsed="false">
      <c r="A105" s="27" t="s">
        <v>85</v>
      </c>
      <c r="B105" s="28" t="s">
        <v>97</v>
      </c>
      <c r="C105" s="29" t="s">
        <v>126</v>
      </c>
      <c r="D105" s="21" t="n">
        <f aca="false">SUMIFS('CUSTOS MENSAIS'!$F:$F,'CUSTOS MENSAIS'!$A:$A,A105,'CUSTOS MENSAIS'!$H:$H,F105)</f>
        <v>69876.447</v>
      </c>
      <c r="E105" s="21" t="n">
        <f aca="false">IFERROR(D105/IF(B105="Clientes",SUMIFS(PARÂMETROS!$B$8:$B$907,PARÂMETROS!$G$8:$G$907,F105),SUMIFS(PARÂMETROS!$C$8:$C$907,PARÂMETROS!$G$8:$G$907,F105)),0)</f>
        <v>0.346796864376076</v>
      </c>
      <c r="F105" s="11" t="s">
        <v>21</v>
      </c>
      <c r="G105" s="31" t="n">
        <f aca="false">IF(B105="Clientes",SUMIFS(PARÂMETROS!$B$8:$B$907,PARÂMETROS!$G$8:$G$907,F105),SUMIFS(PARÂMETROS!$C$8:$C$907,PARÂMETROS!$G$8:$G$907,F105))</f>
        <v>201491</v>
      </c>
    </row>
    <row r="106" customFormat="false" ht="14.25" hidden="false" customHeight="true" outlineLevel="0" collapsed="false">
      <c r="A106" s="27" t="s">
        <v>87</v>
      </c>
      <c r="B106" s="28" t="s">
        <v>97</v>
      </c>
      <c r="C106" s="29" t="s">
        <v>127</v>
      </c>
      <c r="D106" s="21" t="n">
        <f aca="false">SUMIFS('CUSTOS MENSAIS'!$F:$F,'CUSTOS MENSAIS'!$A:$A,A106,'CUSTOS MENSAIS'!$H:$H,F106)</f>
        <v>34449.863444</v>
      </c>
      <c r="E106" s="21" t="n">
        <f aca="false">IFERROR(D106/IF(B106="Clientes",SUMIFS(PARÂMETROS!$B$8:$B$907,PARÂMETROS!$G$8:$G$907,F106),SUMIFS(PARÂMETROS!$C$8:$C$907,PARÂMETROS!$G$8:$G$907,F106)),0)</f>
        <v>0.170974700825347</v>
      </c>
      <c r="F106" s="11" t="s">
        <v>21</v>
      </c>
      <c r="G106" s="31" t="n">
        <f aca="false">IF(B106="Clientes",SUMIFS(PARÂMETROS!$B$8:$B$907,PARÂMETROS!$G$8:$G$907,F106),SUMIFS(PARÂMETROS!$C$8:$C$907,PARÂMETROS!$G$8:$G$907,F106))</f>
        <v>201491</v>
      </c>
    </row>
    <row r="107" customFormat="false" ht="14.25" hidden="false" customHeight="true" outlineLevel="0" collapsed="false">
      <c r="A107" s="27" t="s">
        <v>78</v>
      </c>
      <c r="B107" s="28" t="s">
        <v>97</v>
      </c>
      <c r="C107" s="29" t="s">
        <v>128</v>
      </c>
      <c r="D107" s="21" t="n">
        <f aca="false">SUMIFS('CUSTOS MENSAIS'!$F:$F,'CUSTOS MENSAIS'!$A:$A,A107,'CUSTOS MENSAIS'!$H:$H,F107)</f>
        <v>78507.8406</v>
      </c>
      <c r="E107" s="21" t="n">
        <f aca="false">IFERROR(D107/IF(B107="Clientes",SUMIFS(PARÂMETROS!$B$8:$B$907,PARÂMETROS!$G$8:$G$907,F107),SUMIFS(PARÂMETROS!$C$8:$C$907,PARÂMETROS!$G$8:$G$907,F107)),0)</f>
        <v>0.389634477966758</v>
      </c>
      <c r="F107" s="11" t="s">
        <v>21</v>
      </c>
      <c r="G107" s="31" t="n">
        <f aca="false">IF(B107="Clientes",SUMIFS(PARÂMETROS!$B$8:$B$907,PARÂMETROS!$G$8:$G$907,F107),SUMIFS(PARÂMETROS!$C$8:$C$907,PARÂMETROS!$G$8:$G$907,F107))</f>
        <v>201491</v>
      </c>
    </row>
    <row r="108" customFormat="false" ht="14.25" hidden="false" customHeight="true" outlineLevel="0" collapsed="false">
      <c r="A108" s="27" t="s">
        <v>81</v>
      </c>
      <c r="B108" s="28" t="s">
        <v>97</v>
      </c>
      <c r="C108" s="29" t="s">
        <v>129</v>
      </c>
      <c r="D108" s="21" t="n">
        <f aca="false">SUMIFS('CUSTOS MENSAIS'!$F:$F,'CUSTOS MENSAIS'!$A:$A,A108,'CUSTOS MENSAIS'!$H:$H,F108)</f>
        <v>14339.651176</v>
      </c>
      <c r="E108" s="21" t="n">
        <f aca="false">IFERROR(D108/IF(B108="Clientes",SUMIFS(PARÂMETROS!$B$8:$B$907,PARÂMETROS!$G$8:$G$907,F108),SUMIFS(PARÂMETROS!$C$8:$C$907,PARÂMETROS!$G$8:$G$907,F108)),0)</f>
        <v>0.071167700671494</v>
      </c>
      <c r="F108" s="11" t="s">
        <v>21</v>
      </c>
      <c r="G108" s="31" t="n">
        <f aca="false">IF(B108="Clientes",SUMIFS(PARÂMETROS!$B$8:$B$907,PARÂMETROS!$G$8:$G$907,F108),SUMIFS(PARÂMETROS!$C$8:$C$907,PARÂMETROS!$G$8:$G$907,F108))</f>
        <v>201491</v>
      </c>
    </row>
    <row r="109" customFormat="false" ht="14.25" hidden="false" customHeight="true" outlineLevel="0" collapsed="false">
      <c r="A109" s="27" t="s">
        <v>84</v>
      </c>
      <c r="B109" s="28" t="s">
        <v>97</v>
      </c>
      <c r="C109" s="29" t="s">
        <v>130</v>
      </c>
      <c r="D109" s="21" t="n">
        <f aca="false">SUMIFS('CUSTOS MENSAIS'!$F:$F,'CUSTOS MENSAIS'!$A:$A,A109,'CUSTOS MENSAIS'!$H:$H,F109)</f>
        <v>192402.9</v>
      </c>
      <c r="E109" s="21" t="n">
        <f aca="false">IFERROR(D109/IF(B109="Clientes",SUMIFS(PARÂMETROS!$B$8:$B$907,PARÂMETROS!$G$8:$G$907,F109),SUMIFS(PARÂMETROS!$C$8:$C$907,PARÂMETROS!$G$8:$G$907,F109)),0)</f>
        <v>0.954895752167591</v>
      </c>
      <c r="F109" s="11" t="s">
        <v>21</v>
      </c>
      <c r="G109" s="31" t="n">
        <f aca="false">IF(B109="Clientes",SUMIFS(PARÂMETROS!$B$8:$B$907,PARÂMETROS!$G$8:$G$907,F109),SUMIFS(PARÂMETROS!$C$8:$C$907,PARÂMETROS!$G$8:$G$907,F109))</f>
        <v>201491</v>
      </c>
    </row>
    <row r="110" customFormat="false" ht="14.25" hidden="false" customHeight="true" outlineLevel="0" collapsed="false">
      <c r="A110" s="27" t="s">
        <v>82</v>
      </c>
      <c r="B110" s="28" t="s">
        <v>97</v>
      </c>
      <c r="C110" s="29" t="s">
        <v>131</v>
      </c>
      <c r="D110" s="21" t="n">
        <f aca="false">SUMIFS('CUSTOS MENSAIS'!$F:$F,'CUSTOS MENSAIS'!$A:$A,A110,'CUSTOS MENSAIS'!$H:$H,F110)</f>
        <v>80248.34</v>
      </c>
      <c r="E110" s="21" t="n">
        <f aca="false">IFERROR(D110/IF(B110="Clientes",SUMIFS(PARÂMETROS!$B$8:$B$907,PARÂMETROS!$G$8:$G$907,F110),SUMIFS(PARÂMETROS!$C$8:$C$907,PARÂMETROS!$G$8:$G$907,F110)),0)</f>
        <v>0.398272577931521</v>
      </c>
      <c r="F110" s="11" t="s">
        <v>21</v>
      </c>
      <c r="G110" s="31" t="n">
        <f aca="false">IF(B110="Clientes",SUMIFS(PARÂMETROS!$B$8:$B$907,PARÂMETROS!$G$8:$G$907,F110),SUMIFS(PARÂMETROS!$C$8:$C$907,PARÂMETROS!$G$8:$G$907,F110))</f>
        <v>201491</v>
      </c>
    </row>
    <row r="111" customFormat="false" ht="14.25" hidden="false" customHeight="true" outlineLevel="0" collapsed="false">
      <c r="A111" s="27" t="s">
        <v>80</v>
      </c>
      <c r="B111" s="28" t="s">
        <v>97</v>
      </c>
      <c r="C111" s="29" t="s">
        <v>132</v>
      </c>
      <c r="D111" s="21" t="n">
        <f aca="false">SUMIFS('CUSTOS MENSAIS'!$F:$F,'CUSTOS MENSAIS'!$A:$A,A111,'CUSTOS MENSAIS'!$H:$H,F111)</f>
        <v>29274.582976</v>
      </c>
      <c r="E111" s="21" t="n">
        <f aca="false">IFERROR(D111/IF(B111="Clientes",SUMIFS(PARÂMETROS!$B$8:$B$907,PARÂMETROS!$G$8:$G$907,F111),SUMIFS(PARÂMETROS!$C$8:$C$907,PARÂMETROS!$G$8:$G$907,F111)),0)</f>
        <v>0.145289779573281</v>
      </c>
      <c r="F111" s="11" t="s">
        <v>21</v>
      </c>
      <c r="G111" s="31" t="n">
        <f aca="false">IF(B111="Clientes",SUMIFS(PARÂMETROS!$B$8:$B$907,PARÂMETROS!$G$8:$G$907,F111),SUMIFS(PARÂMETROS!$C$8:$C$907,PARÂMETROS!$G$8:$G$907,F111))</f>
        <v>201491</v>
      </c>
    </row>
    <row r="112" customFormat="false" ht="14.25" hidden="false" customHeight="true" outlineLevel="0" collapsed="false">
      <c r="A112" s="27" t="s">
        <v>79</v>
      </c>
      <c r="B112" s="28" t="s">
        <v>99</v>
      </c>
      <c r="C112" s="29" t="s">
        <v>133</v>
      </c>
      <c r="D112" s="21" t="n">
        <f aca="false">SUMIFS('CUSTOS MENSAIS'!$F:$F,'CUSTOS MENSAIS'!$A:$A,A112,'CUSTOS MENSAIS'!$H:$H,F112)</f>
        <v>120433.7445</v>
      </c>
      <c r="E112" s="21" t="n">
        <f aca="false">IFERROR(D112/IF(B112="Clientes",SUMIFS(PARÂMETROS!$B$8:$B$907,PARÂMETROS!$G$8:$G$907,F112),SUMIFS(PARÂMETROS!$C$8:$C$907,PARÂMETROS!$G$8:$G$907,F112)),0)</f>
        <v>110.489673853211</v>
      </c>
      <c r="F112" s="11" t="s">
        <v>21</v>
      </c>
      <c r="G112" s="31" t="n">
        <f aca="false">IF(B112="Clientes",SUMIFS(PARÂMETROS!$B$8:$B$907,PARÂMETROS!$G$8:$G$907,F112),SUMIFS(PARÂMETROS!$C$8:$C$907,PARÂMETROS!$G$8:$G$907,F112))</f>
        <v>1090</v>
      </c>
    </row>
    <row r="113" customFormat="false" ht="14.25" hidden="false" customHeight="true" outlineLevel="0" collapsed="false">
      <c r="A113" s="17" t="s">
        <v>137</v>
      </c>
      <c r="B113" s="32"/>
      <c r="C113" s="33"/>
      <c r="D113" s="34" t="n">
        <f aca="false">SUMIFS('CUSTOS MENSAIS'!$F:$F,'CUSTOS MENSAIS'!$A:$A,A113,'CUSTOS MENSAIS'!$H:$H,F113)</f>
        <v>0</v>
      </c>
      <c r="E113" s="34" t="n">
        <f aca="false">IFERROR(D113/IF(B113="Clientes",SUMIFS(PARÂMETROS!$B$8:$B$907,PARÂMETROS!$G$8:$G$907,F113),SUMIFS(PARÂMETROS!$C$8:$C$907,PARÂMETROS!$G$8:$G$907,F113)),0)</f>
        <v>0</v>
      </c>
      <c r="F113" s="32"/>
      <c r="G113" s="35" t="n">
        <f aca="false">IF(B113="Clientes",SUMIFS(PARÂMETROS!$B$8:$B$907,PARÂMETROS!$G$8:$G$907,F113),SUMIFS(PARÂMETROS!$C$8:$C$907,PARÂMETROS!$G$8:$G$907,F113))</f>
        <v>0</v>
      </c>
    </row>
    <row r="114" customFormat="false" ht="14.25" hidden="false" customHeight="true" outlineLevel="0" collapsed="false">
      <c r="A114" s="27" t="s">
        <v>89</v>
      </c>
      <c r="B114" s="28" t="s">
        <v>97</v>
      </c>
      <c r="C114" s="29" t="s">
        <v>138</v>
      </c>
      <c r="D114" s="21" t="n">
        <f aca="false">SUMIFS('CUSTOS MENSAIS'!$F:$F,'CUSTOS MENSAIS'!$A:$A,A114,'CUSTOS MENSAIS'!$H:$H,F114)</f>
        <v>7873.6916</v>
      </c>
      <c r="E114" s="21" t="n">
        <f aca="false">IFERROR(D114/IF(B114="Clientes",SUMIFS(PARÂMETROS!$B$8:$B$907,PARÂMETROS!$G$8:$G$907,F114),SUMIFS(PARÂMETROS!$C$8:$C$907,PARÂMETROS!$G$8:$G$907,F114)),0)</f>
        <v>0.0411530604671583</v>
      </c>
      <c r="F114" s="11" t="s">
        <v>20</v>
      </c>
      <c r="G114" s="31" t="n">
        <f aca="false">IF(B114="Clientes",SUMIFS(PARÂMETROS!$B$8:$B$907,PARÂMETROS!$G$8:$G$907,F114),SUMIFS(PARÂMETROS!$C$8:$C$907,PARÂMETROS!$G$8:$G$907,F114))</f>
        <v>191327</v>
      </c>
    </row>
    <row r="115" customFormat="false" ht="14.25" hidden="false" customHeight="true" outlineLevel="0" collapsed="false">
      <c r="A115" s="27" t="s">
        <v>89</v>
      </c>
      <c r="B115" s="28" t="s">
        <v>97</v>
      </c>
      <c r="C115" s="29" t="s">
        <v>138</v>
      </c>
      <c r="D115" s="21" t="n">
        <f aca="false">SUMIFS('CUSTOS MENSAIS'!$F:$F,'CUSTOS MENSAIS'!$A:$A,A115,'CUSTOS MENSAIS'!$H:$H,F115)</f>
        <v>8894.0744</v>
      </c>
      <c r="E115" s="21" t="n">
        <f aca="false">IFERROR(D115/IF(B115="Clientes",SUMIFS(PARÂMETROS!$B$8:$B$907,PARÂMETROS!$G$8:$G$907,F115),SUMIFS(PARÂMETROS!$C$8:$C$907,PARÂMETROS!$G$8:$G$907,F115)),0)</f>
        <v>0.0456473899498571</v>
      </c>
      <c r="F115" s="11" t="s">
        <v>11</v>
      </c>
      <c r="G115" s="31" t="n">
        <f aca="false">IF(B115="Clientes",SUMIFS(PARÂMETROS!$B$8:$B$907,PARÂMETROS!$G$8:$G$907,F115),SUMIFS(PARÂMETROS!$C$8:$C$907,PARÂMETROS!$G$8:$G$907,F115))</f>
        <v>194843</v>
      </c>
    </row>
    <row r="116" customFormat="false" ht="14.25" hidden="false" customHeight="true" outlineLevel="0" collapsed="false">
      <c r="A116" s="27" t="s">
        <v>89</v>
      </c>
      <c r="B116" s="28" t="s">
        <v>97</v>
      </c>
      <c r="C116" s="29" t="s">
        <v>138</v>
      </c>
      <c r="D116" s="21" t="n">
        <f aca="false">SUMIFS('CUSTOS MENSAIS'!$F:$F,'CUSTOS MENSAIS'!$A:$A,A116,'CUSTOS MENSAIS'!$H:$H,F116)</f>
        <v>7791.2645</v>
      </c>
      <c r="E116" s="21" t="n">
        <f aca="false">IFERROR(D116/IF(B116="Clientes",SUMIFS(PARÂMETROS!$B$8:$B$907,PARÂMETROS!$G$8:$G$907,F116),SUMIFS(PARÂMETROS!$C$8:$C$907,PARÂMETROS!$G$8:$G$907,F116)),0)</f>
        <v>0.0386680521710647</v>
      </c>
      <c r="F116" s="11" t="s">
        <v>21</v>
      </c>
      <c r="G116" s="31" t="n">
        <f aca="false">IF(B116="Clientes",SUMIFS(PARÂMETROS!$B$8:$B$907,PARÂMETROS!$G$8:$G$907,F116),SUMIFS(PARÂMETROS!$C$8:$C$907,PARÂMETROS!$G$8:$G$907,F116))</f>
        <v>201491</v>
      </c>
    </row>
    <row r="117" customFormat="false" ht="14.25" hidden="false" customHeight="true" outlineLevel="0" collapsed="false">
      <c r="A117" s="27" t="s">
        <v>139</v>
      </c>
      <c r="B117" s="28" t="s">
        <v>99</v>
      </c>
      <c r="C117" s="29" t="s">
        <v>140</v>
      </c>
      <c r="D117" s="21" t="n">
        <f aca="false">SUMIFS('CUSTOS MENSAIS'!$F:$F,'CUSTOS MENSAIS'!$A:$A,A117,'CUSTOS MENSAIS'!$H:$H,F117)</f>
        <v>15500.17</v>
      </c>
      <c r="E117" s="21" t="n">
        <f aca="false">IFERROR(D117/IF(B117="Clientes",SUMIFS(PARÂMETROS!$B$8:$B$907,PARÂMETROS!$G$8:$G$907,F117),SUMIFS(PARÂMETROS!$C$8:$C$907,PARÂMETROS!$G$8:$G$907,F117)),0)</f>
        <v>14.7200094966762</v>
      </c>
      <c r="F117" s="11" t="s">
        <v>20</v>
      </c>
      <c r="G117" s="31" t="n">
        <f aca="false">IF(B117="Clientes",SUMIFS(PARÂMETROS!$B$8:$B$907,PARÂMETROS!$G$8:$G$907,F117),SUMIFS(PARÂMETROS!$C$8:$C$907,PARÂMETROS!$G$8:$G$907,F117))</f>
        <v>1053</v>
      </c>
    </row>
    <row r="118" customFormat="false" ht="14.25" hidden="false" customHeight="true" outlineLevel="0" collapsed="false">
      <c r="A118" s="27" t="s">
        <v>139</v>
      </c>
      <c r="B118" s="28" t="s">
        <v>99</v>
      </c>
      <c r="C118" s="29" t="s">
        <v>140</v>
      </c>
      <c r="D118" s="21" t="n">
        <f aca="false">SUMIFS('CUSTOS MENSAIS'!$F:$F,'CUSTOS MENSAIS'!$A:$A,A118,'CUSTOS MENSAIS'!$H:$H,F118)</f>
        <v>24341.25</v>
      </c>
      <c r="E118" s="21" t="n">
        <f aca="false">IFERROR(D118/IF(B118="Clientes",SUMIFS(PARÂMETROS!$B$8:$B$907,PARÂMETROS!$G$8:$G$907,F118),SUMIFS(PARÂMETROS!$C$8:$C$907,PARÂMETROS!$G$8:$G$907,F118)),0)</f>
        <v>23.204242135367</v>
      </c>
      <c r="F118" s="11" t="s">
        <v>11</v>
      </c>
      <c r="G118" s="31" t="n">
        <f aca="false">IF(B118="Clientes",SUMIFS(PARÂMETROS!$B$8:$B$907,PARÂMETROS!$G$8:$G$907,F118),SUMIFS(PARÂMETROS!$C$8:$C$907,PARÂMETROS!$G$8:$G$907,F118))</f>
        <v>1049</v>
      </c>
    </row>
    <row r="119" customFormat="false" ht="14.25" hidden="false" customHeight="true" outlineLevel="0" collapsed="false">
      <c r="A119" s="27" t="s">
        <v>139</v>
      </c>
      <c r="B119" s="28" t="s">
        <v>99</v>
      </c>
      <c r="C119" s="29" t="s">
        <v>140</v>
      </c>
      <c r="D119" s="21" t="n">
        <f aca="false">SUMIFS('CUSTOS MENSAIS'!$F:$F,'CUSTOS MENSAIS'!$A:$A,A119,'CUSTOS MENSAIS'!$H:$H,F119)</f>
        <v>25565.37</v>
      </c>
      <c r="E119" s="21" t="n">
        <f aca="false">IFERROR(D119/IF(B119="Clientes",SUMIFS(PARÂMETROS!$B$8:$B$907,PARÂMETROS!$G$8:$G$907,F119),SUMIFS(PARÂMETROS!$C$8:$C$907,PARÂMETROS!$G$8:$G$907,F119)),0)</f>
        <v>23.4544678899083</v>
      </c>
      <c r="F119" s="11" t="s">
        <v>21</v>
      </c>
      <c r="G119" s="31" t="n">
        <f aca="false">IF(B119="Clientes",SUMIFS(PARÂMETROS!$B$8:$B$907,PARÂMETROS!$G$8:$G$907,F119),SUMIFS(PARÂMETROS!$C$8:$C$907,PARÂMETROS!$G$8:$G$907,F119))</f>
        <v>1090</v>
      </c>
    </row>
    <row r="120" customFormat="false" ht="14.25" hidden="false" customHeight="true" outlineLevel="0" collapsed="false">
      <c r="A120" s="27" t="s">
        <v>141</v>
      </c>
      <c r="B120" s="28" t="s">
        <v>97</v>
      </c>
      <c r="C120" s="29" t="s">
        <v>142</v>
      </c>
      <c r="D120" s="21" t="n">
        <f aca="false">SUMIFS('CUSTOS MENSAIS'!$F:$F,'CUSTOS MENSAIS'!$A:$A,A120,'CUSTOS MENSAIS'!$H:$H,F120)</f>
        <v>19509.02</v>
      </c>
      <c r="E120" s="21" t="n">
        <f aca="false">IFERROR(D120/IF(B120="Clientes",SUMIFS(PARÂMETROS!$B$8:$B$907,PARÂMETROS!$G$8:$G$907,F120),SUMIFS(PARÂMETROS!$C$8:$C$907,PARÂMETROS!$G$8:$G$907,F120)),0)</f>
        <v>0.101966894374552</v>
      </c>
      <c r="F120" s="11" t="s">
        <v>20</v>
      </c>
      <c r="G120" s="31" t="n">
        <f aca="false">IF(B120="Clientes",SUMIFS(PARÂMETROS!$B$8:$B$907,PARÂMETROS!$G$8:$G$907,F120),SUMIFS(PARÂMETROS!$C$8:$C$907,PARÂMETROS!$G$8:$G$907,F120))</f>
        <v>191327</v>
      </c>
    </row>
    <row r="121" customFormat="false" ht="14.25" hidden="false" customHeight="true" outlineLevel="0" collapsed="false">
      <c r="A121" s="27" t="s">
        <v>141</v>
      </c>
      <c r="B121" s="28" t="s">
        <v>97</v>
      </c>
      <c r="C121" s="29" t="s">
        <v>142</v>
      </c>
      <c r="D121" s="21" t="n">
        <f aca="false">SUMIFS('CUSTOS MENSAIS'!$F:$F,'CUSTOS MENSAIS'!$A:$A,A121,'CUSTOS MENSAIS'!$H:$H,F121)</f>
        <v>21822.38</v>
      </c>
      <c r="E121" s="21" t="n">
        <f aca="false">IFERROR(D121/IF(B121="Clientes",SUMIFS(PARÂMETROS!$B$8:$B$907,PARÂMETROS!$G$8:$G$907,F121),SUMIFS(PARÂMETROS!$C$8:$C$907,PARÂMETROS!$G$8:$G$907,F121)),0)</f>
        <v>0.111999815235857</v>
      </c>
      <c r="F121" s="11" t="s">
        <v>11</v>
      </c>
      <c r="G121" s="31" t="n">
        <f aca="false">IF(B121="Clientes",SUMIFS(PARÂMETROS!$B$8:$B$907,PARÂMETROS!$G$8:$G$907,F121),SUMIFS(PARÂMETROS!$C$8:$C$907,PARÂMETROS!$G$8:$G$907,F121))</f>
        <v>194843</v>
      </c>
    </row>
    <row r="122" customFormat="false" ht="14.25" hidden="false" customHeight="true" outlineLevel="0" collapsed="false">
      <c r="A122" s="27" t="s">
        <v>141</v>
      </c>
      <c r="B122" s="28" t="s">
        <v>97</v>
      </c>
      <c r="C122" s="29" t="s">
        <v>142</v>
      </c>
      <c r="D122" s="21" t="n">
        <f aca="false">SUMIFS('CUSTOS MENSAIS'!$F:$F,'CUSTOS MENSAIS'!$A:$A,A122,'CUSTOS MENSAIS'!$H:$H,F122)</f>
        <v>21400.42</v>
      </c>
      <c r="E122" s="21" t="n">
        <f aca="false">IFERROR(D122/IF(B122="Clientes",SUMIFS(PARÂMETROS!$B$8:$B$907,PARÂMETROS!$G$8:$G$907,F122),SUMIFS(PARÂMETROS!$C$8:$C$907,PARÂMETROS!$G$8:$G$907,F122)),0)</f>
        <v>0.10621030219712</v>
      </c>
      <c r="F122" s="11" t="s">
        <v>21</v>
      </c>
      <c r="G122" s="31" t="n">
        <f aca="false">IF(B122="Clientes",SUMIFS(PARÂMETROS!$B$8:$B$907,PARÂMETROS!$G$8:$G$907,F122),SUMIFS(PARÂMETROS!$C$8:$C$907,PARÂMETROS!$G$8:$G$907,F122))</f>
        <v>201491</v>
      </c>
    </row>
    <row r="123" customFormat="false" ht="14.25" hidden="false" customHeight="true" outlineLevel="0" collapsed="false">
      <c r="A123" s="1" t="s">
        <v>143</v>
      </c>
      <c r="B123" s="1" t="s">
        <v>97</v>
      </c>
      <c r="C123" s="1" t="s">
        <v>144</v>
      </c>
      <c r="D123" s="1" t="n">
        <f aca="false">SUMIFS('CUSTOS MENSAIS'!$F:$F,'CUSTOS MENSAIS'!$A:$A,A123,'CUSTOS MENSAIS'!$H:$H,F123)</f>
        <v>40067.07</v>
      </c>
      <c r="E123" s="1" t="n">
        <f aca="false">IFERROR(D123/IF(B123="Clientes",SUMIFS(PARÂMETROS!$B$8:$B$907,PARÂMETROS!$G$8:$G$907,F123),SUMIFS(PARÂMETROS!$C$8:$C$907,PARÂMETROS!$G$8:$G$907,F123)),0)</f>
        <v>0.209416705431016</v>
      </c>
      <c r="F123" s="1" t="s">
        <v>20</v>
      </c>
      <c r="G123" s="1" t="n">
        <f aca="false">IF(B123="Clientes",SUMIFS(PARÂMETROS!$B$8:$B$907,PARÂMETROS!$G$8:$G$907,F123),SUMIFS(PARÂMETROS!$C$8:$C$907,PARÂMETROS!$G$8:$G$907,F123))</f>
        <v>191327</v>
      </c>
    </row>
    <row r="124" customFormat="false" ht="14.25" hidden="false" customHeight="true" outlineLevel="0" collapsed="false">
      <c r="A124" s="1" t="s">
        <v>143</v>
      </c>
      <c r="B124" s="1" t="s">
        <v>97</v>
      </c>
      <c r="C124" s="1" t="s">
        <v>144</v>
      </c>
      <c r="D124" s="1" t="n">
        <f aca="false">SUMIFS('CUSTOS MENSAIS'!$F:$F,'CUSTOS MENSAIS'!$A:$A,A124,'CUSTOS MENSAIS'!$H:$H,F124)</f>
        <v>50064.221</v>
      </c>
      <c r="E124" s="1" t="n">
        <f aca="false">IFERROR(D124/IF(B124="Clientes",SUMIFS(PARÂMETROS!$B$8:$B$907,PARÂMETROS!$G$8:$G$907,F124),SUMIFS(PARÂMETROS!$C$8:$C$907,PARÂMETROS!$G$8:$G$907,F124)),0)</f>
        <v>0.256946469721776</v>
      </c>
      <c r="F124" s="1" t="s">
        <v>11</v>
      </c>
      <c r="G124" s="1" t="n">
        <f aca="false">IF(B124="Clientes",SUMIFS(PARÂMETROS!$B$8:$B$907,PARÂMETROS!$G$8:$G$907,F124),SUMIFS(PARÂMETROS!$C$8:$C$907,PARÂMETROS!$G$8:$G$907,F124))</f>
        <v>194843</v>
      </c>
    </row>
    <row r="125" customFormat="false" ht="14.25" hidden="false" customHeight="true" outlineLevel="0" collapsed="false">
      <c r="A125" s="1" t="s">
        <v>143</v>
      </c>
      <c r="B125" s="1" t="s">
        <v>97</v>
      </c>
      <c r="C125" s="1" t="s">
        <v>144</v>
      </c>
      <c r="D125" s="1" t="n">
        <f aca="false">SUMIFS('CUSTOS MENSAIS'!$F:$F,'CUSTOS MENSAIS'!$A:$A,A125,'CUSTOS MENSAIS'!$H:$H,F125)</f>
        <v>51508.725</v>
      </c>
      <c r="E125" s="1" t="n">
        <f aca="false">IFERROR(D125/IF(B125="Clientes",SUMIFS(PARÂMETROS!$B$8:$B$907,PARÂMETROS!$G$8:$G$907,F125),SUMIFS(PARÂMETROS!$C$8:$C$907,PARÂMETROS!$G$8:$G$907,F125)),0)</f>
        <v>0.25563784486652</v>
      </c>
      <c r="F125" s="1" t="s">
        <v>21</v>
      </c>
      <c r="G125" s="1" t="n">
        <f aca="false">IF(B125="Clientes",SUMIFS(PARÂMETROS!$B$8:$B$907,PARÂMETROS!$G$8:$G$907,F125),SUMIFS(PARÂMETROS!$C$8:$C$907,PARÂMETROS!$G$8:$G$907,F125))</f>
        <v>201491</v>
      </c>
    </row>
    <row r="126" customFormat="false" ht="14.25" hidden="false" customHeight="true" outlineLevel="0" collapsed="false">
      <c r="A126" s="27" t="s">
        <v>31</v>
      </c>
      <c r="B126" s="28" t="s">
        <v>97</v>
      </c>
      <c r="C126" s="29" t="s">
        <v>98</v>
      </c>
      <c r="D126" s="21" t="n">
        <f aca="false">SUMIFS('CUSTOS MENSAIS'!$F:$F,'CUSTOS MENSAIS'!$A:$A,A126,'CUSTOS MENSAIS'!$H:$H,F126)</f>
        <v>45629.9949830294</v>
      </c>
      <c r="E126" s="21" t="n">
        <f aca="false">IFERROR(D126/IF(B126="Clientes",SUMIFS(PARÂMETROS!$B$8:$B$907,PARÂMETROS!$G$8:$G$907,F126),SUMIFS(PARÂMETROS!$C$8:$C$907,PARÂMETROS!$G$8:$G$907,F126)),0)</f>
        <v>0.231424633478873</v>
      </c>
      <c r="F126" s="11" t="s">
        <v>88</v>
      </c>
      <c r="G126" s="31" t="n">
        <f aca="false">IF(B126="Clientes",SUMIFS(PARÂMETROS!$B$8:$B$907,PARÂMETROS!$G$8:$G$907,F126),SUMIFS(PARÂMETROS!$C$8:$C$907,PARÂMETROS!$G$8:$G$907,F126))</f>
        <v>197170</v>
      </c>
    </row>
    <row r="127" customFormat="false" ht="14.25" hidden="false" customHeight="true" outlineLevel="0" collapsed="false">
      <c r="A127" s="27" t="s">
        <v>32</v>
      </c>
      <c r="B127" s="28" t="s">
        <v>99</v>
      </c>
      <c r="C127" s="29" t="s">
        <v>100</v>
      </c>
      <c r="D127" s="21" t="n">
        <f aca="false">SUMIFS('CUSTOS MENSAIS'!$F:$F,'CUSTOS MENSAIS'!$A:$A,A127,'CUSTOS MENSAIS'!$H:$H,F127)</f>
        <v>39688.1245115133</v>
      </c>
      <c r="E127" s="21" t="n">
        <f aca="false">IFERROR(D127/IF(B127="Clientes",SUMIFS(PARÂMETROS!$B$8:$B$907,PARÂMETROS!$G$8:$G$907,F127),SUMIFS(PARÂMETROS!$C$8:$C$907,PARÂMETROS!$G$8:$G$907,F127)),0)</f>
        <v>37.7263540983966</v>
      </c>
      <c r="F127" s="11" t="s">
        <v>88</v>
      </c>
      <c r="G127" s="31" t="n">
        <f aca="false">IF(B127="Clientes",SUMIFS(PARÂMETROS!$B$8:$B$907,PARÂMETROS!$G$8:$G$907,F127),SUMIFS(PARÂMETROS!$C$8:$C$907,PARÂMETROS!$G$8:$G$907,F127))</f>
        <v>1052</v>
      </c>
    </row>
    <row r="128" customFormat="false" ht="14.25" hidden="false" customHeight="true" outlineLevel="0" collapsed="false">
      <c r="A128" s="27" t="s">
        <v>33</v>
      </c>
      <c r="B128" s="28" t="s">
        <v>99</v>
      </c>
      <c r="C128" s="29" t="s">
        <v>101</v>
      </c>
      <c r="D128" s="21" t="n">
        <f aca="false">SUMIFS('CUSTOS MENSAIS'!$F:$F,'CUSTOS MENSAIS'!$A:$A,A128,'CUSTOS MENSAIS'!$H:$H,F128)</f>
        <v>63473.1849490881</v>
      </c>
      <c r="E128" s="21" t="n">
        <f aca="false">IFERROR(D128/IF(B128="Clientes",SUMIFS(PARÂMETROS!$B$8:$B$907,PARÂMETROS!$G$8:$G$907,F128),SUMIFS(PARÂMETROS!$C$8:$C$907,PARÂMETROS!$G$8:$G$907,F128)),0)</f>
        <v>60.3357271379164</v>
      </c>
      <c r="F128" s="11" t="s">
        <v>88</v>
      </c>
      <c r="G128" s="31" t="n">
        <f aca="false">IF(B128="Clientes",SUMIFS(PARÂMETROS!$B$8:$B$907,PARÂMETROS!$G$8:$G$907,F128),SUMIFS(PARÂMETROS!$C$8:$C$907,PARÂMETROS!$G$8:$G$907,F128))</f>
        <v>1052</v>
      </c>
    </row>
    <row r="129" customFormat="false" ht="14.25" hidden="false" customHeight="true" outlineLevel="0" collapsed="false">
      <c r="A129" s="27" t="s">
        <v>34</v>
      </c>
      <c r="B129" s="28" t="s">
        <v>97</v>
      </c>
      <c r="C129" s="29" t="s">
        <v>102</v>
      </c>
      <c r="D129" s="21" t="n">
        <f aca="false">SUMIFS('CUSTOS MENSAIS'!$F:$F,'CUSTOS MENSAIS'!$A:$A,A129,'CUSTOS MENSAIS'!$H:$H,F129)</f>
        <v>60035.346441612</v>
      </c>
      <c r="E129" s="21" t="n">
        <f aca="false">IFERROR(D129/IF(B129="Clientes",SUMIFS(PARÂMETROS!$B$8:$B$907,PARÂMETROS!$G$8:$G$907,F129),SUMIFS(PARÂMETROS!$C$8:$C$907,PARÂMETROS!$G$8:$G$907,F129)),0)</f>
        <v>0.304485197756312</v>
      </c>
      <c r="F129" s="11" t="s">
        <v>88</v>
      </c>
      <c r="G129" s="31" t="n">
        <f aca="false">IF(B129="Clientes",SUMIFS(PARÂMETROS!$B$8:$B$907,PARÂMETROS!$G$8:$G$907,F129),SUMIFS(PARÂMETROS!$C$8:$C$907,PARÂMETROS!$G$8:$G$907,F129))</f>
        <v>197170</v>
      </c>
    </row>
    <row r="130" customFormat="false" ht="14.25" hidden="false" customHeight="true" outlineLevel="0" collapsed="false">
      <c r="A130" s="27" t="s">
        <v>35</v>
      </c>
      <c r="B130" s="28" t="s">
        <v>97</v>
      </c>
      <c r="C130" s="29" t="s">
        <v>103</v>
      </c>
      <c r="D130" s="21" t="n">
        <f aca="false">SUMIFS('CUSTOS MENSAIS'!$F:$F,'CUSTOS MENSAIS'!$A:$A,A130,'CUSTOS MENSAIS'!$H:$H,F130)</f>
        <v>24186.5870929277</v>
      </c>
      <c r="E130" s="21" t="n">
        <f aca="false">IFERROR(D130/IF(B130="Clientes",SUMIFS(PARÂMETROS!$B$8:$B$907,PARÂMETROS!$G$8:$G$907,F130),SUMIFS(PARÂMETROS!$C$8:$C$907,PARÂMETROS!$G$8:$G$907,F130)),0)</f>
        <v>0.122668697534755</v>
      </c>
      <c r="F130" s="11" t="s">
        <v>88</v>
      </c>
      <c r="G130" s="31" t="n">
        <f aca="false">IF(B130="Clientes",SUMIFS(PARÂMETROS!$B$8:$B$907,PARÂMETROS!$G$8:$G$907,F130),SUMIFS(PARÂMETROS!$C$8:$C$907,PARÂMETROS!$G$8:$G$907,F130))</f>
        <v>197170</v>
      </c>
    </row>
    <row r="131" customFormat="false" ht="14.25" hidden="false" customHeight="true" outlineLevel="0" collapsed="false">
      <c r="A131" s="27" t="s">
        <v>36</v>
      </c>
      <c r="B131" s="28" t="s">
        <v>97</v>
      </c>
      <c r="C131" s="29" t="s">
        <v>104</v>
      </c>
      <c r="D131" s="21" t="n">
        <f aca="false">SUMIFS('CUSTOS MENSAIS'!$F:$F,'CUSTOS MENSAIS'!$A:$A,A131,'CUSTOS MENSAIS'!$H:$H,F131)</f>
        <v>76728.6732880783</v>
      </c>
      <c r="E131" s="21" t="n">
        <f aca="false">IFERROR(D131/IF(B131="Clientes",SUMIFS(PARÂMETROS!$B$8:$B$907,PARÂMETROS!$G$8:$G$907,F131),SUMIFS(PARÂMETROS!$C$8:$C$907,PARÂMETROS!$G$8:$G$907,F131)),0)</f>
        <v>0.389149836628687</v>
      </c>
      <c r="F131" s="11" t="s">
        <v>88</v>
      </c>
      <c r="G131" s="31" t="n">
        <f aca="false">IF(B131="Clientes",SUMIFS(PARÂMETROS!$B$8:$B$907,PARÂMETROS!$G$8:$G$907,F131),SUMIFS(PARÂMETROS!$C$8:$C$907,PARÂMETROS!$G$8:$G$907,F131))</f>
        <v>197170</v>
      </c>
    </row>
    <row r="132" customFormat="false" ht="14.25" hidden="false" customHeight="true" outlineLevel="0" collapsed="false">
      <c r="A132" s="27" t="s">
        <v>37</v>
      </c>
      <c r="B132" s="28" t="s">
        <v>97</v>
      </c>
      <c r="C132" s="29" t="s">
        <v>105</v>
      </c>
      <c r="D132" s="21" t="n">
        <f aca="false">SUMIFS('CUSTOS MENSAIS'!$F:$F,'CUSTOS MENSAIS'!$A:$A,A132,'CUSTOS MENSAIS'!$H:$H,F132)</f>
        <v>180358.470982411</v>
      </c>
      <c r="E132" s="21" t="n">
        <f aca="false">IFERROR(D132/IF(B132="Clientes",SUMIFS(PARÂMETROS!$B$8:$B$907,PARÂMETROS!$G$8:$G$907,F132),SUMIFS(PARÂMETROS!$C$8:$C$907,PARÂMETROS!$G$8:$G$907,F132)),0)</f>
        <v>0.914735867436278</v>
      </c>
      <c r="F132" s="11" t="s">
        <v>88</v>
      </c>
      <c r="G132" s="31" t="n">
        <f aca="false">IF(B132="Clientes",SUMIFS(PARÂMETROS!$B$8:$B$907,PARÂMETROS!$G$8:$G$907,F132),SUMIFS(PARÂMETROS!$C$8:$C$907,PARÂMETROS!$G$8:$G$907,F132))</f>
        <v>197170</v>
      </c>
    </row>
    <row r="133" customFormat="false" ht="14.25" hidden="false" customHeight="true" outlineLevel="0" collapsed="false">
      <c r="A133" s="27" t="s">
        <v>38</v>
      </c>
      <c r="B133" s="28" t="s">
        <v>97</v>
      </c>
      <c r="C133" s="29" t="s">
        <v>106</v>
      </c>
      <c r="D133" s="21" t="n">
        <f aca="false">SUMIFS('CUSTOS MENSAIS'!$F:$F,'CUSTOS MENSAIS'!$A:$A,A133,'CUSTOS MENSAIS'!$H:$H,F133)</f>
        <v>54614.4610931272</v>
      </c>
      <c r="E133" s="21" t="n">
        <f aca="false">IFERROR(D133/IF(B133="Clientes",SUMIFS(PARÂMETROS!$B$8:$B$907,PARÂMETROS!$G$8:$G$907,F133),SUMIFS(PARÂMETROS!$C$8:$C$907,PARÂMETROS!$G$8:$G$907,F133)),0)</f>
        <v>0.27699173856635</v>
      </c>
      <c r="F133" s="11" t="s">
        <v>88</v>
      </c>
      <c r="G133" s="31" t="n">
        <f aca="false">IF(B133="Clientes",SUMIFS(PARÂMETROS!$B$8:$B$907,PARÂMETROS!$G$8:$G$907,F133),SUMIFS(PARÂMETROS!$C$8:$C$907,PARÂMETROS!$G$8:$G$907,F133))</f>
        <v>197170</v>
      </c>
    </row>
    <row r="134" customFormat="false" ht="14.25" hidden="false" customHeight="true" outlineLevel="0" collapsed="false">
      <c r="A134" s="27" t="s">
        <v>39</v>
      </c>
      <c r="B134" s="28" t="s">
        <v>97</v>
      </c>
      <c r="C134" s="29" t="s">
        <v>107</v>
      </c>
      <c r="D134" s="21" t="n">
        <f aca="false">SUMIFS('CUSTOS MENSAIS'!$F:$F,'CUSTOS MENSAIS'!$A:$A,A134,'CUSTOS MENSAIS'!$H:$H,F134)</f>
        <v>53510.3780321174</v>
      </c>
      <c r="E134" s="21" t="n">
        <f aca="false">IFERROR(D134/IF(B134="Clientes",SUMIFS(PARÂMETROS!$B$8:$B$907,PARÂMETROS!$G$8:$G$907,F134),SUMIFS(PARÂMETROS!$C$8:$C$907,PARÂMETROS!$G$8:$G$907,F134)),0)</f>
        <v>0.271392088208741</v>
      </c>
      <c r="F134" s="11" t="s">
        <v>88</v>
      </c>
      <c r="G134" s="31" t="n">
        <f aca="false">IF(B134="Clientes",SUMIFS(PARÂMETROS!$B$8:$B$907,PARÂMETROS!$G$8:$G$907,F134),SUMIFS(PARÂMETROS!$C$8:$C$907,PARÂMETROS!$G$8:$G$907,F134))</f>
        <v>197170</v>
      </c>
    </row>
    <row r="135" customFormat="false" ht="14.25" hidden="false" customHeight="true" outlineLevel="0" collapsed="false">
      <c r="A135" s="27" t="s">
        <v>40</v>
      </c>
      <c r="B135" s="28" t="s">
        <v>97</v>
      </c>
      <c r="C135" s="29" t="s">
        <v>108</v>
      </c>
      <c r="D135" s="21" t="n">
        <f aca="false">SUMIFS('CUSTOS MENSAIS'!$F:$F,'CUSTOS MENSAIS'!$A:$A,A135,'CUSTOS MENSAIS'!$H:$H,F135)</f>
        <v>41165.3583325202</v>
      </c>
      <c r="E135" s="21" t="n">
        <f aca="false">IFERROR(D135/IF(B135="Clientes",SUMIFS(PARÂMETROS!$B$8:$B$907,PARÂMETROS!$G$8:$G$907,F135),SUMIFS(PARÂMETROS!$C$8:$C$907,PARÂMETROS!$G$8:$G$907,F135)),0)</f>
        <v>0.208781043427095</v>
      </c>
      <c r="F135" s="11" t="s">
        <v>88</v>
      </c>
      <c r="G135" s="31" t="n">
        <f aca="false">IF(B135="Clientes",SUMIFS(PARÂMETROS!$B$8:$B$907,PARÂMETROS!$G$8:$G$907,F135),SUMIFS(PARÂMETROS!$C$8:$C$907,PARÂMETROS!$G$8:$G$907,F135))</f>
        <v>197170</v>
      </c>
    </row>
    <row r="136" customFormat="false" ht="14.25" hidden="false" customHeight="true" outlineLevel="0" collapsed="false">
      <c r="A136" s="27" t="s">
        <v>41</v>
      </c>
      <c r="B136" s="28" t="s">
        <v>97</v>
      </c>
      <c r="C136" s="29" t="s">
        <v>109</v>
      </c>
      <c r="D136" s="21" t="n">
        <f aca="false">SUMIFS('CUSTOS MENSAIS'!$F:$F,'CUSTOS MENSAIS'!$A:$A,A136,'CUSTOS MENSAIS'!$H:$H,F136)</f>
        <v>19948.2874185855</v>
      </c>
      <c r="E136" s="21" t="n">
        <f aca="false">IFERROR(D136/IF(B136="Clientes",SUMIFS(PARÂMETROS!$B$8:$B$907,PARÂMETROS!$G$8:$G$907,F136),SUMIFS(PARÂMETROS!$C$8:$C$907,PARÂMETROS!$G$8:$G$907,F136)),0)</f>
        <v>0.101173035545902</v>
      </c>
      <c r="F136" s="11" t="s">
        <v>88</v>
      </c>
      <c r="G136" s="31" t="n">
        <f aca="false">IF(B136="Clientes",SUMIFS(PARÂMETROS!$B$8:$B$907,PARÂMETROS!$G$8:$G$907,F136),SUMIFS(PARÂMETROS!$C$8:$C$907,PARÂMETROS!$G$8:$G$907,F136))</f>
        <v>197170</v>
      </c>
    </row>
    <row r="137" customFormat="false" ht="14.25" hidden="false" customHeight="true" outlineLevel="0" collapsed="false">
      <c r="A137" s="27" t="s">
        <v>42</v>
      </c>
      <c r="B137" s="28" t="s">
        <v>97</v>
      </c>
      <c r="C137" s="29" t="s">
        <v>110</v>
      </c>
      <c r="D137" s="21" t="n">
        <f aca="false">SUMIFS('CUSTOS MENSAIS'!$F:$F,'CUSTOS MENSAIS'!$A:$A,A137,'CUSTOS MENSAIS'!$H:$H,F137)</f>
        <v>29069.1848371711</v>
      </c>
      <c r="E137" s="21" t="n">
        <f aca="false">IFERROR(D137/IF(B137="Clientes",SUMIFS(PARÂMETROS!$B$8:$B$907,PARÂMETROS!$G$8:$G$907,F137),SUMIFS(PARÂMETROS!$C$8:$C$907,PARÂMETROS!$G$8:$G$907,F137)),0)</f>
        <v>0.147432088234372</v>
      </c>
      <c r="F137" s="11" t="s">
        <v>88</v>
      </c>
      <c r="G137" s="31" t="n">
        <f aca="false">IF(B137="Clientes",SUMIFS(PARÂMETROS!$B$8:$B$907,PARÂMETROS!$G$8:$G$907,F137),SUMIFS(PARÂMETROS!$C$8:$C$907,PARÂMETROS!$G$8:$G$907,F137))</f>
        <v>197170</v>
      </c>
    </row>
    <row r="138" customFormat="false" ht="14.25" hidden="false" customHeight="true" outlineLevel="0" collapsed="false">
      <c r="A138" s="27" t="s">
        <v>43</v>
      </c>
      <c r="B138" s="28" t="s">
        <v>97</v>
      </c>
      <c r="C138" s="29" t="s">
        <v>111</v>
      </c>
      <c r="D138" s="21" t="n">
        <f aca="false">SUMIFS('CUSTOS MENSAIS'!$F:$F,'CUSTOS MENSAIS'!$A:$A,A138,'CUSTOS MENSAIS'!$H:$H,F138)</f>
        <v>26587.41885</v>
      </c>
      <c r="E138" s="21" t="n">
        <f aca="false">IFERROR(D138/IF(B138="Clientes",SUMIFS(PARÂMETROS!$B$8:$B$907,PARÂMETROS!$G$8:$G$907,F138),SUMIFS(PARÂMETROS!$C$8:$C$907,PARÂMETROS!$G$8:$G$907,F138)),0)</f>
        <v>0.134845153167318</v>
      </c>
      <c r="F138" s="11" t="s">
        <v>88</v>
      </c>
      <c r="G138" s="31" t="n">
        <f aca="false">IF(B138="Clientes",SUMIFS(PARÂMETROS!$B$8:$B$907,PARÂMETROS!$G$8:$G$907,F138),SUMIFS(PARÂMETROS!$C$8:$C$907,PARÂMETROS!$G$8:$G$907,F138))</f>
        <v>197170</v>
      </c>
    </row>
    <row r="139" customFormat="false" ht="14.25" hidden="false" customHeight="true" outlineLevel="0" collapsed="false">
      <c r="A139" s="27" t="s">
        <v>44</v>
      </c>
      <c r="B139" s="28" t="s">
        <v>99</v>
      </c>
      <c r="C139" s="29" t="s">
        <v>112</v>
      </c>
      <c r="D139" s="21" t="n">
        <f aca="false">SUMIFS('CUSTOS MENSAIS'!$F:$F,'CUSTOS MENSAIS'!$A:$A,A139,'CUSTOS MENSAIS'!$H:$H,F139)</f>
        <v>59052.04416</v>
      </c>
      <c r="E139" s="21" t="n">
        <f aca="false">IFERROR(D139/IF(B139="Clientes",SUMIFS(PARÂMETROS!$B$8:$B$907,PARÂMETROS!$G$8:$G$907,F139),SUMIFS(PARÂMETROS!$C$8:$C$907,PARÂMETROS!$G$8:$G$907,F139)),0)</f>
        <v>56.1331218250951</v>
      </c>
      <c r="F139" s="11" t="s">
        <v>88</v>
      </c>
      <c r="G139" s="31" t="n">
        <f aca="false">IF(B139="Clientes",SUMIFS(PARÂMETROS!$B$8:$B$907,PARÂMETROS!$G$8:$G$907,F139),SUMIFS(PARÂMETROS!$C$8:$C$907,PARÂMETROS!$G$8:$G$907,F139))</f>
        <v>1052</v>
      </c>
    </row>
    <row r="140" customFormat="false" ht="14.25" hidden="false" customHeight="true" outlineLevel="0" collapsed="false">
      <c r="A140" s="27" t="s">
        <v>45</v>
      </c>
      <c r="B140" s="28" t="s">
        <v>97</v>
      </c>
      <c r="C140" s="29" t="s">
        <v>113</v>
      </c>
      <c r="D140" s="21" t="n">
        <f aca="false">SUMIFS('CUSTOS MENSAIS'!$F:$F,'CUSTOS MENSAIS'!$A:$A,A140,'CUSTOS MENSAIS'!$H:$H,F140)</f>
        <v>73687.77593</v>
      </c>
      <c r="E140" s="21" t="n">
        <f aca="false">IFERROR(D140/IF(B140="Clientes",SUMIFS(PARÂMETROS!$B$8:$B$907,PARÂMETROS!$G$8:$G$907,F140),SUMIFS(PARÂMETROS!$C$8:$C$907,PARÂMETROS!$G$8:$G$907,F140)),0)</f>
        <v>0.373727118375006</v>
      </c>
      <c r="F140" s="11" t="s">
        <v>88</v>
      </c>
      <c r="G140" s="31" t="n">
        <f aca="false">IF(B140="Clientes",SUMIFS(PARÂMETROS!$B$8:$B$907,PARÂMETROS!$G$8:$G$907,F140),SUMIFS(PARÂMETROS!$C$8:$C$907,PARÂMETROS!$G$8:$G$907,F140))</f>
        <v>197170</v>
      </c>
    </row>
    <row r="141" customFormat="false" ht="14.25" hidden="false" customHeight="true" outlineLevel="0" collapsed="false">
      <c r="A141" s="27" t="s">
        <v>46</v>
      </c>
      <c r="B141" s="28" t="s">
        <v>97</v>
      </c>
      <c r="C141" s="29" t="s">
        <v>114</v>
      </c>
      <c r="D141" s="21" t="n">
        <f aca="false">SUMIFS('CUSTOS MENSAIS'!$F:$F,'CUSTOS MENSAIS'!$A:$A,A141,'CUSTOS MENSAIS'!$H:$H,F141)</f>
        <v>175276.64</v>
      </c>
      <c r="E141" s="21" t="n">
        <f aca="false">IFERROR(D141/IF(B141="Clientes",SUMIFS(PARÂMETROS!$B$8:$B$907,PARÂMETROS!$G$8:$G$907,F141),SUMIFS(PARÂMETROS!$C$8:$C$907,PARÂMETROS!$G$8:$G$907,F141)),0)</f>
        <v>0.888962012476543</v>
      </c>
      <c r="F141" s="11" t="s">
        <v>88</v>
      </c>
      <c r="G141" s="31" t="n">
        <f aca="false">IF(B141="Clientes",SUMIFS(PARÂMETROS!$B$8:$B$907,PARÂMETROS!$G$8:$G$907,F141),SUMIFS(PARÂMETROS!$C$8:$C$907,PARÂMETROS!$G$8:$G$907,F141))</f>
        <v>197170</v>
      </c>
    </row>
    <row r="142" customFormat="false" ht="14.25" hidden="false" customHeight="true" outlineLevel="0" collapsed="false">
      <c r="A142" s="27" t="s">
        <v>47</v>
      </c>
      <c r="B142" s="28" t="s">
        <v>97</v>
      </c>
      <c r="C142" s="29" t="s">
        <v>115</v>
      </c>
      <c r="D142" s="21" t="n">
        <f aca="false">SUMIFS('CUSTOS MENSAIS'!$F:$F,'CUSTOS MENSAIS'!$A:$A,A142,'CUSTOS MENSAIS'!$H:$H,F142)</f>
        <v>133708.32</v>
      </c>
      <c r="E142" s="21" t="n">
        <f aca="false">IFERROR(D142/IF(B142="Clientes",SUMIFS(PARÂMETROS!$B$8:$B$907,PARÂMETROS!$G$8:$G$907,F142),SUMIFS(PARÂMETROS!$C$8:$C$907,PARÂMETROS!$G$8:$G$907,F142)),0)</f>
        <v>0.678137241973931</v>
      </c>
      <c r="F142" s="11" t="s">
        <v>88</v>
      </c>
      <c r="G142" s="31" t="n">
        <f aca="false">IF(B142="Clientes",SUMIFS(PARÂMETROS!$B$8:$B$907,PARÂMETROS!$G$8:$G$907,F142),SUMIFS(PARÂMETROS!$C$8:$C$907,PARÂMETROS!$G$8:$G$907,F142))</f>
        <v>197170</v>
      </c>
    </row>
    <row r="143" customFormat="false" ht="14.25" hidden="false" customHeight="true" outlineLevel="0" collapsed="false">
      <c r="A143" s="27" t="s">
        <v>48</v>
      </c>
      <c r="B143" s="28" t="s">
        <v>97</v>
      </c>
      <c r="C143" s="29" t="s">
        <v>116</v>
      </c>
      <c r="D143" s="21" t="n">
        <f aca="false">SUMIFS('CUSTOS MENSAIS'!$F:$F,'CUSTOS MENSAIS'!$A:$A,A143,'CUSTOS MENSAIS'!$H:$H,F143)</f>
        <v>149308.52832</v>
      </c>
      <c r="E143" s="21" t="n">
        <f aca="false">IFERROR(D143/IF(B143="Clientes",SUMIFS(PARÂMETROS!$B$8:$B$907,PARÂMETROS!$G$8:$G$907,F143),SUMIFS(PARÂMETROS!$C$8:$C$907,PARÂMETROS!$G$8:$G$907,F143)),0)</f>
        <v>0.757257840036517</v>
      </c>
      <c r="F143" s="11" t="s">
        <v>88</v>
      </c>
      <c r="G143" s="31" t="n">
        <f aca="false">IF(B143="Clientes",SUMIFS(PARÂMETROS!$B$8:$B$907,PARÂMETROS!$G$8:$G$907,F143),SUMIFS(PARÂMETROS!$C$8:$C$907,PARÂMETROS!$G$8:$G$907,F143))</f>
        <v>197170</v>
      </c>
    </row>
    <row r="144" customFormat="false" ht="14.25" hidden="false" customHeight="true" outlineLevel="0" collapsed="false">
      <c r="A144" s="27" t="s">
        <v>49</v>
      </c>
      <c r="B144" s="28" t="s">
        <v>97</v>
      </c>
      <c r="C144" s="29" t="s">
        <v>117</v>
      </c>
      <c r="D144" s="21" t="n">
        <f aca="false">SUMIFS('CUSTOS MENSAIS'!$F:$F,'CUSTOS MENSAIS'!$A:$A,A144,'CUSTOS MENSAIS'!$H:$H,F144)</f>
        <v>31996.26708</v>
      </c>
      <c r="E144" s="21" t="n">
        <f aca="false">IFERROR(D144/IF(B144="Clientes",SUMIFS(PARÂMETROS!$B$8:$B$907,PARÂMETROS!$G$8:$G$907,F144),SUMIFS(PARÂMETROS!$C$8:$C$907,PARÂMETROS!$G$8:$G$907,F144)),0)</f>
        <v>0.162277562915251</v>
      </c>
      <c r="F144" s="11" t="s">
        <v>88</v>
      </c>
      <c r="G144" s="31" t="n">
        <f aca="false">IF(B144="Clientes",SUMIFS(PARÂMETROS!$B$8:$B$907,PARÂMETROS!$G$8:$G$907,F144),SUMIFS(PARÂMETROS!$C$8:$C$907,PARÂMETROS!$G$8:$G$907,F144))</f>
        <v>197170</v>
      </c>
    </row>
    <row r="145" customFormat="false" ht="14.25" hidden="false" customHeight="true" outlineLevel="0" collapsed="false">
      <c r="A145" s="27" t="s">
        <v>50</v>
      </c>
      <c r="B145" s="28" t="s">
        <v>97</v>
      </c>
      <c r="C145" s="29" t="s">
        <v>118</v>
      </c>
      <c r="D145" s="21" t="n">
        <f aca="false">SUMIFS('CUSTOS MENSAIS'!$F:$F,'CUSTOS MENSAIS'!$A:$A,A145,'CUSTOS MENSAIS'!$H:$H,F145)</f>
        <v>102382.15832</v>
      </c>
      <c r="E145" s="21" t="n">
        <f aca="false">IFERROR(D145/IF(B145="Clientes",SUMIFS(PARÂMETROS!$B$8:$B$907,PARÂMETROS!$G$8:$G$907,F145),SUMIFS(PARÂMETROS!$C$8:$C$907,PARÂMETROS!$G$8:$G$907,F145)),0)</f>
        <v>0.51925829649541</v>
      </c>
      <c r="F145" s="11" t="s">
        <v>88</v>
      </c>
      <c r="G145" s="31" t="n">
        <f aca="false">IF(B145="Clientes",SUMIFS(PARÂMETROS!$B$8:$B$907,PARÂMETROS!$G$8:$G$907,F145),SUMIFS(PARÂMETROS!$C$8:$C$907,PARÂMETROS!$G$8:$G$907,F145))</f>
        <v>197170</v>
      </c>
    </row>
    <row r="146" customFormat="false" ht="14.25" hidden="false" customHeight="true" outlineLevel="0" collapsed="false">
      <c r="A146" s="27" t="s">
        <v>51</v>
      </c>
      <c r="B146" s="28" t="s">
        <v>97</v>
      </c>
      <c r="C146" s="29" t="s">
        <v>119</v>
      </c>
      <c r="D146" s="21" t="n">
        <f aca="false">SUMIFS('CUSTOS MENSAIS'!$F:$F,'CUSTOS MENSAIS'!$A:$A,A146,'CUSTOS MENSAIS'!$H:$H,F146)</f>
        <v>139221.437267108</v>
      </c>
      <c r="E146" s="21" t="n">
        <f aca="false">IFERROR(D146/IF(B146="Clientes",SUMIFS(PARÂMETROS!$B$8:$B$907,PARÂMETROS!$G$8:$G$907,F146),SUMIFS(PARÂMETROS!$C$8:$C$907,PARÂMETROS!$G$8:$G$907,F146)),0)</f>
        <v>0.706098479825063</v>
      </c>
      <c r="F146" s="11" t="s">
        <v>88</v>
      </c>
      <c r="G146" s="31" t="n">
        <f aca="false">IF(B146="Clientes",SUMIFS(PARÂMETROS!$B$8:$B$907,PARÂMETROS!$G$8:$G$907,F146),SUMIFS(PARÂMETROS!$C$8:$C$907,PARÂMETROS!$G$8:$G$907,F146))</f>
        <v>197170</v>
      </c>
    </row>
    <row r="147" customFormat="false" ht="14.25" hidden="false" customHeight="true" outlineLevel="0" collapsed="false">
      <c r="A147" s="27" t="s">
        <v>52</v>
      </c>
      <c r="B147" s="28" t="s">
        <v>97</v>
      </c>
      <c r="C147" s="29" t="s">
        <v>120</v>
      </c>
      <c r="D147" s="21" t="n">
        <f aca="false">SUMIFS('CUSTOS MENSAIS'!$F:$F,'CUSTOS MENSAIS'!$A:$A,A147,'CUSTOS MENSAIS'!$H:$H,F147)</f>
        <v>39035.1861200783</v>
      </c>
      <c r="E147" s="21" t="n">
        <f aca="false">IFERROR(D147/IF(B147="Clientes",SUMIFS(PARÂMETROS!$B$8:$B$907,PARÂMETROS!$G$8:$G$907,F147),SUMIFS(PARÂMETROS!$C$8:$C$907,PARÂMETROS!$G$8:$G$907,F147)),0)</f>
        <v>0.197977309530244</v>
      </c>
      <c r="F147" s="11" t="s">
        <v>88</v>
      </c>
      <c r="G147" s="31" t="n">
        <f aca="false">IF(B147="Clientes",SUMIFS(PARÂMETROS!$B$8:$B$907,PARÂMETROS!$G$8:$G$907,F147),SUMIFS(PARÂMETROS!$C$8:$C$907,PARÂMETROS!$G$8:$G$907,F147))</f>
        <v>197170</v>
      </c>
    </row>
    <row r="148" customFormat="false" ht="14.25" hidden="false" customHeight="true" outlineLevel="0" collapsed="false">
      <c r="A148" s="27" t="s">
        <v>53</v>
      </c>
      <c r="B148" s="28" t="s">
        <v>97</v>
      </c>
      <c r="C148" s="29" t="s">
        <v>121</v>
      </c>
      <c r="D148" s="21" t="n">
        <f aca="false">SUMIFS('CUSTOS MENSAIS'!$F:$F,'CUSTOS MENSAIS'!$A:$A,A148,'CUSTOS MENSAIS'!$H:$H,F148)</f>
        <v>134983.410819323</v>
      </c>
      <c r="E148" s="21" t="n">
        <f aca="false">IFERROR(D148/IF(B148="Clientes",SUMIFS(PARÂMETROS!$B$8:$B$907,PARÂMETROS!$G$8:$G$907,F148),SUMIFS(PARÂMETROS!$C$8:$C$907,PARÂMETROS!$G$8:$G$907,F148)),0)</f>
        <v>0.684604203577232</v>
      </c>
      <c r="F148" s="11" t="s">
        <v>88</v>
      </c>
      <c r="G148" s="31" t="n">
        <f aca="false">IF(B148="Clientes",SUMIFS(PARÂMETROS!$B$8:$B$907,PARÂMETROS!$G$8:$G$907,F148),SUMIFS(PARÂMETROS!$C$8:$C$907,PARÂMETROS!$G$8:$G$907,F148))</f>
        <v>197170</v>
      </c>
    </row>
    <row r="149" customFormat="false" ht="14.25" hidden="false" customHeight="true" outlineLevel="0" collapsed="false">
      <c r="A149" s="27" t="s">
        <v>54</v>
      </c>
      <c r="B149" s="28" t="s">
        <v>135</v>
      </c>
      <c r="C149" s="29" t="s">
        <v>122</v>
      </c>
      <c r="D149" s="21" t="n">
        <f aca="false">SUMIFS('CUSTOS MENSAIS'!$F:$F,'CUSTOS MENSAIS'!$A:$A,A149,'CUSTOS MENSAIS'!$H:$H,F149)</f>
        <v>205129.686665041</v>
      </c>
      <c r="E149" s="21" t="n">
        <f aca="false">IFERROR(D149/G149,0)</f>
        <v>1228.32147703617</v>
      </c>
      <c r="F149" s="11" t="s">
        <v>88</v>
      </c>
      <c r="G149" s="31" t="n">
        <v>167</v>
      </c>
    </row>
    <row r="150" customFormat="false" ht="14.25" hidden="false" customHeight="true" outlineLevel="0" collapsed="false">
      <c r="A150" s="27" t="s">
        <v>55</v>
      </c>
      <c r="B150" s="28" t="s">
        <v>99</v>
      </c>
      <c r="C150" s="29" t="s">
        <v>123</v>
      </c>
      <c r="D150" s="21" t="n">
        <f aca="false">SUMIFS('CUSTOS MENSAIS'!$F:$F,'CUSTOS MENSAIS'!$A:$A,A150,'CUSTOS MENSAIS'!$H:$H,F150)</f>
        <v>23340.09</v>
      </c>
      <c r="E150" s="21" t="n">
        <f aca="false">IFERROR(D150/IF(B150="Clientes",SUMIFS(PARÂMETROS!$B$8:$B$907,PARÂMETROS!$G$8:$G$907,F150),SUMIFS(PARÂMETROS!$C$8:$C$907,PARÂMETROS!$G$8:$G$907,F150)),0)</f>
        <v>22.186397338403</v>
      </c>
      <c r="F150" s="11" t="s">
        <v>88</v>
      </c>
      <c r="G150" s="31" t="n">
        <f aca="false">IF(B150="Clientes",SUMIFS(PARÂMETROS!$B$8:$B$907,PARÂMETROS!$G$8:$G$907,F150),SUMIFS(PARÂMETROS!$C$8:$C$907,PARÂMETROS!$G$8:$G$907,F150))</f>
        <v>1052</v>
      </c>
    </row>
    <row r="151" customFormat="false" ht="14.25" hidden="false" customHeight="true" outlineLevel="0" collapsed="false">
      <c r="A151" s="27" t="s">
        <v>86</v>
      </c>
      <c r="B151" s="28" t="s">
        <v>97</v>
      </c>
      <c r="C151" s="29" t="s">
        <v>124</v>
      </c>
      <c r="D151" s="21" t="n">
        <f aca="false">SUMIFS('CUSTOS MENSAIS'!$F:$F,'CUSTOS MENSAIS'!$A:$A,A151,'CUSTOS MENSAIS'!$H:$H,F151)</f>
        <v>45319.1701435128</v>
      </c>
      <c r="E151" s="21" t="n">
        <f aca="false">IFERROR(D151/IF(B151="Clientes",SUMIFS(PARÂMETROS!$B$8:$B$907,PARÂMETROS!$G$8:$G$907,F151),SUMIFS(PARÂMETROS!$C$8:$C$907,PARÂMETROS!$G$8:$G$907,F151)),0)</f>
        <v>0.229848202787</v>
      </c>
      <c r="F151" s="11" t="s">
        <v>88</v>
      </c>
      <c r="G151" s="31" t="n">
        <f aca="false">IF(B151="Clientes",SUMIFS(PARÂMETROS!$B$8:$B$907,PARÂMETROS!$G$8:$G$907,F151),SUMIFS(PARÂMETROS!$C$8:$C$907,PARÂMETROS!$G$8:$G$907,F151))</f>
        <v>197170</v>
      </c>
    </row>
    <row r="152" customFormat="false" ht="14.25" hidden="false" customHeight="true" outlineLevel="0" collapsed="false">
      <c r="A152" s="27" t="s">
        <v>83</v>
      </c>
      <c r="B152" s="28" t="s">
        <v>97</v>
      </c>
      <c r="C152" s="29" t="s">
        <v>125</v>
      </c>
      <c r="D152" s="21" t="n">
        <f aca="false">SUMIFS('CUSTOS MENSAIS'!$F:$F,'CUSTOS MENSAIS'!$A:$A,A152,'CUSTOS MENSAIS'!$H:$H,F152)</f>
        <v>17264.55</v>
      </c>
      <c r="E152" s="21" t="n">
        <f aca="false">IFERROR(D152/IF(B152="Clientes",SUMIFS(PARÂMETROS!$B$8:$B$907,PARÂMETROS!$G$8:$G$907,F152),SUMIFS(PARÂMETROS!$C$8:$C$907,PARÂMETROS!$G$8:$G$907,F152)),0)</f>
        <v>0.087561748744738</v>
      </c>
      <c r="F152" s="11" t="s">
        <v>88</v>
      </c>
      <c r="G152" s="31" t="n">
        <f aca="false">IF(B152="Clientes",SUMIFS(PARÂMETROS!$B$8:$B$907,PARÂMETROS!$G$8:$G$907,F152),SUMIFS(PARÂMETROS!$C$8:$C$907,PARÂMETROS!$G$8:$G$907,F152))</f>
        <v>197170</v>
      </c>
    </row>
    <row r="153" customFormat="false" ht="14.25" hidden="false" customHeight="true" outlineLevel="0" collapsed="false">
      <c r="A153" s="27" t="s">
        <v>85</v>
      </c>
      <c r="B153" s="28" t="s">
        <v>97</v>
      </c>
      <c r="C153" s="29" t="s">
        <v>126</v>
      </c>
      <c r="D153" s="21" t="n">
        <f aca="false">SUMIFS('CUSTOS MENSAIS'!$F:$F,'CUSTOS MENSAIS'!$A:$A,A153,'CUSTOS MENSAIS'!$H:$H,F153)</f>
        <v>70647.5125831663</v>
      </c>
      <c r="E153" s="21" t="n">
        <f aca="false">IFERROR(D153/IF(B153="Clientes",SUMIFS(PARÂMETROS!$B$8:$B$907,PARÂMETROS!$G$8:$G$907,F153),SUMIFS(PARÂMETROS!$C$8:$C$907,PARÂMETROS!$G$8:$G$907,F153)),0)</f>
        <v>0.358307615677671</v>
      </c>
      <c r="F153" s="11" t="s">
        <v>88</v>
      </c>
      <c r="G153" s="31" t="n">
        <f aca="false">IF(B153="Clientes",SUMIFS(PARÂMETROS!$B$8:$B$907,PARÂMETROS!$G$8:$G$907,F153),SUMIFS(PARÂMETROS!$C$8:$C$907,PARÂMETROS!$G$8:$G$907,F153))</f>
        <v>197170</v>
      </c>
    </row>
    <row r="154" customFormat="false" ht="14.25" hidden="false" customHeight="true" outlineLevel="0" collapsed="false">
      <c r="A154" s="27" t="s">
        <v>87</v>
      </c>
      <c r="B154" s="28" t="s">
        <v>97</v>
      </c>
      <c r="C154" s="29" t="s">
        <v>127</v>
      </c>
      <c r="D154" s="21" t="n">
        <f aca="false">SUMIFS('CUSTOS MENSAIS'!$F:$F,'CUSTOS MENSAIS'!$A:$A,A154,'CUSTOS MENSAIS'!$H:$H,F154)</f>
        <v>37722.9163879403</v>
      </c>
      <c r="E154" s="21" t="n">
        <f aca="false">IFERROR(D154/IF(B154="Clientes",SUMIFS(PARÂMETROS!$B$8:$B$907,PARÂMETROS!$G$8:$G$907,F154),SUMIFS(PARÂMETROS!$C$8:$C$907,PARÂMETROS!$G$8:$G$907,F154)),0)</f>
        <v>0.191321785200285</v>
      </c>
      <c r="F154" s="11" t="s">
        <v>88</v>
      </c>
      <c r="G154" s="31" t="n">
        <f aca="false">IF(B154="Clientes",SUMIFS(PARÂMETROS!$B$8:$B$907,PARÂMETROS!$G$8:$G$907,F154),SUMIFS(PARÂMETROS!$C$8:$C$907,PARÂMETROS!$G$8:$G$907,F154))</f>
        <v>197170</v>
      </c>
    </row>
    <row r="155" customFormat="false" ht="14.25" hidden="false" customHeight="true" outlineLevel="0" collapsed="false">
      <c r="A155" s="27" t="s">
        <v>78</v>
      </c>
      <c r="B155" s="28" t="s">
        <v>97</v>
      </c>
      <c r="C155" s="29" t="s">
        <v>128</v>
      </c>
      <c r="D155" s="21" t="n">
        <f aca="false">SUMIFS('CUSTOS MENSAIS'!$F:$F,'CUSTOS MENSAIS'!$A:$A,A155,'CUSTOS MENSAIS'!$H:$H,F155)</f>
        <v>75785.85947</v>
      </c>
      <c r="E155" s="21" t="n">
        <f aca="false">IFERROR(D155/IF(B155="Clientes",SUMIFS(PARÂMETROS!$B$8:$B$907,PARÂMETROS!$G$8:$G$907,F155),SUMIFS(PARÂMETROS!$C$8:$C$907,PARÂMETROS!$G$8:$G$907,F155)),0)</f>
        <v>0.384368106050616</v>
      </c>
      <c r="F155" s="11" t="s">
        <v>88</v>
      </c>
      <c r="G155" s="31" t="n">
        <f aca="false">IF(B155="Clientes",SUMIFS(PARÂMETROS!$B$8:$B$907,PARÂMETROS!$G$8:$G$907,F155),SUMIFS(PARÂMETROS!$C$8:$C$907,PARÂMETROS!$G$8:$G$907,F155))</f>
        <v>197170</v>
      </c>
    </row>
    <row r="156" customFormat="false" ht="14.25" hidden="false" customHeight="true" outlineLevel="0" collapsed="false">
      <c r="A156" s="27" t="s">
        <v>81</v>
      </c>
      <c r="B156" s="28" t="s">
        <v>97</v>
      </c>
      <c r="C156" s="29" t="s">
        <v>129</v>
      </c>
      <c r="D156" s="21" t="n">
        <f aca="false">SUMIFS('CUSTOS MENSAIS'!$F:$F,'CUSTOS MENSAIS'!$A:$A,A156,'CUSTOS MENSAIS'!$H:$H,F156)</f>
        <v>15036.7009482308</v>
      </c>
      <c r="E156" s="21" t="n">
        <f aca="false">IFERROR(D156/IF(B156="Clientes",SUMIFS(PARÂMETROS!$B$8:$B$907,PARÂMETROS!$G$8:$G$907,F156),SUMIFS(PARÂMETROS!$C$8:$C$907,PARÂMETROS!$G$8:$G$907,F156)),0)</f>
        <v>0.0762626208258395</v>
      </c>
      <c r="F156" s="11" t="s">
        <v>88</v>
      </c>
      <c r="G156" s="31" t="n">
        <f aca="false">IF(B156="Clientes",SUMIFS(PARÂMETROS!$B$8:$B$907,PARÂMETROS!$G$8:$G$907,F156),SUMIFS(PARÂMETROS!$C$8:$C$907,PARÂMETROS!$G$8:$G$907,F156))</f>
        <v>197170</v>
      </c>
    </row>
    <row r="157" customFormat="false" ht="14.25" hidden="false" customHeight="true" outlineLevel="0" collapsed="false">
      <c r="A157" s="27" t="s">
        <v>84</v>
      </c>
      <c r="B157" s="28" t="s">
        <v>97</v>
      </c>
      <c r="C157" s="29" t="s">
        <v>130</v>
      </c>
      <c r="D157" s="21" t="n">
        <f aca="false">SUMIFS('CUSTOS MENSAIS'!$F:$F,'CUSTOS MENSAIS'!$A:$A,A157,'CUSTOS MENSAIS'!$H:$H,F157)</f>
        <v>215608.64</v>
      </c>
      <c r="E157" s="21" t="n">
        <f aca="false">IFERROR(D157/IF(B157="Clientes",SUMIFS(PARÂMETROS!$B$8:$B$907,PARÂMETROS!$G$8:$G$907,F157),SUMIFS(PARÂMETROS!$C$8:$C$907,PARÂMETROS!$G$8:$G$907,F157)),0)</f>
        <v>1.09351645787899</v>
      </c>
      <c r="F157" s="11" t="s">
        <v>88</v>
      </c>
      <c r="G157" s="31" t="n">
        <f aca="false">IF(B157="Clientes",SUMIFS(PARÂMETROS!$B$8:$B$907,PARÂMETROS!$G$8:$G$907,F157),SUMIFS(PARÂMETROS!$C$8:$C$907,PARÂMETROS!$G$8:$G$907,F157))</f>
        <v>197170</v>
      </c>
    </row>
    <row r="158" customFormat="false" ht="14.25" hidden="false" customHeight="true" outlineLevel="0" collapsed="false">
      <c r="A158" s="27" t="s">
        <v>82</v>
      </c>
      <c r="B158" s="28" t="s">
        <v>97</v>
      </c>
      <c r="C158" s="29" t="s">
        <v>131</v>
      </c>
      <c r="D158" s="21" t="n">
        <f aca="false">SUMIFS('CUSTOS MENSAIS'!$F:$F,'CUSTOS MENSAIS'!$A:$A,A158,'CUSTOS MENSAIS'!$H:$H,F158)</f>
        <v>136026.67</v>
      </c>
      <c r="E158" s="21" t="n">
        <f aca="false">IFERROR(D158/IF(B158="Clientes",SUMIFS(PARÂMETROS!$B$8:$B$907,PARÂMETROS!$G$8:$G$907,F158),SUMIFS(PARÂMETROS!$C$8:$C$907,PARÂMETROS!$G$8:$G$907,F158)),0)</f>
        <v>0.689895369478115</v>
      </c>
      <c r="F158" s="11" t="s">
        <v>88</v>
      </c>
      <c r="G158" s="31" t="n">
        <f aca="false">IF(B158="Clientes",SUMIFS(PARÂMETROS!$B$8:$B$907,PARÂMETROS!$G$8:$G$907,F158),SUMIFS(PARÂMETROS!$C$8:$C$907,PARÂMETROS!$G$8:$G$907,F158))</f>
        <v>197170</v>
      </c>
    </row>
    <row r="159" customFormat="false" ht="14.25" hidden="false" customHeight="true" outlineLevel="0" collapsed="false">
      <c r="A159" s="27" t="s">
        <v>80</v>
      </c>
      <c r="B159" s="28" t="s">
        <v>97</v>
      </c>
      <c r="C159" s="29" t="s">
        <v>132</v>
      </c>
      <c r="D159" s="21" t="n">
        <f aca="false">SUMIFS('CUSTOS MENSAIS'!$F:$F,'CUSTOS MENSAIS'!$A:$A,A159,'CUSTOS MENSAIS'!$H:$H,F159)</f>
        <v>11793.5748371711</v>
      </c>
      <c r="E159" s="21" t="n">
        <f aca="false">IFERROR(D159/IF(B159="Clientes",SUMIFS(PARÂMETROS!$B$8:$B$907,PARÂMETROS!$G$8:$G$907,F159),SUMIFS(PARÂMETROS!$C$8:$C$907,PARÂMETROS!$G$8:$G$907,F159)),0)</f>
        <v>0.0598142457634076</v>
      </c>
      <c r="F159" s="11" t="s">
        <v>88</v>
      </c>
      <c r="G159" s="31" t="n">
        <f aca="false">IF(B159="Clientes",SUMIFS(PARÂMETROS!$B$8:$B$907,PARÂMETROS!$G$8:$G$907,F159),SUMIFS(PARÂMETROS!$C$8:$C$907,PARÂMETROS!$G$8:$G$907,F159))</f>
        <v>197170</v>
      </c>
    </row>
    <row r="160" customFormat="false" ht="14.25" hidden="false" customHeight="true" outlineLevel="0" collapsed="false">
      <c r="A160" s="27" t="s">
        <v>79</v>
      </c>
      <c r="B160" s="28" t="s">
        <v>99</v>
      </c>
      <c r="C160" s="29" t="s">
        <v>133</v>
      </c>
      <c r="D160" s="21" t="n">
        <f aca="false">SUMIFS('CUSTOS MENSAIS'!$F:$F,'CUSTOS MENSAIS'!$A:$A,A160,'CUSTOS MENSAIS'!$H:$H,F160)</f>
        <v>108830.75708</v>
      </c>
      <c r="E160" s="21" t="n">
        <f aca="false">IFERROR(D160/IF(B160="Clientes",SUMIFS(PARÂMETROS!$B$8:$B$907,PARÂMETROS!$G$8:$G$907,F160),SUMIFS(PARÂMETROS!$C$8:$C$907,PARÂMETROS!$G$8:$G$907,F160)),0)</f>
        <v>103.45129</v>
      </c>
      <c r="F160" s="11" t="s">
        <v>88</v>
      </c>
      <c r="G160" s="31" t="n">
        <f aca="false">IF(B160="Clientes",SUMIFS(PARÂMETROS!$B$8:$B$907,PARÂMETROS!$G$8:$G$907,F160),SUMIFS(PARÂMETROS!$C$8:$C$907,PARÂMETROS!$G$8:$G$907,F160))</f>
        <v>1052</v>
      </c>
    </row>
    <row r="161" customFormat="false" ht="14.25" hidden="false" customHeight="true" outlineLevel="0" collapsed="false">
      <c r="A161" s="17" t="s">
        <v>145</v>
      </c>
      <c r="B161" s="32"/>
      <c r="C161" s="33"/>
      <c r="D161" s="34" t="n">
        <f aca="false">SUMIFS('CUSTOS MENSAIS'!$F:$F,'CUSTOS MENSAIS'!$A:$A,A161,'CUSTOS MENSAIS'!$H:$H,F161)</f>
        <v>0</v>
      </c>
      <c r="E161" s="34" t="n">
        <f aca="false">IFERROR(D161/IF(B161="Clientes",SUMIFS(PARÂMETROS!$B$8:$B$907,PARÂMETROS!$G$8:$G$907,F161),SUMIFS(PARÂMETROS!$C$8:$C$907,PARÂMETROS!$G$8:$G$907,F161)),0)</f>
        <v>0</v>
      </c>
      <c r="F161" s="32"/>
      <c r="G161" s="35" t="n">
        <f aca="false">IF(B161="Clientes",SUMIFS(PARÂMETROS!$B$8:$B$907,PARÂMETROS!$G$8:$G$907,F161),SUMIFS(PARÂMETROS!$C$8:$C$907,PARÂMETROS!$G$8:$G$907,F161))</f>
        <v>0</v>
      </c>
    </row>
    <row r="162" customFormat="false" ht="14.25" hidden="false" customHeight="true" outlineLevel="0" collapsed="false">
      <c r="A162" s="27" t="s">
        <v>89</v>
      </c>
      <c r="B162" s="28" t="s">
        <v>97</v>
      </c>
      <c r="C162" s="29" t="s">
        <v>138</v>
      </c>
      <c r="D162" s="21" t="n">
        <f aca="false">SUMIFS('CUSTOS MENSAIS'!$F:$F,'CUSTOS MENSAIS'!$A:$A,A162,'CUSTOS MENSAIS'!$H:$H,F162)</f>
        <v>8477.80332201957</v>
      </c>
      <c r="E162" s="21" t="n">
        <f aca="false">IFERROR(D162/IF(B162="Clientes",SUMIFS(PARÂMETROS!$B$8:$B$907,PARÂMETROS!$G$8:$G$907,F162),SUMIFS(PARÂMETROS!$C$8:$C$907,PARÂMETROS!$G$8:$G$907,F162)),0)</f>
        <v>0.0429974302481086</v>
      </c>
      <c r="F162" s="11" t="s">
        <v>88</v>
      </c>
      <c r="G162" s="31" t="n">
        <f aca="false">IF(B162="Clientes",SUMIFS(PARÂMETROS!$B$8:$B$907,PARÂMETROS!$G$8:$G$907,F162),SUMIFS(PARÂMETROS!$C$8:$C$907,PARÂMETROS!$G$8:$G$907,F162))</f>
        <v>197170</v>
      </c>
    </row>
    <row r="163" customFormat="false" ht="14.25" hidden="false" customHeight="true" outlineLevel="0" collapsed="false">
      <c r="A163" s="27" t="s">
        <v>139</v>
      </c>
      <c r="B163" s="28" t="s">
        <v>99</v>
      </c>
      <c r="C163" s="29" t="s">
        <v>140</v>
      </c>
      <c r="D163" s="21" t="n">
        <f aca="false">SUMIFS('CUSTOS MENSAIS'!$F:$F,'CUSTOS MENSAIS'!$A:$A,A163,'CUSTOS MENSAIS'!$H:$H,F163)</f>
        <v>29439.29</v>
      </c>
      <c r="E163" s="21" t="n">
        <f aca="false">IFERROR(D163/IF(B163="Clientes",SUMIFS(PARÂMETROS!$B$8:$B$907,PARÂMETROS!$G$8:$G$907,F163),SUMIFS(PARÂMETROS!$C$8:$C$907,PARÂMETROS!$G$8:$G$907,F163)),0)</f>
        <v>27.9841159695818</v>
      </c>
      <c r="F163" s="11" t="s">
        <v>88</v>
      </c>
      <c r="G163" s="31" t="n">
        <f aca="false">IF(B163="Clientes",SUMIFS(PARÂMETROS!$B$8:$B$907,PARÂMETROS!$G$8:$G$907,F163),SUMIFS(PARÂMETROS!$C$8:$C$907,PARÂMETROS!$G$8:$G$907,F163))</f>
        <v>1052</v>
      </c>
    </row>
    <row r="164" customFormat="false" ht="14.25" hidden="false" customHeight="true" outlineLevel="0" collapsed="false">
      <c r="A164" s="27" t="s">
        <v>141</v>
      </c>
      <c r="B164" s="28" t="s">
        <v>97</v>
      </c>
      <c r="C164" s="29" t="s">
        <v>142</v>
      </c>
      <c r="D164" s="21" t="n">
        <f aca="false">SUMIFS('CUSTOS MENSAIS'!$F:$F,'CUSTOS MENSAIS'!$A:$A,A164,'CUSTOS MENSAIS'!$H:$H,F164)</f>
        <v>25459.93</v>
      </c>
      <c r="E164" s="21" t="n">
        <f aca="false">IFERROR(D164/IF(B164="Clientes",SUMIFS(PARÂMETROS!$B$8:$B$907,PARÂMETROS!$G$8:$G$907,F164),SUMIFS(PARÂMETROS!$C$8:$C$907,PARÂMETROS!$G$8:$G$907,F164)),0)</f>
        <v>0.129126794137039</v>
      </c>
      <c r="F164" s="11" t="s">
        <v>88</v>
      </c>
      <c r="G164" s="31" t="n">
        <f aca="false">IF(B164="Clientes",SUMIFS(PARÂMETROS!$B$8:$B$907,PARÂMETROS!$G$8:$G$907,F164),SUMIFS(PARÂMETROS!$C$8:$C$907,PARÂMETROS!$G$8:$G$907,F164))</f>
        <v>197170</v>
      </c>
    </row>
    <row r="165" customFormat="false" ht="14.25" hidden="false" customHeight="true" outlineLevel="0" collapsed="false">
      <c r="A165" s="1" t="s">
        <v>143</v>
      </c>
      <c r="B165" s="1" t="s">
        <v>97</v>
      </c>
      <c r="C165" s="1" t="s">
        <v>144</v>
      </c>
      <c r="D165" s="1" t="n">
        <f aca="false">SUMIFS('CUSTOS MENSAIS'!$F:$F,'CUSTOS MENSAIS'!$A:$A,A165,'CUSTOS MENSAIS'!$H:$H,F165)</f>
        <v>49885.4277</v>
      </c>
      <c r="E165" s="1" t="n">
        <f aca="false">IFERROR(D165/IF(B165="Clientes",SUMIFS(PARÂMETROS!$B$8:$B$907,PARÂMETROS!$G$8:$G$907,F165),SUMIFS(PARÂMETROS!$C$8:$C$907,PARÂMETROS!$G$8:$G$907,F165)),0)</f>
        <v>0.253007190241923</v>
      </c>
      <c r="F165" s="1" t="s">
        <v>88</v>
      </c>
      <c r="G165" s="1" t="n">
        <f aca="false">IF(B165="Clientes",SUMIFS(PARÂMETROS!$B$8:$B$907,PARÂMETROS!$G$8:$G$907,F165),SUMIFS(PARÂMETROS!$C$8:$C$907,PARÂMETROS!$G$8:$G$907,F165))</f>
        <v>197170</v>
      </c>
    </row>
    <row r="166" customFormat="false" ht="14.25" hidden="false" customHeight="true" outlineLevel="0" collapsed="false">
      <c r="A166" s="1" t="s">
        <v>146</v>
      </c>
      <c r="B166" s="1" t="s">
        <v>97</v>
      </c>
      <c r="C166" s="1" t="s">
        <v>147</v>
      </c>
      <c r="D166" s="1" t="n">
        <f aca="false">SUMIFS('CUSTOS MENSAIS'!$F:$F,'CUSTOS MENSAIS'!$A:$A,A166,'CUSTOS MENSAIS'!$H:$H,F166)</f>
        <v>17652.4</v>
      </c>
      <c r="E166" s="1" t="n">
        <f aca="false">IFERROR(D166/IF(B166="Clientes",SUMIFS(PARÂMETROS!$B$8:$B$907,PARÂMETROS!$G$8:$G$907,F166),SUMIFS(PARÂMETROS!$C$8:$C$907,PARÂMETROS!$G$8:$G$907,F166)),0)</f>
        <v>0.0922629843148118</v>
      </c>
      <c r="F166" s="1" t="s">
        <v>20</v>
      </c>
      <c r="G166" s="1" t="n">
        <f aca="false">IF(B166="Clientes",SUMIFS(PARÂMETROS!$B$8:$B$907,PARÂMETROS!$G$8:$G$907,F166),SUMIFS(PARÂMETROS!$C$8:$C$907,PARÂMETROS!$G$8:$G$907,F166))</f>
        <v>191327</v>
      </c>
    </row>
    <row r="167" customFormat="false" ht="14.25" hidden="false" customHeight="true" outlineLevel="0" collapsed="false">
      <c r="A167" s="1" t="s">
        <v>146</v>
      </c>
      <c r="B167" s="1" t="s">
        <v>97</v>
      </c>
      <c r="C167" s="1" t="s">
        <v>147</v>
      </c>
      <c r="D167" s="1" t="n">
        <f aca="false">SUMIFS('CUSTOS MENSAIS'!$F:$F,'CUSTOS MENSAIS'!$A:$A,A167,'CUSTOS MENSAIS'!$H:$H,F167)</f>
        <v>24751.5733</v>
      </c>
      <c r="E167" s="1" t="n">
        <f aca="false">IFERROR(D167/IF(B167="Clientes",SUMIFS(PARÂMETROS!$B$8:$B$907,PARÂMETROS!$G$8:$G$907,F167),SUMIFS(PARÂMETROS!$C$8:$C$907,PARÂMETROS!$G$8:$G$907,F167)),0)</f>
        <v>0.127033423320314</v>
      </c>
      <c r="F167" s="1" t="s">
        <v>11</v>
      </c>
      <c r="G167" s="1" t="n">
        <f aca="false">IF(B167="Clientes",SUMIFS(PARÂMETROS!$B$8:$B$907,PARÂMETROS!$G$8:$G$907,F167),SUMIFS(PARÂMETROS!$C$8:$C$907,PARÂMETROS!$G$8:$G$907,F167))</f>
        <v>194843</v>
      </c>
    </row>
    <row r="168" customFormat="false" ht="14.25" hidden="false" customHeight="true" outlineLevel="0" collapsed="false">
      <c r="A168" s="1" t="s">
        <v>146</v>
      </c>
      <c r="B168" s="1" t="s">
        <v>97</v>
      </c>
      <c r="C168" s="1" t="s">
        <v>147</v>
      </c>
      <c r="D168" s="1" t="n">
        <f aca="false">SUMIFS('CUSTOS MENSAIS'!$F:$F,'CUSTOS MENSAIS'!$A:$A,A168,'CUSTOS MENSAIS'!$H:$H,F168)</f>
        <v>24502.1915</v>
      </c>
      <c r="E168" s="1" t="n">
        <f aca="false">IFERROR(D168/IF(B168="Clientes",SUMIFS(PARÂMETROS!$B$8:$B$907,PARÂMETROS!$G$8:$G$907,F168),SUMIFS(PARÂMETROS!$C$8:$C$907,PARÂMETROS!$G$8:$G$907,F168)),0)</f>
        <v>0.121604396722434</v>
      </c>
      <c r="F168" s="1" t="s">
        <v>21</v>
      </c>
      <c r="G168" s="1" t="n">
        <f aca="false">IF(B168="Clientes",SUMIFS(PARÂMETROS!$B$8:$B$907,PARÂMETROS!$G$8:$G$907,F168),SUMIFS(PARÂMETROS!$C$8:$C$907,PARÂMETROS!$G$8:$G$907,F168))</f>
        <v>201491</v>
      </c>
    </row>
    <row r="169" customFormat="false" ht="14.25" hidden="false" customHeight="true" outlineLevel="0" collapsed="false">
      <c r="A169" s="1" t="s">
        <v>146</v>
      </c>
      <c r="B169" s="1" t="s">
        <v>97</v>
      </c>
      <c r="C169" s="1" t="s">
        <v>147</v>
      </c>
      <c r="D169" s="1" t="n">
        <f aca="false">SUMIFS('CUSTOS MENSAIS'!$F:$F,'CUSTOS MENSAIS'!$A:$A,A169,'CUSTOS MENSAIS'!$H:$H,F169)</f>
        <v>26713.33531</v>
      </c>
      <c r="E169" s="1" t="n">
        <f aca="false">IFERROR(D169/IF(B169="Clientes",SUMIFS(PARÂMETROS!$B$8:$B$907,PARÂMETROS!$G$8:$G$907,F169),SUMIFS(PARÂMETROS!$C$8:$C$907,PARÂMETROS!$G$8:$G$907,F169)),0)</f>
        <v>0.135483771922706</v>
      </c>
      <c r="F169" s="1" t="s">
        <v>88</v>
      </c>
      <c r="G169" s="1" t="n">
        <f aca="false">IF(B169="Clientes",SUMIFS(PARÂMETROS!$B$8:$B$907,PARÂMETROS!$G$8:$G$907,F169),SUMIFS(PARÂMETROS!$C$8:$C$907,PARÂMETROS!$G$8:$G$907,F169))</f>
        <v>197170</v>
      </c>
    </row>
    <row r="170" customFormat="false" ht="14.25" hidden="false" customHeight="true" outlineLevel="0" collapsed="false"/>
  </sheetData>
  <mergeCells count="2">
    <mergeCell ref="A1:E1"/>
    <mergeCell ref="A2:G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60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E2306" activeCellId="0" sqref="E230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36" width="20.66"/>
    <col collapsed="false" customWidth="true" hidden="false" outlineLevel="0" max="3" min="3" style="36" width="62"/>
    <col collapsed="false" customWidth="true" hidden="false" outlineLevel="0" max="4" min="4" style="36" width="15.78"/>
    <col collapsed="false" customWidth="true" hidden="false" outlineLevel="0" max="5" min="5" style="37" width="18.34"/>
    <col collapsed="false" customWidth="true" hidden="false" outlineLevel="0" max="6" min="6" style="37" width="16.56"/>
    <col collapsed="false" customWidth="true" hidden="false" outlineLevel="0" max="7" min="7" style="36" width="16"/>
    <col collapsed="false" customWidth="true" hidden="false" outlineLevel="0" max="8" min="8" style="36" width="12"/>
  </cols>
  <sheetData>
    <row r="1" customFormat="false" ht="14.25" hidden="false" customHeight="true" outlineLevel="0" collapsed="false">
      <c r="A1" s="38" t="s">
        <v>148</v>
      </c>
      <c r="B1" s="38"/>
      <c r="C1" s="38"/>
      <c r="D1" s="38"/>
      <c r="E1" s="38"/>
      <c r="F1" s="38"/>
      <c r="G1" s="38"/>
    </row>
    <row r="2" customFormat="false" ht="14.25" hidden="false" customHeight="true" outlineLevel="0" collapsed="false">
      <c r="A2" s="39" t="s">
        <v>149</v>
      </c>
    </row>
    <row r="3" customFormat="false" ht="14.25" hidden="false" customHeight="true" outlineLevel="0" collapsed="false"/>
    <row r="4" customFormat="false" ht="26.25" hidden="false" customHeight="true" outlineLevel="0" collapsed="false">
      <c r="A4" s="6" t="s">
        <v>24</v>
      </c>
      <c r="B4" s="40" t="s">
        <v>150</v>
      </c>
      <c r="C4" s="40" t="s">
        <v>151</v>
      </c>
      <c r="D4" s="40" t="s">
        <v>152</v>
      </c>
      <c r="E4" s="41" t="s">
        <v>153</v>
      </c>
      <c r="F4" s="41" t="s">
        <v>154</v>
      </c>
      <c r="G4" s="40" t="s">
        <v>92</v>
      </c>
      <c r="H4" s="40" t="s">
        <v>9</v>
      </c>
    </row>
    <row r="5" customFormat="false" ht="14.25" hidden="false" customHeight="true" outlineLevel="0" collapsed="false">
      <c r="A5" s="16" t="s">
        <v>55</v>
      </c>
      <c r="B5" s="42" t="s">
        <v>155</v>
      </c>
      <c r="C5" s="42" t="s">
        <v>156</v>
      </c>
      <c r="D5" s="43" t="n">
        <v>1</v>
      </c>
      <c r="E5" s="44" t="n">
        <v>21454</v>
      </c>
      <c r="F5" s="45" t="n">
        <f aca="false">IFERROR(D5*E5,0)</f>
        <v>21454</v>
      </c>
      <c r="G5" s="42" t="str">
        <f aca="false">INDEX(SETORES!$B:$B,MATCH(A5,SETORES!$A:$A,0))</f>
        <v>Funcionários</v>
      </c>
      <c r="H5" s="42" t="s">
        <v>88</v>
      </c>
    </row>
    <row r="6" customFormat="false" ht="14.25" hidden="false" customHeight="true" outlineLevel="0" collapsed="false">
      <c r="A6" s="16" t="s">
        <v>55</v>
      </c>
      <c r="B6" s="42" t="s">
        <v>157</v>
      </c>
      <c r="C6" s="42" t="s">
        <v>158</v>
      </c>
      <c r="D6" s="43"/>
      <c r="E6" s="44"/>
      <c r="F6" s="45" t="n">
        <f aca="false">IFERROR(D6*E6,0)</f>
        <v>0</v>
      </c>
      <c r="G6" s="42" t="str">
        <f aca="false">INDEX(SETORES!$B:$B,MATCH(A6,SETORES!$A:$A,0))</f>
        <v>Funcionários</v>
      </c>
      <c r="H6" s="42" t="s">
        <v>88</v>
      </c>
    </row>
    <row r="7" customFormat="false" ht="14.25" hidden="false" customHeight="true" outlineLevel="0" collapsed="false">
      <c r="A7" s="16" t="s">
        <v>55</v>
      </c>
      <c r="B7" s="42" t="s">
        <v>155</v>
      </c>
      <c r="C7" s="42" t="s">
        <v>159</v>
      </c>
      <c r="D7" s="43" t="n">
        <v>1</v>
      </c>
      <c r="E7" s="44" t="n">
        <v>99</v>
      </c>
      <c r="F7" s="45" t="n">
        <f aca="false">IFERROR(D7*E7,0)</f>
        <v>99</v>
      </c>
      <c r="G7" s="42" t="str">
        <f aca="false">INDEX(SETORES!$B:$B,MATCH(A7,SETORES!$A:$A,0))</f>
        <v>Funcionários</v>
      </c>
      <c r="H7" s="42" t="s">
        <v>88</v>
      </c>
    </row>
    <row r="8" customFormat="false" ht="14.25" hidden="false" customHeight="true" outlineLevel="0" collapsed="false">
      <c r="A8" s="16" t="s">
        <v>55</v>
      </c>
      <c r="B8" s="42" t="s">
        <v>155</v>
      </c>
      <c r="C8" s="42" t="s">
        <v>160</v>
      </c>
      <c r="D8" s="43"/>
      <c r="E8" s="44"/>
      <c r="F8" s="45" t="n">
        <f aca="false">IFERROR(D8*E8,0)</f>
        <v>0</v>
      </c>
      <c r="G8" s="42" t="str">
        <f aca="false">INDEX(SETORES!$B:$B,MATCH(A8,SETORES!$A:$A,0))</f>
        <v>Funcionários</v>
      </c>
      <c r="H8" s="42" t="s">
        <v>88</v>
      </c>
    </row>
    <row r="9" customFormat="false" ht="14.25" hidden="false" customHeight="true" outlineLevel="0" collapsed="false">
      <c r="A9" s="16" t="s">
        <v>55</v>
      </c>
      <c r="B9" s="42" t="s">
        <v>155</v>
      </c>
      <c r="C9" s="42" t="s">
        <v>161</v>
      </c>
      <c r="D9" s="43" t="n">
        <v>1</v>
      </c>
      <c r="E9" s="44" t="n">
        <v>1787.09</v>
      </c>
      <c r="F9" s="45" t="n">
        <f aca="false">IFERROR(D9*E9,0)</f>
        <v>1787.09</v>
      </c>
      <c r="G9" s="42" t="str">
        <f aca="false">INDEX(SETORES!$B:$B,MATCH(A9,SETORES!$A:$A,0))</f>
        <v>Funcionários</v>
      </c>
      <c r="H9" s="42" t="s">
        <v>88</v>
      </c>
    </row>
    <row r="10" customFormat="false" ht="14.25" hidden="false" customHeight="true" outlineLevel="0" collapsed="false">
      <c r="A10" s="16" t="s">
        <v>89</v>
      </c>
      <c r="B10" s="42" t="s">
        <v>155</v>
      </c>
      <c r="C10" s="42" t="s">
        <v>162</v>
      </c>
      <c r="D10" s="43" t="n">
        <v>2</v>
      </c>
      <c r="E10" s="44" t="n">
        <v>0.342924528301887</v>
      </c>
      <c r="F10" s="45" t="n">
        <f aca="false">IFERROR(D10*E10,0)</f>
        <v>0.685849056603774</v>
      </c>
      <c r="G10" s="42" t="str">
        <f aca="false">INDEX(SETORES!$B:$B,MATCH(A10,SETORES!$A:$A,0))</f>
        <v>Clientes</v>
      </c>
      <c r="H10" s="42" t="s">
        <v>88</v>
      </c>
    </row>
    <row r="11" customFormat="false" ht="14.25" hidden="false" customHeight="true" outlineLevel="0" collapsed="false">
      <c r="A11" s="16" t="s">
        <v>89</v>
      </c>
      <c r="B11" s="42" t="s">
        <v>155</v>
      </c>
      <c r="C11" s="42" t="s">
        <v>163</v>
      </c>
      <c r="D11" s="43" t="n">
        <v>1</v>
      </c>
      <c r="E11" s="44" t="n">
        <v>30</v>
      </c>
      <c r="F11" s="45" t="n">
        <f aca="false">IFERROR(D11*E11,0)</f>
        <v>30</v>
      </c>
      <c r="G11" s="42" t="str">
        <f aca="false">INDEX(SETORES!$B:$B,MATCH(A11,SETORES!$A:$A,0))</f>
        <v>Clientes</v>
      </c>
      <c r="H11" s="42" t="s">
        <v>88</v>
      </c>
    </row>
    <row r="12" customFormat="false" ht="14.25" hidden="false" customHeight="true" outlineLevel="0" collapsed="false">
      <c r="A12" s="16" t="s">
        <v>89</v>
      </c>
      <c r="B12" s="42" t="s">
        <v>155</v>
      </c>
      <c r="C12" s="42" t="s">
        <v>164</v>
      </c>
      <c r="D12" s="43" t="n">
        <v>1</v>
      </c>
      <c r="E12" s="44" t="n">
        <v>582.06</v>
      </c>
      <c r="F12" s="45" t="n">
        <f aca="false">IFERROR(D12*E12,0)</f>
        <v>582.06</v>
      </c>
      <c r="G12" s="42" t="str">
        <f aca="false">INDEX(SETORES!$B:$B,MATCH(A12,SETORES!$A:$A,0))</f>
        <v>Clientes</v>
      </c>
      <c r="H12" s="42" t="s">
        <v>88</v>
      </c>
    </row>
    <row r="13" customFormat="false" ht="14.25" hidden="false" customHeight="true" outlineLevel="0" collapsed="false">
      <c r="A13" s="16" t="s">
        <v>89</v>
      </c>
      <c r="B13" s="42" t="s">
        <v>155</v>
      </c>
      <c r="C13" s="42" t="s">
        <v>165</v>
      </c>
      <c r="D13" s="43" t="n">
        <v>2</v>
      </c>
      <c r="E13" s="44" t="n">
        <v>52.09</v>
      </c>
      <c r="F13" s="45" t="n">
        <f aca="false">IFERROR(D13*E13,0)</f>
        <v>104.18</v>
      </c>
      <c r="G13" s="42" t="s">
        <v>99</v>
      </c>
      <c r="H13" s="42" t="s">
        <v>88</v>
      </c>
    </row>
    <row r="14" customFormat="false" ht="14.25" hidden="false" customHeight="true" outlineLevel="0" collapsed="false">
      <c r="A14" s="16" t="s">
        <v>89</v>
      </c>
      <c r="B14" s="42" t="s">
        <v>155</v>
      </c>
      <c r="C14" s="42" t="s">
        <v>166</v>
      </c>
      <c r="D14" s="43" t="n">
        <v>2</v>
      </c>
      <c r="E14" s="44" t="n">
        <v>32.55</v>
      </c>
      <c r="F14" s="45" t="n">
        <f aca="false">IFERROR(D14*E14,0)</f>
        <v>65.1</v>
      </c>
      <c r="G14" s="42" t="s">
        <v>99</v>
      </c>
      <c r="H14" s="42" t="s">
        <v>88</v>
      </c>
    </row>
    <row r="15" customFormat="false" ht="14.25" hidden="false" customHeight="true" outlineLevel="0" collapsed="false">
      <c r="A15" s="16" t="s">
        <v>89</v>
      </c>
      <c r="B15" s="42" t="s">
        <v>155</v>
      </c>
      <c r="C15" s="42" t="s">
        <v>167</v>
      </c>
      <c r="D15" s="43" t="n">
        <v>2</v>
      </c>
      <c r="E15" s="44" t="n">
        <v>52.35</v>
      </c>
      <c r="F15" s="45" t="n">
        <f aca="false">IFERROR(D15*E15,0)</f>
        <v>104.7</v>
      </c>
      <c r="G15" s="42" t="s">
        <v>99</v>
      </c>
      <c r="H15" s="42" t="s">
        <v>88</v>
      </c>
    </row>
    <row r="16" customFormat="false" ht="14.25" hidden="false" customHeight="true" outlineLevel="0" collapsed="false">
      <c r="A16" s="16" t="s">
        <v>89</v>
      </c>
      <c r="B16" s="42" t="s">
        <v>155</v>
      </c>
      <c r="C16" s="42" t="s">
        <v>168</v>
      </c>
      <c r="D16" s="43" t="n">
        <v>2</v>
      </c>
      <c r="E16" s="44" t="n">
        <v>124.491481481482</v>
      </c>
      <c r="F16" s="45" t="n">
        <f aca="false">IFERROR(D16*E16,0)</f>
        <v>248.982962962964</v>
      </c>
      <c r="G16" s="42" t="str">
        <f aca="false">INDEX(SETORES!$B:$B,MATCH(A16,SETORES!$A:$A,0))</f>
        <v>Clientes</v>
      </c>
      <c r="H16" s="42" t="s">
        <v>88</v>
      </c>
    </row>
    <row r="17" customFormat="false" ht="14.25" hidden="false" customHeight="true" outlineLevel="0" collapsed="false">
      <c r="A17" s="16" t="s">
        <v>89</v>
      </c>
      <c r="B17" s="42" t="s">
        <v>155</v>
      </c>
      <c r="C17" s="42" t="s">
        <v>169</v>
      </c>
      <c r="D17" s="43" t="n">
        <v>1</v>
      </c>
      <c r="E17" s="44" t="n">
        <v>7220.72</v>
      </c>
      <c r="F17" s="45" t="n">
        <f aca="false">IFERROR(D17*E17,0)</f>
        <v>7220.72</v>
      </c>
      <c r="G17" s="42" t="str">
        <f aca="false">INDEX(SETORES!$B:$B,MATCH(A17,SETORES!$A:$A,0))</f>
        <v>Clientes</v>
      </c>
      <c r="H17" s="42" t="s">
        <v>88</v>
      </c>
    </row>
    <row r="18" customFormat="false" ht="14.25" hidden="false" customHeight="true" outlineLevel="0" collapsed="false">
      <c r="A18" s="16" t="s">
        <v>89</v>
      </c>
      <c r="B18" s="42" t="s">
        <v>155</v>
      </c>
      <c r="C18" s="42" t="s">
        <v>170</v>
      </c>
      <c r="D18" s="43"/>
      <c r="E18" s="44"/>
      <c r="F18" s="45" t="n">
        <f aca="false">IFERROR(D18*E18,0)</f>
        <v>0</v>
      </c>
      <c r="G18" s="42" t="str">
        <f aca="false">INDEX(SETORES!$B:$B,MATCH(A18,SETORES!$A:$A,0))</f>
        <v>Clientes</v>
      </c>
      <c r="H18" s="42" t="s">
        <v>88</v>
      </c>
    </row>
    <row r="19" customFormat="false" ht="14.25" hidden="false" customHeight="true" outlineLevel="0" collapsed="false">
      <c r="A19" s="16" t="s">
        <v>89</v>
      </c>
      <c r="B19" s="42" t="s">
        <v>155</v>
      </c>
      <c r="C19" s="42" t="s">
        <v>171</v>
      </c>
      <c r="D19" s="43" t="n">
        <v>2</v>
      </c>
      <c r="E19" s="44" t="n">
        <v>8.817255</v>
      </c>
      <c r="F19" s="45" t="n">
        <f aca="false">IFERROR(D19*E19,0)</f>
        <v>17.63451</v>
      </c>
      <c r="G19" s="42" t="str">
        <f aca="false">INDEX(SETORES!$B:$B,MATCH(A19,SETORES!$A:$A,0))</f>
        <v>Clientes</v>
      </c>
      <c r="H19" s="42" t="s">
        <v>88</v>
      </c>
    </row>
    <row r="20" customFormat="false" ht="14.25" hidden="false" customHeight="true" outlineLevel="0" collapsed="false">
      <c r="A20" s="16" t="s">
        <v>89</v>
      </c>
      <c r="B20" s="42" t="s">
        <v>155</v>
      </c>
      <c r="C20" s="42" t="s">
        <v>172</v>
      </c>
      <c r="D20" s="43" t="n">
        <v>2</v>
      </c>
      <c r="E20" s="44" t="n">
        <v>50</v>
      </c>
      <c r="F20" s="45" t="n">
        <f aca="false">IFERROR(D20*E20,0)</f>
        <v>100</v>
      </c>
      <c r="G20" s="42" t="str">
        <f aca="false">INDEX(SETORES!$B:$B,MATCH(A20,SETORES!$A:$A,0))</f>
        <v>Clientes</v>
      </c>
      <c r="H20" s="42" t="s">
        <v>88</v>
      </c>
    </row>
    <row r="21" customFormat="false" ht="14.25" hidden="false" customHeight="true" outlineLevel="0" collapsed="false">
      <c r="A21" s="16" t="s">
        <v>89</v>
      </c>
      <c r="B21" s="42" t="s">
        <v>155</v>
      </c>
      <c r="C21" s="42" t="s">
        <v>173</v>
      </c>
      <c r="D21" s="43" t="n">
        <v>2</v>
      </c>
      <c r="E21" s="44" t="n">
        <v>1.87</v>
      </c>
      <c r="F21" s="45" t="n">
        <f aca="false">IFERROR(D21*E21,0)</f>
        <v>3.74</v>
      </c>
      <c r="G21" s="42" t="str">
        <f aca="false">INDEX(SETORES!$B:$B,MATCH(A21,SETORES!$A:$A,0))</f>
        <v>Clientes</v>
      </c>
      <c r="H21" s="42" t="s">
        <v>88</v>
      </c>
    </row>
    <row r="22" customFormat="false" ht="14.25" hidden="false" customHeight="true" outlineLevel="0" collapsed="false">
      <c r="A22" s="16" t="s">
        <v>35</v>
      </c>
      <c r="B22" s="42" t="s">
        <v>155</v>
      </c>
      <c r="C22" s="42" t="s">
        <v>162</v>
      </c>
      <c r="D22" s="43" t="n">
        <v>5</v>
      </c>
      <c r="E22" s="44" t="n">
        <v>0.342924528301887</v>
      </c>
      <c r="F22" s="45" t="n">
        <f aca="false">IFERROR(D22*E22,0)</f>
        <v>1.71462264150944</v>
      </c>
      <c r="G22" s="42" t="str">
        <f aca="false">INDEX(SETORES!$B:$B,MATCH(A22,SETORES!$A:$A,0))</f>
        <v>Clientes</v>
      </c>
      <c r="H22" s="42" t="s">
        <v>88</v>
      </c>
    </row>
    <row r="23" customFormat="false" ht="14.25" hidden="false" customHeight="true" outlineLevel="0" collapsed="false">
      <c r="A23" s="16" t="s">
        <v>35</v>
      </c>
      <c r="B23" s="42" t="s">
        <v>155</v>
      </c>
      <c r="C23" s="42" t="s">
        <v>163</v>
      </c>
      <c r="D23" s="43" t="n">
        <v>1</v>
      </c>
      <c r="E23" s="44" t="n">
        <v>30</v>
      </c>
      <c r="F23" s="45" t="n">
        <f aca="false">IFERROR(D23*E23,0)</f>
        <v>30</v>
      </c>
      <c r="G23" s="42" t="str">
        <f aca="false">INDEX(SETORES!$B:$B,MATCH(A23,SETORES!$A:$A,0))</f>
        <v>Clientes</v>
      </c>
      <c r="H23" s="42" t="s">
        <v>88</v>
      </c>
    </row>
    <row r="24" customFormat="false" ht="14.25" hidden="false" customHeight="true" outlineLevel="0" collapsed="false">
      <c r="A24" s="16" t="s">
        <v>35</v>
      </c>
      <c r="B24" s="42" t="s">
        <v>155</v>
      </c>
      <c r="C24" s="42" t="s">
        <v>164</v>
      </c>
      <c r="D24" s="43" t="n">
        <v>1</v>
      </c>
      <c r="E24" s="44" t="n">
        <v>1455.14</v>
      </c>
      <c r="F24" s="45" t="n">
        <f aca="false">IFERROR(D24*E24,0)</f>
        <v>1455.14</v>
      </c>
      <c r="G24" s="42" t="str">
        <f aca="false">INDEX(SETORES!$B:$B,MATCH(A24,SETORES!$A:$A,0))</f>
        <v>Clientes</v>
      </c>
      <c r="H24" s="42" t="s">
        <v>88</v>
      </c>
    </row>
    <row r="25" customFormat="false" ht="14.25" hidden="false" customHeight="true" outlineLevel="0" collapsed="false">
      <c r="A25" s="16" t="s">
        <v>35</v>
      </c>
      <c r="B25" s="42" t="s">
        <v>155</v>
      </c>
      <c r="C25" s="42" t="s">
        <v>165</v>
      </c>
      <c r="D25" s="43" t="n">
        <v>5</v>
      </c>
      <c r="E25" s="44" t="n">
        <v>52.09</v>
      </c>
      <c r="F25" s="45" t="n">
        <f aca="false">IFERROR(D25*E25,0)</f>
        <v>260.45</v>
      </c>
      <c r="G25" s="42" t="s">
        <v>99</v>
      </c>
      <c r="H25" s="42" t="s">
        <v>88</v>
      </c>
    </row>
    <row r="26" customFormat="false" ht="14.25" hidden="false" customHeight="true" outlineLevel="0" collapsed="false">
      <c r="A26" s="16" t="s">
        <v>35</v>
      </c>
      <c r="B26" s="42" t="s">
        <v>155</v>
      </c>
      <c r="C26" s="42" t="s">
        <v>166</v>
      </c>
      <c r="D26" s="43" t="n">
        <v>5</v>
      </c>
      <c r="E26" s="44" t="n">
        <v>32.55</v>
      </c>
      <c r="F26" s="45" t="n">
        <f aca="false">IFERROR(D26*E26,0)</f>
        <v>162.75</v>
      </c>
      <c r="G26" s="42" t="s">
        <v>99</v>
      </c>
      <c r="H26" s="42" t="s">
        <v>88</v>
      </c>
    </row>
    <row r="27" customFormat="false" ht="14.25" hidden="false" customHeight="true" outlineLevel="0" collapsed="false">
      <c r="A27" s="16" t="s">
        <v>35</v>
      </c>
      <c r="B27" s="42" t="s">
        <v>155</v>
      </c>
      <c r="C27" s="42" t="s">
        <v>167</v>
      </c>
      <c r="D27" s="43" t="n">
        <v>5</v>
      </c>
      <c r="E27" s="44" t="n">
        <v>52.35</v>
      </c>
      <c r="F27" s="45" t="n">
        <f aca="false">IFERROR(D27*E27,0)</f>
        <v>261.75</v>
      </c>
      <c r="G27" s="42" t="s">
        <v>99</v>
      </c>
      <c r="H27" s="42" t="s">
        <v>88</v>
      </c>
    </row>
    <row r="28" customFormat="false" ht="14.25" hidden="false" customHeight="true" outlineLevel="0" collapsed="false">
      <c r="A28" s="16" t="s">
        <v>35</v>
      </c>
      <c r="B28" s="42" t="s">
        <v>155</v>
      </c>
      <c r="C28" s="42" t="s">
        <v>168</v>
      </c>
      <c r="D28" s="43" t="n">
        <v>5</v>
      </c>
      <c r="E28" s="44" t="n">
        <v>124.491481481482</v>
      </c>
      <c r="F28" s="45" t="n">
        <f aca="false">IFERROR(D28*E28,0)</f>
        <v>622.45740740741</v>
      </c>
      <c r="G28" s="42" t="str">
        <f aca="false">INDEX(SETORES!$B:$B,MATCH(A28,SETORES!$A:$A,0))</f>
        <v>Clientes</v>
      </c>
      <c r="H28" s="42" t="s">
        <v>88</v>
      </c>
    </row>
    <row r="29" customFormat="false" ht="14.25" hidden="false" customHeight="true" outlineLevel="0" collapsed="false">
      <c r="A29" s="16" t="s">
        <v>35</v>
      </c>
      <c r="B29" s="42" t="s">
        <v>157</v>
      </c>
      <c r="C29" s="42" t="s">
        <v>174</v>
      </c>
      <c r="D29" s="43"/>
      <c r="E29" s="44"/>
      <c r="F29" s="45" t="n">
        <f aca="false">IFERROR(D29*E29,0)</f>
        <v>0</v>
      </c>
      <c r="G29" s="42" t="str">
        <f aca="false">INDEX(SETORES!$B:$B,MATCH(A29,SETORES!$A:$A,0))</f>
        <v>Clientes</v>
      </c>
      <c r="H29" s="42" t="s">
        <v>88</v>
      </c>
    </row>
    <row r="30" customFormat="false" ht="14.25" hidden="false" customHeight="true" outlineLevel="0" collapsed="false">
      <c r="A30" s="16" t="s">
        <v>35</v>
      </c>
      <c r="B30" s="42" t="s">
        <v>157</v>
      </c>
      <c r="C30" s="42" t="s">
        <v>175</v>
      </c>
      <c r="D30" s="43"/>
      <c r="E30" s="44"/>
      <c r="F30" s="45" t="n">
        <f aca="false">IFERROR(D30*E30,0)</f>
        <v>0</v>
      </c>
      <c r="G30" s="42" t="str">
        <f aca="false">INDEX(SETORES!$B:$B,MATCH(A30,SETORES!$A:$A,0))</f>
        <v>Clientes</v>
      </c>
      <c r="H30" s="42" t="s">
        <v>88</v>
      </c>
    </row>
    <row r="31" customFormat="false" ht="14.25" hidden="false" customHeight="true" outlineLevel="0" collapsed="false">
      <c r="A31" s="16" t="s">
        <v>35</v>
      </c>
      <c r="B31" s="42" t="s">
        <v>157</v>
      </c>
      <c r="C31" s="42" t="s">
        <v>176</v>
      </c>
      <c r="D31" s="43"/>
      <c r="E31" s="44"/>
      <c r="F31" s="45" t="n">
        <f aca="false">IFERROR(D31*E31,0)</f>
        <v>0</v>
      </c>
      <c r="G31" s="42" t="str">
        <f aca="false">INDEX(SETORES!$B:$B,MATCH(A31,SETORES!$A:$A,0))</f>
        <v>Clientes</v>
      </c>
      <c r="H31" s="42" t="s">
        <v>88</v>
      </c>
    </row>
    <row r="32" customFormat="false" ht="14.25" hidden="false" customHeight="true" outlineLevel="0" collapsed="false">
      <c r="A32" s="16" t="s">
        <v>35</v>
      </c>
      <c r="B32" s="42" t="s">
        <v>155</v>
      </c>
      <c r="C32" s="42" t="s">
        <v>169</v>
      </c>
      <c r="D32" s="43" t="n">
        <v>1</v>
      </c>
      <c r="E32" s="44" t="n">
        <v>21051.01</v>
      </c>
      <c r="F32" s="45" t="n">
        <f aca="false">IFERROR(D32*E32,0)</f>
        <v>21051.01</v>
      </c>
      <c r="G32" s="42" t="str">
        <f aca="false">INDEX(SETORES!$B:$B,MATCH(A32,SETORES!$A:$A,0))</f>
        <v>Clientes</v>
      </c>
      <c r="H32" s="42" t="s">
        <v>88</v>
      </c>
    </row>
    <row r="33" customFormat="false" ht="14.25" hidden="false" customHeight="true" outlineLevel="0" collapsed="false">
      <c r="A33" s="16" t="s">
        <v>35</v>
      </c>
      <c r="B33" s="42" t="s">
        <v>155</v>
      </c>
      <c r="C33" s="42" t="s">
        <v>170</v>
      </c>
      <c r="D33" s="43"/>
      <c r="E33" s="44"/>
      <c r="F33" s="45" t="n">
        <f aca="false">IFERROR(D33*E33,0)</f>
        <v>0</v>
      </c>
      <c r="G33" s="42" t="str">
        <f aca="false">INDEX(SETORES!$B:$B,MATCH(A33,SETORES!$A:$A,0))</f>
        <v>Clientes</v>
      </c>
      <c r="H33" s="42" t="s">
        <v>88</v>
      </c>
    </row>
    <row r="34" customFormat="false" ht="14.25" hidden="false" customHeight="true" outlineLevel="0" collapsed="false">
      <c r="A34" s="16" t="s">
        <v>35</v>
      </c>
      <c r="B34" s="42" t="s">
        <v>155</v>
      </c>
      <c r="C34" s="42" t="s">
        <v>171</v>
      </c>
      <c r="D34" s="43" t="n">
        <v>5</v>
      </c>
      <c r="E34" s="44" t="n">
        <v>8.817255</v>
      </c>
      <c r="F34" s="45" t="n">
        <f aca="false">IFERROR(D34*E34,0)</f>
        <v>44.086275</v>
      </c>
      <c r="G34" s="42" t="str">
        <f aca="false">INDEX(SETORES!$B:$B,MATCH(A34,SETORES!$A:$A,0))</f>
        <v>Clientes</v>
      </c>
      <c r="H34" s="42" t="s">
        <v>88</v>
      </c>
    </row>
    <row r="35" customFormat="false" ht="14.25" hidden="false" customHeight="true" outlineLevel="0" collapsed="false">
      <c r="A35" s="16" t="s">
        <v>35</v>
      </c>
      <c r="B35" s="42" t="s">
        <v>155</v>
      </c>
      <c r="C35" s="42" t="s">
        <v>172</v>
      </c>
      <c r="D35" s="43" t="n">
        <v>5</v>
      </c>
      <c r="E35" s="44" t="n">
        <v>50</v>
      </c>
      <c r="F35" s="45" t="n">
        <f aca="false">IFERROR(D35*E35,0)</f>
        <v>250</v>
      </c>
      <c r="G35" s="42" t="str">
        <f aca="false">INDEX(SETORES!$B:$B,MATCH(A35,SETORES!$A:$A,0))</f>
        <v>Clientes</v>
      </c>
      <c r="H35" s="42" t="s">
        <v>88</v>
      </c>
    </row>
    <row r="36" customFormat="false" ht="14.25" hidden="false" customHeight="true" outlineLevel="0" collapsed="false">
      <c r="A36" s="16" t="s">
        <v>35</v>
      </c>
      <c r="B36" s="42" t="s">
        <v>155</v>
      </c>
      <c r="C36" s="42" t="s">
        <v>177</v>
      </c>
      <c r="D36" s="43"/>
      <c r="E36" s="44"/>
      <c r="F36" s="45" t="n">
        <f aca="false">IFERROR(D36*E36,0)</f>
        <v>0</v>
      </c>
      <c r="G36" s="42" t="str">
        <f aca="false">INDEX(SETORES!$B:$B,MATCH(A36,SETORES!$A:$A,0))</f>
        <v>Clientes</v>
      </c>
      <c r="H36" s="42" t="s">
        <v>88</v>
      </c>
    </row>
    <row r="37" customFormat="false" ht="14.25" hidden="false" customHeight="true" outlineLevel="0" collapsed="false">
      <c r="A37" s="16" t="s">
        <v>35</v>
      </c>
      <c r="B37" s="42" t="s">
        <v>155</v>
      </c>
      <c r="C37" s="42" t="s">
        <v>178</v>
      </c>
      <c r="D37" s="43"/>
      <c r="E37" s="44"/>
      <c r="F37" s="45" t="n">
        <f aca="false">IFERROR(D37*E37,0)</f>
        <v>0</v>
      </c>
      <c r="G37" s="42" t="str">
        <f aca="false">INDEX(SETORES!$B:$B,MATCH(A37,SETORES!$A:$A,0))</f>
        <v>Clientes</v>
      </c>
      <c r="H37" s="42" t="s">
        <v>88</v>
      </c>
    </row>
    <row r="38" customFormat="false" ht="14.25" hidden="false" customHeight="true" outlineLevel="0" collapsed="false">
      <c r="A38" s="16" t="s">
        <v>35</v>
      </c>
      <c r="B38" s="42" t="s">
        <v>157</v>
      </c>
      <c r="C38" s="42" t="s">
        <v>158</v>
      </c>
      <c r="D38" s="43"/>
      <c r="E38" s="44"/>
      <c r="F38" s="45" t="n">
        <f aca="false">IFERROR(D38*E38,0)</f>
        <v>0</v>
      </c>
      <c r="G38" s="42" t="str">
        <f aca="false">INDEX(SETORES!$B:$B,MATCH(A38,SETORES!$A:$A,0))</f>
        <v>Clientes</v>
      </c>
      <c r="H38" s="42" t="s">
        <v>88</v>
      </c>
    </row>
    <row r="39" customFormat="false" ht="14.25" hidden="false" customHeight="true" outlineLevel="0" collapsed="false">
      <c r="A39" s="16" t="s">
        <v>35</v>
      </c>
      <c r="B39" s="42" t="s">
        <v>155</v>
      </c>
      <c r="C39" s="42" t="s">
        <v>173</v>
      </c>
      <c r="D39" s="43" t="n">
        <v>5</v>
      </c>
      <c r="E39" s="44" t="n">
        <v>1.87</v>
      </c>
      <c r="F39" s="45" t="n">
        <f aca="false">IFERROR(D39*E39,0)</f>
        <v>9.35</v>
      </c>
      <c r="G39" s="42" t="str">
        <f aca="false">INDEX(SETORES!$B:$B,MATCH(A39,SETORES!$A:$A,0))</f>
        <v>Clientes</v>
      </c>
      <c r="H39" s="42" t="s">
        <v>88</v>
      </c>
    </row>
    <row r="40" customFormat="false" ht="14.25" hidden="false" customHeight="true" outlineLevel="0" collapsed="false">
      <c r="A40" s="16" t="s">
        <v>35</v>
      </c>
      <c r="B40" s="42" t="s">
        <v>155</v>
      </c>
      <c r="C40" s="42" t="s">
        <v>179</v>
      </c>
      <c r="D40" s="43"/>
      <c r="E40" s="44"/>
      <c r="F40" s="45" t="n">
        <f aca="false">IFERROR(D40*E40,0)</f>
        <v>0</v>
      </c>
      <c r="G40" s="42" t="str">
        <f aca="false">INDEX(SETORES!$B:$B,MATCH(A40,SETORES!$A:$A,0))</f>
        <v>Clientes</v>
      </c>
      <c r="H40" s="42" t="s">
        <v>88</v>
      </c>
    </row>
    <row r="41" customFormat="false" ht="14.25" hidden="false" customHeight="true" outlineLevel="0" collapsed="false">
      <c r="A41" s="16" t="s">
        <v>38</v>
      </c>
      <c r="B41" s="42" t="s">
        <v>155</v>
      </c>
      <c r="C41" s="42" t="s">
        <v>162</v>
      </c>
      <c r="D41" s="43" t="n">
        <v>13</v>
      </c>
      <c r="E41" s="44" t="n">
        <v>0.342924528301887</v>
      </c>
      <c r="F41" s="45" t="n">
        <f aca="false">IFERROR(D41*E41,0)</f>
        <v>4.45801886792453</v>
      </c>
      <c r="G41" s="42" t="str">
        <f aca="false">INDEX(SETORES!$B:$B,MATCH(A41,SETORES!$A:$A,0))</f>
        <v>Clientes</v>
      </c>
      <c r="H41" s="42" t="s">
        <v>88</v>
      </c>
    </row>
    <row r="42" customFormat="false" ht="14.25" hidden="false" customHeight="true" outlineLevel="0" collapsed="false">
      <c r="A42" s="16" t="s">
        <v>38</v>
      </c>
      <c r="B42" s="42" t="s">
        <v>155</v>
      </c>
      <c r="C42" s="42" t="s">
        <v>180</v>
      </c>
      <c r="D42" s="43" t="n">
        <v>1</v>
      </c>
      <c r="E42" s="44" t="n">
        <v>1013</v>
      </c>
      <c r="F42" s="45" t="n">
        <f aca="false">IFERROR(D42*E42,0)</f>
        <v>1013</v>
      </c>
      <c r="G42" s="42" t="str">
        <f aca="false">INDEX(SETORES!$B:$B,MATCH(A42,SETORES!$A:$A,0))</f>
        <v>Clientes</v>
      </c>
      <c r="H42" s="42" t="s">
        <v>88</v>
      </c>
    </row>
    <row r="43" customFormat="false" ht="14.25" hidden="false" customHeight="true" outlineLevel="0" collapsed="false">
      <c r="A43" s="16" t="s">
        <v>38</v>
      </c>
      <c r="B43" s="42" t="s">
        <v>155</v>
      </c>
      <c r="C43" s="42" t="s">
        <v>165</v>
      </c>
      <c r="D43" s="43" t="n">
        <v>13</v>
      </c>
      <c r="E43" s="44" t="n">
        <v>52.09</v>
      </c>
      <c r="F43" s="45" t="n">
        <f aca="false">IFERROR(D43*E43,0)</f>
        <v>677.17</v>
      </c>
      <c r="G43" s="42" t="s">
        <v>99</v>
      </c>
      <c r="H43" s="42" t="s">
        <v>88</v>
      </c>
    </row>
    <row r="44" customFormat="false" ht="14.25" hidden="false" customHeight="true" outlineLevel="0" collapsed="false">
      <c r="A44" s="16" t="s">
        <v>38</v>
      </c>
      <c r="B44" s="42" t="s">
        <v>155</v>
      </c>
      <c r="C44" s="42" t="s">
        <v>166</v>
      </c>
      <c r="D44" s="43" t="n">
        <v>13</v>
      </c>
      <c r="E44" s="44" t="n">
        <v>32.55</v>
      </c>
      <c r="F44" s="45" t="n">
        <f aca="false">IFERROR(D44*E44,0)</f>
        <v>423.15</v>
      </c>
      <c r="G44" s="42" t="s">
        <v>99</v>
      </c>
      <c r="H44" s="42" t="s">
        <v>88</v>
      </c>
    </row>
    <row r="45" customFormat="false" ht="14.25" hidden="false" customHeight="true" outlineLevel="0" collapsed="false">
      <c r="A45" s="16" t="s">
        <v>38</v>
      </c>
      <c r="B45" s="42" t="s">
        <v>155</v>
      </c>
      <c r="C45" s="42" t="s">
        <v>167</v>
      </c>
      <c r="D45" s="43" t="n">
        <v>13</v>
      </c>
      <c r="E45" s="44" t="n">
        <v>52.35</v>
      </c>
      <c r="F45" s="45" t="n">
        <f aca="false">IFERROR(D45*E45,0)</f>
        <v>680.55</v>
      </c>
      <c r="G45" s="42" t="s">
        <v>99</v>
      </c>
      <c r="H45" s="42" t="s">
        <v>88</v>
      </c>
    </row>
    <row r="46" customFormat="false" ht="14.25" hidden="false" customHeight="true" outlineLevel="0" collapsed="false">
      <c r="A46" s="16" t="s">
        <v>38</v>
      </c>
      <c r="B46" s="42" t="s">
        <v>155</v>
      </c>
      <c r="C46" s="42" t="s">
        <v>168</v>
      </c>
      <c r="D46" s="43" t="n">
        <v>13</v>
      </c>
      <c r="E46" s="44" t="n">
        <v>124.491481481482</v>
      </c>
      <c r="F46" s="45" t="n">
        <f aca="false">IFERROR(D46*E46,0)</f>
        <v>1618.38925925927</v>
      </c>
      <c r="G46" s="42" t="str">
        <f aca="false">INDEX(SETORES!$B:$B,MATCH(A46,SETORES!$A:$A,0))</f>
        <v>Clientes</v>
      </c>
      <c r="H46" s="42" t="s">
        <v>88</v>
      </c>
    </row>
    <row r="47" customFormat="false" ht="14.25" hidden="false" customHeight="true" outlineLevel="0" collapsed="false">
      <c r="A47" s="16" t="s">
        <v>38</v>
      </c>
      <c r="B47" s="42" t="s">
        <v>157</v>
      </c>
      <c r="C47" s="42" t="s">
        <v>174</v>
      </c>
      <c r="D47" s="43"/>
      <c r="E47" s="44"/>
      <c r="F47" s="45" t="n">
        <f aca="false">IFERROR(D47*E47,0)</f>
        <v>0</v>
      </c>
      <c r="G47" s="42" t="str">
        <f aca="false">INDEX(SETORES!$B:$B,MATCH(A47,SETORES!$A:$A,0))</f>
        <v>Clientes</v>
      </c>
      <c r="H47" s="42" t="s">
        <v>88</v>
      </c>
    </row>
    <row r="48" customFormat="false" ht="14.25" hidden="false" customHeight="true" outlineLevel="0" collapsed="false">
      <c r="A48" s="16" t="s">
        <v>38</v>
      </c>
      <c r="B48" s="42" t="s">
        <v>157</v>
      </c>
      <c r="C48" s="42" t="s">
        <v>175</v>
      </c>
      <c r="D48" s="43"/>
      <c r="E48" s="44"/>
      <c r="F48" s="45" t="n">
        <f aca="false">IFERROR(D48*E48,0)</f>
        <v>0</v>
      </c>
      <c r="G48" s="42" t="str">
        <f aca="false">INDEX(SETORES!$B:$B,MATCH(A48,SETORES!$A:$A,0))</f>
        <v>Clientes</v>
      </c>
      <c r="H48" s="42" t="s">
        <v>88</v>
      </c>
    </row>
    <row r="49" customFormat="false" ht="14.25" hidden="false" customHeight="true" outlineLevel="0" collapsed="false">
      <c r="A49" s="16" t="s">
        <v>38</v>
      </c>
      <c r="B49" s="42" t="s">
        <v>157</v>
      </c>
      <c r="C49" s="42" t="s">
        <v>176</v>
      </c>
      <c r="D49" s="43"/>
      <c r="E49" s="44"/>
      <c r="F49" s="45" t="n">
        <f aca="false">IFERROR(D49*E49,0)</f>
        <v>0</v>
      </c>
      <c r="G49" s="42" t="str">
        <f aca="false">INDEX(SETORES!$B:$B,MATCH(A49,SETORES!$A:$A,0))</f>
        <v>Clientes</v>
      </c>
      <c r="H49" s="42" t="s">
        <v>88</v>
      </c>
    </row>
    <row r="50" customFormat="false" ht="14.25" hidden="false" customHeight="true" outlineLevel="0" collapsed="false">
      <c r="A50" s="16" t="s">
        <v>38</v>
      </c>
      <c r="B50" s="42" t="s">
        <v>155</v>
      </c>
      <c r="C50" s="42" t="s">
        <v>169</v>
      </c>
      <c r="D50" s="43" t="n">
        <v>1</v>
      </c>
      <c r="E50" s="44" t="n">
        <v>42492.05</v>
      </c>
      <c r="F50" s="45" t="n">
        <f aca="false">IFERROR(D50*E50,0)</f>
        <v>42492.05</v>
      </c>
      <c r="G50" s="42" t="str">
        <f aca="false">INDEX(SETORES!$B:$B,MATCH(A50,SETORES!$A:$A,0))</f>
        <v>Clientes</v>
      </c>
      <c r="H50" s="42" t="s">
        <v>88</v>
      </c>
    </row>
    <row r="51" customFormat="false" ht="14.25" hidden="false" customHeight="true" outlineLevel="0" collapsed="false">
      <c r="A51" s="16" t="s">
        <v>38</v>
      </c>
      <c r="B51" s="42" t="s">
        <v>155</v>
      </c>
      <c r="C51" s="42" t="s">
        <v>170</v>
      </c>
      <c r="D51" s="43"/>
      <c r="E51" s="44"/>
      <c r="F51" s="45" t="n">
        <f aca="false">IFERROR(D51*E51,0)</f>
        <v>0</v>
      </c>
      <c r="G51" s="42" t="str">
        <f aca="false">INDEX(SETORES!$B:$B,MATCH(A51,SETORES!$A:$A,0))</f>
        <v>Clientes</v>
      </c>
      <c r="H51" s="42" t="s">
        <v>88</v>
      </c>
    </row>
    <row r="52" customFormat="false" ht="14.25" hidden="false" customHeight="true" outlineLevel="0" collapsed="false">
      <c r="A52" s="16" t="s">
        <v>38</v>
      </c>
      <c r="B52" s="42" t="s">
        <v>155</v>
      </c>
      <c r="C52" s="42" t="s">
        <v>181</v>
      </c>
      <c r="D52" s="43"/>
      <c r="E52" s="44"/>
      <c r="F52" s="45" t="n">
        <f aca="false">IFERROR(D52*E52,0)</f>
        <v>0</v>
      </c>
      <c r="G52" s="42" t="str">
        <f aca="false">INDEX(SETORES!$B:$B,MATCH(A52,SETORES!$A:$A,0))</f>
        <v>Clientes</v>
      </c>
      <c r="H52" s="42" t="s">
        <v>88</v>
      </c>
    </row>
    <row r="53" customFormat="false" ht="14.25" hidden="false" customHeight="true" outlineLevel="0" collapsed="false">
      <c r="A53" s="16" t="s">
        <v>38</v>
      </c>
      <c r="B53" s="42" t="s">
        <v>155</v>
      </c>
      <c r="C53" s="42" t="s">
        <v>171</v>
      </c>
      <c r="D53" s="43"/>
      <c r="E53" s="44"/>
      <c r="F53" s="45" t="n">
        <f aca="false">IFERROR(D53*E53,0)</f>
        <v>0</v>
      </c>
      <c r="G53" s="42" t="str">
        <f aca="false">INDEX(SETORES!$B:$B,MATCH(A53,SETORES!$A:$A,0))</f>
        <v>Clientes</v>
      </c>
      <c r="H53" s="42" t="s">
        <v>88</v>
      </c>
    </row>
    <row r="54" customFormat="false" ht="14.25" hidden="false" customHeight="true" outlineLevel="0" collapsed="false">
      <c r="A54" s="16" t="s">
        <v>38</v>
      </c>
      <c r="B54" s="42" t="s">
        <v>155</v>
      </c>
      <c r="C54" s="42" t="s">
        <v>172</v>
      </c>
      <c r="D54" s="43" t="n">
        <v>13</v>
      </c>
      <c r="E54" s="44" t="n">
        <v>50</v>
      </c>
      <c r="F54" s="45" t="n">
        <f aca="false">IFERROR(D54*E54,0)</f>
        <v>650</v>
      </c>
      <c r="G54" s="42" t="str">
        <f aca="false">INDEX(SETORES!$B:$B,MATCH(A54,SETORES!$A:$A,0))</f>
        <v>Clientes</v>
      </c>
      <c r="H54" s="42" t="s">
        <v>88</v>
      </c>
    </row>
    <row r="55" customFormat="false" ht="14.25" hidden="false" customHeight="true" outlineLevel="0" collapsed="false">
      <c r="A55" s="16" t="s">
        <v>38</v>
      </c>
      <c r="B55" s="42" t="s">
        <v>155</v>
      </c>
      <c r="C55" s="42" t="s">
        <v>177</v>
      </c>
      <c r="D55" s="43" t="n">
        <v>1</v>
      </c>
      <c r="E55" s="44" t="n">
        <v>3.74</v>
      </c>
      <c r="F55" s="45" t="n">
        <f aca="false">IFERROR(D55*E55,0)</f>
        <v>3.74</v>
      </c>
      <c r="G55" s="42" t="str">
        <f aca="false">INDEX(SETORES!$B:$B,MATCH(A55,SETORES!$A:$A,0))</f>
        <v>Clientes</v>
      </c>
      <c r="H55" s="42" t="s">
        <v>88</v>
      </c>
    </row>
    <row r="56" customFormat="false" ht="14.25" hidden="false" customHeight="true" outlineLevel="0" collapsed="false">
      <c r="A56" s="16" t="s">
        <v>38</v>
      </c>
      <c r="B56" s="42" t="s">
        <v>155</v>
      </c>
      <c r="C56" s="42" t="s">
        <v>178</v>
      </c>
      <c r="D56" s="43" t="n">
        <v>1</v>
      </c>
      <c r="E56" s="44" t="n">
        <v>657.21</v>
      </c>
      <c r="F56" s="45" t="n">
        <f aca="false">IFERROR(D56*E56,0)</f>
        <v>657.21</v>
      </c>
      <c r="G56" s="42" t="str">
        <f aca="false">INDEX(SETORES!$B:$B,MATCH(A56,SETORES!$A:$A,0))</f>
        <v>Clientes</v>
      </c>
      <c r="H56" s="42" t="s">
        <v>88</v>
      </c>
    </row>
    <row r="57" customFormat="false" ht="14.25" hidden="false" customHeight="true" outlineLevel="0" collapsed="false">
      <c r="A57" s="16" t="s">
        <v>38</v>
      </c>
      <c r="B57" s="42" t="s">
        <v>157</v>
      </c>
      <c r="C57" s="42" t="s">
        <v>158</v>
      </c>
      <c r="D57" s="43"/>
      <c r="E57" s="44"/>
      <c r="F57" s="45" t="n">
        <f aca="false">IFERROR(D57*E57,0)</f>
        <v>0</v>
      </c>
      <c r="G57" s="42" t="str">
        <f aca="false">INDEX(SETORES!$B:$B,MATCH(A57,SETORES!$A:$A,0))</f>
        <v>Clientes</v>
      </c>
      <c r="H57" s="42" t="s">
        <v>88</v>
      </c>
    </row>
    <row r="58" customFormat="false" ht="14.25" hidden="false" customHeight="true" outlineLevel="0" collapsed="false">
      <c r="A58" s="16" t="s">
        <v>38</v>
      </c>
      <c r="B58" s="42" t="s">
        <v>155</v>
      </c>
      <c r="C58" s="42" t="s">
        <v>182</v>
      </c>
      <c r="D58" s="43" t="n">
        <v>13</v>
      </c>
      <c r="E58" s="44" t="n">
        <v>294.971933</v>
      </c>
      <c r="F58" s="45" t="n">
        <f aca="false">IFERROR(D58*E58,0)</f>
        <v>3834.635129</v>
      </c>
      <c r="G58" s="42" t="str">
        <f aca="false">INDEX(SETORES!$B:$B,MATCH(A58,SETORES!$A:$A,0))</f>
        <v>Clientes</v>
      </c>
      <c r="H58" s="42" t="s">
        <v>88</v>
      </c>
    </row>
    <row r="59" customFormat="false" ht="14.25" hidden="false" customHeight="true" outlineLevel="0" collapsed="false">
      <c r="A59" s="16" t="s">
        <v>38</v>
      </c>
      <c r="B59" s="42" t="s">
        <v>155</v>
      </c>
      <c r="C59" s="42" t="s">
        <v>173</v>
      </c>
      <c r="D59" s="43" t="n">
        <v>13</v>
      </c>
      <c r="E59" s="44" t="n">
        <v>1.87</v>
      </c>
      <c r="F59" s="45" t="n">
        <f aca="false">IFERROR(D59*E59,0)</f>
        <v>24.31</v>
      </c>
      <c r="G59" s="42" t="str">
        <f aca="false">INDEX(SETORES!$B:$B,MATCH(A59,SETORES!$A:$A,0))</f>
        <v>Clientes</v>
      </c>
      <c r="H59" s="42" t="s">
        <v>88</v>
      </c>
    </row>
    <row r="60" customFormat="false" ht="14.25" hidden="false" customHeight="true" outlineLevel="0" collapsed="false">
      <c r="A60" s="16" t="s">
        <v>38</v>
      </c>
      <c r="B60" s="42" t="s">
        <v>155</v>
      </c>
      <c r="C60" s="42" t="s">
        <v>179</v>
      </c>
      <c r="D60" s="43"/>
      <c r="E60" s="44"/>
      <c r="F60" s="45" t="n">
        <f aca="false">IFERROR(D60*E60,0)</f>
        <v>0</v>
      </c>
      <c r="G60" s="42" t="str">
        <f aca="false">INDEX(SETORES!$B:$B,MATCH(A60,SETORES!$A:$A,0))</f>
        <v>Clientes</v>
      </c>
      <c r="H60" s="42" t="s">
        <v>88</v>
      </c>
    </row>
    <row r="61" customFormat="false" ht="14.25" hidden="false" customHeight="true" outlineLevel="0" collapsed="false">
      <c r="A61" s="16" t="s">
        <v>78</v>
      </c>
      <c r="B61" s="42" t="s">
        <v>155</v>
      </c>
      <c r="C61" s="42" t="s">
        <v>162</v>
      </c>
      <c r="D61" s="43" t="n">
        <v>11</v>
      </c>
      <c r="E61" s="44" t="n">
        <v>7.4127</v>
      </c>
      <c r="F61" s="45" t="n">
        <f aca="false">IFERROR(D61*E61,0)</f>
        <v>81.5397</v>
      </c>
      <c r="G61" s="42" t="str">
        <f aca="false">INDEX(SETORES!$B:$B,MATCH(A61,SETORES!$A:$A,0))</f>
        <v>Clientes</v>
      </c>
      <c r="H61" s="42" t="s">
        <v>88</v>
      </c>
    </row>
    <row r="62" customFormat="false" ht="14.25" hidden="false" customHeight="true" outlineLevel="0" collapsed="false">
      <c r="A62" s="16" t="s">
        <v>78</v>
      </c>
      <c r="B62" s="42" t="s">
        <v>155</v>
      </c>
      <c r="C62" s="42" t="s">
        <v>163</v>
      </c>
      <c r="D62" s="43" t="n">
        <v>12</v>
      </c>
      <c r="E62" s="44" t="n">
        <v>30</v>
      </c>
      <c r="F62" s="45" t="n">
        <f aca="false">IFERROR(D62*E62,0)</f>
        <v>360</v>
      </c>
      <c r="G62" s="42" t="str">
        <f aca="false">INDEX(SETORES!$B:$B,MATCH(A62,SETORES!$A:$A,0))</f>
        <v>Clientes</v>
      </c>
      <c r="H62" s="42" t="s">
        <v>88</v>
      </c>
    </row>
    <row r="63" customFormat="false" ht="14.25" hidden="false" customHeight="true" outlineLevel="0" collapsed="false">
      <c r="A63" s="16" t="s">
        <v>78</v>
      </c>
      <c r="B63" s="42" t="s">
        <v>155</v>
      </c>
      <c r="C63" s="42" t="s">
        <v>165</v>
      </c>
      <c r="D63" s="43" t="n">
        <v>11</v>
      </c>
      <c r="E63" s="44" t="n">
        <v>52.09</v>
      </c>
      <c r="F63" s="45" t="n">
        <f aca="false">IFERROR(D63*E63,0)</f>
        <v>572.99</v>
      </c>
      <c r="G63" s="42" t="s">
        <v>99</v>
      </c>
      <c r="H63" s="42" t="s">
        <v>88</v>
      </c>
    </row>
    <row r="64" customFormat="false" ht="14.25" hidden="false" customHeight="true" outlineLevel="0" collapsed="false">
      <c r="A64" s="16" t="s">
        <v>78</v>
      </c>
      <c r="B64" s="42" t="s">
        <v>155</v>
      </c>
      <c r="C64" s="42" t="s">
        <v>166</v>
      </c>
      <c r="D64" s="43" t="n">
        <v>11</v>
      </c>
      <c r="E64" s="44" t="n">
        <v>32.55</v>
      </c>
      <c r="F64" s="45" t="n">
        <f aca="false">IFERROR(D64*E64,0)</f>
        <v>358.05</v>
      </c>
      <c r="G64" s="42" t="s">
        <v>99</v>
      </c>
      <c r="H64" s="42" t="s">
        <v>88</v>
      </c>
    </row>
    <row r="65" customFormat="false" ht="14.25" hidden="false" customHeight="true" outlineLevel="0" collapsed="false">
      <c r="A65" s="16" t="s">
        <v>78</v>
      </c>
      <c r="B65" s="42" t="s">
        <v>155</v>
      </c>
      <c r="C65" s="42" t="s">
        <v>167</v>
      </c>
      <c r="D65" s="43" t="n">
        <v>11</v>
      </c>
      <c r="E65" s="44" t="n">
        <v>52.35</v>
      </c>
      <c r="F65" s="45" t="n">
        <f aca="false">IFERROR(D65*E65,0)</f>
        <v>575.85</v>
      </c>
      <c r="G65" s="42" t="s">
        <v>99</v>
      </c>
      <c r="H65" s="42" t="s">
        <v>88</v>
      </c>
    </row>
    <row r="66" customFormat="false" ht="14.25" hidden="false" customHeight="true" outlineLevel="0" collapsed="false">
      <c r="A66" s="16" t="s">
        <v>78</v>
      </c>
      <c r="B66" s="42" t="s">
        <v>155</v>
      </c>
      <c r="C66" s="42" t="s">
        <v>168</v>
      </c>
      <c r="D66" s="43"/>
      <c r="E66" s="44"/>
      <c r="F66" s="45" t="n">
        <f aca="false">IFERROR(D66*E66,0)</f>
        <v>0</v>
      </c>
      <c r="G66" s="42" t="str">
        <f aca="false">INDEX(SETORES!$B:$B,MATCH(A66,SETORES!$A:$A,0))</f>
        <v>Clientes</v>
      </c>
      <c r="H66" s="42" t="s">
        <v>88</v>
      </c>
    </row>
    <row r="67" customFormat="false" ht="14.25" hidden="false" customHeight="true" outlineLevel="0" collapsed="false">
      <c r="A67" s="16" t="s">
        <v>78</v>
      </c>
      <c r="B67" s="42" t="s">
        <v>155</v>
      </c>
      <c r="C67" s="42" t="s">
        <v>169</v>
      </c>
      <c r="D67" s="43" t="n">
        <v>1</v>
      </c>
      <c r="E67" s="44" t="n">
        <v>71692.57</v>
      </c>
      <c r="F67" s="45" t="n">
        <f aca="false">IFERROR(D67*E67,0)</f>
        <v>71692.57</v>
      </c>
      <c r="G67" s="42" t="str">
        <f aca="false">INDEX(SETORES!$B:$B,MATCH(A67,SETORES!$A:$A,0))</f>
        <v>Clientes</v>
      </c>
      <c r="H67" s="42" t="s">
        <v>88</v>
      </c>
    </row>
    <row r="68" customFormat="false" ht="14.25" hidden="false" customHeight="true" outlineLevel="0" collapsed="false">
      <c r="A68" s="16" t="s">
        <v>78</v>
      </c>
      <c r="B68" s="42" t="s">
        <v>155</v>
      </c>
      <c r="C68" s="42" t="s">
        <v>170</v>
      </c>
      <c r="D68" s="43"/>
      <c r="E68" s="44"/>
      <c r="F68" s="45" t="n">
        <f aca="false">IFERROR(D68*E68,0)</f>
        <v>0</v>
      </c>
      <c r="G68" s="42" t="str">
        <f aca="false">INDEX(SETORES!$B:$B,MATCH(A68,SETORES!$A:$A,0))</f>
        <v>Clientes</v>
      </c>
      <c r="H68" s="42" t="s">
        <v>88</v>
      </c>
    </row>
    <row r="69" customFormat="false" ht="14.25" hidden="false" customHeight="true" outlineLevel="0" collapsed="false">
      <c r="A69" s="16" t="s">
        <v>78</v>
      </c>
      <c r="B69" s="42" t="s">
        <v>155</v>
      </c>
      <c r="C69" s="42" t="s">
        <v>183</v>
      </c>
      <c r="D69" s="43" t="n">
        <v>1</v>
      </c>
      <c r="E69" s="44" t="n">
        <v>220</v>
      </c>
      <c r="F69" s="45" t="n">
        <f aca="false">IFERROR(D69*E69,0)</f>
        <v>220</v>
      </c>
      <c r="G69" s="42" t="str">
        <f aca="false">INDEX(SETORES!$B:$B,MATCH(A69,SETORES!$A:$A,0))</f>
        <v>Clientes</v>
      </c>
      <c r="H69" s="42" t="s">
        <v>88</v>
      </c>
    </row>
    <row r="70" customFormat="false" ht="14.25" hidden="false" customHeight="true" outlineLevel="0" collapsed="false">
      <c r="A70" s="16" t="s">
        <v>78</v>
      </c>
      <c r="B70" s="42" t="s">
        <v>155</v>
      </c>
      <c r="C70" s="42" t="s">
        <v>171</v>
      </c>
      <c r="D70" s="43" t="n">
        <v>11</v>
      </c>
      <c r="E70" s="44" t="n">
        <v>48.73907</v>
      </c>
      <c r="F70" s="45" t="n">
        <f aca="false">IFERROR(D70*E70,0)</f>
        <v>536.12977</v>
      </c>
      <c r="G70" s="42" t="str">
        <f aca="false">INDEX(SETORES!$B:$B,MATCH(A70,SETORES!$A:$A,0))</f>
        <v>Clientes</v>
      </c>
      <c r="H70" s="42" t="s">
        <v>88</v>
      </c>
    </row>
    <row r="71" customFormat="false" ht="14.25" hidden="false" customHeight="true" outlineLevel="0" collapsed="false">
      <c r="A71" s="16" t="s">
        <v>78</v>
      </c>
      <c r="B71" s="42" t="s">
        <v>155</v>
      </c>
      <c r="C71" s="42" t="s">
        <v>172</v>
      </c>
      <c r="D71" s="43" t="n">
        <v>11</v>
      </c>
      <c r="E71" s="44" t="n">
        <v>50</v>
      </c>
      <c r="F71" s="45" t="n">
        <f aca="false">IFERROR(D71*E71,0)</f>
        <v>550</v>
      </c>
      <c r="G71" s="42" t="str">
        <f aca="false">INDEX(SETORES!$B:$B,MATCH(A71,SETORES!$A:$A,0))</f>
        <v>Clientes</v>
      </c>
      <c r="H71" s="42" t="s">
        <v>88</v>
      </c>
    </row>
    <row r="72" customFormat="false" ht="14.25" hidden="false" customHeight="true" outlineLevel="0" collapsed="false">
      <c r="A72" s="16" t="s">
        <v>78</v>
      </c>
      <c r="B72" s="42" t="s">
        <v>157</v>
      </c>
      <c r="C72" s="42" t="s">
        <v>184</v>
      </c>
      <c r="D72" s="43" t="n">
        <v>12</v>
      </c>
      <c r="E72" s="44" t="n">
        <v>68.18</v>
      </c>
      <c r="F72" s="45" t="n">
        <f aca="false">IFERROR(D72*E72,0)</f>
        <v>818.16</v>
      </c>
      <c r="G72" s="42" t="str">
        <f aca="false">INDEX(SETORES!$B:$B,MATCH(A72,SETORES!$A:$A,0))</f>
        <v>Clientes</v>
      </c>
      <c r="H72" s="42" t="s">
        <v>88</v>
      </c>
    </row>
    <row r="73" customFormat="false" ht="14.25" hidden="false" customHeight="true" outlineLevel="0" collapsed="false">
      <c r="A73" s="16" t="s">
        <v>78</v>
      </c>
      <c r="B73" s="42" t="s">
        <v>157</v>
      </c>
      <c r="C73" s="42" t="s">
        <v>158</v>
      </c>
      <c r="D73" s="43"/>
      <c r="E73" s="44"/>
      <c r="F73" s="45" t="n">
        <f aca="false">IFERROR(D73*E73,0)</f>
        <v>0</v>
      </c>
      <c r="G73" s="42" t="str">
        <f aca="false">INDEX(SETORES!$B:$B,MATCH(A73,SETORES!$A:$A,0))</f>
        <v>Clientes</v>
      </c>
      <c r="H73" s="42" t="s">
        <v>88</v>
      </c>
    </row>
    <row r="74" customFormat="false" ht="14.25" hidden="false" customHeight="true" outlineLevel="0" collapsed="false">
      <c r="A74" s="16" t="s">
        <v>78</v>
      </c>
      <c r="B74" s="42" t="s">
        <v>155</v>
      </c>
      <c r="C74" s="42" t="s">
        <v>173</v>
      </c>
      <c r="D74" s="43" t="n">
        <v>11</v>
      </c>
      <c r="E74" s="44" t="n">
        <v>1.87</v>
      </c>
      <c r="F74" s="45" t="n">
        <f aca="false">IFERROR(D74*E74,0)</f>
        <v>20.57</v>
      </c>
      <c r="G74" s="42" t="str">
        <f aca="false">INDEX(SETORES!$B:$B,MATCH(A74,SETORES!$A:$A,0))</f>
        <v>Clientes</v>
      </c>
      <c r="H74" s="42" t="s">
        <v>88</v>
      </c>
    </row>
    <row r="75" customFormat="false" ht="14.25" hidden="false" customHeight="true" outlineLevel="0" collapsed="false">
      <c r="A75" s="16" t="s">
        <v>54</v>
      </c>
      <c r="B75" s="42" t="s">
        <v>155</v>
      </c>
      <c r="C75" s="42" t="s">
        <v>185</v>
      </c>
      <c r="D75" s="43" t="n">
        <v>1</v>
      </c>
      <c r="E75" s="44" t="n">
        <v>545.99</v>
      </c>
      <c r="F75" s="45" t="n">
        <f aca="false">IFERROR(D75*E75,0)</f>
        <v>545.99</v>
      </c>
      <c r="G75" s="42" t="str">
        <f aca="false">INDEX(SETORES!$B:$B,MATCH(A75,SETORES!$A:$A,0))</f>
        <v>Clientes</v>
      </c>
      <c r="H75" s="42" t="s">
        <v>88</v>
      </c>
    </row>
    <row r="76" customFormat="false" ht="14.25" hidden="false" customHeight="true" outlineLevel="0" collapsed="false">
      <c r="A76" s="16" t="s">
        <v>54</v>
      </c>
      <c r="B76" s="42" t="s">
        <v>155</v>
      </c>
      <c r="C76" s="42" t="s">
        <v>162</v>
      </c>
      <c r="D76" s="43" t="n">
        <v>12</v>
      </c>
      <c r="E76" s="44" t="n">
        <v>0.342924528301887</v>
      </c>
      <c r="F76" s="45" t="n">
        <f aca="false">IFERROR(D76*E76,0)</f>
        <v>4.11509433962264</v>
      </c>
      <c r="G76" s="42" t="str">
        <f aca="false">INDEX(SETORES!$B:$B,MATCH(A76,SETORES!$A:$A,0))</f>
        <v>Clientes</v>
      </c>
      <c r="H76" s="42" t="s">
        <v>88</v>
      </c>
    </row>
    <row r="77" customFormat="false" ht="14.25" hidden="false" customHeight="true" outlineLevel="0" collapsed="false">
      <c r="A77" s="16" t="s">
        <v>54</v>
      </c>
      <c r="B77" s="42" t="s">
        <v>157</v>
      </c>
      <c r="C77" s="42" t="s">
        <v>186</v>
      </c>
      <c r="D77" s="43" t="n">
        <v>1</v>
      </c>
      <c r="E77" s="44" t="n">
        <v>3995.53</v>
      </c>
      <c r="F77" s="45" t="n">
        <f aca="false">IFERROR(D77*E77,0)</f>
        <v>3995.53</v>
      </c>
      <c r="G77" s="42" t="str">
        <f aca="false">INDEX(SETORES!$B:$B,MATCH(A77,SETORES!$A:$A,0))</f>
        <v>Clientes</v>
      </c>
      <c r="H77" s="42" t="s">
        <v>88</v>
      </c>
    </row>
    <row r="78" customFormat="false" ht="14.25" hidden="false" customHeight="true" outlineLevel="0" collapsed="false">
      <c r="A78" s="16" t="s">
        <v>54</v>
      </c>
      <c r="B78" s="42" t="s">
        <v>155</v>
      </c>
      <c r="C78" s="42" t="s">
        <v>187</v>
      </c>
      <c r="D78" s="43" t="n">
        <v>1</v>
      </c>
      <c r="E78" s="44" t="n">
        <v>2997</v>
      </c>
      <c r="F78" s="45" t="n">
        <f aca="false">IFERROR(D78*E78,0)</f>
        <v>2997</v>
      </c>
      <c r="G78" s="42" t="str">
        <f aca="false">INDEX(SETORES!$B:$B,MATCH(A78,SETORES!$A:$A,0))</f>
        <v>Clientes</v>
      </c>
      <c r="H78" s="42" t="s">
        <v>88</v>
      </c>
    </row>
    <row r="79" customFormat="false" ht="14.25" hidden="false" customHeight="true" outlineLevel="0" collapsed="false">
      <c r="A79" s="16" t="s">
        <v>54</v>
      </c>
      <c r="B79" s="42" t="s">
        <v>155</v>
      </c>
      <c r="C79" s="42" t="s">
        <v>165</v>
      </c>
      <c r="D79" s="43" t="n">
        <v>12</v>
      </c>
      <c r="E79" s="44" t="n">
        <v>52.09</v>
      </c>
      <c r="F79" s="45" t="n">
        <f aca="false">IFERROR(D79*E79,0)</f>
        <v>625.08</v>
      </c>
      <c r="G79" s="42" t="s">
        <v>99</v>
      </c>
      <c r="H79" s="42" t="s">
        <v>88</v>
      </c>
    </row>
    <row r="80" customFormat="false" ht="14.25" hidden="false" customHeight="true" outlineLevel="0" collapsed="false">
      <c r="A80" s="16" t="s">
        <v>54</v>
      </c>
      <c r="B80" s="42" t="s">
        <v>155</v>
      </c>
      <c r="C80" s="42" t="s">
        <v>166</v>
      </c>
      <c r="D80" s="43" t="n">
        <v>12</v>
      </c>
      <c r="E80" s="44" t="n">
        <v>32.55</v>
      </c>
      <c r="F80" s="45" t="n">
        <f aca="false">IFERROR(D80*E80,0)</f>
        <v>390.6</v>
      </c>
      <c r="G80" s="42" t="s">
        <v>99</v>
      </c>
      <c r="H80" s="42" t="s">
        <v>88</v>
      </c>
    </row>
    <row r="81" customFormat="false" ht="14.25" hidden="false" customHeight="true" outlineLevel="0" collapsed="false">
      <c r="A81" s="16" t="s">
        <v>54</v>
      </c>
      <c r="B81" s="42" t="s">
        <v>155</v>
      </c>
      <c r="C81" s="42" t="s">
        <v>167</v>
      </c>
      <c r="D81" s="43" t="n">
        <v>12</v>
      </c>
      <c r="E81" s="44" t="n">
        <v>52.35</v>
      </c>
      <c r="F81" s="45" t="n">
        <f aca="false">IFERROR(D81*E81,0)</f>
        <v>628.2</v>
      </c>
      <c r="G81" s="42" t="s">
        <v>99</v>
      </c>
      <c r="H81" s="42" t="s">
        <v>88</v>
      </c>
    </row>
    <row r="82" customFormat="false" ht="14.25" hidden="false" customHeight="true" outlineLevel="0" collapsed="false">
      <c r="A82" s="16" t="s">
        <v>54</v>
      </c>
      <c r="B82" s="42" t="s">
        <v>157</v>
      </c>
      <c r="C82" s="42" t="s">
        <v>188</v>
      </c>
      <c r="D82" s="43"/>
      <c r="E82" s="44"/>
      <c r="F82" s="45" t="n">
        <f aca="false">IFERROR(D82*E82,0)</f>
        <v>0</v>
      </c>
      <c r="G82" s="42" t="str">
        <f aca="false">INDEX(SETORES!$B:$B,MATCH(A82,SETORES!$A:$A,0))</f>
        <v>Clientes</v>
      </c>
      <c r="H82" s="42" t="s">
        <v>88</v>
      </c>
    </row>
    <row r="83" customFormat="false" ht="14.25" hidden="false" customHeight="true" outlineLevel="0" collapsed="false">
      <c r="A83" s="16" t="s">
        <v>54</v>
      </c>
      <c r="B83" s="42" t="s">
        <v>155</v>
      </c>
      <c r="C83" s="42" t="s">
        <v>189</v>
      </c>
      <c r="D83" s="43"/>
      <c r="E83" s="44"/>
      <c r="F83" s="45" t="n">
        <f aca="false">IFERROR(D83*E83,0)</f>
        <v>0</v>
      </c>
      <c r="G83" s="42" t="str">
        <f aca="false">INDEX(SETORES!$B:$B,MATCH(A83,SETORES!$A:$A,0))</f>
        <v>Clientes</v>
      </c>
      <c r="H83" s="42" t="s">
        <v>88</v>
      </c>
    </row>
    <row r="84" customFormat="false" ht="14.25" hidden="false" customHeight="true" outlineLevel="0" collapsed="false">
      <c r="A84" s="16" t="s">
        <v>54</v>
      </c>
      <c r="B84" s="42" t="s">
        <v>155</v>
      </c>
      <c r="C84" s="42" t="s">
        <v>190</v>
      </c>
      <c r="D84" s="43" t="n">
        <v>12</v>
      </c>
      <c r="E84" s="44" t="n">
        <v>50</v>
      </c>
      <c r="F84" s="45" t="n">
        <f aca="false">IFERROR(D84*E84,0)</f>
        <v>600</v>
      </c>
      <c r="G84" s="42" t="str">
        <f aca="false">INDEX(SETORES!$B:$B,MATCH(A84,SETORES!$A:$A,0))</f>
        <v>Clientes</v>
      </c>
      <c r="H84" s="42" t="s">
        <v>88</v>
      </c>
    </row>
    <row r="85" customFormat="false" ht="14.25" hidden="false" customHeight="true" outlineLevel="0" collapsed="false">
      <c r="A85" s="16" t="s">
        <v>54</v>
      </c>
      <c r="B85" s="42" t="s">
        <v>157</v>
      </c>
      <c r="C85" s="42" t="s">
        <v>191</v>
      </c>
      <c r="D85" s="43"/>
      <c r="E85" s="44"/>
      <c r="F85" s="45" t="n">
        <f aca="false">IFERROR(D85*E85,0)</f>
        <v>0</v>
      </c>
      <c r="G85" s="42" t="str">
        <f aca="false">INDEX(SETORES!$B:$B,MATCH(A85,SETORES!$A:$A,0))</f>
        <v>Clientes</v>
      </c>
      <c r="H85" s="42" t="s">
        <v>88</v>
      </c>
    </row>
    <row r="86" customFormat="false" ht="14.25" hidden="false" customHeight="true" outlineLevel="0" collapsed="false">
      <c r="A86" s="16" t="s">
        <v>54</v>
      </c>
      <c r="B86" s="42" t="s">
        <v>155</v>
      </c>
      <c r="C86" s="42" t="s">
        <v>168</v>
      </c>
      <c r="D86" s="43" t="n">
        <v>12</v>
      </c>
      <c r="E86" s="44" t="n">
        <v>124.491481481482</v>
      </c>
      <c r="F86" s="45" t="n">
        <f aca="false">IFERROR(D86*E86,0)</f>
        <v>1493.89777777778</v>
      </c>
      <c r="G86" s="42" t="str">
        <f aca="false">INDEX(SETORES!$B:$B,MATCH(A86,SETORES!$A:$A,0))</f>
        <v>Clientes</v>
      </c>
      <c r="H86" s="42" t="s">
        <v>88</v>
      </c>
    </row>
    <row r="87" customFormat="false" ht="14.25" hidden="false" customHeight="true" outlineLevel="0" collapsed="false">
      <c r="A87" s="16" t="s">
        <v>54</v>
      </c>
      <c r="B87" s="42" t="s">
        <v>157</v>
      </c>
      <c r="C87" s="42" t="s">
        <v>174</v>
      </c>
      <c r="D87" s="43"/>
      <c r="E87" s="44"/>
      <c r="F87" s="45" t="n">
        <f aca="false">IFERROR(D87*E87,0)</f>
        <v>0</v>
      </c>
      <c r="G87" s="42" t="str">
        <f aca="false">INDEX(SETORES!$B:$B,MATCH(A87,SETORES!$A:$A,0))</f>
        <v>Clientes</v>
      </c>
      <c r="H87" s="42" t="s">
        <v>88</v>
      </c>
    </row>
    <row r="88" customFormat="false" ht="14.25" hidden="false" customHeight="true" outlineLevel="0" collapsed="false">
      <c r="A88" s="16" t="s">
        <v>54</v>
      </c>
      <c r="B88" s="42" t="s">
        <v>155</v>
      </c>
      <c r="C88" s="42" t="s">
        <v>169</v>
      </c>
      <c r="D88" s="43" t="n">
        <v>1</v>
      </c>
      <c r="E88" s="44" t="n">
        <v>189839.41</v>
      </c>
      <c r="F88" s="45" t="n">
        <f aca="false">IFERROR(D88*E88,0)</f>
        <v>189839.41</v>
      </c>
      <c r="G88" s="42" t="str">
        <f aca="false">INDEX(SETORES!$B:$B,MATCH(A88,SETORES!$A:$A,0))</f>
        <v>Clientes</v>
      </c>
      <c r="H88" s="42" t="s">
        <v>88</v>
      </c>
    </row>
    <row r="89" customFormat="false" ht="14.25" hidden="false" customHeight="true" outlineLevel="0" collapsed="false">
      <c r="A89" s="16" t="s">
        <v>54</v>
      </c>
      <c r="B89" s="42" t="s">
        <v>155</v>
      </c>
      <c r="C89" s="42" t="s">
        <v>170</v>
      </c>
      <c r="D89" s="43"/>
      <c r="E89" s="44"/>
      <c r="F89" s="45" t="n">
        <f aca="false">IFERROR(D89*E89,0)</f>
        <v>0</v>
      </c>
      <c r="G89" s="42" t="str">
        <f aca="false">INDEX(SETORES!$B:$B,MATCH(A89,SETORES!$A:$A,0))</f>
        <v>Clientes</v>
      </c>
      <c r="H89" s="42" t="s">
        <v>88</v>
      </c>
    </row>
    <row r="90" customFormat="false" ht="14.25" hidden="false" customHeight="true" outlineLevel="0" collapsed="false">
      <c r="A90" s="16" t="s">
        <v>54</v>
      </c>
      <c r="B90" s="42" t="s">
        <v>155</v>
      </c>
      <c r="C90" s="42" t="s">
        <v>183</v>
      </c>
      <c r="D90" s="43" t="n">
        <v>12</v>
      </c>
      <c r="E90" s="44" t="n">
        <v>6.41025641025641</v>
      </c>
      <c r="F90" s="45" t="n">
        <f aca="false">IFERROR(D90*E90,0)</f>
        <v>76.9230769230769</v>
      </c>
      <c r="G90" s="42" t="str">
        <f aca="false">INDEX(SETORES!$B:$B,MATCH(A90,SETORES!$A:$A,0))</f>
        <v>Clientes</v>
      </c>
      <c r="H90" s="42" t="s">
        <v>88</v>
      </c>
    </row>
    <row r="91" customFormat="false" ht="14.25" hidden="false" customHeight="true" outlineLevel="0" collapsed="false">
      <c r="A91" s="16" t="s">
        <v>54</v>
      </c>
      <c r="B91" s="42" t="s">
        <v>155</v>
      </c>
      <c r="C91" s="42" t="s">
        <v>171</v>
      </c>
      <c r="D91" s="43" t="n">
        <v>12</v>
      </c>
      <c r="E91" s="44" t="n">
        <v>14.043393</v>
      </c>
      <c r="F91" s="45" t="n">
        <f aca="false">IFERROR(D91*E91,0)</f>
        <v>168.520716</v>
      </c>
      <c r="G91" s="42" t="str">
        <f aca="false">INDEX(SETORES!$B:$B,MATCH(A91,SETORES!$A:$A,0))</f>
        <v>Clientes</v>
      </c>
      <c r="H91" s="42" t="s">
        <v>88</v>
      </c>
    </row>
    <row r="92" customFormat="false" ht="14.25" hidden="false" customHeight="true" outlineLevel="0" collapsed="false">
      <c r="A92" s="16" t="s">
        <v>54</v>
      </c>
      <c r="B92" s="42" t="s">
        <v>155</v>
      </c>
      <c r="C92" s="42" t="s">
        <v>192</v>
      </c>
      <c r="D92" s="43"/>
      <c r="E92" s="44"/>
      <c r="F92" s="45" t="n">
        <f aca="false">IFERROR(D92*E92,0)</f>
        <v>0</v>
      </c>
      <c r="G92" s="42" t="str">
        <f aca="false">INDEX(SETORES!$B:$B,MATCH(A92,SETORES!$A:$A,0))</f>
        <v>Clientes</v>
      </c>
      <c r="H92" s="42" t="s">
        <v>88</v>
      </c>
    </row>
    <row r="93" customFormat="false" ht="14.25" hidden="false" customHeight="true" outlineLevel="0" collapsed="false">
      <c r="A93" s="16" t="s">
        <v>54</v>
      </c>
      <c r="B93" s="42" t="s">
        <v>157</v>
      </c>
      <c r="C93" s="42" t="s">
        <v>193</v>
      </c>
      <c r="D93" s="43"/>
      <c r="E93" s="44"/>
      <c r="F93" s="45" t="n">
        <f aca="false">IFERROR(D93*E93,0)</f>
        <v>0</v>
      </c>
      <c r="G93" s="42" t="str">
        <f aca="false">INDEX(SETORES!$B:$B,MATCH(A93,SETORES!$A:$A,0))</f>
        <v>Clientes</v>
      </c>
      <c r="H93" s="42" t="s">
        <v>88</v>
      </c>
    </row>
    <row r="94" customFormat="false" ht="14.25" hidden="false" customHeight="true" outlineLevel="0" collapsed="false">
      <c r="A94" s="16" t="s">
        <v>54</v>
      </c>
      <c r="B94" s="42" t="s">
        <v>157</v>
      </c>
      <c r="C94" s="42" t="s">
        <v>177</v>
      </c>
      <c r="D94" s="43" t="n">
        <v>1</v>
      </c>
      <c r="E94" s="44" t="n">
        <v>9.64</v>
      </c>
      <c r="F94" s="45" t="n">
        <f aca="false">IFERROR(D94*E94,0)</f>
        <v>9.64</v>
      </c>
      <c r="G94" s="42" t="str">
        <f aca="false">INDEX(SETORES!$B:$B,MATCH(A94,SETORES!$A:$A,0))</f>
        <v>Clientes</v>
      </c>
      <c r="H94" s="42" t="s">
        <v>88</v>
      </c>
    </row>
    <row r="95" customFormat="false" ht="14.25" hidden="false" customHeight="true" outlineLevel="0" collapsed="false">
      <c r="A95" s="16" t="s">
        <v>54</v>
      </c>
      <c r="B95" s="42" t="s">
        <v>155</v>
      </c>
      <c r="C95" s="42" t="s">
        <v>178</v>
      </c>
      <c r="D95" s="43"/>
      <c r="E95" s="44"/>
      <c r="F95" s="45" t="n">
        <f aca="false">IFERROR(D95*E95,0)</f>
        <v>0</v>
      </c>
      <c r="G95" s="42" t="str">
        <f aca="false">INDEX(SETORES!$B:$B,MATCH(A95,SETORES!$A:$A,0))</f>
        <v>Clientes</v>
      </c>
      <c r="H95" s="42" t="s">
        <v>88</v>
      </c>
    </row>
    <row r="96" customFormat="false" ht="14.25" hidden="false" customHeight="true" outlineLevel="0" collapsed="false">
      <c r="A96" s="16" t="s">
        <v>54</v>
      </c>
      <c r="B96" s="42" t="s">
        <v>157</v>
      </c>
      <c r="C96" s="42" t="s">
        <v>194</v>
      </c>
      <c r="D96" s="43" t="n">
        <v>1</v>
      </c>
      <c r="E96" s="44" t="n">
        <v>90</v>
      </c>
      <c r="F96" s="45" t="n">
        <f aca="false">IFERROR(D96*E96,0)</f>
        <v>90</v>
      </c>
      <c r="G96" s="42" t="str">
        <f aca="false">INDEX(SETORES!$B:$B,MATCH(A96,SETORES!$A:$A,0))</f>
        <v>Clientes</v>
      </c>
      <c r="H96" s="42" t="s">
        <v>88</v>
      </c>
    </row>
    <row r="97" customFormat="false" ht="14.25" hidden="false" customHeight="true" outlineLevel="0" collapsed="false">
      <c r="A97" s="16" t="s">
        <v>54</v>
      </c>
      <c r="B97" s="42" t="s">
        <v>155</v>
      </c>
      <c r="C97" s="42" t="s">
        <v>195</v>
      </c>
      <c r="D97" s="43"/>
      <c r="E97" s="44"/>
      <c r="F97" s="45" t="n">
        <f aca="false">IFERROR(D97*E97,0)</f>
        <v>0</v>
      </c>
      <c r="G97" s="42" t="str">
        <f aca="false">INDEX(SETORES!$B:$B,MATCH(A97,SETORES!$A:$A,0))</f>
        <v>Clientes</v>
      </c>
      <c r="H97" s="42" t="s">
        <v>88</v>
      </c>
    </row>
    <row r="98" customFormat="false" ht="14.25" hidden="false" customHeight="true" outlineLevel="0" collapsed="false">
      <c r="A98" s="16" t="s">
        <v>54</v>
      </c>
      <c r="B98" s="42" t="s">
        <v>157</v>
      </c>
      <c r="C98" s="42" t="s">
        <v>196</v>
      </c>
      <c r="D98" s="43"/>
      <c r="E98" s="44"/>
      <c r="F98" s="45" t="n">
        <f aca="false">IFERROR(D98*E98,0)</f>
        <v>0</v>
      </c>
      <c r="G98" s="42" t="str">
        <f aca="false">INDEX(SETORES!$B:$B,MATCH(A98,SETORES!$A:$A,0))</f>
        <v>Clientes</v>
      </c>
      <c r="H98" s="42" t="s">
        <v>88</v>
      </c>
    </row>
    <row r="99" customFormat="false" ht="14.25" hidden="false" customHeight="true" outlineLevel="0" collapsed="false">
      <c r="A99" s="16" t="s">
        <v>54</v>
      </c>
      <c r="B99" s="42" t="s">
        <v>155</v>
      </c>
      <c r="C99" s="42" t="s">
        <v>197</v>
      </c>
      <c r="D99" s="43" t="n">
        <v>1</v>
      </c>
      <c r="E99" s="44" t="n">
        <v>3042.34</v>
      </c>
      <c r="F99" s="45" t="n">
        <f aca="false">IFERROR(D99*E99,0)</f>
        <v>3042.34</v>
      </c>
      <c r="G99" s="42" t="str">
        <f aca="false">INDEX(SETORES!$B:$B,MATCH(A99,SETORES!$A:$A,0))</f>
        <v>Clientes</v>
      </c>
      <c r="H99" s="42" t="s">
        <v>88</v>
      </c>
    </row>
    <row r="100" customFormat="false" ht="14.25" hidden="false" customHeight="true" outlineLevel="0" collapsed="false">
      <c r="A100" s="16" t="s">
        <v>54</v>
      </c>
      <c r="B100" s="42" t="s">
        <v>155</v>
      </c>
      <c r="C100" s="42" t="s">
        <v>173</v>
      </c>
      <c r="D100" s="43" t="n">
        <v>12</v>
      </c>
      <c r="E100" s="44" t="n">
        <v>1.87</v>
      </c>
      <c r="F100" s="45" t="n">
        <f aca="false">IFERROR(D100*E100,0)</f>
        <v>22.44</v>
      </c>
      <c r="G100" s="42" t="str">
        <f aca="false">INDEX(SETORES!$B:$B,MATCH(A100,SETORES!$A:$A,0))</f>
        <v>Clientes</v>
      </c>
      <c r="H100" s="42" t="s">
        <v>88</v>
      </c>
    </row>
    <row r="101" customFormat="false" ht="14.25" hidden="false" customHeight="true" outlineLevel="0" collapsed="false">
      <c r="A101" s="16" t="s">
        <v>54</v>
      </c>
      <c r="B101" s="42" t="s">
        <v>157</v>
      </c>
      <c r="C101" s="42" t="s">
        <v>198</v>
      </c>
      <c r="D101" s="43"/>
      <c r="E101" s="44"/>
      <c r="F101" s="45" t="n">
        <f aca="false">IFERROR(D101*E101,0)</f>
        <v>0</v>
      </c>
      <c r="G101" s="42" t="str">
        <f aca="false">INDEX(SETORES!$B:$B,MATCH(A101,SETORES!$A:$A,0))</f>
        <v>Clientes</v>
      </c>
      <c r="H101" s="42" t="s">
        <v>88</v>
      </c>
    </row>
    <row r="102" customFormat="false" ht="14.25" hidden="false" customHeight="true" outlineLevel="0" collapsed="false">
      <c r="A102" s="16" t="s">
        <v>43</v>
      </c>
      <c r="B102" s="42" t="s">
        <v>155</v>
      </c>
      <c r="C102" s="42" t="s">
        <v>162</v>
      </c>
      <c r="D102" s="43" t="n">
        <v>5</v>
      </c>
      <c r="E102" s="44" t="n">
        <v>7.4127</v>
      </c>
      <c r="F102" s="45" t="n">
        <f aca="false">IFERROR(D102*E102,0)</f>
        <v>37.0635</v>
      </c>
      <c r="G102" s="42" t="str">
        <f aca="false">INDEX(SETORES!$B:$B,MATCH(A102,SETORES!$A:$A,0))</f>
        <v>Clientes</v>
      </c>
      <c r="H102" s="42" t="s">
        <v>88</v>
      </c>
    </row>
    <row r="103" customFormat="false" ht="14.25" hidden="false" customHeight="true" outlineLevel="0" collapsed="false">
      <c r="A103" s="16" t="s">
        <v>43</v>
      </c>
      <c r="B103" s="42" t="s">
        <v>155</v>
      </c>
      <c r="C103" s="42" t="s">
        <v>163</v>
      </c>
      <c r="D103" s="43" t="n">
        <v>2</v>
      </c>
      <c r="E103" s="44" t="n">
        <v>30</v>
      </c>
      <c r="F103" s="45" t="n">
        <f aca="false">IFERROR(D103*E103,0)</f>
        <v>60</v>
      </c>
      <c r="G103" s="42" t="str">
        <f aca="false">INDEX(SETORES!$B:$B,MATCH(A103,SETORES!$A:$A,0))</f>
        <v>Clientes</v>
      </c>
      <c r="H103" s="42" t="s">
        <v>88</v>
      </c>
    </row>
    <row r="104" customFormat="false" ht="14.25" hidden="false" customHeight="true" outlineLevel="0" collapsed="false">
      <c r="A104" s="16" t="s">
        <v>43</v>
      </c>
      <c r="B104" s="42" t="s">
        <v>157</v>
      </c>
      <c r="C104" s="42" t="s">
        <v>199</v>
      </c>
      <c r="D104" s="43" t="n">
        <v>1</v>
      </c>
      <c r="E104" s="44" t="n">
        <v>0</v>
      </c>
      <c r="F104" s="45" t="n">
        <f aca="false">IFERROR(D104*E104,0)</f>
        <v>0</v>
      </c>
      <c r="G104" s="42" t="str">
        <f aca="false">INDEX(SETORES!$B:$B,MATCH(A104,SETORES!$A:$A,0))</f>
        <v>Clientes</v>
      </c>
      <c r="H104" s="42" t="s">
        <v>88</v>
      </c>
    </row>
    <row r="105" customFormat="false" ht="14.25" hidden="false" customHeight="true" outlineLevel="0" collapsed="false">
      <c r="A105" s="16" t="s">
        <v>43</v>
      </c>
      <c r="B105" s="42" t="s">
        <v>155</v>
      </c>
      <c r="C105" s="42" t="s">
        <v>165</v>
      </c>
      <c r="D105" s="43" t="n">
        <v>5</v>
      </c>
      <c r="E105" s="44" t="n">
        <v>52.09</v>
      </c>
      <c r="F105" s="45" t="n">
        <f aca="false">IFERROR(D105*E105,0)</f>
        <v>260.45</v>
      </c>
      <c r="G105" s="42" t="s">
        <v>99</v>
      </c>
      <c r="H105" s="42" t="s">
        <v>88</v>
      </c>
    </row>
    <row r="106" customFormat="false" ht="14.25" hidden="false" customHeight="true" outlineLevel="0" collapsed="false">
      <c r="A106" s="16" t="s">
        <v>43</v>
      </c>
      <c r="B106" s="42" t="s">
        <v>155</v>
      </c>
      <c r="C106" s="42" t="s">
        <v>166</v>
      </c>
      <c r="D106" s="43" t="n">
        <v>5</v>
      </c>
      <c r="E106" s="44" t="n">
        <v>32.55</v>
      </c>
      <c r="F106" s="45" t="n">
        <f aca="false">IFERROR(D106*E106,0)</f>
        <v>162.75</v>
      </c>
      <c r="G106" s="42" t="s">
        <v>99</v>
      </c>
      <c r="H106" s="42" t="s">
        <v>88</v>
      </c>
    </row>
    <row r="107" customFormat="false" ht="14.25" hidden="false" customHeight="true" outlineLevel="0" collapsed="false">
      <c r="A107" s="16" t="s">
        <v>43</v>
      </c>
      <c r="B107" s="42" t="s">
        <v>155</v>
      </c>
      <c r="C107" s="42" t="s">
        <v>167</v>
      </c>
      <c r="D107" s="43" t="n">
        <v>5</v>
      </c>
      <c r="E107" s="44" t="n">
        <v>52.35</v>
      </c>
      <c r="F107" s="45" t="n">
        <f aca="false">IFERROR(D107*E107,0)</f>
        <v>261.75</v>
      </c>
      <c r="G107" s="42" t="s">
        <v>99</v>
      </c>
      <c r="H107" s="42" t="s">
        <v>88</v>
      </c>
    </row>
    <row r="108" customFormat="false" ht="14.25" hidden="false" customHeight="true" outlineLevel="0" collapsed="false">
      <c r="A108" s="16" t="s">
        <v>43</v>
      </c>
      <c r="B108" s="42" t="s">
        <v>155</v>
      </c>
      <c r="C108" s="42" t="s">
        <v>168</v>
      </c>
      <c r="D108" s="43"/>
      <c r="E108" s="44"/>
      <c r="F108" s="45" t="n">
        <f aca="false">IFERROR(D108*E108,0)</f>
        <v>0</v>
      </c>
      <c r="G108" s="42" t="str">
        <f aca="false">INDEX(SETORES!$B:$B,MATCH(A108,SETORES!$A:$A,0))</f>
        <v>Clientes</v>
      </c>
      <c r="H108" s="42" t="s">
        <v>88</v>
      </c>
    </row>
    <row r="109" customFormat="false" ht="14.25" hidden="false" customHeight="true" outlineLevel="0" collapsed="false">
      <c r="A109" s="16" t="s">
        <v>43</v>
      </c>
      <c r="B109" s="42" t="s">
        <v>157</v>
      </c>
      <c r="C109" s="42" t="s">
        <v>175</v>
      </c>
      <c r="D109" s="43"/>
      <c r="E109" s="44"/>
      <c r="F109" s="45" t="n">
        <f aca="false">IFERROR(D109*E109,0)</f>
        <v>0</v>
      </c>
      <c r="G109" s="42" t="str">
        <f aca="false">INDEX(SETORES!$B:$B,MATCH(A109,SETORES!$A:$A,0))</f>
        <v>Clientes</v>
      </c>
      <c r="H109" s="42" t="s">
        <v>88</v>
      </c>
    </row>
    <row r="110" customFormat="false" ht="14.25" hidden="false" customHeight="true" outlineLevel="0" collapsed="false">
      <c r="A110" s="16" t="s">
        <v>43</v>
      </c>
      <c r="B110" s="42" t="s">
        <v>155</v>
      </c>
      <c r="C110" s="42" t="s">
        <v>169</v>
      </c>
      <c r="D110" s="43" t="n">
        <v>1</v>
      </c>
      <c r="E110" s="44" t="n">
        <v>24935.86</v>
      </c>
      <c r="F110" s="45" t="n">
        <f aca="false">IFERROR(D110*E110,0)</f>
        <v>24935.86</v>
      </c>
      <c r="G110" s="42" t="str">
        <f aca="false">INDEX(SETORES!$B:$B,MATCH(A110,SETORES!$A:$A,0))</f>
        <v>Clientes</v>
      </c>
      <c r="H110" s="42" t="s">
        <v>88</v>
      </c>
    </row>
    <row r="111" customFormat="false" ht="14.25" hidden="false" customHeight="true" outlineLevel="0" collapsed="false">
      <c r="A111" s="16" t="s">
        <v>43</v>
      </c>
      <c r="B111" s="42" t="s">
        <v>155</v>
      </c>
      <c r="C111" s="42" t="s">
        <v>170</v>
      </c>
      <c r="D111" s="43"/>
      <c r="E111" s="44"/>
      <c r="F111" s="45" t="n">
        <f aca="false">IFERROR(D111*E111,0)</f>
        <v>0</v>
      </c>
      <c r="G111" s="42" t="str">
        <f aca="false">INDEX(SETORES!$B:$B,MATCH(A111,SETORES!$A:$A,0))</f>
        <v>Clientes</v>
      </c>
      <c r="H111" s="42" t="s">
        <v>88</v>
      </c>
    </row>
    <row r="112" customFormat="false" ht="14.25" hidden="false" customHeight="true" outlineLevel="0" collapsed="false">
      <c r="A112" s="16" t="s">
        <v>43</v>
      </c>
      <c r="B112" s="42" t="s">
        <v>155</v>
      </c>
      <c r="C112" s="42" t="s">
        <v>183</v>
      </c>
      <c r="D112" s="43" t="n">
        <v>1</v>
      </c>
      <c r="E112" s="44" t="n">
        <v>25.6</v>
      </c>
      <c r="F112" s="45" t="n">
        <f aca="false">IFERROR(D112*E112,0)</f>
        <v>25.6</v>
      </c>
      <c r="G112" s="42" t="str">
        <f aca="false">INDEX(SETORES!$B:$B,MATCH(A112,SETORES!$A:$A,0))</f>
        <v>Clientes</v>
      </c>
      <c r="H112" s="42" t="s">
        <v>88</v>
      </c>
    </row>
    <row r="113" customFormat="false" ht="14.25" hidden="false" customHeight="true" outlineLevel="0" collapsed="false">
      <c r="A113" s="16" t="s">
        <v>43</v>
      </c>
      <c r="B113" s="42" t="s">
        <v>155</v>
      </c>
      <c r="C113" s="42" t="s">
        <v>171</v>
      </c>
      <c r="D113" s="43" t="n">
        <v>5</v>
      </c>
      <c r="E113" s="44" t="n">
        <v>48.73907</v>
      </c>
      <c r="F113" s="45" t="n">
        <f aca="false">IFERROR(D113*E113,0)</f>
        <v>243.69535</v>
      </c>
      <c r="G113" s="42" t="str">
        <f aca="false">INDEX(SETORES!$B:$B,MATCH(A113,SETORES!$A:$A,0))</f>
        <v>Clientes</v>
      </c>
      <c r="H113" s="42" t="s">
        <v>88</v>
      </c>
    </row>
    <row r="114" customFormat="false" ht="14.25" hidden="false" customHeight="true" outlineLevel="0" collapsed="false">
      <c r="A114" s="16" t="s">
        <v>43</v>
      </c>
      <c r="B114" s="42" t="s">
        <v>155</v>
      </c>
      <c r="C114" s="42" t="s">
        <v>172</v>
      </c>
      <c r="D114" s="43" t="n">
        <v>5</v>
      </c>
      <c r="E114" s="44" t="n">
        <v>50</v>
      </c>
      <c r="F114" s="45" t="n">
        <f aca="false">IFERROR(D114*E114,0)</f>
        <v>250</v>
      </c>
      <c r="G114" s="42" t="str">
        <f aca="false">INDEX(SETORES!$B:$B,MATCH(A114,SETORES!$A:$A,0))</f>
        <v>Clientes</v>
      </c>
      <c r="H114" s="42" t="s">
        <v>88</v>
      </c>
    </row>
    <row r="115" customFormat="false" ht="14.25" hidden="false" customHeight="true" outlineLevel="0" collapsed="false">
      <c r="A115" s="16" t="s">
        <v>43</v>
      </c>
      <c r="B115" s="42" t="s">
        <v>155</v>
      </c>
      <c r="C115" s="42" t="s">
        <v>177</v>
      </c>
      <c r="D115" s="43"/>
      <c r="E115" s="44"/>
      <c r="F115" s="45" t="n">
        <f aca="false">IFERROR(D115*E115,0)</f>
        <v>0</v>
      </c>
      <c r="G115" s="42" t="str">
        <f aca="false">INDEX(SETORES!$B:$B,MATCH(A115,SETORES!$A:$A,0))</f>
        <v>Clientes</v>
      </c>
      <c r="H115" s="42" t="s">
        <v>88</v>
      </c>
    </row>
    <row r="116" customFormat="false" ht="14.25" hidden="false" customHeight="true" outlineLevel="0" collapsed="false">
      <c r="A116" s="16" t="s">
        <v>43</v>
      </c>
      <c r="B116" s="42" t="s">
        <v>155</v>
      </c>
      <c r="C116" s="42" t="s">
        <v>178</v>
      </c>
      <c r="D116" s="43"/>
      <c r="E116" s="44"/>
      <c r="F116" s="45" t="n">
        <f aca="false">IFERROR(D116*E116,0)</f>
        <v>0</v>
      </c>
      <c r="G116" s="42" t="str">
        <f aca="false">INDEX(SETORES!$B:$B,MATCH(A116,SETORES!$A:$A,0))</f>
        <v>Clientes</v>
      </c>
      <c r="H116" s="42" t="s">
        <v>88</v>
      </c>
    </row>
    <row r="117" customFormat="false" ht="14.25" hidden="false" customHeight="true" outlineLevel="0" collapsed="false">
      <c r="A117" s="16" t="s">
        <v>43</v>
      </c>
      <c r="B117" s="42" t="s">
        <v>157</v>
      </c>
      <c r="C117" s="42" t="s">
        <v>184</v>
      </c>
      <c r="D117" s="43" t="n">
        <v>5</v>
      </c>
      <c r="E117" s="44" t="n">
        <v>68.18</v>
      </c>
      <c r="F117" s="45" t="n">
        <f aca="false">IFERROR(D117*E117,0)</f>
        <v>340.9</v>
      </c>
      <c r="G117" s="42" t="str">
        <f aca="false">INDEX(SETORES!$B:$B,MATCH(A117,SETORES!$A:$A,0))</f>
        <v>Clientes</v>
      </c>
      <c r="H117" s="42" t="s">
        <v>88</v>
      </c>
    </row>
    <row r="118" customFormat="false" ht="14.25" hidden="false" customHeight="true" outlineLevel="0" collapsed="false">
      <c r="A118" s="16" t="s">
        <v>43</v>
      </c>
      <c r="B118" s="42" t="s">
        <v>157</v>
      </c>
      <c r="C118" s="42" t="s">
        <v>158</v>
      </c>
      <c r="D118" s="43"/>
      <c r="E118" s="44"/>
      <c r="F118" s="45" t="n">
        <f aca="false">IFERROR(D118*E118,0)</f>
        <v>0</v>
      </c>
      <c r="G118" s="42" t="str">
        <f aca="false">INDEX(SETORES!$B:$B,MATCH(A118,SETORES!$A:$A,0))</f>
        <v>Clientes</v>
      </c>
      <c r="H118" s="42" t="s">
        <v>88</v>
      </c>
    </row>
    <row r="119" customFormat="false" ht="14.25" hidden="false" customHeight="true" outlineLevel="0" collapsed="false">
      <c r="A119" s="16" t="s">
        <v>43</v>
      </c>
      <c r="B119" s="42" t="s">
        <v>155</v>
      </c>
      <c r="C119" s="42" t="s">
        <v>173</v>
      </c>
      <c r="D119" s="43" t="n">
        <v>5</v>
      </c>
      <c r="E119" s="44" t="n">
        <v>1.87</v>
      </c>
      <c r="F119" s="45" t="n">
        <f aca="false">IFERROR(D119*E119,0)</f>
        <v>9.35</v>
      </c>
      <c r="G119" s="42" t="str">
        <f aca="false">INDEX(SETORES!$B:$B,MATCH(A119,SETORES!$A:$A,0))</f>
        <v>Clientes</v>
      </c>
      <c r="H119" s="42" t="s">
        <v>88</v>
      </c>
    </row>
    <row r="120" customFormat="false" ht="14.25" hidden="false" customHeight="true" outlineLevel="0" collapsed="false">
      <c r="A120" s="16" t="s">
        <v>43</v>
      </c>
      <c r="B120" s="42" t="s">
        <v>155</v>
      </c>
      <c r="C120" s="42" t="s">
        <v>179</v>
      </c>
      <c r="D120" s="43"/>
      <c r="E120" s="44"/>
      <c r="F120" s="45" t="n">
        <f aca="false">IFERROR(D120*E120,0)</f>
        <v>0</v>
      </c>
      <c r="G120" s="42" t="str">
        <f aca="false">INDEX(SETORES!$B:$B,MATCH(A120,SETORES!$A:$A,0))</f>
        <v>Clientes</v>
      </c>
      <c r="H120" s="42" t="s">
        <v>88</v>
      </c>
    </row>
    <row r="121" customFormat="false" ht="14.25" hidden="false" customHeight="true" outlineLevel="0" collapsed="false">
      <c r="A121" s="46" t="s">
        <v>143</v>
      </c>
      <c r="B121" s="47" t="s">
        <v>157</v>
      </c>
      <c r="C121" s="47" t="s">
        <v>175</v>
      </c>
      <c r="D121" s="47" t="n">
        <v>1</v>
      </c>
      <c r="E121" s="48" t="n">
        <v>90</v>
      </c>
      <c r="F121" s="48" t="n">
        <f aca="false">IFERROR(D121*E121,0)</f>
        <v>90</v>
      </c>
      <c r="G121" s="47" t="str">
        <f aca="false">INDEX(SETORES!$B:$B,MATCH(A121,SETORES!$A:$A,0))</f>
        <v>Clientes</v>
      </c>
      <c r="H121" s="42" t="s">
        <v>88</v>
      </c>
    </row>
    <row r="122" customFormat="false" ht="14.25" hidden="false" customHeight="true" outlineLevel="0" collapsed="false">
      <c r="A122" s="16" t="s">
        <v>143</v>
      </c>
      <c r="B122" s="42" t="s">
        <v>155</v>
      </c>
      <c r="C122" s="42" t="s">
        <v>169</v>
      </c>
      <c r="D122" s="43" t="n">
        <v>1</v>
      </c>
      <c r="E122" s="44" t="n">
        <v>46351.21</v>
      </c>
      <c r="F122" s="45" t="n">
        <f aca="false">IFERROR(D122*E122,0)</f>
        <v>46351.21</v>
      </c>
      <c r="G122" s="42" t="str">
        <f aca="false">INDEX(SETORES!$B:$B,MATCH(A122,SETORES!$A:$A,0))</f>
        <v>Clientes</v>
      </c>
      <c r="H122" s="42" t="s">
        <v>88</v>
      </c>
    </row>
    <row r="123" customFormat="false" ht="14.25" hidden="false" customHeight="true" outlineLevel="0" collapsed="false">
      <c r="A123" s="16" t="s">
        <v>143</v>
      </c>
      <c r="B123" s="42" t="s">
        <v>155</v>
      </c>
      <c r="C123" s="42" t="s">
        <v>172</v>
      </c>
      <c r="D123" s="43" t="n">
        <v>10</v>
      </c>
      <c r="E123" s="44" t="n">
        <v>50</v>
      </c>
      <c r="F123" s="45" t="n">
        <f aca="false">IFERROR(D123*E123,0)</f>
        <v>500</v>
      </c>
      <c r="G123" s="42" t="str">
        <f aca="false">INDEX(SETORES!$B:$B,MATCH(A123,SETORES!$A:$A,0))</f>
        <v>Clientes</v>
      </c>
      <c r="H123" s="42" t="s">
        <v>88</v>
      </c>
    </row>
    <row r="124" customFormat="false" ht="14.25" hidden="false" customHeight="true" outlineLevel="0" collapsed="false">
      <c r="A124" s="16" t="s">
        <v>143</v>
      </c>
      <c r="B124" s="42" t="s">
        <v>157</v>
      </c>
      <c r="C124" s="42" t="s">
        <v>158</v>
      </c>
      <c r="D124" s="43"/>
      <c r="E124" s="44"/>
      <c r="F124" s="45" t="n">
        <f aca="false">IFERROR(D124*E124,0)</f>
        <v>0</v>
      </c>
      <c r="G124" s="42" t="str">
        <f aca="false">INDEX(SETORES!$B:$B,MATCH(A124,SETORES!$A:$A,0))</f>
        <v>Clientes</v>
      </c>
      <c r="H124" s="42" t="s">
        <v>88</v>
      </c>
    </row>
    <row r="125" customFormat="false" ht="14.25" hidden="false" customHeight="true" outlineLevel="0" collapsed="false">
      <c r="A125" s="16" t="s">
        <v>143</v>
      </c>
      <c r="B125" s="42" t="s">
        <v>155</v>
      </c>
      <c r="C125" s="42" t="s">
        <v>173</v>
      </c>
      <c r="D125" s="43" t="n">
        <v>10</v>
      </c>
      <c r="E125" s="44" t="n">
        <v>2.05</v>
      </c>
      <c r="F125" s="45" t="n">
        <f aca="false">IFERROR(D125*E125,0)</f>
        <v>20.5</v>
      </c>
      <c r="G125" s="42" t="str">
        <f aca="false">INDEX(SETORES!$B:$B,MATCH(A125,SETORES!$A:$A,0))</f>
        <v>Clientes</v>
      </c>
      <c r="H125" s="42" t="s">
        <v>88</v>
      </c>
    </row>
    <row r="126" customFormat="false" ht="14.25" hidden="false" customHeight="true" outlineLevel="0" collapsed="false">
      <c r="A126" s="16" t="s">
        <v>40</v>
      </c>
      <c r="B126" s="42" t="s">
        <v>155</v>
      </c>
      <c r="C126" s="42" t="s">
        <v>162</v>
      </c>
      <c r="D126" s="43" t="n">
        <v>6</v>
      </c>
      <c r="E126" s="44" t="n">
        <v>0.342924528301887</v>
      </c>
      <c r="F126" s="45" t="n">
        <f aca="false">IFERROR(D126*E126,0)</f>
        <v>2.05754716981132</v>
      </c>
      <c r="G126" s="42" t="str">
        <f aca="false">INDEX(SETORES!$B:$B,MATCH(A126,SETORES!$A:$A,0))</f>
        <v>Clientes</v>
      </c>
      <c r="H126" s="42" t="s">
        <v>88</v>
      </c>
    </row>
    <row r="127" customFormat="false" ht="14.25" hidden="false" customHeight="true" outlineLevel="0" collapsed="false">
      <c r="A127" s="16" t="s">
        <v>40</v>
      </c>
      <c r="B127" s="42" t="s">
        <v>157</v>
      </c>
      <c r="C127" s="42" t="s">
        <v>200</v>
      </c>
      <c r="D127" s="43"/>
      <c r="E127" s="44"/>
      <c r="F127" s="45" t="n">
        <f aca="false">IFERROR(D127*E127,0)</f>
        <v>0</v>
      </c>
      <c r="G127" s="42" t="str">
        <f aca="false">INDEX(SETORES!$B:$B,MATCH(A127,SETORES!$A:$A,0))</f>
        <v>Clientes</v>
      </c>
      <c r="H127" s="42" t="s">
        <v>88</v>
      </c>
    </row>
    <row r="128" customFormat="false" ht="14.25" hidden="false" customHeight="true" outlineLevel="0" collapsed="false">
      <c r="A128" s="16" t="s">
        <v>40</v>
      </c>
      <c r="B128" s="42" t="s">
        <v>155</v>
      </c>
      <c r="C128" s="42" t="s">
        <v>163</v>
      </c>
      <c r="D128" s="43" t="n">
        <v>2</v>
      </c>
      <c r="E128" s="44" t="n">
        <v>30</v>
      </c>
      <c r="F128" s="45" t="n">
        <f aca="false">IFERROR(D128*E128,0)</f>
        <v>60</v>
      </c>
      <c r="G128" s="42" t="str">
        <f aca="false">INDEX(SETORES!$B:$B,MATCH(A128,SETORES!$A:$A,0))</f>
        <v>Clientes</v>
      </c>
      <c r="H128" s="42" t="s">
        <v>88</v>
      </c>
    </row>
    <row r="129" customFormat="false" ht="14.25" hidden="false" customHeight="true" outlineLevel="0" collapsed="false">
      <c r="A129" s="16" t="s">
        <v>40</v>
      </c>
      <c r="B129" s="42" t="s">
        <v>157</v>
      </c>
      <c r="C129" s="42" t="s">
        <v>201</v>
      </c>
      <c r="D129" s="43"/>
      <c r="E129" s="44"/>
      <c r="F129" s="45" t="n">
        <f aca="false">IFERROR(D129*E129,0)</f>
        <v>0</v>
      </c>
      <c r="G129" s="42" t="str">
        <f aca="false">INDEX(SETORES!$B:$B,MATCH(A129,SETORES!$A:$A,0))</f>
        <v>Clientes</v>
      </c>
      <c r="H129" s="42" t="s">
        <v>88</v>
      </c>
    </row>
    <row r="130" customFormat="false" ht="14.25" hidden="false" customHeight="true" outlineLevel="0" collapsed="false">
      <c r="A130" s="16" t="s">
        <v>40</v>
      </c>
      <c r="B130" s="42" t="s">
        <v>155</v>
      </c>
      <c r="C130" s="42" t="s">
        <v>165</v>
      </c>
      <c r="D130" s="43" t="n">
        <v>6</v>
      </c>
      <c r="E130" s="44" t="n">
        <v>52.09</v>
      </c>
      <c r="F130" s="45" t="n">
        <f aca="false">IFERROR(D130*E130,0)</f>
        <v>312.54</v>
      </c>
      <c r="G130" s="42" t="s">
        <v>99</v>
      </c>
      <c r="H130" s="42" t="s">
        <v>88</v>
      </c>
    </row>
    <row r="131" customFormat="false" ht="14.25" hidden="false" customHeight="true" outlineLevel="0" collapsed="false">
      <c r="A131" s="16" t="s">
        <v>40</v>
      </c>
      <c r="B131" s="42" t="s">
        <v>155</v>
      </c>
      <c r="C131" s="42" t="s">
        <v>166</v>
      </c>
      <c r="D131" s="43" t="n">
        <v>6</v>
      </c>
      <c r="E131" s="44" t="n">
        <v>32.55</v>
      </c>
      <c r="F131" s="45" t="n">
        <f aca="false">IFERROR(D131*E131,0)</f>
        <v>195.3</v>
      </c>
      <c r="G131" s="42" t="s">
        <v>99</v>
      </c>
      <c r="H131" s="42" t="s">
        <v>88</v>
      </c>
    </row>
    <row r="132" customFormat="false" ht="14.25" hidden="false" customHeight="true" outlineLevel="0" collapsed="false">
      <c r="A132" s="16" t="s">
        <v>40</v>
      </c>
      <c r="B132" s="42" t="s">
        <v>155</v>
      </c>
      <c r="C132" s="42" t="s">
        <v>167</v>
      </c>
      <c r="D132" s="43" t="n">
        <v>6</v>
      </c>
      <c r="E132" s="44" t="n">
        <v>52.35</v>
      </c>
      <c r="F132" s="45" t="n">
        <f aca="false">IFERROR(D132*E132,0)</f>
        <v>314.1</v>
      </c>
      <c r="G132" s="42" t="s">
        <v>99</v>
      </c>
      <c r="H132" s="42" t="s">
        <v>88</v>
      </c>
    </row>
    <row r="133" customFormat="false" ht="14.25" hidden="false" customHeight="true" outlineLevel="0" collapsed="false">
      <c r="A133" s="16" t="s">
        <v>40</v>
      </c>
      <c r="B133" s="42" t="s">
        <v>155</v>
      </c>
      <c r="C133" s="42" t="s">
        <v>168</v>
      </c>
      <c r="D133" s="43" t="n">
        <v>6</v>
      </c>
      <c r="E133" s="44" t="n">
        <v>124.491481481482</v>
      </c>
      <c r="F133" s="45" t="n">
        <f aca="false">IFERROR(D133*E133,0)</f>
        <v>746.948888888892</v>
      </c>
      <c r="G133" s="42" t="str">
        <f aca="false">INDEX(SETORES!$B:$B,MATCH(A133,SETORES!$A:$A,0))</f>
        <v>Clientes</v>
      </c>
      <c r="H133" s="42" t="s">
        <v>88</v>
      </c>
    </row>
    <row r="134" customFormat="false" ht="14.25" hidden="false" customHeight="true" outlineLevel="0" collapsed="false">
      <c r="A134" s="16" t="s">
        <v>40</v>
      </c>
      <c r="B134" s="42" t="s">
        <v>157</v>
      </c>
      <c r="C134" s="42" t="s">
        <v>174</v>
      </c>
      <c r="D134" s="43"/>
      <c r="E134" s="44"/>
      <c r="F134" s="45" t="n">
        <f aca="false">IFERROR(D134*E134,0)</f>
        <v>0</v>
      </c>
      <c r="G134" s="42" t="str">
        <f aca="false">INDEX(SETORES!$B:$B,MATCH(A134,SETORES!$A:$A,0))</f>
        <v>Clientes</v>
      </c>
      <c r="H134" s="42" t="s">
        <v>88</v>
      </c>
    </row>
    <row r="135" customFormat="false" ht="14.25" hidden="false" customHeight="true" outlineLevel="0" collapsed="false">
      <c r="A135" s="16" t="s">
        <v>40</v>
      </c>
      <c r="B135" s="42" t="s">
        <v>157</v>
      </c>
      <c r="C135" s="42" t="s">
        <v>175</v>
      </c>
      <c r="D135" s="43" t="n">
        <v>1</v>
      </c>
      <c r="E135" s="44" t="n">
        <v>90</v>
      </c>
      <c r="F135" s="45" t="n">
        <f aca="false">IFERROR(D135*E135,0)</f>
        <v>90</v>
      </c>
      <c r="G135" s="42" t="str">
        <f aca="false">INDEX(SETORES!$B:$B,MATCH(A135,SETORES!$A:$A,0))</f>
        <v>Clientes</v>
      </c>
      <c r="H135" s="42" t="s">
        <v>88</v>
      </c>
    </row>
    <row r="136" customFormat="false" ht="14.25" hidden="false" customHeight="true" outlineLevel="0" collapsed="false">
      <c r="A136" s="16" t="s">
        <v>40</v>
      </c>
      <c r="B136" s="42" t="s">
        <v>157</v>
      </c>
      <c r="C136" s="42" t="s">
        <v>176</v>
      </c>
      <c r="D136" s="43"/>
      <c r="E136" s="44"/>
      <c r="F136" s="45" t="n">
        <f aca="false">IFERROR(D136*E136,0)</f>
        <v>0</v>
      </c>
      <c r="G136" s="42" t="str">
        <f aca="false">INDEX(SETORES!$B:$B,MATCH(A136,SETORES!$A:$A,0))</f>
        <v>Clientes</v>
      </c>
      <c r="H136" s="42" t="s">
        <v>88</v>
      </c>
    </row>
    <row r="137" customFormat="false" ht="14.25" hidden="false" customHeight="true" outlineLevel="0" collapsed="false">
      <c r="A137" s="16" t="s">
        <v>40</v>
      </c>
      <c r="B137" s="42" t="s">
        <v>155</v>
      </c>
      <c r="C137" s="42" t="s">
        <v>169</v>
      </c>
      <c r="D137" s="43" t="n">
        <v>1</v>
      </c>
      <c r="E137" s="44" t="n">
        <v>36209.58</v>
      </c>
      <c r="F137" s="45" t="n">
        <f aca="false">IFERROR(D137*E137,0)</f>
        <v>36209.58</v>
      </c>
      <c r="G137" s="42" t="str">
        <f aca="false">INDEX(SETORES!$B:$B,MATCH(A137,SETORES!$A:$A,0))</f>
        <v>Clientes</v>
      </c>
      <c r="H137" s="42" t="s">
        <v>88</v>
      </c>
    </row>
    <row r="138" customFormat="false" ht="14.25" hidden="false" customHeight="true" outlineLevel="0" collapsed="false">
      <c r="A138" s="16" t="s">
        <v>40</v>
      </c>
      <c r="B138" s="42" t="s">
        <v>155</v>
      </c>
      <c r="C138" s="42" t="s">
        <v>170</v>
      </c>
      <c r="D138" s="43"/>
      <c r="E138" s="44"/>
      <c r="F138" s="45" t="n">
        <f aca="false">IFERROR(D138*E138,0)</f>
        <v>0</v>
      </c>
      <c r="G138" s="42" t="str">
        <f aca="false">INDEX(SETORES!$B:$B,MATCH(A138,SETORES!$A:$A,0))</f>
        <v>Clientes</v>
      </c>
      <c r="H138" s="42" t="s">
        <v>88</v>
      </c>
    </row>
    <row r="139" customFormat="false" ht="14.25" hidden="false" customHeight="true" outlineLevel="0" collapsed="false">
      <c r="A139" s="16" t="s">
        <v>40</v>
      </c>
      <c r="B139" s="42" t="s">
        <v>155</v>
      </c>
      <c r="C139" s="42" t="s">
        <v>183</v>
      </c>
      <c r="D139" s="43" t="n">
        <v>6</v>
      </c>
      <c r="E139" s="44" t="n">
        <v>6.41025641025641</v>
      </c>
      <c r="F139" s="45" t="n">
        <f aca="false">IFERROR(D139*E139,0)</f>
        <v>38.4615384615385</v>
      </c>
      <c r="G139" s="42" t="str">
        <f aca="false">INDEX(SETORES!$B:$B,MATCH(A139,SETORES!$A:$A,0))</f>
        <v>Clientes</v>
      </c>
      <c r="H139" s="42" t="s">
        <v>88</v>
      </c>
    </row>
    <row r="140" customFormat="false" ht="14.25" hidden="false" customHeight="true" outlineLevel="0" collapsed="false">
      <c r="A140" s="16" t="s">
        <v>40</v>
      </c>
      <c r="B140" s="42" t="s">
        <v>155</v>
      </c>
      <c r="C140" s="42" t="s">
        <v>171</v>
      </c>
      <c r="D140" s="43" t="n">
        <v>6</v>
      </c>
      <c r="E140" s="44" t="n">
        <v>14.043393</v>
      </c>
      <c r="F140" s="45" t="n">
        <f aca="false">IFERROR(D140*E140,0)</f>
        <v>84.260358</v>
      </c>
      <c r="G140" s="42" t="str">
        <f aca="false">INDEX(SETORES!$B:$B,MATCH(A140,SETORES!$A:$A,0))</f>
        <v>Clientes</v>
      </c>
      <c r="H140" s="42" t="s">
        <v>88</v>
      </c>
    </row>
    <row r="141" customFormat="false" ht="14.25" hidden="false" customHeight="true" outlineLevel="0" collapsed="false">
      <c r="A141" s="16" t="s">
        <v>40</v>
      </c>
      <c r="B141" s="42" t="s">
        <v>155</v>
      </c>
      <c r="C141" s="42" t="s">
        <v>172</v>
      </c>
      <c r="D141" s="43" t="n">
        <v>6</v>
      </c>
      <c r="E141" s="44" t="n">
        <v>50</v>
      </c>
      <c r="F141" s="45" t="n">
        <f aca="false">IFERROR(D141*E141,0)</f>
        <v>300</v>
      </c>
      <c r="G141" s="42" t="str">
        <f aca="false">INDEX(SETORES!$B:$B,MATCH(A141,SETORES!$A:$A,0))</f>
        <v>Clientes</v>
      </c>
      <c r="H141" s="42" t="s">
        <v>88</v>
      </c>
    </row>
    <row r="142" customFormat="false" ht="14.25" hidden="false" customHeight="true" outlineLevel="0" collapsed="false">
      <c r="A142" s="16" t="s">
        <v>40</v>
      </c>
      <c r="B142" s="42" t="s">
        <v>155</v>
      </c>
      <c r="C142" s="42" t="s">
        <v>202</v>
      </c>
      <c r="D142" s="43" t="n">
        <v>1</v>
      </c>
      <c r="E142" s="44" t="n">
        <v>2559.45</v>
      </c>
      <c r="F142" s="45" t="n">
        <f aca="false">IFERROR(D142*E142,0)</f>
        <v>2559.45</v>
      </c>
      <c r="G142" s="42" t="str">
        <f aca="false">INDEX(SETORES!$B:$B,MATCH(A142,SETORES!$A:$A,0))</f>
        <v>Clientes</v>
      </c>
      <c r="H142" s="42" t="s">
        <v>88</v>
      </c>
    </row>
    <row r="143" customFormat="false" ht="14.25" hidden="false" customHeight="true" outlineLevel="0" collapsed="false">
      <c r="A143" s="16" t="s">
        <v>40</v>
      </c>
      <c r="B143" s="42" t="s">
        <v>155</v>
      </c>
      <c r="C143" s="42" t="s">
        <v>177</v>
      </c>
      <c r="D143" s="43"/>
      <c r="E143" s="44"/>
      <c r="F143" s="45" t="n">
        <f aca="false">IFERROR(D143*E143,0)</f>
        <v>0</v>
      </c>
      <c r="G143" s="42" t="str">
        <f aca="false">INDEX(SETORES!$B:$B,MATCH(A143,SETORES!$A:$A,0))</f>
        <v>Clientes</v>
      </c>
      <c r="H143" s="42" t="s">
        <v>88</v>
      </c>
    </row>
    <row r="144" customFormat="false" ht="14.25" hidden="false" customHeight="true" outlineLevel="0" collapsed="false">
      <c r="A144" s="16" t="s">
        <v>40</v>
      </c>
      <c r="B144" s="42" t="s">
        <v>155</v>
      </c>
      <c r="C144" s="42" t="s">
        <v>178</v>
      </c>
      <c r="D144" s="43" t="n">
        <v>1</v>
      </c>
      <c r="E144" s="44" t="n">
        <v>241.44</v>
      </c>
      <c r="F144" s="45" t="n">
        <f aca="false">IFERROR(D144*E144,0)</f>
        <v>241.44</v>
      </c>
      <c r="G144" s="42" t="str">
        <f aca="false">INDEX(SETORES!$B:$B,MATCH(A144,SETORES!$A:$A,0))</f>
        <v>Clientes</v>
      </c>
      <c r="H144" s="42" t="s">
        <v>88</v>
      </c>
    </row>
    <row r="145" customFormat="false" ht="14.25" hidden="false" customHeight="true" outlineLevel="0" collapsed="false">
      <c r="A145" s="16" t="s">
        <v>40</v>
      </c>
      <c r="B145" s="42" t="s">
        <v>157</v>
      </c>
      <c r="C145" s="42" t="s">
        <v>158</v>
      </c>
      <c r="D145" s="43"/>
      <c r="E145" s="44"/>
      <c r="F145" s="45" t="n">
        <f aca="false">IFERROR(D145*E145,0)</f>
        <v>0</v>
      </c>
      <c r="G145" s="42" t="str">
        <f aca="false">INDEX(SETORES!$B:$B,MATCH(A145,SETORES!$A:$A,0))</f>
        <v>Clientes</v>
      </c>
      <c r="H145" s="42" t="s">
        <v>88</v>
      </c>
    </row>
    <row r="146" customFormat="false" ht="14.25" hidden="false" customHeight="true" outlineLevel="0" collapsed="false">
      <c r="A146" s="16" t="s">
        <v>40</v>
      </c>
      <c r="B146" s="42" t="s">
        <v>155</v>
      </c>
      <c r="C146" s="42" t="s">
        <v>173</v>
      </c>
      <c r="D146" s="43" t="n">
        <v>6</v>
      </c>
      <c r="E146" s="44" t="n">
        <v>1.87</v>
      </c>
      <c r="F146" s="45" t="n">
        <f aca="false">IFERROR(D146*E146,0)</f>
        <v>11.22</v>
      </c>
      <c r="G146" s="42" t="str">
        <f aca="false">INDEX(SETORES!$B:$B,MATCH(A146,SETORES!$A:$A,0))</f>
        <v>Clientes</v>
      </c>
      <c r="H146" s="42" t="s">
        <v>88</v>
      </c>
    </row>
    <row r="147" customFormat="false" ht="14.25" hidden="false" customHeight="true" outlineLevel="0" collapsed="false">
      <c r="A147" s="16" t="s">
        <v>40</v>
      </c>
      <c r="B147" s="42" t="s">
        <v>155</v>
      </c>
      <c r="C147" s="42" t="s">
        <v>179</v>
      </c>
      <c r="D147" s="43"/>
      <c r="E147" s="44"/>
      <c r="F147" s="45" t="n">
        <f aca="false">IFERROR(D147*E147,0)</f>
        <v>0</v>
      </c>
      <c r="G147" s="42" t="str">
        <f aca="false">INDEX(SETORES!$B:$B,MATCH(A147,SETORES!$A:$A,0))</f>
        <v>Clientes</v>
      </c>
      <c r="H147" s="42" t="s">
        <v>88</v>
      </c>
    </row>
    <row r="148" customFormat="false" ht="14.25" hidden="false" customHeight="true" outlineLevel="0" collapsed="false">
      <c r="A148" s="16" t="s">
        <v>41</v>
      </c>
      <c r="B148" s="42" t="s">
        <v>155</v>
      </c>
      <c r="C148" s="42" t="s">
        <v>162</v>
      </c>
      <c r="D148" s="43" t="n">
        <v>1</v>
      </c>
      <c r="E148" s="44" t="n">
        <v>0.342924528301887</v>
      </c>
      <c r="F148" s="45" t="n">
        <f aca="false">IFERROR(D148*E148,0)</f>
        <v>0.342924528301887</v>
      </c>
      <c r="G148" s="42" t="str">
        <f aca="false">INDEX(SETORES!$B:$B,MATCH(A148,SETORES!$A:$A,0))</f>
        <v>Clientes</v>
      </c>
      <c r="H148" s="42" t="s">
        <v>88</v>
      </c>
    </row>
    <row r="149" customFormat="false" ht="14.25" hidden="false" customHeight="true" outlineLevel="0" collapsed="false">
      <c r="A149" s="16" t="s">
        <v>41</v>
      </c>
      <c r="B149" s="42" t="s">
        <v>155</v>
      </c>
      <c r="C149" s="42" t="s">
        <v>163</v>
      </c>
      <c r="D149" s="43"/>
      <c r="E149" s="44"/>
      <c r="F149" s="45" t="n">
        <f aca="false">IFERROR(D149*E149,0)</f>
        <v>0</v>
      </c>
      <c r="G149" s="42" t="str">
        <f aca="false">INDEX(SETORES!$B:$B,MATCH(A149,SETORES!$A:$A,0))</f>
        <v>Clientes</v>
      </c>
      <c r="H149" s="42" t="s">
        <v>88</v>
      </c>
    </row>
    <row r="150" customFormat="false" ht="14.25" hidden="false" customHeight="true" outlineLevel="0" collapsed="false">
      <c r="A150" s="16" t="s">
        <v>41</v>
      </c>
      <c r="B150" s="42" t="s">
        <v>157</v>
      </c>
      <c r="C150" s="42" t="s">
        <v>199</v>
      </c>
      <c r="D150" s="43" t="n">
        <v>1</v>
      </c>
      <c r="E150" s="44" t="n">
        <v>1581.98</v>
      </c>
      <c r="F150" s="45" t="n">
        <f aca="false">IFERROR(D150*E150,0)</f>
        <v>1581.98</v>
      </c>
      <c r="G150" s="42" t="str">
        <f aca="false">INDEX(SETORES!$B:$B,MATCH(A150,SETORES!$A:$A,0))</f>
        <v>Clientes</v>
      </c>
      <c r="H150" s="42" t="s">
        <v>88</v>
      </c>
    </row>
    <row r="151" customFormat="false" ht="14.25" hidden="false" customHeight="true" outlineLevel="0" collapsed="false">
      <c r="A151" s="16" t="s">
        <v>41</v>
      </c>
      <c r="B151" s="42" t="s">
        <v>155</v>
      </c>
      <c r="C151" s="42" t="s">
        <v>165</v>
      </c>
      <c r="D151" s="43" t="n">
        <v>1</v>
      </c>
      <c r="E151" s="44" t="n">
        <v>52.09</v>
      </c>
      <c r="F151" s="45" t="n">
        <f aca="false">IFERROR(D151*E151,0)</f>
        <v>52.09</v>
      </c>
      <c r="G151" s="42" t="s">
        <v>99</v>
      </c>
      <c r="H151" s="42" t="s">
        <v>88</v>
      </c>
    </row>
    <row r="152" customFormat="false" ht="14.25" hidden="false" customHeight="true" outlineLevel="0" collapsed="false">
      <c r="A152" s="16" t="s">
        <v>41</v>
      </c>
      <c r="B152" s="42" t="s">
        <v>155</v>
      </c>
      <c r="C152" s="42" t="s">
        <v>166</v>
      </c>
      <c r="D152" s="43" t="n">
        <v>1</v>
      </c>
      <c r="E152" s="44" t="n">
        <v>32.55</v>
      </c>
      <c r="F152" s="45" t="n">
        <f aca="false">IFERROR(D152*E152,0)</f>
        <v>32.55</v>
      </c>
      <c r="G152" s="42" t="s">
        <v>99</v>
      </c>
      <c r="H152" s="42" t="s">
        <v>88</v>
      </c>
    </row>
    <row r="153" customFormat="false" ht="14.25" hidden="false" customHeight="true" outlineLevel="0" collapsed="false">
      <c r="A153" s="16" t="s">
        <v>41</v>
      </c>
      <c r="B153" s="42" t="s">
        <v>155</v>
      </c>
      <c r="C153" s="42" t="s">
        <v>167</v>
      </c>
      <c r="D153" s="43" t="n">
        <v>1</v>
      </c>
      <c r="E153" s="44" t="n">
        <v>52.35</v>
      </c>
      <c r="F153" s="45" t="n">
        <f aca="false">IFERROR(D153*E153,0)</f>
        <v>52.35</v>
      </c>
      <c r="G153" s="42" t="s">
        <v>99</v>
      </c>
      <c r="H153" s="42" t="s">
        <v>88</v>
      </c>
    </row>
    <row r="154" customFormat="false" ht="14.25" hidden="false" customHeight="true" outlineLevel="0" collapsed="false">
      <c r="A154" s="16" t="s">
        <v>41</v>
      </c>
      <c r="B154" s="42" t="s">
        <v>155</v>
      </c>
      <c r="C154" s="42" t="s">
        <v>168</v>
      </c>
      <c r="D154" s="43" t="n">
        <v>1</v>
      </c>
      <c r="E154" s="44" t="n">
        <v>124.491481481482</v>
      </c>
      <c r="F154" s="45" t="n">
        <f aca="false">IFERROR(D154*E154,0)</f>
        <v>124.491481481482</v>
      </c>
      <c r="G154" s="42" t="str">
        <f aca="false">INDEX(SETORES!$B:$B,MATCH(A154,SETORES!$A:$A,0))</f>
        <v>Clientes</v>
      </c>
      <c r="H154" s="42" t="s">
        <v>88</v>
      </c>
    </row>
    <row r="155" customFormat="false" ht="14.25" hidden="false" customHeight="true" outlineLevel="0" collapsed="false">
      <c r="A155" s="16" t="s">
        <v>41</v>
      </c>
      <c r="B155" s="42" t="s">
        <v>155</v>
      </c>
      <c r="C155" s="42" t="s">
        <v>169</v>
      </c>
      <c r="D155" s="43" t="n">
        <v>1</v>
      </c>
      <c r="E155" s="44" t="n">
        <v>18000</v>
      </c>
      <c r="F155" s="45" t="n">
        <f aca="false">IFERROR(D155*E155,0)</f>
        <v>18000</v>
      </c>
      <c r="G155" s="42" t="str">
        <f aca="false">INDEX(SETORES!$B:$B,MATCH(A155,SETORES!$A:$A,0))</f>
        <v>Clientes</v>
      </c>
      <c r="H155" s="42" t="s">
        <v>88</v>
      </c>
    </row>
    <row r="156" customFormat="false" ht="14.25" hidden="false" customHeight="true" outlineLevel="0" collapsed="false">
      <c r="A156" s="16" t="s">
        <v>41</v>
      </c>
      <c r="B156" s="42" t="s">
        <v>155</v>
      </c>
      <c r="C156" s="42" t="s">
        <v>170</v>
      </c>
      <c r="D156" s="43"/>
      <c r="E156" s="44"/>
      <c r="F156" s="45" t="n">
        <f aca="false">IFERROR(D156*E156,0)</f>
        <v>0</v>
      </c>
      <c r="G156" s="42" t="str">
        <f aca="false">INDEX(SETORES!$B:$B,MATCH(A156,SETORES!$A:$A,0))</f>
        <v>Clientes</v>
      </c>
      <c r="H156" s="42" t="s">
        <v>88</v>
      </c>
    </row>
    <row r="157" customFormat="false" ht="14.25" hidden="false" customHeight="true" outlineLevel="0" collapsed="false">
      <c r="A157" s="16" t="s">
        <v>41</v>
      </c>
      <c r="B157" s="42" t="s">
        <v>155</v>
      </c>
      <c r="C157" s="42" t="s">
        <v>183</v>
      </c>
      <c r="D157" s="43" t="n">
        <v>1</v>
      </c>
      <c r="E157" s="44" t="n">
        <v>7.57575757575758</v>
      </c>
      <c r="F157" s="45" t="n">
        <f aca="false">IFERROR(D157*E157,0)</f>
        <v>7.57575757575758</v>
      </c>
      <c r="G157" s="42" t="str">
        <f aca="false">INDEX(SETORES!$B:$B,MATCH(A157,SETORES!$A:$A,0))</f>
        <v>Clientes</v>
      </c>
      <c r="H157" s="42" t="s">
        <v>88</v>
      </c>
    </row>
    <row r="158" customFormat="false" ht="14.25" hidden="false" customHeight="true" outlineLevel="0" collapsed="false">
      <c r="A158" s="16" t="s">
        <v>41</v>
      </c>
      <c r="B158" s="42" t="s">
        <v>155</v>
      </c>
      <c r="C158" s="42" t="s">
        <v>171</v>
      </c>
      <c r="D158" s="43" t="n">
        <v>1</v>
      </c>
      <c r="E158" s="44" t="n">
        <v>8.817255</v>
      </c>
      <c r="F158" s="45" t="n">
        <f aca="false">IFERROR(D158*E158,0)</f>
        <v>8.817255</v>
      </c>
      <c r="G158" s="42" t="str">
        <f aca="false">INDEX(SETORES!$B:$B,MATCH(A158,SETORES!$A:$A,0))</f>
        <v>Clientes</v>
      </c>
      <c r="H158" s="42" t="s">
        <v>88</v>
      </c>
    </row>
    <row r="159" customFormat="false" ht="14.25" hidden="false" customHeight="true" outlineLevel="0" collapsed="false">
      <c r="A159" s="16" t="s">
        <v>41</v>
      </c>
      <c r="B159" s="42" t="s">
        <v>155</v>
      </c>
      <c r="C159" s="42" t="s">
        <v>172</v>
      </c>
      <c r="D159" s="43" t="n">
        <v>1</v>
      </c>
      <c r="E159" s="44" t="n">
        <v>50</v>
      </c>
      <c r="F159" s="45" t="n">
        <f aca="false">IFERROR(D159*E159,0)</f>
        <v>50</v>
      </c>
      <c r="G159" s="42" t="str">
        <f aca="false">INDEX(SETORES!$B:$B,MATCH(A159,SETORES!$A:$A,0))</f>
        <v>Clientes</v>
      </c>
      <c r="H159" s="42" t="s">
        <v>88</v>
      </c>
    </row>
    <row r="160" customFormat="false" ht="14.25" hidden="false" customHeight="true" outlineLevel="0" collapsed="false">
      <c r="A160" s="16" t="s">
        <v>41</v>
      </c>
      <c r="B160" s="42" t="s">
        <v>155</v>
      </c>
      <c r="C160" s="42" t="s">
        <v>177</v>
      </c>
      <c r="D160" s="43"/>
      <c r="E160" s="44"/>
      <c r="F160" s="45" t="n">
        <f aca="false">IFERROR(D160*E160,0)</f>
        <v>0</v>
      </c>
      <c r="G160" s="42" t="str">
        <f aca="false">INDEX(SETORES!$B:$B,MATCH(A160,SETORES!$A:$A,0))</f>
        <v>Clientes</v>
      </c>
      <c r="H160" s="42" t="s">
        <v>88</v>
      </c>
    </row>
    <row r="161" customFormat="false" ht="14.25" hidden="false" customHeight="true" outlineLevel="0" collapsed="false">
      <c r="A161" s="16" t="s">
        <v>41</v>
      </c>
      <c r="B161" s="42" t="s">
        <v>155</v>
      </c>
      <c r="C161" s="42" t="s">
        <v>178</v>
      </c>
      <c r="D161" s="43" t="n">
        <v>1</v>
      </c>
      <c r="E161" s="44" t="n">
        <v>36.22</v>
      </c>
      <c r="F161" s="45" t="n">
        <f aca="false">IFERROR(D161*E161,0)</f>
        <v>36.22</v>
      </c>
      <c r="G161" s="42" t="str">
        <f aca="false">INDEX(SETORES!$B:$B,MATCH(A161,SETORES!$A:$A,0))</f>
        <v>Clientes</v>
      </c>
      <c r="H161" s="42" t="s">
        <v>88</v>
      </c>
    </row>
    <row r="162" customFormat="false" ht="14.25" hidden="false" customHeight="true" outlineLevel="0" collapsed="false">
      <c r="A162" s="16" t="s">
        <v>41</v>
      </c>
      <c r="B162" s="42" t="s">
        <v>157</v>
      </c>
      <c r="C162" s="42" t="s">
        <v>158</v>
      </c>
      <c r="D162" s="43"/>
      <c r="E162" s="44"/>
      <c r="F162" s="45" t="n">
        <f aca="false">IFERROR(D162*E162,0)</f>
        <v>0</v>
      </c>
      <c r="G162" s="42" t="str">
        <f aca="false">INDEX(SETORES!$B:$B,MATCH(A162,SETORES!$A:$A,0))</f>
        <v>Clientes</v>
      </c>
      <c r="H162" s="42" t="s">
        <v>88</v>
      </c>
    </row>
    <row r="163" customFormat="false" ht="14.25" hidden="false" customHeight="true" outlineLevel="0" collapsed="false">
      <c r="A163" s="16" t="s">
        <v>41</v>
      </c>
      <c r="B163" s="42" t="s">
        <v>155</v>
      </c>
      <c r="C163" s="42" t="s">
        <v>173</v>
      </c>
      <c r="D163" s="43" t="n">
        <v>1</v>
      </c>
      <c r="E163" s="44" t="n">
        <v>1.87</v>
      </c>
      <c r="F163" s="45" t="n">
        <f aca="false">IFERROR(D163*E163,0)</f>
        <v>1.87</v>
      </c>
      <c r="G163" s="42" t="str">
        <f aca="false">INDEX(SETORES!$B:$B,MATCH(A163,SETORES!$A:$A,0))</f>
        <v>Clientes</v>
      </c>
      <c r="H163" s="42" t="s">
        <v>88</v>
      </c>
    </row>
    <row r="164" customFormat="false" ht="14.25" hidden="false" customHeight="true" outlineLevel="0" collapsed="false">
      <c r="A164" s="16" t="s">
        <v>79</v>
      </c>
      <c r="B164" s="42" t="s">
        <v>155</v>
      </c>
      <c r="C164" s="42" t="s">
        <v>162</v>
      </c>
      <c r="D164" s="43" t="n">
        <v>4</v>
      </c>
      <c r="E164" s="44" t="n">
        <v>7.4127</v>
      </c>
      <c r="F164" s="45" t="n">
        <f aca="false">IFERROR(D164*E164,0)</f>
        <v>29.6508</v>
      </c>
      <c r="G164" s="42" t="str">
        <f aca="false">INDEX(SETORES!$B:$B,MATCH(A164,SETORES!$A:$A,0))</f>
        <v>Funcionários</v>
      </c>
      <c r="H164" s="42" t="s">
        <v>88</v>
      </c>
    </row>
    <row r="165" customFormat="false" ht="14.25" hidden="false" customHeight="true" outlineLevel="0" collapsed="false">
      <c r="A165" s="16" t="s">
        <v>79</v>
      </c>
      <c r="B165" s="42" t="s">
        <v>157</v>
      </c>
      <c r="C165" s="42" t="s">
        <v>203</v>
      </c>
      <c r="D165" s="43" t="n">
        <v>1</v>
      </c>
      <c r="E165" s="44" t="n">
        <v>82578.14</v>
      </c>
      <c r="F165" s="45" t="n">
        <f aca="false">IFERROR(D165*E165,0)</f>
        <v>82578.14</v>
      </c>
      <c r="G165" s="42" t="str">
        <f aca="false">INDEX(SETORES!$B:$B,MATCH(A165,SETORES!$A:$A,0))</f>
        <v>Funcionários</v>
      </c>
      <c r="H165" s="42" t="s">
        <v>88</v>
      </c>
    </row>
    <row r="166" customFormat="false" ht="14.25" hidden="false" customHeight="true" outlineLevel="0" collapsed="false">
      <c r="A166" s="16" t="s">
        <v>79</v>
      </c>
      <c r="B166" s="42" t="s">
        <v>157</v>
      </c>
      <c r="C166" s="42" t="s">
        <v>204</v>
      </c>
      <c r="D166" s="43"/>
      <c r="E166" s="44"/>
      <c r="F166" s="45" t="n">
        <f aca="false">IFERROR(D166*E166,0)</f>
        <v>0</v>
      </c>
      <c r="G166" s="42" t="str">
        <f aca="false">INDEX(SETORES!$B:$B,MATCH(A166,SETORES!$A:$A,0))</f>
        <v>Funcionários</v>
      </c>
      <c r="H166" s="42" t="s">
        <v>88</v>
      </c>
    </row>
    <row r="167" customFormat="false" ht="14.25" hidden="false" customHeight="true" outlineLevel="0" collapsed="false">
      <c r="A167" s="16" t="s">
        <v>79</v>
      </c>
      <c r="B167" s="42" t="s">
        <v>155</v>
      </c>
      <c r="C167" s="42" t="s">
        <v>205</v>
      </c>
      <c r="D167" s="43" t="n">
        <v>1</v>
      </c>
      <c r="E167" s="44" t="n">
        <v>699.78</v>
      </c>
      <c r="F167" s="45" t="n">
        <f aca="false">IFERROR(D167*E167,0)</f>
        <v>699.78</v>
      </c>
      <c r="G167" s="42" t="str">
        <f aca="false">INDEX(SETORES!$B:$B,MATCH(A167,SETORES!$A:$A,0))</f>
        <v>Funcionários</v>
      </c>
      <c r="H167" s="42" t="s">
        <v>88</v>
      </c>
    </row>
    <row r="168" customFormat="false" ht="14.25" hidden="false" customHeight="true" outlineLevel="0" collapsed="false">
      <c r="A168" s="16" t="s">
        <v>79</v>
      </c>
      <c r="B168" s="42" t="s">
        <v>155</v>
      </c>
      <c r="C168" s="42" t="s">
        <v>165</v>
      </c>
      <c r="D168" s="43" t="n">
        <v>4</v>
      </c>
      <c r="E168" s="44" t="n">
        <v>52.09</v>
      </c>
      <c r="F168" s="45" t="n">
        <f aca="false">IFERROR(D168*E168,0)</f>
        <v>208.36</v>
      </c>
      <c r="G168" s="42" t="str">
        <f aca="false">INDEX(SETORES!$B:$B,MATCH(A168,SETORES!$A:$A,0))</f>
        <v>Funcionários</v>
      </c>
      <c r="H168" s="42" t="s">
        <v>88</v>
      </c>
    </row>
    <row r="169" customFormat="false" ht="14.25" hidden="false" customHeight="true" outlineLevel="0" collapsed="false">
      <c r="A169" s="16" t="s">
        <v>79</v>
      </c>
      <c r="B169" s="42" t="s">
        <v>155</v>
      </c>
      <c r="C169" s="42" t="s">
        <v>166</v>
      </c>
      <c r="D169" s="43" t="n">
        <v>4</v>
      </c>
      <c r="E169" s="44" t="n">
        <v>32.55</v>
      </c>
      <c r="F169" s="45" t="n">
        <f aca="false">IFERROR(D169*E169,0)</f>
        <v>130.2</v>
      </c>
      <c r="G169" s="42" t="str">
        <f aca="false">INDEX(SETORES!$B:$B,MATCH(A169,SETORES!$A:$A,0))</f>
        <v>Funcionários</v>
      </c>
      <c r="H169" s="42" t="s">
        <v>88</v>
      </c>
    </row>
    <row r="170" customFormat="false" ht="14.25" hidden="false" customHeight="true" outlineLevel="0" collapsed="false">
      <c r="A170" s="16" t="s">
        <v>79</v>
      </c>
      <c r="B170" s="42" t="s">
        <v>155</v>
      </c>
      <c r="C170" s="42" t="s">
        <v>167</v>
      </c>
      <c r="D170" s="43" t="n">
        <v>4</v>
      </c>
      <c r="E170" s="44" t="n">
        <v>52.35</v>
      </c>
      <c r="F170" s="45" t="n">
        <f aca="false">IFERROR(D170*E170,0)</f>
        <v>209.4</v>
      </c>
      <c r="G170" s="42" t="s">
        <v>99</v>
      </c>
      <c r="H170" s="42" t="s">
        <v>88</v>
      </c>
    </row>
    <row r="171" customFormat="false" ht="14.25" hidden="false" customHeight="true" outlineLevel="0" collapsed="false">
      <c r="A171" s="16" t="s">
        <v>79</v>
      </c>
      <c r="B171" s="42" t="s">
        <v>155</v>
      </c>
      <c r="C171" s="42" t="s">
        <v>168</v>
      </c>
      <c r="D171" s="43"/>
      <c r="E171" s="44"/>
      <c r="F171" s="45" t="n">
        <f aca="false">IFERROR(D171*E171,0)</f>
        <v>0</v>
      </c>
      <c r="G171" s="42" t="str">
        <f aca="false">INDEX(SETORES!$B:$B,MATCH(A171,SETORES!$A:$A,0))</f>
        <v>Funcionários</v>
      </c>
      <c r="H171" s="42" t="s">
        <v>88</v>
      </c>
    </row>
    <row r="172" customFormat="false" ht="14.25" hidden="false" customHeight="true" outlineLevel="0" collapsed="false">
      <c r="A172" s="16" t="s">
        <v>79</v>
      </c>
      <c r="B172" s="42" t="s">
        <v>155</v>
      </c>
      <c r="C172" s="42" t="s">
        <v>169</v>
      </c>
      <c r="D172" s="43" t="n">
        <v>1</v>
      </c>
      <c r="E172" s="44" t="n">
        <v>23971.48</v>
      </c>
      <c r="F172" s="45" t="n">
        <f aca="false">IFERROR(D172*E172,0)</f>
        <v>23971.48</v>
      </c>
      <c r="G172" s="42" t="str">
        <f aca="false">INDEX(SETORES!$B:$B,MATCH(A172,SETORES!$A:$A,0))</f>
        <v>Funcionários</v>
      </c>
      <c r="H172" s="42" t="s">
        <v>88</v>
      </c>
    </row>
    <row r="173" customFormat="false" ht="14.25" hidden="false" customHeight="true" outlineLevel="0" collapsed="false">
      <c r="A173" s="16" t="s">
        <v>79</v>
      </c>
      <c r="B173" s="42" t="s">
        <v>157</v>
      </c>
      <c r="C173" s="42" t="s">
        <v>206</v>
      </c>
      <c r="D173" s="43"/>
      <c r="E173" s="44"/>
      <c r="F173" s="45" t="n">
        <f aca="false">IFERROR(D173*E173,0)</f>
        <v>0</v>
      </c>
      <c r="G173" s="42" t="str">
        <f aca="false">INDEX(SETORES!$B:$B,MATCH(A173,SETORES!$A:$A,0))</f>
        <v>Funcionários</v>
      </c>
      <c r="H173" s="42" t="s">
        <v>88</v>
      </c>
    </row>
    <row r="174" customFormat="false" ht="14.25" hidden="false" customHeight="true" outlineLevel="0" collapsed="false">
      <c r="A174" s="16" t="s">
        <v>79</v>
      </c>
      <c r="B174" s="42" t="s">
        <v>155</v>
      </c>
      <c r="C174" s="42" t="s">
        <v>170</v>
      </c>
      <c r="D174" s="43"/>
      <c r="E174" s="44"/>
      <c r="F174" s="45" t="n">
        <f aca="false">IFERROR(D174*E174,0)</f>
        <v>0</v>
      </c>
      <c r="G174" s="42" t="str">
        <f aca="false">INDEX(SETORES!$B:$B,MATCH(A174,SETORES!$A:$A,0))</f>
        <v>Funcionários</v>
      </c>
      <c r="H174" s="42" t="s">
        <v>88</v>
      </c>
    </row>
    <row r="175" customFormat="false" ht="14.25" hidden="false" customHeight="true" outlineLevel="0" collapsed="false">
      <c r="A175" s="16" t="s">
        <v>79</v>
      </c>
      <c r="B175" s="42" t="s">
        <v>155</v>
      </c>
      <c r="C175" s="42" t="s">
        <v>171</v>
      </c>
      <c r="D175" s="43" t="n">
        <v>4</v>
      </c>
      <c r="E175" s="44" t="n">
        <v>48.73907</v>
      </c>
      <c r="F175" s="45" t="n">
        <f aca="false">IFERROR(D175*E175,0)</f>
        <v>194.95628</v>
      </c>
      <c r="G175" s="42" t="str">
        <f aca="false">INDEX(SETORES!$B:$B,MATCH(A175,SETORES!$A:$A,0))</f>
        <v>Funcionários</v>
      </c>
      <c r="H175" s="42" t="s">
        <v>88</v>
      </c>
    </row>
    <row r="176" customFormat="false" ht="14.25" hidden="false" customHeight="true" outlineLevel="0" collapsed="false">
      <c r="A176" s="16" t="s">
        <v>79</v>
      </c>
      <c r="B176" s="42" t="s">
        <v>155</v>
      </c>
      <c r="C176" s="42" t="s">
        <v>172</v>
      </c>
      <c r="D176" s="43" t="n">
        <v>4</v>
      </c>
      <c r="E176" s="44" t="n">
        <v>50</v>
      </c>
      <c r="F176" s="45" t="n">
        <f aca="false">IFERROR(D176*E176,0)</f>
        <v>200</v>
      </c>
      <c r="G176" s="42" t="str">
        <f aca="false">INDEX(SETORES!$B:$B,MATCH(A176,SETORES!$A:$A,0))</f>
        <v>Funcionários</v>
      </c>
      <c r="H176" s="42" t="s">
        <v>88</v>
      </c>
    </row>
    <row r="177" customFormat="false" ht="14.25" hidden="false" customHeight="true" outlineLevel="0" collapsed="false">
      <c r="A177" s="16" t="s">
        <v>79</v>
      </c>
      <c r="B177" s="42" t="s">
        <v>157</v>
      </c>
      <c r="C177" s="42" t="s">
        <v>207</v>
      </c>
      <c r="D177" s="43"/>
      <c r="E177" s="44"/>
      <c r="F177" s="45" t="n">
        <f aca="false">IFERROR(D177*E177,0)</f>
        <v>0</v>
      </c>
      <c r="G177" s="42" t="str">
        <f aca="false">INDEX(SETORES!$B:$B,MATCH(A177,SETORES!$A:$A,0))</f>
        <v>Funcionários</v>
      </c>
      <c r="H177" s="42" t="s">
        <v>88</v>
      </c>
    </row>
    <row r="178" customFormat="false" ht="14.25" hidden="false" customHeight="true" outlineLevel="0" collapsed="false">
      <c r="A178" s="16" t="s">
        <v>79</v>
      </c>
      <c r="B178" s="42" t="s">
        <v>157</v>
      </c>
      <c r="C178" s="42" t="s">
        <v>178</v>
      </c>
      <c r="D178" s="43" t="n">
        <v>1</v>
      </c>
      <c r="E178" s="44" t="n">
        <v>124.05</v>
      </c>
      <c r="F178" s="45" t="n">
        <f aca="false">IFERROR(D178*E178,0)</f>
        <v>124.05</v>
      </c>
      <c r="G178" s="42" t="str">
        <f aca="false">INDEX(SETORES!$B:$B,MATCH(A178,SETORES!$A:$A,0))</f>
        <v>Funcionários</v>
      </c>
      <c r="H178" s="42" t="s">
        <v>88</v>
      </c>
    </row>
    <row r="179" customFormat="false" ht="14.25" hidden="false" customHeight="true" outlineLevel="0" collapsed="false">
      <c r="A179" s="42" t="s">
        <v>143</v>
      </c>
      <c r="B179" s="42" t="s">
        <v>157</v>
      </c>
      <c r="C179" s="42" t="s">
        <v>184</v>
      </c>
      <c r="D179" s="43" t="n">
        <v>10</v>
      </c>
      <c r="E179" s="44" t="n">
        <v>68.18</v>
      </c>
      <c r="F179" s="45" t="n">
        <f aca="false">IFERROR(D179*E179,0)</f>
        <v>681.8</v>
      </c>
      <c r="G179" s="42" t="str">
        <f aca="false">INDEX(SETORES!$B:$B,MATCH(A179,SETORES!$A:$A,0))</f>
        <v>Clientes</v>
      </c>
      <c r="H179" s="42" t="s">
        <v>88</v>
      </c>
    </row>
    <row r="180" customFormat="false" ht="14.25" hidden="false" customHeight="true" outlineLevel="0" collapsed="false">
      <c r="A180" s="16" t="s">
        <v>79</v>
      </c>
      <c r="B180" s="42" t="s">
        <v>157</v>
      </c>
      <c r="C180" s="42" t="s">
        <v>184</v>
      </c>
      <c r="D180" s="43" t="n">
        <v>7</v>
      </c>
      <c r="E180" s="44" t="n">
        <v>68.18</v>
      </c>
      <c r="F180" s="45" t="n">
        <f aca="false">IFERROR(D180*E180,0)</f>
        <v>477.26</v>
      </c>
      <c r="G180" s="42" t="str">
        <f aca="false">INDEX(SETORES!$B:$B,MATCH(A180,SETORES!$A:$A,0))</f>
        <v>Funcionários</v>
      </c>
      <c r="H180" s="42" t="s">
        <v>88</v>
      </c>
    </row>
    <row r="181" customFormat="false" ht="14.25" hidden="false" customHeight="true" outlineLevel="0" collapsed="false">
      <c r="A181" s="16" t="s">
        <v>79</v>
      </c>
      <c r="B181" s="42" t="s">
        <v>157</v>
      </c>
      <c r="C181" s="42" t="s">
        <v>158</v>
      </c>
      <c r="D181" s="43"/>
      <c r="E181" s="44"/>
      <c r="F181" s="45" t="n">
        <f aca="false">IFERROR(D181*E181,0)</f>
        <v>0</v>
      </c>
      <c r="G181" s="42" t="str">
        <f aca="false">INDEX(SETORES!$B:$B,MATCH(A181,SETORES!$A:$A,0))</f>
        <v>Funcionários</v>
      </c>
      <c r="H181" s="42" t="s">
        <v>88</v>
      </c>
    </row>
    <row r="182" customFormat="false" ht="14.25" hidden="false" customHeight="true" outlineLevel="0" collapsed="false">
      <c r="A182" s="16" t="s">
        <v>79</v>
      </c>
      <c r="B182" s="42" t="s">
        <v>157</v>
      </c>
      <c r="C182" s="42" t="s">
        <v>158</v>
      </c>
      <c r="D182" s="43"/>
      <c r="E182" s="44"/>
      <c r="F182" s="45" t="n">
        <f aca="false">IFERROR(D182*E182,0)</f>
        <v>0</v>
      </c>
      <c r="G182" s="42" t="str">
        <f aca="false">INDEX(SETORES!$B:$B,MATCH(A182,SETORES!$A:$A,0))</f>
        <v>Funcionários</v>
      </c>
      <c r="H182" s="42" t="s">
        <v>88</v>
      </c>
    </row>
    <row r="183" customFormat="false" ht="14.25" hidden="false" customHeight="true" outlineLevel="0" collapsed="false">
      <c r="A183" s="16" t="s">
        <v>79</v>
      </c>
      <c r="B183" s="42" t="s">
        <v>155</v>
      </c>
      <c r="C183" s="42" t="s">
        <v>173</v>
      </c>
      <c r="D183" s="43" t="n">
        <v>4</v>
      </c>
      <c r="E183" s="44" t="n">
        <v>1.87</v>
      </c>
      <c r="F183" s="45" t="n">
        <f aca="false">IFERROR(D183*E183,0)</f>
        <v>7.48</v>
      </c>
      <c r="G183" s="42" t="str">
        <f aca="false">INDEX(SETORES!$B:$B,MATCH(A183,SETORES!$A:$A,0))</f>
        <v>Funcionários</v>
      </c>
      <c r="H183" s="42" t="s">
        <v>88</v>
      </c>
    </row>
    <row r="184" customFormat="false" ht="14.25" hidden="false" customHeight="true" outlineLevel="0" collapsed="false">
      <c r="A184" s="16" t="s">
        <v>141</v>
      </c>
      <c r="B184" s="42" t="s">
        <v>155</v>
      </c>
      <c r="C184" s="42" t="s">
        <v>169</v>
      </c>
      <c r="D184" s="43" t="n">
        <v>1</v>
      </c>
      <c r="E184" s="44" t="n">
        <v>24325.69</v>
      </c>
      <c r="F184" s="45" t="n">
        <f aca="false">IFERROR(D184*E184,0)</f>
        <v>24325.69</v>
      </c>
      <c r="G184" s="42" t="str">
        <f aca="false">INDEX(SETORES!$B:$B,MATCH(A184,SETORES!$A:$A,0))</f>
        <v>Clientes</v>
      </c>
      <c r="H184" s="42" t="s">
        <v>88</v>
      </c>
    </row>
    <row r="185" customFormat="false" ht="14.25" hidden="false" customHeight="true" outlineLevel="0" collapsed="false">
      <c r="A185" s="16" t="s">
        <v>141</v>
      </c>
      <c r="B185" s="42" t="s">
        <v>155</v>
      </c>
      <c r="C185" s="42" t="s">
        <v>172</v>
      </c>
      <c r="D185" s="43" t="n">
        <v>6</v>
      </c>
      <c r="E185" s="44" t="n">
        <v>50</v>
      </c>
      <c r="F185" s="45" t="n">
        <f aca="false">IFERROR(D185*E185,0)</f>
        <v>300</v>
      </c>
      <c r="G185" s="42" t="str">
        <f aca="false">INDEX(SETORES!$B:$B,MATCH(A185,SETORES!$A:$A,0))</f>
        <v>Clientes</v>
      </c>
      <c r="H185" s="42" t="s">
        <v>88</v>
      </c>
    </row>
    <row r="186" customFormat="false" ht="14.25" hidden="false" customHeight="true" outlineLevel="0" collapsed="false">
      <c r="A186" s="16" t="s">
        <v>141</v>
      </c>
      <c r="B186" s="42" t="s">
        <v>155</v>
      </c>
      <c r="C186" s="42" t="s">
        <v>173</v>
      </c>
      <c r="D186" s="43" t="n">
        <v>6</v>
      </c>
      <c r="E186" s="44" t="n">
        <v>2.05</v>
      </c>
      <c r="F186" s="45" t="n">
        <f aca="false">IFERROR(D186*E186,0)</f>
        <v>12.3</v>
      </c>
      <c r="G186" s="42" t="str">
        <f aca="false">INDEX(SETORES!$B:$B,MATCH(A186,SETORES!$A:$A,0))</f>
        <v>Clientes</v>
      </c>
      <c r="H186" s="42" t="s">
        <v>88</v>
      </c>
    </row>
    <row r="187" customFormat="false" ht="14.25" hidden="false" customHeight="true" outlineLevel="0" collapsed="false">
      <c r="A187" s="16" t="s">
        <v>80</v>
      </c>
      <c r="B187" s="42" t="s">
        <v>155</v>
      </c>
      <c r="C187" s="42" t="s">
        <v>162</v>
      </c>
      <c r="D187" s="43" t="n">
        <v>2</v>
      </c>
      <c r="E187" s="44" t="n">
        <v>0.342924528301887</v>
      </c>
      <c r="F187" s="45" t="n">
        <f aca="false">IFERROR(D187*E187,0)</f>
        <v>0.685849056603774</v>
      </c>
      <c r="G187" s="42" t="str">
        <f aca="false">INDEX(SETORES!$B:$B,MATCH(A187,SETORES!$A:$A,0))</f>
        <v>Clientes</v>
      </c>
      <c r="H187" s="42" t="s">
        <v>88</v>
      </c>
    </row>
    <row r="188" customFormat="false" ht="14.25" hidden="false" customHeight="true" outlineLevel="0" collapsed="false">
      <c r="A188" s="16" t="s">
        <v>80</v>
      </c>
      <c r="B188" s="42" t="s">
        <v>155</v>
      </c>
      <c r="C188" s="42" t="s">
        <v>165</v>
      </c>
      <c r="D188" s="43" t="n">
        <v>2</v>
      </c>
      <c r="E188" s="44" t="n">
        <v>52.09</v>
      </c>
      <c r="F188" s="45" t="n">
        <f aca="false">IFERROR(D188*E188,0)</f>
        <v>104.18</v>
      </c>
      <c r="G188" s="42" t="s">
        <v>99</v>
      </c>
      <c r="H188" s="42" t="s">
        <v>88</v>
      </c>
    </row>
    <row r="189" customFormat="false" ht="14.25" hidden="false" customHeight="true" outlineLevel="0" collapsed="false">
      <c r="A189" s="16" t="s">
        <v>80</v>
      </c>
      <c r="B189" s="42" t="s">
        <v>155</v>
      </c>
      <c r="C189" s="42" t="s">
        <v>166</v>
      </c>
      <c r="D189" s="43" t="n">
        <v>2</v>
      </c>
      <c r="E189" s="44" t="n">
        <v>32.55</v>
      </c>
      <c r="F189" s="45" t="n">
        <f aca="false">IFERROR(D189*E189,0)</f>
        <v>65.1</v>
      </c>
      <c r="G189" s="42" t="s">
        <v>99</v>
      </c>
      <c r="H189" s="42" t="s">
        <v>88</v>
      </c>
    </row>
    <row r="190" customFormat="false" ht="14.25" hidden="false" customHeight="true" outlineLevel="0" collapsed="false">
      <c r="A190" s="16" t="s">
        <v>80</v>
      </c>
      <c r="B190" s="42" t="s">
        <v>155</v>
      </c>
      <c r="C190" s="42" t="s">
        <v>167</v>
      </c>
      <c r="D190" s="43" t="n">
        <v>2</v>
      </c>
      <c r="E190" s="44" t="n">
        <v>52.35</v>
      </c>
      <c r="F190" s="45" t="n">
        <f aca="false">IFERROR(D190*E190,0)</f>
        <v>104.7</v>
      </c>
      <c r="G190" s="42" t="s">
        <v>99</v>
      </c>
      <c r="H190" s="42" t="s">
        <v>88</v>
      </c>
    </row>
    <row r="191" customFormat="false" ht="14.25" hidden="false" customHeight="true" outlineLevel="0" collapsed="false">
      <c r="A191" s="16" t="s">
        <v>80</v>
      </c>
      <c r="B191" s="42" t="s">
        <v>155</v>
      </c>
      <c r="C191" s="42" t="s">
        <v>168</v>
      </c>
      <c r="D191" s="43" t="n">
        <v>2</v>
      </c>
      <c r="E191" s="44" t="n">
        <v>124.491481481482</v>
      </c>
      <c r="F191" s="45" t="n">
        <f aca="false">IFERROR(D191*E191,0)</f>
        <v>248.982962962964</v>
      </c>
      <c r="G191" s="42" t="str">
        <f aca="false">INDEX(SETORES!$B:$B,MATCH(A191,SETORES!$A:$A,0))</f>
        <v>Clientes</v>
      </c>
      <c r="H191" s="42" t="s">
        <v>88</v>
      </c>
    </row>
    <row r="192" customFormat="false" ht="14.25" hidden="false" customHeight="true" outlineLevel="0" collapsed="false">
      <c r="A192" s="16" t="s">
        <v>80</v>
      </c>
      <c r="B192" s="42" t="s">
        <v>155</v>
      </c>
      <c r="C192" s="42" t="s">
        <v>169</v>
      </c>
      <c r="D192" s="43" t="n">
        <v>1</v>
      </c>
      <c r="E192" s="44" t="n">
        <v>11133.4</v>
      </c>
      <c r="F192" s="45" t="n">
        <f aca="false">IFERROR(D192*E192,0)</f>
        <v>11133.4</v>
      </c>
      <c r="G192" s="42" t="str">
        <f aca="false">INDEX(SETORES!$B:$B,MATCH(A192,SETORES!$A:$A,0))</f>
        <v>Clientes</v>
      </c>
      <c r="H192" s="42" t="s">
        <v>88</v>
      </c>
    </row>
    <row r="193" customFormat="false" ht="14.25" hidden="false" customHeight="true" outlineLevel="0" collapsed="false">
      <c r="A193" s="16" t="s">
        <v>80</v>
      </c>
      <c r="B193" s="42" t="s">
        <v>155</v>
      </c>
      <c r="C193" s="42" t="s">
        <v>170</v>
      </c>
      <c r="D193" s="43"/>
      <c r="E193" s="44"/>
      <c r="F193" s="45" t="n">
        <f aca="false">IFERROR(D193*E193,0)</f>
        <v>0</v>
      </c>
      <c r="G193" s="42" t="str">
        <f aca="false">INDEX(SETORES!$B:$B,MATCH(A193,SETORES!$A:$A,0))</f>
        <v>Clientes</v>
      </c>
      <c r="H193" s="42" t="s">
        <v>88</v>
      </c>
    </row>
    <row r="194" customFormat="false" ht="14.25" hidden="false" customHeight="true" outlineLevel="0" collapsed="false">
      <c r="A194" s="16" t="s">
        <v>80</v>
      </c>
      <c r="B194" s="42" t="s">
        <v>155</v>
      </c>
      <c r="C194" s="42" t="s">
        <v>183</v>
      </c>
      <c r="D194" s="43" t="n">
        <v>2</v>
      </c>
      <c r="E194" s="44" t="n">
        <v>7.57575757575758</v>
      </c>
      <c r="F194" s="45" t="n">
        <f aca="false">IFERROR(D194*E194,0)</f>
        <v>15.1515151515152</v>
      </c>
      <c r="G194" s="42" t="str">
        <f aca="false">INDEX(SETORES!$B:$B,MATCH(A194,SETORES!$A:$A,0))</f>
        <v>Clientes</v>
      </c>
      <c r="H194" s="42" t="s">
        <v>88</v>
      </c>
    </row>
    <row r="195" customFormat="false" ht="14.25" hidden="false" customHeight="true" outlineLevel="0" collapsed="false">
      <c r="A195" s="16" t="s">
        <v>80</v>
      </c>
      <c r="B195" s="42" t="s">
        <v>155</v>
      </c>
      <c r="C195" s="42" t="s">
        <v>171</v>
      </c>
      <c r="D195" s="43" t="n">
        <v>2</v>
      </c>
      <c r="E195" s="44" t="n">
        <v>8.817255</v>
      </c>
      <c r="F195" s="45" t="n">
        <f aca="false">IFERROR(D195*E195,0)</f>
        <v>17.63451</v>
      </c>
      <c r="G195" s="42" t="str">
        <f aca="false">INDEX(SETORES!$B:$B,MATCH(A195,SETORES!$A:$A,0))</f>
        <v>Clientes</v>
      </c>
      <c r="H195" s="42" t="s">
        <v>88</v>
      </c>
    </row>
    <row r="196" customFormat="false" ht="14.25" hidden="false" customHeight="true" outlineLevel="0" collapsed="false">
      <c r="A196" s="16" t="s">
        <v>80</v>
      </c>
      <c r="B196" s="42" t="s">
        <v>155</v>
      </c>
      <c r="C196" s="42" t="s">
        <v>172</v>
      </c>
      <c r="D196" s="43" t="n">
        <v>2</v>
      </c>
      <c r="E196" s="44" t="n">
        <v>50</v>
      </c>
      <c r="F196" s="45" t="n">
        <f aca="false">IFERROR(D196*E196,0)</f>
        <v>100</v>
      </c>
      <c r="G196" s="42" t="str">
        <f aca="false">INDEX(SETORES!$B:$B,MATCH(A196,SETORES!$A:$A,0))</f>
        <v>Clientes</v>
      </c>
      <c r="H196" s="42" t="s">
        <v>88</v>
      </c>
    </row>
    <row r="197" customFormat="false" ht="14.25" hidden="false" customHeight="true" outlineLevel="0" collapsed="false">
      <c r="A197" s="16" t="s">
        <v>80</v>
      </c>
      <c r="B197" s="42" t="s">
        <v>155</v>
      </c>
      <c r="C197" s="42" t="s">
        <v>177</v>
      </c>
      <c r="D197" s="43"/>
      <c r="E197" s="44"/>
      <c r="F197" s="45" t="n">
        <f aca="false">IFERROR(D197*E197,0)</f>
        <v>0</v>
      </c>
      <c r="G197" s="42" t="str">
        <f aca="false">INDEX(SETORES!$B:$B,MATCH(A197,SETORES!$A:$A,0))</f>
        <v>Clientes</v>
      </c>
      <c r="H197" s="42" t="s">
        <v>88</v>
      </c>
    </row>
    <row r="198" customFormat="false" ht="14.25" hidden="false" customHeight="true" outlineLevel="0" collapsed="false">
      <c r="A198" s="16" t="s">
        <v>80</v>
      </c>
      <c r="B198" s="42" t="s">
        <v>155</v>
      </c>
      <c r="C198" s="42" t="s">
        <v>178</v>
      </c>
      <c r="D198" s="43"/>
      <c r="E198" s="44"/>
      <c r="F198" s="45" t="n">
        <f aca="false">IFERROR(D198*E198,0)</f>
        <v>0</v>
      </c>
      <c r="G198" s="42" t="str">
        <f aca="false">INDEX(SETORES!$B:$B,MATCH(A198,SETORES!$A:$A,0))</f>
        <v>Clientes</v>
      </c>
      <c r="H198" s="42" t="s">
        <v>88</v>
      </c>
    </row>
    <row r="199" customFormat="false" ht="14.25" hidden="false" customHeight="true" outlineLevel="0" collapsed="false">
      <c r="A199" s="16" t="s">
        <v>80</v>
      </c>
      <c r="B199" s="42" t="s">
        <v>157</v>
      </c>
      <c r="C199" s="42" t="s">
        <v>158</v>
      </c>
      <c r="D199" s="43"/>
      <c r="E199" s="44"/>
      <c r="F199" s="45" t="n">
        <f aca="false">IFERROR(D199*E199,0)</f>
        <v>0</v>
      </c>
      <c r="G199" s="42" t="str">
        <f aca="false">INDEX(SETORES!$B:$B,MATCH(A199,SETORES!$A:$A,0))</f>
        <v>Clientes</v>
      </c>
      <c r="H199" s="42" t="s">
        <v>88</v>
      </c>
    </row>
    <row r="200" customFormat="false" ht="14.25" hidden="false" customHeight="true" outlineLevel="0" collapsed="false">
      <c r="A200" s="16" t="s">
        <v>80</v>
      </c>
      <c r="B200" s="42" t="s">
        <v>155</v>
      </c>
      <c r="C200" s="42" t="s">
        <v>173</v>
      </c>
      <c r="D200" s="43" t="n">
        <v>2</v>
      </c>
      <c r="E200" s="44" t="n">
        <v>1.87</v>
      </c>
      <c r="F200" s="45" t="n">
        <f aca="false">IFERROR(D200*E200,0)</f>
        <v>3.74</v>
      </c>
      <c r="G200" s="42" t="str">
        <f aca="false">INDEX(SETORES!$B:$B,MATCH(A200,SETORES!$A:$A,0))</f>
        <v>Clientes</v>
      </c>
      <c r="H200" s="42" t="s">
        <v>88</v>
      </c>
    </row>
    <row r="201" customFormat="false" ht="14.25" hidden="false" customHeight="true" outlineLevel="0" collapsed="false">
      <c r="A201" s="16" t="s">
        <v>42</v>
      </c>
      <c r="B201" s="42" t="s">
        <v>155</v>
      </c>
      <c r="C201" s="42" t="s">
        <v>162</v>
      </c>
      <c r="D201" s="43" t="n">
        <v>2</v>
      </c>
      <c r="E201" s="44" t="n">
        <v>0.342924528301887</v>
      </c>
      <c r="F201" s="45" t="n">
        <f aca="false">IFERROR(D201*E201,0)</f>
        <v>0.685849056603774</v>
      </c>
      <c r="G201" s="42" t="str">
        <f aca="false">INDEX(SETORES!$B:$B,MATCH(A201,SETORES!$A:$A,0))</f>
        <v>Clientes</v>
      </c>
      <c r="H201" s="42" t="s">
        <v>88</v>
      </c>
    </row>
    <row r="202" customFormat="false" ht="14.25" hidden="false" customHeight="true" outlineLevel="0" collapsed="false">
      <c r="A202" s="16" t="s">
        <v>42</v>
      </c>
      <c r="B202" s="42" t="s">
        <v>155</v>
      </c>
      <c r="C202" s="42" t="s">
        <v>165</v>
      </c>
      <c r="D202" s="43" t="n">
        <v>2</v>
      </c>
      <c r="E202" s="44" t="n">
        <v>52.09</v>
      </c>
      <c r="F202" s="45" t="n">
        <f aca="false">IFERROR(D202*E202,0)</f>
        <v>104.18</v>
      </c>
      <c r="G202" s="42" t="s">
        <v>99</v>
      </c>
      <c r="H202" s="42" t="s">
        <v>88</v>
      </c>
    </row>
    <row r="203" customFormat="false" ht="14.25" hidden="false" customHeight="true" outlineLevel="0" collapsed="false">
      <c r="A203" s="16" t="s">
        <v>42</v>
      </c>
      <c r="B203" s="42" t="s">
        <v>155</v>
      </c>
      <c r="C203" s="42" t="s">
        <v>166</v>
      </c>
      <c r="D203" s="43" t="n">
        <v>2</v>
      </c>
      <c r="E203" s="44" t="n">
        <v>32.55</v>
      </c>
      <c r="F203" s="45" t="n">
        <f aca="false">IFERROR(D203*E203,0)</f>
        <v>65.1</v>
      </c>
      <c r="G203" s="42" t="s">
        <v>99</v>
      </c>
      <c r="H203" s="42" t="s">
        <v>88</v>
      </c>
    </row>
    <row r="204" customFormat="false" ht="14.25" hidden="false" customHeight="true" outlineLevel="0" collapsed="false">
      <c r="A204" s="16" t="s">
        <v>42</v>
      </c>
      <c r="B204" s="42" t="s">
        <v>155</v>
      </c>
      <c r="C204" s="42" t="s">
        <v>167</v>
      </c>
      <c r="D204" s="43" t="n">
        <v>2</v>
      </c>
      <c r="E204" s="44" t="n">
        <v>52.35</v>
      </c>
      <c r="F204" s="45" t="n">
        <f aca="false">IFERROR(D204*E204,0)</f>
        <v>104.7</v>
      </c>
      <c r="G204" s="42" t="s">
        <v>99</v>
      </c>
      <c r="H204" s="42" t="s">
        <v>88</v>
      </c>
    </row>
    <row r="205" customFormat="false" ht="14.25" hidden="false" customHeight="true" outlineLevel="0" collapsed="false">
      <c r="A205" s="16" t="s">
        <v>42</v>
      </c>
      <c r="B205" s="42" t="s">
        <v>155</v>
      </c>
      <c r="C205" s="42" t="s">
        <v>168</v>
      </c>
      <c r="D205" s="43" t="n">
        <v>2</v>
      </c>
      <c r="E205" s="44" t="n">
        <v>124.491481481482</v>
      </c>
      <c r="F205" s="45" t="n">
        <f aca="false">IFERROR(D205*E205,0)</f>
        <v>248.982962962964</v>
      </c>
      <c r="G205" s="42" t="str">
        <f aca="false">INDEX(SETORES!$B:$B,MATCH(A205,SETORES!$A:$A,0))</f>
        <v>Clientes</v>
      </c>
      <c r="H205" s="42" t="s">
        <v>88</v>
      </c>
    </row>
    <row r="206" customFormat="false" ht="14.25" hidden="false" customHeight="true" outlineLevel="0" collapsed="false">
      <c r="A206" s="16" t="s">
        <v>42</v>
      </c>
      <c r="B206" s="42" t="s">
        <v>157</v>
      </c>
      <c r="C206" s="42" t="s">
        <v>175</v>
      </c>
      <c r="D206" s="43"/>
      <c r="E206" s="44"/>
      <c r="F206" s="45" t="n">
        <f aca="false">IFERROR(D206*E206,0)</f>
        <v>0</v>
      </c>
      <c r="G206" s="42" t="str">
        <f aca="false">INDEX(SETORES!$B:$B,MATCH(A206,SETORES!$A:$A,0))</f>
        <v>Clientes</v>
      </c>
      <c r="H206" s="42" t="s">
        <v>88</v>
      </c>
    </row>
    <row r="207" customFormat="false" ht="14.25" hidden="false" customHeight="true" outlineLevel="0" collapsed="false">
      <c r="A207" s="16" t="s">
        <v>42</v>
      </c>
      <c r="B207" s="42" t="s">
        <v>157</v>
      </c>
      <c r="C207" s="42" t="s">
        <v>176</v>
      </c>
      <c r="D207" s="43"/>
      <c r="E207" s="44"/>
      <c r="F207" s="45" t="n">
        <f aca="false">IFERROR(D207*E207,0)</f>
        <v>0</v>
      </c>
      <c r="G207" s="42" t="str">
        <f aca="false">INDEX(SETORES!$B:$B,MATCH(A207,SETORES!$A:$A,0))</f>
        <v>Clientes</v>
      </c>
      <c r="H207" s="42" t="s">
        <v>88</v>
      </c>
    </row>
    <row r="208" customFormat="false" ht="14.25" hidden="false" customHeight="true" outlineLevel="0" collapsed="false">
      <c r="A208" s="16" t="s">
        <v>42</v>
      </c>
      <c r="B208" s="42" t="s">
        <v>155</v>
      </c>
      <c r="C208" s="42" t="s">
        <v>169</v>
      </c>
      <c r="D208" s="43" t="n">
        <v>1</v>
      </c>
      <c r="E208" s="44" t="n">
        <v>28328.94</v>
      </c>
      <c r="F208" s="45" t="n">
        <f aca="false">IFERROR(D208*E208,0)</f>
        <v>28328.94</v>
      </c>
      <c r="G208" s="42" t="str">
        <f aca="false">INDEX(SETORES!$B:$B,MATCH(A208,SETORES!$A:$A,0))</f>
        <v>Clientes</v>
      </c>
      <c r="H208" s="42" t="s">
        <v>88</v>
      </c>
    </row>
    <row r="209" customFormat="false" ht="14.25" hidden="false" customHeight="true" outlineLevel="0" collapsed="false">
      <c r="A209" s="16" t="s">
        <v>42</v>
      </c>
      <c r="B209" s="42" t="s">
        <v>155</v>
      </c>
      <c r="C209" s="42" t="s">
        <v>170</v>
      </c>
      <c r="D209" s="43"/>
      <c r="E209" s="44"/>
      <c r="F209" s="45" t="n">
        <f aca="false">IFERROR(D209*E209,0)</f>
        <v>0</v>
      </c>
      <c r="G209" s="42" t="str">
        <f aca="false">INDEX(SETORES!$B:$B,MATCH(A209,SETORES!$A:$A,0))</f>
        <v>Clientes</v>
      </c>
      <c r="H209" s="42" t="s">
        <v>88</v>
      </c>
    </row>
    <row r="210" customFormat="false" ht="14.25" hidden="false" customHeight="true" outlineLevel="0" collapsed="false">
      <c r="A210" s="16" t="s">
        <v>42</v>
      </c>
      <c r="B210" s="42" t="s">
        <v>155</v>
      </c>
      <c r="C210" s="42" t="s">
        <v>183</v>
      </c>
      <c r="D210" s="43" t="n">
        <v>2</v>
      </c>
      <c r="E210" s="44" t="n">
        <v>7.57575757575758</v>
      </c>
      <c r="F210" s="45" t="n">
        <f aca="false">IFERROR(D210*E210,0)</f>
        <v>15.1515151515152</v>
      </c>
      <c r="G210" s="42" t="str">
        <f aca="false">INDEX(SETORES!$B:$B,MATCH(A210,SETORES!$A:$A,0))</f>
        <v>Clientes</v>
      </c>
      <c r="H210" s="42" t="s">
        <v>88</v>
      </c>
    </row>
    <row r="211" customFormat="false" ht="14.25" hidden="false" customHeight="true" outlineLevel="0" collapsed="false">
      <c r="A211" s="16" t="s">
        <v>42</v>
      </c>
      <c r="B211" s="42" t="s">
        <v>155</v>
      </c>
      <c r="C211" s="42" t="s">
        <v>171</v>
      </c>
      <c r="D211" s="43" t="n">
        <v>2</v>
      </c>
      <c r="E211" s="44" t="n">
        <v>8.817255</v>
      </c>
      <c r="F211" s="45" t="n">
        <f aca="false">IFERROR(D211*E211,0)</f>
        <v>17.63451</v>
      </c>
      <c r="G211" s="42" t="str">
        <f aca="false">INDEX(SETORES!$B:$B,MATCH(A211,SETORES!$A:$A,0))</f>
        <v>Clientes</v>
      </c>
      <c r="H211" s="42" t="s">
        <v>88</v>
      </c>
    </row>
    <row r="212" customFormat="false" ht="14.25" hidden="false" customHeight="true" outlineLevel="0" collapsed="false">
      <c r="A212" s="16" t="s">
        <v>42</v>
      </c>
      <c r="B212" s="42" t="s">
        <v>155</v>
      </c>
      <c r="C212" s="42" t="s">
        <v>172</v>
      </c>
      <c r="D212" s="43" t="n">
        <v>2</v>
      </c>
      <c r="E212" s="44" t="n">
        <v>50</v>
      </c>
      <c r="F212" s="45" t="n">
        <f aca="false">IFERROR(D212*E212,0)</f>
        <v>100</v>
      </c>
      <c r="G212" s="42" t="str">
        <f aca="false">INDEX(SETORES!$B:$B,MATCH(A212,SETORES!$A:$A,0))</f>
        <v>Clientes</v>
      </c>
      <c r="H212" s="42" t="s">
        <v>88</v>
      </c>
    </row>
    <row r="213" customFormat="false" ht="14.25" hidden="false" customHeight="true" outlineLevel="0" collapsed="false">
      <c r="A213" s="16" t="s">
        <v>42</v>
      </c>
      <c r="B213" s="42" t="s">
        <v>155</v>
      </c>
      <c r="C213" s="42" t="s">
        <v>177</v>
      </c>
      <c r="D213" s="43" t="n">
        <v>1</v>
      </c>
      <c r="E213" s="44" t="n">
        <v>9.31</v>
      </c>
      <c r="F213" s="45" t="n">
        <f aca="false">IFERROR(D213*E213,0)</f>
        <v>9.31</v>
      </c>
      <c r="G213" s="42" t="str">
        <f aca="false">INDEX(SETORES!$B:$B,MATCH(A213,SETORES!$A:$A,0))</f>
        <v>Clientes</v>
      </c>
      <c r="H213" s="42" t="s">
        <v>88</v>
      </c>
    </row>
    <row r="214" customFormat="false" ht="14.25" hidden="false" customHeight="true" outlineLevel="0" collapsed="false">
      <c r="A214" s="16" t="s">
        <v>42</v>
      </c>
      <c r="B214" s="42" t="s">
        <v>155</v>
      </c>
      <c r="C214" s="42" t="s">
        <v>178</v>
      </c>
      <c r="D214" s="43" t="n">
        <v>1</v>
      </c>
      <c r="E214" s="44" t="n">
        <v>70.76</v>
      </c>
      <c r="F214" s="45" t="n">
        <f aca="false">IFERROR(D214*E214,0)</f>
        <v>70.76</v>
      </c>
      <c r="G214" s="42" t="str">
        <f aca="false">INDEX(SETORES!$B:$B,MATCH(A214,SETORES!$A:$A,0))</f>
        <v>Clientes</v>
      </c>
      <c r="H214" s="42" t="s">
        <v>88</v>
      </c>
    </row>
    <row r="215" customFormat="false" ht="14.25" hidden="false" customHeight="true" outlineLevel="0" collapsed="false">
      <c r="A215" s="16" t="s">
        <v>42</v>
      </c>
      <c r="B215" s="42" t="s">
        <v>157</v>
      </c>
      <c r="C215" s="42" t="s">
        <v>158</v>
      </c>
      <c r="D215" s="43"/>
      <c r="E215" s="44"/>
      <c r="F215" s="45" t="n">
        <f aca="false">IFERROR(D215*E215,0)</f>
        <v>0</v>
      </c>
      <c r="G215" s="42" t="str">
        <f aca="false">INDEX(SETORES!$B:$B,MATCH(A215,SETORES!$A:$A,0))</f>
        <v>Clientes</v>
      </c>
      <c r="H215" s="42" t="s">
        <v>88</v>
      </c>
    </row>
    <row r="216" customFormat="false" ht="14.25" hidden="false" customHeight="true" outlineLevel="0" collapsed="false">
      <c r="A216" s="16" t="s">
        <v>42</v>
      </c>
      <c r="B216" s="42" t="s">
        <v>155</v>
      </c>
      <c r="C216" s="42" t="s">
        <v>173</v>
      </c>
      <c r="D216" s="43" t="n">
        <v>2</v>
      </c>
      <c r="E216" s="44" t="n">
        <v>1.87</v>
      </c>
      <c r="F216" s="45" t="n">
        <f aca="false">IFERROR(D216*E216,0)</f>
        <v>3.74</v>
      </c>
      <c r="G216" s="42" t="str">
        <f aca="false">INDEX(SETORES!$B:$B,MATCH(A216,SETORES!$A:$A,0))</f>
        <v>Clientes</v>
      </c>
      <c r="H216" s="42" t="s">
        <v>88</v>
      </c>
    </row>
    <row r="217" customFormat="false" ht="14.25" hidden="false" customHeight="true" outlineLevel="0" collapsed="false">
      <c r="A217" s="16" t="s">
        <v>42</v>
      </c>
      <c r="B217" s="42" t="s">
        <v>155</v>
      </c>
      <c r="C217" s="42" t="s">
        <v>179</v>
      </c>
      <c r="D217" s="43"/>
      <c r="E217" s="44"/>
      <c r="F217" s="45" t="n">
        <f aca="false">IFERROR(D217*E217,0)</f>
        <v>0</v>
      </c>
      <c r="G217" s="42" t="str">
        <f aca="false">INDEX(SETORES!$B:$B,MATCH(A217,SETORES!$A:$A,0))</f>
        <v>Clientes</v>
      </c>
      <c r="H217" s="42" t="s">
        <v>88</v>
      </c>
    </row>
    <row r="218" customFormat="false" ht="14.25" hidden="false" customHeight="true" outlineLevel="0" collapsed="false">
      <c r="A218" s="16" t="s">
        <v>42</v>
      </c>
      <c r="B218" s="42" t="s">
        <v>157</v>
      </c>
      <c r="C218" s="42" t="s">
        <v>208</v>
      </c>
      <c r="D218" s="43"/>
      <c r="E218" s="44"/>
      <c r="F218" s="45" t="n">
        <f aca="false">IFERROR(D218*E218,0)</f>
        <v>0</v>
      </c>
      <c r="G218" s="42" t="str">
        <f aca="false">INDEX(SETORES!$B:$B,MATCH(A218,SETORES!$A:$A,0))</f>
        <v>Clientes</v>
      </c>
      <c r="H218" s="42" t="s">
        <v>88</v>
      </c>
    </row>
    <row r="219" customFormat="false" ht="14.25" hidden="false" customHeight="true" outlineLevel="0" collapsed="false">
      <c r="A219" s="16" t="s">
        <v>33</v>
      </c>
      <c r="B219" s="42" t="s">
        <v>155</v>
      </c>
      <c r="C219" s="42" t="s">
        <v>162</v>
      </c>
      <c r="D219" s="43" t="n">
        <v>9</v>
      </c>
      <c r="E219" s="44" t="n">
        <v>0.342924528301887</v>
      </c>
      <c r="F219" s="45" t="n">
        <f aca="false">IFERROR(D219*E219,0)</f>
        <v>3.08632075471698</v>
      </c>
      <c r="G219" s="42" t="str">
        <f aca="false">INDEX(SETORES!$B:$B,MATCH(A219,SETORES!$A:$A,0))</f>
        <v>Funcionários</v>
      </c>
      <c r="H219" s="42" t="s">
        <v>88</v>
      </c>
    </row>
    <row r="220" customFormat="false" ht="14.25" hidden="false" customHeight="true" outlineLevel="0" collapsed="false">
      <c r="A220" s="16" t="s">
        <v>33</v>
      </c>
      <c r="B220" s="42" t="s">
        <v>155</v>
      </c>
      <c r="C220" s="42" t="s">
        <v>163</v>
      </c>
      <c r="D220" s="43" t="n">
        <v>2</v>
      </c>
      <c r="E220" s="44" t="n">
        <v>30</v>
      </c>
      <c r="F220" s="45" t="n">
        <f aca="false">IFERROR(D220*E220,0)</f>
        <v>60</v>
      </c>
      <c r="G220" s="42" t="str">
        <f aca="false">INDEX(SETORES!$B:$B,MATCH(A220,SETORES!$A:$A,0))</f>
        <v>Funcionários</v>
      </c>
      <c r="H220" s="42" t="s">
        <v>88</v>
      </c>
    </row>
    <row r="221" customFormat="false" ht="14.25" hidden="false" customHeight="true" outlineLevel="0" collapsed="false">
      <c r="A221" s="16" t="s">
        <v>33</v>
      </c>
      <c r="B221" s="42" t="s">
        <v>155</v>
      </c>
      <c r="C221" s="42" t="s">
        <v>165</v>
      </c>
      <c r="D221" s="43" t="n">
        <v>9</v>
      </c>
      <c r="E221" s="44" t="n">
        <v>52.09</v>
      </c>
      <c r="F221" s="45" t="n">
        <f aca="false">IFERROR(D221*E221,0)</f>
        <v>468.81</v>
      </c>
      <c r="G221" s="42" t="str">
        <f aca="false">INDEX(SETORES!$B:$B,MATCH(A221,SETORES!$A:$A,0))</f>
        <v>Funcionários</v>
      </c>
      <c r="H221" s="42" t="s">
        <v>88</v>
      </c>
    </row>
    <row r="222" customFormat="false" ht="14.25" hidden="false" customHeight="true" outlineLevel="0" collapsed="false">
      <c r="A222" s="16" t="s">
        <v>33</v>
      </c>
      <c r="B222" s="42" t="s">
        <v>155</v>
      </c>
      <c r="C222" s="42" t="s">
        <v>166</v>
      </c>
      <c r="D222" s="43" t="n">
        <v>9</v>
      </c>
      <c r="E222" s="44" t="n">
        <v>32.55</v>
      </c>
      <c r="F222" s="45" t="n">
        <f aca="false">IFERROR(D222*E222,0)</f>
        <v>292.95</v>
      </c>
      <c r="G222" s="42" t="str">
        <f aca="false">INDEX(SETORES!$B:$B,MATCH(A222,SETORES!$A:$A,0))</f>
        <v>Funcionários</v>
      </c>
      <c r="H222" s="42" t="s">
        <v>88</v>
      </c>
    </row>
    <row r="223" customFormat="false" ht="14.25" hidden="false" customHeight="true" outlineLevel="0" collapsed="false">
      <c r="A223" s="16" t="s">
        <v>33</v>
      </c>
      <c r="B223" s="42" t="s">
        <v>155</v>
      </c>
      <c r="C223" s="42" t="s">
        <v>167</v>
      </c>
      <c r="D223" s="43" t="n">
        <v>9</v>
      </c>
      <c r="E223" s="44" t="n">
        <v>52.35</v>
      </c>
      <c r="F223" s="45" t="n">
        <f aca="false">IFERROR(D223*E223,0)</f>
        <v>471.15</v>
      </c>
      <c r="G223" s="42" t="str">
        <f aca="false">INDEX(SETORES!$B:$B,MATCH(A223,SETORES!$A:$A,0))</f>
        <v>Funcionários</v>
      </c>
      <c r="H223" s="42" t="s">
        <v>88</v>
      </c>
    </row>
    <row r="224" customFormat="false" ht="14.25" hidden="false" customHeight="true" outlineLevel="0" collapsed="false">
      <c r="A224" s="16" t="s">
        <v>33</v>
      </c>
      <c r="B224" s="42" t="s">
        <v>155</v>
      </c>
      <c r="C224" s="42" t="s">
        <v>168</v>
      </c>
      <c r="D224" s="43" t="n">
        <v>9</v>
      </c>
      <c r="E224" s="44" t="n">
        <v>124.491481481482</v>
      </c>
      <c r="F224" s="45" t="n">
        <f aca="false">IFERROR(D224*E224,0)</f>
        <v>1120.42333333334</v>
      </c>
      <c r="G224" s="42" t="str">
        <f aca="false">INDEX(SETORES!$B:$B,MATCH(A224,SETORES!$A:$A,0))</f>
        <v>Funcionários</v>
      </c>
      <c r="H224" s="42" t="s">
        <v>88</v>
      </c>
    </row>
    <row r="225" customFormat="false" ht="14.25" hidden="false" customHeight="true" outlineLevel="0" collapsed="false">
      <c r="A225" s="16" t="s">
        <v>33</v>
      </c>
      <c r="B225" s="42" t="s">
        <v>157</v>
      </c>
      <c r="C225" s="42" t="s">
        <v>174</v>
      </c>
      <c r="D225" s="43"/>
      <c r="E225" s="44"/>
      <c r="F225" s="45" t="n">
        <f aca="false">IFERROR(D225*E225,0)</f>
        <v>0</v>
      </c>
      <c r="G225" s="42" t="str">
        <f aca="false">INDEX(SETORES!$B:$B,MATCH(A225,SETORES!$A:$A,0))</f>
        <v>Funcionários</v>
      </c>
      <c r="H225" s="42" t="s">
        <v>88</v>
      </c>
    </row>
    <row r="226" customFormat="false" ht="14.25" hidden="false" customHeight="true" outlineLevel="0" collapsed="false">
      <c r="A226" s="16" t="s">
        <v>33</v>
      </c>
      <c r="B226" s="42" t="s">
        <v>157</v>
      </c>
      <c r="C226" s="42" t="s">
        <v>175</v>
      </c>
      <c r="D226" s="43" t="n">
        <v>1</v>
      </c>
      <c r="E226" s="44" t="n">
        <v>180</v>
      </c>
      <c r="F226" s="45" t="n">
        <f aca="false">IFERROR(D226*E226,0)</f>
        <v>180</v>
      </c>
      <c r="G226" s="42" t="str">
        <f aca="false">INDEX(SETORES!$B:$B,MATCH(A226,SETORES!$A:$A,0))</f>
        <v>Funcionários</v>
      </c>
      <c r="H226" s="42" t="s">
        <v>88</v>
      </c>
    </row>
    <row r="227" customFormat="false" ht="14.25" hidden="false" customHeight="true" outlineLevel="0" collapsed="false">
      <c r="A227" s="16" t="s">
        <v>33</v>
      </c>
      <c r="B227" s="42" t="s">
        <v>157</v>
      </c>
      <c r="C227" s="42" t="s">
        <v>176</v>
      </c>
      <c r="D227" s="43" t="n">
        <v>1</v>
      </c>
      <c r="E227" s="44" t="n">
        <v>272</v>
      </c>
      <c r="F227" s="45" t="n">
        <f aca="false">IFERROR(D227*E227,0)</f>
        <v>272</v>
      </c>
      <c r="G227" s="42" t="str">
        <f aca="false">INDEX(SETORES!$B:$B,MATCH(A227,SETORES!$A:$A,0))</f>
        <v>Funcionários</v>
      </c>
      <c r="H227" s="42" t="s">
        <v>88</v>
      </c>
    </row>
    <row r="228" customFormat="false" ht="14.25" hidden="false" customHeight="true" outlineLevel="0" collapsed="false">
      <c r="A228" s="16" t="s">
        <v>33</v>
      </c>
      <c r="B228" s="42" t="s">
        <v>155</v>
      </c>
      <c r="C228" s="42" t="s">
        <v>169</v>
      </c>
      <c r="D228" s="43" t="n">
        <v>1</v>
      </c>
      <c r="E228" s="44" t="n">
        <v>48158.28</v>
      </c>
      <c r="F228" s="45" t="n">
        <f aca="false">IFERROR(D228*E228,0)</f>
        <v>48158.28</v>
      </c>
      <c r="G228" s="42" t="str">
        <f aca="false">INDEX(SETORES!$B:$B,MATCH(A228,SETORES!$A:$A,0))</f>
        <v>Funcionários</v>
      </c>
      <c r="H228" s="42" t="s">
        <v>88</v>
      </c>
    </row>
    <row r="229" customFormat="false" ht="14.25" hidden="false" customHeight="true" outlineLevel="0" collapsed="false">
      <c r="A229" s="16" t="s">
        <v>33</v>
      </c>
      <c r="B229" s="42" t="s">
        <v>155</v>
      </c>
      <c r="C229" s="42" t="s">
        <v>170</v>
      </c>
      <c r="D229" s="43"/>
      <c r="E229" s="44"/>
      <c r="F229" s="45" t="n">
        <f aca="false">IFERROR(D229*E229,0)</f>
        <v>0</v>
      </c>
      <c r="G229" s="42" t="str">
        <f aca="false">INDEX(SETORES!$B:$B,MATCH(A229,SETORES!$A:$A,0))</f>
        <v>Funcionários</v>
      </c>
      <c r="H229" s="42" t="s">
        <v>88</v>
      </c>
    </row>
    <row r="230" customFormat="false" ht="14.25" hidden="false" customHeight="true" outlineLevel="0" collapsed="false">
      <c r="A230" s="16" t="s">
        <v>33</v>
      </c>
      <c r="B230" s="42" t="s">
        <v>157</v>
      </c>
      <c r="C230" s="42" t="s">
        <v>209</v>
      </c>
      <c r="D230" s="43"/>
      <c r="E230" s="44"/>
      <c r="F230" s="45" t="n">
        <f aca="false">IFERROR(D230*E230,0)</f>
        <v>0</v>
      </c>
      <c r="G230" s="42" t="str">
        <f aca="false">INDEX(SETORES!$B:$B,MATCH(A230,SETORES!$A:$A,0))</f>
        <v>Funcionários</v>
      </c>
      <c r="H230" s="42" t="s">
        <v>88</v>
      </c>
    </row>
    <row r="231" customFormat="false" ht="14.25" hidden="false" customHeight="true" outlineLevel="0" collapsed="false">
      <c r="A231" s="16" t="s">
        <v>33</v>
      </c>
      <c r="B231" s="42" t="s">
        <v>155</v>
      </c>
      <c r="C231" s="42" t="s">
        <v>183</v>
      </c>
      <c r="D231" s="43"/>
      <c r="E231" s="44"/>
      <c r="F231" s="45" t="n">
        <f aca="false">IFERROR(D231*E231,0)</f>
        <v>0</v>
      </c>
      <c r="G231" s="42" t="str">
        <f aca="false">INDEX(SETORES!$B:$B,MATCH(A231,SETORES!$A:$A,0))</f>
        <v>Funcionários</v>
      </c>
      <c r="H231" s="42" t="s">
        <v>88</v>
      </c>
    </row>
    <row r="232" customFormat="false" ht="14.25" hidden="false" customHeight="true" outlineLevel="0" collapsed="false">
      <c r="A232" s="16" t="s">
        <v>33</v>
      </c>
      <c r="B232" s="42" t="s">
        <v>155</v>
      </c>
      <c r="C232" s="42" t="s">
        <v>171</v>
      </c>
      <c r="D232" s="43" t="n">
        <v>9</v>
      </c>
      <c r="E232" s="44" t="n">
        <v>8.817255</v>
      </c>
      <c r="F232" s="45" t="n">
        <f aca="false">IFERROR(D232*E232,0)</f>
        <v>79.355295</v>
      </c>
      <c r="G232" s="42" t="str">
        <f aca="false">INDEX(SETORES!$B:$B,MATCH(A232,SETORES!$A:$A,0))</f>
        <v>Funcionários</v>
      </c>
      <c r="H232" s="42" t="s">
        <v>88</v>
      </c>
    </row>
    <row r="233" customFormat="false" ht="14.25" hidden="false" customHeight="true" outlineLevel="0" collapsed="false">
      <c r="A233" s="16" t="s">
        <v>33</v>
      </c>
      <c r="B233" s="42" t="s">
        <v>155</v>
      </c>
      <c r="C233" s="42" t="s">
        <v>172</v>
      </c>
      <c r="D233" s="43" t="n">
        <v>9</v>
      </c>
      <c r="E233" s="44" t="n">
        <v>50</v>
      </c>
      <c r="F233" s="45" t="n">
        <f aca="false">IFERROR(D233*E233,0)</f>
        <v>450</v>
      </c>
      <c r="G233" s="42" t="str">
        <f aca="false">INDEX(SETORES!$B:$B,MATCH(A233,SETORES!$A:$A,0))</f>
        <v>Funcionários</v>
      </c>
      <c r="H233" s="42" t="s">
        <v>88</v>
      </c>
    </row>
    <row r="234" customFormat="false" ht="14.25" hidden="false" customHeight="true" outlineLevel="0" collapsed="false">
      <c r="A234" s="16" t="s">
        <v>33</v>
      </c>
      <c r="B234" s="42" t="s">
        <v>155</v>
      </c>
      <c r="C234" s="42" t="s">
        <v>210</v>
      </c>
      <c r="D234" s="43" t="n">
        <v>1</v>
      </c>
      <c r="E234" s="44" t="n">
        <v>2559.44</v>
      </c>
      <c r="F234" s="45" t="n">
        <f aca="false">IFERROR(D234*E234,0)</f>
        <v>2559.44</v>
      </c>
      <c r="G234" s="42" t="str">
        <f aca="false">INDEX(SETORES!$B:$B,MATCH(A234,SETORES!$A:$A,0))</f>
        <v>Funcionários</v>
      </c>
      <c r="H234" s="42" t="s">
        <v>88</v>
      </c>
    </row>
    <row r="235" customFormat="false" ht="14.25" hidden="false" customHeight="true" outlineLevel="0" collapsed="false">
      <c r="A235" s="16" t="s">
        <v>33</v>
      </c>
      <c r="B235" s="42" t="s">
        <v>155</v>
      </c>
      <c r="C235" s="42" t="s">
        <v>177</v>
      </c>
      <c r="D235" s="43" t="n">
        <v>1</v>
      </c>
      <c r="E235" s="44" t="n">
        <v>9.24</v>
      </c>
      <c r="F235" s="45" t="n">
        <f aca="false">IFERROR(D235*E235,0)</f>
        <v>9.24</v>
      </c>
      <c r="G235" s="42" t="str">
        <f aca="false">INDEX(SETORES!$B:$B,MATCH(A235,SETORES!$A:$A,0))</f>
        <v>Funcionários</v>
      </c>
      <c r="H235" s="42" t="s">
        <v>88</v>
      </c>
    </row>
    <row r="236" customFormat="false" ht="14.25" hidden="false" customHeight="true" outlineLevel="0" collapsed="false">
      <c r="A236" s="16" t="s">
        <v>33</v>
      </c>
      <c r="B236" s="42" t="s">
        <v>155</v>
      </c>
      <c r="C236" s="42" t="s">
        <v>178</v>
      </c>
      <c r="D236" s="43" t="n">
        <v>1</v>
      </c>
      <c r="E236" s="44" t="n">
        <v>204.89</v>
      </c>
      <c r="F236" s="45" t="n">
        <f aca="false">IFERROR(D236*E236,0)</f>
        <v>204.89</v>
      </c>
      <c r="G236" s="42" t="str">
        <f aca="false">INDEX(SETORES!$B:$B,MATCH(A236,SETORES!$A:$A,0))</f>
        <v>Funcionários</v>
      </c>
      <c r="H236" s="42" t="s">
        <v>88</v>
      </c>
    </row>
    <row r="237" customFormat="false" ht="14.25" hidden="false" customHeight="true" outlineLevel="0" collapsed="false">
      <c r="A237" s="16" t="s">
        <v>33</v>
      </c>
      <c r="B237" s="42" t="s">
        <v>155</v>
      </c>
      <c r="C237" s="42" t="s">
        <v>211</v>
      </c>
      <c r="D237" s="43" t="n">
        <v>1</v>
      </c>
      <c r="E237" s="44" t="n">
        <v>4226.8</v>
      </c>
      <c r="F237" s="45" t="n">
        <f aca="false">IFERROR(D237*E237,0)</f>
        <v>4226.8</v>
      </c>
      <c r="G237" s="42" t="str">
        <f aca="false">INDEX(SETORES!$B:$B,MATCH(A237,SETORES!$A:$A,0))</f>
        <v>Funcionários</v>
      </c>
      <c r="H237" s="42" t="s">
        <v>88</v>
      </c>
    </row>
    <row r="238" customFormat="false" ht="14.25" hidden="false" customHeight="true" outlineLevel="0" collapsed="false">
      <c r="A238" s="16" t="s">
        <v>33</v>
      </c>
      <c r="B238" s="42" t="s">
        <v>155</v>
      </c>
      <c r="C238" s="42" t="s">
        <v>212</v>
      </c>
      <c r="D238" s="43" t="n">
        <v>1</v>
      </c>
      <c r="E238" s="44" t="n">
        <v>3800</v>
      </c>
      <c r="F238" s="45" t="n">
        <f aca="false">IFERROR(D238*E238,0)</f>
        <v>3800</v>
      </c>
      <c r="G238" s="42" t="str">
        <f aca="false">INDEX(SETORES!$B:$B,MATCH(A238,SETORES!$A:$A,0))</f>
        <v>Funcionários</v>
      </c>
      <c r="H238" s="42" t="s">
        <v>88</v>
      </c>
    </row>
    <row r="239" customFormat="false" ht="14.25" hidden="false" customHeight="true" outlineLevel="0" collapsed="false">
      <c r="A239" s="16" t="s">
        <v>33</v>
      </c>
      <c r="B239" s="42" t="s">
        <v>155</v>
      </c>
      <c r="C239" s="42" t="s">
        <v>213</v>
      </c>
      <c r="D239" s="43" t="n">
        <v>1</v>
      </c>
      <c r="E239" s="44" t="n">
        <v>1099.93</v>
      </c>
      <c r="F239" s="45" t="n">
        <f aca="false">IFERROR(D239*E239,0)</f>
        <v>1099.93</v>
      </c>
      <c r="G239" s="42" t="str">
        <f aca="false">INDEX(SETORES!$B:$B,MATCH(A239,SETORES!$A:$A,0))</f>
        <v>Funcionários</v>
      </c>
      <c r="H239" s="42" t="s">
        <v>88</v>
      </c>
    </row>
    <row r="240" customFormat="false" ht="14.25" hidden="false" customHeight="true" outlineLevel="0" collapsed="false">
      <c r="A240" s="16" t="s">
        <v>33</v>
      </c>
      <c r="B240" s="42" t="s">
        <v>155</v>
      </c>
      <c r="C240" s="42" t="s">
        <v>173</v>
      </c>
      <c r="D240" s="43" t="n">
        <v>9</v>
      </c>
      <c r="E240" s="44" t="n">
        <v>1.87</v>
      </c>
      <c r="F240" s="45" t="n">
        <f aca="false">IFERROR(D240*E240,0)</f>
        <v>16.83</v>
      </c>
      <c r="G240" s="42" t="str">
        <f aca="false">INDEX(SETORES!$B:$B,MATCH(A240,SETORES!$A:$A,0))</f>
        <v>Funcionários</v>
      </c>
      <c r="H240" s="42" t="s">
        <v>88</v>
      </c>
    </row>
    <row r="241" customFormat="false" ht="14.25" hidden="false" customHeight="true" outlineLevel="0" collapsed="false">
      <c r="A241" s="16" t="s">
        <v>33</v>
      </c>
      <c r="B241" s="42" t="s">
        <v>155</v>
      </c>
      <c r="C241" s="42" t="s">
        <v>179</v>
      </c>
      <c r="D241" s="43"/>
      <c r="E241" s="44"/>
      <c r="F241" s="45" t="n">
        <f aca="false">IFERROR(D241*E241,0)</f>
        <v>0</v>
      </c>
      <c r="G241" s="42" t="str">
        <f aca="false">INDEX(SETORES!$B:$B,MATCH(A241,SETORES!$A:$A,0))</f>
        <v>Funcionários</v>
      </c>
      <c r="H241" s="42" t="s">
        <v>88</v>
      </c>
    </row>
    <row r="242" customFormat="false" ht="14.25" hidden="false" customHeight="true" outlineLevel="0" collapsed="false">
      <c r="A242" s="16" t="s">
        <v>45</v>
      </c>
      <c r="B242" s="42" t="s">
        <v>155</v>
      </c>
      <c r="C242" s="42" t="s">
        <v>162</v>
      </c>
      <c r="D242" s="43" t="n">
        <v>9</v>
      </c>
      <c r="E242" s="44" t="n">
        <v>7.4127</v>
      </c>
      <c r="F242" s="45" t="n">
        <f aca="false">IFERROR(D242*E242,0)</f>
        <v>66.7143</v>
      </c>
      <c r="G242" s="42" t="str">
        <f aca="false">INDEX(SETORES!$B:$B,MATCH(A242,SETORES!$A:$A,0))</f>
        <v>Clientes</v>
      </c>
      <c r="H242" s="42" t="s">
        <v>88</v>
      </c>
    </row>
    <row r="243" customFormat="false" ht="14.25" hidden="false" customHeight="true" outlineLevel="0" collapsed="false">
      <c r="A243" s="16" t="s">
        <v>45</v>
      </c>
      <c r="B243" s="42" t="s">
        <v>155</v>
      </c>
      <c r="C243" s="42" t="s">
        <v>163</v>
      </c>
      <c r="D243" s="43" t="n">
        <v>8</v>
      </c>
      <c r="E243" s="44" t="n">
        <v>30</v>
      </c>
      <c r="F243" s="45" t="n">
        <f aca="false">IFERROR(D243*E243,0)</f>
        <v>240</v>
      </c>
      <c r="G243" s="42" t="str">
        <f aca="false">INDEX(SETORES!$B:$B,MATCH(A243,SETORES!$A:$A,0))</f>
        <v>Clientes</v>
      </c>
      <c r="H243" s="42" t="s">
        <v>88</v>
      </c>
    </row>
    <row r="244" customFormat="false" ht="14.25" hidden="false" customHeight="true" outlineLevel="0" collapsed="false">
      <c r="A244" s="16" t="s">
        <v>45</v>
      </c>
      <c r="B244" s="42" t="s">
        <v>157</v>
      </c>
      <c r="C244" s="42" t="s">
        <v>199</v>
      </c>
      <c r="D244" s="43" t="n">
        <v>1</v>
      </c>
      <c r="E244" s="44" t="n">
        <v>4864.24</v>
      </c>
      <c r="F244" s="45" t="n">
        <f aca="false">IFERROR(D244*E244,0)</f>
        <v>4864.24</v>
      </c>
      <c r="G244" s="42" t="str">
        <f aca="false">INDEX(SETORES!$B:$B,MATCH(A244,SETORES!$A:$A,0))</f>
        <v>Clientes</v>
      </c>
      <c r="H244" s="42" t="s">
        <v>88</v>
      </c>
    </row>
    <row r="245" customFormat="false" ht="14.25" hidden="false" customHeight="true" outlineLevel="0" collapsed="false">
      <c r="A245" s="16" t="s">
        <v>45</v>
      </c>
      <c r="B245" s="42" t="s">
        <v>155</v>
      </c>
      <c r="C245" s="42" t="s">
        <v>205</v>
      </c>
      <c r="D245" s="43" t="n">
        <v>1</v>
      </c>
      <c r="E245" s="44" t="n">
        <v>1574.51</v>
      </c>
      <c r="F245" s="45" t="n">
        <f aca="false">IFERROR(D245*E245,0)</f>
        <v>1574.51</v>
      </c>
      <c r="G245" s="42" t="str">
        <f aca="false">INDEX(SETORES!$B:$B,MATCH(A245,SETORES!$A:$A,0))</f>
        <v>Clientes</v>
      </c>
      <c r="H245" s="42" t="s">
        <v>88</v>
      </c>
    </row>
    <row r="246" customFormat="false" ht="14.25" hidden="false" customHeight="true" outlineLevel="0" collapsed="false">
      <c r="A246" s="16" t="s">
        <v>45</v>
      </c>
      <c r="B246" s="42" t="s">
        <v>155</v>
      </c>
      <c r="C246" s="42" t="s">
        <v>165</v>
      </c>
      <c r="D246" s="43" t="n">
        <v>9</v>
      </c>
      <c r="E246" s="44" t="n">
        <v>52.09</v>
      </c>
      <c r="F246" s="45" t="n">
        <f aca="false">IFERROR(D246*E246,0)</f>
        <v>468.81</v>
      </c>
      <c r="G246" s="42" t="s">
        <v>99</v>
      </c>
      <c r="H246" s="42" t="s">
        <v>88</v>
      </c>
    </row>
    <row r="247" customFormat="false" ht="14.25" hidden="false" customHeight="true" outlineLevel="0" collapsed="false">
      <c r="A247" s="16" t="s">
        <v>45</v>
      </c>
      <c r="B247" s="42" t="s">
        <v>155</v>
      </c>
      <c r="C247" s="42" t="s">
        <v>166</v>
      </c>
      <c r="D247" s="43" t="n">
        <v>9</v>
      </c>
      <c r="E247" s="44" t="n">
        <v>32.55</v>
      </c>
      <c r="F247" s="45" t="n">
        <f aca="false">IFERROR(D247*E247,0)</f>
        <v>292.95</v>
      </c>
      <c r="G247" s="42" t="s">
        <v>99</v>
      </c>
      <c r="H247" s="42" t="s">
        <v>88</v>
      </c>
    </row>
    <row r="248" customFormat="false" ht="14.25" hidden="false" customHeight="true" outlineLevel="0" collapsed="false">
      <c r="A248" s="16" t="s">
        <v>45</v>
      </c>
      <c r="B248" s="42" t="s">
        <v>155</v>
      </c>
      <c r="C248" s="42" t="s">
        <v>167</v>
      </c>
      <c r="D248" s="43" t="n">
        <v>9</v>
      </c>
      <c r="E248" s="44" t="n">
        <v>52.35</v>
      </c>
      <c r="F248" s="45" t="n">
        <f aca="false">IFERROR(D248*E248,0)</f>
        <v>471.15</v>
      </c>
      <c r="G248" s="42" t="s">
        <v>99</v>
      </c>
      <c r="H248" s="42" t="s">
        <v>88</v>
      </c>
    </row>
    <row r="249" customFormat="false" ht="14.25" hidden="false" customHeight="true" outlineLevel="0" collapsed="false">
      <c r="A249" s="16" t="s">
        <v>45</v>
      </c>
      <c r="B249" s="42" t="s">
        <v>157</v>
      </c>
      <c r="C249" s="42" t="s">
        <v>191</v>
      </c>
      <c r="D249" s="43"/>
      <c r="E249" s="44"/>
      <c r="F249" s="45" t="n">
        <f aca="false">IFERROR(D249*E249,0)</f>
        <v>0</v>
      </c>
      <c r="G249" s="42" t="str">
        <f aca="false">INDEX(SETORES!$B:$B,MATCH(A249,SETORES!$A:$A,0))</f>
        <v>Clientes</v>
      </c>
      <c r="H249" s="42" t="s">
        <v>88</v>
      </c>
    </row>
    <row r="250" customFormat="false" ht="14.25" hidden="false" customHeight="true" outlineLevel="0" collapsed="false">
      <c r="A250" s="16" t="s">
        <v>45</v>
      </c>
      <c r="B250" s="42" t="s">
        <v>155</v>
      </c>
      <c r="C250" s="42" t="s">
        <v>168</v>
      </c>
      <c r="D250" s="43"/>
      <c r="E250" s="44"/>
      <c r="F250" s="45" t="n">
        <f aca="false">IFERROR(D250*E250,0)</f>
        <v>0</v>
      </c>
      <c r="G250" s="42" t="str">
        <f aca="false">INDEX(SETORES!$B:$B,MATCH(A250,SETORES!$A:$A,0))</f>
        <v>Clientes</v>
      </c>
      <c r="H250" s="42" t="s">
        <v>88</v>
      </c>
    </row>
    <row r="251" customFormat="false" ht="14.25" hidden="false" customHeight="true" outlineLevel="0" collapsed="false">
      <c r="A251" s="16" t="s">
        <v>45</v>
      </c>
      <c r="B251" s="42" t="s">
        <v>157</v>
      </c>
      <c r="C251" s="42" t="s">
        <v>175</v>
      </c>
      <c r="D251" s="43" t="n">
        <v>1</v>
      </c>
      <c r="E251" s="44" t="n">
        <v>90</v>
      </c>
      <c r="F251" s="45" t="n">
        <f aca="false">IFERROR(D251*E251,0)</f>
        <v>90</v>
      </c>
      <c r="G251" s="42" t="str">
        <f aca="false">INDEX(SETORES!$B:$B,MATCH(A251,SETORES!$A:$A,0))</f>
        <v>Clientes</v>
      </c>
      <c r="H251" s="42" t="s">
        <v>88</v>
      </c>
    </row>
    <row r="252" customFormat="false" ht="14.25" hidden="false" customHeight="true" outlineLevel="0" collapsed="false">
      <c r="A252" s="16" t="s">
        <v>45</v>
      </c>
      <c r="B252" s="42" t="s">
        <v>157</v>
      </c>
      <c r="C252" s="42" t="s">
        <v>176</v>
      </c>
      <c r="D252" s="43"/>
      <c r="E252" s="44"/>
      <c r="F252" s="45" t="n">
        <f aca="false">IFERROR(D252*E252,0)</f>
        <v>0</v>
      </c>
      <c r="G252" s="42" t="str">
        <f aca="false">INDEX(SETORES!$B:$B,MATCH(A252,SETORES!$A:$A,0))</f>
        <v>Clientes</v>
      </c>
      <c r="H252" s="42" t="s">
        <v>88</v>
      </c>
    </row>
    <row r="253" customFormat="false" ht="14.25" hidden="false" customHeight="true" outlineLevel="0" collapsed="false">
      <c r="A253" s="16" t="s">
        <v>45</v>
      </c>
      <c r="B253" s="42" t="s">
        <v>155</v>
      </c>
      <c r="C253" s="42" t="s">
        <v>169</v>
      </c>
      <c r="D253" s="43" t="n">
        <v>1</v>
      </c>
      <c r="E253" s="44" t="n">
        <v>64244.34</v>
      </c>
      <c r="F253" s="45" t="n">
        <f aca="false">IFERROR(D253*E253,0)</f>
        <v>64244.34</v>
      </c>
      <c r="G253" s="42" t="str">
        <f aca="false">INDEX(SETORES!$B:$B,MATCH(A253,SETORES!$A:$A,0))</f>
        <v>Clientes</v>
      </c>
      <c r="H253" s="42" t="s">
        <v>88</v>
      </c>
    </row>
    <row r="254" customFormat="false" ht="14.25" hidden="false" customHeight="true" outlineLevel="0" collapsed="false">
      <c r="A254" s="16" t="s">
        <v>45</v>
      </c>
      <c r="B254" s="42" t="s">
        <v>155</v>
      </c>
      <c r="C254" s="42" t="s">
        <v>170</v>
      </c>
      <c r="D254" s="43"/>
      <c r="E254" s="44"/>
      <c r="F254" s="45" t="n">
        <f aca="false">IFERROR(D254*E254,0)</f>
        <v>0</v>
      </c>
      <c r="G254" s="42" t="str">
        <f aca="false">INDEX(SETORES!$B:$B,MATCH(A254,SETORES!$A:$A,0))</f>
        <v>Clientes</v>
      </c>
      <c r="H254" s="42" t="s">
        <v>88</v>
      </c>
    </row>
    <row r="255" customFormat="false" ht="14.25" hidden="false" customHeight="true" outlineLevel="0" collapsed="false">
      <c r="A255" s="16" t="s">
        <v>45</v>
      </c>
      <c r="B255" s="42" t="s">
        <v>155</v>
      </c>
      <c r="C255" s="42" t="s">
        <v>183</v>
      </c>
      <c r="D255" s="43" t="n">
        <v>1</v>
      </c>
      <c r="E255" s="44" t="n">
        <v>128.68</v>
      </c>
      <c r="F255" s="45" t="n">
        <f aca="false">IFERROR(D255*E255,0)</f>
        <v>128.68</v>
      </c>
      <c r="G255" s="42" t="str">
        <f aca="false">INDEX(SETORES!$B:$B,MATCH(A255,SETORES!$A:$A,0))</f>
        <v>Clientes</v>
      </c>
      <c r="H255" s="42" t="s">
        <v>88</v>
      </c>
    </row>
    <row r="256" customFormat="false" ht="14.25" hidden="false" customHeight="true" outlineLevel="0" collapsed="false">
      <c r="A256" s="16" t="s">
        <v>45</v>
      </c>
      <c r="B256" s="42" t="s">
        <v>155</v>
      </c>
      <c r="C256" s="42" t="s">
        <v>171</v>
      </c>
      <c r="D256" s="43" t="n">
        <v>9</v>
      </c>
      <c r="E256" s="44" t="n">
        <v>48.73907</v>
      </c>
      <c r="F256" s="45" t="n">
        <f aca="false">IFERROR(D256*E256,0)</f>
        <v>438.65163</v>
      </c>
      <c r="G256" s="42" t="str">
        <f aca="false">INDEX(SETORES!$B:$B,MATCH(A256,SETORES!$A:$A,0))</f>
        <v>Clientes</v>
      </c>
      <c r="H256" s="42" t="s">
        <v>88</v>
      </c>
    </row>
    <row r="257" customFormat="false" ht="14.25" hidden="false" customHeight="true" outlineLevel="0" collapsed="false">
      <c r="A257" s="16" t="s">
        <v>45</v>
      </c>
      <c r="B257" s="42" t="s">
        <v>155</v>
      </c>
      <c r="C257" s="42" t="s">
        <v>172</v>
      </c>
      <c r="D257" s="43" t="n">
        <v>9</v>
      </c>
      <c r="E257" s="44" t="n">
        <v>50</v>
      </c>
      <c r="F257" s="45" t="n">
        <f aca="false">IFERROR(D257*E257,0)</f>
        <v>450</v>
      </c>
      <c r="G257" s="42" t="str">
        <f aca="false">INDEX(SETORES!$B:$B,MATCH(A257,SETORES!$A:$A,0))</f>
        <v>Clientes</v>
      </c>
      <c r="H257" s="42" t="s">
        <v>88</v>
      </c>
    </row>
    <row r="258" customFormat="false" ht="14.25" hidden="false" customHeight="true" outlineLevel="0" collapsed="false">
      <c r="A258" s="16" t="s">
        <v>45</v>
      </c>
      <c r="B258" s="42" t="s">
        <v>155</v>
      </c>
      <c r="C258" s="42" t="s">
        <v>177</v>
      </c>
      <c r="D258" s="43"/>
      <c r="E258" s="44"/>
      <c r="F258" s="45" t="n">
        <f aca="false">IFERROR(D258*E258,0)</f>
        <v>0</v>
      </c>
      <c r="G258" s="42" t="str">
        <f aca="false">INDEX(SETORES!$B:$B,MATCH(A258,SETORES!$A:$A,0))</f>
        <v>Clientes</v>
      </c>
      <c r="H258" s="42" t="s">
        <v>88</v>
      </c>
    </row>
    <row r="259" customFormat="false" ht="14.25" hidden="false" customHeight="true" outlineLevel="0" collapsed="false">
      <c r="A259" s="16" t="s">
        <v>45</v>
      </c>
      <c r="B259" s="42" t="s">
        <v>155</v>
      </c>
      <c r="C259" s="42" t="s">
        <v>178</v>
      </c>
      <c r="D259" s="43"/>
      <c r="E259" s="44"/>
      <c r="F259" s="45" t="n">
        <f aca="false">IFERROR(D259*E259,0)</f>
        <v>0</v>
      </c>
      <c r="G259" s="42" t="str">
        <f aca="false">INDEX(SETORES!$B:$B,MATCH(A259,SETORES!$A:$A,0))</f>
        <v>Clientes</v>
      </c>
      <c r="H259" s="42" t="s">
        <v>88</v>
      </c>
    </row>
    <row r="260" customFormat="false" ht="14.25" hidden="false" customHeight="true" outlineLevel="0" collapsed="false">
      <c r="A260" s="16" t="s">
        <v>45</v>
      </c>
      <c r="B260" s="42" t="s">
        <v>157</v>
      </c>
      <c r="C260" s="42" t="s">
        <v>184</v>
      </c>
      <c r="D260" s="43" t="n">
        <v>5</v>
      </c>
      <c r="E260" s="44" t="n">
        <v>68.18</v>
      </c>
      <c r="F260" s="45" t="n">
        <f aca="false">IFERROR(D260*E260,0)</f>
        <v>340.9</v>
      </c>
      <c r="G260" s="42" t="str">
        <f aca="false">INDEX(SETORES!$B:$B,MATCH(A260,SETORES!$A:$A,0))</f>
        <v>Clientes</v>
      </c>
      <c r="H260" s="42" t="s">
        <v>88</v>
      </c>
    </row>
    <row r="261" customFormat="false" ht="14.25" hidden="false" customHeight="true" outlineLevel="0" collapsed="false">
      <c r="A261" s="16" t="s">
        <v>45</v>
      </c>
      <c r="B261" s="42" t="s">
        <v>157</v>
      </c>
      <c r="C261" s="42" t="s">
        <v>158</v>
      </c>
      <c r="D261" s="43"/>
      <c r="E261" s="44"/>
      <c r="F261" s="45" t="n">
        <f aca="false">IFERROR(D261*E261,0)</f>
        <v>0</v>
      </c>
      <c r="G261" s="42" t="str">
        <f aca="false">INDEX(SETORES!$B:$B,MATCH(A261,SETORES!$A:$A,0))</f>
        <v>Clientes</v>
      </c>
      <c r="H261" s="42" t="s">
        <v>88</v>
      </c>
    </row>
    <row r="262" customFormat="false" ht="14.25" hidden="false" customHeight="true" outlineLevel="0" collapsed="false">
      <c r="A262" s="16" t="s">
        <v>45</v>
      </c>
      <c r="B262" s="42" t="s">
        <v>155</v>
      </c>
      <c r="C262" s="42" t="s">
        <v>214</v>
      </c>
      <c r="D262" s="43"/>
      <c r="E262" s="44"/>
      <c r="F262" s="45" t="n">
        <f aca="false">IFERROR(D262*E262,0)</f>
        <v>0</v>
      </c>
      <c r="G262" s="42" t="str">
        <f aca="false">INDEX(SETORES!$B:$B,MATCH(A262,SETORES!$A:$A,0))</f>
        <v>Clientes</v>
      </c>
      <c r="H262" s="42" t="s">
        <v>88</v>
      </c>
    </row>
    <row r="263" customFormat="false" ht="14.25" hidden="false" customHeight="true" outlineLevel="0" collapsed="false">
      <c r="A263" s="16" t="s">
        <v>45</v>
      </c>
      <c r="B263" s="42" t="s">
        <v>155</v>
      </c>
      <c r="C263" s="42" t="s">
        <v>173</v>
      </c>
      <c r="D263" s="43" t="n">
        <v>9</v>
      </c>
      <c r="E263" s="44" t="n">
        <v>1.87</v>
      </c>
      <c r="F263" s="45" t="n">
        <f aca="false">IFERROR(D263*E263,0)</f>
        <v>16.83</v>
      </c>
      <c r="G263" s="42" t="str">
        <f aca="false">INDEX(SETORES!$B:$B,MATCH(A263,SETORES!$A:$A,0))</f>
        <v>Clientes</v>
      </c>
      <c r="H263" s="42" t="s">
        <v>88</v>
      </c>
    </row>
    <row r="264" customFormat="false" ht="14.25" hidden="false" customHeight="true" outlineLevel="0" collapsed="false">
      <c r="A264" s="16" t="s">
        <v>45</v>
      </c>
      <c r="B264" s="42" t="s">
        <v>155</v>
      </c>
      <c r="C264" s="42" t="s">
        <v>179</v>
      </c>
      <c r="D264" s="43"/>
      <c r="E264" s="44"/>
      <c r="F264" s="45" t="n">
        <f aca="false">IFERROR(D264*E264,0)</f>
        <v>0</v>
      </c>
      <c r="G264" s="42" t="str">
        <f aca="false">INDEX(SETORES!$B:$B,MATCH(A264,SETORES!$A:$A,0))</f>
        <v>Clientes</v>
      </c>
      <c r="H264" s="42" t="s">
        <v>88</v>
      </c>
    </row>
    <row r="265" customFormat="false" ht="14.25" hidden="false" customHeight="true" outlineLevel="0" collapsed="false">
      <c r="A265" s="16" t="s">
        <v>50</v>
      </c>
      <c r="B265" s="42" t="s">
        <v>155</v>
      </c>
      <c r="C265" s="42" t="s">
        <v>162</v>
      </c>
      <c r="D265" s="43" t="n">
        <v>16</v>
      </c>
      <c r="E265" s="44" t="n">
        <v>7.4127</v>
      </c>
      <c r="F265" s="45" t="n">
        <f aca="false">IFERROR(D265*E265,0)</f>
        <v>118.6032</v>
      </c>
      <c r="G265" s="42" t="str">
        <f aca="false">INDEX(SETORES!$B:$B,MATCH(A265,SETORES!$A:$A,0))</f>
        <v>Clientes</v>
      </c>
      <c r="H265" s="42" t="s">
        <v>88</v>
      </c>
    </row>
    <row r="266" customFormat="false" ht="14.25" hidden="false" customHeight="true" outlineLevel="0" collapsed="false">
      <c r="A266" s="16" t="s">
        <v>50</v>
      </c>
      <c r="B266" s="42" t="s">
        <v>155</v>
      </c>
      <c r="C266" s="42" t="s">
        <v>165</v>
      </c>
      <c r="D266" s="43" t="n">
        <v>16</v>
      </c>
      <c r="E266" s="44" t="n">
        <v>52.09</v>
      </c>
      <c r="F266" s="45" t="n">
        <f aca="false">IFERROR(D266*E266,0)</f>
        <v>833.44</v>
      </c>
      <c r="G266" s="42" t="s">
        <v>99</v>
      </c>
      <c r="H266" s="42" t="s">
        <v>88</v>
      </c>
    </row>
    <row r="267" customFormat="false" ht="14.25" hidden="false" customHeight="true" outlineLevel="0" collapsed="false">
      <c r="A267" s="16" t="s">
        <v>50</v>
      </c>
      <c r="B267" s="42" t="s">
        <v>155</v>
      </c>
      <c r="C267" s="42" t="s">
        <v>166</v>
      </c>
      <c r="D267" s="43" t="n">
        <v>16</v>
      </c>
      <c r="E267" s="44" t="n">
        <v>32.55</v>
      </c>
      <c r="F267" s="45" t="n">
        <f aca="false">IFERROR(D267*E267,0)</f>
        <v>520.8</v>
      </c>
      <c r="G267" s="42" t="s">
        <v>99</v>
      </c>
      <c r="H267" s="42" t="s">
        <v>88</v>
      </c>
    </row>
    <row r="268" customFormat="false" ht="14.25" hidden="false" customHeight="true" outlineLevel="0" collapsed="false">
      <c r="A268" s="16" t="s">
        <v>50</v>
      </c>
      <c r="B268" s="42" t="s">
        <v>155</v>
      </c>
      <c r="C268" s="42" t="s">
        <v>167</v>
      </c>
      <c r="D268" s="43" t="n">
        <v>16</v>
      </c>
      <c r="E268" s="44" t="n">
        <v>52.35</v>
      </c>
      <c r="F268" s="45" t="n">
        <f aca="false">IFERROR(D268*E268,0)</f>
        <v>837.6</v>
      </c>
      <c r="G268" s="42" t="s">
        <v>99</v>
      </c>
      <c r="H268" s="42" t="s">
        <v>88</v>
      </c>
    </row>
    <row r="269" customFormat="false" ht="14.25" hidden="false" customHeight="true" outlineLevel="0" collapsed="false">
      <c r="A269" s="16" t="s">
        <v>50</v>
      </c>
      <c r="B269" s="42" t="s">
        <v>155</v>
      </c>
      <c r="C269" s="42" t="s">
        <v>168</v>
      </c>
      <c r="D269" s="43"/>
      <c r="E269" s="44"/>
      <c r="F269" s="45" t="n">
        <f aca="false">IFERROR(D269*E269,0)</f>
        <v>0</v>
      </c>
      <c r="G269" s="42" t="str">
        <f aca="false">INDEX(SETORES!$B:$B,MATCH(A269,SETORES!$A:$A,0))</f>
        <v>Clientes</v>
      </c>
      <c r="H269" s="42" t="s">
        <v>88</v>
      </c>
    </row>
    <row r="270" customFormat="false" ht="14.25" hidden="false" customHeight="true" outlineLevel="0" collapsed="false">
      <c r="A270" s="16" t="s">
        <v>50</v>
      </c>
      <c r="B270" s="42" t="s">
        <v>157</v>
      </c>
      <c r="C270" s="42" t="s">
        <v>174</v>
      </c>
      <c r="D270" s="43"/>
      <c r="E270" s="44"/>
      <c r="F270" s="45" t="n">
        <f aca="false">IFERROR(D270*E270,0)</f>
        <v>0</v>
      </c>
      <c r="G270" s="42" t="str">
        <f aca="false">INDEX(SETORES!$B:$B,MATCH(A270,SETORES!$A:$A,0))</f>
        <v>Clientes</v>
      </c>
      <c r="H270" s="42" t="s">
        <v>88</v>
      </c>
    </row>
    <row r="271" customFormat="false" ht="14.25" hidden="false" customHeight="true" outlineLevel="0" collapsed="false">
      <c r="A271" s="16" t="s">
        <v>50</v>
      </c>
      <c r="B271" s="42" t="s">
        <v>157</v>
      </c>
      <c r="C271" s="42" t="s">
        <v>175</v>
      </c>
      <c r="D271" s="43"/>
      <c r="E271" s="44"/>
      <c r="F271" s="45" t="n">
        <f aca="false">IFERROR(D271*E271,0)</f>
        <v>0</v>
      </c>
      <c r="G271" s="42" t="str">
        <f aca="false">INDEX(SETORES!$B:$B,MATCH(A271,SETORES!$A:$A,0))</f>
        <v>Clientes</v>
      </c>
      <c r="H271" s="42" t="s">
        <v>88</v>
      </c>
    </row>
    <row r="272" customFormat="false" ht="14.25" hidden="false" customHeight="true" outlineLevel="0" collapsed="false">
      <c r="A272" s="16" t="s">
        <v>50</v>
      </c>
      <c r="B272" s="42" t="s">
        <v>157</v>
      </c>
      <c r="C272" s="42" t="s">
        <v>176</v>
      </c>
      <c r="D272" s="43"/>
      <c r="E272" s="44"/>
      <c r="F272" s="45" t="n">
        <f aca="false">IFERROR(D272*E272,0)</f>
        <v>0</v>
      </c>
      <c r="G272" s="42" t="str">
        <f aca="false">INDEX(SETORES!$B:$B,MATCH(A272,SETORES!$A:$A,0))</f>
        <v>Clientes</v>
      </c>
      <c r="H272" s="42" t="s">
        <v>88</v>
      </c>
    </row>
    <row r="273" customFormat="false" ht="14.25" hidden="false" customHeight="true" outlineLevel="0" collapsed="false">
      <c r="A273" s="16" t="s">
        <v>50</v>
      </c>
      <c r="B273" s="42" t="s">
        <v>155</v>
      </c>
      <c r="C273" s="42" t="s">
        <v>169</v>
      </c>
      <c r="D273" s="43" t="n">
        <v>1</v>
      </c>
      <c r="E273" s="44" t="n">
        <v>96388.9</v>
      </c>
      <c r="F273" s="45" t="n">
        <f aca="false">IFERROR(D273*E273,0)</f>
        <v>96388.9</v>
      </c>
      <c r="G273" s="42" t="str">
        <f aca="false">INDEX(SETORES!$B:$B,MATCH(A273,SETORES!$A:$A,0))</f>
        <v>Clientes</v>
      </c>
      <c r="H273" s="42" t="s">
        <v>88</v>
      </c>
    </row>
    <row r="274" customFormat="false" ht="14.25" hidden="false" customHeight="true" outlineLevel="0" collapsed="false">
      <c r="A274" s="16" t="s">
        <v>50</v>
      </c>
      <c r="B274" s="42" t="s">
        <v>155</v>
      </c>
      <c r="C274" s="42" t="s">
        <v>170</v>
      </c>
      <c r="D274" s="43"/>
      <c r="E274" s="44"/>
      <c r="F274" s="45" t="n">
        <f aca="false">IFERROR(D274*E274,0)</f>
        <v>0</v>
      </c>
      <c r="G274" s="42" t="str">
        <f aca="false">INDEX(SETORES!$B:$B,MATCH(A274,SETORES!$A:$A,0))</f>
        <v>Clientes</v>
      </c>
      <c r="H274" s="42" t="s">
        <v>88</v>
      </c>
    </row>
    <row r="275" customFormat="false" ht="14.25" hidden="false" customHeight="true" outlineLevel="0" collapsed="false">
      <c r="A275" s="16" t="s">
        <v>50</v>
      </c>
      <c r="B275" s="42" t="s">
        <v>155</v>
      </c>
      <c r="C275" s="42" t="s">
        <v>183</v>
      </c>
      <c r="D275" s="43" t="n">
        <v>1</v>
      </c>
      <c r="E275" s="44" t="n">
        <v>153.58</v>
      </c>
      <c r="F275" s="45" t="n">
        <f aca="false">IFERROR(D275*E275,0)</f>
        <v>153.58</v>
      </c>
      <c r="G275" s="42" t="str">
        <f aca="false">INDEX(SETORES!$B:$B,MATCH(A275,SETORES!$A:$A,0))</f>
        <v>Clientes</v>
      </c>
      <c r="H275" s="42" t="s">
        <v>88</v>
      </c>
    </row>
    <row r="276" customFormat="false" ht="14.25" hidden="false" customHeight="true" outlineLevel="0" collapsed="false">
      <c r="A276" s="16" t="s">
        <v>50</v>
      </c>
      <c r="B276" s="42" t="s">
        <v>155</v>
      </c>
      <c r="C276" s="42" t="s">
        <v>171</v>
      </c>
      <c r="D276" s="43" t="n">
        <v>16</v>
      </c>
      <c r="E276" s="44" t="n">
        <v>48.73907</v>
      </c>
      <c r="F276" s="45" t="n">
        <f aca="false">IFERROR(D276*E276,0)</f>
        <v>779.82512</v>
      </c>
      <c r="G276" s="42" t="str">
        <f aca="false">INDEX(SETORES!$B:$B,MATCH(A276,SETORES!$A:$A,0))</f>
        <v>Clientes</v>
      </c>
      <c r="H276" s="42" t="s">
        <v>88</v>
      </c>
    </row>
    <row r="277" customFormat="false" ht="14.25" hidden="false" customHeight="true" outlineLevel="0" collapsed="false">
      <c r="A277" s="16" t="s">
        <v>50</v>
      </c>
      <c r="B277" s="42" t="s">
        <v>155</v>
      </c>
      <c r="C277" s="42" t="s">
        <v>172</v>
      </c>
      <c r="D277" s="43" t="n">
        <v>16</v>
      </c>
      <c r="E277" s="44" t="n">
        <v>50</v>
      </c>
      <c r="F277" s="45" t="n">
        <f aca="false">IFERROR(D277*E277,0)</f>
        <v>800</v>
      </c>
      <c r="G277" s="42" t="str">
        <f aca="false">INDEX(SETORES!$B:$B,MATCH(A277,SETORES!$A:$A,0))</f>
        <v>Clientes</v>
      </c>
      <c r="H277" s="42" t="s">
        <v>88</v>
      </c>
    </row>
    <row r="278" customFormat="false" ht="14.25" hidden="false" customHeight="true" outlineLevel="0" collapsed="false">
      <c r="A278" s="16" t="s">
        <v>50</v>
      </c>
      <c r="B278" s="42" t="s">
        <v>155</v>
      </c>
      <c r="C278" s="42" t="s">
        <v>177</v>
      </c>
      <c r="D278" s="43"/>
      <c r="E278" s="44"/>
      <c r="F278" s="45" t="n">
        <f aca="false">IFERROR(D278*E278,0)</f>
        <v>0</v>
      </c>
      <c r="G278" s="42" t="str">
        <f aca="false">INDEX(SETORES!$B:$B,MATCH(A278,SETORES!$A:$A,0))</f>
        <v>Clientes</v>
      </c>
      <c r="H278" s="42" t="s">
        <v>88</v>
      </c>
    </row>
    <row r="279" customFormat="false" ht="14.25" hidden="false" customHeight="true" outlineLevel="0" collapsed="false">
      <c r="A279" s="16" t="s">
        <v>50</v>
      </c>
      <c r="B279" s="42" t="s">
        <v>155</v>
      </c>
      <c r="C279" s="42" t="s">
        <v>178</v>
      </c>
      <c r="D279" s="43" t="n">
        <v>1</v>
      </c>
      <c r="E279" s="44" t="n">
        <v>828.61</v>
      </c>
      <c r="F279" s="45" t="n">
        <f aca="false">IFERROR(D279*E279,0)</f>
        <v>828.61</v>
      </c>
      <c r="G279" s="42" t="str">
        <f aca="false">INDEX(SETORES!$B:$B,MATCH(A279,SETORES!$A:$A,0))</f>
        <v>Clientes</v>
      </c>
      <c r="H279" s="42" t="s">
        <v>88</v>
      </c>
    </row>
    <row r="280" customFormat="false" ht="14.25" hidden="false" customHeight="true" outlineLevel="0" collapsed="false">
      <c r="A280" s="16" t="s">
        <v>50</v>
      </c>
      <c r="B280" s="42" t="s">
        <v>157</v>
      </c>
      <c r="C280" s="42" t="s">
        <v>184</v>
      </c>
      <c r="D280" s="43" t="n">
        <v>16</v>
      </c>
      <c r="E280" s="44" t="n">
        <v>68.18</v>
      </c>
      <c r="F280" s="45" t="n">
        <f aca="false">IFERROR(D280*E280,0)</f>
        <v>1090.88</v>
      </c>
      <c r="G280" s="42" t="str">
        <f aca="false">INDEX(SETORES!$B:$B,MATCH(A280,SETORES!$A:$A,0))</f>
        <v>Clientes</v>
      </c>
      <c r="H280" s="42" t="s">
        <v>88</v>
      </c>
    </row>
    <row r="281" customFormat="false" ht="14.25" hidden="false" customHeight="true" outlineLevel="0" collapsed="false">
      <c r="A281" s="16" t="s">
        <v>50</v>
      </c>
      <c r="B281" s="42" t="s">
        <v>157</v>
      </c>
      <c r="C281" s="42" t="s">
        <v>158</v>
      </c>
      <c r="D281" s="43"/>
      <c r="E281" s="44"/>
      <c r="F281" s="45" t="n">
        <f aca="false">IFERROR(D281*E281,0)</f>
        <v>0</v>
      </c>
      <c r="G281" s="42" t="str">
        <f aca="false">INDEX(SETORES!$B:$B,MATCH(A281,SETORES!$A:$A,0))</f>
        <v>Clientes</v>
      </c>
      <c r="H281" s="42" t="s">
        <v>88</v>
      </c>
    </row>
    <row r="282" customFormat="false" ht="14.25" hidden="false" customHeight="true" outlineLevel="0" collapsed="false">
      <c r="A282" s="16" t="s">
        <v>50</v>
      </c>
      <c r="B282" s="42" t="s">
        <v>155</v>
      </c>
      <c r="C282" s="42" t="s">
        <v>173</v>
      </c>
      <c r="D282" s="43" t="n">
        <v>16</v>
      </c>
      <c r="E282" s="44" t="n">
        <v>1.87</v>
      </c>
      <c r="F282" s="45" t="n">
        <f aca="false">IFERROR(D282*E282,0)</f>
        <v>29.92</v>
      </c>
      <c r="G282" s="42" t="str">
        <f aca="false">INDEX(SETORES!$B:$B,MATCH(A282,SETORES!$A:$A,0))</f>
        <v>Clientes</v>
      </c>
      <c r="H282" s="42" t="s">
        <v>88</v>
      </c>
    </row>
    <row r="283" customFormat="false" ht="14.25" hidden="false" customHeight="true" outlineLevel="0" collapsed="false">
      <c r="A283" s="16" t="s">
        <v>50</v>
      </c>
      <c r="B283" s="42" t="s">
        <v>155</v>
      </c>
      <c r="C283" s="42" t="s">
        <v>179</v>
      </c>
      <c r="D283" s="43"/>
      <c r="E283" s="44"/>
      <c r="F283" s="45" t="n">
        <f aca="false">IFERROR(D283*E283,0)</f>
        <v>0</v>
      </c>
      <c r="G283" s="42" t="str">
        <f aca="false">INDEX(SETORES!$B:$B,MATCH(A283,SETORES!$A:$A,0))</f>
        <v>Clientes</v>
      </c>
      <c r="H283" s="42" t="s">
        <v>88</v>
      </c>
    </row>
    <row r="284" customFormat="false" ht="14.25" hidden="false" customHeight="true" outlineLevel="0" collapsed="false">
      <c r="A284" s="16" t="s">
        <v>36</v>
      </c>
      <c r="B284" s="42" t="s">
        <v>155</v>
      </c>
      <c r="C284" s="42" t="s">
        <v>162</v>
      </c>
      <c r="D284" s="43" t="n">
        <v>8</v>
      </c>
      <c r="E284" s="44" t="n">
        <v>0.342924528301887</v>
      </c>
      <c r="F284" s="45" t="n">
        <f aca="false">IFERROR(D284*E284,0)</f>
        <v>2.7433962264151</v>
      </c>
      <c r="G284" s="42" t="str">
        <f aca="false">INDEX(SETORES!$B:$B,MATCH(A284,SETORES!$A:$A,0))</f>
        <v>Clientes</v>
      </c>
      <c r="H284" s="42" t="s">
        <v>88</v>
      </c>
    </row>
    <row r="285" customFormat="false" ht="14.25" hidden="false" customHeight="true" outlineLevel="0" collapsed="false">
      <c r="A285" s="16" t="s">
        <v>36</v>
      </c>
      <c r="B285" s="42" t="s">
        <v>155</v>
      </c>
      <c r="C285" s="42" t="s">
        <v>163</v>
      </c>
      <c r="D285" s="43" t="n">
        <v>2</v>
      </c>
      <c r="E285" s="44" t="n">
        <v>30</v>
      </c>
      <c r="F285" s="45" t="n">
        <f aca="false">IFERROR(D285*E285,0)</f>
        <v>60</v>
      </c>
      <c r="G285" s="42" t="str">
        <f aca="false">INDEX(SETORES!$B:$B,MATCH(A285,SETORES!$A:$A,0))</f>
        <v>Clientes</v>
      </c>
      <c r="H285" s="42" t="s">
        <v>88</v>
      </c>
    </row>
    <row r="286" customFormat="false" ht="14.25" hidden="false" customHeight="true" outlineLevel="0" collapsed="false">
      <c r="A286" s="16" t="s">
        <v>36</v>
      </c>
      <c r="B286" s="42" t="s">
        <v>155</v>
      </c>
      <c r="C286" s="42" t="s">
        <v>165</v>
      </c>
      <c r="D286" s="43" t="n">
        <v>8</v>
      </c>
      <c r="E286" s="44" t="n">
        <v>52.09</v>
      </c>
      <c r="F286" s="45" t="n">
        <f aca="false">IFERROR(D286*E286,0)</f>
        <v>416.72</v>
      </c>
      <c r="G286" s="42" t="s">
        <v>99</v>
      </c>
      <c r="H286" s="42" t="s">
        <v>88</v>
      </c>
    </row>
    <row r="287" customFormat="false" ht="14.25" hidden="false" customHeight="true" outlineLevel="0" collapsed="false">
      <c r="A287" s="16" t="s">
        <v>36</v>
      </c>
      <c r="B287" s="42" t="s">
        <v>155</v>
      </c>
      <c r="C287" s="42" t="s">
        <v>166</v>
      </c>
      <c r="D287" s="43" t="n">
        <v>8</v>
      </c>
      <c r="E287" s="44" t="n">
        <v>32.55</v>
      </c>
      <c r="F287" s="45" t="n">
        <f aca="false">IFERROR(D287*E287,0)</f>
        <v>260.4</v>
      </c>
      <c r="G287" s="42" t="s">
        <v>99</v>
      </c>
      <c r="H287" s="42" t="s">
        <v>88</v>
      </c>
    </row>
    <row r="288" customFormat="false" ht="14.25" hidden="false" customHeight="true" outlineLevel="0" collapsed="false">
      <c r="A288" s="16" t="s">
        <v>36</v>
      </c>
      <c r="B288" s="42" t="s">
        <v>155</v>
      </c>
      <c r="C288" s="42" t="s">
        <v>167</v>
      </c>
      <c r="D288" s="43" t="n">
        <v>8</v>
      </c>
      <c r="E288" s="44" t="n">
        <v>52.35</v>
      </c>
      <c r="F288" s="45" t="n">
        <f aca="false">IFERROR(D288*E288,0)</f>
        <v>418.8</v>
      </c>
      <c r="G288" s="42" t="s">
        <v>99</v>
      </c>
      <c r="H288" s="42" t="s">
        <v>88</v>
      </c>
    </row>
    <row r="289" customFormat="false" ht="14.25" hidden="false" customHeight="true" outlineLevel="0" collapsed="false">
      <c r="A289" s="16" t="s">
        <v>36</v>
      </c>
      <c r="B289" s="42" t="s">
        <v>155</v>
      </c>
      <c r="C289" s="42" t="s">
        <v>168</v>
      </c>
      <c r="D289" s="43" t="n">
        <v>8</v>
      </c>
      <c r="E289" s="44" t="n">
        <v>124.491481481482</v>
      </c>
      <c r="F289" s="45" t="n">
        <f aca="false">IFERROR(D289*E289,0)</f>
        <v>995.931851851856</v>
      </c>
      <c r="G289" s="42" t="str">
        <f aca="false">INDEX(SETORES!$B:$B,MATCH(A289,SETORES!$A:$A,0))</f>
        <v>Clientes</v>
      </c>
      <c r="H289" s="42" t="s">
        <v>88</v>
      </c>
    </row>
    <row r="290" customFormat="false" ht="14.25" hidden="false" customHeight="true" outlineLevel="0" collapsed="false">
      <c r="A290" s="16" t="s">
        <v>36</v>
      </c>
      <c r="B290" s="42" t="s">
        <v>157</v>
      </c>
      <c r="C290" s="42" t="s">
        <v>175</v>
      </c>
      <c r="D290" s="43"/>
      <c r="E290" s="44"/>
      <c r="F290" s="45" t="n">
        <f aca="false">IFERROR(D290*E290,0)</f>
        <v>0</v>
      </c>
      <c r="G290" s="42" t="str">
        <f aca="false">INDEX(SETORES!$B:$B,MATCH(A290,SETORES!$A:$A,0))</f>
        <v>Clientes</v>
      </c>
      <c r="H290" s="42" t="s">
        <v>88</v>
      </c>
    </row>
    <row r="291" customFormat="false" ht="14.25" hidden="false" customHeight="true" outlineLevel="0" collapsed="false">
      <c r="A291" s="16" t="s">
        <v>36</v>
      </c>
      <c r="B291" s="42" t="s">
        <v>157</v>
      </c>
      <c r="C291" s="42" t="s">
        <v>176</v>
      </c>
      <c r="D291" s="43"/>
      <c r="E291" s="44"/>
      <c r="F291" s="45" t="n">
        <f aca="false">IFERROR(D291*E291,0)</f>
        <v>0</v>
      </c>
      <c r="G291" s="42" t="str">
        <f aca="false">INDEX(SETORES!$B:$B,MATCH(A291,SETORES!$A:$A,0))</f>
        <v>Clientes</v>
      </c>
      <c r="H291" s="42" t="s">
        <v>88</v>
      </c>
    </row>
    <row r="292" customFormat="false" ht="14.25" hidden="false" customHeight="true" outlineLevel="0" collapsed="false">
      <c r="A292" s="16" t="s">
        <v>36</v>
      </c>
      <c r="B292" s="42" t="s">
        <v>155</v>
      </c>
      <c r="C292" s="42" t="s">
        <v>169</v>
      </c>
      <c r="D292" s="43" t="n">
        <v>1</v>
      </c>
      <c r="E292" s="44" t="n">
        <v>44459.9</v>
      </c>
      <c r="F292" s="45" t="n">
        <f aca="false">IFERROR(D292*E292,0)</f>
        <v>44459.9</v>
      </c>
      <c r="G292" s="42" t="str">
        <f aca="false">INDEX(SETORES!$B:$B,MATCH(A292,SETORES!$A:$A,0))</f>
        <v>Clientes</v>
      </c>
      <c r="H292" s="42" t="s">
        <v>88</v>
      </c>
    </row>
    <row r="293" customFormat="false" ht="14.25" hidden="false" customHeight="true" outlineLevel="0" collapsed="false">
      <c r="A293" s="16" t="s">
        <v>36</v>
      </c>
      <c r="B293" s="42" t="s">
        <v>155</v>
      </c>
      <c r="C293" s="42" t="s">
        <v>170</v>
      </c>
      <c r="D293" s="43"/>
      <c r="E293" s="44"/>
      <c r="F293" s="45" t="n">
        <f aca="false">IFERROR(D293*E293,0)</f>
        <v>0</v>
      </c>
      <c r="G293" s="42" t="str">
        <f aca="false">INDEX(SETORES!$B:$B,MATCH(A293,SETORES!$A:$A,0))</f>
        <v>Clientes</v>
      </c>
      <c r="H293" s="42" t="s">
        <v>88</v>
      </c>
    </row>
    <row r="294" customFormat="false" ht="14.25" hidden="false" customHeight="true" outlineLevel="0" collapsed="false">
      <c r="A294" s="16" t="s">
        <v>36</v>
      </c>
      <c r="B294" s="42" t="s">
        <v>155</v>
      </c>
      <c r="C294" s="42" t="s">
        <v>183</v>
      </c>
      <c r="D294" s="43"/>
      <c r="E294" s="44"/>
      <c r="F294" s="45" t="n">
        <f aca="false">IFERROR(D294*E294,0)</f>
        <v>0</v>
      </c>
      <c r="G294" s="42" t="str">
        <f aca="false">INDEX(SETORES!$B:$B,MATCH(A294,SETORES!$A:$A,0))</f>
        <v>Clientes</v>
      </c>
      <c r="H294" s="42" t="s">
        <v>88</v>
      </c>
    </row>
    <row r="295" customFormat="false" ht="14.25" hidden="false" customHeight="true" outlineLevel="0" collapsed="false">
      <c r="A295" s="16" t="s">
        <v>36</v>
      </c>
      <c r="B295" s="42" t="s">
        <v>155</v>
      </c>
      <c r="C295" s="42" t="s">
        <v>171</v>
      </c>
      <c r="D295" s="43" t="n">
        <v>8</v>
      </c>
      <c r="E295" s="44" t="n">
        <v>8.817255</v>
      </c>
      <c r="F295" s="45" t="n">
        <f aca="false">IFERROR(D295*E295,0)</f>
        <v>70.53804</v>
      </c>
      <c r="G295" s="42" t="str">
        <f aca="false">INDEX(SETORES!$B:$B,MATCH(A295,SETORES!$A:$A,0))</f>
        <v>Clientes</v>
      </c>
      <c r="H295" s="42" t="s">
        <v>88</v>
      </c>
    </row>
    <row r="296" customFormat="false" ht="14.25" hidden="false" customHeight="true" outlineLevel="0" collapsed="false">
      <c r="A296" s="16" t="s">
        <v>36</v>
      </c>
      <c r="B296" s="42" t="s">
        <v>155</v>
      </c>
      <c r="C296" s="42" t="s">
        <v>172</v>
      </c>
      <c r="D296" s="43" t="n">
        <v>8</v>
      </c>
      <c r="E296" s="44" t="n">
        <v>50</v>
      </c>
      <c r="F296" s="45" t="n">
        <f aca="false">IFERROR(D296*E296,0)</f>
        <v>400</v>
      </c>
      <c r="G296" s="42" t="str">
        <f aca="false">INDEX(SETORES!$B:$B,MATCH(A296,SETORES!$A:$A,0))</f>
        <v>Clientes</v>
      </c>
      <c r="H296" s="42" t="s">
        <v>88</v>
      </c>
    </row>
    <row r="297" customFormat="false" ht="14.25" hidden="false" customHeight="true" outlineLevel="0" collapsed="false">
      <c r="A297" s="16" t="s">
        <v>36</v>
      </c>
      <c r="B297" s="42" t="s">
        <v>155</v>
      </c>
      <c r="C297" s="42" t="s">
        <v>215</v>
      </c>
      <c r="D297" s="43" t="n">
        <v>1</v>
      </c>
      <c r="E297" s="44" t="n">
        <v>29185.01</v>
      </c>
      <c r="F297" s="45" t="n">
        <f aca="false">IFERROR(D297*E297,0)</f>
        <v>29185.01</v>
      </c>
      <c r="G297" s="42" t="str">
        <f aca="false">INDEX(SETORES!$B:$B,MATCH(A297,SETORES!$A:$A,0))</f>
        <v>Clientes</v>
      </c>
      <c r="H297" s="42" t="s">
        <v>88</v>
      </c>
    </row>
    <row r="298" customFormat="false" ht="14.25" hidden="false" customHeight="true" outlineLevel="0" collapsed="false">
      <c r="A298" s="16" t="s">
        <v>36</v>
      </c>
      <c r="B298" s="42" t="s">
        <v>155</v>
      </c>
      <c r="C298" s="42" t="s">
        <v>177</v>
      </c>
      <c r="D298" s="43" t="n">
        <v>1</v>
      </c>
      <c r="E298" s="44" t="n">
        <v>4.82</v>
      </c>
      <c r="F298" s="45" t="n">
        <f aca="false">IFERROR(D298*E298,0)</f>
        <v>4.82</v>
      </c>
      <c r="G298" s="42" t="str">
        <f aca="false">INDEX(SETORES!$B:$B,MATCH(A298,SETORES!$A:$A,0))</f>
        <v>Clientes</v>
      </c>
      <c r="H298" s="42" t="s">
        <v>88</v>
      </c>
    </row>
    <row r="299" customFormat="false" ht="14.25" hidden="false" customHeight="true" outlineLevel="0" collapsed="false">
      <c r="A299" s="16" t="s">
        <v>36</v>
      </c>
      <c r="B299" s="42" t="s">
        <v>155</v>
      </c>
      <c r="C299" s="42" t="s">
        <v>178</v>
      </c>
      <c r="D299" s="43" t="n">
        <v>1</v>
      </c>
      <c r="E299" s="44" t="n">
        <v>438.85</v>
      </c>
      <c r="F299" s="45" t="n">
        <f aca="false">IFERROR(D299*E299,0)</f>
        <v>438.85</v>
      </c>
      <c r="G299" s="42" t="str">
        <f aca="false">INDEX(SETORES!$B:$B,MATCH(A299,SETORES!$A:$A,0))</f>
        <v>Clientes</v>
      </c>
      <c r="H299" s="42" t="s">
        <v>88</v>
      </c>
    </row>
    <row r="300" customFormat="false" ht="14.25" hidden="false" customHeight="true" outlineLevel="0" collapsed="false">
      <c r="A300" s="16" t="s">
        <v>36</v>
      </c>
      <c r="B300" s="42" t="s">
        <v>155</v>
      </c>
      <c r="C300" s="42" t="s">
        <v>216</v>
      </c>
      <c r="D300" s="43"/>
      <c r="E300" s="44"/>
      <c r="F300" s="45" t="n">
        <f aca="false">IFERROR(D300*E300,0)</f>
        <v>0</v>
      </c>
      <c r="G300" s="42" t="str">
        <f aca="false">INDEX(SETORES!$B:$B,MATCH(A300,SETORES!$A:$A,0))</f>
        <v>Clientes</v>
      </c>
      <c r="H300" s="42" t="s">
        <v>88</v>
      </c>
    </row>
    <row r="301" customFormat="false" ht="14.25" hidden="false" customHeight="true" outlineLevel="0" collapsed="false">
      <c r="A301" s="16" t="s">
        <v>36</v>
      </c>
      <c r="B301" s="42" t="s">
        <v>157</v>
      </c>
      <c r="C301" s="42" t="s">
        <v>158</v>
      </c>
      <c r="D301" s="43"/>
      <c r="E301" s="44"/>
      <c r="F301" s="45" t="n">
        <f aca="false">IFERROR(D301*E301,0)</f>
        <v>0</v>
      </c>
      <c r="G301" s="42" t="str">
        <f aca="false">INDEX(SETORES!$B:$B,MATCH(A301,SETORES!$A:$A,0))</f>
        <v>Clientes</v>
      </c>
      <c r="H301" s="42" t="s">
        <v>88</v>
      </c>
    </row>
    <row r="302" customFormat="false" ht="14.25" hidden="false" customHeight="true" outlineLevel="0" collapsed="false">
      <c r="A302" s="16" t="s">
        <v>36</v>
      </c>
      <c r="B302" s="42" t="s">
        <v>155</v>
      </c>
      <c r="C302" s="42" t="s">
        <v>173</v>
      </c>
      <c r="D302" s="43" t="n">
        <v>8</v>
      </c>
      <c r="E302" s="44" t="n">
        <v>1.87</v>
      </c>
      <c r="F302" s="45" t="n">
        <f aca="false">IFERROR(D302*E302,0)</f>
        <v>14.96</v>
      </c>
      <c r="G302" s="42" t="str">
        <f aca="false">INDEX(SETORES!$B:$B,MATCH(A302,SETORES!$A:$A,0))</f>
        <v>Clientes</v>
      </c>
      <c r="H302" s="42" t="s">
        <v>88</v>
      </c>
    </row>
    <row r="303" customFormat="false" ht="14.25" hidden="false" customHeight="true" outlineLevel="0" collapsed="false">
      <c r="A303" s="16" t="s">
        <v>36</v>
      </c>
      <c r="B303" s="42" t="s">
        <v>155</v>
      </c>
      <c r="C303" s="42" t="s">
        <v>179</v>
      </c>
      <c r="D303" s="43"/>
      <c r="E303" s="44"/>
      <c r="F303" s="45" t="n">
        <f aca="false">IFERROR(D303*E303,0)</f>
        <v>0</v>
      </c>
      <c r="G303" s="42" t="str">
        <f aca="false">INDEX(SETORES!$B:$B,MATCH(A303,SETORES!$A:$A,0))</f>
        <v>Clientes</v>
      </c>
      <c r="H303" s="42" t="s">
        <v>88</v>
      </c>
    </row>
    <row r="304" customFormat="false" ht="14.25" hidden="false" customHeight="true" outlineLevel="0" collapsed="false">
      <c r="A304" s="16" t="s">
        <v>81</v>
      </c>
      <c r="B304" s="42" t="s">
        <v>155</v>
      </c>
      <c r="C304" s="42" t="s">
        <v>163</v>
      </c>
      <c r="D304" s="43" t="n">
        <v>2</v>
      </c>
      <c r="E304" s="44" t="n">
        <v>30</v>
      </c>
      <c r="F304" s="45" t="n">
        <f aca="false">IFERROR(D304*E304,0)</f>
        <v>60</v>
      </c>
      <c r="G304" s="42" t="str">
        <f aca="false">INDEX(SETORES!$B:$B,MATCH(A304,SETORES!$A:$A,0))</f>
        <v>Clientes</v>
      </c>
      <c r="H304" s="42" t="s">
        <v>88</v>
      </c>
    </row>
    <row r="305" customFormat="false" ht="14.25" hidden="false" customHeight="true" outlineLevel="0" collapsed="false">
      <c r="A305" s="16" t="s">
        <v>81</v>
      </c>
      <c r="B305" s="42" t="s">
        <v>155</v>
      </c>
      <c r="C305" s="42" t="s">
        <v>165</v>
      </c>
      <c r="D305" s="43" t="n">
        <v>3</v>
      </c>
      <c r="E305" s="44" t="n">
        <v>52.09</v>
      </c>
      <c r="F305" s="45" t="n">
        <f aca="false">IFERROR(D305*E305,0)</f>
        <v>156.27</v>
      </c>
      <c r="G305" s="42" t="s">
        <v>99</v>
      </c>
      <c r="H305" s="42" t="s">
        <v>88</v>
      </c>
    </row>
    <row r="306" customFormat="false" ht="14.25" hidden="false" customHeight="true" outlineLevel="0" collapsed="false">
      <c r="A306" s="16" t="s">
        <v>81</v>
      </c>
      <c r="B306" s="42" t="s">
        <v>155</v>
      </c>
      <c r="C306" s="42" t="s">
        <v>166</v>
      </c>
      <c r="D306" s="43" t="n">
        <v>3</v>
      </c>
      <c r="E306" s="44" t="n">
        <v>32.55</v>
      </c>
      <c r="F306" s="45" t="n">
        <f aca="false">IFERROR(D306*E306,0)</f>
        <v>97.65</v>
      </c>
      <c r="G306" s="42" t="s">
        <v>99</v>
      </c>
      <c r="H306" s="42" t="s">
        <v>88</v>
      </c>
    </row>
    <row r="307" customFormat="false" ht="14.25" hidden="false" customHeight="true" outlineLevel="0" collapsed="false">
      <c r="A307" s="16" t="s">
        <v>81</v>
      </c>
      <c r="B307" s="42" t="s">
        <v>155</v>
      </c>
      <c r="C307" s="42" t="s">
        <v>167</v>
      </c>
      <c r="D307" s="43" t="n">
        <v>3</v>
      </c>
      <c r="E307" s="44" t="n">
        <v>52.35</v>
      </c>
      <c r="F307" s="45" t="n">
        <f aca="false">IFERROR(D307*E307,0)</f>
        <v>157.05</v>
      </c>
      <c r="G307" s="42" t="s">
        <v>99</v>
      </c>
      <c r="H307" s="42" t="s">
        <v>88</v>
      </c>
    </row>
    <row r="308" customFormat="false" ht="14.25" hidden="false" customHeight="true" outlineLevel="0" collapsed="false">
      <c r="A308" s="16" t="s">
        <v>81</v>
      </c>
      <c r="B308" s="42" t="s">
        <v>157</v>
      </c>
      <c r="C308" s="42" t="s">
        <v>175</v>
      </c>
      <c r="D308" s="43"/>
      <c r="E308" s="44"/>
      <c r="F308" s="45" t="n">
        <f aca="false">IFERROR(D308*E308,0)</f>
        <v>0</v>
      </c>
      <c r="G308" s="42" t="str">
        <f aca="false">INDEX(SETORES!$B:$B,MATCH(A308,SETORES!$A:$A,0))</f>
        <v>Clientes</v>
      </c>
      <c r="H308" s="42" t="s">
        <v>88</v>
      </c>
    </row>
    <row r="309" customFormat="false" ht="14.25" hidden="false" customHeight="true" outlineLevel="0" collapsed="false">
      <c r="A309" s="16" t="s">
        <v>81</v>
      </c>
      <c r="B309" s="42" t="s">
        <v>155</v>
      </c>
      <c r="C309" s="42" t="s">
        <v>169</v>
      </c>
      <c r="D309" s="43" t="n">
        <v>1</v>
      </c>
      <c r="E309" s="44" t="n">
        <v>13644.85</v>
      </c>
      <c r="F309" s="45" t="n">
        <f aca="false">IFERROR(D309*E309,0)</f>
        <v>13644.85</v>
      </c>
      <c r="G309" s="42" t="str">
        <f aca="false">INDEX(SETORES!$B:$B,MATCH(A309,SETORES!$A:$A,0))</f>
        <v>Clientes</v>
      </c>
      <c r="H309" s="42" t="s">
        <v>88</v>
      </c>
    </row>
    <row r="310" customFormat="false" ht="14.25" hidden="false" customHeight="true" outlineLevel="0" collapsed="false">
      <c r="A310" s="16" t="s">
        <v>81</v>
      </c>
      <c r="B310" s="42" t="s">
        <v>155</v>
      </c>
      <c r="C310" s="42" t="s">
        <v>170</v>
      </c>
      <c r="D310" s="43"/>
      <c r="E310" s="44"/>
      <c r="F310" s="45" t="n">
        <f aca="false">IFERROR(D310*E310,0)</f>
        <v>0</v>
      </c>
      <c r="G310" s="42" t="str">
        <f aca="false">INDEX(SETORES!$B:$B,MATCH(A310,SETORES!$A:$A,0))</f>
        <v>Clientes</v>
      </c>
      <c r="H310" s="42" t="s">
        <v>88</v>
      </c>
    </row>
    <row r="311" customFormat="false" ht="14.25" hidden="false" customHeight="true" outlineLevel="0" collapsed="false">
      <c r="A311" s="16" t="s">
        <v>81</v>
      </c>
      <c r="B311" s="42" t="s">
        <v>155</v>
      </c>
      <c r="C311" s="42" t="s">
        <v>183</v>
      </c>
      <c r="D311" s="43" t="n">
        <v>3</v>
      </c>
      <c r="E311" s="44" t="n">
        <v>6.41025641025641</v>
      </c>
      <c r="F311" s="45" t="n">
        <f aca="false">IFERROR(D311*E311,0)</f>
        <v>19.2307692307692</v>
      </c>
      <c r="G311" s="42" t="str">
        <f aca="false">INDEX(SETORES!$B:$B,MATCH(A311,SETORES!$A:$A,0))</f>
        <v>Clientes</v>
      </c>
      <c r="H311" s="42" t="s">
        <v>88</v>
      </c>
    </row>
    <row r="312" customFormat="false" ht="14.25" hidden="false" customHeight="true" outlineLevel="0" collapsed="false">
      <c r="A312" s="16" t="s">
        <v>81</v>
      </c>
      <c r="B312" s="42" t="s">
        <v>155</v>
      </c>
      <c r="C312" s="42" t="s">
        <v>172</v>
      </c>
      <c r="D312" s="43" t="n">
        <v>3</v>
      </c>
      <c r="E312" s="44" t="n">
        <v>50</v>
      </c>
      <c r="F312" s="45" t="n">
        <f aca="false">IFERROR(D312*E312,0)</f>
        <v>150</v>
      </c>
      <c r="G312" s="42" t="str">
        <f aca="false">INDEX(SETORES!$B:$B,MATCH(A312,SETORES!$A:$A,0))</f>
        <v>Clientes</v>
      </c>
      <c r="H312" s="42" t="s">
        <v>88</v>
      </c>
    </row>
    <row r="313" customFormat="false" ht="14.25" hidden="false" customHeight="true" outlineLevel="0" collapsed="false">
      <c r="A313" s="16" t="s">
        <v>81</v>
      </c>
      <c r="B313" s="42" t="s">
        <v>157</v>
      </c>
      <c r="C313" s="42" t="s">
        <v>177</v>
      </c>
      <c r="D313" s="43" t="n">
        <v>1</v>
      </c>
      <c r="E313" s="44" t="n">
        <v>528.1</v>
      </c>
      <c r="F313" s="45" t="n">
        <f aca="false">IFERROR(D313*E313,0)</f>
        <v>528.1</v>
      </c>
      <c r="G313" s="42" t="str">
        <f aca="false">INDEX(SETORES!$B:$B,MATCH(A313,SETORES!$A:$A,0))</f>
        <v>Clientes</v>
      </c>
      <c r="H313" s="42" t="s">
        <v>88</v>
      </c>
    </row>
    <row r="314" customFormat="false" ht="14.25" hidden="false" customHeight="true" outlineLevel="0" collapsed="false">
      <c r="A314" s="16" t="s">
        <v>81</v>
      </c>
      <c r="B314" s="42" t="s">
        <v>155</v>
      </c>
      <c r="C314" s="42" t="s">
        <v>178</v>
      </c>
      <c r="D314" s="43" t="n">
        <v>1</v>
      </c>
      <c r="E314" s="44" t="n">
        <v>175.81</v>
      </c>
      <c r="F314" s="45" t="n">
        <f aca="false">IFERROR(D314*E314,0)</f>
        <v>175.81</v>
      </c>
      <c r="G314" s="42" t="str">
        <f aca="false">INDEX(SETORES!$B:$B,MATCH(A314,SETORES!$A:$A,0))</f>
        <v>Clientes</v>
      </c>
      <c r="H314" s="42" t="s">
        <v>88</v>
      </c>
    </row>
    <row r="315" customFormat="false" ht="14.25" hidden="false" customHeight="true" outlineLevel="0" collapsed="false">
      <c r="A315" s="16" t="s">
        <v>81</v>
      </c>
      <c r="B315" s="42" t="s">
        <v>157</v>
      </c>
      <c r="C315" s="42" t="s">
        <v>158</v>
      </c>
      <c r="D315" s="43"/>
      <c r="E315" s="44"/>
      <c r="F315" s="45" t="n">
        <f aca="false">IFERROR(D315*E315,0)</f>
        <v>0</v>
      </c>
      <c r="G315" s="42" t="str">
        <f aca="false">INDEX(SETORES!$B:$B,MATCH(A315,SETORES!$A:$A,0))</f>
        <v>Clientes</v>
      </c>
      <c r="H315" s="42" t="s">
        <v>88</v>
      </c>
    </row>
    <row r="316" customFormat="false" ht="14.25" hidden="false" customHeight="true" outlineLevel="0" collapsed="false">
      <c r="A316" s="16" t="s">
        <v>81</v>
      </c>
      <c r="B316" s="42" t="s">
        <v>155</v>
      </c>
      <c r="C316" s="42" t="s">
        <v>173</v>
      </c>
      <c r="D316" s="43" t="n">
        <v>3</v>
      </c>
      <c r="E316" s="44" t="n">
        <v>1.87</v>
      </c>
      <c r="F316" s="45" t="n">
        <f aca="false">IFERROR(D316*E316,0)</f>
        <v>5.61</v>
      </c>
      <c r="G316" s="42" t="str">
        <f aca="false">INDEX(SETORES!$B:$B,MATCH(A316,SETORES!$A:$A,0))</f>
        <v>Clientes</v>
      </c>
      <c r="H316" s="42" t="s">
        <v>88</v>
      </c>
    </row>
    <row r="317" customFormat="false" ht="14.25" hidden="false" customHeight="true" outlineLevel="0" collapsed="false">
      <c r="A317" s="16" t="s">
        <v>82</v>
      </c>
      <c r="B317" s="42" t="s">
        <v>157</v>
      </c>
      <c r="C317" s="42" t="s">
        <v>199</v>
      </c>
      <c r="D317" s="43" t="n">
        <v>1</v>
      </c>
      <c r="E317" s="44" t="n">
        <v>19762.11</v>
      </c>
      <c r="F317" s="45" t="n">
        <f aca="false">IFERROR(D317*E317,0)</f>
        <v>19762.11</v>
      </c>
      <c r="G317" s="42" t="str">
        <f aca="false">INDEX(SETORES!$B:$B,MATCH(A317,SETORES!$A:$A,0))</f>
        <v>Clientes</v>
      </c>
      <c r="H317" s="42" t="s">
        <v>88</v>
      </c>
    </row>
    <row r="318" customFormat="false" ht="14.25" hidden="false" customHeight="true" outlineLevel="0" collapsed="false">
      <c r="A318" s="16" t="s">
        <v>82</v>
      </c>
      <c r="B318" s="42" t="s">
        <v>155</v>
      </c>
      <c r="C318" s="42" t="s">
        <v>205</v>
      </c>
      <c r="D318" s="43" t="n">
        <v>1</v>
      </c>
      <c r="E318" s="44" t="n">
        <v>1749.46</v>
      </c>
      <c r="F318" s="45" t="n">
        <f aca="false">IFERROR(D318*E318,0)</f>
        <v>1749.46</v>
      </c>
      <c r="G318" s="42" t="str">
        <f aca="false">INDEX(SETORES!$B:$B,MATCH(A318,SETORES!$A:$A,0))</f>
        <v>Clientes</v>
      </c>
      <c r="H318" s="42" t="s">
        <v>88</v>
      </c>
    </row>
    <row r="319" customFormat="false" ht="14.25" hidden="false" customHeight="true" outlineLevel="0" collapsed="false">
      <c r="A319" s="16" t="s">
        <v>82</v>
      </c>
      <c r="B319" s="42" t="s">
        <v>155</v>
      </c>
      <c r="C319" s="42" t="s">
        <v>165</v>
      </c>
      <c r="D319" s="43" t="n">
        <v>10</v>
      </c>
      <c r="E319" s="44" t="n">
        <v>52.09</v>
      </c>
      <c r="F319" s="45" t="n">
        <f aca="false">IFERROR(D319*E319,0)</f>
        <v>520.9</v>
      </c>
      <c r="G319" s="42" t="s">
        <v>99</v>
      </c>
      <c r="H319" s="42" t="s">
        <v>88</v>
      </c>
    </row>
    <row r="320" customFormat="false" ht="14.25" hidden="false" customHeight="true" outlineLevel="0" collapsed="false">
      <c r="A320" s="16" t="s">
        <v>82</v>
      </c>
      <c r="B320" s="42" t="s">
        <v>155</v>
      </c>
      <c r="C320" s="42" t="s">
        <v>166</v>
      </c>
      <c r="D320" s="43" t="n">
        <v>10</v>
      </c>
      <c r="E320" s="44" t="n">
        <v>32.55</v>
      </c>
      <c r="F320" s="45" t="n">
        <f aca="false">IFERROR(D320*E320,0)</f>
        <v>325.5</v>
      </c>
      <c r="G320" s="42" t="s">
        <v>99</v>
      </c>
      <c r="H320" s="42" t="s">
        <v>88</v>
      </c>
    </row>
    <row r="321" customFormat="false" ht="14.25" hidden="false" customHeight="true" outlineLevel="0" collapsed="false">
      <c r="A321" s="16" t="s">
        <v>82</v>
      </c>
      <c r="B321" s="42" t="s">
        <v>155</v>
      </c>
      <c r="C321" s="42" t="s">
        <v>167</v>
      </c>
      <c r="D321" s="43" t="n">
        <v>10</v>
      </c>
      <c r="E321" s="44" t="n">
        <v>52.35</v>
      </c>
      <c r="F321" s="45" t="n">
        <f aca="false">IFERROR(D321*E321,0)</f>
        <v>523.5</v>
      </c>
      <c r="G321" s="42" t="s">
        <v>99</v>
      </c>
      <c r="H321" s="42" t="s">
        <v>88</v>
      </c>
    </row>
    <row r="322" customFormat="false" ht="14.25" hidden="false" customHeight="true" outlineLevel="0" collapsed="false">
      <c r="A322" s="16" t="s">
        <v>82</v>
      </c>
      <c r="B322" s="42" t="s">
        <v>157</v>
      </c>
      <c r="C322" s="42" t="s">
        <v>217</v>
      </c>
      <c r="D322" s="43"/>
      <c r="E322" s="44"/>
      <c r="F322" s="45" t="n">
        <f aca="false">IFERROR(D322*E322,0)</f>
        <v>0</v>
      </c>
      <c r="G322" s="42" t="str">
        <f aca="false">INDEX(SETORES!$B:$B,MATCH(A322,SETORES!$A:$A,0))</f>
        <v>Clientes</v>
      </c>
      <c r="H322" s="42" t="s">
        <v>88</v>
      </c>
    </row>
    <row r="323" customFormat="false" ht="14.25" hidden="false" customHeight="true" outlineLevel="0" collapsed="false">
      <c r="A323" s="16" t="s">
        <v>82</v>
      </c>
      <c r="B323" s="42" t="s">
        <v>155</v>
      </c>
      <c r="C323" s="42" t="s">
        <v>169</v>
      </c>
      <c r="D323" s="43" t="n">
        <v>1</v>
      </c>
      <c r="E323" s="44" t="n">
        <v>108616.1</v>
      </c>
      <c r="F323" s="45" t="n">
        <f aca="false">IFERROR(D323*E323,0)</f>
        <v>108616.1</v>
      </c>
      <c r="G323" s="42" t="str">
        <f aca="false">INDEX(SETORES!$B:$B,MATCH(A323,SETORES!$A:$A,0))</f>
        <v>Clientes</v>
      </c>
      <c r="H323" s="42" t="s">
        <v>88</v>
      </c>
    </row>
    <row r="324" customFormat="false" ht="14.25" hidden="false" customHeight="true" outlineLevel="0" collapsed="false">
      <c r="A324" s="16" t="s">
        <v>82</v>
      </c>
      <c r="B324" s="42" t="s">
        <v>155</v>
      </c>
      <c r="C324" s="42" t="s">
        <v>170</v>
      </c>
      <c r="D324" s="43"/>
      <c r="E324" s="44"/>
      <c r="F324" s="45" t="n">
        <f aca="false">IFERROR(D324*E324,0)</f>
        <v>0</v>
      </c>
      <c r="G324" s="42" t="str">
        <f aca="false">INDEX(SETORES!$B:$B,MATCH(A324,SETORES!$A:$A,0))</f>
        <v>Clientes</v>
      </c>
      <c r="H324" s="42" t="s">
        <v>88</v>
      </c>
    </row>
    <row r="325" customFormat="false" ht="14.25" hidden="false" customHeight="true" outlineLevel="0" collapsed="false">
      <c r="A325" s="16" t="s">
        <v>82</v>
      </c>
      <c r="B325" s="42" t="s">
        <v>155</v>
      </c>
      <c r="C325" s="42" t="s">
        <v>172</v>
      </c>
      <c r="D325" s="43"/>
      <c r="E325" s="44"/>
      <c r="F325" s="45" t="n">
        <f aca="false">IFERROR(D325*E325,0)</f>
        <v>0</v>
      </c>
      <c r="G325" s="42" t="str">
        <f aca="false">INDEX(SETORES!$B:$B,MATCH(A325,SETORES!$A:$A,0))</f>
        <v>Clientes</v>
      </c>
      <c r="H325" s="42" t="s">
        <v>88</v>
      </c>
    </row>
    <row r="326" customFormat="false" ht="14.25" hidden="false" customHeight="true" outlineLevel="0" collapsed="false">
      <c r="A326" s="16" t="s">
        <v>82</v>
      </c>
      <c r="B326" s="42" t="s">
        <v>157</v>
      </c>
      <c r="C326" s="42" t="s">
        <v>158</v>
      </c>
      <c r="D326" s="43"/>
      <c r="E326" s="44"/>
      <c r="F326" s="45" t="n">
        <f aca="false">IFERROR(D326*E326,0)</f>
        <v>0</v>
      </c>
      <c r="G326" s="42" t="str">
        <f aca="false">INDEX(SETORES!$B:$B,MATCH(A326,SETORES!$A:$A,0))</f>
        <v>Clientes</v>
      </c>
      <c r="H326" s="42" t="s">
        <v>88</v>
      </c>
    </row>
    <row r="327" customFormat="false" ht="14.25" hidden="false" customHeight="true" outlineLevel="0" collapsed="false">
      <c r="A327" s="16" t="s">
        <v>82</v>
      </c>
      <c r="B327" s="42" t="s">
        <v>155</v>
      </c>
      <c r="C327" s="42" t="s">
        <v>173</v>
      </c>
      <c r="D327" s="43" t="n">
        <v>10</v>
      </c>
      <c r="E327" s="44" t="n">
        <v>1.87</v>
      </c>
      <c r="F327" s="45" t="n">
        <f aca="false">IFERROR(D327*E327,0)</f>
        <v>18.7</v>
      </c>
      <c r="G327" s="42" t="str">
        <f aca="false">INDEX(SETORES!$B:$B,MATCH(A327,SETORES!$A:$A,0))</f>
        <v>Clientes</v>
      </c>
      <c r="H327" s="42" t="s">
        <v>88</v>
      </c>
    </row>
    <row r="328" customFormat="false" ht="14.25" hidden="false" customHeight="true" outlineLevel="0" collapsed="false">
      <c r="A328" s="16" t="s">
        <v>34</v>
      </c>
      <c r="B328" s="42" t="s">
        <v>155</v>
      </c>
      <c r="C328" s="42" t="s">
        <v>162</v>
      </c>
      <c r="D328" s="43" t="n">
        <v>13</v>
      </c>
      <c r="E328" s="44" t="n">
        <v>0.342924528301887</v>
      </c>
      <c r="F328" s="45" t="n">
        <f aca="false">IFERROR(D328*E328,0)</f>
        <v>4.45801886792453</v>
      </c>
      <c r="G328" s="42" t="str">
        <f aca="false">INDEX(SETORES!$B:$B,MATCH(A328,SETORES!$A:$A,0))</f>
        <v>Clientes</v>
      </c>
      <c r="H328" s="42" t="s">
        <v>88</v>
      </c>
    </row>
    <row r="329" customFormat="false" ht="14.25" hidden="false" customHeight="true" outlineLevel="0" collapsed="false">
      <c r="A329" s="16" t="s">
        <v>34</v>
      </c>
      <c r="B329" s="42" t="s">
        <v>155</v>
      </c>
      <c r="C329" s="42" t="s">
        <v>163</v>
      </c>
      <c r="D329" s="43" t="n">
        <v>2</v>
      </c>
      <c r="E329" s="44" t="n">
        <v>30</v>
      </c>
      <c r="F329" s="45" t="n">
        <f aca="false">IFERROR(D329*E329,0)</f>
        <v>60</v>
      </c>
      <c r="G329" s="42" t="str">
        <f aca="false">INDEX(SETORES!$B:$B,MATCH(A329,SETORES!$A:$A,0))</f>
        <v>Clientes</v>
      </c>
      <c r="H329" s="42" t="s">
        <v>88</v>
      </c>
    </row>
    <row r="330" customFormat="false" ht="14.25" hidden="false" customHeight="true" outlineLevel="0" collapsed="false">
      <c r="A330" s="16" t="s">
        <v>34</v>
      </c>
      <c r="B330" s="42" t="s">
        <v>155</v>
      </c>
      <c r="C330" s="42" t="s">
        <v>164</v>
      </c>
      <c r="D330" s="43" t="n">
        <v>1</v>
      </c>
      <c r="E330" s="44" t="n">
        <v>4947.47</v>
      </c>
      <c r="F330" s="45" t="n">
        <f aca="false">IFERROR(D330*E330,0)</f>
        <v>4947.47</v>
      </c>
      <c r="G330" s="42" t="str">
        <f aca="false">INDEX(SETORES!$B:$B,MATCH(A330,SETORES!$A:$A,0))</f>
        <v>Clientes</v>
      </c>
      <c r="H330" s="42" t="s">
        <v>88</v>
      </c>
    </row>
    <row r="331" customFormat="false" ht="14.25" hidden="false" customHeight="true" outlineLevel="0" collapsed="false">
      <c r="A331" s="16" t="s">
        <v>34</v>
      </c>
      <c r="B331" s="42" t="s">
        <v>155</v>
      </c>
      <c r="C331" s="42" t="s">
        <v>165</v>
      </c>
      <c r="D331" s="43" t="n">
        <v>13</v>
      </c>
      <c r="E331" s="44" t="n">
        <v>52.09</v>
      </c>
      <c r="F331" s="45" t="n">
        <f aca="false">IFERROR(D331*E331,0)</f>
        <v>677.17</v>
      </c>
      <c r="G331" s="42" t="s">
        <v>99</v>
      </c>
      <c r="H331" s="42" t="s">
        <v>88</v>
      </c>
    </row>
    <row r="332" customFormat="false" ht="14.25" hidden="false" customHeight="true" outlineLevel="0" collapsed="false">
      <c r="A332" s="16" t="s">
        <v>34</v>
      </c>
      <c r="B332" s="42" t="s">
        <v>155</v>
      </c>
      <c r="C332" s="42" t="s">
        <v>166</v>
      </c>
      <c r="D332" s="43" t="n">
        <v>13</v>
      </c>
      <c r="E332" s="44" t="n">
        <v>32.55</v>
      </c>
      <c r="F332" s="45" t="n">
        <f aca="false">IFERROR(D332*E332,0)</f>
        <v>423.15</v>
      </c>
      <c r="G332" s="42" t="s">
        <v>99</v>
      </c>
      <c r="H332" s="42" t="s">
        <v>88</v>
      </c>
    </row>
    <row r="333" customFormat="false" ht="14.25" hidden="false" customHeight="true" outlineLevel="0" collapsed="false">
      <c r="A333" s="16" t="s">
        <v>34</v>
      </c>
      <c r="B333" s="42" t="s">
        <v>155</v>
      </c>
      <c r="C333" s="42" t="s">
        <v>167</v>
      </c>
      <c r="D333" s="43" t="n">
        <v>13</v>
      </c>
      <c r="E333" s="44" t="n">
        <v>52.35</v>
      </c>
      <c r="F333" s="45" t="n">
        <f aca="false">IFERROR(D333*E333,0)</f>
        <v>680.55</v>
      </c>
      <c r="G333" s="42" t="s">
        <v>99</v>
      </c>
      <c r="H333" s="42" t="s">
        <v>88</v>
      </c>
    </row>
    <row r="334" customFormat="false" ht="14.25" hidden="false" customHeight="true" outlineLevel="0" collapsed="false">
      <c r="A334" s="16" t="s">
        <v>34</v>
      </c>
      <c r="B334" s="42" t="s">
        <v>155</v>
      </c>
      <c r="C334" s="42" t="s">
        <v>168</v>
      </c>
      <c r="D334" s="43" t="n">
        <v>13</v>
      </c>
      <c r="E334" s="44" t="n">
        <v>124.491481481482</v>
      </c>
      <c r="F334" s="45" t="n">
        <f aca="false">IFERROR(D334*E334,0)</f>
        <v>1618.38925925927</v>
      </c>
      <c r="G334" s="42" t="str">
        <f aca="false">INDEX(SETORES!$B:$B,MATCH(A334,SETORES!$A:$A,0))</f>
        <v>Clientes</v>
      </c>
      <c r="H334" s="42" t="s">
        <v>88</v>
      </c>
    </row>
    <row r="335" customFormat="false" ht="14.25" hidden="false" customHeight="true" outlineLevel="0" collapsed="false">
      <c r="A335" s="16" t="s">
        <v>34</v>
      </c>
      <c r="B335" s="42" t="s">
        <v>157</v>
      </c>
      <c r="C335" s="42" t="s">
        <v>174</v>
      </c>
      <c r="D335" s="43"/>
      <c r="E335" s="44"/>
      <c r="F335" s="45" t="n">
        <f aca="false">IFERROR(D335*E335,0)</f>
        <v>0</v>
      </c>
      <c r="G335" s="42" t="str">
        <f aca="false">INDEX(SETORES!$B:$B,MATCH(A335,SETORES!$A:$A,0))</f>
        <v>Clientes</v>
      </c>
      <c r="H335" s="42" t="s">
        <v>88</v>
      </c>
    </row>
    <row r="336" customFormat="false" ht="14.25" hidden="false" customHeight="true" outlineLevel="0" collapsed="false">
      <c r="A336" s="16" t="s">
        <v>34</v>
      </c>
      <c r="B336" s="42" t="s">
        <v>157</v>
      </c>
      <c r="C336" s="42" t="s">
        <v>175</v>
      </c>
      <c r="D336" s="43" t="n">
        <v>1</v>
      </c>
      <c r="E336" s="44" t="n">
        <v>180</v>
      </c>
      <c r="F336" s="45" t="n">
        <f aca="false">IFERROR(D336*E336,0)</f>
        <v>180</v>
      </c>
      <c r="G336" s="42" t="str">
        <f aca="false">INDEX(SETORES!$B:$B,MATCH(A336,SETORES!$A:$A,0))</f>
        <v>Clientes</v>
      </c>
      <c r="H336" s="42" t="s">
        <v>88</v>
      </c>
    </row>
    <row r="337" customFormat="false" ht="14.25" hidden="false" customHeight="true" outlineLevel="0" collapsed="false">
      <c r="A337" s="16" t="s">
        <v>34</v>
      </c>
      <c r="B337" s="42" t="s">
        <v>157</v>
      </c>
      <c r="C337" s="42" t="s">
        <v>176</v>
      </c>
      <c r="D337" s="43"/>
      <c r="E337" s="44"/>
      <c r="F337" s="45" t="n">
        <f aca="false">IFERROR(D337*E337,0)</f>
        <v>0</v>
      </c>
      <c r="G337" s="42" t="str">
        <f aca="false">INDEX(SETORES!$B:$B,MATCH(A337,SETORES!$A:$A,0))</f>
        <v>Clientes</v>
      </c>
      <c r="H337" s="42" t="s">
        <v>88</v>
      </c>
    </row>
    <row r="338" customFormat="false" ht="14.25" hidden="false" customHeight="true" outlineLevel="0" collapsed="false">
      <c r="A338" s="16" t="s">
        <v>34</v>
      </c>
      <c r="B338" s="42" t="s">
        <v>155</v>
      </c>
      <c r="C338" s="42" t="s">
        <v>169</v>
      </c>
      <c r="D338" s="43" t="n">
        <v>1</v>
      </c>
      <c r="E338" s="44" t="n">
        <v>48833.85</v>
      </c>
      <c r="F338" s="45" t="n">
        <f aca="false">IFERROR(D338*E338,0)</f>
        <v>48833.85</v>
      </c>
      <c r="G338" s="42" t="str">
        <f aca="false">INDEX(SETORES!$B:$B,MATCH(A338,SETORES!$A:$A,0))</f>
        <v>Clientes</v>
      </c>
      <c r="H338" s="42" t="s">
        <v>88</v>
      </c>
    </row>
    <row r="339" customFormat="false" ht="14.25" hidden="false" customHeight="true" outlineLevel="0" collapsed="false">
      <c r="A339" s="16" t="s">
        <v>34</v>
      </c>
      <c r="B339" s="42" t="s">
        <v>155</v>
      </c>
      <c r="C339" s="42" t="s">
        <v>170</v>
      </c>
      <c r="D339" s="43"/>
      <c r="E339" s="44"/>
      <c r="F339" s="45" t="n">
        <f aca="false">IFERROR(D339*E339,0)</f>
        <v>0</v>
      </c>
      <c r="G339" s="42" t="str">
        <f aca="false">INDEX(SETORES!$B:$B,MATCH(A339,SETORES!$A:$A,0))</f>
        <v>Clientes</v>
      </c>
      <c r="H339" s="42" t="s">
        <v>88</v>
      </c>
    </row>
    <row r="340" customFormat="false" ht="14.25" hidden="false" customHeight="true" outlineLevel="0" collapsed="false">
      <c r="A340" s="16" t="s">
        <v>34</v>
      </c>
      <c r="B340" s="42" t="s">
        <v>155</v>
      </c>
      <c r="C340" s="42" t="s">
        <v>183</v>
      </c>
      <c r="D340" s="43" t="n">
        <v>13</v>
      </c>
      <c r="E340" s="44" t="n">
        <v>7.57575757575758</v>
      </c>
      <c r="F340" s="45" t="n">
        <f aca="false">IFERROR(D340*E340,0)</f>
        <v>98.4848484848485</v>
      </c>
      <c r="G340" s="42" t="str">
        <f aca="false">INDEX(SETORES!$B:$B,MATCH(A340,SETORES!$A:$A,0))</f>
        <v>Clientes</v>
      </c>
      <c r="H340" s="42" t="s">
        <v>88</v>
      </c>
    </row>
    <row r="341" customFormat="false" ht="14.25" hidden="false" customHeight="true" outlineLevel="0" collapsed="false">
      <c r="A341" s="16" t="s">
        <v>34</v>
      </c>
      <c r="B341" s="42" t="s">
        <v>155</v>
      </c>
      <c r="C341" s="42" t="s">
        <v>171</v>
      </c>
      <c r="D341" s="43" t="n">
        <v>13</v>
      </c>
      <c r="E341" s="44" t="n">
        <v>8.817255</v>
      </c>
      <c r="F341" s="45" t="n">
        <f aca="false">IFERROR(D341*E341,0)</f>
        <v>114.624315</v>
      </c>
      <c r="G341" s="42" t="str">
        <f aca="false">INDEX(SETORES!$B:$B,MATCH(A341,SETORES!$A:$A,0))</f>
        <v>Clientes</v>
      </c>
      <c r="H341" s="42" t="s">
        <v>88</v>
      </c>
    </row>
    <row r="342" customFormat="false" ht="14.25" hidden="false" customHeight="true" outlineLevel="0" collapsed="false">
      <c r="A342" s="16" t="s">
        <v>34</v>
      </c>
      <c r="B342" s="42" t="s">
        <v>155</v>
      </c>
      <c r="C342" s="42" t="s">
        <v>172</v>
      </c>
      <c r="D342" s="43" t="n">
        <v>13</v>
      </c>
      <c r="E342" s="44" t="n">
        <v>50</v>
      </c>
      <c r="F342" s="45" t="n">
        <f aca="false">IFERROR(D342*E342,0)</f>
        <v>650</v>
      </c>
      <c r="G342" s="42" t="str">
        <f aca="false">INDEX(SETORES!$B:$B,MATCH(A342,SETORES!$A:$A,0))</f>
        <v>Clientes</v>
      </c>
      <c r="H342" s="42" t="s">
        <v>88</v>
      </c>
    </row>
    <row r="343" customFormat="false" ht="14.25" hidden="false" customHeight="true" outlineLevel="0" collapsed="false">
      <c r="A343" s="16" t="s">
        <v>34</v>
      </c>
      <c r="B343" s="42" t="s">
        <v>155</v>
      </c>
      <c r="C343" s="42" t="s">
        <v>177</v>
      </c>
      <c r="D343" s="43" t="n">
        <v>1</v>
      </c>
      <c r="E343" s="44" t="n">
        <v>840.67</v>
      </c>
      <c r="F343" s="45" t="n">
        <f aca="false">IFERROR(D343*E343,0)</f>
        <v>840.67</v>
      </c>
      <c r="G343" s="42" t="str">
        <f aca="false">INDEX(SETORES!$B:$B,MATCH(A343,SETORES!$A:$A,0))</f>
        <v>Clientes</v>
      </c>
      <c r="H343" s="42" t="s">
        <v>88</v>
      </c>
    </row>
    <row r="344" customFormat="false" ht="14.25" hidden="false" customHeight="true" outlineLevel="0" collapsed="false">
      <c r="A344" s="16" t="s">
        <v>34</v>
      </c>
      <c r="B344" s="42" t="s">
        <v>155</v>
      </c>
      <c r="C344" s="42" t="s">
        <v>178</v>
      </c>
      <c r="D344" s="43" t="n">
        <v>1</v>
      </c>
      <c r="E344" s="44" t="n">
        <v>882.22</v>
      </c>
      <c r="F344" s="45" t="n">
        <f aca="false">IFERROR(D344*E344,0)</f>
        <v>882.22</v>
      </c>
      <c r="G344" s="42" t="str">
        <f aca="false">INDEX(SETORES!$B:$B,MATCH(A344,SETORES!$A:$A,0))</f>
        <v>Clientes</v>
      </c>
      <c r="H344" s="42" t="s">
        <v>88</v>
      </c>
    </row>
    <row r="345" customFormat="false" ht="14.25" hidden="false" customHeight="true" outlineLevel="0" collapsed="false">
      <c r="A345" s="16" t="s">
        <v>34</v>
      </c>
      <c r="B345" s="42" t="s">
        <v>157</v>
      </c>
      <c r="C345" s="42" t="s">
        <v>158</v>
      </c>
      <c r="D345" s="43"/>
      <c r="E345" s="44"/>
      <c r="F345" s="45" t="n">
        <f aca="false">IFERROR(D345*E345,0)</f>
        <v>0</v>
      </c>
      <c r="G345" s="42" t="str">
        <f aca="false">INDEX(SETORES!$B:$B,MATCH(A345,SETORES!$A:$A,0))</f>
        <v>Clientes</v>
      </c>
      <c r="H345" s="42" t="s">
        <v>88</v>
      </c>
    </row>
    <row r="346" customFormat="false" ht="14.25" hidden="false" customHeight="true" outlineLevel="0" collapsed="false">
      <c r="A346" s="16" t="s">
        <v>34</v>
      </c>
      <c r="B346" s="42" t="s">
        <v>155</v>
      </c>
      <c r="C346" s="42" t="s">
        <v>173</v>
      </c>
      <c r="D346" s="43" t="n">
        <v>13</v>
      </c>
      <c r="E346" s="44" t="n">
        <v>1.87</v>
      </c>
      <c r="F346" s="45" t="n">
        <f aca="false">IFERROR(D346*E346,0)</f>
        <v>24.31</v>
      </c>
      <c r="G346" s="42" t="str">
        <f aca="false">INDEX(SETORES!$B:$B,MATCH(A346,SETORES!$A:$A,0))</f>
        <v>Clientes</v>
      </c>
      <c r="H346" s="42" t="s">
        <v>88</v>
      </c>
    </row>
    <row r="347" customFormat="false" ht="14.25" hidden="false" customHeight="true" outlineLevel="0" collapsed="false">
      <c r="A347" s="16" t="s">
        <v>34</v>
      </c>
      <c r="B347" s="42" t="s">
        <v>155</v>
      </c>
      <c r="C347" s="42" t="s">
        <v>179</v>
      </c>
      <c r="D347" s="43"/>
      <c r="E347" s="44"/>
      <c r="F347" s="45" t="n">
        <f aca="false">IFERROR(D347*E347,0)</f>
        <v>0</v>
      </c>
      <c r="G347" s="42" t="str">
        <f aca="false">INDEX(SETORES!$B:$B,MATCH(A347,SETORES!$A:$A,0))</f>
        <v>Clientes</v>
      </c>
      <c r="H347" s="42" t="s">
        <v>88</v>
      </c>
    </row>
    <row r="348" customFormat="false" ht="14.25" hidden="false" customHeight="true" outlineLevel="0" collapsed="false">
      <c r="A348" s="16" t="s">
        <v>83</v>
      </c>
      <c r="B348" s="42" t="s">
        <v>155</v>
      </c>
      <c r="C348" s="42" t="s">
        <v>163</v>
      </c>
      <c r="D348" s="43" t="n">
        <v>2</v>
      </c>
      <c r="E348" s="44" t="n">
        <v>30</v>
      </c>
      <c r="F348" s="45" t="n">
        <f aca="false">IFERROR(D348*E348,0)</f>
        <v>60</v>
      </c>
      <c r="G348" s="42" t="str">
        <f aca="false">INDEX(SETORES!$B:$B,MATCH(A348,SETORES!$A:$A,0))</f>
        <v>Clientes</v>
      </c>
      <c r="H348" s="42" t="s">
        <v>88</v>
      </c>
    </row>
    <row r="349" customFormat="false" ht="14.25" hidden="false" customHeight="true" outlineLevel="0" collapsed="false">
      <c r="A349" s="16" t="s">
        <v>83</v>
      </c>
      <c r="B349" s="42" t="s">
        <v>157</v>
      </c>
      <c r="C349" s="42" t="s">
        <v>199</v>
      </c>
      <c r="D349" s="43" t="n">
        <v>1</v>
      </c>
      <c r="E349" s="44" t="n">
        <v>1280.1</v>
      </c>
      <c r="F349" s="45" t="n">
        <f aca="false">IFERROR(D349*E349,0)</f>
        <v>1280.1</v>
      </c>
      <c r="G349" s="42" t="str">
        <f aca="false">INDEX(SETORES!$B:$B,MATCH(A349,SETORES!$A:$A,0))</f>
        <v>Clientes</v>
      </c>
      <c r="H349" s="42" t="s">
        <v>88</v>
      </c>
    </row>
    <row r="350" customFormat="false" ht="14.25" hidden="false" customHeight="true" outlineLevel="0" collapsed="false">
      <c r="A350" s="16" t="s">
        <v>83</v>
      </c>
      <c r="B350" s="42" t="s">
        <v>155</v>
      </c>
      <c r="C350" s="42" t="s">
        <v>218</v>
      </c>
      <c r="D350" s="43" t="n">
        <v>1</v>
      </c>
      <c r="E350" s="44" t="n">
        <v>7500</v>
      </c>
      <c r="F350" s="45" t="n">
        <f aca="false">IFERROR(D350*E350,0)</f>
        <v>7500</v>
      </c>
      <c r="G350" s="42" t="str">
        <f aca="false">INDEX(SETORES!$B:$B,MATCH(A350,SETORES!$A:$A,0))</f>
        <v>Clientes</v>
      </c>
      <c r="H350" s="42" t="s">
        <v>88</v>
      </c>
    </row>
    <row r="351" customFormat="false" ht="14.25" hidden="false" customHeight="true" outlineLevel="0" collapsed="false">
      <c r="A351" s="16" t="s">
        <v>83</v>
      </c>
      <c r="B351" s="42" t="s">
        <v>155</v>
      </c>
      <c r="C351" s="42" t="s">
        <v>165</v>
      </c>
      <c r="D351" s="43" t="n">
        <v>2</v>
      </c>
      <c r="E351" s="44" t="n">
        <v>52.09</v>
      </c>
      <c r="F351" s="45" t="n">
        <f aca="false">IFERROR(D351*E351,0)</f>
        <v>104.18</v>
      </c>
      <c r="G351" s="42" t="s">
        <v>99</v>
      </c>
      <c r="H351" s="42" t="s">
        <v>88</v>
      </c>
    </row>
    <row r="352" customFormat="false" ht="14.25" hidden="false" customHeight="true" outlineLevel="0" collapsed="false">
      <c r="A352" s="16" t="s">
        <v>83</v>
      </c>
      <c r="B352" s="42" t="s">
        <v>155</v>
      </c>
      <c r="C352" s="42" t="s">
        <v>166</v>
      </c>
      <c r="D352" s="43" t="n">
        <v>2</v>
      </c>
      <c r="E352" s="44" t="n">
        <v>32.55</v>
      </c>
      <c r="F352" s="45" t="n">
        <f aca="false">IFERROR(D352*E352,0)</f>
        <v>65.1</v>
      </c>
      <c r="G352" s="42" t="s">
        <v>99</v>
      </c>
      <c r="H352" s="42" t="s">
        <v>88</v>
      </c>
    </row>
    <row r="353" customFormat="false" ht="14.25" hidden="false" customHeight="true" outlineLevel="0" collapsed="false">
      <c r="A353" s="16" t="s">
        <v>83</v>
      </c>
      <c r="B353" s="42" t="s">
        <v>155</v>
      </c>
      <c r="C353" s="42" t="s">
        <v>167</v>
      </c>
      <c r="D353" s="43" t="n">
        <v>2</v>
      </c>
      <c r="E353" s="44" t="n">
        <v>52.35</v>
      </c>
      <c r="F353" s="45" t="n">
        <f aca="false">IFERROR(D353*E353,0)</f>
        <v>104.7</v>
      </c>
      <c r="G353" s="42" t="s">
        <v>99</v>
      </c>
      <c r="H353" s="42" t="s">
        <v>88</v>
      </c>
    </row>
    <row r="354" customFormat="false" ht="14.25" hidden="false" customHeight="true" outlineLevel="0" collapsed="false">
      <c r="A354" s="16" t="s">
        <v>83</v>
      </c>
      <c r="B354" s="42" t="s">
        <v>155</v>
      </c>
      <c r="C354" s="42" t="s">
        <v>169</v>
      </c>
      <c r="D354" s="43" t="n">
        <v>1</v>
      </c>
      <c r="E354" s="44" t="n">
        <v>7846.31</v>
      </c>
      <c r="F354" s="45" t="n">
        <f aca="false">IFERROR(D354*E354,0)</f>
        <v>7846.31</v>
      </c>
      <c r="G354" s="42" t="str">
        <f aca="false">INDEX(SETORES!$B:$B,MATCH(A354,SETORES!$A:$A,0))</f>
        <v>Clientes</v>
      </c>
      <c r="H354" s="42" t="s">
        <v>88</v>
      </c>
    </row>
    <row r="355" customFormat="false" ht="14.25" hidden="false" customHeight="true" outlineLevel="0" collapsed="false">
      <c r="A355" s="16" t="s">
        <v>83</v>
      </c>
      <c r="B355" s="42" t="s">
        <v>155</v>
      </c>
      <c r="C355" s="42" t="s">
        <v>170</v>
      </c>
      <c r="D355" s="43"/>
      <c r="E355" s="44"/>
      <c r="F355" s="45" t="n">
        <f aca="false">IFERROR(D355*E355,0)</f>
        <v>0</v>
      </c>
      <c r="G355" s="42" t="str">
        <f aca="false">INDEX(SETORES!$B:$B,MATCH(A355,SETORES!$A:$A,0))</f>
        <v>Clientes</v>
      </c>
      <c r="H355" s="42" t="s">
        <v>88</v>
      </c>
    </row>
    <row r="356" customFormat="false" ht="14.25" hidden="false" customHeight="true" outlineLevel="0" collapsed="false">
      <c r="A356" s="16" t="s">
        <v>83</v>
      </c>
      <c r="B356" s="42" t="s">
        <v>155</v>
      </c>
      <c r="C356" s="42" t="s">
        <v>183</v>
      </c>
      <c r="D356" s="43"/>
      <c r="E356" s="44"/>
      <c r="F356" s="45" t="n">
        <f aca="false">IFERROR(D356*E356,0)</f>
        <v>0</v>
      </c>
      <c r="G356" s="42" t="str">
        <f aca="false">INDEX(SETORES!$B:$B,MATCH(A356,SETORES!$A:$A,0))</f>
        <v>Clientes</v>
      </c>
      <c r="H356" s="42" t="s">
        <v>88</v>
      </c>
    </row>
    <row r="357" customFormat="false" ht="14.25" hidden="false" customHeight="true" outlineLevel="0" collapsed="false">
      <c r="A357" s="16" t="s">
        <v>83</v>
      </c>
      <c r="B357" s="42" t="s">
        <v>155</v>
      </c>
      <c r="C357" s="42" t="s">
        <v>172</v>
      </c>
      <c r="D357" s="43" t="n">
        <v>3</v>
      </c>
      <c r="E357" s="44" t="n">
        <v>50</v>
      </c>
      <c r="F357" s="45" t="n">
        <f aca="false">IFERROR(D357*E357,0)</f>
        <v>150</v>
      </c>
      <c r="G357" s="42" t="str">
        <f aca="false">INDEX(SETORES!$B:$B,MATCH(A357,SETORES!$A:$A,0))</f>
        <v>Clientes</v>
      </c>
      <c r="H357" s="42" t="s">
        <v>88</v>
      </c>
    </row>
    <row r="358" customFormat="false" ht="14.25" hidden="false" customHeight="true" outlineLevel="0" collapsed="false">
      <c r="A358" s="16" t="s">
        <v>83</v>
      </c>
      <c r="B358" s="42" t="s">
        <v>155</v>
      </c>
      <c r="C358" s="42" t="s">
        <v>178</v>
      </c>
      <c r="D358" s="43" t="n">
        <v>1</v>
      </c>
      <c r="E358" s="44" t="n">
        <v>150.42</v>
      </c>
      <c r="F358" s="45" t="n">
        <f aca="false">IFERROR(D358*E358,0)</f>
        <v>150.42</v>
      </c>
      <c r="G358" s="42" t="str">
        <f aca="false">INDEX(SETORES!$B:$B,MATCH(A358,SETORES!$A:$A,0))</f>
        <v>Clientes</v>
      </c>
      <c r="H358" s="42" t="s">
        <v>88</v>
      </c>
    </row>
    <row r="359" customFormat="false" ht="14.25" hidden="false" customHeight="true" outlineLevel="0" collapsed="false">
      <c r="A359" s="16" t="s">
        <v>83</v>
      </c>
      <c r="B359" s="42" t="s">
        <v>157</v>
      </c>
      <c r="C359" s="42" t="s">
        <v>158</v>
      </c>
      <c r="D359" s="43"/>
      <c r="E359" s="44"/>
      <c r="F359" s="45" t="n">
        <f aca="false">IFERROR(D359*E359,0)</f>
        <v>0</v>
      </c>
      <c r="G359" s="42" t="str">
        <f aca="false">INDEX(SETORES!$B:$B,MATCH(A359,SETORES!$A:$A,0))</f>
        <v>Clientes</v>
      </c>
      <c r="H359" s="42" t="s">
        <v>88</v>
      </c>
    </row>
    <row r="360" customFormat="false" ht="14.25" hidden="false" customHeight="true" outlineLevel="0" collapsed="false">
      <c r="A360" s="16" t="s">
        <v>83</v>
      </c>
      <c r="B360" s="42" t="s">
        <v>155</v>
      </c>
      <c r="C360" s="42" t="s">
        <v>173</v>
      </c>
      <c r="D360" s="43" t="n">
        <v>2</v>
      </c>
      <c r="E360" s="44" t="n">
        <v>1.87</v>
      </c>
      <c r="F360" s="45" t="n">
        <f aca="false">IFERROR(D360*E360,0)</f>
        <v>3.74</v>
      </c>
      <c r="G360" s="42" t="str">
        <f aca="false">INDEX(SETORES!$B:$B,MATCH(A360,SETORES!$A:$A,0))</f>
        <v>Clientes</v>
      </c>
      <c r="H360" s="42" t="s">
        <v>88</v>
      </c>
    </row>
    <row r="361" customFormat="false" ht="14.25" hidden="false" customHeight="true" outlineLevel="0" collapsed="false">
      <c r="A361" s="16" t="s">
        <v>84</v>
      </c>
      <c r="B361" s="42" t="s">
        <v>157</v>
      </c>
      <c r="C361" s="42" t="s">
        <v>199</v>
      </c>
      <c r="D361" s="43" t="n">
        <v>1</v>
      </c>
      <c r="E361" s="44" t="n">
        <v>12181.5</v>
      </c>
      <c r="F361" s="45" t="n">
        <f aca="false">IFERROR(D361*E361,0)</f>
        <v>12181.5</v>
      </c>
      <c r="G361" s="42" t="str">
        <f aca="false">INDEX(SETORES!$B:$B,MATCH(A361,SETORES!$A:$A,0))</f>
        <v>Clientes</v>
      </c>
      <c r="H361" s="42" t="s">
        <v>88</v>
      </c>
    </row>
    <row r="362" customFormat="false" ht="14.25" hidden="false" customHeight="true" outlineLevel="0" collapsed="false">
      <c r="A362" s="16" t="s">
        <v>84</v>
      </c>
      <c r="B362" s="42" t="s">
        <v>155</v>
      </c>
      <c r="C362" s="42" t="s">
        <v>205</v>
      </c>
      <c r="D362" s="43" t="n">
        <v>1</v>
      </c>
      <c r="E362" s="44" t="n">
        <v>4198.71</v>
      </c>
      <c r="F362" s="45" t="n">
        <f aca="false">IFERROR(D362*E362,0)</f>
        <v>4198.71</v>
      </c>
      <c r="G362" s="42" t="str">
        <f aca="false">INDEX(SETORES!$B:$B,MATCH(A362,SETORES!$A:$A,0))</f>
        <v>Clientes</v>
      </c>
      <c r="H362" s="42" t="s">
        <v>88</v>
      </c>
    </row>
    <row r="363" customFormat="false" ht="14.25" hidden="false" customHeight="true" outlineLevel="0" collapsed="false">
      <c r="A363" s="16" t="s">
        <v>84</v>
      </c>
      <c r="B363" s="42" t="s">
        <v>155</v>
      </c>
      <c r="C363" s="42" t="s">
        <v>165</v>
      </c>
      <c r="D363" s="43" t="n">
        <v>24</v>
      </c>
      <c r="E363" s="44" t="n">
        <v>52.09</v>
      </c>
      <c r="F363" s="45" t="n">
        <f aca="false">IFERROR(D363*E363,0)</f>
        <v>1250.16</v>
      </c>
      <c r="G363" s="42" t="s">
        <v>99</v>
      </c>
      <c r="H363" s="42" t="s">
        <v>88</v>
      </c>
    </row>
    <row r="364" customFormat="false" ht="14.25" hidden="false" customHeight="true" outlineLevel="0" collapsed="false">
      <c r="A364" s="16" t="s">
        <v>84</v>
      </c>
      <c r="B364" s="42" t="s">
        <v>155</v>
      </c>
      <c r="C364" s="42" t="s">
        <v>166</v>
      </c>
      <c r="D364" s="43" t="n">
        <v>24</v>
      </c>
      <c r="E364" s="44" t="n">
        <v>32.55</v>
      </c>
      <c r="F364" s="45" t="n">
        <f aca="false">IFERROR(D364*E364,0)</f>
        <v>781.2</v>
      </c>
      <c r="G364" s="42" t="s">
        <v>99</v>
      </c>
      <c r="H364" s="42" t="s">
        <v>88</v>
      </c>
    </row>
    <row r="365" customFormat="false" ht="14.25" hidden="false" customHeight="true" outlineLevel="0" collapsed="false">
      <c r="A365" s="16" t="s">
        <v>84</v>
      </c>
      <c r="B365" s="42" t="s">
        <v>155</v>
      </c>
      <c r="C365" s="42" t="s">
        <v>167</v>
      </c>
      <c r="D365" s="43" t="n">
        <v>24</v>
      </c>
      <c r="E365" s="44" t="n">
        <v>52.35</v>
      </c>
      <c r="F365" s="45" t="n">
        <f aca="false">IFERROR(D365*E365,0)</f>
        <v>1256.4</v>
      </c>
      <c r="G365" s="42" t="s">
        <v>99</v>
      </c>
      <c r="H365" s="42" t="s">
        <v>88</v>
      </c>
    </row>
    <row r="366" customFormat="false" ht="14.25" hidden="false" customHeight="true" outlineLevel="0" collapsed="false">
      <c r="A366" s="16" t="s">
        <v>84</v>
      </c>
      <c r="B366" s="42" t="s">
        <v>157</v>
      </c>
      <c r="C366" s="42" t="s">
        <v>217</v>
      </c>
      <c r="D366" s="43"/>
      <c r="E366" s="44"/>
      <c r="F366" s="45" t="n">
        <f aca="false">IFERROR(D366*E366,0)</f>
        <v>0</v>
      </c>
      <c r="G366" s="42" t="str">
        <f aca="false">INDEX(SETORES!$B:$B,MATCH(A366,SETORES!$A:$A,0))</f>
        <v>Clientes</v>
      </c>
      <c r="H366" s="42" t="s">
        <v>88</v>
      </c>
    </row>
    <row r="367" customFormat="false" ht="14.25" hidden="false" customHeight="true" outlineLevel="0" collapsed="false">
      <c r="A367" s="16" t="s">
        <v>84</v>
      </c>
      <c r="B367" s="42" t="s">
        <v>155</v>
      </c>
      <c r="C367" s="42" t="s">
        <v>169</v>
      </c>
      <c r="D367" s="43" t="n">
        <v>1</v>
      </c>
      <c r="E367" s="44" t="n">
        <v>184970.83</v>
      </c>
      <c r="F367" s="45" t="n">
        <f aca="false">IFERROR(D367*E367,0)</f>
        <v>184970.83</v>
      </c>
      <c r="G367" s="42" t="str">
        <f aca="false">INDEX(SETORES!$B:$B,MATCH(A367,SETORES!$A:$A,0))</f>
        <v>Clientes</v>
      </c>
      <c r="H367" s="42" t="s">
        <v>88</v>
      </c>
    </row>
    <row r="368" customFormat="false" ht="14.25" hidden="false" customHeight="true" outlineLevel="0" collapsed="false">
      <c r="A368" s="16" t="s">
        <v>84</v>
      </c>
      <c r="B368" s="42" t="s">
        <v>155</v>
      </c>
      <c r="C368" s="42" t="s">
        <v>170</v>
      </c>
      <c r="D368" s="43"/>
      <c r="E368" s="44"/>
      <c r="F368" s="45" t="n">
        <f aca="false">IFERROR(D368*E368,0)</f>
        <v>0</v>
      </c>
      <c r="G368" s="42" t="str">
        <f aca="false">INDEX(SETORES!$B:$B,MATCH(A368,SETORES!$A:$A,0))</f>
        <v>Clientes</v>
      </c>
      <c r="H368" s="42" t="s">
        <v>88</v>
      </c>
    </row>
    <row r="369" customFormat="false" ht="14.25" hidden="false" customHeight="true" outlineLevel="0" collapsed="false">
      <c r="A369" s="16" t="s">
        <v>84</v>
      </c>
      <c r="B369" s="42" t="s">
        <v>155</v>
      </c>
      <c r="C369" s="42" t="s">
        <v>172</v>
      </c>
      <c r="D369" s="43" t="n">
        <v>2</v>
      </c>
      <c r="E369" s="44" t="n">
        <v>50</v>
      </c>
      <c r="F369" s="45" t="n">
        <f aca="false">IFERROR(D369*E369,0)</f>
        <v>100</v>
      </c>
      <c r="G369" s="42" t="str">
        <f aca="false">INDEX(SETORES!$B:$B,MATCH(A369,SETORES!$A:$A,0))</f>
        <v>Clientes</v>
      </c>
      <c r="H369" s="42" t="s">
        <v>88</v>
      </c>
    </row>
    <row r="370" customFormat="false" ht="14.25" hidden="false" customHeight="true" outlineLevel="0" collapsed="false">
      <c r="A370" s="16" t="s">
        <v>84</v>
      </c>
      <c r="B370" s="42" t="s">
        <v>155</v>
      </c>
      <c r="C370" s="42" t="s">
        <v>173</v>
      </c>
      <c r="D370" s="43" t="n">
        <v>24</v>
      </c>
      <c r="E370" s="44" t="n">
        <v>1.87</v>
      </c>
      <c r="F370" s="45" t="n">
        <f aca="false">IFERROR(D370*E370,0)</f>
        <v>44.88</v>
      </c>
      <c r="G370" s="42" t="str">
        <f aca="false">INDEX(SETORES!$B:$B,MATCH(A370,SETORES!$A:$A,0))</f>
        <v>Clientes</v>
      </c>
      <c r="H370" s="42" t="s">
        <v>88</v>
      </c>
    </row>
    <row r="371" customFormat="false" ht="14.25" hidden="false" customHeight="true" outlineLevel="0" collapsed="false">
      <c r="A371" s="16" t="s">
        <v>48</v>
      </c>
      <c r="B371" s="42" t="s">
        <v>155</v>
      </c>
      <c r="C371" s="42" t="s">
        <v>162</v>
      </c>
      <c r="D371" s="43" t="n">
        <v>16</v>
      </c>
      <c r="E371" s="44" t="n">
        <v>7.4127</v>
      </c>
      <c r="F371" s="45" t="n">
        <f aca="false">IFERROR(D371*E371,0)</f>
        <v>118.6032</v>
      </c>
      <c r="G371" s="42" t="str">
        <f aca="false">INDEX(SETORES!$B:$B,MATCH(A371,SETORES!$A:$A,0))</f>
        <v>Clientes</v>
      </c>
      <c r="H371" s="42" t="s">
        <v>88</v>
      </c>
    </row>
    <row r="372" customFormat="false" ht="14.25" hidden="false" customHeight="true" outlineLevel="0" collapsed="false">
      <c r="A372" s="16" t="s">
        <v>48</v>
      </c>
      <c r="B372" s="42" t="s">
        <v>155</v>
      </c>
      <c r="C372" s="42" t="s">
        <v>163</v>
      </c>
      <c r="D372" s="43" t="n">
        <v>7</v>
      </c>
      <c r="E372" s="44" t="n">
        <v>30</v>
      </c>
      <c r="F372" s="45" t="n">
        <f aca="false">IFERROR(D372*E372,0)</f>
        <v>210</v>
      </c>
      <c r="G372" s="42" t="str">
        <f aca="false">INDEX(SETORES!$B:$B,MATCH(A372,SETORES!$A:$A,0))</f>
        <v>Clientes</v>
      </c>
      <c r="H372" s="42" t="s">
        <v>88</v>
      </c>
    </row>
    <row r="373" customFormat="false" ht="14.25" hidden="false" customHeight="true" outlineLevel="0" collapsed="false">
      <c r="A373" s="16" t="s">
        <v>48</v>
      </c>
      <c r="B373" s="42" t="s">
        <v>157</v>
      </c>
      <c r="C373" s="42" t="s">
        <v>199</v>
      </c>
      <c r="D373" s="43" t="n">
        <v>1</v>
      </c>
      <c r="E373" s="44" t="n">
        <v>39191.62</v>
      </c>
      <c r="F373" s="45" t="n">
        <f aca="false">IFERROR(D373*E373,0)</f>
        <v>39191.62</v>
      </c>
      <c r="G373" s="42" t="str">
        <f aca="false">INDEX(SETORES!$B:$B,MATCH(A373,SETORES!$A:$A,0))</f>
        <v>Clientes</v>
      </c>
      <c r="H373" s="42" t="s">
        <v>88</v>
      </c>
    </row>
    <row r="374" customFormat="false" ht="14.25" hidden="false" customHeight="true" outlineLevel="0" collapsed="false">
      <c r="A374" s="16" t="s">
        <v>48</v>
      </c>
      <c r="B374" s="42" t="s">
        <v>157</v>
      </c>
      <c r="C374" s="42" t="s">
        <v>219</v>
      </c>
      <c r="D374" s="43"/>
      <c r="E374" s="44"/>
      <c r="F374" s="45" t="n">
        <f aca="false">IFERROR(D374*E374,0)</f>
        <v>0</v>
      </c>
      <c r="G374" s="42" t="str">
        <f aca="false">INDEX(SETORES!$B:$B,MATCH(A374,SETORES!$A:$A,0))</f>
        <v>Clientes</v>
      </c>
      <c r="H374" s="42" t="s">
        <v>88</v>
      </c>
    </row>
    <row r="375" customFormat="false" ht="14.25" hidden="false" customHeight="true" outlineLevel="0" collapsed="false">
      <c r="A375" s="16" t="s">
        <v>48</v>
      </c>
      <c r="B375" s="42" t="s">
        <v>155</v>
      </c>
      <c r="C375" s="42" t="s">
        <v>220</v>
      </c>
      <c r="D375" s="43" t="n">
        <v>1</v>
      </c>
      <c r="E375" s="44" t="n">
        <v>11599.66</v>
      </c>
      <c r="F375" s="45" t="n">
        <f aca="false">IFERROR(D375*E375,0)</f>
        <v>11599.66</v>
      </c>
      <c r="G375" s="42" t="str">
        <f aca="false">INDEX(SETORES!$B:$B,MATCH(A375,SETORES!$A:$A,0))</f>
        <v>Clientes</v>
      </c>
      <c r="H375" s="42" t="s">
        <v>88</v>
      </c>
    </row>
    <row r="376" customFormat="false" ht="14.25" hidden="false" customHeight="true" outlineLevel="0" collapsed="false">
      <c r="A376" s="16" t="s">
        <v>48</v>
      </c>
      <c r="B376" s="42" t="s">
        <v>155</v>
      </c>
      <c r="C376" s="42" t="s">
        <v>165</v>
      </c>
      <c r="D376" s="43" t="n">
        <v>16</v>
      </c>
      <c r="E376" s="44" t="n">
        <v>52.09</v>
      </c>
      <c r="F376" s="45" t="n">
        <f aca="false">IFERROR(D376*E376,0)</f>
        <v>833.44</v>
      </c>
      <c r="G376" s="42" t="s">
        <v>99</v>
      </c>
      <c r="H376" s="42" t="s">
        <v>88</v>
      </c>
    </row>
    <row r="377" customFormat="false" ht="14.25" hidden="false" customHeight="true" outlineLevel="0" collapsed="false">
      <c r="A377" s="16" t="s">
        <v>48</v>
      </c>
      <c r="B377" s="42" t="s">
        <v>155</v>
      </c>
      <c r="C377" s="42" t="s">
        <v>166</v>
      </c>
      <c r="D377" s="43" t="n">
        <v>16</v>
      </c>
      <c r="E377" s="44" t="n">
        <v>32.55</v>
      </c>
      <c r="F377" s="45" t="n">
        <f aca="false">IFERROR(D377*E377,0)</f>
        <v>520.8</v>
      </c>
      <c r="G377" s="42" t="s">
        <v>99</v>
      </c>
      <c r="H377" s="42" t="s">
        <v>88</v>
      </c>
    </row>
    <row r="378" customFormat="false" ht="14.25" hidden="false" customHeight="true" outlineLevel="0" collapsed="false">
      <c r="A378" s="16" t="s">
        <v>48</v>
      </c>
      <c r="B378" s="42" t="s">
        <v>155</v>
      </c>
      <c r="C378" s="42" t="s">
        <v>167</v>
      </c>
      <c r="D378" s="43" t="n">
        <v>16</v>
      </c>
      <c r="E378" s="44" t="n">
        <v>52.35</v>
      </c>
      <c r="F378" s="45" t="n">
        <f aca="false">IFERROR(D378*E378,0)</f>
        <v>837.6</v>
      </c>
      <c r="G378" s="42" t="s">
        <v>99</v>
      </c>
      <c r="H378" s="42" t="s">
        <v>88</v>
      </c>
    </row>
    <row r="379" customFormat="false" ht="14.25" hidden="false" customHeight="true" outlineLevel="0" collapsed="false">
      <c r="A379" s="16" t="s">
        <v>48</v>
      </c>
      <c r="B379" s="42" t="s">
        <v>155</v>
      </c>
      <c r="C379" s="42" t="s">
        <v>168</v>
      </c>
      <c r="D379" s="43"/>
      <c r="E379" s="44"/>
      <c r="F379" s="45" t="n">
        <f aca="false">IFERROR(D379*E379,0)</f>
        <v>0</v>
      </c>
      <c r="G379" s="42" t="str">
        <f aca="false">INDEX(SETORES!$B:$B,MATCH(A379,SETORES!$A:$A,0))</f>
        <v>Clientes</v>
      </c>
      <c r="H379" s="42" t="s">
        <v>88</v>
      </c>
    </row>
    <row r="380" customFormat="false" ht="14.25" hidden="false" customHeight="true" outlineLevel="0" collapsed="false">
      <c r="A380" s="16" t="s">
        <v>48</v>
      </c>
      <c r="B380" s="42" t="s">
        <v>157</v>
      </c>
      <c r="C380" s="42" t="s">
        <v>217</v>
      </c>
      <c r="D380" s="43"/>
      <c r="E380" s="44"/>
      <c r="F380" s="45" t="n">
        <f aca="false">IFERROR(D380*E380,0)</f>
        <v>0</v>
      </c>
      <c r="G380" s="42" t="str">
        <f aca="false">INDEX(SETORES!$B:$B,MATCH(A380,SETORES!$A:$A,0))</f>
        <v>Clientes</v>
      </c>
      <c r="H380" s="42" t="s">
        <v>88</v>
      </c>
    </row>
    <row r="381" customFormat="false" ht="14.25" hidden="false" customHeight="true" outlineLevel="0" collapsed="false">
      <c r="A381" s="16" t="s">
        <v>48</v>
      </c>
      <c r="B381" s="42" t="s">
        <v>157</v>
      </c>
      <c r="C381" s="42" t="s">
        <v>174</v>
      </c>
      <c r="D381" s="43"/>
      <c r="E381" s="44"/>
      <c r="F381" s="45" t="n">
        <f aca="false">IFERROR(D381*E381,0)</f>
        <v>0</v>
      </c>
      <c r="G381" s="42" t="str">
        <f aca="false">INDEX(SETORES!$B:$B,MATCH(A381,SETORES!$A:$A,0))</f>
        <v>Clientes</v>
      </c>
      <c r="H381" s="42" t="s">
        <v>88</v>
      </c>
    </row>
    <row r="382" customFormat="false" ht="14.25" hidden="false" customHeight="true" outlineLevel="0" collapsed="false">
      <c r="A382" s="16" t="s">
        <v>48</v>
      </c>
      <c r="B382" s="42" t="s">
        <v>157</v>
      </c>
      <c r="C382" s="42" t="s">
        <v>175</v>
      </c>
      <c r="D382" s="43" t="n">
        <v>1</v>
      </c>
      <c r="E382" s="44" t="n">
        <v>90</v>
      </c>
      <c r="F382" s="45" t="n">
        <f aca="false">IFERROR(D382*E382,0)</f>
        <v>90</v>
      </c>
      <c r="G382" s="42" t="str">
        <f aca="false">INDEX(SETORES!$B:$B,MATCH(A382,SETORES!$A:$A,0))</f>
        <v>Clientes</v>
      </c>
      <c r="H382" s="42" t="s">
        <v>88</v>
      </c>
    </row>
    <row r="383" customFormat="false" ht="14.25" hidden="false" customHeight="true" outlineLevel="0" collapsed="false">
      <c r="A383" s="16" t="s">
        <v>48</v>
      </c>
      <c r="B383" s="42" t="s">
        <v>157</v>
      </c>
      <c r="C383" s="42" t="s">
        <v>176</v>
      </c>
      <c r="D383" s="43"/>
      <c r="E383" s="44"/>
      <c r="F383" s="45" t="n">
        <f aca="false">IFERROR(D383*E383,0)</f>
        <v>0</v>
      </c>
      <c r="G383" s="42" t="str">
        <f aca="false">INDEX(SETORES!$B:$B,MATCH(A383,SETORES!$A:$A,0))</f>
        <v>Clientes</v>
      </c>
      <c r="H383" s="42" t="s">
        <v>88</v>
      </c>
    </row>
    <row r="384" customFormat="false" ht="14.25" hidden="false" customHeight="true" outlineLevel="0" collapsed="false">
      <c r="A384" s="16" t="s">
        <v>48</v>
      </c>
      <c r="B384" s="42" t="s">
        <v>155</v>
      </c>
      <c r="C384" s="42" t="s">
        <v>169</v>
      </c>
      <c r="D384" s="43" t="n">
        <v>1</v>
      </c>
      <c r="E384" s="44" t="n">
        <v>92482.68</v>
      </c>
      <c r="F384" s="45" t="n">
        <f aca="false">IFERROR(D384*E384,0)</f>
        <v>92482.68</v>
      </c>
      <c r="G384" s="42" t="str">
        <f aca="false">INDEX(SETORES!$B:$B,MATCH(A384,SETORES!$A:$A,0))</f>
        <v>Clientes</v>
      </c>
      <c r="H384" s="42" t="s">
        <v>88</v>
      </c>
    </row>
    <row r="385" customFormat="false" ht="14.25" hidden="false" customHeight="true" outlineLevel="0" collapsed="false">
      <c r="A385" s="16" t="s">
        <v>48</v>
      </c>
      <c r="B385" s="42" t="s">
        <v>155</v>
      </c>
      <c r="C385" s="42" t="s">
        <v>170</v>
      </c>
      <c r="D385" s="43"/>
      <c r="E385" s="44"/>
      <c r="F385" s="45" t="n">
        <f aca="false">IFERROR(D385*E385,0)</f>
        <v>0</v>
      </c>
      <c r="G385" s="42" t="str">
        <f aca="false">INDEX(SETORES!$B:$B,MATCH(A385,SETORES!$A:$A,0))</f>
        <v>Clientes</v>
      </c>
      <c r="H385" s="42" t="s">
        <v>88</v>
      </c>
    </row>
    <row r="386" customFormat="false" ht="14.25" hidden="false" customHeight="true" outlineLevel="0" collapsed="false">
      <c r="A386" s="16" t="s">
        <v>48</v>
      </c>
      <c r="B386" s="42" t="s">
        <v>155</v>
      </c>
      <c r="C386" s="42" t="s">
        <v>183</v>
      </c>
      <c r="D386" s="43" t="n">
        <v>1</v>
      </c>
      <c r="E386" s="44" t="n">
        <v>403.58</v>
      </c>
      <c r="F386" s="45" t="n">
        <f aca="false">IFERROR(D386*E386,0)</f>
        <v>403.58</v>
      </c>
      <c r="G386" s="42" t="str">
        <f aca="false">INDEX(SETORES!$B:$B,MATCH(A386,SETORES!$A:$A,0))</f>
        <v>Clientes</v>
      </c>
      <c r="H386" s="42" t="s">
        <v>88</v>
      </c>
    </row>
    <row r="387" customFormat="false" ht="14.25" hidden="false" customHeight="true" outlineLevel="0" collapsed="false">
      <c r="A387" s="16" t="s">
        <v>48</v>
      </c>
      <c r="B387" s="42" t="s">
        <v>155</v>
      </c>
      <c r="C387" s="42" t="s">
        <v>171</v>
      </c>
      <c r="D387" s="43" t="n">
        <v>16</v>
      </c>
      <c r="E387" s="44" t="n">
        <v>48.73907</v>
      </c>
      <c r="F387" s="45" t="n">
        <f aca="false">IFERROR(D387*E387,0)</f>
        <v>779.82512</v>
      </c>
      <c r="G387" s="42" t="str">
        <f aca="false">INDEX(SETORES!$B:$B,MATCH(A387,SETORES!$A:$A,0))</f>
        <v>Clientes</v>
      </c>
      <c r="H387" s="42" t="s">
        <v>88</v>
      </c>
    </row>
    <row r="388" customFormat="false" ht="14.25" hidden="false" customHeight="true" outlineLevel="0" collapsed="false">
      <c r="A388" s="16" t="s">
        <v>48</v>
      </c>
      <c r="B388" s="42" t="s">
        <v>155</v>
      </c>
      <c r="C388" s="42" t="s">
        <v>172</v>
      </c>
      <c r="D388" s="43" t="n">
        <v>4</v>
      </c>
      <c r="E388" s="44" t="n">
        <v>50</v>
      </c>
      <c r="F388" s="45" t="n">
        <f aca="false">IFERROR(D388*E388,0)</f>
        <v>200</v>
      </c>
      <c r="G388" s="42" t="str">
        <f aca="false">INDEX(SETORES!$B:$B,MATCH(A388,SETORES!$A:$A,0))</f>
        <v>Clientes</v>
      </c>
      <c r="H388" s="42" t="s">
        <v>88</v>
      </c>
    </row>
    <row r="389" customFormat="false" ht="14.25" hidden="false" customHeight="true" outlineLevel="0" collapsed="false">
      <c r="A389" s="16" t="s">
        <v>48</v>
      </c>
      <c r="B389" s="42" t="s">
        <v>157</v>
      </c>
      <c r="C389" s="42" t="s">
        <v>221</v>
      </c>
      <c r="D389" s="43"/>
      <c r="E389" s="44"/>
      <c r="F389" s="45" t="n">
        <f aca="false">IFERROR(D389*E389,0)</f>
        <v>0</v>
      </c>
      <c r="G389" s="42" t="str">
        <f aca="false">INDEX(SETORES!$B:$B,MATCH(A389,SETORES!$A:$A,0))</f>
        <v>Clientes</v>
      </c>
      <c r="H389" s="42" t="s">
        <v>88</v>
      </c>
    </row>
    <row r="390" customFormat="false" ht="14.25" hidden="false" customHeight="true" outlineLevel="0" collapsed="false">
      <c r="A390" s="16" t="s">
        <v>48</v>
      </c>
      <c r="B390" s="42" t="s">
        <v>155</v>
      </c>
      <c r="C390" s="42" t="s">
        <v>177</v>
      </c>
      <c r="D390" s="43" t="n">
        <v>1</v>
      </c>
      <c r="E390" s="44" t="n">
        <v>89.59</v>
      </c>
      <c r="F390" s="45" t="n">
        <f aca="false">IFERROR(D390*E390,0)</f>
        <v>89.59</v>
      </c>
      <c r="G390" s="42" t="str">
        <f aca="false">INDEX(SETORES!$B:$B,MATCH(A390,SETORES!$A:$A,0))</f>
        <v>Clientes</v>
      </c>
      <c r="H390" s="42" t="s">
        <v>88</v>
      </c>
    </row>
    <row r="391" customFormat="false" ht="14.25" hidden="false" customHeight="true" outlineLevel="0" collapsed="false">
      <c r="A391" s="16" t="s">
        <v>48</v>
      </c>
      <c r="B391" s="42" t="s">
        <v>155</v>
      </c>
      <c r="C391" s="42" t="s">
        <v>178</v>
      </c>
      <c r="D391" s="43" t="n">
        <v>1</v>
      </c>
      <c r="E391" s="44" t="n">
        <v>830.33</v>
      </c>
      <c r="F391" s="45" t="n">
        <f aca="false">IFERROR(D391*E391,0)</f>
        <v>830.33</v>
      </c>
      <c r="G391" s="42" t="str">
        <f aca="false">INDEX(SETORES!$B:$B,MATCH(A391,SETORES!$A:$A,0))</f>
        <v>Clientes</v>
      </c>
      <c r="H391" s="42" t="s">
        <v>88</v>
      </c>
    </row>
    <row r="392" customFormat="false" ht="14.25" hidden="false" customHeight="true" outlineLevel="0" collapsed="false">
      <c r="A392" s="16" t="s">
        <v>48</v>
      </c>
      <c r="B392" s="42" t="s">
        <v>157</v>
      </c>
      <c r="C392" s="42" t="s">
        <v>184</v>
      </c>
      <c r="D392" s="43" t="n">
        <v>16</v>
      </c>
      <c r="E392" s="44" t="n">
        <v>68.18</v>
      </c>
      <c r="F392" s="45" t="n">
        <f aca="false">IFERROR(D392*E392,0)</f>
        <v>1090.88</v>
      </c>
      <c r="G392" s="42" t="str">
        <f aca="false">INDEX(SETORES!$B:$B,MATCH(A392,SETORES!$A:$A,0))</f>
        <v>Clientes</v>
      </c>
      <c r="H392" s="42" t="s">
        <v>88</v>
      </c>
    </row>
    <row r="393" customFormat="false" ht="14.25" hidden="false" customHeight="true" outlineLevel="0" collapsed="false">
      <c r="A393" s="16" t="s">
        <v>48</v>
      </c>
      <c r="B393" s="42" t="s">
        <v>157</v>
      </c>
      <c r="C393" s="42" t="s">
        <v>158</v>
      </c>
      <c r="D393" s="43"/>
      <c r="E393" s="44"/>
      <c r="F393" s="45" t="n">
        <f aca="false">IFERROR(D393*E393,0)</f>
        <v>0</v>
      </c>
      <c r="G393" s="42" t="str">
        <f aca="false">INDEX(SETORES!$B:$B,MATCH(A393,SETORES!$A:$A,0))</f>
        <v>Clientes</v>
      </c>
      <c r="H393" s="42" t="s">
        <v>88</v>
      </c>
    </row>
    <row r="394" customFormat="false" ht="14.25" hidden="false" customHeight="true" outlineLevel="0" collapsed="false">
      <c r="A394" s="16" t="s">
        <v>48</v>
      </c>
      <c r="B394" s="42" t="s">
        <v>155</v>
      </c>
      <c r="C394" s="42" t="s">
        <v>222</v>
      </c>
      <c r="D394" s="43"/>
      <c r="E394" s="44"/>
      <c r="F394" s="45" t="n">
        <f aca="false">IFERROR(D394*E394,0)</f>
        <v>0</v>
      </c>
      <c r="G394" s="42" t="str">
        <f aca="false">INDEX(SETORES!$B:$B,MATCH(A394,SETORES!$A:$A,0))</f>
        <v>Clientes</v>
      </c>
      <c r="H394" s="42" t="s">
        <v>88</v>
      </c>
    </row>
    <row r="395" customFormat="false" ht="14.25" hidden="false" customHeight="true" outlineLevel="0" collapsed="false">
      <c r="A395" s="16" t="s">
        <v>48</v>
      </c>
      <c r="B395" s="42" t="s">
        <v>155</v>
      </c>
      <c r="C395" s="42" t="s">
        <v>173</v>
      </c>
      <c r="D395" s="43" t="n">
        <v>16</v>
      </c>
      <c r="E395" s="44" t="n">
        <v>1.87</v>
      </c>
      <c r="F395" s="45" t="n">
        <f aca="false">IFERROR(D395*E395,0)</f>
        <v>29.92</v>
      </c>
      <c r="G395" s="42" t="str">
        <f aca="false">INDEX(SETORES!$B:$B,MATCH(A395,SETORES!$A:$A,0))</f>
        <v>Clientes</v>
      </c>
      <c r="H395" s="42" t="s">
        <v>88</v>
      </c>
    </row>
    <row r="396" customFormat="false" ht="14.25" hidden="false" customHeight="true" outlineLevel="0" collapsed="false">
      <c r="A396" s="16" t="s">
        <v>48</v>
      </c>
      <c r="B396" s="42" t="s">
        <v>155</v>
      </c>
      <c r="C396" s="42" t="s">
        <v>179</v>
      </c>
      <c r="D396" s="43"/>
      <c r="E396" s="44"/>
      <c r="F396" s="45" t="n">
        <f aca="false">IFERROR(D396*E396,0)</f>
        <v>0</v>
      </c>
      <c r="G396" s="42" t="str">
        <f aca="false">INDEX(SETORES!$B:$B,MATCH(A396,SETORES!$A:$A,0))</f>
        <v>Clientes</v>
      </c>
      <c r="H396" s="42" t="s">
        <v>88</v>
      </c>
    </row>
    <row r="397" customFormat="false" ht="14.25" hidden="false" customHeight="true" outlineLevel="0" collapsed="false">
      <c r="A397" s="16" t="s">
        <v>47</v>
      </c>
      <c r="B397" s="42" t="s">
        <v>155</v>
      </c>
      <c r="C397" s="42" t="s">
        <v>163</v>
      </c>
      <c r="D397" s="43" t="n">
        <v>7</v>
      </c>
      <c r="E397" s="44" t="n">
        <v>30</v>
      </c>
      <c r="F397" s="45" t="n">
        <f aca="false">IFERROR(D397*E397,0)</f>
        <v>210</v>
      </c>
      <c r="G397" s="42" t="str">
        <f aca="false">INDEX(SETORES!$B:$B,MATCH(A397,SETORES!$A:$A,0))</f>
        <v>Clientes</v>
      </c>
      <c r="H397" s="42" t="s">
        <v>88</v>
      </c>
    </row>
    <row r="398" customFormat="false" ht="14.25" hidden="false" customHeight="true" outlineLevel="0" collapsed="false">
      <c r="A398" s="16" t="s">
        <v>47</v>
      </c>
      <c r="B398" s="42" t="s">
        <v>157</v>
      </c>
      <c r="C398" s="42" t="s">
        <v>199</v>
      </c>
      <c r="D398" s="43" t="n">
        <v>1</v>
      </c>
      <c r="E398" s="44" t="n">
        <v>11623.33</v>
      </c>
      <c r="F398" s="45" t="n">
        <f aca="false">IFERROR(D398*E398,0)</f>
        <v>11623.33</v>
      </c>
      <c r="G398" s="42" t="str">
        <f aca="false">INDEX(SETORES!$B:$B,MATCH(A398,SETORES!$A:$A,0))</f>
        <v>Clientes</v>
      </c>
      <c r="H398" s="42" t="s">
        <v>88</v>
      </c>
    </row>
    <row r="399" customFormat="false" ht="14.25" hidden="false" customHeight="true" outlineLevel="0" collapsed="false">
      <c r="A399" s="16" t="s">
        <v>47</v>
      </c>
      <c r="B399" s="42" t="s">
        <v>155</v>
      </c>
      <c r="C399" s="42" t="s">
        <v>205</v>
      </c>
      <c r="D399" s="43" t="n">
        <v>1</v>
      </c>
      <c r="E399" s="44" t="n">
        <v>2624.19</v>
      </c>
      <c r="F399" s="45" t="n">
        <f aca="false">IFERROR(D399*E399,0)</f>
        <v>2624.19</v>
      </c>
      <c r="G399" s="42" t="str">
        <f aca="false">INDEX(SETORES!$B:$B,MATCH(A399,SETORES!$A:$A,0))</f>
        <v>Clientes</v>
      </c>
      <c r="H399" s="42" t="s">
        <v>88</v>
      </c>
    </row>
    <row r="400" customFormat="false" ht="14.25" hidden="false" customHeight="true" outlineLevel="0" collapsed="false">
      <c r="A400" s="16" t="s">
        <v>47</v>
      </c>
      <c r="B400" s="42" t="s">
        <v>155</v>
      </c>
      <c r="C400" s="42" t="s">
        <v>165</v>
      </c>
      <c r="D400" s="43" t="n">
        <v>15</v>
      </c>
      <c r="E400" s="44" t="n">
        <v>52.09</v>
      </c>
      <c r="F400" s="45" t="n">
        <f aca="false">IFERROR(D400*E400,0)</f>
        <v>781.35</v>
      </c>
      <c r="G400" s="42" t="s">
        <v>99</v>
      </c>
      <c r="H400" s="42" t="s">
        <v>88</v>
      </c>
    </row>
    <row r="401" customFormat="false" ht="14.25" hidden="false" customHeight="true" outlineLevel="0" collapsed="false">
      <c r="A401" s="16" t="s">
        <v>47</v>
      </c>
      <c r="B401" s="42" t="s">
        <v>155</v>
      </c>
      <c r="C401" s="42" t="s">
        <v>166</v>
      </c>
      <c r="D401" s="43" t="n">
        <v>15</v>
      </c>
      <c r="E401" s="44" t="n">
        <v>32.55</v>
      </c>
      <c r="F401" s="45" t="n">
        <f aca="false">IFERROR(D401*E401,0)</f>
        <v>488.25</v>
      </c>
      <c r="G401" s="42" t="s">
        <v>99</v>
      </c>
      <c r="H401" s="42" t="s">
        <v>88</v>
      </c>
    </row>
    <row r="402" customFormat="false" ht="14.25" hidden="false" customHeight="true" outlineLevel="0" collapsed="false">
      <c r="A402" s="16" t="s">
        <v>47</v>
      </c>
      <c r="B402" s="42" t="s">
        <v>155</v>
      </c>
      <c r="C402" s="42" t="s">
        <v>167</v>
      </c>
      <c r="D402" s="43" t="n">
        <v>15</v>
      </c>
      <c r="E402" s="44" t="n">
        <v>52.35</v>
      </c>
      <c r="F402" s="45" t="n">
        <f aca="false">IFERROR(D402*E402,0)</f>
        <v>785.25</v>
      </c>
      <c r="G402" s="42" t="s">
        <v>99</v>
      </c>
      <c r="H402" s="42" t="s">
        <v>88</v>
      </c>
    </row>
    <row r="403" customFormat="false" ht="14.25" hidden="false" customHeight="true" outlineLevel="0" collapsed="false">
      <c r="A403" s="16" t="s">
        <v>47</v>
      </c>
      <c r="B403" s="42" t="s">
        <v>157</v>
      </c>
      <c r="C403" s="42" t="s">
        <v>217</v>
      </c>
      <c r="D403" s="43"/>
      <c r="E403" s="44"/>
      <c r="F403" s="45" t="n">
        <f aca="false">IFERROR(D403*E403,0)</f>
        <v>0</v>
      </c>
      <c r="G403" s="42" t="str">
        <f aca="false">INDEX(SETORES!$B:$B,MATCH(A403,SETORES!$A:$A,0))</f>
        <v>Clientes</v>
      </c>
      <c r="H403" s="42" t="s">
        <v>88</v>
      </c>
    </row>
    <row r="404" customFormat="false" ht="14.25" hidden="false" customHeight="true" outlineLevel="0" collapsed="false">
      <c r="A404" s="16" t="s">
        <v>47</v>
      </c>
      <c r="B404" s="42" t="s">
        <v>157</v>
      </c>
      <c r="C404" s="42" t="s">
        <v>174</v>
      </c>
      <c r="D404" s="43"/>
      <c r="E404" s="44"/>
      <c r="F404" s="45" t="n">
        <f aca="false">IFERROR(D404*E404,0)</f>
        <v>0</v>
      </c>
      <c r="G404" s="42" t="str">
        <f aca="false">INDEX(SETORES!$B:$B,MATCH(A404,SETORES!$A:$A,0))</f>
        <v>Clientes</v>
      </c>
      <c r="H404" s="42" t="s">
        <v>88</v>
      </c>
    </row>
    <row r="405" customFormat="false" ht="14.25" hidden="false" customHeight="true" outlineLevel="0" collapsed="false">
      <c r="A405" s="16" t="s">
        <v>47</v>
      </c>
      <c r="B405" s="42" t="s">
        <v>157</v>
      </c>
      <c r="C405" s="42" t="s">
        <v>175</v>
      </c>
      <c r="D405" s="43"/>
      <c r="E405" s="44"/>
      <c r="F405" s="45" t="n">
        <f aca="false">IFERROR(D405*E405,0)</f>
        <v>0</v>
      </c>
      <c r="G405" s="42" t="str">
        <f aca="false">INDEX(SETORES!$B:$B,MATCH(A405,SETORES!$A:$A,0))</f>
        <v>Clientes</v>
      </c>
      <c r="H405" s="42" t="s">
        <v>88</v>
      </c>
    </row>
    <row r="406" customFormat="false" ht="14.25" hidden="false" customHeight="true" outlineLevel="0" collapsed="false">
      <c r="A406" s="16" t="s">
        <v>47</v>
      </c>
      <c r="B406" s="42" t="s">
        <v>157</v>
      </c>
      <c r="C406" s="42" t="s">
        <v>176</v>
      </c>
      <c r="D406" s="43"/>
      <c r="E406" s="44"/>
      <c r="F406" s="45" t="n">
        <f aca="false">IFERROR(D406*E406,0)</f>
        <v>0</v>
      </c>
      <c r="G406" s="42" t="str">
        <f aca="false">INDEX(SETORES!$B:$B,MATCH(A406,SETORES!$A:$A,0))</f>
        <v>Clientes</v>
      </c>
      <c r="H406" s="42" t="s">
        <v>88</v>
      </c>
    </row>
    <row r="407" customFormat="false" ht="14.25" hidden="false" customHeight="true" outlineLevel="0" collapsed="false">
      <c r="A407" s="16" t="s">
        <v>47</v>
      </c>
      <c r="B407" s="42" t="s">
        <v>155</v>
      </c>
      <c r="C407" s="42" t="s">
        <v>169</v>
      </c>
      <c r="D407" s="43" t="n">
        <v>1</v>
      </c>
      <c r="E407" s="44" t="n">
        <v>116417.9</v>
      </c>
      <c r="F407" s="45" t="n">
        <f aca="false">IFERROR(D407*E407,0)</f>
        <v>116417.9</v>
      </c>
      <c r="G407" s="42" t="str">
        <f aca="false">INDEX(SETORES!$B:$B,MATCH(A407,SETORES!$A:$A,0))</f>
        <v>Clientes</v>
      </c>
      <c r="H407" s="42" t="s">
        <v>88</v>
      </c>
    </row>
    <row r="408" customFormat="false" ht="14.25" hidden="false" customHeight="true" outlineLevel="0" collapsed="false">
      <c r="A408" s="16" t="s">
        <v>47</v>
      </c>
      <c r="B408" s="42" t="s">
        <v>155</v>
      </c>
      <c r="C408" s="42" t="s">
        <v>170</v>
      </c>
      <c r="D408" s="43"/>
      <c r="E408" s="44"/>
      <c r="F408" s="45" t="n">
        <f aca="false">IFERROR(D408*E408,0)</f>
        <v>0</v>
      </c>
      <c r="G408" s="42" t="str">
        <f aca="false">INDEX(SETORES!$B:$B,MATCH(A408,SETORES!$A:$A,0))</f>
        <v>Clientes</v>
      </c>
      <c r="H408" s="42" t="s">
        <v>88</v>
      </c>
    </row>
    <row r="409" customFormat="false" ht="14.25" hidden="false" customHeight="true" outlineLevel="0" collapsed="false">
      <c r="A409" s="16" t="s">
        <v>47</v>
      </c>
      <c r="B409" s="42" t="s">
        <v>157</v>
      </c>
      <c r="C409" s="42" t="s">
        <v>223</v>
      </c>
      <c r="D409" s="43"/>
      <c r="E409" s="44"/>
      <c r="F409" s="45" t="n">
        <f aca="false">IFERROR(D409*E409,0)</f>
        <v>0</v>
      </c>
      <c r="G409" s="42" t="str">
        <f aca="false">INDEX(SETORES!$B:$B,MATCH(A409,SETORES!$A:$A,0))</f>
        <v>Clientes</v>
      </c>
      <c r="H409" s="42" t="s">
        <v>88</v>
      </c>
    </row>
    <row r="410" customFormat="false" ht="14.25" hidden="false" customHeight="true" outlineLevel="0" collapsed="false">
      <c r="A410" s="16" t="s">
        <v>47</v>
      </c>
      <c r="B410" s="42" t="s">
        <v>155</v>
      </c>
      <c r="C410" s="42" t="s">
        <v>172</v>
      </c>
      <c r="D410" s="43" t="n">
        <v>15</v>
      </c>
      <c r="E410" s="44" t="n">
        <v>50</v>
      </c>
      <c r="F410" s="45" t="n">
        <f aca="false">IFERROR(D410*E410,0)</f>
        <v>750</v>
      </c>
      <c r="G410" s="42" t="str">
        <f aca="false">INDEX(SETORES!$B:$B,MATCH(A410,SETORES!$A:$A,0))</f>
        <v>Clientes</v>
      </c>
      <c r="H410" s="42" t="s">
        <v>88</v>
      </c>
    </row>
    <row r="411" customFormat="false" ht="14.25" hidden="false" customHeight="true" outlineLevel="0" collapsed="false">
      <c r="A411" s="16" t="s">
        <v>47</v>
      </c>
      <c r="B411" s="42" t="s">
        <v>155</v>
      </c>
      <c r="C411" s="42" t="s">
        <v>177</v>
      </c>
      <c r="D411" s="43"/>
      <c r="E411" s="44"/>
      <c r="F411" s="45" t="n">
        <f aca="false">IFERROR(D411*E411,0)</f>
        <v>0</v>
      </c>
      <c r="G411" s="42" t="str">
        <f aca="false">INDEX(SETORES!$B:$B,MATCH(A411,SETORES!$A:$A,0))</f>
        <v>Clientes</v>
      </c>
      <c r="H411" s="42" t="s">
        <v>88</v>
      </c>
    </row>
    <row r="412" customFormat="false" ht="14.25" hidden="false" customHeight="true" outlineLevel="0" collapsed="false">
      <c r="A412" s="16" t="s">
        <v>47</v>
      </c>
      <c r="B412" s="42" t="s">
        <v>155</v>
      </c>
      <c r="C412" s="42" t="s">
        <v>178</v>
      </c>
      <c r="D412" s="43"/>
      <c r="E412" s="44"/>
      <c r="F412" s="45" t="n">
        <f aca="false">IFERROR(D412*E412,0)</f>
        <v>0</v>
      </c>
      <c r="G412" s="42" t="str">
        <f aca="false">INDEX(SETORES!$B:$B,MATCH(A412,SETORES!$A:$A,0))</f>
        <v>Clientes</v>
      </c>
      <c r="H412" s="42" t="s">
        <v>88</v>
      </c>
    </row>
    <row r="413" customFormat="false" ht="14.25" hidden="false" customHeight="true" outlineLevel="0" collapsed="false">
      <c r="A413" s="16" t="s">
        <v>47</v>
      </c>
      <c r="B413" s="42" t="s">
        <v>155</v>
      </c>
      <c r="C413" s="42" t="s">
        <v>173</v>
      </c>
      <c r="D413" s="43" t="n">
        <v>15</v>
      </c>
      <c r="E413" s="44" t="n">
        <v>1.87</v>
      </c>
      <c r="F413" s="45" t="n">
        <f aca="false">IFERROR(D413*E413,0)</f>
        <v>28.05</v>
      </c>
      <c r="G413" s="42" t="str">
        <f aca="false">INDEX(SETORES!$B:$B,MATCH(A413,SETORES!$A:$A,0))</f>
        <v>Clientes</v>
      </c>
      <c r="H413" s="42" t="s">
        <v>88</v>
      </c>
    </row>
    <row r="414" customFormat="false" ht="14.25" hidden="false" customHeight="true" outlineLevel="0" collapsed="false">
      <c r="A414" s="16" t="s">
        <v>47</v>
      </c>
      <c r="B414" s="42" t="s">
        <v>155</v>
      </c>
      <c r="C414" s="42" t="s">
        <v>179</v>
      </c>
      <c r="D414" s="43"/>
      <c r="E414" s="44"/>
      <c r="F414" s="45" t="n">
        <f aca="false">IFERROR(D414*E414,0)</f>
        <v>0</v>
      </c>
      <c r="G414" s="42" t="str">
        <f aca="false">INDEX(SETORES!$B:$B,MATCH(A414,SETORES!$A:$A,0))</f>
        <v>Clientes</v>
      </c>
      <c r="H414" s="42" t="s">
        <v>88</v>
      </c>
    </row>
    <row r="415" customFormat="false" ht="14.25" hidden="false" customHeight="true" outlineLevel="0" collapsed="false">
      <c r="A415" s="16" t="s">
        <v>85</v>
      </c>
      <c r="B415" s="42" t="s">
        <v>155</v>
      </c>
      <c r="C415" s="42" t="s">
        <v>162</v>
      </c>
      <c r="D415" s="43" t="n">
        <v>17</v>
      </c>
      <c r="E415" s="44" t="n">
        <v>0.342924528301887</v>
      </c>
      <c r="F415" s="45" t="n">
        <f aca="false">IFERROR(D415*E415,0)</f>
        <v>5.82971698113208</v>
      </c>
      <c r="G415" s="42" t="str">
        <f aca="false">INDEX(SETORES!$B:$B,MATCH(A415,SETORES!$A:$A,0))</f>
        <v>Clientes</v>
      </c>
      <c r="H415" s="42" t="s">
        <v>88</v>
      </c>
    </row>
    <row r="416" customFormat="false" ht="14.25" hidden="false" customHeight="true" outlineLevel="0" collapsed="false">
      <c r="A416" s="16" t="s">
        <v>85</v>
      </c>
      <c r="B416" s="42" t="s">
        <v>155</v>
      </c>
      <c r="C416" s="42" t="s">
        <v>163</v>
      </c>
      <c r="D416" s="43" t="n">
        <v>10</v>
      </c>
      <c r="E416" s="44" t="n">
        <v>30</v>
      </c>
      <c r="F416" s="45" t="n">
        <f aca="false">IFERROR(D416*E416,0)</f>
        <v>300</v>
      </c>
      <c r="G416" s="42" t="str">
        <f aca="false">INDEX(SETORES!$B:$B,MATCH(A416,SETORES!$A:$A,0))</f>
        <v>Clientes</v>
      </c>
      <c r="H416" s="42" t="s">
        <v>88</v>
      </c>
    </row>
    <row r="417" customFormat="false" ht="14.25" hidden="false" customHeight="true" outlineLevel="0" collapsed="false">
      <c r="A417" s="16" t="s">
        <v>85</v>
      </c>
      <c r="B417" s="42" t="s">
        <v>157</v>
      </c>
      <c r="C417" s="42" t="s">
        <v>199</v>
      </c>
      <c r="D417" s="43" t="n">
        <v>1</v>
      </c>
      <c r="E417" s="44" t="n">
        <v>1514.08</v>
      </c>
      <c r="F417" s="45" t="n">
        <f aca="false">IFERROR(D417*E417,0)</f>
        <v>1514.08</v>
      </c>
      <c r="G417" s="42" t="str">
        <f aca="false">INDEX(SETORES!$B:$B,MATCH(A417,SETORES!$A:$A,0))</f>
        <v>Clientes</v>
      </c>
      <c r="H417" s="42" t="s">
        <v>88</v>
      </c>
    </row>
    <row r="418" customFormat="false" ht="14.25" hidden="false" customHeight="true" outlineLevel="0" collapsed="false">
      <c r="A418" s="16" t="s">
        <v>85</v>
      </c>
      <c r="B418" s="42" t="s">
        <v>155</v>
      </c>
      <c r="C418" s="42" t="s">
        <v>165</v>
      </c>
      <c r="D418" s="43" t="n">
        <v>17</v>
      </c>
      <c r="E418" s="44" t="n">
        <v>52.09</v>
      </c>
      <c r="F418" s="45" t="n">
        <f aca="false">IFERROR(D418*E418,0)</f>
        <v>885.53</v>
      </c>
      <c r="G418" s="42" t="s">
        <v>99</v>
      </c>
      <c r="H418" s="42" t="s">
        <v>88</v>
      </c>
    </row>
    <row r="419" customFormat="false" ht="14.25" hidden="false" customHeight="true" outlineLevel="0" collapsed="false">
      <c r="A419" s="16" t="s">
        <v>85</v>
      </c>
      <c r="B419" s="42" t="s">
        <v>155</v>
      </c>
      <c r="C419" s="42" t="s">
        <v>166</v>
      </c>
      <c r="D419" s="43" t="n">
        <v>17</v>
      </c>
      <c r="E419" s="44" t="n">
        <v>32.55</v>
      </c>
      <c r="F419" s="45" t="n">
        <f aca="false">IFERROR(D419*E419,0)</f>
        <v>553.35</v>
      </c>
      <c r="G419" s="42" t="s">
        <v>99</v>
      </c>
      <c r="H419" s="42" t="s">
        <v>88</v>
      </c>
    </row>
    <row r="420" customFormat="false" ht="14.25" hidden="false" customHeight="true" outlineLevel="0" collapsed="false">
      <c r="A420" s="16" t="s">
        <v>85</v>
      </c>
      <c r="B420" s="42" t="s">
        <v>155</v>
      </c>
      <c r="C420" s="42" t="s">
        <v>167</v>
      </c>
      <c r="D420" s="43" t="n">
        <v>17</v>
      </c>
      <c r="E420" s="44" t="n">
        <v>52.35</v>
      </c>
      <c r="F420" s="45" t="n">
        <f aca="false">IFERROR(D420*E420,0)</f>
        <v>889.95</v>
      </c>
      <c r="G420" s="42" t="s">
        <v>99</v>
      </c>
      <c r="H420" s="42" t="s">
        <v>88</v>
      </c>
    </row>
    <row r="421" customFormat="false" ht="14.25" hidden="false" customHeight="true" outlineLevel="0" collapsed="false">
      <c r="A421" s="16" t="s">
        <v>85</v>
      </c>
      <c r="B421" s="42" t="s">
        <v>155</v>
      </c>
      <c r="C421" s="42" t="s">
        <v>168</v>
      </c>
      <c r="D421" s="43" t="n">
        <v>17</v>
      </c>
      <c r="E421" s="44" t="n">
        <v>124.491481481482</v>
      </c>
      <c r="F421" s="45" t="n">
        <f aca="false">IFERROR(D421*E421,0)</f>
        <v>2116.35518518519</v>
      </c>
      <c r="G421" s="42" t="str">
        <f aca="false">INDEX(SETORES!$B:$B,MATCH(A421,SETORES!$A:$A,0))</f>
        <v>Clientes</v>
      </c>
      <c r="H421" s="42" t="s">
        <v>88</v>
      </c>
    </row>
    <row r="422" customFormat="false" ht="14.25" hidden="false" customHeight="true" outlineLevel="0" collapsed="false">
      <c r="A422" s="16" t="s">
        <v>85</v>
      </c>
      <c r="B422" s="42" t="s">
        <v>157</v>
      </c>
      <c r="C422" s="42" t="s">
        <v>174</v>
      </c>
      <c r="D422" s="43"/>
      <c r="E422" s="44"/>
      <c r="F422" s="45" t="n">
        <f aca="false">IFERROR(D422*E422,0)</f>
        <v>0</v>
      </c>
      <c r="G422" s="42" t="str">
        <f aca="false">INDEX(SETORES!$B:$B,MATCH(A422,SETORES!$A:$A,0))</f>
        <v>Clientes</v>
      </c>
      <c r="H422" s="42" t="s">
        <v>88</v>
      </c>
    </row>
    <row r="423" customFormat="false" ht="14.25" hidden="false" customHeight="true" outlineLevel="0" collapsed="false">
      <c r="A423" s="16" t="s">
        <v>85</v>
      </c>
      <c r="B423" s="42" t="s">
        <v>157</v>
      </c>
      <c r="C423" s="42" t="s">
        <v>175</v>
      </c>
      <c r="D423" s="43" t="n">
        <v>1</v>
      </c>
      <c r="E423" s="44" t="n">
        <v>360</v>
      </c>
      <c r="F423" s="45" t="n">
        <f aca="false">IFERROR(D423*E423,0)</f>
        <v>360</v>
      </c>
      <c r="G423" s="42" t="str">
        <f aca="false">INDEX(SETORES!$B:$B,MATCH(A423,SETORES!$A:$A,0))</f>
        <v>Clientes</v>
      </c>
      <c r="H423" s="42" t="s">
        <v>88</v>
      </c>
    </row>
    <row r="424" customFormat="false" ht="14.25" hidden="false" customHeight="true" outlineLevel="0" collapsed="false">
      <c r="A424" s="16" t="s">
        <v>85</v>
      </c>
      <c r="B424" s="42" t="s">
        <v>155</v>
      </c>
      <c r="C424" s="42" t="s">
        <v>169</v>
      </c>
      <c r="D424" s="43" t="n">
        <v>1</v>
      </c>
      <c r="E424" s="44" t="n">
        <v>62265.7</v>
      </c>
      <c r="F424" s="45" t="n">
        <f aca="false">IFERROR(D424*E424,0)</f>
        <v>62265.7</v>
      </c>
      <c r="G424" s="42" t="str">
        <f aca="false">INDEX(SETORES!$B:$B,MATCH(A424,SETORES!$A:$A,0))</f>
        <v>Clientes</v>
      </c>
      <c r="H424" s="42" t="s">
        <v>88</v>
      </c>
    </row>
    <row r="425" customFormat="false" ht="14.25" hidden="false" customHeight="true" outlineLevel="0" collapsed="false">
      <c r="A425" s="16" t="s">
        <v>85</v>
      </c>
      <c r="B425" s="42" t="s">
        <v>155</v>
      </c>
      <c r="C425" s="42" t="s">
        <v>170</v>
      </c>
      <c r="D425" s="43"/>
      <c r="E425" s="44"/>
      <c r="F425" s="45" t="n">
        <f aca="false">IFERROR(D425*E425,0)</f>
        <v>0</v>
      </c>
      <c r="G425" s="42" t="str">
        <f aca="false">INDEX(SETORES!$B:$B,MATCH(A425,SETORES!$A:$A,0))</f>
        <v>Clientes</v>
      </c>
      <c r="H425" s="42" t="s">
        <v>88</v>
      </c>
    </row>
    <row r="426" customFormat="false" ht="14.25" hidden="false" customHeight="true" outlineLevel="0" collapsed="false">
      <c r="A426" s="16" t="s">
        <v>85</v>
      </c>
      <c r="B426" s="42" t="s">
        <v>155</v>
      </c>
      <c r="C426" s="42" t="s">
        <v>183</v>
      </c>
      <c r="D426" s="43" t="n">
        <v>1</v>
      </c>
      <c r="E426" s="44" t="n">
        <v>128.68</v>
      </c>
      <c r="F426" s="45" t="n">
        <f aca="false">IFERROR(D426*E426,0)</f>
        <v>128.68</v>
      </c>
      <c r="G426" s="42" t="str">
        <f aca="false">INDEX(SETORES!$B:$B,MATCH(A426,SETORES!$A:$A,0))</f>
        <v>Clientes</v>
      </c>
      <c r="H426" s="42" t="s">
        <v>88</v>
      </c>
    </row>
    <row r="427" customFormat="false" ht="14.25" hidden="false" customHeight="true" outlineLevel="0" collapsed="false">
      <c r="A427" s="16" t="s">
        <v>85</v>
      </c>
      <c r="B427" s="42" t="s">
        <v>155</v>
      </c>
      <c r="C427" s="42" t="s">
        <v>171</v>
      </c>
      <c r="D427" s="43" t="n">
        <v>17</v>
      </c>
      <c r="E427" s="44" t="n">
        <v>14.043393</v>
      </c>
      <c r="F427" s="45" t="n">
        <f aca="false">IFERROR(D427*E427,0)</f>
        <v>238.737681</v>
      </c>
      <c r="G427" s="42" t="str">
        <f aca="false">INDEX(SETORES!$B:$B,MATCH(A427,SETORES!$A:$A,0))</f>
        <v>Clientes</v>
      </c>
      <c r="H427" s="42" t="s">
        <v>88</v>
      </c>
    </row>
    <row r="428" customFormat="false" ht="14.25" hidden="false" customHeight="true" outlineLevel="0" collapsed="false">
      <c r="A428" s="16" t="s">
        <v>85</v>
      </c>
      <c r="B428" s="42" t="s">
        <v>155</v>
      </c>
      <c r="C428" s="42" t="s">
        <v>172</v>
      </c>
      <c r="D428" s="43" t="n">
        <v>17</v>
      </c>
      <c r="E428" s="44" t="n">
        <v>50</v>
      </c>
      <c r="F428" s="45" t="n">
        <f aca="false">IFERROR(D428*E428,0)</f>
        <v>850</v>
      </c>
      <c r="G428" s="42" t="str">
        <f aca="false">INDEX(SETORES!$B:$B,MATCH(A428,SETORES!$A:$A,0))</f>
        <v>Clientes</v>
      </c>
      <c r="H428" s="42" t="s">
        <v>88</v>
      </c>
    </row>
    <row r="429" customFormat="false" ht="14.25" hidden="false" customHeight="true" outlineLevel="0" collapsed="false">
      <c r="A429" s="16" t="s">
        <v>85</v>
      </c>
      <c r="B429" s="42" t="s">
        <v>155</v>
      </c>
      <c r="C429" s="42" t="s">
        <v>178</v>
      </c>
      <c r="D429" s="43" t="n">
        <v>1</v>
      </c>
      <c r="E429" s="44" t="n">
        <v>507.51</v>
      </c>
      <c r="F429" s="45" t="n">
        <f aca="false">IFERROR(D429*E429,0)</f>
        <v>507.51</v>
      </c>
      <c r="G429" s="42" t="str">
        <f aca="false">INDEX(SETORES!$B:$B,MATCH(A429,SETORES!$A:$A,0))</f>
        <v>Clientes</v>
      </c>
      <c r="H429" s="42" t="s">
        <v>88</v>
      </c>
    </row>
    <row r="430" customFormat="false" ht="14.25" hidden="false" customHeight="true" outlineLevel="0" collapsed="false">
      <c r="A430" s="16" t="s">
        <v>85</v>
      </c>
      <c r="B430" s="42" t="s">
        <v>157</v>
      </c>
      <c r="C430" s="42" t="s">
        <v>158</v>
      </c>
      <c r="D430" s="43"/>
      <c r="E430" s="44"/>
      <c r="F430" s="45" t="n">
        <f aca="false">IFERROR(D430*E430,0)</f>
        <v>0</v>
      </c>
      <c r="G430" s="42" t="str">
        <f aca="false">INDEX(SETORES!$B:$B,MATCH(A430,SETORES!$A:$A,0))</f>
        <v>Clientes</v>
      </c>
      <c r="H430" s="42" t="s">
        <v>88</v>
      </c>
    </row>
    <row r="431" customFormat="false" ht="14.25" hidden="false" customHeight="true" outlineLevel="0" collapsed="false">
      <c r="A431" s="16" t="s">
        <v>85</v>
      </c>
      <c r="B431" s="42" t="s">
        <v>157</v>
      </c>
      <c r="C431" s="42" t="s">
        <v>158</v>
      </c>
      <c r="D431" s="43"/>
      <c r="E431" s="44"/>
      <c r="F431" s="45" t="n">
        <f aca="false">IFERROR(D431*E431,0)</f>
        <v>0</v>
      </c>
      <c r="G431" s="42" t="str">
        <f aca="false">INDEX(SETORES!$B:$B,MATCH(A431,SETORES!$A:$A,0))</f>
        <v>Clientes</v>
      </c>
      <c r="H431" s="42" t="s">
        <v>88</v>
      </c>
    </row>
    <row r="432" customFormat="false" ht="14.25" hidden="false" customHeight="true" outlineLevel="0" collapsed="false">
      <c r="A432" s="16" t="s">
        <v>85</v>
      </c>
      <c r="B432" s="42" t="s">
        <v>155</v>
      </c>
      <c r="C432" s="42" t="s">
        <v>173</v>
      </c>
      <c r="D432" s="43" t="n">
        <v>17</v>
      </c>
      <c r="E432" s="44" t="n">
        <v>1.87</v>
      </c>
      <c r="F432" s="45" t="n">
        <f aca="false">IFERROR(D432*E432,0)</f>
        <v>31.79</v>
      </c>
      <c r="G432" s="42" t="str">
        <f aca="false">INDEX(SETORES!$B:$B,MATCH(A432,SETORES!$A:$A,0))</f>
        <v>Clientes</v>
      </c>
      <c r="H432" s="42" t="s">
        <v>88</v>
      </c>
    </row>
    <row r="433" customFormat="false" ht="14.25" hidden="false" customHeight="true" outlineLevel="0" collapsed="false">
      <c r="A433" s="16" t="s">
        <v>31</v>
      </c>
      <c r="B433" s="42" t="s">
        <v>155</v>
      </c>
      <c r="C433" s="42" t="s">
        <v>162</v>
      </c>
      <c r="D433" s="43" t="n">
        <v>3</v>
      </c>
      <c r="E433" s="44" t="n">
        <v>0.342924528301887</v>
      </c>
      <c r="F433" s="45" t="n">
        <f aca="false">IFERROR(D433*E433,0)</f>
        <v>1.02877358490566</v>
      </c>
      <c r="G433" s="42" t="str">
        <f aca="false">INDEX(SETORES!$B:$B,MATCH(A433,SETORES!$A:$A,0))</f>
        <v>Clientes</v>
      </c>
      <c r="H433" s="42" t="s">
        <v>88</v>
      </c>
    </row>
    <row r="434" customFormat="false" ht="14.25" hidden="false" customHeight="true" outlineLevel="0" collapsed="false">
      <c r="A434" s="16" t="s">
        <v>31</v>
      </c>
      <c r="B434" s="42" t="s">
        <v>155</v>
      </c>
      <c r="C434" s="42" t="s">
        <v>163</v>
      </c>
      <c r="D434" s="43" t="n">
        <v>3</v>
      </c>
      <c r="E434" s="44" t="n">
        <v>30</v>
      </c>
      <c r="F434" s="45" t="n">
        <f aca="false">IFERROR(D434*E434,0)</f>
        <v>90</v>
      </c>
      <c r="G434" s="42" t="str">
        <f aca="false">INDEX(SETORES!$B:$B,MATCH(A434,SETORES!$A:$A,0))</f>
        <v>Clientes</v>
      </c>
      <c r="H434" s="42" t="s">
        <v>88</v>
      </c>
    </row>
    <row r="435" customFormat="false" ht="14.25" hidden="false" customHeight="true" outlineLevel="0" collapsed="false">
      <c r="A435" s="16" t="s">
        <v>31</v>
      </c>
      <c r="B435" s="42" t="s">
        <v>157</v>
      </c>
      <c r="C435" s="42" t="s">
        <v>199</v>
      </c>
      <c r="D435" s="43" t="n">
        <v>1</v>
      </c>
      <c r="E435" s="44" t="n">
        <v>1882.43</v>
      </c>
      <c r="F435" s="45" t="n">
        <f aca="false">IFERROR(D435*E435,0)</f>
        <v>1882.43</v>
      </c>
      <c r="G435" s="42" t="str">
        <f aca="false">INDEX(SETORES!$B:$B,MATCH(A435,SETORES!$A:$A,0))</f>
        <v>Clientes</v>
      </c>
      <c r="H435" s="42" t="s">
        <v>88</v>
      </c>
    </row>
    <row r="436" customFormat="false" ht="14.25" hidden="false" customHeight="true" outlineLevel="0" collapsed="false">
      <c r="A436" s="16" t="s">
        <v>31</v>
      </c>
      <c r="B436" s="42" t="s">
        <v>155</v>
      </c>
      <c r="C436" s="42" t="s">
        <v>165</v>
      </c>
      <c r="D436" s="43" t="n">
        <v>3</v>
      </c>
      <c r="E436" s="44" t="n">
        <v>52.09</v>
      </c>
      <c r="F436" s="45" t="n">
        <f aca="false">IFERROR(D436*E436,0)</f>
        <v>156.27</v>
      </c>
      <c r="G436" s="42" t="s">
        <v>99</v>
      </c>
      <c r="H436" s="42" t="s">
        <v>88</v>
      </c>
    </row>
    <row r="437" customFormat="false" ht="14.25" hidden="false" customHeight="true" outlineLevel="0" collapsed="false">
      <c r="A437" s="16" t="s">
        <v>31</v>
      </c>
      <c r="B437" s="42" t="s">
        <v>155</v>
      </c>
      <c r="C437" s="42" t="s">
        <v>166</v>
      </c>
      <c r="D437" s="43" t="n">
        <v>3</v>
      </c>
      <c r="E437" s="44" t="n">
        <v>32.55</v>
      </c>
      <c r="F437" s="45" t="n">
        <f aca="false">IFERROR(D437*E437,0)</f>
        <v>97.65</v>
      </c>
      <c r="G437" s="42" t="s">
        <v>99</v>
      </c>
      <c r="H437" s="42" t="s">
        <v>88</v>
      </c>
    </row>
    <row r="438" customFormat="false" ht="14.25" hidden="false" customHeight="true" outlineLevel="0" collapsed="false">
      <c r="A438" s="16" t="s">
        <v>31</v>
      </c>
      <c r="B438" s="42" t="s">
        <v>155</v>
      </c>
      <c r="C438" s="42" t="s">
        <v>167</v>
      </c>
      <c r="D438" s="43" t="n">
        <v>3</v>
      </c>
      <c r="E438" s="44" t="n">
        <v>52.35</v>
      </c>
      <c r="F438" s="45" t="n">
        <f aca="false">IFERROR(D438*E438,0)</f>
        <v>157.05</v>
      </c>
      <c r="G438" s="42" t="s">
        <v>99</v>
      </c>
      <c r="H438" s="42" t="s">
        <v>88</v>
      </c>
    </row>
    <row r="439" customFormat="false" ht="14.25" hidden="false" customHeight="true" outlineLevel="0" collapsed="false">
      <c r="A439" s="16" t="s">
        <v>31</v>
      </c>
      <c r="B439" s="42" t="s">
        <v>155</v>
      </c>
      <c r="C439" s="42" t="s">
        <v>168</v>
      </c>
      <c r="D439" s="43" t="n">
        <v>3</v>
      </c>
      <c r="E439" s="44" t="n">
        <v>124.491481481482</v>
      </c>
      <c r="F439" s="45" t="n">
        <f aca="false">IFERROR(D439*E439,0)</f>
        <v>373.474444444446</v>
      </c>
      <c r="G439" s="42" t="str">
        <f aca="false">INDEX(SETORES!$B:$B,MATCH(A439,SETORES!$A:$A,0))</f>
        <v>Clientes</v>
      </c>
      <c r="H439" s="42" t="s">
        <v>88</v>
      </c>
    </row>
    <row r="440" customFormat="false" ht="14.25" hidden="false" customHeight="true" outlineLevel="0" collapsed="false">
      <c r="A440" s="16" t="s">
        <v>31</v>
      </c>
      <c r="B440" s="42" t="s">
        <v>155</v>
      </c>
      <c r="C440" s="42" t="s">
        <v>169</v>
      </c>
      <c r="D440" s="43" t="n">
        <v>1</v>
      </c>
      <c r="E440" s="44" t="n">
        <v>42164.64</v>
      </c>
      <c r="F440" s="45" t="n">
        <f aca="false">IFERROR(D440*E440,0)</f>
        <v>42164.64</v>
      </c>
      <c r="G440" s="42" t="str">
        <f aca="false">INDEX(SETORES!$B:$B,MATCH(A440,SETORES!$A:$A,0))</f>
        <v>Clientes</v>
      </c>
      <c r="H440" s="42" t="s">
        <v>88</v>
      </c>
    </row>
    <row r="441" customFormat="false" ht="14.25" hidden="false" customHeight="true" outlineLevel="0" collapsed="false">
      <c r="A441" s="16" t="s">
        <v>31</v>
      </c>
      <c r="B441" s="42" t="s">
        <v>155</v>
      </c>
      <c r="C441" s="42" t="s">
        <v>170</v>
      </c>
      <c r="D441" s="43"/>
      <c r="E441" s="44"/>
      <c r="F441" s="45" t="n">
        <f aca="false">IFERROR(D441*E441,0)</f>
        <v>0</v>
      </c>
      <c r="G441" s="42" t="str">
        <f aca="false">INDEX(SETORES!$B:$B,MATCH(A441,SETORES!$A:$A,0))</f>
        <v>Clientes</v>
      </c>
      <c r="H441" s="42" t="s">
        <v>88</v>
      </c>
    </row>
    <row r="442" customFormat="false" ht="14.25" hidden="false" customHeight="true" outlineLevel="0" collapsed="false">
      <c r="A442" s="16" t="s">
        <v>31</v>
      </c>
      <c r="B442" s="42" t="s">
        <v>155</v>
      </c>
      <c r="C442" s="42" t="s">
        <v>183</v>
      </c>
      <c r="D442" s="43" t="n">
        <v>1</v>
      </c>
      <c r="E442" s="44" t="n">
        <v>200</v>
      </c>
      <c r="F442" s="45" t="n">
        <f aca="false">IFERROR(D442*E442,0)</f>
        <v>200</v>
      </c>
      <c r="G442" s="42" t="str">
        <f aca="false">INDEX(SETORES!$B:$B,MATCH(A442,SETORES!$A:$A,0))</f>
        <v>Clientes</v>
      </c>
      <c r="H442" s="42" t="s">
        <v>88</v>
      </c>
    </row>
    <row r="443" customFormat="false" ht="14.25" hidden="false" customHeight="true" outlineLevel="0" collapsed="false">
      <c r="A443" s="16" t="s">
        <v>31</v>
      </c>
      <c r="B443" s="42" t="s">
        <v>155</v>
      </c>
      <c r="C443" s="42" t="s">
        <v>171</v>
      </c>
      <c r="D443" s="43" t="n">
        <v>3</v>
      </c>
      <c r="E443" s="44" t="n">
        <v>8.817255</v>
      </c>
      <c r="F443" s="45" t="n">
        <f aca="false">IFERROR(D443*E443,0)</f>
        <v>26.451765</v>
      </c>
      <c r="G443" s="42" t="str">
        <f aca="false">INDEX(SETORES!$B:$B,MATCH(A443,SETORES!$A:$A,0))</f>
        <v>Clientes</v>
      </c>
      <c r="H443" s="42" t="s">
        <v>88</v>
      </c>
    </row>
    <row r="444" customFormat="false" ht="14.25" hidden="false" customHeight="true" outlineLevel="0" collapsed="false">
      <c r="A444" s="16" t="s">
        <v>31</v>
      </c>
      <c r="B444" s="42" t="s">
        <v>155</v>
      </c>
      <c r="C444" s="42" t="s">
        <v>172</v>
      </c>
      <c r="D444" s="43" t="n">
        <v>3</v>
      </c>
      <c r="E444" s="44" t="n">
        <v>50</v>
      </c>
      <c r="F444" s="45" t="n">
        <f aca="false">IFERROR(D444*E444,0)</f>
        <v>150</v>
      </c>
      <c r="G444" s="42" t="str">
        <f aca="false">INDEX(SETORES!$B:$B,MATCH(A444,SETORES!$A:$A,0))</f>
        <v>Clientes</v>
      </c>
      <c r="H444" s="42" t="s">
        <v>88</v>
      </c>
    </row>
    <row r="445" customFormat="false" ht="14.25" hidden="false" customHeight="true" outlineLevel="0" collapsed="false">
      <c r="A445" s="16" t="s">
        <v>31</v>
      </c>
      <c r="B445" s="42" t="s">
        <v>155</v>
      </c>
      <c r="C445" s="42" t="s">
        <v>177</v>
      </c>
      <c r="D445" s="43" t="n">
        <v>1</v>
      </c>
      <c r="E445" s="44" t="n">
        <v>37.24</v>
      </c>
      <c r="F445" s="45" t="n">
        <f aca="false">IFERROR(D445*E445,0)</f>
        <v>37.24</v>
      </c>
      <c r="G445" s="42" t="str">
        <f aca="false">INDEX(SETORES!$B:$B,MATCH(A445,SETORES!$A:$A,0))</f>
        <v>Clientes</v>
      </c>
      <c r="H445" s="42" t="s">
        <v>88</v>
      </c>
    </row>
    <row r="446" customFormat="false" ht="14.25" hidden="false" customHeight="true" outlineLevel="0" collapsed="false">
      <c r="A446" s="16" t="s">
        <v>31</v>
      </c>
      <c r="B446" s="42" t="s">
        <v>155</v>
      </c>
      <c r="C446" s="42" t="s">
        <v>178</v>
      </c>
      <c r="D446" s="43" t="n">
        <v>1</v>
      </c>
      <c r="E446" s="44" t="n">
        <v>288.15</v>
      </c>
      <c r="F446" s="45" t="n">
        <f aca="false">IFERROR(D446*E446,0)</f>
        <v>288.15</v>
      </c>
      <c r="G446" s="42" t="str">
        <f aca="false">INDEX(SETORES!$B:$B,MATCH(A446,SETORES!$A:$A,0))</f>
        <v>Clientes</v>
      </c>
      <c r="H446" s="42" t="s">
        <v>88</v>
      </c>
    </row>
    <row r="447" customFormat="false" ht="14.25" hidden="false" customHeight="true" outlineLevel="0" collapsed="false">
      <c r="A447" s="16" t="s">
        <v>31</v>
      </c>
      <c r="B447" s="42" t="s">
        <v>157</v>
      </c>
      <c r="C447" s="42" t="s">
        <v>158</v>
      </c>
      <c r="D447" s="43"/>
      <c r="E447" s="44"/>
      <c r="F447" s="45" t="n">
        <f aca="false">IFERROR(D447*E447,0)</f>
        <v>0</v>
      </c>
      <c r="G447" s="42" t="str">
        <f aca="false">INDEX(SETORES!$B:$B,MATCH(A447,SETORES!$A:$A,0))</f>
        <v>Clientes</v>
      </c>
      <c r="H447" s="42" t="s">
        <v>88</v>
      </c>
    </row>
    <row r="448" customFormat="false" ht="14.25" hidden="false" customHeight="true" outlineLevel="0" collapsed="false">
      <c r="A448" s="16" t="s">
        <v>31</v>
      </c>
      <c r="B448" s="42" t="s">
        <v>155</v>
      </c>
      <c r="C448" s="42" t="s">
        <v>173</v>
      </c>
      <c r="D448" s="43" t="n">
        <v>3</v>
      </c>
      <c r="E448" s="44" t="n">
        <v>1.87</v>
      </c>
      <c r="F448" s="45" t="n">
        <f aca="false">IFERROR(D448*E448,0)</f>
        <v>5.61</v>
      </c>
      <c r="G448" s="42" t="str">
        <f aca="false">INDEX(SETORES!$B:$B,MATCH(A448,SETORES!$A:$A,0))</f>
        <v>Clientes</v>
      </c>
      <c r="H448" s="42" t="s">
        <v>88</v>
      </c>
    </row>
    <row r="449" customFormat="false" ht="14.25" hidden="false" customHeight="true" outlineLevel="0" collapsed="false">
      <c r="A449" s="16" t="s">
        <v>31</v>
      </c>
      <c r="B449" s="42" t="s">
        <v>155</v>
      </c>
      <c r="C449" s="42" t="s">
        <v>179</v>
      </c>
      <c r="D449" s="43"/>
      <c r="E449" s="44"/>
      <c r="F449" s="45" t="n">
        <f aca="false">IFERROR(D449*E449,0)</f>
        <v>0</v>
      </c>
      <c r="G449" s="42" t="str">
        <f aca="false">INDEX(SETORES!$B:$B,MATCH(A449,SETORES!$A:$A,0))</f>
        <v>Clientes</v>
      </c>
      <c r="H449" s="42" t="s">
        <v>88</v>
      </c>
    </row>
    <row r="450" customFormat="false" ht="14.25" hidden="false" customHeight="true" outlineLevel="0" collapsed="false">
      <c r="A450" s="16" t="s">
        <v>37</v>
      </c>
      <c r="B450" s="42" t="s">
        <v>155</v>
      </c>
      <c r="C450" s="42" t="s">
        <v>162</v>
      </c>
      <c r="D450" s="43" t="n">
        <v>42</v>
      </c>
      <c r="E450" s="44" t="n">
        <v>0.342924528301887</v>
      </c>
      <c r="F450" s="45" t="n">
        <f aca="false">IFERROR(D450*E450,0)</f>
        <v>14.4028301886793</v>
      </c>
      <c r="G450" s="42" t="str">
        <f aca="false">INDEX(SETORES!$B:$B,MATCH(A450,SETORES!$A:$A,0))</f>
        <v>Clientes</v>
      </c>
      <c r="H450" s="42" t="s">
        <v>88</v>
      </c>
    </row>
    <row r="451" customFormat="false" ht="14.25" hidden="false" customHeight="true" outlineLevel="0" collapsed="false">
      <c r="A451" s="16" t="s">
        <v>37</v>
      </c>
      <c r="B451" s="42" t="s">
        <v>155</v>
      </c>
      <c r="C451" s="42" t="s">
        <v>180</v>
      </c>
      <c r="D451" s="43" t="n">
        <v>1</v>
      </c>
      <c r="E451" s="44" t="n">
        <v>3272.78</v>
      </c>
      <c r="F451" s="45" t="n">
        <f aca="false">IFERROR(D451*E451,0)</f>
        <v>3272.78</v>
      </c>
      <c r="G451" s="42" t="str">
        <f aca="false">INDEX(SETORES!$B:$B,MATCH(A451,SETORES!$A:$A,0))</f>
        <v>Clientes</v>
      </c>
      <c r="H451" s="42" t="s">
        <v>88</v>
      </c>
    </row>
    <row r="452" customFormat="false" ht="14.25" hidden="false" customHeight="true" outlineLevel="0" collapsed="false">
      <c r="A452" s="16" t="s">
        <v>37</v>
      </c>
      <c r="B452" s="42" t="s">
        <v>155</v>
      </c>
      <c r="C452" s="42" t="s">
        <v>165</v>
      </c>
      <c r="D452" s="43" t="n">
        <v>42</v>
      </c>
      <c r="E452" s="44" t="n">
        <v>52.09</v>
      </c>
      <c r="F452" s="45" t="n">
        <f aca="false">IFERROR(D452*E452,0)</f>
        <v>2187.78</v>
      </c>
      <c r="G452" s="42" t="s">
        <v>99</v>
      </c>
      <c r="H452" s="42" t="s">
        <v>88</v>
      </c>
    </row>
    <row r="453" customFormat="false" ht="14.25" hidden="false" customHeight="true" outlineLevel="0" collapsed="false">
      <c r="A453" s="16" t="s">
        <v>37</v>
      </c>
      <c r="B453" s="42" t="s">
        <v>155</v>
      </c>
      <c r="C453" s="42" t="s">
        <v>166</v>
      </c>
      <c r="D453" s="43" t="n">
        <v>42</v>
      </c>
      <c r="E453" s="44" t="n">
        <v>32.55</v>
      </c>
      <c r="F453" s="45" t="n">
        <f aca="false">IFERROR(D453*E453,0)</f>
        <v>1367.1</v>
      </c>
      <c r="G453" s="42" t="s">
        <v>99</v>
      </c>
      <c r="H453" s="42" t="s">
        <v>88</v>
      </c>
    </row>
    <row r="454" customFormat="false" ht="14.25" hidden="false" customHeight="true" outlineLevel="0" collapsed="false">
      <c r="A454" s="16" t="s">
        <v>37</v>
      </c>
      <c r="B454" s="42" t="s">
        <v>155</v>
      </c>
      <c r="C454" s="42" t="s">
        <v>167</v>
      </c>
      <c r="D454" s="43" t="n">
        <v>42</v>
      </c>
      <c r="E454" s="44" t="n">
        <v>52.35</v>
      </c>
      <c r="F454" s="45" t="n">
        <f aca="false">IFERROR(D454*E454,0)</f>
        <v>2198.7</v>
      </c>
      <c r="G454" s="42" t="s">
        <v>99</v>
      </c>
      <c r="H454" s="42" t="s">
        <v>88</v>
      </c>
    </row>
    <row r="455" customFormat="false" ht="14.25" hidden="false" customHeight="true" outlineLevel="0" collapsed="false">
      <c r="A455" s="16" t="s">
        <v>37</v>
      </c>
      <c r="B455" s="42" t="s">
        <v>155</v>
      </c>
      <c r="C455" s="42" t="s">
        <v>168</v>
      </c>
      <c r="D455" s="43" t="n">
        <v>42</v>
      </c>
      <c r="E455" s="44" t="n">
        <v>124.491481481482</v>
      </c>
      <c r="F455" s="45" t="n">
        <f aca="false">IFERROR(D455*E455,0)</f>
        <v>5228.64222222224</v>
      </c>
      <c r="G455" s="42" t="str">
        <f aca="false">INDEX(SETORES!$B:$B,MATCH(A455,SETORES!$A:$A,0))</f>
        <v>Clientes</v>
      </c>
      <c r="H455" s="42" t="s">
        <v>88</v>
      </c>
    </row>
    <row r="456" customFormat="false" ht="14.25" hidden="false" customHeight="true" outlineLevel="0" collapsed="false">
      <c r="A456" s="16" t="s">
        <v>37</v>
      </c>
      <c r="B456" s="42" t="s">
        <v>157</v>
      </c>
      <c r="C456" s="42" t="s">
        <v>174</v>
      </c>
      <c r="D456" s="43"/>
      <c r="E456" s="44"/>
      <c r="F456" s="45" t="n">
        <f aca="false">IFERROR(D456*E456,0)</f>
        <v>0</v>
      </c>
      <c r="G456" s="42" t="str">
        <f aca="false">INDEX(SETORES!$B:$B,MATCH(A456,SETORES!$A:$A,0))</f>
        <v>Clientes</v>
      </c>
      <c r="H456" s="42" t="s">
        <v>88</v>
      </c>
    </row>
    <row r="457" customFormat="false" ht="14.25" hidden="false" customHeight="true" outlineLevel="0" collapsed="false">
      <c r="A457" s="16" t="s">
        <v>37</v>
      </c>
      <c r="B457" s="42" t="s">
        <v>157</v>
      </c>
      <c r="C457" s="42" t="s">
        <v>175</v>
      </c>
      <c r="D457" s="43"/>
      <c r="E457" s="44"/>
      <c r="F457" s="45" t="n">
        <f aca="false">IFERROR(D457*E457,0)</f>
        <v>0</v>
      </c>
      <c r="G457" s="42" t="str">
        <f aca="false">INDEX(SETORES!$B:$B,MATCH(A457,SETORES!$A:$A,0))</f>
        <v>Clientes</v>
      </c>
      <c r="H457" s="42" t="s">
        <v>88</v>
      </c>
    </row>
    <row r="458" customFormat="false" ht="14.25" hidden="false" customHeight="true" outlineLevel="0" collapsed="false">
      <c r="A458" s="16" t="s">
        <v>37</v>
      </c>
      <c r="B458" s="42" t="s">
        <v>157</v>
      </c>
      <c r="C458" s="42" t="s">
        <v>176</v>
      </c>
      <c r="D458" s="43"/>
      <c r="E458" s="44"/>
      <c r="F458" s="45" t="n">
        <f aca="false">IFERROR(D458*E458,0)</f>
        <v>0</v>
      </c>
      <c r="G458" s="42" t="str">
        <f aca="false">INDEX(SETORES!$B:$B,MATCH(A458,SETORES!$A:$A,0))</f>
        <v>Clientes</v>
      </c>
      <c r="H458" s="42" t="s">
        <v>88</v>
      </c>
    </row>
    <row r="459" customFormat="false" ht="14.25" hidden="false" customHeight="true" outlineLevel="0" collapsed="false">
      <c r="A459" s="16" t="s">
        <v>37</v>
      </c>
      <c r="B459" s="42" t="s">
        <v>155</v>
      </c>
      <c r="C459" s="42" t="s">
        <v>169</v>
      </c>
      <c r="D459" s="43" t="n">
        <v>1</v>
      </c>
      <c r="E459" s="44" t="n">
        <v>145351.16</v>
      </c>
      <c r="F459" s="45" t="n">
        <f aca="false">IFERROR(D459*E459,0)</f>
        <v>145351.16</v>
      </c>
      <c r="G459" s="42" t="str">
        <f aca="false">INDEX(SETORES!$B:$B,MATCH(A459,SETORES!$A:$A,0))</f>
        <v>Clientes</v>
      </c>
      <c r="H459" s="42" t="s">
        <v>88</v>
      </c>
    </row>
    <row r="460" customFormat="false" ht="14.25" hidden="false" customHeight="true" outlineLevel="0" collapsed="false">
      <c r="A460" s="16" t="s">
        <v>37</v>
      </c>
      <c r="B460" s="42" t="s">
        <v>155</v>
      </c>
      <c r="C460" s="42" t="s">
        <v>170</v>
      </c>
      <c r="D460" s="43"/>
      <c r="E460" s="44"/>
      <c r="F460" s="45" t="n">
        <f aca="false">IFERROR(D460*E460,0)</f>
        <v>0</v>
      </c>
      <c r="G460" s="42" t="str">
        <f aca="false">INDEX(SETORES!$B:$B,MATCH(A460,SETORES!$A:$A,0))</f>
        <v>Clientes</v>
      </c>
      <c r="H460" s="42" t="s">
        <v>88</v>
      </c>
    </row>
    <row r="461" customFormat="false" ht="14.25" hidden="false" customHeight="true" outlineLevel="0" collapsed="false">
      <c r="A461" s="16" t="s">
        <v>37</v>
      </c>
      <c r="B461" s="42" t="s">
        <v>155</v>
      </c>
      <c r="C461" s="42" t="s">
        <v>181</v>
      </c>
      <c r="D461" s="43"/>
      <c r="E461" s="44"/>
      <c r="F461" s="45" t="n">
        <f aca="false">IFERROR(D461*E461,0)</f>
        <v>0</v>
      </c>
      <c r="G461" s="42" t="str">
        <f aca="false">INDEX(SETORES!$B:$B,MATCH(A461,SETORES!$A:$A,0))</f>
        <v>Clientes</v>
      </c>
      <c r="H461" s="42" t="s">
        <v>88</v>
      </c>
    </row>
    <row r="462" customFormat="false" ht="14.25" hidden="false" customHeight="true" outlineLevel="0" collapsed="false">
      <c r="A462" s="16" t="s">
        <v>37</v>
      </c>
      <c r="B462" s="42" t="s">
        <v>155</v>
      </c>
      <c r="C462" s="42" t="s">
        <v>171</v>
      </c>
      <c r="D462" s="43"/>
      <c r="E462" s="44"/>
      <c r="F462" s="45" t="n">
        <f aca="false">IFERROR(D462*E462,0)</f>
        <v>0</v>
      </c>
      <c r="G462" s="42" t="str">
        <f aca="false">INDEX(SETORES!$B:$B,MATCH(A462,SETORES!$A:$A,0))</f>
        <v>Clientes</v>
      </c>
      <c r="H462" s="42" t="s">
        <v>88</v>
      </c>
    </row>
    <row r="463" customFormat="false" ht="14.25" hidden="false" customHeight="true" outlineLevel="0" collapsed="false">
      <c r="A463" s="16" t="s">
        <v>37</v>
      </c>
      <c r="B463" s="42" t="s">
        <v>155</v>
      </c>
      <c r="C463" s="42" t="s">
        <v>172</v>
      </c>
      <c r="D463" s="43" t="n">
        <v>42</v>
      </c>
      <c r="E463" s="44" t="n">
        <v>50</v>
      </c>
      <c r="F463" s="45" t="n">
        <f aca="false">IFERROR(D463*E463,0)</f>
        <v>2100</v>
      </c>
      <c r="G463" s="42" t="str">
        <f aca="false">INDEX(SETORES!$B:$B,MATCH(A463,SETORES!$A:$A,0))</f>
        <v>Clientes</v>
      </c>
      <c r="H463" s="42" t="s">
        <v>88</v>
      </c>
    </row>
    <row r="464" customFormat="false" ht="14.25" hidden="false" customHeight="true" outlineLevel="0" collapsed="false">
      <c r="A464" s="16" t="s">
        <v>37</v>
      </c>
      <c r="B464" s="42" t="s">
        <v>155</v>
      </c>
      <c r="C464" s="42" t="s">
        <v>224</v>
      </c>
      <c r="D464" s="43"/>
      <c r="E464" s="44"/>
      <c r="F464" s="45" t="n">
        <f aca="false">IFERROR(D464*E464,0)</f>
        <v>0</v>
      </c>
      <c r="G464" s="42" t="str">
        <f aca="false">INDEX(SETORES!$B:$B,MATCH(A464,SETORES!$A:$A,0))</f>
        <v>Clientes</v>
      </c>
      <c r="H464" s="42" t="s">
        <v>88</v>
      </c>
    </row>
    <row r="465" customFormat="false" ht="14.25" hidden="false" customHeight="true" outlineLevel="0" collapsed="false">
      <c r="A465" s="16" t="s">
        <v>37</v>
      </c>
      <c r="B465" s="42" t="s">
        <v>155</v>
      </c>
      <c r="C465" s="42" t="s">
        <v>177</v>
      </c>
      <c r="D465" s="43" t="n">
        <v>1</v>
      </c>
      <c r="E465" s="44" t="n">
        <v>12.09</v>
      </c>
      <c r="F465" s="45" t="n">
        <f aca="false">IFERROR(D465*E465,0)</f>
        <v>12.09</v>
      </c>
      <c r="G465" s="42" t="str">
        <f aca="false">INDEX(SETORES!$B:$B,MATCH(A465,SETORES!$A:$A,0))</f>
        <v>Clientes</v>
      </c>
      <c r="H465" s="42" t="s">
        <v>88</v>
      </c>
    </row>
    <row r="466" customFormat="false" ht="14.25" hidden="false" customHeight="true" outlineLevel="0" collapsed="false">
      <c r="A466" s="16" t="s">
        <v>37</v>
      </c>
      <c r="B466" s="42" t="s">
        <v>155</v>
      </c>
      <c r="C466" s="42" t="s">
        <v>178</v>
      </c>
      <c r="D466" s="43" t="n">
        <v>1</v>
      </c>
      <c r="E466" s="44" t="n">
        <v>2123.29</v>
      </c>
      <c r="F466" s="45" t="n">
        <f aca="false">IFERROR(D466*E466,0)</f>
        <v>2123.29</v>
      </c>
      <c r="G466" s="42" t="str">
        <f aca="false">INDEX(SETORES!$B:$B,MATCH(A466,SETORES!$A:$A,0))</f>
        <v>Clientes</v>
      </c>
      <c r="H466" s="42" t="s">
        <v>88</v>
      </c>
    </row>
    <row r="467" customFormat="false" ht="14.25" hidden="false" customHeight="true" outlineLevel="0" collapsed="false">
      <c r="A467" s="16" t="s">
        <v>37</v>
      </c>
      <c r="B467" s="42" t="s">
        <v>157</v>
      </c>
      <c r="C467" s="42" t="s">
        <v>158</v>
      </c>
      <c r="D467" s="43"/>
      <c r="E467" s="44"/>
      <c r="F467" s="45" t="n">
        <f aca="false">IFERROR(D467*E467,0)</f>
        <v>0</v>
      </c>
      <c r="G467" s="42" t="str">
        <f aca="false">INDEX(SETORES!$B:$B,MATCH(A467,SETORES!$A:$A,0))</f>
        <v>Clientes</v>
      </c>
      <c r="H467" s="42" t="s">
        <v>88</v>
      </c>
    </row>
    <row r="468" customFormat="false" ht="14.25" hidden="false" customHeight="true" outlineLevel="0" collapsed="false">
      <c r="A468" s="16" t="s">
        <v>37</v>
      </c>
      <c r="B468" s="42" t="s">
        <v>155</v>
      </c>
      <c r="C468" s="42" t="s">
        <v>182</v>
      </c>
      <c r="D468" s="43" t="n">
        <v>42</v>
      </c>
      <c r="E468" s="44" t="n">
        <v>294.971933</v>
      </c>
      <c r="F468" s="45" t="n">
        <f aca="false">IFERROR(D468*E468,0)</f>
        <v>12388.821186</v>
      </c>
      <c r="G468" s="42" t="str">
        <f aca="false">INDEX(SETORES!$B:$B,MATCH(A468,SETORES!$A:$A,0))</f>
        <v>Clientes</v>
      </c>
      <c r="H468" s="42" t="s">
        <v>88</v>
      </c>
    </row>
    <row r="469" customFormat="false" ht="14.25" hidden="false" customHeight="true" outlineLevel="0" collapsed="false">
      <c r="A469" s="16" t="s">
        <v>37</v>
      </c>
      <c r="B469" s="42" t="s">
        <v>155</v>
      </c>
      <c r="C469" s="42" t="s">
        <v>173</v>
      </c>
      <c r="D469" s="43" t="n">
        <v>42</v>
      </c>
      <c r="E469" s="44" t="n">
        <v>1.87</v>
      </c>
      <c r="F469" s="45" t="n">
        <f aca="false">IFERROR(D469*E469,0)</f>
        <v>78.54</v>
      </c>
      <c r="G469" s="42" t="str">
        <f aca="false">INDEX(SETORES!$B:$B,MATCH(A469,SETORES!$A:$A,0))</f>
        <v>Clientes</v>
      </c>
      <c r="H469" s="42" t="s">
        <v>88</v>
      </c>
    </row>
    <row r="470" customFormat="false" ht="14.25" hidden="false" customHeight="true" outlineLevel="0" collapsed="false">
      <c r="A470" s="16" t="s">
        <v>37</v>
      </c>
      <c r="B470" s="42" t="s">
        <v>155</v>
      </c>
      <c r="C470" s="42" t="s">
        <v>179</v>
      </c>
      <c r="D470" s="43"/>
      <c r="E470" s="44"/>
      <c r="F470" s="45" t="n">
        <f aca="false">IFERROR(D470*E470,0)</f>
        <v>0</v>
      </c>
      <c r="G470" s="42" t="str">
        <f aca="false">INDEX(SETORES!$B:$B,MATCH(A470,SETORES!$A:$A,0))</f>
        <v>Clientes</v>
      </c>
      <c r="H470" s="42" t="s">
        <v>88</v>
      </c>
    </row>
    <row r="471" customFormat="false" ht="14.25" hidden="false" customHeight="true" outlineLevel="0" collapsed="false">
      <c r="A471" s="16" t="s">
        <v>46</v>
      </c>
      <c r="B471" s="42" t="s">
        <v>155</v>
      </c>
      <c r="C471" s="42" t="s">
        <v>163</v>
      </c>
      <c r="D471" s="43" t="n">
        <v>5</v>
      </c>
      <c r="E471" s="44" t="n">
        <v>30</v>
      </c>
      <c r="F471" s="45" t="n">
        <f aca="false">IFERROR(D471*E471,0)</f>
        <v>150</v>
      </c>
      <c r="G471" s="42" t="str">
        <f aca="false">INDEX(SETORES!$B:$B,MATCH(A471,SETORES!$A:$A,0))</f>
        <v>Clientes</v>
      </c>
      <c r="H471" s="42" t="s">
        <v>88</v>
      </c>
    </row>
    <row r="472" customFormat="false" ht="14.25" hidden="false" customHeight="true" outlineLevel="0" collapsed="false">
      <c r="A472" s="16" t="s">
        <v>46</v>
      </c>
      <c r="B472" s="42" t="s">
        <v>157</v>
      </c>
      <c r="C472" s="42" t="s">
        <v>199</v>
      </c>
      <c r="D472" s="43" t="n">
        <v>1</v>
      </c>
      <c r="E472" s="44" t="n">
        <v>11761.57</v>
      </c>
      <c r="F472" s="45" t="n">
        <f aca="false">IFERROR(D472*E472,0)</f>
        <v>11761.57</v>
      </c>
      <c r="G472" s="42" t="str">
        <f aca="false">INDEX(SETORES!$B:$B,MATCH(A472,SETORES!$A:$A,0))</f>
        <v>Clientes</v>
      </c>
      <c r="H472" s="42" t="s">
        <v>88</v>
      </c>
    </row>
    <row r="473" customFormat="false" ht="14.25" hidden="false" customHeight="true" outlineLevel="0" collapsed="false">
      <c r="A473" s="16" t="s">
        <v>46</v>
      </c>
      <c r="B473" s="42" t="s">
        <v>155</v>
      </c>
      <c r="C473" s="42" t="s">
        <v>205</v>
      </c>
      <c r="D473" s="43" t="n">
        <v>1</v>
      </c>
      <c r="E473" s="44" t="n">
        <v>4198.71</v>
      </c>
      <c r="F473" s="45" t="n">
        <f aca="false">IFERROR(D473*E473,0)</f>
        <v>4198.71</v>
      </c>
      <c r="G473" s="42" t="str">
        <f aca="false">INDEX(SETORES!$B:$B,MATCH(A473,SETORES!$A:$A,0))</f>
        <v>Clientes</v>
      </c>
      <c r="H473" s="42" t="s">
        <v>88</v>
      </c>
    </row>
    <row r="474" customFormat="false" ht="14.25" hidden="false" customHeight="true" outlineLevel="0" collapsed="false">
      <c r="A474" s="16" t="s">
        <v>46</v>
      </c>
      <c r="B474" s="42" t="s">
        <v>155</v>
      </c>
      <c r="C474" s="42" t="s">
        <v>165</v>
      </c>
      <c r="D474" s="43" t="n">
        <v>24</v>
      </c>
      <c r="E474" s="44" t="n">
        <v>52.09</v>
      </c>
      <c r="F474" s="45" t="n">
        <f aca="false">IFERROR(D474*E474,0)</f>
        <v>1250.16</v>
      </c>
      <c r="G474" s="42" t="s">
        <v>99</v>
      </c>
      <c r="H474" s="42" t="s">
        <v>88</v>
      </c>
    </row>
    <row r="475" customFormat="false" ht="14.25" hidden="false" customHeight="true" outlineLevel="0" collapsed="false">
      <c r="A475" s="16" t="s">
        <v>46</v>
      </c>
      <c r="B475" s="42" t="s">
        <v>155</v>
      </c>
      <c r="C475" s="42" t="s">
        <v>166</v>
      </c>
      <c r="D475" s="43" t="n">
        <v>24</v>
      </c>
      <c r="E475" s="44" t="n">
        <v>32.55</v>
      </c>
      <c r="F475" s="45" t="n">
        <f aca="false">IFERROR(D475*E475,0)</f>
        <v>781.2</v>
      </c>
      <c r="G475" s="42" t="s">
        <v>99</v>
      </c>
      <c r="H475" s="42" t="s">
        <v>88</v>
      </c>
    </row>
    <row r="476" customFormat="false" ht="14.25" hidden="false" customHeight="true" outlineLevel="0" collapsed="false">
      <c r="A476" s="16" t="s">
        <v>46</v>
      </c>
      <c r="B476" s="42" t="s">
        <v>155</v>
      </c>
      <c r="C476" s="42" t="s">
        <v>167</v>
      </c>
      <c r="D476" s="43" t="n">
        <v>24</v>
      </c>
      <c r="E476" s="44" t="n">
        <v>52.35</v>
      </c>
      <c r="F476" s="45" t="n">
        <f aca="false">IFERROR(D476*E476,0)</f>
        <v>1256.4</v>
      </c>
      <c r="G476" s="42" t="s">
        <v>99</v>
      </c>
      <c r="H476" s="42" t="s">
        <v>88</v>
      </c>
    </row>
    <row r="477" customFormat="false" ht="14.25" hidden="false" customHeight="true" outlineLevel="0" collapsed="false">
      <c r="A477" s="16" t="s">
        <v>46</v>
      </c>
      <c r="B477" s="42" t="s">
        <v>157</v>
      </c>
      <c r="C477" s="42" t="s">
        <v>217</v>
      </c>
      <c r="D477" s="43"/>
      <c r="E477" s="44"/>
      <c r="F477" s="45" t="n">
        <f aca="false">IFERROR(D477*E477,0)</f>
        <v>0</v>
      </c>
      <c r="G477" s="42" t="str">
        <f aca="false">INDEX(SETORES!$B:$B,MATCH(A477,SETORES!$A:$A,0))</f>
        <v>Clientes</v>
      </c>
      <c r="H477" s="42" t="s">
        <v>88</v>
      </c>
    </row>
    <row r="478" customFormat="false" ht="14.25" hidden="false" customHeight="true" outlineLevel="0" collapsed="false">
      <c r="A478" s="16" t="s">
        <v>46</v>
      </c>
      <c r="B478" s="42" t="s">
        <v>155</v>
      </c>
      <c r="C478" s="42" t="s">
        <v>169</v>
      </c>
      <c r="D478" s="43" t="n">
        <v>1</v>
      </c>
      <c r="E478" s="44" t="n">
        <v>155833.72</v>
      </c>
      <c r="F478" s="45" t="n">
        <f aca="false">IFERROR(D478*E478,0)</f>
        <v>155833.72</v>
      </c>
      <c r="G478" s="42" t="str">
        <f aca="false">INDEX(SETORES!$B:$B,MATCH(A478,SETORES!$A:$A,0))</f>
        <v>Clientes</v>
      </c>
      <c r="H478" s="42" t="s">
        <v>88</v>
      </c>
    </row>
    <row r="479" customFormat="false" ht="14.25" hidden="false" customHeight="true" outlineLevel="0" collapsed="false">
      <c r="A479" s="16" t="s">
        <v>46</v>
      </c>
      <c r="B479" s="42" t="s">
        <v>155</v>
      </c>
      <c r="C479" s="42" t="s">
        <v>170</v>
      </c>
      <c r="D479" s="43"/>
      <c r="E479" s="44"/>
      <c r="F479" s="45" t="n">
        <f aca="false">IFERROR(D479*E479,0)</f>
        <v>0</v>
      </c>
      <c r="G479" s="42" t="str">
        <f aca="false">INDEX(SETORES!$B:$B,MATCH(A479,SETORES!$A:$A,0))</f>
        <v>Clientes</v>
      </c>
      <c r="H479" s="42" t="s">
        <v>88</v>
      </c>
    </row>
    <row r="480" customFormat="false" ht="14.25" hidden="false" customHeight="true" outlineLevel="0" collapsed="false">
      <c r="A480" s="16" t="s">
        <v>46</v>
      </c>
      <c r="B480" s="42" t="s">
        <v>157</v>
      </c>
      <c r="C480" s="42" t="s">
        <v>223</v>
      </c>
      <c r="D480" s="43"/>
      <c r="E480" s="44"/>
      <c r="F480" s="45" t="n">
        <f aca="false">IFERROR(D480*E480,0)</f>
        <v>0</v>
      </c>
      <c r="G480" s="42" t="str">
        <f aca="false">INDEX(SETORES!$B:$B,MATCH(A480,SETORES!$A:$A,0))</f>
        <v>Clientes</v>
      </c>
      <c r="H480" s="42" t="s">
        <v>88</v>
      </c>
    </row>
    <row r="481" customFormat="false" ht="14.25" hidden="false" customHeight="true" outlineLevel="0" collapsed="false">
      <c r="A481" s="16" t="s">
        <v>46</v>
      </c>
      <c r="B481" s="42" t="s">
        <v>155</v>
      </c>
      <c r="C481" s="42" t="s">
        <v>172</v>
      </c>
      <c r="D481" s="43" t="n">
        <v>0</v>
      </c>
      <c r="E481" s="44" t="n">
        <v>0</v>
      </c>
      <c r="F481" s="45" t="n">
        <f aca="false">IFERROR(D481*E481,0)</f>
        <v>0</v>
      </c>
      <c r="G481" s="42" t="str">
        <f aca="false">INDEX(SETORES!$B:$B,MATCH(A481,SETORES!$A:$A,0))</f>
        <v>Clientes</v>
      </c>
      <c r="H481" s="42" t="s">
        <v>88</v>
      </c>
    </row>
    <row r="482" customFormat="false" ht="14.25" hidden="false" customHeight="true" outlineLevel="0" collapsed="false">
      <c r="A482" s="16" t="s">
        <v>46</v>
      </c>
      <c r="B482" s="42" t="s">
        <v>157</v>
      </c>
      <c r="C482" s="42" t="s">
        <v>158</v>
      </c>
      <c r="D482" s="43"/>
      <c r="E482" s="44"/>
      <c r="F482" s="45" t="n">
        <f aca="false">IFERROR(D482*E482,0)</f>
        <v>0</v>
      </c>
      <c r="G482" s="42" t="str">
        <f aca="false">INDEX(SETORES!$B:$B,MATCH(A482,SETORES!$A:$A,0))</f>
        <v>Clientes</v>
      </c>
      <c r="H482" s="42" t="s">
        <v>88</v>
      </c>
    </row>
    <row r="483" customFormat="false" ht="14.25" hidden="false" customHeight="true" outlineLevel="0" collapsed="false">
      <c r="A483" s="16" t="s">
        <v>46</v>
      </c>
      <c r="B483" s="42" t="s">
        <v>155</v>
      </c>
      <c r="C483" s="42" t="s">
        <v>173</v>
      </c>
      <c r="D483" s="43" t="n">
        <v>24</v>
      </c>
      <c r="E483" s="44" t="n">
        <v>1.87</v>
      </c>
      <c r="F483" s="45" t="n">
        <f aca="false">IFERROR(D483*E483,0)</f>
        <v>44.88</v>
      </c>
      <c r="G483" s="42" t="str">
        <f aca="false">INDEX(SETORES!$B:$B,MATCH(A483,SETORES!$A:$A,0))</f>
        <v>Clientes</v>
      </c>
      <c r="H483" s="42" t="s">
        <v>88</v>
      </c>
    </row>
    <row r="484" customFormat="false" ht="14.25" hidden="false" customHeight="true" outlineLevel="0" collapsed="false">
      <c r="A484" s="16" t="s">
        <v>46</v>
      </c>
      <c r="B484" s="42" t="s">
        <v>155</v>
      </c>
      <c r="C484" s="42" t="s">
        <v>179</v>
      </c>
      <c r="D484" s="43"/>
      <c r="E484" s="44"/>
      <c r="F484" s="45" t="n">
        <f aca="false">IFERROR(D484*E484,0)</f>
        <v>0</v>
      </c>
      <c r="G484" s="42" t="str">
        <f aca="false">INDEX(SETORES!$B:$B,MATCH(A484,SETORES!$A:$A,0))</f>
        <v>Clientes</v>
      </c>
      <c r="H484" s="42" t="s">
        <v>88</v>
      </c>
    </row>
    <row r="485" customFormat="false" ht="14.25" hidden="false" customHeight="true" outlineLevel="0" collapsed="false">
      <c r="A485" s="16" t="s">
        <v>49</v>
      </c>
      <c r="B485" s="42" t="s">
        <v>155</v>
      </c>
      <c r="C485" s="42" t="s">
        <v>162</v>
      </c>
      <c r="D485" s="43" t="n">
        <v>4</v>
      </c>
      <c r="E485" s="44" t="n">
        <v>7.4127</v>
      </c>
      <c r="F485" s="45" t="n">
        <f aca="false">IFERROR(D485*E485,0)</f>
        <v>29.6508</v>
      </c>
      <c r="G485" s="42" t="str">
        <f aca="false">INDEX(SETORES!$B:$B,MATCH(A485,SETORES!$A:$A,0))</f>
        <v>Clientes</v>
      </c>
      <c r="H485" s="42" t="s">
        <v>88</v>
      </c>
    </row>
    <row r="486" customFormat="false" ht="14.25" hidden="false" customHeight="true" outlineLevel="0" collapsed="false">
      <c r="A486" s="16" t="s">
        <v>49</v>
      </c>
      <c r="B486" s="42" t="s">
        <v>157</v>
      </c>
      <c r="C486" s="42" t="s">
        <v>199</v>
      </c>
      <c r="D486" s="43"/>
      <c r="E486" s="44"/>
      <c r="F486" s="45" t="n">
        <f aca="false">IFERROR(D486*E486,0)</f>
        <v>0</v>
      </c>
      <c r="G486" s="42" t="str">
        <f aca="false">INDEX(SETORES!$B:$B,MATCH(A486,SETORES!$A:$A,0))</f>
        <v>Clientes</v>
      </c>
      <c r="H486" s="42" t="s">
        <v>88</v>
      </c>
    </row>
    <row r="487" customFormat="false" ht="14.25" hidden="false" customHeight="true" outlineLevel="0" collapsed="false">
      <c r="A487" s="16" t="s">
        <v>49</v>
      </c>
      <c r="B487" s="42" t="s">
        <v>155</v>
      </c>
      <c r="C487" s="42" t="s">
        <v>220</v>
      </c>
      <c r="D487" s="43" t="n">
        <v>1</v>
      </c>
      <c r="E487" s="44" t="n">
        <v>2899.91</v>
      </c>
      <c r="F487" s="45" t="n">
        <f aca="false">IFERROR(D487*E487,0)</f>
        <v>2899.91</v>
      </c>
      <c r="G487" s="42" t="str">
        <f aca="false">INDEX(SETORES!$B:$B,MATCH(A487,SETORES!$A:$A,0))</f>
        <v>Clientes</v>
      </c>
      <c r="H487" s="42" t="s">
        <v>88</v>
      </c>
    </row>
    <row r="488" customFormat="false" ht="14.25" hidden="false" customHeight="true" outlineLevel="0" collapsed="false">
      <c r="A488" s="16" t="s">
        <v>49</v>
      </c>
      <c r="B488" s="42" t="s">
        <v>155</v>
      </c>
      <c r="C488" s="42" t="s">
        <v>165</v>
      </c>
      <c r="D488" s="43" t="n">
        <v>4</v>
      </c>
      <c r="E488" s="44" t="n">
        <v>52.09</v>
      </c>
      <c r="F488" s="45" t="n">
        <f aca="false">IFERROR(D488*E488,0)</f>
        <v>208.36</v>
      </c>
      <c r="G488" s="42" t="s">
        <v>99</v>
      </c>
      <c r="H488" s="42" t="s">
        <v>88</v>
      </c>
    </row>
    <row r="489" customFormat="false" ht="14.25" hidden="false" customHeight="true" outlineLevel="0" collapsed="false">
      <c r="A489" s="16" t="s">
        <v>49</v>
      </c>
      <c r="B489" s="42" t="s">
        <v>155</v>
      </c>
      <c r="C489" s="42" t="s">
        <v>166</v>
      </c>
      <c r="D489" s="43" t="n">
        <v>4</v>
      </c>
      <c r="E489" s="44" t="n">
        <v>32.55</v>
      </c>
      <c r="F489" s="45" t="n">
        <f aca="false">IFERROR(D489*E489,0)</f>
        <v>130.2</v>
      </c>
      <c r="G489" s="42" t="s">
        <v>99</v>
      </c>
      <c r="H489" s="42" t="s">
        <v>88</v>
      </c>
    </row>
    <row r="490" customFormat="false" ht="14.25" hidden="false" customHeight="true" outlineLevel="0" collapsed="false">
      <c r="A490" s="16" t="s">
        <v>49</v>
      </c>
      <c r="B490" s="42" t="s">
        <v>155</v>
      </c>
      <c r="C490" s="42" t="s">
        <v>167</v>
      </c>
      <c r="D490" s="43" t="n">
        <v>4</v>
      </c>
      <c r="E490" s="44" t="n">
        <v>52.35</v>
      </c>
      <c r="F490" s="45" t="n">
        <f aca="false">IFERROR(D490*E490,0)</f>
        <v>209.4</v>
      </c>
      <c r="G490" s="42" t="s">
        <v>99</v>
      </c>
      <c r="H490" s="42" t="s">
        <v>88</v>
      </c>
    </row>
    <row r="491" customFormat="false" ht="14.25" hidden="false" customHeight="true" outlineLevel="0" collapsed="false">
      <c r="A491" s="16" t="s">
        <v>49</v>
      </c>
      <c r="B491" s="42" t="s">
        <v>155</v>
      </c>
      <c r="C491" s="42" t="s">
        <v>168</v>
      </c>
      <c r="D491" s="43"/>
      <c r="E491" s="44"/>
      <c r="F491" s="45" t="n">
        <f aca="false">IFERROR(D491*E491,0)</f>
        <v>0</v>
      </c>
      <c r="G491" s="42" t="str">
        <f aca="false">INDEX(SETORES!$B:$B,MATCH(A491,SETORES!$A:$A,0))</f>
        <v>Clientes</v>
      </c>
      <c r="H491" s="42" t="s">
        <v>88</v>
      </c>
    </row>
    <row r="492" customFormat="false" ht="14.25" hidden="false" customHeight="true" outlineLevel="0" collapsed="false">
      <c r="A492" s="16" t="s">
        <v>49</v>
      </c>
      <c r="B492" s="42" t="s">
        <v>157</v>
      </c>
      <c r="C492" s="42" t="s">
        <v>174</v>
      </c>
      <c r="D492" s="43"/>
      <c r="E492" s="44"/>
      <c r="F492" s="45" t="n">
        <f aca="false">IFERROR(D492*E492,0)</f>
        <v>0</v>
      </c>
      <c r="G492" s="42" t="str">
        <f aca="false">INDEX(SETORES!$B:$B,MATCH(A492,SETORES!$A:$A,0))</f>
        <v>Clientes</v>
      </c>
      <c r="H492" s="42" t="s">
        <v>88</v>
      </c>
    </row>
    <row r="493" customFormat="false" ht="14.25" hidden="false" customHeight="true" outlineLevel="0" collapsed="false">
      <c r="A493" s="16" t="s">
        <v>49</v>
      </c>
      <c r="B493" s="42" t="s">
        <v>155</v>
      </c>
      <c r="C493" s="42" t="s">
        <v>169</v>
      </c>
      <c r="D493" s="43" t="n">
        <v>1</v>
      </c>
      <c r="E493" s="44" t="n">
        <v>25793.59</v>
      </c>
      <c r="F493" s="45" t="n">
        <f aca="false">IFERROR(D493*E493,0)</f>
        <v>25793.59</v>
      </c>
      <c r="G493" s="42" t="str">
        <f aca="false">INDEX(SETORES!$B:$B,MATCH(A493,SETORES!$A:$A,0))</f>
        <v>Clientes</v>
      </c>
      <c r="H493" s="42" t="s">
        <v>88</v>
      </c>
    </row>
    <row r="494" customFormat="false" ht="14.25" hidden="false" customHeight="true" outlineLevel="0" collapsed="false">
      <c r="A494" s="16" t="s">
        <v>49</v>
      </c>
      <c r="B494" s="42" t="s">
        <v>155</v>
      </c>
      <c r="C494" s="42" t="s">
        <v>170</v>
      </c>
      <c r="D494" s="43"/>
      <c r="E494" s="44"/>
      <c r="F494" s="45" t="n">
        <f aca="false">IFERROR(D494*E494,0)</f>
        <v>0</v>
      </c>
      <c r="G494" s="42" t="str">
        <f aca="false">INDEX(SETORES!$B:$B,MATCH(A494,SETORES!$A:$A,0))</f>
        <v>Clientes</v>
      </c>
      <c r="H494" s="42" t="s">
        <v>88</v>
      </c>
    </row>
    <row r="495" customFormat="false" ht="14.25" hidden="false" customHeight="true" outlineLevel="0" collapsed="false">
      <c r="A495" s="16" t="s">
        <v>49</v>
      </c>
      <c r="B495" s="42" t="s">
        <v>155</v>
      </c>
      <c r="C495" s="42" t="s">
        <v>183</v>
      </c>
      <c r="D495" s="43" t="n">
        <v>1</v>
      </c>
      <c r="E495" s="44" t="n">
        <v>250</v>
      </c>
      <c r="F495" s="45" t="n">
        <f aca="false">IFERROR(D495*E495,0)</f>
        <v>250</v>
      </c>
      <c r="G495" s="42" t="str">
        <f aca="false">INDEX(SETORES!$B:$B,MATCH(A495,SETORES!$A:$A,0))</f>
        <v>Clientes</v>
      </c>
      <c r="H495" s="42" t="s">
        <v>88</v>
      </c>
    </row>
    <row r="496" customFormat="false" ht="14.25" hidden="false" customHeight="true" outlineLevel="0" collapsed="false">
      <c r="A496" s="16" t="s">
        <v>49</v>
      </c>
      <c r="B496" s="42" t="s">
        <v>155</v>
      </c>
      <c r="C496" s="42" t="s">
        <v>171</v>
      </c>
      <c r="D496" s="43" t="n">
        <v>4</v>
      </c>
      <c r="E496" s="44" t="n">
        <v>48.73907</v>
      </c>
      <c r="F496" s="45" t="n">
        <f aca="false">IFERROR(D496*E496,0)</f>
        <v>194.95628</v>
      </c>
      <c r="G496" s="42" t="str">
        <f aca="false">INDEX(SETORES!$B:$B,MATCH(A496,SETORES!$A:$A,0))</f>
        <v>Clientes</v>
      </c>
      <c r="H496" s="42" t="s">
        <v>88</v>
      </c>
    </row>
    <row r="497" customFormat="false" ht="14.25" hidden="false" customHeight="true" outlineLevel="0" collapsed="false">
      <c r="A497" s="16" t="s">
        <v>49</v>
      </c>
      <c r="B497" s="42" t="s">
        <v>157</v>
      </c>
      <c r="C497" s="42" t="s">
        <v>221</v>
      </c>
      <c r="D497" s="43"/>
      <c r="E497" s="44"/>
      <c r="F497" s="45" t="n">
        <f aca="false">IFERROR(D497*E497,0)</f>
        <v>0</v>
      </c>
      <c r="G497" s="42" t="str">
        <f aca="false">INDEX(SETORES!$B:$B,MATCH(A497,SETORES!$A:$A,0))</f>
        <v>Clientes</v>
      </c>
      <c r="H497" s="42" t="s">
        <v>88</v>
      </c>
    </row>
    <row r="498" customFormat="false" ht="14.25" hidden="false" customHeight="true" outlineLevel="0" collapsed="false">
      <c r="A498" s="16" t="s">
        <v>49</v>
      </c>
      <c r="B498" s="42" t="s">
        <v>155</v>
      </c>
      <c r="C498" s="42" t="s">
        <v>177</v>
      </c>
      <c r="D498" s="43"/>
      <c r="E498" s="44"/>
      <c r="F498" s="45" t="n">
        <f aca="false">IFERROR(D498*E498,0)</f>
        <v>0</v>
      </c>
      <c r="G498" s="42" t="str">
        <f aca="false">INDEX(SETORES!$B:$B,MATCH(A498,SETORES!$A:$A,0))</f>
        <v>Clientes</v>
      </c>
      <c r="H498" s="42" t="s">
        <v>88</v>
      </c>
    </row>
    <row r="499" customFormat="false" ht="14.25" hidden="false" customHeight="true" outlineLevel="0" collapsed="false">
      <c r="A499" s="16" t="s">
        <v>49</v>
      </c>
      <c r="B499" s="42" t="s">
        <v>155</v>
      </c>
      <c r="C499" s="42" t="s">
        <v>178</v>
      </c>
      <c r="D499" s="43"/>
      <c r="E499" s="44"/>
      <c r="F499" s="45" t="n">
        <f aca="false">IFERROR(D499*E499,0)</f>
        <v>0</v>
      </c>
      <c r="G499" s="42" t="str">
        <f aca="false">INDEX(SETORES!$B:$B,MATCH(A499,SETORES!$A:$A,0))</f>
        <v>Clientes</v>
      </c>
      <c r="H499" s="42" t="s">
        <v>88</v>
      </c>
    </row>
    <row r="500" customFormat="false" ht="14.25" hidden="false" customHeight="true" outlineLevel="0" collapsed="false">
      <c r="A500" s="16" t="s">
        <v>49</v>
      </c>
      <c r="B500" s="42" t="s">
        <v>157</v>
      </c>
      <c r="C500" s="42" t="s">
        <v>184</v>
      </c>
      <c r="D500" s="43" t="n">
        <v>4</v>
      </c>
      <c r="E500" s="44" t="n">
        <v>68.18</v>
      </c>
      <c r="F500" s="45" t="n">
        <f aca="false">IFERROR(D500*E500,0)</f>
        <v>272.72</v>
      </c>
      <c r="G500" s="42" t="str">
        <f aca="false">INDEX(SETORES!$B:$B,MATCH(A500,SETORES!$A:$A,0))</f>
        <v>Clientes</v>
      </c>
      <c r="H500" s="42" t="s">
        <v>88</v>
      </c>
    </row>
    <row r="501" customFormat="false" ht="14.25" hidden="false" customHeight="true" outlineLevel="0" collapsed="false">
      <c r="A501" s="16" t="s">
        <v>49</v>
      </c>
      <c r="B501" s="42" t="s">
        <v>157</v>
      </c>
      <c r="C501" s="42" t="s">
        <v>158</v>
      </c>
      <c r="D501" s="43"/>
      <c r="E501" s="44"/>
      <c r="F501" s="45" t="n">
        <f aca="false">IFERROR(D501*E501,0)</f>
        <v>0</v>
      </c>
      <c r="G501" s="42" t="str">
        <f aca="false">INDEX(SETORES!$B:$B,MATCH(A501,SETORES!$A:$A,0))</f>
        <v>Clientes</v>
      </c>
      <c r="H501" s="42" t="s">
        <v>88</v>
      </c>
    </row>
    <row r="502" customFormat="false" ht="14.25" hidden="false" customHeight="true" outlineLevel="0" collapsed="false">
      <c r="A502" s="16" t="s">
        <v>49</v>
      </c>
      <c r="B502" s="42" t="s">
        <v>155</v>
      </c>
      <c r="C502" s="42" t="s">
        <v>225</v>
      </c>
      <c r="D502" s="43" t="n">
        <v>1</v>
      </c>
      <c r="E502" s="44" t="n">
        <v>1800</v>
      </c>
      <c r="F502" s="45" t="n">
        <f aca="false">IFERROR(D502*E502,0)</f>
        <v>1800</v>
      </c>
      <c r="G502" s="42" t="str">
        <f aca="false">INDEX(SETORES!$B:$B,MATCH(A502,SETORES!$A:$A,0))</f>
        <v>Clientes</v>
      </c>
      <c r="H502" s="42" t="s">
        <v>88</v>
      </c>
    </row>
    <row r="503" customFormat="false" ht="14.25" hidden="false" customHeight="true" outlineLevel="0" collapsed="false">
      <c r="A503" s="16" t="s">
        <v>49</v>
      </c>
      <c r="B503" s="42" t="s">
        <v>155</v>
      </c>
      <c r="C503" s="42" t="s">
        <v>173</v>
      </c>
      <c r="D503" s="43" t="n">
        <v>4</v>
      </c>
      <c r="E503" s="44" t="n">
        <v>1.87</v>
      </c>
      <c r="F503" s="45" t="n">
        <f aca="false">IFERROR(D503*E503,0)</f>
        <v>7.48</v>
      </c>
      <c r="G503" s="42" t="str">
        <f aca="false">INDEX(SETORES!$B:$B,MATCH(A503,SETORES!$A:$A,0))</f>
        <v>Clientes</v>
      </c>
      <c r="H503" s="42" t="s">
        <v>88</v>
      </c>
    </row>
    <row r="504" customFormat="false" ht="14.25" hidden="false" customHeight="true" outlineLevel="0" collapsed="false">
      <c r="A504" s="16" t="s">
        <v>49</v>
      </c>
      <c r="B504" s="42" t="s">
        <v>155</v>
      </c>
      <c r="C504" s="42" t="s">
        <v>179</v>
      </c>
      <c r="D504" s="43"/>
      <c r="E504" s="44"/>
      <c r="F504" s="45" t="n">
        <f aca="false">IFERROR(D504*E504,0)</f>
        <v>0</v>
      </c>
      <c r="G504" s="42" t="str">
        <f aca="false">INDEX(SETORES!$B:$B,MATCH(A504,SETORES!$A:$A,0))</f>
        <v>Clientes</v>
      </c>
      <c r="H504" s="42" t="s">
        <v>88</v>
      </c>
    </row>
    <row r="505" customFormat="false" ht="14.25" hidden="false" customHeight="true" outlineLevel="0" collapsed="false">
      <c r="A505" s="46" t="s">
        <v>146</v>
      </c>
      <c r="B505" s="47" t="s">
        <v>155</v>
      </c>
      <c r="C505" s="47" t="s">
        <v>169</v>
      </c>
      <c r="D505" s="47" t="n">
        <v>1</v>
      </c>
      <c r="E505" s="48" t="n">
        <v>25653.46</v>
      </c>
      <c r="F505" s="48" t="n">
        <f aca="false">IFERROR(D505*E505,0)</f>
        <v>25653.46</v>
      </c>
      <c r="G505" s="47" t="str">
        <f aca="false">INDEX(SETORES!$B:$B,MATCH(A505,SETORES!$A:$A,0))</f>
        <v>Clientes</v>
      </c>
      <c r="H505" s="42" t="s">
        <v>88</v>
      </c>
    </row>
    <row r="506" customFormat="false" ht="14.25" hidden="false" customHeight="true" outlineLevel="0" collapsed="false">
      <c r="A506" s="1" t="s">
        <v>146</v>
      </c>
      <c r="B506" s="36" t="s">
        <v>155</v>
      </c>
      <c r="C506" s="36" t="s">
        <v>170</v>
      </c>
      <c r="D506" s="36" t="n">
        <v>3</v>
      </c>
      <c r="E506" s="37" t="n">
        <v>9.92</v>
      </c>
      <c r="F506" s="37" t="n">
        <v>29.76</v>
      </c>
      <c r="G506" s="36" t="s">
        <v>97</v>
      </c>
      <c r="H506" s="42" t="s">
        <v>88</v>
      </c>
    </row>
    <row r="507" customFormat="false" ht="14.25" hidden="false" customHeight="true" outlineLevel="0" collapsed="false">
      <c r="A507" s="1" t="s">
        <v>146</v>
      </c>
      <c r="B507" s="36" t="s">
        <v>155</v>
      </c>
      <c r="C507" s="36" t="s">
        <v>172</v>
      </c>
      <c r="D507" s="36" t="n">
        <v>3</v>
      </c>
      <c r="E507" s="37" t="n">
        <v>50</v>
      </c>
      <c r="F507" s="37" t="n">
        <v>150</v>
      </c>
      <c r="G507" s="36" t="s">
        <v>97</v>
      </c>
      <c r="H507" s="42" t="s">
        <v>88</v>
      </c>
    </row>
    <row r="508" customFormat="false" ht="14.25" hidden="false" customHeight="true" outlineLevel="0" collapsed="false">
      <c r="A508" s="1" t="s">
        <v>146</v>
      </c>
      <c r="B508" s="36" t="s">
        <v>155</v>
      </c>
      <c r="C508" s="36" t="s">
        <v>226</v>
      </c>
      <c r="D508" s="36" t="n">
        <v>0</v>
      </c>
      <c r="E508" s="37" t="n">
        <v>0</v>
      </c>
      <c r="F508" s="37" t="n">
        <v>0</v>
      </c>
      <c r="G508" s="36" t="s">
        <v>97</v>
      </c>
      <c r="H508" s="42" t="s">
        <v>88</v>
      </c>
    </row>
    <row r="509" customFormat="false" ht="14.25" hidden="false" customHeight="true" outlineLevel="0" collapsed="false">
      <c r="A509" s="1" t="s">
        <v>146</v>
      </c>
      <c r="B509" s="36" t="s">
        <v>155</v>
      </c>
      <c r="C509" s="36" t="s">
        <v>177</v>
      </c>
      <c r="D509" s="36" t="n">
        <v>0</v>
      </c>
      <c r="E509" s="37" t="n">
        <v>0</v>
      </c>
      <c r="F509" s="37" t="n">
        <v>0</v>
      </c>
      <c r="G509" s="36" t="s">
        <v>97</v>
      </c>
      <c r="H509" s="42" t="s">
        <v>88</v>
      </c>
    </row>
    <row r="510" customFormat="false" ht="14.25" hidden="false" customHeight="true" outlineLevel="0" collapsed="false">
      <c r="A510" s="1" t="s">
        <v>146</v>
      </c>
      <c r="B510" s="36" t="s">
        <v>155</v>
      </c>
      <c r="C510" s="36" t="s">
        <v>178</v>
      </c>
      <c r="D510" s="36" t="n">
        <v>0</v>
      </c>
      <c r="E510" s="37" t="n">
        <v>0</v>
      </c>
      <c r="F510" s="37" t="n">
        <v>0</v>
      </c>
      <c r="G510" s="36" t="s">
        <v>97</v>
      </c>
      <c r="H510" s="42" t="s">
        <v>88</v>
      </c>
    </row>
    <row r="511" customFormat="false" ht="14.25" hidden="false" customHeight="true" outlineLevel="0" collapsed="false">
      <c r="A511" s="1" t="s">
        <v>146</v>
      </c>
      <c r="B511" s="36" t="s">
        <v>157</v>
      </c>
      <c r="C511" s="36" t="s">
        <v>184</v>
      </c>
      <c r="D511" s="36" t="n">
        <v>3</v>
      </c>
      <c r="E511" s="44" t="n">
        <v>68.18</v>
      </c>
      <c r="F511" s="45" t="n">
        <f aca="false">IFERROR(D511*E511,0)</f>
        <v>204.54</v>
      </c>
      <c r="G511" s="36" t="s">
        <v>97</v>
      </c>
      <c r="H511" s="42" t="s">
        <v>88</v>
      </c>
    </row>
    <row r="512" customFormat="false" ht="14.25" hidden="false" customHeight="true" outlineLevel="0" collapsed="false">
      <c r="A512" s="1" t="s">
        <v>146</v>
      </c>
      <c r="B512" s="36" t="s">
        <v>155</v>
      </c>
      <c r="C512" s="36" t="s">
        <v>173</v>
      </c>
      <c r="D512" s="36" t="n">
        <v>3</v>
      </c>
      <c r="E512" s="37" t="n">
        <v>2.05</v>
      </c>
      <c r="F512" s="37" t="n">
        <v>6.15</v>
      </c>
      <c r="G512" s="36" t="s">
        <v>97</v>
      </c>
      <c r="H512" s="42" t="s">
        <v>88</v>
      </c>
    </row>
    <row r="513" customFormat="false" ht="14.25" hidden="false" customHeight="true" outlineLevel="0" collapsed="false">
      <c r="A513" s="1" t="s">
        <v>146</v>
      </c>
      <c r="B513" s="36" t="s">
        <v>155</v>
      </c>
      <c r="C513" s="36" t="s">
        <v>179</v>
      </c>
      <c r="D513" s="36" t="n">
        <v>3</v>
      </c>
      <c r="E513" s="37" t="n">
        <v>30</v>
      </c>
      <c r="F513" s="37" t="n">
        <v>90</v>
      </c>
      <c r="G513" s="36" t="s">
        <v>97</v>
      </c>
      <c r="H513" s="42" t="s">
        <v>88</v>
      </c>
    </row>
    <row r="514" customFormat="false" ht="14.25" hidden="false" customHeight="true" outlineLevel="0" collapsed="false">
      <c r="A514" s="16" t="s">
        <v>86</v>
      </c>
      <c r="B514" s="42" t="s">
        <v>155</v>
      </c>
      <c r="C514" s="42" t="s">
        <v>163</v>
      </c>
      <c r="D514" s="43" t="n">
        <v>4</v>
      </c>
      <c r="E514" s="44" t="n">
        <v>30</v>
      </c>
      <c r="F514" s="45" t="n">
        <f aca="false">IFERROR(D514*E514,0)</f>
        <v>120</v>
      </c>
      <c r="G514" s="42" t="str">
        <f aca="false">INDEX(SETORES!$B:$B,MATCH(A514,SETORES!$A:$A,0))</f>
        <v>Clientes</v>
      </c>
      <c r="H514" s="42" t="s">
        <v>88</v>
      </c>
    </row>
    <row r="515" customFormat="false" ht="14.25" hidden="false" customHeight="true" outlineLevel="0" collapsed="false">
      <c r="A515" s="16" t="s">
        <v>86</v>
      </c>
      <c r="B515" s="42" t="s">
        <v>155</v>
      </c>
      <c r="C515" s="42" t="s">
        <v>165</v>
      </c>
      <c r="D515" s="43" t="n">
        <v>11</v>
      </c>
      <c r="E515" s="44" t="n">
        <v>52.09</v>
      </c>
      <c r="F515" s="45" t="n">
        <f aca="false">IFERROR(D515*E515,0)</f>
        <v>572.99</v>
      </c>
      <c r="G515" s="42" t="s">
        <v>99</v>
      </c>
      <c r="H515" s="42" t="s">
        <v>88</v>
      </c>
    </row>
    <row r="516" customFormat="false" ht="14.25" hidden="false" customHeight="true" outlineLevel="0" collapsed="false">
      <c r="A516" s="16" t="s">
        <v>86</v>
      </c>
      <c r="B516" s="42" t="s">
        <v>155</v>
      </c>
      <c r="C516" s="42" t="s">
        <v>166</v>
      </c>
      <c r="D516" s="43" t="n">
        <v>11</v>
      </c>
      <c r="E516" s="44" t="n">
        <v>32.55</v>
      </c>
      <c r="F516" s="45" t="n">
        <f aca="false">IFERROR(D516*E516,0)</f>
        <v>358.05</v>
      </c>
      <c r="G516" s="42" t="s">
        <v>99</v>
      </c>
      <c r="H516" s="42" t="s">
        <v>88</v>
      </c>
    </row>
    <row r="517" customFormat="false" ht="14.25" hidden="false" customHeight="true" outlineLevel="0" collapsed="false">
      <c r="A517" s="16" t="s">
        <v>86</v>
      </c>
      <c r="B517" s="42" t="s">
        <v>155</v>
      </c>
      <c r="C517" s="42" t="s">
        <v>167</v>
      </c>
      <c r="D517" s="43" t="n">
        <v>11</v>
      </c>
      <c r="E517" s="44" t="n">
        <v>52.35</v>
      </c>
      <c r="F517" s="45" t="n">
        <f aca="false">IFERROR(D517*E517,0)</f>
        <v>575.85</v>
      </c>
      <c r="G517" s="42" t="s">
        <v>99</v>
      </c>
      <c r="H517" s="42" t="s">
        <v>88</v>
      </c>
    </row>
    <row r="518" customFormat="false" ht="14.25" hidden="false" customHeight="true" outlineLevel="0" collapsed="false">
      <c r="A518" s="16" t="s">
        <v>86</v>
      </c>
      <c r="B518" s="42" t="s">
        <v>157</v>
      </c>
      <c r="C518" s="42" t="s">
        <v>174</v>
      </c>
      <c r="D518" s="43"/>
      <c r="E518" s="44"/>
      <c r="F518" s="45" t="n">
        <f aca="false">IFERROR(D518*E518,0)</f>
        <v>0</v>
      </c>
      <c r="G518" s="42" t="str">
        <f aca="false">INDEX(SETORES!$B:$B,MATCH(A518,SETORES!$A:$A,0))</f>
        <v>Clientes</v>
      </c>
      <c r="H518" s="42" t="s">
        <v>88</v>
      </c>
    </row>
    <row r="519" customFormat="false" ht="14.25" hidden="false" customHeight="true" outlineLevel="0" collapsed="false">
      <c r="A519" s="16" t="s">
        <v>86</v>
      </c>
      <c r="B519" s="42" t="s">
        <v>157</v>
      </c>
      <c r="C519" s="42" t="s">
        <v>175</v>
      </c>
      <c r="D519" s="43" t="n">
        <v>1</v>
      </c>
      <c r="E519" s="44" t="n">
        <v>270</v>
      </c>
      <c r="F519" s="45" t="n">
        <f aca="false">IFERROR(D519*E519,0)</f>
        <v>270</v>
      </c>
      <c r="G519" s="42" t="str">
        <f aca="false">INDEX(SETORES!$B:$B,MATCH(A519,SETORES!$A:$A,0))</f>
        <v>Clientes</v>
      </c>
      <c r="H519" s="42" t="s">
        <v>88</v>
      </c>
    </row>
    <row r="520" customFormat="false" ht="14.25" hidden="false" customHeight="true" outlineLevel="0" collapsed="false">
      <c r="A520" s="16" t="s">
        <v>86</v>
      </c>
      <c r="B520" s="42" t="s">
        <v>155</v>
      </c>
      <c r="C520" s="42" t="s">
        <v>169</v>
      </c>
      <c r="D520" s="43" t="n">
        <v>1</v>
      </c>
      <c r="E520" s="44" t="n">
        <v>42206.73</v>
      </c>
      <c r="F520" s="45" t="n">
        <f aca="false">IFERROR(D520*E520,0)</f>
        <v>42206.73</v>
      </c>
      <c r="G520" s="42" t="str">
        <f aca="false">INDEX(SETORES!$B:$B,MATCH(A520,SETORES!$A:$A,0))</f>
        <v>Clientes</v>
      </c>
      <c r="H520" s="42" t="s">
        <v>88</v>
      </c>
    </row>
    <row r="521" customFormat="false" ht="14.25" hidden="false" customHeight="true" outlineLevel="0" collapsed="false">
      <c r="A521" s="16" t="s">
        <v>86</v>
      </c>
      <c r="B521" s="42" t="s">
        <v>155</v>
      </c>
      <c r="C521" s="42" t="s">
        <v>170</v>
      </c>
      <c r="D521" s="43"/>
      <c r="E521" s="44"/>
      <c r="F521" s="45" t="n">
        <f aca="false">IFERROR(D521*E521,0)</f>
        <v>0</v>
      </c>
      <c r="G521" s="42" t="str">
        <f aca="false">INDEX(SETORES!$B:$B,MATCH(A521,SETORES!$A:$A,0))</f>
        <v>Clientes</v>
      </c>
      <c r="H521" s="42" t="s">
        <v>88</v>
      </c>
    </row>
    <row r="522" customFormat="false" ht="14.25" hidden="false" customHeight="true" outlineLevel="0" collapsed="false">
      <c r="A522" s="16" t="s">
        <v>86</v>
      </c>
      <c r="B522" s="42" t="s">
        <v>155</v>
      </c>
      <c r="C522" s="42" t="s">
        <v>183</v>
      </c>
      <c r="D522" s="43" t="n">
        <v>11</v>
      </c>
      <c r="E522" s="44" t="n">
        <v>6.41025641025641</v>
      </c>
      <c r="F522" s="45" t="n">
        <f aca="false">IFERROR(D522*E522,0)</f>
        <v>70.5128205128205</v>
      </c>
      <c r="G522" s="42" t="str">
        <f aca="false">INDEX(SETORES!$B:$B,MATCH(A522,SETORES!$A:$A,0))</f>
        <v>Clientes</v>
      </c>
      <c r="H522" s="42" t="s">
        <v>88</v>
      </c>
    </row>
    <row r="523" customFormat="false" ht="14.25" hidden="false" customHeight="true" outlineLevel="0" collapsed="false">
      <c r="A523" s="16" t="s">
        <v>86</v>
      </c>
      <c r="B523" s="42" t="s">
        <v>155</v>
      </c>
      <c r="C523" s="42" t="s">
        <v>172</v>
      </c>
      <c r="D523" s="43" t="n">
        <v>11</v>
      </c>
      <c r="E523" s="44" t="n">
        <v>50</v>
      </c>
      <c r="F523" s="45" t="n">
        <f aca="false">IFERROR(D523*E523,0)</f>
        <v>550</v>
      </c>
      <c r="G523" s="42" t="str">
        <f aca="false">INDEX(SETORES!$B:$B,MATCH(A523,SETORES!$A:$A,0))</f>
        <v>Clientes</v>
      </c>
      <c r="H523" s="42" t="s">
        <v>88</v>
      </c>
    </row>
    <row r="524" customFormat="false" ht="14.25" hidden="false" customHeight="true" outlineLevel="0" collapsed="false">
      <c r="A524" s="16" t="s">
        <v>86</v>
      </c>
      <c r="B524" s="42" t="s">
        <v>157</v>
      </c>
      <c r="C524" s="42" t="s">
        <v>177</v>
      </c>
      <c r="D524" s="43" t="n">
        <v>1</v>
      </c>
      <c r="E524" s="44" t="n">
        <v>69.45</v>
      </c>
      <c r="F524" s="45" t="n">
        <f aca="false">IFERROR(D524*E524,0)</f>
        <v>69.45</v>
      </c>
      <c r="G524" s="42" t="str">
        <f aca="false">INDEX(SETORES!$B:$B,MATCH(A524,SETORES!$A:$A,0))</f>
        <v>Clientes</v>
      </c>
      <c r="H524" s="42" t="s">
        <v>88</v>
      </c>
    </row>
    <row r="525" customFormat="false" ht="14.25" hidden="false" customHeight="true" outlineLevel="0" collapsed="false">
      <c r="A525" s="16" t="s">
        <v>86</v>
      </c>
      <c r="B525" s="42" t="s">
        <v>155</v>
      </c>
      <c r="C525" s="42" t="s">
        <v>178</v>
      </c>
      <c r="D525" s="43" t="n">
        <v>1</v>
      </c>
      <c r="E525" s="44" t="n">
        <v>350.54</v>
      </c>
      <c r="F525" s="45" t="n">
        <f aca="false">IFERROR(D525*E525,0)</f>
        <v>350.54</v>
      </c>
      <c r="G525" s="42" t="str">
        <f aca="false">INDEX(SETORES!$B:$B,MATCH(A525,SETORES!$A:$A,0))</f>
        <v>Clientes</v>
      </c>
      <c r="H525" s="42" t="s">
        <v>88</v>
      </c>
    </row>
    <row r="526" customFormat="false" ht="14.25" hidden="false" customHeight="true" outlineLevel="0" collapsed="false">
      <c r="A526" s="16" t="s">
        <v>86</v>
      </c>
      <c r="B526" s="42" t="s">
        <v>157</v>
      </c>
      <c r="C526" s="42" t="s">
        <v>158</v>
      </c>
      <c r="D526" s="43"/>
      <c r="E526" s="44"/>
      <c r="F526" s="45" t="n">
        <f aca="false">IFERROR(D526*E526,0)</f>
        <v>0</v>
      </c>
      <c r="G526" s="42" t="str">
        <f aca="false">INDEX(SETORES!$B:$B,MATCH(A526,SETORES!$A:$A,0))</f>
        <v>Clientes</v>
      </c>
      <c r="H526" s="42" t="s">
        <v>88</v>
      </c>
    </row>
    <row r="527" customFormat="false" ht="14.25" hidden="false" customHeight="true" outlineLevel="0" collapsed="false">
      <c r="A527" s="16" t="s">
        <v>86</v>
      </c>
      <c r="B527" s="42" t="s">
        <v>155</v>
      </c>
      <c r="C527" s="42" t="s">
        <v>173</v>
      </c>
      <c r="D527" s="43" t="n">
        <v>11</v>
      </c>
      <c r="E527" s="44" t="n">
        <v>1.87</v>
      </c>
      <c r="F527" s="45" t="n">
        <f aca="false">IFERROR(D527*E527,0)</f>
        <v>20.57</v>
      </c>
      <c r="G527" s="42" t="str">
        <f aca="false">INDEX(SETORES!$B:$B,MATCH(A527,SETORES!$A:$A,0))</f>
        <v>Clientes</v>
      </c>
      <c r="H527" s="42" t="s">
        <v>88</v>
      </c>
    </row>
    <row r="528" customFormat="false" ht="14.25" hidden="false" customHeight="true" outlineLevel="0" collapsed="false">
      <c r="A528" s="16" t="s">
        <v>39</v>
      </c>
      <c r="B528" s="42" t="s">
        <v>155</v>
      </c>
      <c r="C528" s="42" t="s">
        <v>162</v>
      </c>
      <c r="D528" s="43" t="n">
        <v>12</v>
      </c>
      <c r="E528" s="44" t="n">
        <v>0.342924528301887</v>
      </c>
      <c r="F528" s="45" t="n">
        <f aca="false">IFERROR(D528*E528,0)</f>
        <v>4.11509433962264</v>
      </c>
      <c r="G528" s="42" t="str">
        <f aca="false">INDEX(SETORES!$B:$B,MATCH(A528,SETORES!$A:$A,0))</f>
        <v>Clientes</v>
      </c>
      <c r="H528" s="42" t="s">
        <v>88</v>
      </c>
    </row>
    <row r="529" customFormat="false" ht="14.25" hidden="false" customHeight="true" outlineLevel="0" collapsed="false">
      <c r="A529" s="16" t="s">
        <v>39</v>
      </c>
      <c r="B529" s="42" t="s">
        <v>155</v>
      </c>
      <c r="C529" s="42" t="s">
        <v>180</v>
      </c>
      <c r="D529" s="43" t="n">
        <v>1</v>
      </c>
      <c r="E529" s="44" t="n">
        <v>935.08</v>
      </c>
      <c r="F529" s="45" t="n">
        <f aca="false">IFERROR(D529*E529,0)</f>
        <v>935.08</v>
      </c>
      <c r="G529" s="42" t="str">
        <f aca="false">INDEX(SETORES!$B:$B,MATCH(A529,SETORES!$A:$A,0))</f>
        <v>Clientes</v>
      </c>
      <c r="H529" s="42" t="s">
        <v>88</v>
      </c>
    </row>
    <row r="530" customFormat="false" ht="14.25" hidden="false" customHeight="true" outlineLevel="0" collapsed="false">
      <c r="A530" s="16" t="s">
        <v>39</v>
      </c>
      <c r="B530" s="42" t="s">
        <v>155</v>
      </c>
      <c r="C530" s="42" t="s">
        <v>165</v>
      </c>
      <c r="D530" s="43" t="n">
        <v>12</v>
      </c>
      <c r="E530" s="44" t="n">
        <v>52.09</v>
      </c>
      <c r="F530" s="45" t="n">
        <f aca="false">IFERROR(D530*E530,0)</f>
        <v>625.08</v>
      </c>
      <c r="G530" s="42" t="s">
        <v>99</v>
      </c>
      <c r="H530" s="42" t="s">
        <v>88</v>
      </c>
    </row>
    <row r="531" customFormat="false" ht="14.25" hidden="false" customHeight="true" outlineLevel="0" collapsed="false">
      <c r="A531" s="16" t="s">
        <v>39</v>
      </c>
      <c r="B531" s="42" t="s">
        <v>155</v>
      </c>
      <c r="C531" s="42" t="s">
        <v>166</v>
      </c>
      <c r="D531" s="43" t="n">
        <v>12</v>
      </c>
      <c r="E531" s="44" t="n">
        <v>32.55</v>
      </c>
      <c r="F531" s="45" t="n">
        <f aca="false">IFERROR(D531*E531,0)</f>
        <v>390.6</v>
      </c>
      <c r="G531" s="42" t="s">
        <v>99</v>
      </c>
      <c r="H531" s="42" t="s">
        <v>88</v>
      </c>
    </row>
    <row r="532" customFormat="false" ht="14.25" hidden="false" customHeight="true" outlineLevel="0" collapsed="false">
      <c r="A532" s="16" t="s">
        <v>39</v>
      </c>
      <c r="B532" s="42" t="s">
        <v>155</v>
      </c>
      <c r="C532" s="42" t="s">
        <v>167</v>
      </c>
      <c r="D532" s="43" t="n">
        <v>12</v>
      </c>
      <c r="E532" s="44" t="n">
        <v>52.35</v>
      </c>
      <c r="F532" s="45" t="n">
        <f aca="false">IFERROR(D532*E532,0)</f>
        <v>628.2</v>
      </c>
      <c r="G532" s="42" t="s">
        <v>99</v>
      </c>
      <c r="H532" s="42" t="s">
        <v>88</v>
      </c>
    </row>
    <row r="533" customFormat="false" ht="14.25" hidden="false" customHeight="true" outlineLevel="0" collapsed="false">
      <c r="A533" s="16" t="s">
        <v>39</v>
      </c>
      <c r="B533" s="42" t="s">
        <v>155</v>
      </c>
      <c r="C533" s="42" t="s">
        <v>168</v>
      </c>
      <c r="D533" s="43" t="n">
        <v>12</v>
      </c>
      <c r="E533" s="44" t="n">
        <v>124.491481481482</v>
      </c>
      <c r="F533" s="45" t="n">
        <f aca="false">IFERROR(D533*E533,0)</f>
        <v>1493.89777777778</v>
      </c>
      <c r="G533" s="42" t="str">
        <f aca="false">INDEX(SETORES!$B:$B,MATCH(A533,SETORES!$A:$A,0))</f>
        <v>Clientes</v>
      </c>
      <c r="H533" s="42" t="s">
        <v>88</v>
      </c>
    </row>
    <row r="534" customFormat="false" ht="14.25" hidden="false" customHeight="true" outlineLevel="0" collapsed="false">
      <c r="A534" s="16" t="s">
        <v>39</v>
      </c>
      <c r="B534" s="42" t="s">
        <v>157</v>
      </c>
      <c r="C534" s="42" t="s">
        <v>175</v>
      </c>
      <c r="D534" s="43"/>
      <c r="E534" s="44"/>
      <c r="F534" s="45" t="n">
        <f aca="false">IFERROR(D534*E534,0)</f>
        <v>0</v>
      </c>
      <c r="G534" s="42" t="str">
        <f aca="false">INDEX(SETORES!$B:$B,MATCH(A534,SETORES!$A:$A,0))</f>
        <v>Clientes</v>
      </c>
      <c r="H534" s="42" t="s">
        <v>88</v>
      </c>
    </row>
    <row r="535" customFormat="false" ht="14.25" hidden="false" customHeight="true" outlineLevel="0" collapsed="false">
      <c r="A535" s="16" t="s">
        <v>39</v>
      </c>
      <c r="B535" s="42" t="s">
        <v>157</v>
      </c>
      <c r="C535" s="42" t="s">
        <v>176</v>
      </c>
      <c r="D535" s="43"/>
      <c r="E535" s="44"/>
      <c r="F535" s="45" t="n">
        <f aca="false">IFERROR(D535*E535,0)</f>
        <v>0</v>
      </c>
      <c r="G535" s="42" t="str">
        <f aca="false">INDEX(SETORES!$B:$B,MATCH(A535,SETORES!$A:$A,0))</f>
        <v>Clientes</v>
      </c>
      <c r="H535" s="42" t="s">
        <v>88</v>
      </c>
    </row>
    <row r="536" customFormat="false" ht="14.25" hidden="false" customHeight="true" outlineLevel="0" collapsed="false">
      <c r="A536" s="16" t="s">
        <v>39</v>
      </c>
      <c r="B536" s="42" t="s">
        <v>155</v>
      </c>
      <c r="C536" s="42" t="s">
        <v>169</v>
      </c>
      <c r="D536" s="43" t="n">
        <v>1</v>
      </c>
      <c r="E536" s="44" t="n">
        <v>41989.1</v>
      </c>
      <c r="F536" s="45" t="n">
        <f aca="false">IFERROR(D536*E536,0)</f>
        <v>41989.1</v>
      </c>
      <c r="G536" s="42" t="str">
        <f aca="false">INDEX(SETORES!$B:$B,MATCH(A536,SETORES!$A:$A,0))</f>
        <v>Clientes</v>
      </c>
      <c r="H536" s="42" t="s">
        <v>88</v>
      </c>
    </row>
    <row r="537" customFormat="false" ht="14.25" hidden="false" customHeight="true" outlineLevel="0" collapsed="false">
      <c r="A537" s="16" t="s">
        <v>39</v>
      </c>
      <c r="B537" s="42" t="s">
        <v>155</v>
      </c>
      <c r="C537" s="42" t="s">
        <v>170</v>
      </c>
      <c r="D537" s="43"/>
      <c r="E537" s="44"/>
      <c r="F537" s="45" t="n">
        <f aca="false">IFERROR(D537*E537,0)</f>
        <v>0</v>
      </c>
      <c r="G537" s="42" t="str">
        <f aca="false">INDEX(SETORES!$B:$B,MATCH(A537,SETORES!$A:$A,0))</f>
        <v>Clientes</v>
      </c>
      <c r="H537" s="42" t="s">
        <v>88</v>
      </c>
    </row>
    <row r="538" customFormat="false" ht="14.25" hidden="false" customHeight="true" outlineLevel="0" collapsed="false">
      <c r="A538" s="16" t="s">
        <v>39</v>
      </c>
      <c r="B538" s="42" t="s">
        <v>155</v>
      </c>
      <c r="C538" s="42" t="s">
        <v>181</v>
      </c>
      <c r="D538" s="43"/>
      <c r="E538" s="44"/>
      <c r="F538" s="45" t="n">
        <f aca="false">IFERROR(D538*E538,0)</f>
        <v>0</v>
      </c>
      <c r="G538" s="42" t="str">
        <f aca="false">INDEX(SETORES!$B:$B,MATCH(A538,SETORES!$A:$A,0))</f>
        <v>Clientes</v>
      </c>
      <c r="H538" s="42" t="s">
        <v>88</v>
      </c>
    </row>
    <row r="539" customFormat="false" ht="14.25" hidden="false" customHeight="true" outlineLevel="0" collapsed="false">
      <c r="A539" s="16" t="s">
        <v>39</v>
      </c>
      <c r="B539" s="42" t="s">
        <v>155</v>
      </c>
      <c r="C539" s="42" t="s">
        <v>171</v>
      </c>
      <c r="D539" s="43"/>
      <c r="E539" s="44"/>
      <c r="F539" s="45" t="n">
        <f aca="false">IFERROR(D539*E539,0)</f>
        <v>0</v>
      </c>
      <c r="G539" s="42" t="str">
        <f aca="false">INDEX(SETORES!$B:$B,MATCH(A539,SETORES!$A:$A,0))</f>
        <v>Clientes</v>
      </c>
      <c r="H539" s="42" t="s">
        <v>88</v>
      </c>
    </row>
    <row r="540" customFormat="false" ht="14.25" hidden="false" customHeight="true" outlineLevel="0" collapsed="false">
      <c r="A540" s="16" t="s">
        <v>39</v>
      </c>
      <c r="B540" s="42" t="s">
        <v>155</v>
      </c>
      <c r="C540" s="42" t="s">
        <v>172</v>
      </c>
      <c r="D540" s="43" t="n">
        <v>12</v>
      </c>
      <c r="E540" s="44" t="n">
        <v>50</v>
      </c>
      <c r="F540" s="45" t="n">
        <f aca="false">IFERROR(D540*E540,0)</f>
        <v>600</v>
      </c>
      <c r="G540" s="42" t="str">
        <f aca="false">INDEX(SETORES!$B:$B,MATCH(A540,SETORES!$A:$A,0))</f>
        <v>Clientes</v>
      </c>
      <c r="H540" s="42" t="s">
        <v>88</v>
      </c>
    </row>
    <row r="541" customFormat="false" ht="14.25" hidden="false" customHeight="true" outlineLevel="0" collapsed="false">
      <c r="A541" s="16" t="s">
        <v>39</v>
      </c>
      <c r="B541" s="42" t="s">
        <v>155</v>
      </c>
      <c r="C541" s="42" t="s">
        <v>177</v>
      </c>
      <c r="D541" s="43" t="n">
        <v>1</v>
      </c>
      <c r="E541" s="44" t="n">
        <v>3.45</v>
      </c>
      <c r="F541" s="45" t="n">
        <f aca="false">IFERROR(D541*E541,0)</f>
        <v>3.45</v>
      </c>
      <c r="G541" s="42" t="str">
        <f aca="false">INDEX(SETORES!$B:$B,MATCH(A541,SETORES!$A:$A,0))</f>
        <v>Clientes</v>
      </c>
      <c r="H541" s="42" t="s">
        <v>88</v>
      </c>
    </row>
    <row r="542" customFormat="false" ht="14.25" hidden="false" customHeight="true" outlineLevel="0" collapsed="false">
      <c r="A542" s="16" t="s">
        <v>39</v>
      </c>
      <c r="B542" s="42" t="s">
        <v>155</v>
      </c>
      <c r="C542" s="42" t="s">
        <v>178</v>
      </c>
      <c r="D542" s="43" t="n">
        <v>1</v>
      </c>
      <c r="E542" s="44" t="n">
        <v>606.65</v>
      </c>
      <c r="F542" s="45" t="n">
        <f aca="false">IFERROR(D542*E542,0)</f>
        <v>606.65</v>
      </c>
      <c r="G542" s="42" t="str">
        <f aca="false">INDEX(SETORES!$B:$B,MATCH(A542,SETORES!$A:$A,0))</f>
        <v>Clientes</v>
      </c>
      <c r="H542" s="42" t="s">
        <v>88</v>
      </c>
    </row>
    <row r="543" customFormat="false" ht="14.25" hidden="false" customHeight="true" outlineLevel="0" collapsed="false">
      <c r="A543" s="16" t="s">
        <v>39</v>
      </c>
      <c r="B543" s="42" t="s">
        <v>157</v>
      </c>
      <c r="C543" s="42" t="s">
        <v>158</v>
      </c>
      <c r="D543" s="43"/>
      <c r="E543" s="44"/>
      <c r="F543" s="45" t="n">
        <f aca="false">IFERROR(D543*E543,0)</f>
        <v>0</v>
      </c>
      <c r="G543" s="42" t="str">
        <f aca="false">INDEX(SETORES!$B:$B,MATCH(A543,SETORES!$A:$A,0))</f>
        <v>Clientes</v>
      </c>
      <c r="H543" s="42" t="s">
        <v>88</v>
      </c>
    </row>
    <row r="544" customFormat="false" ht="14.25" hidden="false" customHeight="true" outlineLevel="0" collapsed="false">
      <c r="A544" s="16" t="s">
        <v>39</v>
      </c>
      <c r="B544" s="42" t="s">
        <v>155</v>
      </c>
      <c r="C544" s="42" t="s">
        <v>182</v>
      </c>
      <c r="D544" s="43" t="n">
        <v>12</v>
      </c>
      <c r="E544" s="44" t="n">
        <v>294.971933</v>
      </c>
      <c r="F544" s="45" t="n">
        <f aca="false">IFERROR(D544*E544,0)</f>
        <v>3539.663196</v>
      </c>
      <c r="G544" s="42" t="str">
        <f aca="false">INDEX(SETORES!$B:$B,MATCH(A544,SETORES!$A:$A,0))</f>
        <v>Clientes</v>
      </c>
      <c r="H544" s="42" t="s">
        <v>88</v>
      </c>
    </row>
    <row r="545" customFormat="false" ht="14.25" hidden="false" customHeight="true" outlineLevel="0" collapsed="false">
      <c r="A545" s="16" t="s">
        <v>39</v>
      </c>
      <c r="B545" s="42" t="s">
        <v>155</v>
      </c>
      <c r="C545" s="42" t="s">
        <v>173</v>
      </c>
      <c r="D545" s="43" t="n">
        <v>12</v>
      </c>
      <c r="E545" s="44" t="n">
        <v>1.87</v>
      </c>
      <c r="F545" s="45" t="n">
        <f aca="false">IFERROR(D545*E545,0)</f>
        <v>22.44</v>
      </c>
      <c r="G545" s="42" t="str">
        <f aca="false">INDEX(SETORES!$B:$B,MATCH(A545,SETORES!$A:$A,0))</f>
        <v>Clientes</v>
      </c>
      <c r="H545" s="42" t="s">
        <v>88</v>
      </c>
    </row>
    <row r="546" customFormat="false" ht="14.25" hidden="false" customHeight="true" outlineLevel="0" collapsed="false">
      <c r="A546" s="16" t="s">
        <v>39</v>
      </c>
      <c r="B546" s="42" t="s">
        <v>155</v>
      </c>
      <c r="C546" s="42" t="s">
        <v>179</v>
      </c>
      <c r="D546" s="43"/>
      <c r="E546" s="44"/>
      <c r="F546" s="45" t="n">
        <f aca="false">IFERROR(D546*E546,0)</f>
        <v>0</v>
      </c>
      <c r="G546" s="42" t="str">
        <f aca="false">INDEX(SETORES!$B:$B,MATCH(A546,SETORES!$A:$A,0))</f>
        <v>Clientes</v>
      </c>
      <c r="H546" s="42" t="s">
        <v>88</v>
      </c>
    </row>
    <row r="547" customFormat="false" ht="14.25" hidden="false" customHeight="true" outlineLevel="0" collapsed="false">
      <c r="A547" s="16" t="s">
        <v>32</v>
      </c>
      <c r="B547" s="42" t="s">
        <v>155</v>
      </c>
      <c r="C547" s="42" t="s">
        <v>227</v>
      </c>
      <c r="D547" s="43"/>
      <c r="E547" s="44"/>
      <c r="F547" s="45" t="n">
        <f aca="false">IFERROR(D547*E547,0)</f>
        <v>0</v>
      </c>
      <c r="G547" s="42" t="str">
        <f aca="false">INDEX(SETORES!$B:$B,MATCH(A547,SETORES!$A:$A,0))</f>
        <v>Funcionários</v>
      </c>
      <c r="H547" s="42" t="s">
        <v>88</v>
      </c>
    </row>
    <row r="548" customFormat="false" ht="14.25" hidden="false" customHeight="true" outlineLevel="0" collapsed="false">
      <c r="A548" s="16" t="s">
        <v>32</v>
      </c>
      <c r="B548" s="42" t="s">
        <v>155</v>
      </c>
      <c r="C548" s="42" t="s">
        <v>162</v>
      </c>
      <c r="D548" s="43" t="n">
        <v>6</v>
      </c>
      <c r="E548" s="44" t="n">
        <v>0.342924528301887</v>
      </c>
      <c r="F548" s="45" t="n">
        <f aca="false">IFERROR(D548*E548,0)</f>
        <v>2.05754716981132</v>
      </c>
      <c r="G548" s="42" t="str">
        <f aca="false">INDEX(SETORES!$B:$B,MATCH(A548,SETORES!$A:$A,0))</f>
        <v>Funcionários</v>
      </c>
      <c r="H548" s="42" t="s">
        <v>88</v>
      </c>
    </row>
    <row r="549" customFormat="false" ht="14.25" hidden="false" customHeight="true" outlineLevel="0" collapsed="false">
      <c r="A549" s="16" t="s">
        <v>32</v>
      </c>
      <c r="B549" s="42" t="s">
        <v>155</v>
      </c>
      <c r="C549" s="42" t="s">
        <v>163</v>
      </c>
      <c r="D549" s="43" t="n">
        <v>3</v>
      </c>
      <c r="E549" s="44" t="n">
        <v>30</v>
      </c>
      <c r="F549" s="45" t="n">
        <f aca="false">IFERROR(D549*E549,0)</f>
        <v>90</v>
      </c>
      <c r="G549" s="42" t="str">
        <f aca="false">INDEX(SETORES!$B:$B,MATCH(A549,SETORES!$A:$A,0))</f>
        <v>Funcionários</v>
      </c>
      <c r="H549" s="42" t="s">
        <v>88</v>
      </c>
    </row>
    <row r="550" customFormat="false" ht="14.25" hidden="false" customHeight="true" outlineLevel="0" collapsed="false">
      <c r="A550" s="16" t="s">
        <v>32</v>
      </c>
      <c r="B550" s="42" t="s">
        <v>155</v>
      </c>
      <c r="C550" s="42" t="s">
        <v>165</v>
      </c>
      <c r="D550" s="43" t="n">
        <v>6</v>
      </c>
      <c r="E550" s="44" t="n">
        <v>52.09</v>
      </c>
      <c r="F550" s="45" t="n">
        <f aca="false">IFERROR(D550*E550,0)</f>
        <v>312.54</v>
      </c>
      <c r="G550" s="42" t="str">
        <f aca="false">INDEX(SETORES!$B:$B,MATCH(A550,SETORES!$A:$A,0))</f>
        <v>Funcionários</v>
      </c>
      <c r="H550" s="42" t="s">
        <v>88</v>
      </c>
    </row>
    <row r="551" customFormat="false" ht="14.25" hidden="false" customHeight="true" outlineLevel="0" collapsed="false">
      <c r="A551" s="16" t="s">
        <v>32</v>
      </c>
      <c r="B551" s="42" t="s">
        <v>155</v>
      </c>
      <c r="C551" s="42" t="s">
        <v>166</v>
      </c>
      <c r="D551" s="43" t="n">
        <v>6</v>
      </c>
      <c r="E551" s="44" t="n">
        <v>32.55</v>
      </c>
      <c r="F551" s="45" t="n">
        <f aca="false">IFERROR(D551*E551,0)</f>
        <v>195.3</v>
      </c>
      <c r="G551" s="42" t="str">
        <f aca="false">INDEX(SETORES!$B:$B,MATCH(A551,SETORES!$A:$A,0))</f>
        <v>Funcionários</v>
      </c>
      <c r="H551" s="42" t="s">
        <v>88</v>
      </c>
    </row>
    <row r="552" customFormat="false" ht="14.25" hidden="false" customHeight="true" outlineLevel="0" collapsed="false">
      <c r="A552" s="16" t="s">
        <v>32</v>
      </c>
      <c r="B552" s="42" t="s">
        <v>155</v>
      </c>
      <c r="C552" s="42" t="s">
        <v>167</v>
      </c>
      <c r="D552" s="43" t="n">
        <v>6</v>
      </c>
      <c r="E552" s="44" t="n">
        <v>52.35</v>
      </c>
      <c r="F552" s="45" t="n">
        <f aca="false">IFERROR(D552*E552,0)</f>
        <v>314.1</v>
      </c>
      <c r="G552" s="42" t="str">
        <f aca="false">INDEX(SETORES!$B:$B,MATCH(A552,SETORES!$A:$A,0))</f>
        <v>Funcionários</v>
      </c>
      <c r="H552" s="42" t="s">
        <v>88</v>
      </c>
    </row>
    <row r="553" customFormat="false" ht="14.25" hidden="false" customHeight="true" outlineLevel="0" collapsed="false">
      <c r="A553" s="16" t="s">
        <v>32</v>
      </c>
      <c r="B553" s="42" t="s">
        <v>155</v>
      </c>
      <c r="C553" s="42" t="s">
        <v>168</v>
      </c>
      <c r="D553" s="43" t="n">
        <v>6</v>
      </c>
      <c r="E553" s="44" t="n">
        <v>124.491481481482</v>
      </c>
      <c r="F553" s="45" t="n">
        <f aca="false">IFERROR(D553*E553,0)</f>
        <v>746.948888888892</v>
      </c>
      <c r="G553" s="42" t="str">
        <f aca="false">INDEX(SETORES!$B:$B,MATCH(A553,SETORES!$A:$A,0))</f>
        <v>Funcionários</v>
      </c>
      <c r="H553" s="42" t="s">
        <v>88</v>
      </c>
    </row>
    <row r="554" customFormat="false" ht="14.25" hidden="false" customHeight="true" outlineLevel="0" collapsed="false">
      <c r="A554" s="16" t="s">
        <v>32</v>
      </c>
      <c r="B554" s="42" t="s">
        <v>157</v>
      </c>
      <c r="C554" s="42" t="s">
        <v>228</v>
      </c>
      <c r="D554" s="43"/>
      <c r="E554" s="44"/>
      <c r="F554" s="45" t="n">
        <f aca="false">IFERROR(D554*E554,0)</f>
        <v>0</v>
      </c>
      <c r="G554" s="42" t="str">
        <f aca="false">INDEX(SETORES!$B:$B,MATCH(A554,SETORES!$A:$A,0))</f>
        <v>Funcionários</v>
      </c>
      <c r="H554" s="42" t="s">
        <v>88</v>
      </c>
    </row>
    <row r="555" customFormat="false" ht="14.25" hidden="false" customHeight="true" outlineLevel="0" collapsed="false">
      <c r="A555" s="16" t="s">
        <v>32</v>
      </c>
      <c r="B555" s="42" t="s">
        <v>157</v>
      </c>
      <c r="C555" s="42" t="s">
        <v>229</v>
      </c>
      <c r="D555" s="43"/>
      <c r="E555" s="44"/>
      <c r="F555" s="45" t="n">
        <f aca="false">IFERROR(D555*E555,0)</f>
        <v>0</v>
      </c>
      <c r="G555" s="42" t="str">
        <f aca="false">INDEX(SETORES!$B:$B,MATCH(A555,SETORES!$A:$A,0))</f>
        <v>Funcionários</v>
      </c>
      <c r="H555" s="42" t="s">
        <v>88</v>
      </c>
    </row>
    <row r="556" customFormat="false" ht="14.25" hidden="false" customHeight="true" outlineLevel="0" collapsed="false">
      <c r="A556" s="16" t="s">
        <v>32</v>
      </c>
      <c r="B556" s="42" t="s">
        <v>155</v>
      </c>
      <c r="C556" s="42" t="s">
        <v>169</v>
      </c>
      <c r="D556" s="43" t="n">
        <v>1</v>
      </c>
      <c r="E556" s="44" t="n">
        <v>30326.87</v>
      </c>
      <c r="F556" s="45" t="n">
        <f aca="false">IFERROR(D556*E556,0)</f>
        <v>30326.87</v>
      </c>
      <c r="G556" s="42" t="str">
        <f aca="false">INDEX(SETORES!$B:$B,MATCH(A556,SETORES!$A:$A,0))</f>
        <v>Funcionários</v>
      </c>
      <c r="H556" s="42" t="s">
        <v>88</v>
      </c>
    </row>
    <row r="557" customFormat="false" ht="14.25" hidden="false" customHeight="true" outlineLevel="0" collapsed="false">
      <c r="A557" s="16" t="s">
        <v>32</v>
      </c>
      <c r="B557" s="42" t="s">
        <v>155</v>
      </c>
      <c r="C557" s="42" t="s">
        <v>170</v>
      </c>
      <c r="D557" s="43"/>
      <c r="E557" s="44"/>
      <c r="F557" s="45" t="n">
        <f aca="false">IFERROR(D557*E557,0)</f>
        <v>0</v>
      </c>
      <c r="G557" s="42" t="str">
        <f aca="false">INDEX(SETORES!$B:$B,MATCH(A557,SETORES!$A:$A,0))</f>
        <v>Funcionários</v>
      </c>
      <c r="H557" s="42" t="s">
        <v>88</v>
      </c>
    </row>
    <row r="558" customFormat="false" ht="14.25" hidden="false" customHeight="true" outlineLevel="0" collapsed="false">
      <c r="A558" s="16" t="s">
        <v>32</v>
      </c>
      <c r="B558" s="42" t="s">
        <v>155</v>
      </c>
      <c r="C558" s="42" t="s">
        <v>183</v>
      </c>
      <c r="D558" s="43" t="n">
        <v>6</v>
      </c>
      <c r="E558" s="44" t="n">
        <v>7.57575757575758</v>
      </c>
      <c r="F558" s="45" t="n">
        <f aca="false">IFERROR(D558*E558,0)</f>
        <v>45.4545454545455</v>
      </c>
      <c r="G558" s="42" t="str">
        <f aca="false">INDEX(SETORES!$B:$B,MATCH(A558,SETORES!$A:$A,0))</f>
        <v>Funcionários</v>
      </c>
      <c r="H558" s="42" t="s">
        <v>88</v>
      </c>
    </row>
    <row r="559" customFormat="false" ht="14.25" hidden="false" customHeight="true" outlineLevel="0" collapsed="false">
      <c r="A559" s="16" t="s">
        <v>32</v>
      </c>
      <c r="B559" s="42" t="s">
        <v>155</v>
      </c>
      <c r="C559" s="42" t="s">
        <v>171</v>
      </c>
      <c r="D559" s="43" t="n">
        <v>6</v>
      </c>
      <c r="E559" s="44" t="n">
        <v>8.817255</v>
      </c>
      <c r="F559" s="45" t="n">
        <f aca="false">IFERROR(D559*E559,0)</f>
        <v>52.90353</v>
      </c>
      <c r="G559" s="42" t="str">
        <f aca="false">INDEX(SETORES!$B:$B,MATCH(A559,SETORES!$A:$A,0))</f>
        <v>Funcionários</v>
      </c>
      <c r="H559" s="42" t="s">
        <v>88</v>
      </c>
    </row>
    <row r="560" customFormat="false" ht="14.25" hidden="false" customHeight="true" outlineLevel="0" collapsed="false">
      <c r="A560" s="16" t="s">
        <v>32</v>
      </c>
      <c r="B560" s="42" t="s">
        <v>155</v>
      </c>
      <c r="C560" s="42" t="s">
        <v>172</v>
      </c>
      <c r="D560" s="43" t="n">
        <v>6</v>
      </c>
      <c r="E560" s="44" t="n">
        <v>50</v>
      </c>
      <c r="F560" s="45" t="n">
        <f aca="false">IFERROR(D560*E560,0)</f>
        <v>300</v>
      </c>
      <c r="G560" s="42" t="str">
        <f aca="false">INDEX(SETORES!$B:$B,MATCH(A560,SETORES!$A:$A,0))</f>
        <v>Funcionários</v>
      </c>
      <c r="H560" s="42" t="s">
        <v>88</v>
      </c>
    </row>
    <row r="561" customFormat="false" ht="14.25" hidden="false" customHeight="true" outlineLevel="0" collapsed="false">
      <c r="A561" s="16" t="s">
        <v>32</v>
      </c>
      <c r="B561" s="42" t="s">
        <v>155</v>
      </c>
      <c r="C561" s="42" t="s">
        <v>177</v>
      </c>
      <c r="D561" s="43" t="n">
        <v>1</v>
      </c>
      <c r="E561" s="44" t="n">
        <v>9.85</v>
      </c>
      <c r="F561" s="45" t="n">
        <f aca="false">IFERROR(D561*E561,0)</f>
        <v>9.85</v>
      </c>
      <c r="G561" s="42" t="str">
        <f aca="false">INDEX(SETORES!$B:$B,MATCH(A561,SETORES!$A:$A,0))</f>
        <v>Funcionários</v>
      </c>
      <c r="H561" s="42" t="s">
        <v>88</v>
      </c>
    </row>
    <row r="562" customFormat="false" ht="14.25" hidden="false" customHeight="true" outlineLevel="0" collapsed="false">
      <c r="A562" s="16" t="s">
        <v>32</v>
      </c>
      <c r="B562" s="42" t="s">
        <v>155</v>
      </c>
      <c r="C562" s="42" t="s">
        <v>178</v>
      </c>
      <c r="D562" s="43" t="n">
        <v>1</v>
      </c>
      <c r="E562" s="44" t="n">
        <v>167.98</v>
      </c>
      <c r="F562" s="45" t="n">
        <f aca="false">IFERROR(D562*E562,0)</f>
        <v>167.98</v>
      </c>
      <c r="G562" s="42" t="str">
        <f aca="false">INDEX(SETORES!$B:$B,MATCH(A562,SETORES!$A:$A,0))</f>
        <v>Funcionários</v>
      </c>
      <c r="H562" s="42" t="s">
        <v>88</v>
      </c>
    </row>
    <row r="563" customFormat="false" ht="14.25" hidden="false" customHeight="true" outlineLevel="0" collapsed="false">
      <c r="A563" s="16" t="s">
        <v>32</v>
      </c>
      <c r="B563" s="42" t="s">
        <v>155</v>
      </c>
      <c r="C563" s="42" t="s">
        <v>230</v>
      </c>
      <c r="D563" s="43"/>
      <c r="E563" s="44"/>
      <c r="F563" s="45" t="n">
        <f aca="false">IFERROR(D563*E563,0)</f>
        <v>0</v>
      </c>
      <c r="G563" s="42" t="str">
        <f aca="false">INDEX(SETORES!$B:$B,MATCH(A563,SETORES!$A:$A,0))</f>
        <v>Funcionários</v>
      </c>
      <c r="H563" s="42" t="s">
        <v>88</v>
      </c>
    </row>
    <row r="564" customFormat="false" ht="14.25" hidden="false" customHeight="true" outlineLevel="0" collapsed="false">
      <c r="A564" s="16" t="s">
        <v>32</v>
      </c>
      <c r="B564" s="42" t="s">
        <v>155</v>
      </c>
      <c r="C564" s="42" t="s">
        <v>231</v>
      </c>
      <c r="D564" s="43" t="n">
        <v>1</v>
      </c>
      <c r="E564" s="44" t="n">
        <v>2000</v>
      </c>
      <c r="F564" s="45" t="n">
        <f aca="false">IFERROR(D564*E564,0)</f>
        <v>2000</v>
      </c>
      <c r="G564" s="42" t="str">
        <f aca="false">INDEX(SETORES!$B:$B,MATCH(A564,SETORES!$A:$A,0))</f>
        <v>Funcionários</v>
      </c>
      <c r="H564" s="42" t="s">
        <v>88</v>
      </c>
    </row>
    <row r="565" customFormat="false" ht="14.25" hidden="false" customHeight="true" outlineLevel="0" collapsed="false">
      <c r="A565" s="16" t="s">
        <v>32</v>
      </c>
      <c r="B565" s="42" t="s">
        <v>157</v>
      </c>
      <c r="C565" s="42" t="s">
        <v>232</v>
      </c>
      <c r="D565" s="43"/>
      <c r="E565" s="44"/>
      <c r="F565" s="45" t="n">
        <f aca="false">IFERROR(D565*E565,0)</f>
        <v>0</v>
      </c>
      <c r="G565" s="42" t="str">
        <f aca="false">INDEX(SETORES!$B:$B,MATCH(A565,SETORES!$A:$A,0))</f>
        <v>Funcionários</v>
      </c>
      <c r="H565" s="42" t="s">
        <v>88</v>
      </c>
    </row>
    <row r="566" customFormat="false" ht="14.25" hidden="false" customHeight="true" outlineLevel="0" collapsed="false">
      <c r="A566" s="16" t="s">
        <v>32</v>
      </c>
      <c r="B566" s="42" t="s">
        <v>157</v>
      </c>
      <c r="C566" s="42" t="s">
        <v>158</v>
      </c>
      <c r="D566" s="43"/>
      <c r="E566" s="44"/>
      <c r="F566" s="45" t="n">
        <f aca="false">IFERROR(D566*E566,0)</f>
        <v>0</v>
      </c>
      <c r="G566" s="42" t="str">
        <f aca="false">INDEX(SETORES!$B:$B,MATCH(A566,SETORES!$A:$A,0))</f>
        <v>Funcionários</v>
      </c>
      <c r="H566" s="42" t="s">
        <v>88</v>
      </c>
    </row>
    <row r="567" customFormat="false" ht="14.25" hidden="false" customHeight="true" outlineLevel="0" collapsed="false">
      <c r="A567" s="16" t="s">
        <v>32</v>
      </c>
      <c r="B567" s="42" t="s">
        <v>155</v>
      </c>
      <c r="C567" s="42" t="s">
        <v>233</v>
      </c>
      <c r="D567" s="43" t="n">
        <v>1</v>
      </c>
      <c r="E567" s="44" t="n">
        <v>2500</v>
      </c>
      <c r="F567" s="45" t="n">
        <f aca="false">IFERROR(D567*E567,0)</f>
        <v>2500</v>
      </c>
      <c r="G567" s="42" t="str">
        <f aca="false">INDEX(SETORES!$B:$B,MATCH(A567,SETORES!$A:$A,0))</f>
        <v>Funcionários</v>
      </c>
      <c r="H567" s="42" t="s">
        <v>88</v>
      </c>
    </row>
    <row r="568" customFormat="false" ht="14.25" hidden="false" customHeight="true" outlineLevel="0" collapsed="false">
      <c r="A568" s="16" t="s">
        <v>32</v>
      </c>
      <c r="B568" s="42" t="s">
        <v>155</v>
      </c>
      <c r="C568" s="42" t="s">
        <v>234</v>
      </c>
      <c r="D568" s="43" t="n">
        <v>1</v>
      </c>
      <c r="E568" s="44" t="n">
        <v>2612.9</v>
      </c>
      <c r="F568" s="45" t="n">
        <f aca="false">IFERROR(D568*E568,0)</f>
        <v>2612.9</v>
      </c>
      <c r="G568" s="42" t="str">
        <f aca="false">INDEX(SETORES!$B:$B,MATCH(A568,SETORES!$A:$A,0))</f>
        <v>Funcionários</v>
      </c>
      <c r="H568" s="42" t="s">
        <v>88</v>
      </c>
    </row>
    <row r="569" customFormat="false" ht="14.25" hidden="false" customHeight="true" outlineLevel="0" collapsed="false">
      <c r="A569" s="16" t="s">
        <v>32</v>
      </c>
      <c r="B569" s="42" t="s">
        <v>155</v>
      </c>
      <c r="C569" s="42" t="s">
        <v>173</v>
      </c>
      <c r="D569" s="43" t="n">
        <v>6</v>
      </c>
      <c r="E569" s="44" t="n">
        <v>1.87</v>
      </c>
      <c r="F569" s="45" t="n">
        <f aca="false">IFERROR(D569*E569,0)</f>
        <v>11.22</v>
      </c>
      <c r="G569" s="42" t="str">
        <f aca="false">INDEX(SETORES!$B:$B,MATCH(A569,SETORES!$A:$A,0))</f>
        <v>Funcionários</v>
      </c>
      <c r="H569" s="42" t="s">
        <v>88</v>
      </c>
    </row>
    <row r="570" customFormat="false" ht="14.25" hidden="false" customHeight="true" outlineLevel="0" collapsed="false">
      <c r="A570" s="16" t="s">
        <v>32</v>
      </c>
      <c r="B570" s="42" t="s">
        <v>155</v>
      </c>
      <c r="C570" s="42" t="s">
        <v>179</v>
      </c>
      <c r="D570" s="43"/>
      <c r="E570" s="44"/>
      <c r="F570" s="45" t="n">
        <f aca="false">IFERROR(D570*E570,0)</f>
        <v>0</v>
      </c>
      <c r="G570" s="42" t="str">
        <f aca="false">INDEX(SETORES!$B:$B,MATCH(A570,SETORES!$A:$A,0))</f>
        <v>Funcionários</v>
      </c>
      <c r="H570" s="42" t="s">
        <v>88</v>
      </c>
    </row>
    <row r="571" customFormat="false" ht="14.25" hidden="false" customHeight="true" outlineLevel="0" collapsed="false">
      <c r="A571" s="16" t="s">
        <v>32</v>
      </c>
      <c r="B571" s="42" t="s">
        <v>155</v>
      </c>
      <c r="C571" s="42" t="s">
        <v>235</v>
      </c>
      <c r="D571" s="43"/>
      <c r="E571" s="44"/>
      <c r="F571" s="45" t="n">
        <f aca="false">IFERROR(D571*E571,0)</f>
        <v>0</v>
      </c>
      <c r="G571" s="42" t="str">
        <f aca="false">INDEX(SETORES!$B:$B,MATCH(A571,SETORES!$A:$A,0))</f>
        <v>Funcionários</v>
      </c>
      <c r="H571" s="42" t="s">
        <v>88</v>
      </c>
    </row>
    <row r="572" customFormat="false" ht="14.25" hidden="false" customHeight="true" outlineLevel="0" collapsed="false">
      <c r="A572" s="16" t="s">
        <v>44</v>
      </c>
      <c r="B572" s="42" t="s">
        <v>155</v>
      </c>
      <c r="C572" s="42" t="s">
        <v>162</v>
      </c>
      <c r="D572" s="43" t="n">
        <v>8</v>
      </c>
      <c r="E572" s="44" t="n">
        <v>7.4127</v>
      </c>
      <c r="F572" s="45" t="n">
        <f aca="false">IFERROR(D572*E572,0)</f>
        <v>59.3016</v>
      </c>
      <c r="G572" s="42" t="str">
        <f aca="false">INDEX(SETORES!$B:$B,MATCH(A572,SETORES!$A:$A,0))</f>
        <v>Funcionários</v>
      </c>
      <c r="H572" s="42" t="s">
        <v>88</v>
      </c>
    </row>
    <row r="573" customFormat="false" ht="14.25" hidden="false" customHeight="true" outlineLevel="0" collapsed="false">
      <c r="A573" s="16" t="s">
        <v>44</v>
      </c>
      <c r="B573" s="42" t="s">
        <v>155</v>
      </c>
      <c r="C573" s="42" t="s">
        <v>163</v>
      </c>
      <c r="D573" s="43" t="n">
        <v>3</v>
      </c>
      <c r="E573" s="44" t="n">
        <v>30</v>
      </c>
      <c r="F573" s="45" t="n">
        <f aca="false">IFERROR(D573*E573,0)</f>
        <v>90</v>
      </c>
      <c r="G573" s="42" t="str">
        <f aca="false">INDEX(SETORES!$B:$B,MATCH(A573,SETORES!$A:$A,0))</f>
        <v>Funcionários</v>
      </c>
      <c r="H573" s="42" t="s">
        <v>88</v>
      </c>
    </row>
    <row r="574" customFormat="false" ht="14.25" hidden="false" customHeight="true" outlineLevel="0" collapsed="false">
      <c r="A574" s="16" t="s">
        <v>44</v>
      </c>
      <c r="B574" s="42" t="s">
        <v>157</v>
      </c>
      <c r="C574" s="42" t="s">
        <v>199</v>
      </c>
      <c r="D574" s="43" t="n">
        <v>1</v>
      </c>
      <c r="E574" s="44" t="n">
        <v>4175.57</v>
      </c>
      <c r="F574" s="45" t="n">
        <f aca="false">IFERROR(D574*E574,0)</f>
        <v>4175.57</v>
      </c>
      <c r="G574" s="42" t="str">
        <f aca="false">INDEX(SETORES!$B:$B,MATCH(A574,SETORES!$A:$A,0))</f>
        <v>Funcionários</v>
      </c>
      <c r="H574" s="42" t="s">
        <v>88</v>
      </c>
    </row>
    <row r="575" customFormat="false" ht="14.25" hidden="false" customHeight="true" outlineLevel="0" collapsed="false">
      <c r="A575" s="16" t="s">
        <v>44</v>
      </c>
      <c r="B575" s="42" t="s">
        <v>155</v>
      </c>
      <c r="C575" s="42" t="s">
        <v>165</v>
      </c>
      <c r="D575" s="43" t="n">
        <v>8</v>
      </c>
      <c r="E575" s="44" t="n">
        <v>52.09</v>
      </c>
      <c r="F575" s="45" t="n">
        <f aca="false">IFERROR(D575*E575,0)</f>
        <v>416.72</v>
      </c>
      <c r="G575" s="42" t="str">
        <f aca="false">INDEX(SETORES!$B:$B,MATCH(A575,SETORES!$A:$A,0))</f>
        <v>Funcionários</v>
      </c>
      <c r="H575" s="42" t="s">
        <v>88</v>
      </c>
    </row>
    <row r="576" customFormat="false" ht="14.25" hidden="false" customHeight="true" outlineLevel="0" collapsed="false">
      <c r="A576" s="16" t="s">
        <v>44</v>
      </c>
      <c r="B576" s="42" t="s">
        <v>155</v>
      </c>
      <c r="C576" s="42" t="s">
        <v>166</v>
      </c>
      <c r="D576" s="43" t="n">
        <v>8</v>
      </c>
      <c r="E576" s="44" t="n">
        <v>32.55</v>
      </c>
      <c r="F576" s="45" t="n">
        <f aca="false">IFERROR(D576*E576,0)</f>
        <v>260.4</v>
      </c>
      <c r="G576" s="42" t="str">
        <f aca="false">INDEX(SETORES!$B:$B,MATCH(A576,SETORES!$A:$A,0))</f>
        <v>Funcionários</v>
      </c>
      <c r="H576" s="42" t="s">
        <v>88</v>
      </c>
    </row>
    <row r="577" customFormat="false" ht="14.25" hidden="false" customHeight="true" outlineLevel="0" collapsed="false">
      <c r="A577" s="16" t="s">
        <v>44</v>
      </c>
      <c r="B577" s="42" t="s">
        <v>155</v>
      </c>
      <c r="C577" s="42" t="s">
        <v>167</v>
      </c>
      <c r="D577" s="43" t="n">
        <v>8</v>
      </c>
      <c r="E577" s="44" t="n">
        <v>52.35</v>
      </c>
      <c r="F577" s="45" t="n">
        <f aca="false">IFERROR(D577*E577,0)</f>
        <v>418.8</v>
      </c>
      <c r="G577" s="42" t="str">
        <f aca="false">INDEX(SETORES!$B:$B,MATCH(A577,SETORES!$A:$A,0))</f>
        <v>Funcionários</v>
      </c>
      <c r="H577" s="42" t="s">
        <v>88</v>
      </c>
    </row>
    <row r="578" customFormat="false" ht="14.25" hidden="false" customHeight="true" outlineLevel="0" collapsed="false">
      <c r="A578" s="16" t="s">
        <v>44</v>
      </c>
      <c r="B578" s="42" t="s">
        <v>155</v>
      </c>
      <c r="C578" s="42" t="s">
        <v>168</v>
      </c>
      <c r="D578" s="43"/>
      <c r="E578" s="44"/>
      <c r="F578" s="45" t="n">
        <f aca="false">IFERROR(D578*E578,0)</f>
        <v>0</v>
      </c>
      <c r="G578" s="42" t="str">
        <f aca="false">INDEX(SETORES!$B:$B,MATCH(A578,SETORES!$A:$A,0))</f>
        <v>Funcionários</v>
      </c>
      <c r="H578" s="42" t="s">
        <v>88</v>
      </c>
    </row>
    <row r="579" customFormat="false" ht="14.25" hidden="false" customHeight="true" outlineLevel="0" collapsed="false">
      <c r="A579" s="16" t="s">
        <v>44</v>
      </c>
      <c r="B579" s="42" t="s">
        <v>157</v>
      </c>
      <c r="C579" s="42" t="s">
        <v>217</v>
      </c>
      <c r="D579" s="43"/>
      <c r="E579" s="44"/>
      <c r="F579" s="45" t="n">
        <f aca="false">IFERROR(D579*E579,0)</f>
        <v>0</v>
      </c>
      <c r="G579" s="42" t="str">
        <f aca="false">INDEX(SETORES!$B:$B,MATCH(A579,SETORES!$A:$A,0))</f>
        <v>Funcionários</v>
      </c>
      <c r="H579" s="42" t="s">
        <v>88</v>
      </c>
    </row>
    <row r="580" customFormat="false" ht="14.25" hidden="false" customHeight="true" outlineLevel="0" collapsed="false">
      <c r="A580" s="16" t="s">
        <v>44</v>
      </c>
      <c r="B580" s="42" t="s">
        <v>157</v>
      </c>
      <c r="C580" s="42" t="s">
        <v>174</v>
      </c>
      <c r="D580" s="43"/>
      <c r="E580" s="44"/>
      <c r="F580" s="45" t="n">
        <f aca="false">IFERROR(D580*E580,0)</f>
        <v>0</v>
      </c>
      <c r="G580" s="42" t="str">
        <f aca="false">INDEX(SETORES!$B:$B,MATCH(A580,SETORES!$A:$A,0))</f>
        <v>Funcionários</v>
      </c>
      <c r="H580" s="42" t="s">
        <v>88</v>
      </c>
    </row>
    <row r="581" customFormat="false" ht="14.25" hidden="false" customHeight="true" outlineLevel="0" collapsed="false">
      <c r="A581" s="16" t="s">
        <v>44</v>
      </c>
      <c r="B581" s="42" t="s">
        <v>157</v>
      </c>
      <c r="C581" s="42" t="s">
        <v>175</v>
      </c>
      <c r="D581" s="43"/>
      <c r="E581" s="44"/>
      <c r="F581" s="45" t="n">
        <f aca="false">IFERROR(D581*E581,0)</f>
        <v>0</v>
      </c>
      <c r="G581" s="42" t="str">
        <f aca="false">INDEX(SETORES!$B:$B,MATCH(A581,SETORES!$A:$A,0))</f>
        <v>Funcionários</v>
      </c>
      <c r="H581" s="42" t="s">
        <v>88</v>
      </c>
    </row>
    <row r="582" customFormat="false" ht="14.25" hidden="false" customHeight="true" outlineLevel="0" collapsed="false">
      <c r="A582" s="16" t="s">
        <v>44</v>
      </c>
      <c r="B582" s="42" t="s">
        <v>157</v>
      </c>
      <c r="C582" s="42" t="s">
        <v>176</v>
      </c>
      <c r="D582" s="43" t="n">
        <v>1</v>
      </c>
      <c r="E582" s="44" t="n">
        <v>204</v>
      </c>
      <c r="F582" s="45" t="n">
        <f aca="false">IFERROR(D582*E582,0)</f>
        <v>204</v>
      </c>
      <c r="G582" s="42" t="str">
        <f aca="false">INDEX(SETORES!$B:$B,MATCH(A582,SETORES!$A:$A,0))</f>
        <v>Funcionários</v>
      </c>
      <c r="H582" s="42" t="s">
        <v>88</v>
      </c>
    </row>
    <row r="583" customFormat="false" ht="14.25" hidden="false" customHeight="true" outlineLevel="0" collapsed="false">
      <c r="A583" s="16" t="s">
        <v>44</v>
      </c>
      <c r="B583" s="42" t="s">
        <v>155</v>
      </c>
      <c r="C583" s="42" t="s">
        <v>169</v>
      </c>
      <c r="D583" s="43" t="n">
        <v>1</v>
      </c>
      <c r="E583" s="44" t="n">
        <v>43760.48</v>
      </c>
      <c r="F583" s="45" t="n">
        <f aca="false">IFERROR(D583*E583,0)</f>
        <v>43760.48</v>
      </c>
      <c r="G583" s="42" t="str">
        <f aca="false">INDEX(SETORES!$B:$B,MATCH(A583,SETORES!$A:$A,0))</f>
        <v>Funcionários</v>
      </c>
      <c r="H583" s="42" t="s">
        <v>88</v>
      </c>
    </row>
    <row r="584" customFormat="false" ht="14.25" hidden="false" customHeight="true" outlineLevel="0" collapsed="false">
      <c r="A584" s="16" t="s">
        <v>44</v>
      </c>
      <c r="B584" s="42" t="s">
        <v>155</v>
      </c>
      <c r="C584" s="42" t="s">
        <v>170</v>
      </c>
      <c r="D584" s="43"/>
      <c r="E584" s="44"/>
      <c r="F584" s="45" t="n">
        <f aca="false">IFERROR(D584*E584,0)</f>
        <v>0</v>
      </c>
      <c r="G584" s="42" t="str">
        <f aca="false">INDEX(SETORES!$B:$B,MATCH(A584,SETORES!$A:$A,0))</f>
        <v>Funcionários</v>
      </c>
      <c r="H584" s="42" t="s">
        <v>88</v>
      </c>
    </row>
    <row r="585" customFormat="false" ht="14.25" hidden="false" customHeight="true" outlineLevel="0" collapsed="false">
      <c r="A585" s="16" t="s">
        <v>44</v>
      </c>
      <c r="B585" s="42" t="s">
        <v>155</v>
      </c>
      <c r="C585" s="42" t="s">
        <v>183</v>
      </c>
      <c r="D585" s="43" t="n">
        <v>1</v>
      </c>
      <c r="E585" s="44" t="n">
        <v>570</v>
      </c>
      <c r="F585" s="45" t="n">
        <f aca="false">IFERROR(D585*E585,0)</f>
        <v>570</v>
      </c>
      <c r="G585" s="42" t="str">
        <f aca="false">INDEX(SETORES!$B:$B,MATCH(A585,SETORES!$A:$A,0))</f>
        <v>Funcionários</v>
      </c>
      <c r="H585" s="42" t="s">
        <v>88</v>
      </c>
    </row>
    <row r="586" customFormat="false" ht="14.25" hidden="false" customHeight="true" outlineLevel="0" collapsed="false">
      <c r="A586" s="16" t="s">
        <v>44</v>
      </c>
      <c r="B586" s="42" t="s">
        <v>155</v>
      </c>
      <c r="C586" s="42" t="s">
        <v>171</v>
      </c>
      <c r="D586" s="43" t="n">
        <v>8</v>
      </c>
      <c r="E586" s="44" t="n">
        <v>48.73907</v>
      </c>
      <c r="F586" s="45" t="n">
        <f aca="false">IFERROR(D586*E586,0)</f>
        <v>389.91256</v>
      </c>
      <c r="G586" s="42" t="str">
        <f aca="false">INDEX(SETORES!$B:$B,MATCH(A586,SETORES!$A:$A,0))</f>
        <v>Funcionários</v>
      </c>
      <c r="H586" s="42" t="s">
        <v>88</v>
      </c>
    </row>
    <row r="587" customFormat="false" ht="14.25" hidden="false" customHeight="true" outlineLevel="0" collapsed="false">
      <c r="A587" s="16" t="s">
        <v>44</v>
      </c>
      <c r="B587" s="42" t="s">
        <v>155</v>
      </c>
      <c r="C587" s="42" t="s">
        <v>172</v>
      </c>
      <c r="D587" s="43" t="n">
        <v>8</v>
      </c>
      <c r="E587" s="44" t="n">
        <v>50</v>
      </c>
      <c r="F587" s="45" t="n">
        <f aca="false">IFERROR(D587*E587,0)</f>
        <v>400</v>
      </c>
      <c r="G587" s="42" t="str">
        <f aca="false">INDEX(SETORES!$B:$B,MATCH(A587,SETORES!$A:$A,0))</f>
        <v>Funcionários</v>
      </c>
      <c r="H587" s="42" t="s">
        <v>88</v>
      </c>
    </row>
    <row r="588" customFormat="false" ht="14.25" hidden="false" customHeight="true" outlineLevel="0" collapsed="false">
      <c r="A588" s="16" t="s">
        <v>44</v>
      </c>
      <c r="B588" s="42" t="s">
        <v>155</v>
      </c>
      <c r="C588" s="42" t="s">
        <v>177</v>
      </c>
      <c r="D588" s="43" t="n">
        <v>1</v>
      </c>
      <c r="E588" s="44" t="n">
        <v>56.96</v>
      </c>
      <c r="F588" s="45" t="n">
        <f aca="false">IFERROR(D588*E588,0)</f>
        <v>56.96</v>
      </c>
      <c r="G588" s="42" t="str">
        <f aca="false">INDEX(SETORES!$B:$B,MATCH(A588,SETORES!$A:$A,0))</f>
        <v>Funcionários</v>
      </c>
      <c r="H588" s="42" t="s">
        <v>88</v>
      </c>
    </row>
    <row r="589" customFormat="false" ht="14.25" hidden="false" customHeight="true" outlineLevel="0" collapsed="false">
      <c r="A589" s="16" t="s">
        <v>44</v>
      </c>
      <c r="B589" s="42" t="s">
        <v>155</v>
      </c>
      <c r="C589" s="42" t="s">
        <v>178</v>
      </c>
      <c r="D589" s="43"/>
      <c r="E589" s="44"/>
      <c r="F589" s="45" t="n">
        <f aca="false">IFERROR(D589*E589,0)</f>
        <v>0</v>
      </c>
      <c r="G589" s="42" t="str">
        <f aca="false">INDEX(SETORES!$B:$B,MATCH(A589,SETORES!$A:$A,0))</f>
        <v>Funcionários</v>
      </c>
      <c r="H589" s="42" t="s">
        <v>88</v>
      </c>
    </row>
    <row r="590" customFormat="false" ht="14.25" hidden="false" customHeight="true" outlineLevel="0" collapsed="false">
      <c r="A590" s="16" t="s">
        <v>44</v>
      </c>
      <c r="B590" s="42" t="s">
        <v>157</v>
      </c>
      <c r="C590" s="42" t="s">
        <v>236</v>
      </c>
      <c r="D590" s="43" t="n">
        <v>1</v>
      </c>
      <c r="E590" s="44" t="n">
        <v>7689.5</v>
      </c>
      <c r="F590" s="45" t="n">
        <f aca="false">IFERROR(D590*E590,0)</f>
        <v>7689.5</v>
      </c>
      <c r="G590" s="42" t="str">
        <f aca="false">INDEX(SETORES!$B:$B,MATCH(A590,SETORES!$A:$A,0))</f>
        <v>Funcionários</v>
      </c>
      <c r="H590" s="42" t="s">
        <v>88</v>
      </c>
    </row>
    <row r="591" customFormat="false" ht="14.25" hidden="false" customHeight="true" outlineLevel="0" collapsed="false">
      <c r="A591" s="16" t="s">
        <v>44</v>
      </c>
      <c r="B591" s="42" t="s">
        <v>157</v>
      </c>
      <c r="C591" s="42" t="s">
        <v>184</v>
      </c>
      <c r="D591" s="43" t="n">
        <v>8</v>
      </c>
      <c r="E591" s="44" t="n">
        <v>68.18</v>
      </c>
      <c r="F591" s="45" t="n">
        <f aca="false">IFERROR(D591*E591,0)</f>
        <v>545.44</v>
      </c>
      <c r="G591" s="42" t="str">
        <f aca="false">INDEX(SETORES!$B:$B,MATCH(A591,SETORES!$A:$A,0))</f>
        <v>Funcionários</v>
      </c>
      <c r="H591" s="42" t="s">
        <v>88</v>
      </c>
    </row>
    <row r="592" customFormat="false" ht="14.25" hidden="false" customHeight="true" outlineLevel="0" collapsed="false">
      <c r="A592" s="16" t="s">
        <v>44</v>
      </c>
      <c r="B592" s="42" t="s">
        <v>157</v>
      </c>
      <c r="C592" s="42" t="s">
        <v>158</v>
      </c>
      <c r="D592" s="43"/>
      <c r="E592" s="44"/>
      <c r="F592" s="45" t="n">
        <f aca="false">IFERROR(D592*E592,0)</f>
        <v>0</v>
      </c>
      <c r="G592" s="42" t="str">
        <f aca="false">INDEX(SETORES!$B:$B,MATCH(A592,SETORES!$A:$A,0))</f>
        <v>Funcionários</v>
      </c>
      <c r="H592" s="42" t="s">
        <v>88</v>
      </c>
    </row>
    <row r="593" customFormat="false" ht="14.25" hidden="false" customHeight="true" outlineLevel="0" collapsed="false">
      <c r="A593" s="16" t="s">
        <v>44</v>
      </c>
      <c r="B593" s="42" t="s">
        <v>155</v>
      </c>
      <c r="C593" s="42" t="s">
        <v>173</v>
      </c>
      <c r="D593" s="43" t="n">
        <v>8</v>
      </c>
      <c r="E593" s="44" t="n">
        <v>1.87</v>
      </c>
      <c r="F593" s="45" t="n">
        <f aca="false">IFERROR(D593*E593,0)</f>
        <v>14.96</v>
      </c>
      <c r="G593" s="42" t="str">
        <f aca="false">INDEX(SETORES!$B:$B,MATCH(A593,SETORES!$A:$A,0))</f>
        <v>Funcionários</v>
      </c>
      <c r="H593" s="42" t="s">
        <v>88</v>
      </c>
    </row>
    <row r="594" customFormat="false" ht="14.25" hidden="false" customHeight="true" outlineLevel="0" collapsed="false">
      <c r="A594" s="16" t="s">
        <v>44</v>
      </c>
      <c r="B594" s="42" t="s">
        <v>155</v>
      </c>
      <c r="C594" s="42" t="s">
        <v>179</v>
      </c>
      <c r="D594" s="43"/>
      <c r="E594" s="44"/>
      <c r="F594" s="45" t="n">
        <f aca="false">IFERROR(D594*E594,0)</f>
        <v>0</v>
      </c>
      <c r="G594" s="42" t="str">
        <f aca="false">INDEX(SETORES!$B:$B,MATCH(A594,SETORES!$A:$A,0))</f>
        <v>Funcionários</v>
      </c>
      <c r="H594" s="42" t="s">
        <v>88</v>
      </c>
    </row>
    <row r="595" customFormat="false" ht="14.25" hidden="false" customHeight="true" outlineLevel="0" collapsed="false">
      <c r="A595" s="16" t="s">
        <v>139</v>
      </c>
      <c r="B595" s="42" t="s">
        <v>155</v>
      </c>
      <c r="C595" s="42" t="s">
        <v>205</v>
      </c>
      <c r="D595" s="43" t="n">
        <v>1</v>
      </c>
      <c r="E595" s="44" t="n">
        <v>1049.68</v>
      </c>
      <c r="F595" s="45" t="n">
        <f aca="false">IFERROR(D595*E595,0)</f>
        <v>1049.68</v>
      </c>
      <c r="G595" s="42" t="str">
        <f aca="false">INDEX(SETORES!$B:$B,MATCH(A595,SETORES!$A:$A,0))</f>
        <v>Funcionários</v>
      </c>
      <c r="H595" s="42" t="s">
        <v>88</v>
      </c>
    </row>
    <row r="596" customFormat="false" ht="14.25" hidden="false" customHeight="true" outlineLevel="0" collapsed="false">
      <c r="A596" s="16" t="s">
        <v>139</v>
      </c>
      <c r="B596" s="42" t="s">
        <v>155</v>
      </c>
      <c r="C596" s="42" t="s">
        <v>165</v>
      </c>
      <c r="D596" s="43" t="n">
        <v>6</v>
      </c>
      <c r="E596" s="44" t="n">
        <v>52.09</v>
      </c>
      <c r="F596" s="45" t="n">
        <f aca="false">IFERROR(D596*E596,0)</f>
        <v>312.54</v>
      </c>
      <c r="G596" s="42" t="str">
        <f aca="false">INDEX(SETORES!$B:$B,MATCH(A596,SETORES!$A:$A,0))</f>
        <v>Funcionários</v>
      </c>
      <c r="H596" s="42" t="s">
        <v>88</v>
      </c>
    </row>
    <row r="597" customFormat="false" ht="14.25" hidden="false" customHeight="true" outlineLevel="0" collapsed="false">
      <c r="A597" s="16" t="s">
        <v>139</v>
      </c>
      <c r="B597" s="42" t="s">
        <v>155</v>
      </c>
      <c r="C597" s="42" t="s">
        <v>166</v>
      </c>
      <c r="D597" s="43" t="n">
        <v>6</v>
      </c>
      <c r="E597" s="44" t="n">
        <v>32.55</v>
      </c>
      <c r="F597" s="45" t="n">
        <f aca="false">IFERROR(D597*E597,0)</f>
        <v>195.3</v>
      </c>
      <c r="G597" s="42" t="str">
        <f aca="false">INDEX(SETORES!$B:$B,MATCH(A597,SETORES!$A:$A,0))</f>
        <v>Funcionários</v>
      </c>
      <c r="H597" s="42" t="s">
        <v>88</v>
      </c>
    </row>
    <row r="598" customFormat="false" ht="14.25" hidden="false" customHeight="true" outlineLevel="0" collapsed="false">
      <c r="A598" s="16" t="s">
        <v>139</v>
      </c>
      <c r="B598" s="42" t="s">
        <v>155</v>
      </c>
      <c r="C598" s="42" t="s">
        <v>167</v>
      </c>
      <c r="D598" s="43" t="n">
        <v>6</v>
      </c>
      <c r="E598" s="44" t="n">
        <v>52.35</v>
      </c>
      <c r="F598" s="45" t="n">
        <f aca="false">IFERROR(D598*E598,0)</f>
        <v>314.1</v>
      </c>
      <c r="G598" s="42" t="str">
        <f aca="false">INDEX(SETORES!$B:$B,MATCH(A598,SETORES!$A:$A,0))</f>
        <v>Funcionários</v>
      </c>
      <c r="H598" s="42" t="s">
        <v>88</v>
      </c>
    </row>
    <row r="599" customFormat="false" ht="14.25" hidden="false" customHeight="true" outlineLevel="0" collapsed="false">
      <c r="A599" s="16" t="s">
        <v>139</v>
      </c>
      <c r="B599" s="42" t="s">
        <v>157</v>
      </c>
      <c r="C599" s="42" t="s">
        <v>176</v>
      </c>
      <c r="D599" s="43"/>
      <c r="E599" s="44"/>
      <c r="F599" s="45" t="n">
        <f aca="false">IFERROR(D599*E599,0)</f>
        <v>0</v>
      </c>
      <c r="G599" s="42" t="str">
        <f aca="false">INDEX(SETORES!$B:$B,MATCH(A599,SETORES!$A:$A,0))</f>
        <v>Funcionários</v>
      </c>
      <c r="H599" s="42" t="s">
        <v>88</v>
      </c>
    </row>
    <row r="600" customFormat="false" ht="14.25" hidden="false" customHeight="true" outlineLevel="0" collapsed="false">
      <c r="A600" s="16" t="s">
        <v>139</v>
      </c>
      <c r="B600" s="42" t="s">
        <v>155</v>
      </c>
      <c r="C600" s="42" t="s">
        <v>169</v>
      </c>
      <c r="D600" s="43" t="n">
        <v>1</v>
      </c>
      <c r="E600" s="44" t="n">
        <v>27256.45</v>
      </c>
      <c r="F600" s="45" t="n">
        <f aca="false">IFERROR(D600*E600,0)</f>
        <v>27256.45</v>
      </c>
      <c r="G600" s="42" t="str">
        <f aca="false">INDEX(SETORES!$B:$B,MATCH(A600,SETORES!$A:$A,0))</f>
        <v>Funcionários</v>
      </c>
      <c r="H600" s="42" t="s">
        <v>88</v>
      </c>
    </row>
    <row r="601" customFormat="false" ht="14.25" hidden="false" customHeight="true" outlineLevel="0" collapsed="false">
      <c r="A601" s="16" t="s">
        <v>139</v>
      </c>
      <c r="B601" s="42" t="s">
        <v>155</v>
      </c>
      <c r="C601" s="42" t="s">
        <v>170</v>
      </c>
      <c r="D601" s="43"/>
      <c r="E601" s="44"/>
      <c r="F601" s="45" t="n">
        <f aca="false">IFERROR(D601*E601,0)</f>
        <v>0</v>
      </c>
      <c r="G601" s="42" t="str">
        <f aca="false">INDEX(SETORES!$B:$B,MATCH(A601,SETORES!$A:$A,0))</f>
        <v>Funcionários</v>
      </c>
      <c r="H601" s="42" t="s">
        <v>88</v>
      </c>
    </row>
    <row r="602" customFormat="false" ht="14.25" hidden="false" customHeight="true" outlineLevel="0" collapsed="false">
      <c r="A602" s="16" t="s">
        <v>139</v>
      </c>
      <c r="B602" s="42" t="s">
        <v>155</v>
      </c>
      <c r="C602" s="42" t="s">
        <v>173</v>
      </c>
      <c r="D602" s="43" t="n">
        <v>6</v>
      </c>
      <c r="E602" s="44" t="n">
        <v>1.87</v>
      </c>
      <c r="F602" s="45" t="n">
        <f aca="false">IFERROR(D602*E602,0)</f>
        <v>11.22</v>
      </c>
      <c r="G602" s="42" t="str">
        <f aca="false">INDEX(SETORES!$B:$B,MATCH(A602,SETORES!$A:$A,0))</f>
        <v>Funcionários</v>
      </c>
      <c r="H602" s="42" t="s">
        <v>88</v>
      </c>
    </row>
    <row r="603" customFormat="false" ht="14.25" hidden="false" customHeight="true" outlineLevel="0" collapsed="false">
      <c r="A603" s="16" t="s">
        <v>53</v>
      </c>
      <c r="B603" s="42" t="s">
        <v>155</v>
      </c>
      <c r="C603" s="42" t="s">
        <v>162</v>
      </c>
      <c r="D603" s="43" t="n">
        <v>33</v>
      </c>
      <c r="E603" s="44" t="n">
        <v>0.342924528301887</v>
      </c>
      <c r="F603" s="45" t="n">
        <f aca="false">IFERROR(D603*E603,0)</f>
        <v>11.3165094339623</v>
      </c>
      <c r="G603" s="42" t="str">
        <f aca="false">INDEX(SETORES!$B:$B,MATCH(A603,SETORES!$A:$A,0))</f>
        <v>Clientes</v>
      </c>
      <c r="H603" s="42" t="s">
        <v>88</v>
      </c>
    </row>
    <row r="604" customFormat="false" ht="14.25" hidden="false" customHeight="true" outlineLevel="0" collapsed="false">
      <c r="A604" s="16" t="s">
        <v>53</v>
      </c>
      <c r="B604" s="42" t="s">
        <v>155</v>
      </c>
      <c r="C604" s="42" t="s">
        <v>180</v>
      </c>
      <c r="D604" s="43" t="n">
        <v>1</v>
      </c>
      <c r="E604" s="44" t="n">
        <v>2571.47</v>
      </c>
      <c r="F604" s="45" t="n">
        <f aca="false">IFERROR(D604*E604,0)</f>
        <v>2571.47</v>
      </c>
      <c r="G604" s="42" t="str">
        <f aca="false">INDEX(SETORES!$B:$B,MATCH(A604,SETORES!$A:$A,0))</f>
        <v>Clientes</v>
      </c>
      <c r="H604" s="42" t="s">
        <v>88</v>
      </c>
    </row>
    <row r="605" customFormat="false" ht="14.25" hidden="false" customHeight="true" outlineLevel="0" collapsed="false">
      <c r="A605" s="16" t="s">
        <v>53</v>
      </c>
      <c r="B605" s="42" t="s">
        <v>155</v>
      </c>
      <c r="C605" s="42" t="s">
        <v>165</v>
      </c>
      <c r="D605" s="43" t="n">
        <v>33</v>
      </c>
      <c r="E605" s="44" t="n">
        <v>52.09</v>
      </c>
      <c r="F605" s="45" t="n">
        <f aca="false">IFERROR(D605*E605,0)</f>
        <v>1718.97</v>
      </c>
      <c r="G605" s="42" t="s">
        <v>99</v>
      </c>
      <c r="H605" s="42" t="s">
        <v>88</v>
      </c>
    </row>
    <row r="606" customFormat="false" ht="14.25" hidden="false" customHeight="true" outlineLevel="0" collapsed="false">
      <c r="A606" s="16" t="s">
        <v>53</v>
      </c>
      <c r="B606" s="42" t="s">
        <v>155</v>
      </c>
      <c r="C606" s="42" t="s">
        <v>166</v>
      </c>
      <c r="D606" s="43" t="n">
        <v>33</v>
      </c>
      <c r="E606" s="44" t="n">
        <v>32.55</v>
      </c>
      <c r="F606" s="45" t="n">
        <f aca="false">IFERROR(D606*E606,0)</f>
        <v>1074.15</v>
      </c>
      <c r="G606" s="42" t="s">
        <v>99</v>
      </c>
      <c r="H606" s="42" t="s">
        <v>88</v>
      </c>
    </row>
    <row r="607" customFormat="false" ht="14.25" hidden="false" customHeight="true" outlineLevel="0" collapsed="false">
      <c r="A607" s="16" t="s">
        <v>53</v>
      </c>
      <c r="B607" s="42" t="s">
        <v>155</v>
      </c>
      <c r="C607" s="42" t="s">
        <v>167</v>
      </c>
      <c r="D607" s="43" t="n">
        <v>33</v>
      </c>
      <c r="E607" s="44" t="n">
        <v>52.35</v>
      </c>
      <c r="F607" s="45" t="n">
        <f aca="false">IFERROR(D607*E607,0)</f>
        <v>1727.55</v>
      </c>
      <c r="G607" s="42" t="s">
        <v>99</v>
      </c>
      <c r="H607" s="42" t="s">
        <v>88</v>
      </c>
    </row>
    <row r="608" customFormat="false" ht="14.25" hidden="false" customHeight="true" outlineLevel="0" collapsed="false">
      <c r="A608" s="16" t="s">
        <v>53</v>
      </c>
      <c r="B608" s="42" t="s">
        <v>155</v>
      </c>
      <c r="C608" s="42" t="s">
        <v>168</v>
      </c>
      <c r="D608" s="43" t="n">
        <v>33</v>
      </c>
      <c r="E608" s="44" t="n">
        <v>124.491481481482</v>
      </c>
      <c r="F608" s="45" t="n">
        <f aca="false">IFERROR(D608*E608,0)</f>
        <v>4108.21888888891</v>
      </c>
      <c r="G608" s="42" t="str">
        <f aca="false">INDEX(SETORES!$B:$B,MATCH(A608,SETORES!$A:$A,0))</f>
        <v>Clientes</v>
      </c>
      <c r="H608" s="42" t="s">
        <v>88</v>
      </c>
    </row>
    <row r="609" customFormat="false" ht="14.25" hidden="false" customHeight="true" outlineLevel="0" collapsed="false">
      <c r="A609" s="16" t="s">
        <v>53</v>
      </c>
      <c r="B609" s="42" t="s">
        <v>157</v>
      </c>
      <c r="C609" s="42" t="s">
        <v>174</v>
      </c>
      <c r="D609" s="43"/>
      <c r="E609" s="44"/>
      <c r="F609" s="45" t="n">
        <f aca="false">IFERROR(D609*E609,0)</f>
        <v>0</v>
      </c>
      <c r="G609" s="42" t="str">
        <f aca="false">INDEX(SETORES!$B:$B,MATCH(A609,SETORES!$A:$A,0))</f>
        <v>Clientes</v>
      </c>
      <c r="H609" s="42" t="s">
        <v>88</v>
      </c>
    </row>
    <row r="610" customFormat="false" ht="14.25" hidden="false" customHeight="true" outlineLevel="0" collapsed="false">
      <c r="A610" s="16" t="s">
        <v>53</v>
      </c>
      <c r="B610" s="42" t="s">
        <v>157</v>
      </c>
      <c r="C610" s="42" t="s">
        <v>175</v>
      </c>
      <c r="D610" s="43"/>
      <c r="E610" s="44"/>
      <c r="F610" s="45" t="n">
        <f aca="false">IFERROR(D610*E610,0)</f>
        <v>0</v>
      </c>
      <c r="G610" s="42" t="str">
        <f aca="false">INDEX(SETORES!$B:$B,MATCH(A610,SETORES!$A:$A,0))</f>
        <v>Clientes</v>
      </c>
      <c r="H610" s="42" t="s">
        <v>88</v>
      </c>
    </row>
    <row r="611" customFormat="false" ht="14.25" hidden="false" customHeight="true" outlineLevel="0" collapsed="false">
      <c r="A611" s="46" t="s">
        <v>53</v>
      </c>
      <c r="B611" s="47" t="s">
        <v>157</v>
      </c>
      <c r="C611" s="47" t="s">
        <v>176</v>
      </c>
      <c r="D611" s="47" t="n">
        <v>1</v>
      </c>
      <c r="E611" s="48" t="n">
        <v>272</v>
      </c>
      <c r="F611" s="48" t="n">
        <f aca="false">IFERROR(D611*E611,0)</f>
        <v>272</v>
      </c>
      <c r="G611" s="47" t="str">
        <f aca="false">INDEX(SETORES!$B:$B,MATCH(A611,SETORES!$A:$A,0))</f>
        <v>Clientes</v>
      </c>
      <c r="H611" s="47" t="s">
        <v>88</v>
      </c>
    </row>
    <row r="612" customFormat="false" ht="14.25" hidden="false" customHeight="true" outlineLevel="0" collapsed="false">
      <c r="A612" s="16" t="s">
        <v>53</v>
      </c>
      <c r="B612" s="42" t="s">
        <v>155</v>
      </c>
      <c r="C612" s="42" t="s">
        <v>169</v>
      </c>
      <c r="D612" s="43" t="n">
        <v>1</v>
      </c>
      <c r="E612" s="44" t="n">
        <v>106886.23</v>
      </c>
      <c r="F612" s="45" t="n">
        <f aca="false">IFERROR(D612*E612,0)</f>
        <v>106886.23</v>
      </c>
      <c r="G612" s="42" t="str">
        <f aca="false">INDEX(SETORES!$B:$B,MATCH(A612,SETORES!$A:$A,0))</f>
        <v>Clientes</v>
      </c>
      <c r="H612" s="42" t="s">
        <v>88</v>
      </c>
    </row>
    <row r="613" customFormat="false" ht="14.25" hidden="false" customHeight="true" outlineLevel="0" collapsed="false">
      <c r="A613" s="16" t="s">
        <v>53</v>
      </c>
      <c r="B613" s="42" t="s">
        <v>155</v>
      </c>
      <c r="C613" s="42" t="s">
        <v>170</v>
      </c>
      <c r="D613" s="43"/>
      <c r="E613" s="44"/>
      <c r="F613" s="45" t="n">
        <f aca="false">IFERROR(D613*E613,0)</f>
        <v>0</v>
      </c>
      <c r="G613" s="42" t="str">
        <f aca="false">INDEX(SETORES!$B:$B,MATCH(A613,SETORES!$A:$A,0))</f>
        <v>Clientes</v>
      </c>
      <c r="H613" s="42" t="s">
        <v>88</v>
      </c>
    </row>
    <row r="614" customFormat="false" ht="14.25" hidden="false" customHeight="true" outlineLevel="0" collapsed="false">
      <c r="A614" s="16" t="s">
        <v>53</v>
      </c>
      <c r="B614" s="42" t="s">
        <v>155</v>
      </c>
      <c r="C614" s="42" t="s">
        <v>181</v>
      </c>
      <c r="D614" s="43"/>
      <c r="E614" s="44"/>
      <c r="F614" s="45" t="n">
        <f aca="false">IFERROR(D614*E614,0)</f>
        <v>0</v>
      </c>
      <c r="G614" s="42" t="str">
        <f aca="false">INDEX(SETORES!$B:$B,MATCH(A614,SETORES!$A:$A,0))</f>
        <v>Clientes</v>
      </c>
      <c r="H614" s="42" t="s">
        <v>88</v>
      </c>
    </row>
    <row r="615" customFormat="false" ht="14.25" hidden="false" customHeight="true" outlineLevel="0" collapsed="false">
      <c r="A615" s="16" t="s">
        <v>53</v>
      </c>
      <c r="B615" s="42" t="s">
        <v>155</v>
      </c>
      <c r="C615" s="42" t="s">
        <v>171</v>
      </c>
      <c r="D615" s="43"/>
      <c r="E615" s="44"/>
      <c r="F615" s="45" t="n">
        <f aca="false">IFERROR(D615*E615,0)</f>
        <v>0</v>
      </c>
      <c r="G615" s="42" t="str">
        <f aca="false">INDEX(SETORES!$B:$B,MATCH(A615,SETORES!$A:$A,0))</f>
        <v>Clientes</v>
      </c>
      <c r="H615" s="42" t="s">
        <v>88</v>
      </c>
    </row>
    <row r="616" customFormat="false" ht="14.25" hidden="false" customHeight="true" outlineLevel="0" collapsed="false">
      <c r="A616" s="16" t="s">
        <v>53</v>
      </c>
      <c r="B616" s="42" t="s">
        <v>155</v>
      </c>
      <c r="C616" s="42" t="s">
        <v>172</v>
      </c>
      <c r="D616" s="43" t="n">
        <v>33</v>
      </c>
      <c r="E616" s="44" t="n">
        <v>50</v>
      </c>
      <c r="F616" s="45" t="n">
        <f aca="false">IFERROR(D616*E616,0)</f>
        <v>1650</v>
      </c>
      <c r="G616" s="42" t="str">
        <f aca="false">INDEX(SETORES!$B:$B,MATCH(A616,SETORES!$A:$A,0))</f>
        <v>Clientes</v>
      </c>
      <c r="H616" s="42" t="s">
        <v>88</v>
      </c>
    </row>
    <row r="617" customFormat="false" ht="14.25" hidden="false" customHeight="true" outlineLevel="0" collapsed="false">
      <c r="A617" s="16" t="s">
        <v>53</v>
      </c>
      <c r="B617" s="42" t="s">
        <v>155</v>
      </c>
      <c r="C617" s="42" t="s">
        <v>177</v>
      </c>
      <c r="D617" s="43" t="n">
        <v>1</v>
      </c>
      <c r="E617" s="44" t="n">
        <v>9.5</v>
      </c>
      <c r="F617" s="45" t="n">
        <f aca="false">IFERROR(D617*E617,0)</f>
        <v>9.5</v>
      </c>
      <c r="G617" s="42" t="str">
        <f aca="false">INDEX(SETORES!$B:$B,MATCH(A617,SETORES!$A:$A,0))</f>
        <v>Clientes</v>
      </c>
      <c r="H617" s="42" t="s">
        <v>88</v>
      </c>
    </row>
    <row r="618" customFormat="false" ht="14.25" hidden="false" customHeight="true" outlineLevel="0" collapsed="false">
      <c r="A618" s="16" t="s">
        <v>53</v>
      </c>
      <c r="B618" s="42" t="s">
        <v>155</v>
      </c>
      <c r="C618" s="42" t="s">
        <v>178</v>
      </c>
      <c r="D618" s="43" t="n">
        <v>1</v>
      </c>
      <c r="E618" s="44" t="n">
        <v>1668.3</v>
      </c>
      <c r="F618" s="45" t="n">
        <f aca="false">IFERROR(D618*E618,0)</f>
        <v>1668.3</v>
      </c>
      <c r="G618" s="42" t="str">
        <f aca="false">INDEX(SETORES!$B:$B,MATCH(A618,SETORES!$A:$A,0))</f>
        <v>Clientes</v>
      </c>
      <c r="H618" s="42" t="s">
        <v>88</v>
      </c>
    </row>
    <row r="619" customFormat="false" ht="14.25" hidden="false" customHeight="true" outlineLevel="0" collapsed="false">
      <c r="A619" s="16" t="s">
        <v>53</v>
      </c>
      <c r="B619" s="42" t="s">
        <v>157</v>
      </c>
      <c r="C619" s="42" t="s">
        <v>158</v>
      </c>
      <c r="D619" s="43"/>
      <c r="E619" s="44"/>
      <c r="F619" s="45" t="n">
        <f aca="false">IFERROR(D619*E619,0)</f>
        <v>0</v>
      </c>
      <c r="G619" s="42" t="str">
        <f aca="false">INDEX(SETORES!$B:$B,MATCH(A619,SETORES!$A:$A,0))</f>
        <v>Clientes</v>
      </c>
      <c r="H619" s="42" t="s">
        <v>88</v>
      </c>
    </row>
    <row r="620" customFormat="false" ht="14.25" hidden="false" customHeight="true" outlineLevel="0" collapsed="false">
      <c r="A620" s="16" t="s">
        <v>53</v>
      </c>
      <c r="B620" s="42" t="s">
        <v>155</v>
      </c>
      <c r="C620" s="42" t="s">
        <v>182</v>
      </c>
      <c r="D620" s="43" t="n">
        <v>33</v>
      </c>
      <c r="E620" s="44" t="n">
        <v>294.971933</v>
      </c>
      <c r="F620" s="45" t="n">
        <f aca="false">IFERROR(D620*E620,0)</f>
        <v>9734.073789</v>
      </c>
      <c r="G620" s="42" t="str">
        <f aca="false">INDEX(SETORES!$B:$B,MATCH(A620,SETORES!$A:$A,0))</f>
        <v>Clientes</v>
      </c>
      <c r="H620" s="42" t="s">
        <v>88</v>
      </c>
    </row>
    <row r="621" customFormat="false" ht="14.25" hidden="false" customHeight="true" outlineLevel="0" collapsed="false">
      <c r="A621" s="16" t="s">
        <v>53</v>
      </c>
      <c r="B621" s="42" t="s">
        <v>155</v>
      </c>
      <c r="C621" s="42" t="s">
        <v>173</v>
      </c>
      <c r="D621" s="43" t="n">
        <v>33</v>
      </c>
      <c r="E621" s="44" t="n">
        <v>1.87</v>
      </c>
      <c r="F621" s="45" t="n">
        <f aca="false">IFERROR(D621*E621,0)</f>
        <v>61.71</v>
      </c>
      <c r="G621" s="42" t="str">
        <f aca="false">INDEX(SETORES!$B:$B,MATCH(A621,SETORES!$A:$A,0))</f>
        <v>Clientes</v>
      </c>
      <c r="H621" s="42" t="s">
        <v>88</v>
      </c>
    </row>
    <row r="622" customFormat="false" ht="14.25" hidden="false" customHeight="true" outlineLevel="0" collapsed="false">
      <c r="A622" s="16" t="s">
        <v>53</v>
      </c>
      <c r="B622" s="42" t="s">
        <v>155</v>
      </c>
      <c r="C622" s="42" t="s">
        <v>179</v>
      </c>
      <c r="D622" s="43"/>
      <c r="E622" s="44"/>
      <c r="F622" s="45" t="n">
        <f aca="false">IFERROR(D622*E622,0)</f>
        <v>0</v>
      </c>
      <c r="G622" s="42" t="str">
        <f aca="false">INDEX(SETORES!$B:$B,MATCH(A622,SETORES!$A:$A,0))</f>
        <v>Clientes</v>
      </c>
      <c r="H622" s="42" t="s">
        <v>88</v>
      </c>
    </row>
    <row r="623" customFormat="false" ht="14.25" hidden="false" customHeight="true" outlineLevel="0" collapsed="false">
      <c r="A623" s="16" t="s">
        <v>52</v>
      </c>
      <c r="B623" s="42" t="s">
        <v>155</v>
      </c>
      <c r="C623" s="42" t="s">
        <v>162</v>
      </c>
      <c r="D623" s="43" t="n">
        <v>8</v>
      </c>
      <c r="E623" s="44" t="n">
        <v>0.342924528301887</v>
      </c>
      <c r="F623" s="45" t="n">
        <f aca="false">IFERROR(D623*E623,0)</f>
        <v>2.7433962264151</v>
      </c>
      <c r="G623" s="42" t="str">
        <f aca="false">INDEX(SETORES!$B:$B,MATCH(A623,SETORES!$A:$A,0))</f>
        <v>Clientes</v>
      </c>
      <c r="H623" s="42" t="s">
        <v>88</v>
      </c>
    </row>
    <row r="624" customFormat="false" ht="14.25" hidden="false" customHeight="true" outlineLevel="0" collapsed="false">
      <c r="A624" s="16" t="s">
        <v>52</v>
      </c>
      <c r="B624" s="42" t="s">
        <v>155</v>
      </c>
      <c r="C624" s="42" t="s">
        <v>180</v>
      </c>
      <c r="D624" s="43" t="n">
        <v>1</v>
      </c>
      <c r="E624" s="44" t="n">
        <v>623.39</v>
      </c>
      <c r="F624" s="45" t="n">
        <f aca="false">IFERROR(D624*E624,0)</f>
        <v>623.39</v>
      </c>
      <c r="G624" s="42" t="str">
        <f aca="false">INDEX(SETORES!$B:$B,MATCH(A624,SETORES!$A:$A,0))</f>
        <v>Clientes</v>
      </c>
      <c r="H624" s="42" t="s">
        <v>88</v>
      </c>
    </row>
    <row r="625" customFormat="false" ht="14.25" hidden="false" customHeight="true" outlineLevel="0" collapsed="false">
      <c r="A625" s="16" t="s">
        <v>52</v>
      </c>
      <c r="B625" s="42" t="s">
        <v>155</v>
      </c>
      <c r="C625" s="42" t="s">
        <v>165</v>
      </c>
      <c r="D625" s="43" t="n">
        <v>8</v>
      </c>
      <c r="E625" s="44" t="n">
        <v>52.09</v>
      </c>
      <c r="F625" s="45" t="n">
        <f aca="false">IFERROR(D625*E625,0)</f>
        <v>416.72</v>
      </c>
      <c r="G625" s="42" t="s">
        <v>99</v>
      </c>
      <c r="H625" s="42" t="s">
        <v>88</v>
      </c>
    </row>
    <row r="626" customFormat="false" ht="14.25" hidden="false" customHeight="true" outlineLevel="0" collapsed="false">
      <c r="A626" s="16" t="s">
        <v>52</v>
      </c>
      <c r="B626" s="42" t="s">
        <v>155</v>
      </c>
      <c r="C626" s="42" t="s">
        <v>166</v>
      </c>
      <c r="D626" s="43" t="n">
        <v>8</v>
      </c>
      <c r="E626" s="44" t="n">
        <v>32.55</v>
      </c>
      <c r="F626" s="45" t="n">
        <f aca="false">IFERROR(D626*E626,0)</f>
        <v>260.4</v>
      </c>
      <c r="G626" s="42" t="s">
        <v>99</v>
      </c>
      <c r="H626" s="42" t="s">
        <v>88</v>
      </c>
    </row>
    <row r="627" customFormat="false" ht="14.25" hidden="false" customHeight="true" outlineLevel="0" collapsed="false">
      <c r="A627" s="16" t="s">
        <v>52</v>
      </c>
      <c r="B627" s="42" t="s">
        <v>155</v>
      </c>
      <c r="C627" s="42" t="s">
        <v>167</v>
      </c>
      <c r="D627" s="43" t="n">
        <v>8</v>
      </c>
      <c r="E627" s="44" t="n">
        <v>52.35</v>
      </c>
      <c r="F627" s="45" t="n">
        <f aca="false">IFERROR(D627*E627,0)</f>
        <v>418.8</v>
      </c>
      <c r="G627" s="42" t="s">
        <v>99</v>
      </c>
      <c r="H627" s="42" t="s">
        <v>88</v>
      </c>
    </row>
    <row r="628" customFormat="false" ht="14.25" hidden="false" customHeight="true" outlineLevel="0" collapsed="false">
      <c r="A628" s="16" t="s">
        <v>52</v>
      </c>
      <c r="B628" s="42" t="s">
        <v>155</v>
      </c>
      <c r="C628" s="42" t="s">
        <v>168</v>
      </c>
      <c r="D628" s="43" t="n">
        <v>8</v>
      </c>
      <c r="E628" s="44" t="n">
        <v>124.491481481482</v>
      </c>
      <c r="F628" s="45" t="n">
        <f aca="false">IFERROR(D628*E628,0)</f>
        <v>995.931851851856</v>
      </c>
      <c r="G628" s="42" t="str">
        <f aca="false">INDEX(SETORES!$B:$B,MATCH(A628,SETORES!$A:$A,0))</f>
        <v>Clientes</v>
      </c>
      <c r="H628" s="42" t="s">
        <v>88</v>
      </c>
    </row>
    <row r="629" customFormat="false" ht="14.25" hidden="false" customHeight="true" outlineLevel="0" collapsed="false">
      <c r="A629" s="16" t="s">
        <v>52</v>
      </c>
      <c r="B629" s="42" t="s">
        <v>157</v>
      </c>
      <c r="C629" s="42" t="s">
        <v>176</v>
      </c>
      <c r="D629" s="43"/>
      <c r="E629" s="44"/>
      <c r="F629" s="45" t="n">
        <f aca="false">IFERROR(D629*E629,0)</f>
        <v>0</v>
      </c>
      <c r="G629" s="42" t="str">
        <f aca="false">INDEX(SETORES!$B:$B,MATCH(A629,SETORES!$A:$A,0))</f>
        <v>Clientes</v>
      </c>
      <c r="H629" s="42" t="s">
        <v>88</v>
      </c>
    </row>
    <row r="630" customFormat="false" ht="14.25" hidden="false" customHeight="true" outlineLevel="0" collapsed="false">
      <c r="A630" s="16" t="s">
        <v>52</v>
      </c>
      <c r="B630" s="42" t="s">
        <v>155</v>
      </c>
      <c r="C630" s="42" t="s">
        <v>169</v>
      </c>
      <c r="D630" s="43" t="n">
        <v>1</v>
      </c>
      <c r="E630" s="44" t="n">
        <v>30736.23</v>
      </c>
      <c r="F630" s="45" t="n">
        <f aca="false">IFERROR(D630*E630,0)</f>
        <v>30736.23</v>
      </c>
      <c r="G630" s="42" t="str">
        <f aca="false">INDEX(SETORES!$B:$B,MATCH(A630,SETORES!$A:$A,0))</f>
        <v>Clientes</v>
      </c>
      <c r="H630" s="42" t="s">
        <v>88</v>
      </c>
    </row>
    <row r="631" customFormat="false" ht="14.25" hidden="false" customHeight="true" outlineLevel="0" collapsed="false">
      <c r="A631" s="16" t="s">
        <v>52</v>
      </c>
      <c r="B631" s="42" t="s">
        <v>155</v>
      </c>
      <c r="C631" s="42" t="s">
        <v>170</v>
      </c>
      <c r="D631" s="43"/>
      <c r="E631" s="44"/>
      <c r="F631" s="45" t="n">
        <f aca="false">IFERROR(D631*E631,0)</f>
        <v>0</v>
      </c>
      <c r="G631" s="42" t="str">
        <f aca="false">INDEX(SETORES!$B:$B,MATCH(A631,SETORES!$A:$A,0))</f>
        <v>Clientes</v>
      </c>
      <c r="H631" s="42" t="s">
        <v>88</v>
      </c>
    </row>
    <row r="632" customFormat="false" ht="14.25" hidden="false" customHeight="true" outlineLevel="0" collapsed="false">
      <c r="A632" s="16" t="s">
        <v>52</v>
      </c>
      <c r="B632" s="42" t="s">
        <v>155</v>
      </c>
      <c r="C632" s="42" t="s">
        <v>181</v>
      </c>
      <c r="D632" s="43"/>
      <c r="E632" s="44"/>
      <c r="F632" s="45" t="n">
        <f aca="false">IFERROR(D632*E632,0)</f>
        <v>0</v>
      </c>
      <c r="G632" s="42" t="str">
        <f aca="false">INDEX(SETORES!$B:$B,MATCH(A632,SETORES!$A:$A,0))</f>
        <v>Clientes</v>
      </c>
      <c r="H632" s="42" t="s">
        <v>88</v>
      </c>
    </row>
    <row r="633" customFormat="false" ht="14.25" hidden="false" customHeight="true" outlineLevel="0" collapsed="false">
      <c r="A633" s="16" t="s">
        <v>52</v>
      </c>
      <c r="B633" s="42" t="s">
        <v>155</v>
      </c>
      <c r="C633" s="42" t="s">
        <v>171</v>
      </c>
      <c r="D633" s="43"/>
      <c r="E633" s="44"/>
      <c r="F633" s="45" t="n">
        <f aca="false">IFERROR(D633*E633,0)</f>
        <v>0</v>
      </c>
      <c r="G633" s="42" t="str">
        <f aca="false">INDEX(SETORES!$B:$B,MATCH(A633,SETORES!$A:$A,0))</f>
        <v>Clientes</v>
      </c>
      <c r="H633" s="42" t="s">
        <v>88</v>
      </c>
    </row>
    <row r="634" customFormat="false" ht="14.25" hidden="false" customHeight="true" outlineLevel="0" collapsed="false">
      <c r="A634" s="16" t="s">
        <v>52</v>
      </c>
      <c r="B634" s="42" t="s">
        <v>155</v>
      </c>
      <c r="C634" s="42" t="s">
        <v>172</v>
      </c>
      <c r="D634" s="43" t="n">
        <v>8</v>
      </c>
      <c r="E634" s="44" t="n">
        <v>50</v>
      </c>
      <c r="F634" s="45" t="n">
        <f aca="false">IFERROR(D634*E634,0)</f>
        <v>400</v>
      </c>
      <c r="G634" s="42" t="str">
        <f aca="false">INDEX(SETORES!$B:$B,MATCH(A634,SETORES!$A:$A,0))</f>
        <v>Clientes</v>
      </c>
      <c r="H634" s="42" t="s">
        <v>88</v>
      </c>
    </row>
    <row r="635" customFormat="false" ht="14.25" hidden="false" customHeight="true" outlineLevel="0" collapsed="false">
      <c r="A635" s="16" t="s">
        <v>52</v>
      </c>
      <c r="B635" s="42" t="s">
        <v>155</v>
      </c>
      <c r="C635" s="42" t="s">
        <v>177</v>
      </c>
      <c r="D635" s="43" t="n">
        <v>1</v>
      </c>
      <c r="E635" s="44" t="n">
        <v>2.3</v>
      </c>
      <c r="F635" s="45" t="n">
        <f aca="false">IFERROR(D635*E635,0)</f>
        <v>2.3</v>
      </c>
      <c r="G635" s="42" t="str">
        <f aca="false">INDEX(SETORES!$B:$B,MATCH(A635,SETORES!$A:$A,0))</f>
        <v>Clientes</v>
      </c>
      <c r="H635" s="42" t="s">
        <v>88</v>
      </c>
    </row>
    <row r="636" customFormat="false" ht="14.25" hidden="false" customHeight="true" outlineLevel="0" collapsed="false">
      <c r="A636" s="16" t="s">
        <v>52</v>
      </c>
      <c r="B636" s="42" t="s">
        <v>155</v>
      </c>
      <c r="C636" s="42" t="s">
        <v>178</v>
      </c>
      <c r="D636" s="43" t="n">
        <v>1</v>
      </c>
      <c r="E636" s="44" t="n">
        <v>404.44</v>
      </c>
      <c r="F636" s="45" t="n">
        <f aca="false">IFERROR(D636*E636,0)</f>
        <v>404.44</v>
      </c>
      <c r="G636" s="42" t="str">
        <f aca="false">INDEX(SETORES!$B:$B,MATCH(A636,SETORES!$A:$A,0))</f>
        <v>Clientes</v>
      </c>
      <c r="H636" s="42" t="s">
        <v>88</v>
      </c>
    </row>
    <row r="637" customFormat="false" ht="14.25" hidden="false" customHeight="true" outlineLevel="0" collapsed="false">
      <c r="A637" s="16" t="s">
        <v>52</v>
      </c>
      <c r="B637" s="42" t="s">
        <v>157</v>
      </c>
      <c r="C637" s="42" t="s">
        <v>158</v>
      </c>
      <c r="D637" s="43"/>
      <c r="E637" s="44"/>
      <c r="F637" s="45" t="n">
        <f aca="false">IFERROR(D637*E637,0)</f>
        <v>0</v>
      </c>
      <c r="G637" s="42" t="str">
        <f aca="false">INDEX(SETORES!$B:$B,MATCH(A637,SETORES!$A:$A,0))</f>
        <v>Clientes</v>
      </c>
      <c r="H637" s="42" t="s">
        <v>88</v>
      </c>
    </row>
    <row r="638" customFormat="false" ht="14.25" hidden="false" customHeight="true" outlineLevel="0" collapsed="false">
      <c r="A638" s="16" t="s">
        <v>52</v>
      </c>
      <c r="B638" s="42" t="s">
        <v>155</v>
      </c>
      <c r="C638" s="42" t="s">
        <v>182</v>
      </c>
      <c r="D638" s="43" t="n">
        <v>8</v>
      </c>
      <c r="E638" s="44" t="n">
        <v>294.971933</v>
      </c>
      <c r="F638" s="45" t="n">
        <f aca="false">IFERROR(D638*E638,0)</f>
        <v>2359.775464</v>
      </c>
      <c r="G638" s="42" t="str">
        <f aca="false">INDEX(SETORES!$B:$B,MATCH(A638,SETORES!$A:$A,0))</f>
        <v>Clientes</v>
      </c>
      <c r="H638" s="42" t="s">
        <v>88</v>
      </c>
    </row>
    <row r="639" customFormat="false" ht="14.25" hidden="false" customHeight="true" outlineLevel="0" collapsed="false">
      <c r="A639" s="16" t="s">
        <v>52</v>
      </c>
      <c r="B639" s="42" t="s">
        <v>155</v>
      </c>
      <c r="C639" s="42" t="s">
        <v>173</v>
      </c>
      <c r="D639" s="43" t="n">
        <v>8</v>
      </c>
      <c r="E639" s="44" t="n">
        <v>1.87</v>
      </c>
      <c r="F639" s="45" t="n">
        <f aca="false">IFERROR(D639*E639,0)</f>
        <v>14.96</v>
      </c>
      <c r="G639" s="42" t="str">
        <f aca="false">INDEX(SETORES!$B:$B,MATCH(A639,SETORES!$A:$A,0))</f>
        <v>Clientes</v>
      </c>
      <c r="H639" s="42" t="s">
        <v>88</v>
      </c>
    </row>
    <row r="640" customFormat="false" ht="14.25" hidden="false" customHeight="true" outlineLevel="0" collapsed="false">
      <c r="A640" s="16" t="s">
        <v>52</v>
      </c>
      <c r="B640" s="42" t="s">
        <v>155</v>
      </c>
      <c r="C640" s="42" t="s">
        <v>179</v>
      </c>
      <c r="D640" s="43"/>
      <c r="E640" s="44"/>
      <c r="F640" s="45" t="n">
        <f aca="false">IFERROR(D640*E640,0)</f>
        <v>0</v>
      </c>
      <c r="G640" s="42" t="str">
        <f aca="false">INDEX(SETORES!$B:$B,MATCH(A640,SETORES!$A:$A,0))</f>
        <v>Clientes</v>
      </c>
      <c r="H640" s="42" t="s">
        <v>88</v>
      </c>
    </row>
    <row r="641" customFormat="false" ht="14.25" hidden="false" customHeight="true" outlineLevel="0" collapsed="false">
      <c r="A641" s="16" t="s">
        <v>51</v>
      </c>
      <c r="B641" s="42" t="s">
        <v>155</v>
      </c>
      <c r="C641" s="42" t="s">
        <v>162</v>
      </c>
      <c r="D641" s="43" t="n">
        <v>11</v>
      </c>
      <c r="E641" s="44" t="n">
        <v>0.342924528301887</v>
      </c>
      <c r="F641" s="45" t="n">
        <f aca="false">IFERROR(D641*E641,0)</f>
        <v>3.77216981132076</v>
      </c>
      <c r="G641" s="42" t="str">
        <f aca="false">INDEX(SETORES!$B:$B,MATCH(A641,SETORES!$A:$A,0))</f>
        <v>Clientes</v>
      </c>
      <c r="H641" s="42" t="s">
        <v>88</v>
      </c>
    </row>
    <row r="642" customFormat="false" ht="14.25" hidden="false" customHeight="true" outlineLevel="0" collapsed="false">
      <c r="A642" s="16" t="s">
        <v>51</v>
      </c>
      <c r="B642" s="42" t="s">
        <v>155</v>
      </c>
      <c r="C642" s="42" t="s">
        <v>180</v>
      </c>
      <c r="D642" s="43" t="n">
        <v>1</v>
      </c>
      <c r="E642" s="44" t="n">
        <v>857.16</v>
      </c>
      <c r="F642" s="45" t="n">
        <f aca="false">IFERROR(D642*E642,0)</f>
        <v>857.16</v>
      </c>
      <c r="G642" s="42" t="str">
        <f aca="false">INDEX(SETORES!$B:$B,MATCH(A642,SETORES!$A:$A,0))</f>
        <v>Clientes</v>
      </c>
      <c r="H642" s="42" t="s">
        <v>88</v>
      </c>
    </row>
    <row r="643" customFormat="false" ht="14.25" hidden="false" customHeight="true" outlineLevel="0" collapsed="false">
      <c r="A643" s="16" t="s">
        <v>51</v>
      </c>
      <c r="B643" s="42" t="s">
        <v>155</v>
      </c>
      <c r="C643" s="42" t="s">
        <v>165</v>
      </c>
      <c r="D643" s="43" t="n">
        <v>11</v>
      </c>
      <c r="E643" s="44" t="n">
        <v>52.09</v>
      </c>
      <c r="F643" s="45" t="n">
        <f aca="false">IFERROR(D643*E643,0)</f>
        <v>572.99</v>
      </c>
      <c r="G643" s="42" t="s">
        <v>99</v>
      </c>
      <c r="H643" s="42" t="s">
        <v>88</v>
      </c>
    </row>
    <row r="644" customFormat="false" ht="14.25" hidden="false" customHeight="true" outlineLevel="0" collapsed="false">
      <c r="A644" s="16" t="s">
        <v>51</v>
      </c>
      <c r="B644" s="42" t="s">
        <v>155</v>
      </c>
      <c r="C644" s="42" t="s">
        <v>166</v>
      </c>
      <c r="D644" s="43" t="n">
        <v>11</v>
      </c>
      <c r="E644" s="44" t="n">
        <v>32.55</v>
      </c>
      <c r="F644" s="45" t="n">
        <f aca="false">IFERROR(D644*E644,0)</f>
        <v>358.05</v>
      </c>
      <c r="G644" s="42" t="s">
        <v>99</v>
      </c>
      <c r="H644" s="42" t="s">
        <v>88</v>
      </c>
    </row>
    <row r="645" customFormat="false" ht="14.25" hidden="false" customHeight="true" outlineLevel="0" collapsed="false">
      <c r="A645" s="16" t="s">
        <v>51</v>
      </c>
      <c r="B645" s="42" t="s">
        <v>155</v>
      </c>
      <c r="C645" s="42" t="s">
        <v>167</v>
      </c>
      <c r="D645" s="43" t="n">
        <v>11</v>
      </c>
      <c r="E645" s="44" t="n">
        <v>52.35</v>
      </c>
      <c r="F645" s="45" t="n">
        <f aca="false">IFERROR(D645*E645,0)</f>
        <v>575.85</v>
      </c>
      <c r="G645" s="42" t="s">
        <v>99</v>
      </c>
      <c r="H645" s="42" t="s">
        <v>88</v>
      </c>
    </row>
    <row r="646" customFormat="false" ht="14.25" hidden="false" customHeight="true" outlineLevel="0" collapsed="false">
      <c r="A646" s="16" t="s">
        <v>51</v>
      </c>
      <c r="B646" s="42" t="s">
        <v>155</v>
      </c>
      <c r="C646" s="42" t="s">
        <v>168</v>
      </c>
      <c r="D646" s="43" t="n">
        <v>11</v>
      </c>
      <c r="E646" s="44" t="n">
        <v>124.491481481482</v>
      </c>
      <c r="F646" s="45" t="n">
        <f aca="false">IFERROR(D646*E646,0)</f>
        <v>1369.4062962963</v>
      </c>
      <c r="G646" s="42" t="str">
        <f aca="false">INDEX(SETORES!$B:$B,MATCH(A646,SETORES!$A:$A,0))</f>
        <v>Clientes</v>
      </c>
      <c r="H646" s="42" t="s">
        <v>88</v>
      </c>
    </row>
    <row r="647" customFormat="false" ht="14.25" hidden="false" customHeight="true" outlineLevel="0" collapsed="false">
      <c r="A647" s="16" t="s">
        <v>51</v>
      </c>
      <c r="B647" s="42" t="s">
        <v>157</v>
      </c>
      <c r="C647" s="42" t="s">
        <v>175</v>
      </c>
      <c r="D647" s="43"/>
      <c r="E647" s="44"/>
      <c r="F647" s="45" t="n">
        <f aca="false">IFERROR(D647*E647,0)</f>
        <v>0</v>
      </c>
      <c r="G647" s="42" t="str">
        <f aca="false">INDEX(SETORES!$B:$B,MATCH(A647,SETORES!$A:$A,0))</f>
        <v>Clientes</v>
      </c>
      <c r="H647" s="42" t="s">
        <v>88</v>
      </c>
    </row>
    <row r="648" customFormat="false" ht="14.25" hidden="false" customHeight="true" outlineLevel="0" collapsed="false">
      <c r="A648" s="16" t="s">
        <v>51</v>
      </c>
      <c r="B648" s="42" t="s">
        <v>155</v>
      </c>
      <c r="C648" s="42" t="s">
        <v>169</v>
      </c>
      <c r="D648" s="43" t="n">
        <v>1</v>
      </c>
      <c r="E648" s="44" t="n">
        <v>128483.01</v>
      </c>
      <c r="F648" s="45" t="n">
        <f aca="false">IFERROR(D648*E648,0)</f>
        <v>128483.01</v>
      </c>
      <c r="G648" s="42" t="str">
        <f aca="false">INDEX(SETORES!$B:$B,MATCH(A648,SETORES!$A:$A,0))</f>
        <v>Clientes</v>
      </c>
      <c r="H648" s="42" t="s">
        <v>88</v>
      </c>
    </row>
    <row r="649" customFormat="false" ht="14.25" hidden="false" customHeight="true" outlineLevel="0" collapsed="false">
      <c r="A649" s="16" t="s">
        <v>51</v>
      </c>
      <c r="B649" s="42" t="s">
        <v>155</v>
      </c>
      <c r="C649" s="42" t="s">
        <v>170</v>
      </c>
      <c r="D649" s="43"/>
      <c r="E649" s="44"/>
      <c r="F649" s="45" t="n">
        <f aca="false">IFERROR(D649*E649,0)</f>
        <v>0</v>
      </c>
      <c r="G649" s="42" t="str">
        <f aca="false">INDEX(SETORES!$B:$B,MATCH(A649,SETORES!$A:$A,0))</f>
        <v>Clientes</v>
      </c>
      <c r="H649" s="42" t="s">
        <v>88</v>
      </c>
    </row>
    <row r="650" customFormat="false" ht="14.25" hidden="false" customHeight="true" outlineLevel="0" collapsed="false">
      <c r="A650" s="16" t="s">
        <v>51</v>
      </c>
      <c r="B650" s="42" t="s">
        <v>155</v>
      </c>
      <c r="C650" s="42" t="s">
        <v>181</v>
      </c>
      <c r="D650" s="43"/>
      <c r="E650" s="44"/>
      <c r="F650" s="45" t="n">
        <f aca="false">IFERROR(D650*E650,0)</f>
        <v>0</v>
      </c>
      <c r="G650" s="42" t="str">
        <f aca="false">INDEX(SETORES!$B:$B,MATCH(A650,SETORES!$A:$A,0))</f>
        <v>Clientes</v>
      </c>
      <c r="H650" s="42" t="s">
        <v>88</v>
      </c>
    </row>
    <row r="651" customFormat="false" ht="14.25" hidden="false" customHeight="true" outlineLevel="0" collapsed="false">
      <c r="A651" s="16" t="s">
        <v>51</v>
      </c>
      <c r="B651" s="42" t="s">
        <v>155</v>
      </c>
      <c r="C651" s="42" t="s">
        <v>171</v>
      </c>
      <c r="D651" s="43"/>
      <c r="E651" s="44"/>
      <c r="F651" s="45" t="n">
        <f aca="false">IFERROR(D651*E651,0)</f>
        <v>0</v>
      </c>
      <c r="G651" s="42" t="str">
        <f aca="false">INDEX(SETORES!$B:$B,MATCH(A651,SETORES!$A:$A,0))</f>
        <v>Clientes</v>
      </c>
      <c r="H651" s="42" t="s">
        <v>88</v>
      </c>
    </row>
    <row r="652" customFormat="false" ht="14.25" hidden="false" customHeight="true" outlineLevel="0" collapsed="false">
      <c r="A652" s="16" t="s">
        <v>51</v>
      </c>
      <c r="B652" s="42" t="s">
        <v>155</v>
      </c>
      <c r="C652" s="42" t="s">
        <v>172</v>
      </c>
      <c r="D652" s="43" t="n">
        <v>11</v>
      </c>
      <c r="E652" s="44" t="n">
        <v>50</v>
      </c>
      <c r="F652" s="45" t="n">
        <f aca="false">IFERROR(D652*E652,0)</f>
        <v>550</v>
      </c>
      <c r="G652" s="42" t="str">
        <f aca="false">INDEX(SETORES!$B:$B,MATCH(A652,SETORES!$A:$A,0))</f>
        <v>Clientes</v>
      </c>
      <c r="H652" s="42" t="s">
        <v>88</v>
      </c>
    </row>
    <row r="653" customFormat="false" ht="14.25" hidden="false" customHeight="true" outlineLevel="0" collapsed="false">
      <c r="A653" s="16" t="s">
        <v>51</v>
      </c>
      <c r="B653" s="42" t="s">
        <v>155</v>
      </c>
      <c r="C653" s="42" t="s">
        <v>177</v>
      </c>
      <c r="D653" s="43" t="n">
        <v>1</v>
      </c>
      <c r="E653" s="44" t="n">
        <v>3.17</v>
      </c>
      <c r="F653" s="45" t="n">
        <f aca="false">IFERROR(D653*E653,0)</f>
        <v>3.17</v>
      </c>
      <c r="G653" s="42" t="str">
        <f aca="false">INDEX(SETORES!$B:$B,MATCH(A653,SETORES!$A:$A,0))</f>
        <v>Clientes</v>
      </c>
      <c r="H653" s="42" t="s">
        <v>88</v>
      </c>
    </row>
    <row r="654" customFormat="false" ht="14.25" hidden="false" customHeight="true" outlineLevel="0" collapsed="false">
      <c r="A654" s="16" t="s">
        <v>51</v>
      </c>
      <c r="B654" s="42" t="s">
        <v>155</v>
      </c>
      <c r="C654" s="42" t="s">
        <v>178</v>
      </c>
      <c r="D654" s="43" t="n">
        <v>1</v>
      </c>
      <c r="E654" s="44" t="n">
        <v>556.1</v>
      </c>
      <c r="F654" s="45" t="n">
        <f aca="false">IFERROR(D654*E654,0)</f>
        <v>556.1</v>
      </c>
      <c r="G654" s="42" t="str">
        <f aca="false">INDEX(SETORES!$B:$B,MATCH(A654,SETORES!$A:$A,0))</f>
        <v>Clientes</v>
      </c>
      <c r="H654" s="42" t="s">
        <v>88</v>
      </c>
    </row>
    <row r="655" customFormat="false" ht="14.25" hidden="false" customHeight="true" outlineLevel="0" collapsed="false">
      <c r="A655" s="16" t="s">
        <v>51</v>
      </c>
      <c r="B655" s="42" t="s">
        <v>157</v>
      </c>
      <c r="C655" s="42" t="s">
        <v>158</v>
      </c>
      <c r="D655" s="43"/>
      <c r="E655" s="44"/>
      <c r="F655" s="45" t="n">
        <f aca="false">IFERROR(D655*E655,0)</f>
        <v>0</v>
      </c>
      <c r="G655" s="42" t="str">
        <f aca="false">INDEX(SETORES!$B:$B,MATCH(A655,SETORES!$A:$A,0))</f>
        <v>Clientes</v>
      </c>
      <c r="H655" s="42" t="s">
        <v>88</v>
      </c>
    </row>
    <row r="656" customFormat="false" ht="14.25" hidden="false" customHeight="true" outlineLevel="0" collapsed="false">
      <c r="A656" s="16" t="s">
        <v>51</v>
      </c>
      <c r="B656" s="42" t="s">
        <v>155</v>
      </c>
      <c r="C656" s="42" t="s">
        <v>182</v>
      </c>
      <c r="D656" s="43" t="n">
        <v>11</v>
      </c>
      <c r="E656" s="44" t="n">
        <v>294.971933</v>
      </c>
      <c r="F656" s="45" t="n">
        <f aca="false">IFERROR(D656*E656,0)</f>
        <v>3244.691263</v>
      </c>
      <c r="G656" s="42" t="str">
        <f aca="false">INDEX(SETORES!$B:$B,MATCH(A656,SETORES!$A:$A,0))</f>
        <v>Clientes</v>
      </c>
      <c r="H656" s="42" t="s">
        <v>88</v>
      </c>
    </row>
    <row r="657" customFormat="false" ht="14.25" hidden="false" customHeight="true" outlineLevel="0" collapsed="false">
      <c r="A657" s="16" t="s">
        <v>51</v>
      </c>
      <c r="B657" s="42" t="s">
        <v>155</v>
      </c>
      <c r="C657" s="42" t="s">
        <v>173</v>
      </c>
      <c r="D657" s="43" t="n">
        <v>11</v>
      </c>
      <c r="E657" s="44" t="n">
        <v>1.87</v>
      </c>
      <c r="F657" s="45" t="n">
        <f aca="false">IFERROR(D657*E657,0)</f>
        <v>20.57</v>
      </c>
      <c r="G657" s="42" t="str">
        <f aca="false">INDEX(SETORES!$B:$B,MATCH(A657,SETORES!$A:$A,0))</f>
        <v>Clientes</v>
      </c>
      <c r="H657" s="42" t="s">
        <v>88</v>
      </c>
    </row>
    <row r="658" customFormat="false" ht="14.25" hidden="false" customHeight="true" outlineLevel="0" collapsed="false">
      <c r="A658" s="16" t="s">
        <v>51</v>
      </c>
      <c r="B658" s="42" t="s">
        <v>155</v>
      </c>
      <c r="C658" s="42" t="s">
        <v>179</v>
      </c>
      <c r="D658" s="43"/>
      <c r="E658" s="44"/>
      <c r="F658" s="45" t="n">
        <f aca="false">IFERROR(D658*E658,0)</f>
        <v>0</v>
      </c>
      <c r="G658" s="42" t="str">
        <f aca="false">INDEX(SETORES!$B:$B,MATCH(A658,SETORES!$A:$A,0))</f>
        <v>Clientes</v>
      </c>
      <c r="H658" s="42" t="s">
        <v>88</v>
      </c>
    </row>
    <row r="659" customFormat="false" ht="14.25" hidden="false" customHeight="true" outlineLevel="0" collapsed="false">
      <c r="A659" s="16" t="s">
        <v>87</v>
      </c>
      <c r="B659" s="42" t="s">
        <v>155</v>
      </c>
      <c r="C659" s="42" t="s">
        <v>162</v>
      </c>
      <c r="D659" s="43" t="n">
        <v>7</v>
      </c>
      <c r="E659" s="44" t="n">
        <v>0.342924528301887</v>
      </c>
      <c r="F659" s="45" t="n">
        <f aca="false">IFERROR(D659*E659,0)</f>
        <v>2.40047169811321</v>
      </c>
      <c r="G659" s="42" t="str">
        <f aca="false">INDEX(SETORES!$B:$B,MATCH(A659,SETORES!$A:$A,0))</f>
        <v>Clientes</v>
      </c>
      <c r="H659" s="42" t="s">
        <v>88</v>
      </c>
    </row>
    <row r="660" customFormat="false" ht="14.25" hidden="false" customHeight="true" outlineLevel="0" collapsed="false">
      <c r="A660" s="16" t="s">
        <v>87</v>
      </c>
      <c r="B660" s="42" t="s">
        <v>155</v>
      </c>
      <c r="C660" s="42" t="s">
        <v>163</v>
      </c>
      <c r="D660" s="43" t="n">
        <v>5</v>
      </c>
      <c r="E660" s="44" t="n">
        <v>30</v>
      </c>
      <c r="F660" s="45" t="n">
        <f aca="false">IFERROR(D660*E660,0)</f>
        <v>150</v>
      </c>
      <c r="G660" s="42" t="str">
        <f aca="false">INDEX(SETORES!$B:$B,MATCH(A660,SETORES!$A:$A,0))</f>
        <v>Clientes</v>
      </c>
      <c r="H660" s="42" t="s">
        <v>88</v>
      </c>
    </row>
    <row r="661" customFormat="false" ht="14.25" hidden="false" customHeight="true" outlineLevel="0" collapsed="false">
      <c r="A661" s="16" t="s">
        <v>87</v>
      </c>
      <c r="B661" s="42" t="s">
        <v>155</v>
      </c>
      <c r="C661" s="42" t="s">
        <v>165</v>
      </c>
      <c r="D661" s="43" t="n">
        <v>7</v>
      </c>
      <c r="E661" s="44" t="n">
        <v>52.09</v>
      </c>
      <c r="F661" s="45" t="n">
        <f aca="false">IFERROR(D661*E661,0)</f>
        <v>364.63</v>
      </c>
      <c r="G661" s="42" t="s">
        <v>99</v>
      </c>
      <c r="H661" s="42" t="s">
        <v>88</v>
      </c>
    </row>
    <row r="662" customFormat="false" ht="14.25" hidden="false" customHeight="true" outlineLevel="0" collapsed="false">
      <c r="A662" s="16" t="s">
        <v>87</v>
      </c>
      <c r="B662" s="42" t="s">
        <v>155</v>
      </c>
      <c r="C662" s="42" t="s">
        <v>166</v>
      </c>
      <c r="D662" s="43" t="n">
        <v>7</v>
      </c>
      <c r="E662" s="44" t="n">
        <v>32.55</v>
      </c>
      <c r="F662" s="45" t="n">
        <f aca="false">IFERROR(D662*E662,0)</f>
        <v>227.85</v>
      </c>
      <c r="G662" s="42" t="s">
        <v>99</v>
      </c>
      <c r="H662" s="42" t="s">
        <v>88</v>
      </c>
    </row>
    <row r="663" customFormat="false" ht="14.25" hidden="false" customHeight="true" outlineLevel="0" collapsed="false">
      <c r="A663" s="16" t="s">
        <v>87</v>
      </c>
      <c r="B663" s="42" t="s">
        <v>155</v>
      </c>
      <c r="C663" s="42" t="s">
        <v>167</v>
      </c>
      <c r="D663" s="43" t="n">
        <v>7</v>
      </c>
      <c r="E663" s="44" t="n">
        <v>52.35</v>
      </c>
      <c r="F663" s="45" t="n">
        <f aca="false">IFERROR(D663*E663,0)</f>
        <v>366.45</v>
      </c>
      <c r="G663" s="42" t="s">
        <v>99</v>
      </c>
      <c r="H663" s="42" t="s">
        <v>88</v>
      </c>
    </row>
    <row r="664" customFormat="false" ht="14.25" hidden="false" customHeight="true" outlineLevel="0" collapsed="false">
      <c r="A664" s="16" t="s">
        <v>87</v>
      </c>
      <c r="B664" s="42" t="s">
        <v>155</v>
      </c>
      <c r="C664" s="42" t="s">
        <v>168</v>
      </c>
      <c r="D664" s="43" t="n">
        <v>7</v>
      </c>
      <c r="E664" s="44" t="n">
        <v>124.491481481482</v>
      </c>
      <c r="F664" s="45" t="n">
        <f aca="false">IFERROR(D664*E664,0)</f>
        <v>871.440370370374</v>
      </c>
      <c r="G664" s="42" t="str">
        <f aca="false">INDEX(SETORES!$B:$B,MATCH(A664,SETORES!$A:$A,0))</f>
        <v>Clientes</v>
      </c>
      <c r="H664" s="42" t="s">
        <v>88</v>
      </c>
    </row>
    <row r="665" customFormat="false" ht="14.25" hidden="false" customHeight="true" outlineLevel="0" collapsed="false">
      <c r="A665" s="16" t="s">
        <v>87</v>
      </c>
      <c r="B665" s="42" t="s">
        <v>157</v>
      </c>
      <c r="C665" s="42" t="s">
        <v>175</v>
      </c>
      <c r="D665" s="43"/>
      <c r="E665" s="44"/>
      <c r="F665" s="45" t="n">
        <f aca="false">IFERROR(D665*E665,0)</f>
        <v>0</v>
      </c>
      <c r="G665" s="42" t="str">
        <f aca="false">INDEX(SETORES!$B:$B,MATCH(A665,SETORES!$A:$A,0))</f>
        <v>Clientes</v>
      </c>
      <c r="H665" s="42" t="s">
        <v>88</v>
      </c>
    </row>
    <row r="666" customFormat="false" ht="14.25" hidden="false" customHeight="true" outlineLevel="0" collapsed="false">
      <c r="A666" s="16" t="s">
        <v>87</v>
      </c>
      <c r="B666" s="42" t="s">
        <v>155</v>
      </c>
      <c r="C666" s="42" t="s">
        <v>169</v>
      </c>
      <c r="D666" s="43" t="n">
        <v>1</v>
      </c>
      <c r="E666" s="44" t="n">
        <v>35073.9</v>
      </c>
      <c r="F666" s="45" t="n">
        <f aca="false">IFERROR(D666*E666,0)</f>
        <v>35073.9</v>
      </c>
      <c r="G666" s="42" t="str">
        <f aca="false">INDEX(SETORES!$B:$B,MATCH(A666,SETORES!$A:$A,0))</f>
        <v>Clientes</v>
      </c>
      <c r="H666" s="42" t="s">
        <v>88</v>
      </c>
    </row>
    <row r="667" customFormat="false" ht="14.25" hidden="false" customHeight="true" outlineLevel="0" collapsed="false">
      <c r="A667" s="16" t="s">
        <v>87</v>
      </c>
      <c r="B667" s="42" t="s">
        <v>155</v>
      </c>
      <c r="C667" s="42" t="s">
        <v>170</v>
      </c>
      <c r="D667" s="43"/>
      <c r="E667" s="44"/>
      <c r="F667" s="45" t="n">
        <f aca="false">IFERROR(D667*E667,0)</f>
        <v>0</v>
      </c>
      <c r="G667" s="42" t="str">
        <f aca="false">INDEX(SETORES!$B:$B,MATCH(A667,SETORES!$A:$A,0))</f>
        <v>Clientes</v>
      </c>
      <c r="H667" s="42" t="s">
        <v>88</v>
      </c>
    </row>
    <row r="668" customFormat="false" ht="14.25" hidden="false" customHeight="true" outlineLevel="0" collapsed="false">
      <c r="A668" s="16" t="s">
        <v>87</v>
      </c>
      <c r="B668" s="42" t="s">
        <v>155</v>
      </c>
      <c r="C668" s="42" t="s">
        <v>183</v>
      </c>
      <c r="D668" s="43" t="n">
        <v>7</v>
      </c>
      <c r="E668" s="44" t="n">
        <v>6.41025641025641</v>
      </c>
      <c r="F668" s="45" t="n">
        <f aca="false">IFERROR(D668*E668,0)</f>
        <v>44.8717948717949</v>
      </c>
      <c r="G668" s="42" t="str">
        <f aca="false">INDEX(SETORES!$B:$B,MATCH(A668,SETORES!$A:$A,0))</f>
        <v>Clientes</v>
      </c>
      <c r="H668" s="42" t="s">
        <v>88</v>
      </c>
    </row>
    <row r="669" customFormat="false" ht="14.25" hidden="false" customHeight="true" outlineLevel="0" collapsed="false">
      <c r="A669" s="16" t="s">
        <v>87</v>
      </c>
      <c r="B669" s="42" t="s">
        <v>155</v>
      </c>
      <c r="C669" s="42" t="s">
        <v>171</v>
      </c>
      <c r="D669" s="43" t="n">
        <v>7</v>
      </c>
      <c r="E669" s="44" t="n">
        <v>14.043393</v>
      </c>
      <c r="F669" s="45" t="n">
        <f aca="false">IFERROR(D669*E669,0)</f>
        <v>98.303751</v>
      </c>
      <c r="G669" s="42" t="str">
        <f aca="false">INDEX(SETORES!$B:$B,MATCH(A669,SETORES!$A:$A,0))</f>
        <v>Clientes</v>
      </c>
      <c r="H669" s="42" t="s">
        <v>88</v>
      </c>
    </row>
    <row r="670" customFormat="false" ht="14.25" hidden="false" customHeight="true" outlineLevel="0" collapsed="false">
      <c r="A670" s="16" t="s">
        <v>87</v>
      </c>
      <c r="B670" s="42" t="s">
        <v>155</v>
      </c>
      <c r="C670" s="42" t="s">
        <v>172</v>
      </c>
      <c r="D670" s="43" t="n">
        <v>7</v>
      </c>
      <c r="E670" s="44" t="n">
        <v>50</v>
      </c>
      <c r="F670" s="45" t="n">
        <f aca="false">IFERROR(D670*E670,0)</f>
        <v>350</v>
      </c>
      <c r="G670" s="42" t="str">
        <f aca="false">INDEX(SETORES!$B:$B,MATCH(A670,SETORES!$A:$A,0))</f>
        <v>Clientes</v>
      </c>
      <c r="H670" s="42" t="s">
        <v>88</v>
      </c>
    </row>
    <row r="671" customFormat="false" ht="14.25" hidden="false" customHeight="true" outlineLevel="0" collapsed="false">
      <c r="A671" s="16" t="s">
        <v>87</v>
      </c>
      <c r="B671" s="42" t="s">
        <v>157</v>
      </c>
      <c r="C671" s="42" t="s">
        <v>177</v>
      </c>
      <c r="D671" s="43" t="n">
        <v>1</v>
      </c>
      <c r="E671" s="44" t="n">
        <v>52.84</v>
      </c>
      <c r="F671" s="45" t="n">
        <f aca="false">IFERROR(D671*E671,0)</f>
        <v>52.84</v>
      </c>
      <c r="G671" s="42" t="str">
        <f aca="false">INDEX(SETORES!$B:$B,MATCH(A671,SETORES!$A:$A,0))</f>
        <v>Clientes</v>
      </c>
      <c r="H671" s="42" t="s">
        <v>88</v>
      </c>
    </row>
    <row r="672" customFormat="false" ht="14.25" hidden="false" customHeight="true" outlineLevel="0" collapsed="false">
      <c r="A672" s="16" t="s">
        <v>87</v>
      </c>
      <c r="B672" s="42" t="s">
        <v>155</v>
      </c>
      <c r="C672" s="42" t="s">
        <v>178</v>
      </c>
      <c r="D672" s="43" t="n">
        <v>1</v>
      </c>
      <c r="E672" s="44" t="n">
        <v>107.14</v>
      </c>
      <c r="F672" s="45" t="n">
        <f aca="false">IFERROR(D672*E672,0)</f>
        <v>107.14</v>
      </c>
      <c r="G672" s="42" t="str">
        <f aca="false">INDEX(SETORES!$B:$B,MATCH(A672,SETORES!$A:$A,0))</f>
        <v>Clientes</v>
      </c>
      <c r="H672" s="42" t="s">
        <v>88</v>
      </c>
    </row>
    <row r="673" customFormat="false" ht="14.25" hidden="false" customHeight="true" outlineLevel="0" collapsed="false">
      <c r="A673" s="16" t="s">
        <v>87</v>
      </c>
      <c r="B673" s="42" t="s">
        <v>155</v>
      </c>
      <c r="C673" s="42" t="s">
        <v>173</v>
      </c>
      <c r="D673" s="43" t="n">
        <v>7</v>
      </c>
      <c r="E673" s="44" t="n">
        <v>1.87</v>
      </c>
      <c r="F673" s="45" t="n">
        <f aca="false">IFERROR(D673*E673,0)</f>
        <v>13.09</v>
      </c>
      <c r="G673" s="42" t="str">
        <f aca="false">INDEX(SETORES!$B:$B,MATCH(A673,SETORES!$A:$A,0))</f>
        <v>Clientes</v>
      </c>
      <c r="H673" s="42" t="s">
        <v>88</v>
      </c>
    </row>
    <row r="674" customFormat="false" ht="14.25" hidden="false" customHeight="true" outlineLevel="0" collapsed="false">
      <c r="A674" s="16" t="s">
        <v>55</v>
      </c>
      <c r="B674" s="42" t="s">
        <v>155</v>
      </c>
      <c r="C674" s="49" t="s">
        <v>156</v>
      </c>
      <c r="D674" s="43" t="n">
        <v>1</v>
      </c>
      <c r="E674" s="44" t="n">
        <v>21454</v>
      </c>
      <c r="F674" s="45" t="n">
        <f aca="false">IFERROR(D674*E674,0)</f>
        <v>21454</v>
      </c>
      <c r="G674" s="42" t="str">
        <f aca="false">INDEX(SETORES!$B:$B,MATCH(A674,SETORES!$A:$A,0))</f>
        <v>Funcionários</v>
      </c>
      <c r="H674" s="42" t="s">
        <v>21</v>
      </c>
    </row>
    <row r="675" customFormat="false" ht="14.25" hidden="false" customHeight="true" outlineLevel="0" collapsed="false">
      <c r="A675" s="50" t="s">
        <v>55</v>
      </c>
      <c r="B675" s="51" t="s">
        <v>157</v>
      </c>
      <c r="C675" s="51" t="s">
        <v>158</v>
      </c>
      <c r="D675" s="52"/>
      <c r="E675" s="53"/>
      <c r="F675" s="54" t="n">
        <v>0</v>
      </c>
      <c r="G675" s="51" t="str">
        <f aca="false">INDEX(SETORES!$B:$B,MATCH(A675,SETORES!$A:$A,0))</f>
        <v>Funcionários</v>
      </c>
      <c r="H675" s="51" t="s">
        <v>21</v>
      </c>
    </row>
    <row r="676" customFormat="false" ht="14.25" hidden="false" customHeight="true" outlineLevel="0" collapsed="false">
      <c r="A676" s="50" t="s">
        <v>55</v>
      </c>
      <c r="B676" s="51" t="s">
        <v>155</v>
      </c>
      <c r="C676" s="49" t="s">
        <v>159</v>
      </c>
      <c r="D676" s="52" t="n">
        <v>1</v>
      </c>
      <c r="E676" s="53" t="n">
        <v>99</v>
      </c>
      <c r="F676" s="54" t="n">
        <f aca="false">IFERROR(D676*E676,0)</f>
        <v>99</v>
      </c>
      <c r="G676" s="51" t="str">
        <f aca="false">INDEX(SETORES!$B:$B,MATCH(A676,SETORES!$A:$A,0))</f>
        <v>Funcionários</v>
      </c>
      <c r="H676" s="51" t="s">
        <v>21</v>
      </c>
    </row>
    <row r="677" customFormat="false" ht="14.25" hidden="false" customHeight="true" outlineLevel="0" collapsed="false">
      <c r="A677" s="16" t="s">
        <v>55</v>
      </c>
      <c r="B677" s="42" t="s">
        <v>155</v>
      </c>
      <c r="C677" s="42" t="s">
        <v>160</v>
      </c>
      <c r="D677" s="43" t="n">
        <v>1</v>
      </c>
      <c r="E677" s="44" t="n">
        <v>436</v>
      </c>
      <c r="F677" s="45" t="n">
        <f aca="false">IFERROR(D677*E677,0)</f>
        <v>436</v>
      </c>
      <c r="G677" s="42" t="str">
        <f aca="false">INDEX(SETORES!$B:$B,MATCH(A677,SETORES!$A:$A,0))</f>
        <v>Funcionários</v>
      </c>
      <c r="H677" s="42" t="s">
        <v>21</v>
      </c>
    </row>
    <row r="678" customFormat="false" ht="14.25" hidden="false" customHeight="true" outlineLevel="0" collapsed="false">
      <c r="A678" s="50" t="s">
        <v>55</v>
      </c>
      <c r="B678" s="51" t="s">
        <v>155</v>
      </c>
      <c r="C678" s="49" t="s">
        <v>161</v>
      </c>
      <c r="D678" s="52" t="n">
        <v>1</v>
      </c>
      <c r="E678" s="53" t="n">
        <v>1787.09</v>
      </c>
      <c r="F678" s="54" t="n">
        <f aca="false">IFERROR(D678*E678,0)</f>
        <v>1787.09</v>
      </c>
      <c r="G678" s="51" t="str">
        <f aca="false">INDEX(SETORES!$B:$B,MATCH(A678,SETORES!$A:$A,0))</f>
        <v>Funcionários</v>
      </c>
      <c r="H678" s="51" t="s">
        <v>21</v>
      </c>
    </row>
    <row r="679" customFormat="false" ht="14.25" hidden="false" customHeight="true" outlineLevel="0" collapsed="false">
      <c r="A679" s="50" t="s">
        <v>89</v>
      </c>
      <c r="B679" s="51" t="s">
        <v>155</v>
      </c>
      <c r="C679" s="51" t="s">
        <v>162</v>
      </c>
      <c r="D679" s="52" t="n">
        <v>1</v>
      </c>
      <c r="E679" s="53" t="n">
        <v>0.0485</v>
      </c>
      <c r="F679" s="54" t="n">
        <v>0.0485</v>
      </c>
      <c r="G679" s="51" t="s">
        <v>97</v>
      </c>
      <c r="H679" s="51" t="s">
        <v>21</v>
      </c>
    </row>
    <row r="680" customFormat="false" ht="14.25" hidden="false" customHeight="true" outlineLevel="0" collapsed="false">
      <c r="A680" s="50" t="s">
        <v>89</v>
      </c>
      <c r="B680" s="51" t="s">
        <v>155</v>
      </c>
      <c r="C680" s="51" t="s">
        <v>163</v>
      </c>
      <c r="D680" s="52" t="n">
        <v>1</v>
      </c>
      <c r="E680" s="53" t="n">
        <v>30</v>
      </c>
      <c r="F680" s="54" t="n">
        <f aca="false">IFERROR(D680*E680,0)</f>
        <v>30</v>
      </c>
      <c r="G680" s="51" t="str">
        <f aca="false">INDEX(SETORES!$B:$B,MATCH(A680,SETORES!$A:$A,0))</f>
        <v>Clientes</v>
      </c>
      <c r="H680" s="51" t="s">
        <v>21</v>
      </c>
    </row>
    <row r="681" customFormat="false" ht="14.25" hidden="false" customHeight="true" outlineLevel="0" collapsed="false">
      <c r="A681" s="16" t="s">
        <v>89</v>
      </c>
      <c r="B681" s="42" t="s">
        <v>155</v>
      </c>
      <c r="C681" s="42" t="s">
        <v>164</v>
      </c>
      <c r="D681" s="43" t="n">
        <v>1</v>
      </c>
      <c r="E681" s="44" t="n">
        <v>1086.4</v>
      </c>
      <c r="F681" s="45" t="n">
        <f aca="false">IFERROR(D681*E681,0)</f>
        <v>1086.4</v>
      </c>
      <c r="G681" s="42" t="str">
        <f aca="false">INDEX(SETORES!$B:$B,MATCH(A681,SETORES!$A:$A,0))</f>
        <v>Clientes</v>
      </c>
      <c r="H681" s="42" t="s">
        <v>21</v>
      </c>
    </row>
    <row r="682" customFormat="false" ht="14.25" hidden="false" customHeight="true" outlineLevel="0" collapsed="false">
      <c r="A682" s="50" t="s">
        <v>89</v>
      </c>
      <c r="B682" s="51" t="s">
        <v>155</v>
      </c>
      <c r="C682" s="51" t="s">
        <v>165</v>
      </c>
      <c r="D682" s="52" t="n">
        <v>2</v>
      </c>
      <c r="E682" s="53" t="n">
        <v>43.54</v>
      </c>
      <c r="F682" s="54" t="n">
        <f aca="false">IFERROR(D682*E682,0)</f>
        <v>87.08</v>
      </c>
      <c r="G682" s="51" t="s">
        <v>99</v>
      </c>
      <c r="H682" s="51" t="s">
        <v>21</v>
      </c>
    </row>
    <row r="683" customFormat="false" ht="14.25" hidden="false" customHeight="true" outlineLevel="0" collapsed="false">
      <c r="A683" s="50" t="s">
        <v>89</v>
      </c>
      <c r="B683" s="51" t="s">
        <v>155</v>
      </c>
      <c r="C683" s="51" t="s">
        <v>166</v>
      </c>
      <c r="D683" s="52" t="n">
        <v>2</v>
      </c>
      <c r="E683" s="53" t="n">
        <v>29.74</v>
      </c>
      <c r="F683" s="54" t="n">
        <f aca="false">IFERROR(D683*E683,0)</f>
        <v>59.48</v>
      </c>
      <c r="G683" s="42" t="s">
        <v>99</v>
      </c>
      <c r="H683" s="51" t="s">
        <v>21</v>
      </c>
    </row>
    <row r="684" customFormat="false" ht="14.25" hidden="false" customHeight="true" outlineLevel="0" collapsed="false">
      <c r="A684" s="50" t="s">
        <v>89</v>
      </c>
      <c r="B684" s="51" t="s">
        <v>155</v>
      </c>
      <c r="C684" s="51" t="s">
        <v>167</v>
      </c>
      <c r="D684" s="52" t="n">
        <v>2</v>
      </c>
      <c r="E684" s="53" t="n">
        <v>47.66</v>
      </c>
      <c r="F684" s="54" t="n">
        <f aca="false">IFERROR(D684*E684,0)</f>
        <v>95.32</v>
      </c>
      <c r="G684" s="42" t="s">
        <v>99</v>
      </c>
      <c r="H684" s="51" t="s">
        <v>21</v>
      </c>
    </row>
    <row r="685" customFormat="false" ht="14.25" hidden="false" customHeight="true" outlineLevel="0" collapsed="false">
      <c r="A685" s="16" t="s">
        <v>89</v>
      </c>
      <c r="B685" s="42" t="s">
        <v>155</v>
      </c>
      <c r="C685" s="42" t="s">
        <v>168</v>
      </c>
      <c r="D685" s="43" t="n">
        <v>1</v>
      </c>
      <c r="E685" s="44" t="n">
        <v>16.546</v>
      </c>
      <c r="F685" s="45" t="n">
        <v>16.546</v>
      </c>
      <c r="G685" s="42" t="s">
        <v>97</v>
      </c>
      <c r="H685" s="42" t="s">
        <v>21</v>
      </c>
    </row>
    <row r="686" customFormat="false" ht="14.25" hidden="false" customHeight="true" outlineLevel="0" collapsed="false">
      <c r="A686" s="16" t="s">
        <v>89</v>
      </c>
      <c r="B686" s="42" t="s">
        <v>155</v>
      </c>
      <c r="C686" s="42" t="s">
        <v>169</v>
      </c>
      <c r="D686" s="43" t="n">
        <v>1</v>
      </c>
      <c r="E686" s="44" t="n">
        <v>6292.45</v>
      </c>
      <c r="F686" s="45" t="n">
        <f aca="false">IFERROR(E686,0)</f>
        <v>6292.45</v>
      </c>
      <c r="G686" s="42" t="str">
        <f aca="false">INDEX(SETORES!$B:$B,MATCH(A686,SETORES!$A:$A,0))</f>
        <v>Clientes</v>
      </c>
      <c r="H686" s="42" t="s">
        <v>21</v>
      </c>
    </row>
    <row r="687" customFormat="false" ht="14.25" hidden="false" customHeight="true" outlineLevel="0" collapsed="false">
      <c r="A687" s="16" t="s">
        <v>89</v>
      </c>
      <c r="B687" s="42" t="s">
        <v>155</v>
      </c>
      <c r="C687" s="42" t="s">
        <v>170</v>
      </c>
      <c r="D687" s="43" t="n">
        <v>2</v>
      </c>
      <c r="E687" s="44" t="n">
        <v>9.92</v>
      </c>
      <c r="F687" s="45" t="n">
        <f aca="false">IFERROR(D687*E687,0)</f>
        <v>19.84</v>
      </c>
      <c r="G687" s="42" t="str">
        <f aca="false">INDEX(SETORES!$B:$B,MATCH(A687,SETORES!$A:$A,0))</f>
        <v>Clientes</v>
      </c>
      <c r="H687" s="42" t="s">
        <v>21</v>
      </c>
    </row>
    <row r="688" customFormat="false" ht="14.25" hidden="false" customHeight="true" outlineLevel="0" collapsed="false">
      <c r="A688" s="16" t="s">
        <v>89</v>
      </c>
      <c r="B688" s="42" t="s">
        <v>155</v>
      </c>
      <c r="C688" s="42" t="s">
        <v>172</v>
      </c>
      <c r="D688" s="43" t="n">
        <v>2</v>
      </c>
      <c r="E688" s="44" t="n">
        <v>50</v>
      </c>
      <c r="F688" s="45" t="n">
        <f aca="false">IFERROR(D688*E688,0)</f>
        <v>100</v>
      </c>
      <c r="G688" s="42" t="str">
        <f aca="false">INDEX(SETORES!$B:$B,MATCH(A688,SETORES!$A:$A,0))</f>
        <v>Clientes</v>
      </c>
      <c r="H688" s="42" t="s">
        <v>21</v>
      </c>
    </row>
    <row r="689" customFormat="false" ht="14.25" hidden="false" customHeight="true" outlineLevel="0" collapsed="false">
      <c r="A689" s="50" t="s">
        <v>89</v>
      </c>
      <c r="B689" s="51" t="s">
        <v>155</v>
      </c>
      <c r="C689" s="51" t="s">
        <v>173</v>
      </c>
      <c r="D689" s="52" t="n">
        <v>2</v>
      </c>
      <c r="E689" s="53" t="n">
        <v>2.05</v>
      </c>
      <c r="F689" s="54" t="n">
        <f aca="false">IFERROR(D689*E689,0)</f>
        <v>4.1</v>
      </c>
      <c r="G689" s="51" t="str">
        <f aca="false">INDEX(SETORES!$B:$B,MATCH(A689,SETORES!$A:$A,0))</f>
        <v>Clientes</v>
      </c>
      <c r="H689" s="51" t="s">
        <v>21</v>
      </c>
    </row>
    <row r="690" customFormat="false" ht="14.25" hidden="false" customHeight="true" outlineLevel="0" collapsed="false">
      <c r="A690" s="16" t="s">
        <v>35</v>
      </c>
      <c r="B690" s="42" t="s">
        <v>155</v>
      </c>
      <c r="C690" s="42" t="s">
        <v>162</v>
      </c>
      <c r="D690" s="43" t="n">
        <v>1</v>
      </c>
      <c r="E690" s="44" t="n">
        <v>0.0727</v>
      </c>
      <c r="F690" s="45" t="n">
        <v>0.0727</v>
      </c>
      <c r="G690" s="42" t="str">
        <f aca="false">INDEX(SETORES!$B:$B,MATCH(A690,SETORES!$A:$A,0))</f>
        <v>Clientes</v>
      </c>
      <c r="H690" s="42" t="s">
        <v>21</v>
      </c>
    </row>
    <row r="691" customFormat="false" ht="14.25" hidden="false" customHeight="true" outlineLevel="0" collapsed="false">
      <c r="A691" s="16" t="s">
        <v>35</v>
      </c>
      <c r="B691" s="42" t="s">
        <v>155</v>
      </c>
      <c r="C691" s="42" t="s">
        <v>163</v>
      </c>
      <c r="D691" s="43" t="n">
        <v>1</v>
      </c>
      <c r="E691" s="44" t="n">
        <v>30</v>
      </c>
      <c r="F691" s="45" t="n">
        <f aca="false">IFERROR(D691*E691,0)</f>
        <v>30</v>
      </c>
      <c r="G691" s="42" t="str">
        <f aca="false">INDEX(SETORES!$B:$B,MATCH(A691,SETORES!$A:$A,0))</f>
        <v>Clientes</v>
      </c>
      <c r="H691" s="42" t="s">
        <v>21</v>
      </c>
    </row>
    <row r="692" customFormat="false" ht="14.25" hidden="false" customHeight="true" outlineLevel="0" collapsed="false">
      <c r="A692" s="50" t="s">
        <v>35</v>
      </c>
      <c r="B692" s="51" t="s">
        <v>155</v>
      </c>
      <c r="C692" s="51" t="s">
        <v>164</v>
      </c>
      <c r="D692" s="52" t="n">
        <v>1</v>
      </c>
      <c r="E692" s="53" t="n">
        <v>1629.6</v>
      </c>
      <c r="F692" s="54" t="n">
        <f aca="false">IFERROR(D692*E692,0)</f>
        <v>1629.6</v>
      </c>
      <c r="G692" s="51" t="str">
        <f aca="false">INDEX(SETORES!$B:$B,MATCH(A692,SETORES!$A:$A,0))</f>
        <v>Clientes</v>
      </c>
      <c r="H692" s="51" t="s">
        <v>21</v>
      </c>
    </row>
    <row r="693" customFormat="false" ht="14.25" hidden="false" customHeight="true" outlineLevel="0" collapsed="false">
      <c r="A693" s="50" t="s">
        <v>35</v>
      </c>
      <c r="B693" s="51" t="s">
        <v>155</v>
      </c>
      <c r="C693" s="51" t="s">
        <v>165</v>
      </c>
      <c r="D693" s="52" t="n">
        <v>3</v>
      </c>
      <c r="E693" s="53" t="n">
        <v>43.54</v>
      </c>
      <c r="F693" s="54" t="n">
        <f aca="false">IFERROR(D693*E693,0)</f>
        <v>130.62</v>
      </c>
      <c r="G693" s="51" t="s">
        <v>99</v>
      </c>
      <c r="H693" s="51" t="s">
        <v>21</v>
      </c>
    </row>
    <row r="694" customFormat="false" ht="14.25" hidden="false" customHeight="true" outlineLevel="0" collapsed="false">
      <c r="A694" s="16" t="s">
        <v>35</v>
      </c>
      <c r="B694" s="42" t="s">
        <v>155</v>
      </c>
      <c r="C694" s="42" t="s">
        <v>166</v>
      </c>
      <c r="D694" s="43" t="n">
        <v>3</v>
      </c>
      <c r="E694" s="44" t="n">
        <v>29.74</v>
      </c>
      <c r="F694" s="45" t="n">
        <f aca="false">IFERROR(D694*E694,0)</f>
        <v>89.22</v>
      </c>
      <c r="G694" s="42" t="s">
        <v>99</v>
      </c>
      <c r="H694" s="42" t="s">
        <v>21</v>
      </c>
    </row>
    <row r="695" customFormat="false" ht="14.25" hidden="false" customHeight="true" outlineLevel="0" collapsed="false">
      <c r="A695" s="16" t="s">
        <v>35</v>
      </c>
      <c r="B695" s="42" t="s">
        <v>155</v>
      </c>
      <c r="C695" s="42" t="s">
        <v>167</v>
      </c>
      <c r="D695" s="43" t="n">
        <v>3</v>
      </c>
      <c r="E695" s="44" t="n">
        <v>47.66</v>
      </c>
      <c r="F695" s="45" t="n">
        <f aca="false">IFERROR(D695*E695,0)</f>
        <v>142.98</v>
      </c>
      <c r="G695" s="42" t="s">
        <v>99</v>
      </c>
      <c r="H695" s="42" t="s">
        <v>21</v>
      </c>
    </row>
    <row r="696" customFormat="false" ht="14.25" hidden="false" customHeight="true" outlineLevel="0" collapsed="false">
      <c r="A696" s="50" t="s">
        <v>35</v>
      </c>
      <c r="B696" s="51" t="s">
        <v>155</v>
      </c>
      <c r="C696" s="51" t="s">
        <v>168</v>
      </c>
      <c r="D696" s="52" t="n">
        <v>1</v>
      </c>
      <c r="E696" s="53" t="n">
        <v>24.819</v>
      </c>
      <c r="F696" s="54" t="n">
        <v>24.819</v>
      </c>
      <c r="G696" s="51" t="str">
        <f aca="false">INDEX(SETORES!$B:$B,MATCH(A696,SETORES!$A:$A,0))</f>
        <v>Clientes</v>
      </c>
      <c r="H696" s="51" t="s">
        <v>21</v>
      </c>
    </row>
    <row r="697" customFormat="false" ht="14.25" hidden="false" customHeight="true" outlineLevel="0" collapsed="false">
      <c r="A697" s="50" t="s">
        <v>35</v>
      </c>
      <c r="B697" s="51" t="s">
        <v>157</v>
      </c>
      <c r="C697" s="51" t="s">
        <v>174</v>
      </c>
      <c r="D697" s="52"/>
      <c r="E697" s="53"/>
      <c r="F697" s="54" t="n">
        <f aca="false">IFERROR(D697*E697,0)</f>
        <v>0</v>
      </c>
      <c r="G697" s="51" t="str">
        <f aca="false">INDEX(SETORES!$B:$B,MATCH(A697,SETORES!$A:$A,0))</f>
        <v>Clientes</v>
      </c>
      <c r="H697" s="51" t="s">
        <v>21</v>
      </c>
    </row>
    <row r="698" customFormat="false" ht="14.25" hidden="false" customHeight="true" outlineLevel="0" collapsed="false">
      <c r="A698" s="50" t="s">
        <v>35</v>
      </c>
      <c r="B698" s="51" t="s">
        <v>157</v>
      </c>
      <c r="C698" s="51" t="s">
        <v>175</v>
      </c>
      <c r="D698" s="52"/>
      <c r="E698" s="53"/>
      <c r="F698" s="54" t="n">
        <f aca="false">IFERROR(D698*E698,0)</f>
        <v>0</v>
      </c>
      <c r="G698" s="51" t="str">
        <f aca="false">INDEX(SETORES!$B:$B,MATCH(A698,SETORES!$A:$A,0))</f>
        <v>Clientes</v>
      </c>
      <c r="H698" s="51" t="s">
        <v>21</v>
      </c>
    </row>
    <row r="699" customFormat="false" ht="14.25" hidden="false" customHeight="true" outlineLevel="0" collapsed="false">
      <c r="A699" s="16" t="s">
        <v>35</v>
      </c>
      <c r="B699" s="42" t="s">
        <v>157</v>
      </c>
      <c r="C699" s="42" t="s">
        <v>176</v>
      </c>
      <c r="D699" s="43"/>
      <c r="E699" s="44"/>
      <c r="F699" s="45" t="n">
        <f aca="false">IFERROR(D699*E699,0)</f>
        <v>0</v>
      </c>
      <c r="G699" s="42" t="str">
        <f aca="false">INDEX(SETORES!$B:$B,MATCH(A699,SETORES!$A:$A,0))</f>
        <v>Clientes</v>
      </c>
      <c r="H699" s="42" t="s">
        <v>21</v>
      </c>
    </row>
    <row r="700" customFormat="false" ht="14.25" hidden="false" customHeight="true" outlineLevel="0" collapsed="false">
      <c r="A700" s="16" t="s">
        <v>35</v>
      </c>
      <c r="B700" s="42" t="s">
        <v>155</v>
      </c>
      <c r="C700" s="42" t="s">
        <v>169</v>
      </c>
      <c r="D700" s="43" t="n">
        <v>1</v>
      </c>
      <c r="E700" s="44" t="n">
        <v>8929.7</v>
      </c>
      <c r="F700" s="45" t="n">
        <f aca="false">IFERROR(E700,0)</f>
        <v>8929.7</v>
      </c>
      <c r="G700" s="42" t="str">
        <f aca="false">INDEX(SETORES!$B:$B,MATCH(A700,SETORES!$A:$A,0))</f>
        <v>Clientes</v>
      </c>
      <c r="H700" s="42" t="s">
        <v>21</v>
      </c>
    </row>
    <row r="701" customFormat="false" ht="14.25" hidden="false" customHeight="true" outlineLevel="0" collapsed="false">
      <c r="A701" s="50" t="s">
        <v>35</v>
      </c>
      <c r="B701" s="51" t="s">
        <v>155</v>
      </c>
      <c r="C701" s="51" t="s">
        <v>170</v>
      </c>
      <c r="D701" s="52" t="n">
        <v>3</v>
      </c>
      <c r="E701" s="53" t="n">
        <v>9.92</v>
      </c>
      <c r="F701" s="54" t="n">
        <f aca="false">IFERROR(D701*E701,0)</f>
        <v>29.76</v>
      </c>
      <c r="G701" s="51" t="str">
        <f aca="false">INDEX(SETORES!$B:$B,MATCH(A701,SETORES!$A:$A,0))</f>
        <v>Clientes</v>
      </c>
      <c r="H701" s="51" t="s">
        <v>21</v>
      </c>
    </row>
    <row r="702" customFormat="false" ht="14.25" hidden="false" customHeight="true" outlineLevel="0" collapsed="false">
      <c r="A702" s="16" t="s">
        <v>35</v>
      </c>
      <c r="B702" s="42" t="s">
        <v>155</v>
      </c>
      <c r="C702" s="42" t="s">
        <v>172</v>
      </c>
      <c r="D702" s="43" t="n">
        <v>2</v>
      </c>
      <c r="E702" s="44" t="n">
        <v>50</v>
      </c>
      <c r="F702" s="45" t="n">
        <f aca="false">IFERROR(D702*E702,0)</f>
        <v>100</v>
      </c>
      <c r="G702" s="42" t="str">
        <f aca="false">INDEX(SETORES!$B:$B,MATCH(A702,SETORES!$A:$A,0))</f>
        <v>Clientes</v>
      </c>
      <c r="H702" s="42" t="s">
        <v>21</v>
      </c>
    </row>
    <row r="703" customFormat="false" ht="14.25" hidden="false" customHeight="true" outlineLevel="0" collapsed="false">
      <c r="A703" s="50" t="s">
        <v>35</v>
      </c>
      <c r="B703" s="51" t="s">
        <v>155</v>
      </c>
      <c r="C703" s="51" t="s">
        <v>177</v>
      </c>
      <c r="D703" s="52"/>
      <c r="E703" s="53"/>
      <c r="F703" s="54" t="n">
        <v>0</v>
      </c>
      <c r="G703" s="51" t="str">
        <f aca="false">INDEX(SETORES!$B:$B,MATCH(A703,SETORES!$A:$A,0))</f>
        <v>Clientes</v>
      </c>
      <c r="H703" s="51" t="s">
        <v>21</v>
      </c>
    </row>
    <row r="704" customFormat="false" ht="14.25" hidden="false" customHeight="true" outlineLevel="0" collapsed="false">
      <c r="A704" s="16" t="s">
        <v>35</v>
      </c>
      <c r="B704" s="42" t="s">
        <v>155</v>
      </c>
      <c r="C704" s="42" t="s">
        <v>178</v>
      </c>
      <c r="D704" s="43" t="n">
        <v>1</v>
      </c>
      <c r="E704" s="44" t="n">
        <v>92.0001</v>
      </c>
      <c r="F704" s="45" t="n">
        <v>92.0001</v>
      </c>
      <c r="G704" s="42" t="str">
        <f aca="false">INDEX(SETORES!$B:$B,MATCH(A704,SETORES!$A:$A,0))</f>
        <v>Clientes</v>
      </c>
      <c r="H704" s="42" t="s">
        <v>21</v>
      </c>
    </row>
    <row r="705" customFormat="false" ht="14.25" hidden="false" customHeight="true" outlineLevel="0" collapsed="false">
      <c r="A705" s="16" t="s">
        <v>35</v>
      </c>
      <c r="B705" s="42" t="s">
        <v>157</v>
      </c>
      <c r="C705" s="42" t="s">
        <v>158</v>
      </c>
      <c r="D705" s="43"/>
      <c r="E705" s="44"/>
      <c r="F705" s="45" t="n">
        <f aca="false">IFERROR(D705*E705,0)</f>
        <v>0</v>
      </c>
      <c r="G705" s="42" t="str">
        <f aca="false">INDEX(SETORES!$B:$B,MATCH(A705,SETORES!$A:$A,0))</f>
        <v>Clientes</v>
      </c>
      <c r="H705" s="42" t="s">
        <v>21</v>
      </c>
    </row>
    <row r="706" customFormat="false" ht="14.25" hidden="false" customHeight="true" outlineLevel="0" collapsed="false">
      <c r="A706" s="16" t="s">
        <v>35</v>
      </c>
      <c r="B706" s="42" t="s">
        <v>155</v>
      </c>
      <c r="C706" s="42" t="s">
        <v>173</v>
      </c>
      <c r="D706" s="43" t="n">
        <v>3</v>
      </c>
      <c r="E706" s="44" t="n">
        <v>2.05</v>
      </c>
      <c r="F706" s="45" t="n">
        <f aca="false">IFERROR(D706*E706,0)</f>
        <v>6.15</v>
      </c>
      <c r="G706" s="42" t="str">
        <f aca="false">INDEX(SETORES!$B:$B,MATCH(A706,SETORES!$A:$A,0))</f>
        <v>Clientes</v>
      </c>
      <c r="H706" s="42" t="s">
        <v>21</v>
      </c>
    </row>
    <row r="707" customFormat="false" ht="14.25" hidden="false" customHeight="true" outlineLevel="0" collapsed="false">
      <c r="A707" s="50" t="s">
        <v>35</v>
      </c>
      <c r="B707" s="51" t="s">
        <v>155</v>
      </c>
      <c r="C707" s="51" t="s">
        <v>179</v>
      </c>
      <c r="D707" s="52"/>
      <c r="E707" s="53"/>
      <c r="F707" s="54" t="n">
        <f aca="false">IFERROR(D707*E707,0)</f>
        <v>0</v>
      </c>
      <c r="G707" s="51" t="str">
        <f aca="false">INDEX(SETORES!$B:$B,MATCH(A707,SETORES!$A:$A,0))</f>
        <v>Clientes</v>
      </c>
      <c r="H707" s="51" t="s">
        <v>21</v>
      </c>
    </row>
    <row r="708" customFormat="false" ht="14.25" hidden="false" customHeight="true" outlineLevel="0" collapsed="false">
      <c r="A708" s="16" t="s">
        <v>38</v>
      </c>
      <c r="B708" s="42" t="s">
        <v>155</v>
      </c>
      <c r="C708" s="42" t="s">
        <v>162</v>
      </c>
      <c r="D708" s="43" t="n">
        <v>1</v>
      </c>
      <c r="E708" s="44" t="n">
        <v>0.3152</v>
      </c>
      <c r="F708" s="45" t="n">
        <v>0.3152</v>
      </c>
      <c r="G708" s="42" t="str">
        <f aca="false">INDEX(SETORES!$B:$B,MATCH(A708,SETORES!$A:$A,0))</f>
        <v>Clientes</v>
      </c>
      <c r="H708" s="42" t="s">
        <v>21</v>
      </c>
    </row>
    <row r="709" customFormat="false" ht="14.25" hidden="false" customHeight="true" outlineLevel="0" collapsed="false">
      <c r="A709" s="16" t="s">
        <v>38</v>
      </c>
      <c r="B709" s="42" t="s">
        <v>155</v>
      </c>
      <c r="C709" s="42" t="s">
        <v>180</v>
      </c>
      <c r="D709" s="43" t="n">
        <v>1</v>
      </c>
      <c r="E709" s="44" t="n">
        <v>970.12</v>
      </c>
      <c r="F709" s="45" t="n">
        <f aca="false">IFERROR(D709*E709,0)</f>
        <v>970.12</v>
      </c>
      <c r="G709" s="42" t="str">
        <f aca="false">INDEX(SETORES!$B:$B,MATCH(A709,SETORES!$A:$A,0))</f>
        <v>Clientes</v>
      </c>
      <c r="H709" s="42" t="s">
        <v>21</v>
      </c>
    </row>
    <row r="710" customFormat="false" ht="14.25" hidden="false" customHeight="true" outlineLevel="0" collapsed="false">
      <c r="A710" s="16" t="s">
        <v>38</v>
      </c>
      <c r="B710" s="42" t="s">
        <v>155</v>
      </c>
      <c r="C710" s="42" t="s">
        <v>165</v>
      </c>
      <c r="D710" s="43" t="n">
        <v>13</v>
      </c>
      <c r="E710" s="44" t="n">
        <v>43.54</v>
      </c>
      <c r="F710" s="45" t="n">
        <f aca="false">IFERROR(D710*E710,0)</f>
        <v>566.02</v>
      </c>
      <c r="G710" s="51" t="s">
        <v>99</v>
      </c>
      <c r="H710" s="42" t="s">
        <v>21</v>
      </c>
    </row>
    <row r="711" customFormat="false" ht="14.25" hidden="false" customHeight="true" outlineLevel="0" collapsed="false">
      <c r="A711" s="50" t="s">
        <v>38</v>
      </c>
      <c r="B711" s="51" t="s">
        <v>155</v>
      </c>
      <c r="C711" s="51" t="s">
        <v>166</v>
      </c>
      <c r="D711" s="52" t="n">
        <v>13</v>
      </c>
      <c r="E711" s="53" t="n">
        <v>29.74</v>
      </c>
      <c r="F711" s="54" t="n">
        <f aca="false">IFERROR(D711*E711,0)</f>
        <v>386.62</v>
      </c>
      <c r="G711" s="42" t="s">
        <v>99</v>
      </c>
      <c r="H711" s="51" t="s">
        <v>21</v>
      </c>
    </row>
    <row r="712" customFormat="false" ht="14.25" hidden="false" customHeight="true" outlineLevel="0" collapsed="false">
      <c r="A712" s="50" t="s">
        <v>38</v>
      </c>
      <c r="B712" s="51" t="s">
        <v>155</v>
      </c>
      <c r="C712" s="51" t="s">
        <v>167</v>
      </c>
      <c r="D712" s="52" t="n">
        <v>13</v>
      </c>
      <c r="E712" s="53" t="n">
        <v>47.66</v>
      </c>
      <c r="F712" s="54" t="n">
        <f aca="false">IFERROR(D712*E712,0)</f>
        <v>619.58</v>
      </c>
      <c r="G712" s="42" t="s">
        <v>99</v>
      </c>
      <c r="H712" s="51" t="s">
        <v>21</v>
      </c>
    </row>
    <row r="713" customFormat="false" ht="14.25" hidden="false" customHeight="true" outlineLevel="0" collapsed="false">
      <c r="A713" s="50" t="s">
        <v>38</v>
      </c>
      <c r="B713" s="51" t="s">
        <v>155</v>
      </c>
      <c r="C713" s="51" t="s">
        <v>168</v>
      </c>
      <c r="D713" s="52" t="n">
        <v>1</v>
      </c>
      <c r="E713" s="53" t="n">
        <v>107.549</v>
      </c>
      <c r="F713" s="54" t="n">
        <v>107.549</v>
      </c>
      <c r="G713" s="51" t="str">
        <f aca="false">INDEX(SETORES!$B:$B,MATCH(A713,SETORES!$A:$A,0))</f>
        <v>Clientes</v>
      </c>
      <c r="H713" s="51" t="s">
        <v>21</v>
      </c>
    </row>
    <row r="714" customFormat="false" ht="14.25" hidden="false" customHeight="true" outlineLevel="0" collapsed="false">
      <c r="A714" s="50" t="s">
        <v>38</v>
      </c>
      <c r="B714" s="51" t="s">
        <v>157</v>
      </c>
      <c r="C714" s="51" t="s">
        <v>174</v>
      </c>
      <c r="D714" s="52" t="n">
        <v>1</v>
      </c>
      <c r="E714" s="53" t="n">
        <v>65</v>
      </c>
      <c r="F714" s="54" t="n">
        <f aca="false">IFERROR(D714*E714,0)</f>
        <v>65</v>
      </c>
      <c r="G714" s="51" t="str">
        <f aca="false">INDEX(SETORES!$B:$B,MATCH(A714,SETORES!$A:$A,0))</f>
        <v>Clientes</v>
      </c>
      <c r="H714" s="51" t="s">
        <v>21</v>
      </c>
    </row>
    <row r="715" customFormat="false" ht="14.25" hidden="false" customHeight="true" outlineLevel="0" collapsed="false">
      <c r="A715" s="50" t="s">
        <v>38</v>
      </c>
      <c r="B715" s="51" t="s">
        <v>157</v>
      </c>
      <c r="C715" s="51" t="s">
        <v>175</v>
      </c>
      <c r="D715" s="52" t="n">
        <v>4</v>
      </c>
      <c r="E715" s="53" t="n">
        <v>45</v>
      </c>
      <c r="F715" s="54" t="n">
        <f aca="false">IFERROR(D715*E715,0)</f>
        <v>180</v>
      </c>
      <c r="G715" s="51" t="str">
        <f aca="false">INDEX(SETORES!$B:$B,MATCH(A715,SETORES!$A:$A,0))</f>
        <v>Clientes</v>
      </c>
      <c r="H715" s="51" t="s">
        <v>21</v>
      </c>
    </row>
    <row r="716" customFormat="false" ht="14.25" hidden="false" customHeight="true" outlineLevel="0" collapsed="false">
      <c r="A716" s="16" t="s">
        <v>38</v>
      </c>
      <c r="B716" s="42" t="s">
        <v>157</v>
      </c>
      <c r="C716" s="42" t="s">
        <v>176</v>
      </c>
      <c r="D716" s="43"/>
      <c r="E716" s="44"/>
      <c r="F716" s="45" t="n">
        <f aca="false">IFERROR(D716*E716,0)</f>
        <v>0</v>
      </c>
      <c r="G716" s="42" t="str">
        <f aca="false">INDEX(SETORES!$B:$B,MATCH(A716,SETORES!$A:$A,0))</f>
        <v>Clientes</v>
      </c>
      <c r="H716" s="42" t="s">
        <v>21</v>
      </c>
    </row>
    <row r="717" customFormat="false" ht="14.25" hidden="false" customHeight="true" outlineLevel="0" collapsed="false">
      <c r="A717" s="16" t="s">
        <v>38</v>
      </c>
      <c r="B717" s="42" t="s">
        <v>155</v>
      </c>
      <c r="C717" s="42" t="s">
        <v>169</v>
      </c>
      <c r="D717" s="43" t="n">
        <v>1</v>
      </c>
      <c r="E717" s="44" t="n">
        <v>38898.86</v>
      </c>
      <c r="F717" s="45" t="n">
        <f aca="false">IFERROR(E717,0)</f>
        <v>38898.86</v>
      </c>
      <c r="G717" s="42" t="str">
        <f aca="false">INDEX(SETORES!$B:$B,MATCH(A717,SETORES!$A:$A,0))</f>
        <v>Clientes</v>
      </c>
      <c r="H717" s="42" t="s">
        <v>21</v>
      </c>
    </row>
    <row r="718" customFormat="false" ht="14.25" hidden="false" customHeight="true" outlineLevel="0" collapsed="false">
      <c r="A718" s="50" t="s">
        <v>38</v>
      </c>
      <c r="B718" s="51" t="s">
        <v>155</v>
      </c>
      <c r="C718" s="51" t="s">
        <v>170</v>
      </c>
      <c r="D718" s="52" t="n">
        <v>13</v>
      </c>
      <c r="E718" s="53" t="n">
        <v>9.92</v>
      </c>
      <c r="F718" s="54" t="n">
        <f aca="false">IFERROR(D718*E718,0)</f>
        <v>128.96</v>
      </c>
      <c r="G718" s="51" t="str">
        <f aca="false">INDEX(SETORES!$B:$B,MATCH(A718,SETORES!$A:$A,0))</f>
        <v>Clientes</v>
      </c>
      <c r="H718" s="51" t="s">
        <v>21</v>
      </c>
    </row>
    <row r="719" customFormat="false" ht="14.25" hidden="false" customHeight="true" outlineLevel="0" collapsed="false">
      <c r="A719" s="16" t="s">
        <v>38</v>
      </c>
      <c r="B719" s="42" t="s">
        <v>155</v>
      </c>
      <c r="C719" s="42" t="s">
        <v>181</v>
      </c>
      <c r="D719" s="43" t="n">
        <v>1</v>
      </c>
      <c r="E719" s="44" t="n">
        <v>2.727868</v>
      </c>
      <c r="F719" s="45" t="n">
        <f aca="false">IFERROR(D719*E719,0)</f>
        <v>2.727868</v>
      </c>
      <c r="G719" s="42" t="str">
        <f aca="false">INDEX(SETORES!$B:$B,MATCH(A719,SETORES!$A:$A,0))</f>
        <v>Clientes</v>
      </c>
      <c r="H719" s="42" t="s">
        <v>21</v>
      </c>
    </row>
    <row r="720" customFormat="false" ht="14.25" hidden="false" customHeight="true" outlineLevel="0" collapsed="false">
      <c r="A720" s="16" t="s">
        <v>38</v>
      </c>
      <c r="B720" s="42" t="s">
        <v>155</v>
      </c>
      <c r="C720" s="42" t="s">
        <v>172</v>
      </c>
      <c r="D720" s="43" t="n">
        <v>1</v>
      </c>
      <c r="E720" s="44" t="n">
        <v>50</v>
      </c>
      <c r="F720" s="45" t="n">
        <f aca="false">IFERROR(D720*E720,0)</f>
        <v>50</v>
      </c>
      <c r="G720" s="42" t="str">
        <f aca="false">INDEX(SETORES!$B:$B,MATCH(A720,SETORES!$A:$A,0))</f>
        <v>Clientes</v>
      </c>
      <c r="H720" s="42" t="s">
        <v>21</v>
      </c>
    </row>
    <row r="721" customFormat="false" ht="14.25" hidden="false" customHeight="true" outlineLevel="0" collapsed="false">
      <c r="A721" s="50" t="s">
        <v>38</v>
      </c>
      <c r="B721" s="51" t="s">
        <v>155</v>
      </c>
      <c r="C721" s="51" t="s">
        <v>177</v>
      </c>
      <c r="D721" s="52" t="n">
        <v>13</v>
      </c>
      <c r="E721" s="53" t="n">
        <v>0.9851</v>
      </c>
      <c r="F721" s="54" t="n">
        <v>12.8063</v>
      </c>
      <c r="G721" s="51" t="str">
        <f aca="false">INDEX(SETORES!$B:$B,MATCH(A721,SETORES!$A:$A,0))</f>
        <v>Clientes</v>
      </c>
      <c r="H721" s="51" t="s">
        <v>21</v>
      </c>
    </row>
    <row r="722" customFormat="false" ht="14.25" hidden="false" customHeight="true" outlineLevel="0" collapsed="false">
      <c r="A722" s="16" t="s">
        <v>38</v>
      </c>
      <c r="B722" s="42" t="s">
        <v>155</v>
      </c>
      <c r="C722" s="42" t="s">
        <v>178</v>
      </c>
      <c r="D722" s="43" t="n">
        <v>1</v>
      </c>
      <c r="E722" s="44" t="n">
        <v>389.232787</v>
      </c>
      <c r="F722" s="45" t="n">
        <v>389.232787</v>
      </c>
      <c r="G722" s="42" t="str">
        <f aca="false">INDEX(SETORES!$B:$B,MATCH(A722,SETORES!$A:$A,0))</f>
        <v>Clientes</v>
      </c>
      <c r="H722" s="42" t="s">
        <v>21</v>
      </c>
    </row>
    <row r="723" customFormat="false" ht="14.25" hidden="false" customHeight="true" outlineLevel="0" collapsed="false">
      <c r="A723" s="50" t="s">
        <v>38</v>
      </c>
      <c r="B723" s="51" t="s">
        <v>157</v>
      </c>
      <c r="C723" s="51" t="s">
        <v>158</v>
      </c>
      <c r="D723" s="52"/>
      <c r="E723" s="53"/>
      <c r="F723" s="54" t="n">
        <f aca="false">IFERROR(D723*E723,0)</f>
        <v>0</v>
      </c>
      <c r="G723" s="51" t="str">
        <f aca="false">INDEX(SETORES!$B:$B,MATCH(A723,SETORES!$A:$A,0))</f>
        <v>Clientes</v>
      </c>
      <c r="H723" s="51" t="s">
        <v>21</v>
      </c>
    </row>
    <row r="724" customFormat="false" ht="14.25" hidden="false" customHeight="true" outlineLevel="0" collapsed="false">
      <c r="A724" s="50" t="s">
        <v>38</v>
      </c>
      <c r="B724" s="51" t="s">
        <v>155</v>
      </c>
      <c r="C724" s="51" t="s">
        <v>182</v>
      </c>
      <c r="D724" s="52" t="n">
        <v>1</v>
      </c>
      <c r="E724" s="53" t="n">
        <v>719.456231</v>
      </c>
      <c r="F724" s="54" t="n">
        <f aca="false">IFERROR(D724*E724,0)</f>
        <v>719.456231</v>
      </c>
      <c r="G724" s="51" t="str">
        <f aca="false">INDEX(SETORES!$B:$B,MATCH(A724,SETORES!$A:$A,0))</f>
        <v>Clientes</v>
      </c>
      <c r="H724" s="51" t="s">
        <v>21</v>
      </c>
    </row>
    <row r="725" customFormat="false" ht="14.25" hidden="false" customHeight="true" outlineLevel="0" collapsed="false">
      <c r="A725" s="16" t="s">
        <v>38</v>
      </c>
      <c r="B725" s="42" t="s">
        <v>155</v>
      </c>
      <c r="C725" s="42" t="s">
        <v>173</v>
      </c>
      <c r="D725" s="43" t="n">
        <v>13</v>
      </c>
      <c r="E725" s="44" t="n">
        <v>2.05</v>
      </c>
      <c r="F725" s="45" t="n">
        <f aca="false">IFERROR(D725*E725,0)</f>
        <v>26.65</v>
      </c>
      <c r="G725" s="42" t="str">
        <f aca="false">INDEX(SETORES!$B:$B,MATCH(A725,SETORES!$A:$A,0))</f>
        <v>Clientes</v>
      </c>
      <c r="H725" s="42" t="s">
        <v>21</v>
      </c>
    </row>
    <row r="726" customFormat="false" ht="14.25" hidden="false" customHeight="true" outlineLevel="0" collapsed="false">
      <c r="A726" s="50" t="s">
        <v>38</v>
      </c>
      <c r="B726" s="51" t="s">
        <v>155</v>
      </c>
      <c r="C726" s="51" t="s">
        <v>179</v>
      </c>
      <c r="D726" s="52"/>
      <c r="E726" s="53"/>
      <c r="F726" s="54" t="n">
        <f aca="false">IFERROR(D726*E726,0)</f>
        <v>0</v>
      </c>
      <c r="G726" s="51" t="str">
        <f aca="false">INDEX(SETORES!$B:$B,MATCH(A726,SETORES!$A:$A,0))</f>
        <v>Clientes</v>
      </c>
      <c r="H726" s="51" t="s">
        <v>21</v>
      </c>
    </row>
    <row r="727" customFormat="false" ht="14.25" hidden="false" customHeight="true" outlineLevel="0" collapsed="false">
      <c r="A727" s="50" t="s">
        <v>78</v>
      </c>
      <c r="B727" s="51" t="s">
        <v>155</v>
      </c>
      <c r="C727" s="51" t="s">
        <v>162</v>
      </c>
      <c r="D727" s="52" t="n">
        <v>14</v>
      </c>
      <c r="E727" s="53" t="n">
        <v>29.6003</v>
      </c>
      <c r="F727" s="54" t="n">
        <v>46.5458</v>
      </c>
      <c r="G727" s="51" t="str">
        <f aca="false">INDEX(SETORES!$B:$B,MATCH(A727,SETORES!$A:$A,0))</f>
        <v>Clientes</v>
      </c>
      <c r="H727" s="51" t="s">
        <v>21</v>
      </c>
    </row>
    <row r="728" customFormat="false" ht="14.25" hidden="false" customHeight="true" outlineLevel="0" collapsed="false">
      <c r="A728" s="50" t="s">
        <v>78</v>
      </c>
      <c r="B728" s="51" t="s">
        <v>155</v>
      </c>
      <c r="C728" s="51" t="s">
        <v>163</v>
      </c>
      <c r="D728" s="52" t="n">
        <v>13</v>
      </c>
      <c r="E728" s="53" t="n">
        <v>30</v>
      </c>
      <c r="F728" s="54" t="n">
        <f aca="false">IFERROR(D728*E728,0)</f>
        <v>390</v>
      </c>
      <c r="G728" s="51" t="str">
        <f aca="false">INDEX(SETORES!$B:$B,MATCH(A728,SETORES!$A:$A,0))</f>
        <v>Clientes</v>
      </c>
      <c r="H728" s="51" t="s">
        <v>21</v>
      </c>
    </row>
    <row r="729" customFormat="false" ht="14.25" hidden="false" customHeight="true" outlineLevel="0" collapsed="false">
      <c r="A729" s="16" t="s">
        <v>78</v>
      </c>
      <c r="B729" s="42" t="s">
        <v>155</v>
      </c>
      <c r="C729" s="42" t="s">
        <v>165</v>
      </c>
      <c r="D729" s="43" t="n">
        <v>14</v>
      </c>
      <c r="E729" s="44" t="n">
        <v>43.54</v>
      </c>
      <c r="F729" s="45" t="n">
        <f aca="false">IFERROR(D729*E729,0)</f>
        <v>609.56</v>
      </c>
      <c r="G729" s="51" t="s">
        <v>99</v>
      </c>
      <c r="H729" s="42" t="s">
        <v>21</v>
      </c>
    </row>
    <row r="730" customFormat="false" ht="14.25" hidden="false" customHeight="true" outlineLevel="0" collapsed="false">
      <c r="A730" s="50" t="s">
        <v>78</v>
      </c>
      <c r="B730" s="51" t="s">
        <v>155</v>
      </c>
      <c r="C730" s="51" t="s">
        <v>166</v>
      </c>
      <c r="D730" s="52" t="n">
        <v>14</v>
      </c>
      <c r="E730" s="53" t="n">
        <v>29.74</v>
      </c>
      <c r="F730" s="54" t="n">
        <f aca="false">IFERROR(D730*E730,0)</f>
        <v>416.36</v>
      </c>
      <c r="G730" s="42" t="s">
        <v>99</v>
      </c>
      <c r="H730" s="51" t="s">
        <v>21</v>
      </c>
    </row>
    <row r="731" customFormat="false" ht="14.25" hidden="false" customHeight="true" outlineLevel="0" collapsed="false">
      <c r="A731" s="50" t="s">
        <v>78</v>
      </c>
      <c r="B731" s="51" t="s">
        <v>155</v>
      </c>
      <c r="C731" s="51" t="s">
        <v>167</v>
      </c>
      <c r="D731" s="52" t="n">
        <v>14</v>
      </c>
      <c r="E731" s="53" t="n">
        <v>47.66</v>
      </c>
      <c r="F731" s="54" t="n">
        <f aca="false">IFERROR(D731*E731,0)</f>
        <v>667.24</v>
      </c>
      <c r="G731" s="42" t="s">
        <v>99</v>
      </c>
      <c r="H731" s="51" t="s">
        <v>21</v>
      </c>
    </row>
    <row r="732" customFormat="false" ht="14.25" hidden="false" customHeight="true" outlineLevel="0" collapsed="false">
      <c r="A732" s="16" t="s">
        <v>78</v>
      </c>
      <c r="B732" s="42" t="s">
        <v>155</v>
      </c>
      <c r="C732" s="42" t="s">
        <v>168</v>
      </c>
      <c r="D732" s="43" t="n">
        <v>14</v>
      </c>
      <c r="E732" s="44" t="n">
        <v>147.3902</v>
      </c>
      <c r="F732" s="45" t="n">
        <v>297.6148</v>
      </c>
      <c r="G732" s="42" t="str">
        <f aca="false">INDEX(SETORES!$B:$B,MATCH(A732,SETORES!$A:$A,0))</f>
        <v>Clientes</v>
      </c>
      <c r="H732" s="42" t="s">
        <v>21</v>
      </c>
    </row>
    <row r="733" customFormat="false" ht="14.25" hidden="false" customHeight="true" outlineLevel="0" collapsed="false">
      <c r="A733" s="50" t="s">
        <v>78</v>
      </c>
      <c r="B733" s="51" t="s">
        <v>155</v>
      </c>
      <c r="C733" s="51" t="s">
        <v>169</v>
      </c>
      <c r="D733" s="52" t="n">
        <v>1</v>
      </c>
      <c r="E733" s="53" t="n">
        <v>74369.92</v>
      </c>
      <c r="F733" s="54" t="n">
        <f aca="false">IFERROR(E733,0)</f>
        <v>74369.92</v>
      </c>
      <c r="G733" s="51" t="str">
        <f aca="false">INDEX(SETORES!$B:$B,MATCH(A733,SETORES!$A:$A,0))</f>
        <v>Clientes</v>
      </c>
      <c r="H733" s="51" t="s">
        <v>21</v>
      </c>
    </row>
    <row r="734" customFormat="false" ht="14.25" hidden="false" customHeight="true" outlineLevel="0" collapsed="false">
      <c r="A734" s="16" t="s">
        <v>78</v>
      </c>
      <c r="B734" s="42" t="s">
        <v>155</v>
      </c>
      <c r="C734" s="42" t="s">
        <v>170</v>
      </c>
      <c r="D734" s="43" t="n">
        <v>14</v>
      </c>
      <c r="E734" s="44" t="n">
        <v>9.92</v>
      </c>
      <c r="F734" s="45" t="n">
        <f aca="false">IFERROR(D734*E734,0)</f>
        <v>138.88</v>
      </c>
      <c r="G734" s="42" t="str">
        <f aca="false">INDEX(SETORES!$B:$B,MATCH(A734,SETORES!$A:$A,0))</f>
        <v>Clientes</v>
      </c>
      <c r="H734" s="42" t="s">
        <v>21</v>
      </c>
    </row>
    <row r="735" customFormat="false" ht="14.25" hidden="false" customHeight="true" outlineLevel="0" collapsed="false">
      <c r="A735" s="50" t="s">
        <v>78</v>
      </c>
      <c r="B735" s="51" t="s">
        <v>155</v>
      </c>
      <c r="C735" s="51" t="s">
        <v>183</v>
      </c>
      <c r="D735" s="52" t="n">
        <v>1</v>
      </c>
      <c r="E735" s="53" t="n">
        <v>220</v>
      </c>
      <c r="F735" s="54" t="n">
        <f aca="false">IFERROR(D735*E735,0)</f>
        <v>220</v>
      </c>
      <c r="G735" s="51" t="str">
        <f aca="false">INDEX(SETORES!$B:$B,MATCH(A735,SETORES!$A:$A,0))</f>
        <v>Clientes</v>
      </c>
      <c r="H735" s="51" t="s">
        <v>21</v>
      </c>
    </row>
    <row r="736" customFormat="false" ht="14.25" hidden="false" customHeight="true" outlineLevel="0" collapsed="false">
      <c r="A736" s="16" t="s">
        <v>78</v>
      </c>
      <c r="B736" s="42" t="s">
        <v>155</v>
      </c>
      <c r="C736" s="42" t="s">
        <v>172</v>
      </c>
      <c r="D736" s="43" t="n">
        <v>8</v>
      </c>
      <c r="E736" s="44" t="n">
        <v>50</v>
      </c>
      <c r="F736" s="45" t="n">
        <f aca="false">IFERROR(D736*E736,0)</f>
        <v>400</v>
      </c>
      <c r="G736" s="42" t="str">
        <f aca="false">INDEX(SETORES!$B:$B,MATCH(A736,SETORES!$A:$A,0))</f>
        <v>Clientes</v>
      </c>
      <c r="H736" s="42" t="s">
        <v>21</v>
      </c>
    </row>
    <row r="737" customFormat="false" ht="14.25" hidden="false" customHeight="true" outlineLevel="0" collapsed="false">
      <c r="A737" s="16" t="s">
        <v>78</v>
      </c>
      <c r="B737" s="42" t="s">
        <v>157</v>
      </c>
      <c r="C737" s="42" t="s">
        <v>184</v>
      </c>
      <c r="D737" s="43" t="n">
        <v>14</v>
      </c>
      <c r="E737" s="44" t="n">
        <v>65.93</v>
      </c>
      <c r="F737" s="45" t="n">
        <f aca="false">IFERROR(D737*E737,0)</f>
        <v>923.02</v>
      </c>
      <c r="G737" s="42" t="str">
        <f aca="false">INDEX(SETORES!$B:$B,MATCH(A737,SETORES!$A:$A,0))</f>
        <v>Clientes</v>
      </c>
      <c r="H737" s="42" t="s">
        <v>21</v>
      </c>
    </row>
    <row r="738" customFormat="false" ht="14.25" hidden="false" customHeight="true" outlineLevel="0" collapsed="false">
      <c r="A738" s="16" t="s">
        <v>78</v>
      </c>
      <c r="B738" s="42" t="s">
        <v>157</v>
      </c>
      <c r="C738" s="42" t="s">
        <v>158</v>
      </c>
      <c r="D738" s="43"/>
      <c r="E738" s="44"/>
      <c r="F738" s="45" t="n">
        <f aca="false">IFERROR(D738*E738,0)</f>
        <v>0</v>
      </c>
      <c r="G738" s="42" t="str">
        <f aca="false">INDEX(SETORES!$B:$B,MATCH(A738,SETORES!$A:$A,0))</f>
        <v>Clientes</v>
      </c>
      <c r="H738" s="42" t="s">
        <v>21</v>
      </c>
    </row>
    <row r="739" customFormat="false" ht="14.25" hidden="false" customHeight="true" outlineLevel="0" collapsed="false">
      <c r="A739" s="50" t="s">
        <v>78</v>
      </c>
      <c r="B739" s="51" t="s">
        <v>155</v>
      </c>
      <c r="C739" s="51" t="s">
        <v>173</v>
      </c>
      <c r="D739" s="52" t="n">
        <v>14</v>
      </c>
      <c r="E739" s="53" t="n">
        <v>2.05</v>
      </c>
      <c r="F739" s="54" t="n">
        <f aca="false">IFERROR(D739*E739,0)</f>
        <v>28.7</v>
      </c>
      <c r="G739" s="51" t="str">
        <f aca="false">INDEX(SETORES!$B:$B,MATCH(A739,SETORES!$A:$A,0))</f>
        <v>Clientes</v>
      </c>
      <c r="H739" s="51" t="s">
        <v>21</v>
      </c>
    </row>
    <row r="740" customFormat="false" ht="14.25" hidden="false" customHeight="true" outlineLevel="0" collapsed="false">
      <c r="A740" s="16" t="s">
        <v>54</v>
      </c>
      <c r="B740" s="42" t="s">
        <v>155</v>
      </c>
      <c r="C740" s="42" t="s">
        <v>185</v>
      </c>
      <c r="D740" s="43" t="n">
        <v>1</v>
      </c>
      <c r="E740" s="44" t="n">
        <v>545.99</v>
      </c>
      <c r="F740" s="45" t="n">
        <f aca="false">IFERROR(D740*E740,0)</f>
        <v>545.99</v>
      </c>
      <c r="G740" s="42" t="str">
        <f aca="false">INDEX(SETORES!$B:$B,MATCH(A740,SETORES!$A:$A,0))</f>
        <v>Clientes</v>
      </c>
      <c r="H740" s="42" t="s">
        <v>21</v>
      </c>
    </row>
    <row r="741" customFormat="false" ht="14.25" hidden="false" customHeight="true" outlineLevel="0" collapsed="false">
      <c r="A741" s="50" t="s">
        <v>54</v>
      </c>
      <c r="B741" s="51" t="s">
        <v>155</v>
      </c>
      <c r="C741" s="51" t="s">
        <v>162</v>
      </c>
      <c r="D741" s="52" t="n">
        <v>1</v>
      </c>
      <c r="E741" s="53" t="n">
        <v>0.2667</v>
      </c>
      <c r="F741" s="54" t="n">
        <v>0.2667</v>
      </c>
      <c r="G741" s="51" t="s">
        <v>97</v>
      </c>
      <c r="H741" s="51" t="s">
        <v>21</v>
      </c>
    </row>
    <row r="742" customFormat="false" ht="14.25" hidden="false" customHeight="true" outlineLevel="0" collapsed="false">
      <c r="A742" s="50" t="s">
        <v>54</v>
      </c>
      <c r="B742" s="51" t="s">
        <v>157</v>
      </c>
      <c r="C742" s="51" t="s">
        <v>186</v>
      </c>
      <c r="D742" s="52" t="n">
        <v>1</v>
      </c>
      <c r="E742" s="53" t="n">
        <v>3393.29</v>
      </c>
      <c r="F742" s="54" t="n">
        <f aca="false">IFERROR(D742*E742,0)</f>
        <v>3393.29</v>
      </c>
      <c r="G742" s="51" t="str">
        <f aca="false">INDEX(SETORES!$B:$B,MATCH(A742,SETORES!$A:$A,0))</f>
        <v>Clientes</v>
      </c>
      <c r="H742" s="51" t="s">
        <v>21</v>
      </c>
    </row>
    <row r="743" customFormat="false" ht="14.25" hidden="false" customHeight="true" outlineLevel="0" collapsed="false">
      <c r="A743" s="50" t="s">
        <v>54</v>
      </c>
      <c r="B743" s="51" t="s">
        <v>155</v>
      </c>
      <c r="C743" s="51" t="s">
        <v>187</v>
      </c>
      <c r="D743" s="52" t="n">
        <v>1</v>
      </c>
      <c r="E743" s="53" t="n">
        <v>2997</v>
      </c>
      <c r="F743" s="54" t="n">
        <f aca="false">IFERROR(D743*E743,0)</f>
        <v>2997</v>
      </c>
      <c r="G743" s="51" t="str">
        <f aca="false">INDEX(SETORES!$B:$B,MATCH(A743,SETORES!$A:$A,0))</f>
        <v>Clientes</v>
      </c>
      <c r="H743" s="51" t="s">
        <v>21</v>
      </c>
    </row>
    <row r="744" customFormat="false" ht="14.25" hidden="false" customHeight="true" outlineLevel="0" collapsed="false">
      <c r="A744" s="50" t="s">
        <v>54</v>
      </c>
      <c r="B744" s="51" t="s">
        <v>155</v>
      </c>
      <c r="C744" s="51" t="s">
        <v>165</v>
      </c>
      <c r="D744" s="52" t="n">
        <v>11</v>
      </c>
      <c r="E744" s="53" t="n">
        <v>43.54</v>
      </c>
      <c r="F744" s="54" t="n">
        <f aca="false">IFERROR(D744*E744,0)</f>
        <v>478.94</v>
      </c>
      <c r="G744" s="51" t="s">
        <v>99</v>
      </c>
      <c r="H744" s="51" t="s">
        <v>21</v>
      </c>
    </row>
    <row r="745" customFormat="false" ht="14.25" hidden="false" customHeight="true" outlineLevel="0" collapsed="false">
      <c r="A745" s="16" t="s">
        <v>54</v>
      </c>
      <c r="B745" s="42" t="s">
        <v>155</v>
      </c>
      <c r="C745" s="42" t="s">
        <v>166</v>
      </c>
      <c r="D745" s="43" t="n">
        <v>11</v>
      </c>
      <c r="E745" s="44" t="n">
        <v>29.74</v>
      </c>
      <c r="F745" s="45" t="n">
        <f aca="false">IFERROR(D745*E745,0)</f>
        <v>327.14</v>
      </c>
      <c r="G745" s="42" t="s">
        <v>99</v>
      </c>
      <c r="H745" s="42" t="s">
        <v>21</v>
      </c>
    </row>
    <row r="746" customFormat="false" ht="14.25" hidden="false" customHeight="true" outlineLevel="0" collapsed="false">
      <c r="A746" s="16" t="s">
        <v>54</v>
      </c>
      <c r="B746" s="42" t="s">
        <v>155</v>
      </c>
      <c r="C746" s="42" t="s">
        <v>167</v>
      </c>
      <c r="D746" s="43" t="n">
        <v>11</v>
      </c>
      <c r="E746" s="44" t="n">
        <v>47.66</v>
      </c>
      <c r="F746" s="45" t="n">
        <f aca="false">IFERROR(D746*E746,0)</f>
        <v>524.26</v>
      </c>
      <c r="G746" s="42" t="s">
        <v>99</v>
      </c>
      <c r="H746" s="42" t="s">
        <v>21</v>
      </c>
    </row>
    <row r="747" customFormat="false" ht="14.25" hidden="false" customHeight="true" outlineLevel="0" collapsed="false">
      <c r="A747" s="50" t="s">
        <v>54</v>
      </c>
      <c r="B747" s="51" t="s">
        <v>157</v>
      </c>
      <c r="C747" s="51" t="s">
        <v>188</v>
      </c>
      <c r="D747" s="52"/>
      <c r="E747" s="53"/>
      <c r="F747" s="54" t="n">
        <f aca="false">IFERROR(D747*E747,0)</f>
        <v>0</v>
      </c>
      <c r="G747" s="51" t="str">
        <f aca="false">INDEX(SETORES!$B:$B,MATCH(A747,SETORES!$A:$A,0))</f>
        <v>Clientes</v>
      </c>
      <c r="H747" s="51" t="s">
        <v>21</v>
      </c>
    </row>
    <row r="748" customFormat="false" ht="14.25" hidden="false" customHeight="true" outlineLevel="0" collapsed="false">
      <c r="A748" s="50" t="s">
        <v>54</v>
      </c>
      <c r="B748" s="51" t="s">
        <v>155</v>
      </c>
      <c r="C748" s="51" t="s">
        <v>189</v>
      </c>
      <c r="D748" s="52"/>
      <c r="E748" s="53"/>
      <c r="F748" s="54" t="n">
        <f aca="false">IFERROR(D748*E748,0)</f>
        <v>0</v>
      </c>
      <c r="G748" s="51" t="str">
        <f aca="false">INDEX(SETORES!$B:$B,MATCH(A748,SETORES!$A:$A,0))</f>
        <v>Clientes</v>
      </c>
      <c r="H748" s="51" t="s">
        <v>21</v>
      </c>
    </row>
    <row r="749" customFormat="false" ht="14.25" hidden="false" customHeight="true" outlineLevel="0" collapsed="false">
      <c r="A749" s="50" t="s">
        <v>54</v>
      </c>
      <c r="B749" s="51" t="s">
        <v>155</v>
      </c>
      <c r="C749" s="51" t="s">
        <v>190</v>
      </c>
      <c r="D749" s="52" t="n">
        <v>11</v>
      </c>
      <c r="E749" s="53" t="n">
        <v>50</v>
      </c>
      <c r="F749" s="54" t="n">
        <f aca="false">IFERROR(D749*E749,0)</f>
        <v>550</v>
      </c>
      <c r="G749" s="51" t="str">
        <f aca="false">INDEX(SETORES!$B:$B,MATCH(A749,SETORES!$A:$A,0))</f>
        <v>Clientes</v>
      </c>
      <c r="H749" s="51" t="s">
        <v>21</v>
      </c>
    </row>
    <row r="750" customFormat="false" ht="14.25" hidden="false" customHeight="true" outlineLevel="0" collapsed="false">
      <c r="A750" s="50" t="s">
        <v>54</v>
      </c>
      <c r="B750" s="51" t="s">
        <v>157</v>
      </c>
      <c r="C750" s="51" t="s">
        <v>191</v>
      </c>
      <c r="D750" s="52"/>
      <c r="E750" s="53"/>
      <c r="F750" s="54" t="n">
        <f aca="false">IFERROR(D750*E750,0)</f>
        <v>0</v>
      </c>
      <c r="G750" s="51" t="str">
        <f aca="false">INDEX(SETORES!$B:$B,MATCH(A750,SETORES!$A:$A,0))</f>
        <v>Clientes</v>
      </c>
      <c r="H750" s="51" t="s">
        <v>21</v>
      </c>
    </row>
    <row r="751" customFormat="false" ht="14.25" hidden="false" customHeight="true" outlineLevel="0" collapsed="false">
      <c r="A751" s="16" t="s">
        <v>54</v>
      </c>
      <c r="B751" s="42" t="s">
        <v>155</v>
      </c>
      <c r="C751" s="42" t="s">
        <v>168</v>
      </c>
      <c r="D751" s="43" t="n">
        <v>1</v>
      </c>
      <c r="E751" s="44" t="n">
        <v>91.003</v>
      </c>
      <c r="F751" s="45" t="n">
        <v>91.003</v>
      </c>
      <c r="G751" s="42" t="s">
        <v>97</v>
      </c>
      <c r="H751" s="42" t="s">
        <v>21</v>
      </c>
    </row>
    <row r="752" customFormat="false" ht="14.25" hidden="false" customHeight="true" outlineLevel="0" collapsed="false">
      <c r="A752" s="50" t="s">
        <v>54</v>
      </c>
      <c r="B752" s="51" t="s">
        <v>157</v>
      </c>
      <c r="C752" s="51" t="s">
        <v>174</v>
      </c>
      <c r="D752" s="52" t="n">
        <v>1</v>
      </c>
      <c r="E752" s="53" t="n">
        <v>60</v>
      </c>
      <c r="F752" s="54" t="n">
        <f aca="false">IFERROR(D752*E752,0)</f>
        <v>60</v>
      </c>
      <c r="G752" s="51" t="str">
        <f aca="false">INDEX(SETORES!$B:$B,MATCH(A752,SETORES!$A:$A,0))</f>
        <v>Clientes</v>
      </c>
      <c r="H752" s="51" t="s">
        <v>21</v>
      </c>
    </row>
    <row r="753" customFormat="false" ht="14.25" hidden="false" customHeight="true" outlineLevel="0" collapsed="false">
      <c r="A753" s="16" t="s">
        <v>54</v>
      </c>
      <c r="B753" s="42" t="s">
        <v>155</v>
      </c>
      <c r="C753" s="42" t="s">
        <v>169</v>
      </c>
      <c r="D753" s="43" t="n">
        <v>1</v>
      </c>
      <c r="E753" s="44" t="n">
        <v>113007.3</v>
      </c>
      <c r="F753" s="45" t="n">
        <f aca="false">IFERROR(E753,0)</f>
        <v>113007.3</v>
      </c>
      <c r="G753" s="42" t="str">
        <f aca="false">INDEX(SETORES!$B:$B,MATCH(A753,SETORES!$A:$A,0))</f>
        <v>Clientes</v>
      </c>
      <c r="H753" s="42" t="s">
        <v>21</v>
      </c>
    </row>
    <row r="754" customFormat="false" ht="14.25" hidden="false" customHeight="true" outlineLevel="0" collapsed="false">
      <c r="A754" s="16" t="s">
        <v>54</v>
      </c>
      <c r="B754" s="42" t="s">
        <v>155</v>
      </c>
      <c r="C754" s="42" t="s">
        <v>170</v>
      </c>
      <c r="D754" s="43" t="n">
        <v>11</v>
      </c>
      <c r="E754" s="44" t="n">
        <v>9.92</v>
      </c>
      <c r="F754" s="45" t="n">
        <f aca="false">IFERROR(D754*E754,0)</f>
        <v>109.12</v>
      </c>
      <c r="G754" s="42" t="str">
        <f aca="false">INDEX(SETORES!$B:$B,MATCH(A754,SETORES!$A:$A,0))</f>
        <v>Clientes</v>
      </c>
      <c r="H754" s="42" t="s">
        <v>21</v>
      </c>
    </row>
    <row r="755" customFormat="false" ht="14.25" hidden="false" customHeight="true" outlineLevel="0" collapsed="false">
      <c r="A755" s="50" t="s">
        <v>54</v>
      </c>
      <c r="B755" s="51" t="s">
        <v>155</v>
      </c>
      <c r="C755" s="51" t="s">
        <v>183</v>
      </c>
      <c r="D755" s="52" t="n">
        <v>1</v>
      </c>
      <c r="E755" s="53" t="n">
        <v>10.784312</v>
      </c>
      <c r="F755" s="54" t="n">
        <f aca="false">IFERROR(D755*E755,0)</f>
        <v>10.784312</v>
      </c>
      <c r="G755" s="51" t="str">
        <f aca="false">INDEX(SETORES!$B:$B,MATCH(A755,SETORES!$A:$A,0))</f>
        <v>Clientes</v>
      </c>
      <c r="H755" s="51" t="s">
        <v>21</v>
      </c>
    </row>
    <row r="756" customFormat="false" ht="14.25" hidden="false" customHeight="true" outlineLevel="0" collapsed="false">
      <c r="A756" s="50" t="s">
        <v>54</v>
      </c>
      <c r="B756" s="51" t="s">
        <v>155</v>
      </c>
      <c r="C756" s="51" t="s">
        <v>192</v>
      </c>
      <c r="D756" s="52" t="n">
        <v>7</v>
      </c>
      <c r="E756" s="53" t="n">
        <v>30</v>
      </c>
      <c r="F756" s="54" t="n">
        <f aca="false">IFERROR(D756*E756,0)</f>
        <v>210</v>
      </c>
      <c r="G756" s="51" t="str">
        <f aca="false">INDEX(SETORES!$B:$B,MATCH(A756,SETORES!$A:$A,0))</f>
        <v>Clientes</v>
      </c>
      <c r="H756" s="51" t="s">
        <v>21</v>
      </c>
    </row>
    <row r="757" customFormat="false" ht="14.25" hidden="false" customHeight="true" outlineLevel="0" collapsed="false">
      <c r="A757" s="16" t="s">
        <v>54</v>
      </c>
      <c r="B757" s="42" t="s">
        <v>157</v>
      </c>
      <c r="C757" s="42" t="s">
        <v>193</v>
      </c>
      <c r="D757" s="43"/>
      <c r="E757" s="44"/>
      <c r="F757" s="45" t="n">
        <f aca="false">IFERROR(D757*E757,0)</f>
        <v>0</v>
      </c>
      <c r="G757" s="42" t="str">
        <f aca="false">INDEX(SETORES!$B:$B,MATCH(A757,SETORES!$A:$A,0))</f>
        <v>Clientes</v>
      </c>
      <c r="H757" s="42" t="s">
        <v>21</v>
      </c>
    </row>
    <row r="758" customFormat="false" ht="14.25" hidden="false" customHeight="true" outlineLevel="0" collapsed="false">
      <c r="A758" s="16" t="s">
        <v>54</v>
      </c>
      <c r="B758" s="42" t="s">
        <v>155</v>
      </c>
      <c r="C758" s="42" t="s">
        <v>178</v>
      </c>
      <c r="D758" s="43" t="n">
        <v>1</v>
      </c>
      <c r="E758" s="44" t="n">
        <v>81.33</v>
      </c>
      <c r="F758" s="45" t="n">
        <v>81.33</v>
      </c>
      <c r="G758" s="42" t="str">
        <f aca="false">INDEX(SETORES!$B:$B,MATCH(A758,SETORES!$A:$A,0))</f>
        <v>Clientes</v>
      </c>
      <c r="H758" s="42" t="s">
        <v>21</v>
      </c>
    </row>
    <row r="759" customFormat="false" ht="14.25" hidden="false" customHeight="true" outlineLevel="0" collapsed="false">
      <c r="A759" s="16" t="s">
        <v>54</v>
      </c>
      <c r="B759" s="42" t="s">
        <v>157</v>
      </c>
      <c r="C759" s="42" t="s">
        <v>194</v>
      </c>
      <c r="D759" s="43" t="n">
        <v>2</v>
      </c>
      <c r="E759" s="44" t="n">
        <v>45</v>
      </c>
      <c r="F759" s="45" t="n">
        <f aca="false">IFERROR(D759*E759,0)</f>
        <v>90</v>
      </c>
      <c r="G759" s="42" t="str">
        <f aca="false">INDEX(SETORES!$B:$B,MATCH(A759,SETORES!$A:$A,0))</f>
        <v>Clientes</v>
      </c>
      <c r="H759" s="42" t="s">
        <v>21</v>
      </c>
    </row>
    <row r="760" customFormat="false" ht="14.25" hidden="false" customHeight="true" outlineLevel="0" collapsed="false">
      <c r="A760" s="16" t="s">
        <v>54</v>
      </c>
      <c r="B760" s="42" t="s">
        <v>155</v>
      </c>
      <c r="C760" s="42" t="s">
        <v>195</v>
      </c>
      <c r="D760" s="43" t="n">
        <v>1</v>
      </c>
      <c r="E760" s="44" t="n">
        <v>106.58</v>
      </c>
      <c r="F760" s="45" t="n">
        <f aca="false">IFERROR(D760*E760,0)</f>
        <v>106.58</v>
      </c>
      <c r="G760" s="42" t="str">
        <f aca="false">INDEX(SETORES!$B:$B,MATCH(A760,SETORES!$A:$A,0))</f>
        <v>Clientes</v>
      </c>
      <c r="H760" s="42" t="s">
        <v>21</v>
      </c>
    </row>
    <row r="761" customFormat="false" ht="14.25" hidden="false" customHeight="true" outlineLevel="0" collapsed="false">
      <c r="A761" s="16" t="s">
        <v>54</v>
      </c>
      <c r="B761" s="42" t="s">
        <v>157</v>
      </c>
      <c r="C761" s="42" t="s">
        <v>196</v>
      </c>
      <c r="D761" s="43"/>
      <c r="E761" s="44"/>
      <c r="F761" s="45" t="n">
        <f aca="false">IFERROR(D761*E761,0)</f>
        <v>0</v>
      </c>
      <c r="G761" s="42" t="str">
        <f aca="false">INDEX(SETORES!$B:$B,MATCH(A761,SETORES!$A:$A,0))</f>
        <v>Clientes</v>
      </c>
      <c r="H761" s="42" t="s">
        <v>21</v>
      </c>
    </row>
    <row r="762" customFormat="false" ht="14.25" hidden="false" customHeight="true" outlineLevel="0" collapsed="false">
      <c r="A762" s="16" t="s">
        <v>54</v>
      </c>
      <c r="B762" s="42" t="s">
        <v>155</v>
      </c>
      <c r="C762" s="42" t="s">
        <v>197</v>
      </c>
      <c r="D762" s="43" t="n">
        <v>1</v>
      </c>
      <c r="E762" s="44" t="n">
        <v>3042.34</v>
      </c>
      <c r="F762" s="45" t="n">
        <f aca="false">IFERROR(D762*E762,0)</f>
        <v>3042.34</v>
      </c>
      <c r="G762" s="42" t="str">
        <f aca="false">INDEX(SETORES!$B:$B,MATCH(A762,SETORES!$A:$A,0))</f>
        <v>Clientes</v>
      </c>
      <c r="H762" s="42" t="s">
        <v>21</v>
      </c>
    </row>
    <row r="763" customFormat="false" ht="14.25" hidden="false" customHeight="true" outlineLevel="0" collapsed="false">
      <c r="A763" s="50" t="s">
        <v>54</v>
      </c>
      <c r="B763" s="51" t="s">
        <v>155</v>
      </c>
      <c r="C763" s="51" t="s">
        <v>173</v>
      </c>
      <c r="D763" s="52" t="n">
        <v>11</v>
      </c>
      <c r="E763" s="53" t="n">
        <v>2.05</v>
      </c>
      <c r="F763" s="54" t="n">
        <f aca="false">IFERROR(D763*E763,0)</f>
        <v>22.55</v>
      </c>
      <c r="G763" s="51" t="str">
        <f aca="false">INDEX(SETORES!$B:$B,MATCH(A763,SETORES!$A:$A,0))</f>
        <v>Clientes</v>
      </c>
      <c r="H763" s="51" t="s">
        <v>21</v>
      </c>
    </row>
    <row r="764" customFormat="false" ht="14.25" hidden="false" customHeight="true" outlineLevel="0" collapsed="false">
      <c r="A764" s="16" t="s">
        <v>54</v>
      </c>
      <c r="B764" s="42" t="s">
        <v>157</v>
      </c>
      <c r="C764" s="42" t="s">
        <v>198</v>
      </c>
      <c r="D764" s="43"/>
      <c r="E764" s="44"/>
      <c r="F764" s="45" t="n">
        <f aca="false">IFERROR(D764*E764,0)</f>
        <v>0</v>
      </c>
      <c r="G764" s="42" t="str">
        <f aca="false">INDEX(SETORES!$B:$B,MATCH(A764,SETORES!$A:$A,0))</f>
        <v>Clientes</v>
      </c>
      <c r="H764" s="42" t="s">
        <v>21</v>
      </c>
    </row>
    <row r="765" customFormat="false" ht="14.25" hidden="false" customHeight="true" outlineLevel="0" collapsed="false">
      <c r="A765" s="16" t="s">
        <v>43</v>
      </c>
      <c r="B765" s="42" t="s">
        <v>155</v>
      </c>
      <c r="C765" s="42" t="s">
        <v>162</v>
      </c>
      <c r="D765" s="43" t="n">
        <v>5</v>
      </c>
      <c r="E765" s="44" t="n">
        <v>29.6003</v>
      </c>
      <c r="F765" s="45" t="n">
        <v>16.6235</v>
      </c>
      <c r="G765" s="42" t="str">
        <f aca="false">INDEX(SETORES!$B:$B,MATCH(A765,SETORES!$A:$A,0))</f>
        <v>Clientes</v>
      </c>
      <c r="H765" s="42" t="s">
        <v>21</v>
      </c>
    </row>
    <row r="766" customFormat="false" ht="14.25" hidden="false" customHeight="true" outlineLevel="0" collapsed="false">
      <c r="A766" s="16" t="s">
        <v>43</v>
      </c>
      <c r="B766" s="42" t="s">
        <v>155</v>
      </c>
      <c r="C766" s="42" t="s">
        <v>163</v>
      </c>
      <c r="D766" s="43" t="n">
        <v>2</v>
      </c>
      <c r="E766" s="44" t="n">
        <v>30</v>
      </c>
      <c r="F766" s="45" t="n">
        <f aca="false">IFERROR(D766*E766,0)</f>
        <v>60</v>
      </c>
      <c r="G766" s="42" t="str">
        <f aca="false">INDEX(SETORES!$B:$B,MATCH(A766,SETORES!$A:$A,0))</f>
        <v>Clientes</v>
      </c>
      <c r="H766" s="42" t="s">
        <v>21</v>
      </c>
    </row>
    <row r="767" customFormat="false" ht="14.25" hidden="false" customHeight="true" outlineLevel="0" collapsed="false">
      <c r="A767" s="16" t="s">
        <v>43</v>
      </c>
      <c r="B767" s="42" t="s">
        <v>157</v>
      </c>
      <c r="C767" s="42" t="s">
        <v>199</v>
      </c>
      <c r="D767" s="43" t="n">
        <v>1</v>
      </c>
      <c r="E767" s="44" t="n">
        <v>811.2</v>
      </c>
      <c r="F767" s="45" t="n">
        <f aca="false">IFERROR(D767*E767,0)</f>
        <v>811.2</v>
      </c>
      <c r="G767" s="42" t="str">
        <f aca="false">INDEX(SETORES!$B:$B,MATCH(A767,SETORES!$A:$A,0))</f>
        <v>Clientes</v>
      </c>
      <c r="H767" s="42" t="s">
        <v>21</v>
      </c>
    </row>
    <row r="768" customFormat="false" ht="14.25" hidden="false" customHeight="true" outlineLevel="0" collapsed="false">
      <c r="A768" s="50" t="s">
        <v>43</v>
      </c>
      <c r="B768" s="51" t="s">
        <v>155</v>
      </c>
      <c r="C768" s="51" t="s">
        <v>165</v>
      </c>
      <c r="D768" s="52" t="n">
        <v>5</v>
      </c>
      <c r="E768" s="53" t="n">
        <v>43.54</v>
      </c>
      <c r="F768" s="54" t="n">
        <f aca="false">IFERROR(D768*E768,0)</f>
        <v>217.7</v>
      </c>
      <c r="G768" s="51" t="s">
        <v>99</v>
      </c>
      <c r="H768" s="51" t="s">
        <v>21</v>
      </c>
    </row>
    <row r="769" customFormat="false" ht="14.25" hidden="false" customHeight="true" outlineLevel="0" collapsed="false">
      <c r="A769" s="16" t="s">
        <v>43</v>
      </c>
      <c r="B769" s="42" t="s">
        <v>155</v>
      </c>
      <c r="C769" s="42" t="s">
        <v>166</v>
      </c>
      <c r="D769" s="43" t="n">
        <v>5</v>
      </c>
      <c r="E769" s="44" t="n">
        <v>29.74</v>
      </c>
      <c r="F769" s="45" t="n">
        <f aca="false">IFERROR(D769*E769,0)</f>
        <v>148.7</v>
      </c>
      <c r="G769" s="42" t="s">
        <v>99</v>
      </c>
      <c r="H769" s="42" t="s">
        <v>21</v>
      </c>
    </row>
    <row r="770" customFormat="false" ht="14.25" hidden="false" customHeight="true" outlineLevel="0" collapsed="false">
      <c r="A770" s="16" t="s">
        <v>43</v>
      </c>
      <c r="B770" s="42" t="s">
        <v>155</v>
      </c>
      <c r="C770" s="42" t="s">
        <v>167</v>
      </c>
      <c r="D770" s="43" t="n">
        <v>5</v>
      </c>
      <c r="E770" s="44" t="n">
        <v>47.66</v>
      </c>
      <c r="F770" s="45" t="n">
        <f aca="false">IFERROR(D770*E770,0)</f>
        <v>238.3</v>
      </c>
      <c r="G770" s="42" t="s">
        <v>99</v>
      </c>
      <c r="H770" s="42" t="s">
        <v>21</v>
      </c>
    </row>
    <row r="771" customFormat="false" ht="14.25" hidden="false" customHeight="true" outlineLevel="0" collapsed="false">
      <c r="A771" s="50" t="s">
        <v>43</v>
      </c>
      <c r="B771" s="51" t="s">
        <v>155</v>
      </c>
      <c r="C771" s="51" t="s">
        <v>168</v>
      </c>
      <c r="D771" s="52" t="n">
        <v>5</v>
      </c>
      <c r="E771" s="53" t="n">
        <v>147.3902</v>
      </c>
      <c r="F771" s="54" t="n">
        <v>106.291</v>
      </c>
      <c r="G771" s="51" t="str">
        <f aca="false">INDEX(SETORES!$B:$B,MATCH(A771,SETORES!$A:$A,0))</f>
        <v>Clientes</v>
      </c>
      <c r="H771" s="51" t="s">
        <v>21</v>
      </c>
    </row>
    <row r="772" customFormat="false" ht="14.25" hidden="false" customHeight="true" outlineLevel="0" collapsed="false">
      <c r="A772" s="16" t="s">
        <v>43</v>
      </c>
      <c r="B772" s="42" t="s">
        <v>157</v>
      </c>
      <c r="C772" s="42" t="s">
        <v>175</v>
      </c>
      <c r="D772" s="43" t="n">
        <v>2</v>
      </c>
      <c r="E772" s="44" t="n">
        <v>45</v>
      </c>
      <c r="F772" s="45" t="n">
        <f aca="false">IFERROR(D772*E772,0)</f>
        <v>90</v>
      </c>
      <c r="G772" s="42" t="str">
        <f aca="false">INDEX(SETORES!$B:$B,MATCH(A772,SETORES!$A:$A,0))</f>
        <v>Clientes</v>
      </c>
      <c r="H772" s="42" t="s">
        <v>21</v>
      </c>
    </row>
    <row r="773" customFormat="false" ht="14.25" hidden="false" customHeight="true" outlineLevel="0" collapsed="false">
      <c r="A773" s="16" t="s">
        <v>43</v>
      </c>
      <c r="B773" s="42" t="s">
        <v>155</v>
      </c>
      <c r="C773" s="42" t="s">
        <v>169</v>
      </c>
      <c r="D773" s="43" t="n">
        <v>1</v>
      </c>
      <c r="E773" s="44" t="n">
        <v>25624.63</v>
      </c>
      <c r="F773" s="45" t="n">
        <f aca="false">IFERROR(E773,0)</f>
        <v>25624.63</v>
      </c>
      <c r="G773" s="42" t="str">
        <f aca="false">INDEX(SETORES!$B:$B,MATCH(A773,SETORES!$A:$A,0))</f>
        <v>Clientes</v>
      </c>
      <c r="H773" s="42" t="s">
        <v>21</v>
      </c>
    </row>
    <row r="774" customFormat="false" ht="14.25" hidden="false" customHeight="true" outlineLevel="0" collapsed="false">
      <c r="A774" s="16" t="s">
        <v>43</v>
      </c>
      <c r="B774" s="42" t="s">
        <v>155</v>
      </c>
      <c r="C774" s="42" t="s">
        <v>170</v>
      </c>
      <c r="D774" s="43" t="n">
        <v>5</v>
      </c>
      <c r="E774" s="44" t="n">
        <v>9.92</v>
      </c>
      <c r="F774" s="45" t="n">
        <f aca="false">IFERROR(D774*E774,0)</f>
        <v>49.6</v>
      </c>
      <c r="G774" s="42" t="str">
        <f aca="false">INDEX(SETORES!$B:$B,MATCH(A774,SETORES!$A:$A,0))</f>
        <v>Clientes</v>
      </c>
      <c r="H774" s="42" t="s">
        <v>21</v>
      </c>
    </row>
    <row r="775" customFormat="false" ht="14.25" hidden="false" customHeight="true" outlineLevel="0" collapsed="false">
      <c r="A775" s="50" t="s">
        <v>43</v>
      </c>
      <c r="B775" s="51" t="s">
        <v>155</v>
      </c>
      <c r="C775" s="51" t="s">
        <v>183</v>
      </c>
      <c r="D775" s="52" t="n">
        <v>1</v>
      </c>
      <c r="E775" s="53" t="n">
        <v>25.6</v>
      </c>
      <c r="F775" s="54" t="n">
        <f aca="false">IFERROR(D775*E775,0)</f>
        <v>25.6</v>
      </c>
      <c r="G775" s="51" t="str">
        <f aca="false">INDEX(SETORES!$B:$B,MATCH(A775,SETORES!$A:$A,0))</f>
        <v>Clientes</v>
      </c>
      <c r="H775" s="51" t="s">
        <v>21</v>
      </c>
    </row>
    <row r="776" customFormat="false" ht="14.25" hidden="false" customHeight="true" outlineLevel="0" collapsed="false">
      <c r="A776" s="16" t="s">
        <v>43</v>
      </c>
      <c r="B776" s="42" t="s">
        <v>155</v>
      </c>
      <c r="C776" s="42" t="s">
        <v>172</v>
      </c>
      <c r="D776" s="43" t="n">
        <v>3</v>
      </c>
      <c r="E776" s="44" t="n">
        <v>50</v>
      </c>
      <c r="F776" s="45" t="n">
        <f aca="false">IFERROR(D776*E776,0)</f>
        <v>150</v>
      </c>
      <c r="G776" s="42" t="str">
        <f aca="false">INDEX(SETORES!$B:$B,MATCH(A776,SETORES!$A:$A,0))</f>
        <v>Clientes</v>
      </c>
      <c r="H776" s="42" t="s">
        <v>21</v>
      </c>
    </row>
    <row r="777" customFormat="false" ht="14.25" hidden="false" customHeight="true" outlineLevel="0" collapsed="false">
      <c r="A777" s="50" t="s">
        <v>43</v>
      </c>
      <c r="B777" s="51" t="s">
        <v>155</v>
      </c>
      <c r="C777" s="51" t="s">
        <v>177</v>
      </c>
      <c r="D777" s="52"/>
      <c r="E777" s="53"/>
      <c r="F777" s="54" t="n">
        <v>0</v>
      </c>
      <c r="G777" s="51" t="str">
        <f aca="false">INDEX(SETORES!$B:$B,MATCH(A777,SETORES!$A:$A,0))</f>
        <v>Clientes</v>
      </c>
      <c r="H777" s="51" t="s">
        <v>21</v>
      </c>
    </row>
    <row r="778" customFormat="false" ht="14.25" hidden="false" customHeight="true" outlineLevel="0" collapsed="false">
      <c r="A778" s="16" t="s">
        <v>43</v>
      </c>
      <c r="B778" s="42" t="s">
        <v>155</v>
      </c>
      <c r="C778" s="42" t="s">
        <v>178</v>
      </c>
      <c r="D778" s="43"/>
      <c r="E778" s="44"/>
      <c r="F778" s="45" t="n">
        <v>0</v>
      </c>
      <c r="G778" s="42" t="str">
        <f aca="false">INDEX(SETORES!$B:$B,MATCH(A778,SETORES!$A:$A,0))</f>
        <v>Clientes</v>
      </c>
      <c r="H778" s="42" t="s">
        <v>21</v>
      </c>
    </row>
    <row r="779" customFormat="false" ht="14.25" hidden="false" customHeight="true" outlineLevel="0" collapsed="false">
      <c r="A779" s="42" t="s">
        <v>143</v>
      </c>
      <c r="B779" s="51" t="s">
        <v>157</v>
      </c>
      <c r="C779" s="51" t="s">
        <v>184</v>
      </c>
      <c r="D779" s="43" t="n">
        <v>10</v>
      </c>
      <c r="E779" s="44" t="n">
        <v>65.93</v>
      </c>
      <c r="F779" s="45" t="n">
        <f aca="false">IFERROR(D779*E779,0)</f>
        <v>659.3</v>
      </c>
      <c r="G779" s="42" t="str">
        <f aca="false">INDEX(SETORES!$B:$B,MATCH(A779,SETORES!$A:$A,0))</f>
        <v>Clientes</v>
      </c>
      <c r="H779" s="42" t="s">
        <v>21</v>
      </c>
    </row>
    <row r="780" customFormat="false" ht="14.25" hidden="false" customHeight="true" outlineLevel="0" collapsed="false">
      <c r="A780" s="50" t="s">
        <v>43</v>
      </c>
      <c r="B780" s="51" t="s">
        <v>157</v>
      </c>
      <c r="C780" s="51" t="s">
        <v>184</v>
      </c>
      <c r="D780" s="52" t="n">
        <v>5</v>
      </c>
      <c r="E780" s="44" t="n">
        <v>65.93</v>
      </c>
      <c r="F780" s="54" t="n">
        <f aca="false">IFERROR(D780*E780,0)</f>
        <v>329.65</v>
      </c>
      <c r="G780" s="51" t="str">
        <f aca="false">INDEX(SETORES!$B:$B,MATCH(A780,SETORES!$A:$A,0))</f>
        <v>Clientes</v>
      </c>
      <c r="H780" s="51" t="s">
        <v>21</v>
      </c>
    </row>
    <row r="781" customFormat="false" ht="14.25" hidden="false" customHeight="true" outlineLevel="0" collapsed="false">
      <c r="A781" s="50" t="s">
        <v>43</v>
      </c>
      <c r="B781" s="51" t="s">
        <v>157</v>
      </c>
      <c r="C781" s="51" t="s">
        <v>158</v>
      </c>
      <c r="D781" s="52"/>
      <c r="E781" s="53"/>
      <c r="F781" s="54" t="n">
        <f aca="false">IFERROR(D781*E781,0)</f>
        <v>0</v>
      </c>
      <c r="G781" s="51" t="str">
        <f aca="false">INDEX(SETORES!$B:$B,MATCH(A781,SETORES!$A:$A,0))</f>
        <v>Clientes</v>
      </c>
      <c r="H781" s="51" t="s">
        <v>21</v>
      </c>
    </row>
    <row r="782" customFormat="false" ht="14.25" hidden="false" customHeight="true" outlineLevel="0" collapsed="false">
      <c r="A782" s="50" t="s">
        <v>43</v>
      </c>
      <c r="B782" s="51" t="s">
        <v>155</v>
      </c>
      <c r="C782" s="51" t="s">
        <v>173</v>
      </c>
      <c r="D782" s="52" t="n">
        <v>5</v>
      </c>
      <c r="E782" s="53" t="n">
        <v>2.05</v>
      </c>
      <c r="F782" s="54" t="n">
        <f aca="false">IFERROR(D782*E782,0)</f>
        <v>10.25</v>
      </c>
      <c r="G782" s="51" t="str">
        <f aca="false">INDEX(SETORES!$B:$B,MATCH(A782,SETORES!$A:$A,0))</f>
        <v>Clientes</v>
      </c>
      <c r="H782" s="51" t="s">
        <v>21</v>
      </c>
    </row>
    <row r="783" customFormat="false" ht="14.25" hidden="false" customHeight="true" outlineLevel="0" collapsed="false">
      <c r="A783" s="50" t="s">
        <v>43</v>
      </c>
      <c r="B783" s="51" t="s">
        <v>155</v>
      </c>
      <c r="C783" s="51" t="s">
        <v>179</v>
      </c>
      <c r="D783" s="52"/>
      <c r="E783" s="53"/>
      <c r="F783" s="54" t="n">
        <f aca="false">IFERROR(D783*E783,0)</f>
        <v>0</v>
      </c>
      <c r="G783" s="51" t="str">
        <f aca="false">INDEX(SETORES!$B:$B,MATCH(A783,SETORES!$A:$A,0))</f>
        <v>Clientes</v>
      </c>
      <c r="H783" s="51" t="s">
        <v>21</v>
      </c>
    </row>
    <row r="784" customFormat="false" ht="14.25" hidden="false" customHeight="true" outlineLevel="0" collapsed="false">
      <c r="A784" s="46" t="s">
        <v>143</v>
      </c>
      <c r="B784" s="47" t="s">
        <v>155</v>
      </c>
      <c r="C784" s="47" t="s">
        <v>169</v>
      </c>
      <c r="D784" s="47" t="n">
        <v>1</v>
      </c>
      <c r="E784" s="48" t="n">
        <v>38158.16</v>
      </c>
      <c r="F784" s="45" t="n">
        <f aca="false">IFERROR(D784*E784,0)</f>
        <v>38158.16</v>
      </c>
      <c r="G784" s="47" t="s">
        <v>97</v>
      </c>
      <c r="H784" s="47" t="s">
        <v>21</v>
      </c>
    </row>
    <row r="785" customFormat="false" ht="14.25" hidden="false" customHeight="true" outlineLevel="0" collapsed="false">
      <c r="A785" s="46" t="s">
        <v>143</v>
      </c>
      <c r="B785" s="47" t="s">
        <v>157</v>
      </c>
      <c r="C785" s="47" t="s">
        <v>158</v>
      </c>
      <c r="D785" s="47" t="n">
        <v>1</v>
      </c>
      <c r="E785" s="48" t="n">
        <v>8880.36</v>
      </c>
      <c r="F785" s="45" t="n">
        <f aca="false">IFERROR(D785*E785,0)</f>
        <v>8880.36</v>
      </c>
      <c r="G785" s="47" t="s">
        <v>97</v>
      </c>
      <c r="H785" s="47" t="s">
        <v>21</v>
      </c>
    </row>
    <row r="786" customFormat="false" ht="14.25" hidden="false" customHeight="true" outlineLevel="0" collapsed="false">
      <c r="A786" s="50" t="s">
        <v>40</v>
      </c>
      <c r="B786" s="51" t="s">
        <v>155</v>
      </c>
      <c r="C786" s="51" t="s">
        <v>162</v>
      </c>
      <c r="D786" s="52" t="n">
        <v>1</v>
      </c>
      <c r="E786" s="53" t="n">
        <v>0.1212</v>
      </c>
      <c r="F786" s="54" t="n">
        <v>0.1212</v>
      </c>
      <c r="G786" s="51" t="str">
        <f aca="false">INDEX(SETORES!$B:$B,MATCH(A786,SETORES!$A:$A,0))</f>
        <v>Clientes</v>
      </c>
      <c r="H786" s="51" t="s">
        <v>21</v>
      </c>
    </row>
    <row r="787" customFormat="false" ht="14.25" hidden="false" customHeight="true" outlineLevel="0" collapsed="false">
      <c r="A787" s="16" t="s">
        <v>40</v>
      </c>
      <c r="B787" s="42" t="s">
        <v>157</v>
      </c>
      <c r="C787" s="42" t="s">
        <v>200</v>
      </c>
      <c r="D787" s="43" t="n">
        <v>1</v>
      </c>
      <c r="E787" s="44" t="n">
        <v>6000</v>
      </c>
      <c r="F787" s="45" t="n">
        <f aca="false">IFERROR(D787*E787,0)</f>
        <v>6000</v>
      </c>
      <c r="G787" s="42" t="str">
        <f aca="false">INDEX(SETORES!$B:$B,MATCH(A787,SETORES!$A:$A,0))</f>
        <v>Clientes</v>
      </c>
      <c r="H787" s="42" t="s">
        <v>21</v>
      </c>
    </row>
    <row r="788" customFormat="false" ht="14.25" hidden="false" customHeight="true" outlineLevel="0" collapsed="false">
      <c r="A788" s="50" t="s">
        <v>40</v>
      </c>
      <c r="B788" s="51" t="s">
        <v>155</v>
      </c>
      <c r="C788" s="51" t="s">
        <v>163</v>
      </c>
      <c r="D788" s="52" t="n">
        <v>2</v>
      </c>
      <c r="E788" s="53" t="n">
        <v>30</v>
      </c>
      <c r="F788" s="54" t="n">
        <f aca="false">IFERROR(D788*E788,0)</f>
        <v>60</v>
      </c>
      <c r="G788" s="51" t="str">
        <f aca="false">INDEX(SETORES!$B:$B,MATCH(A788,SETORES!$A:$A,0))</f>
        <v>Clientes</v>
      </c>
      <c r="H788" s="51" t="s">
        <v>21</v>
      </c>
    </row>
    <row r="789" customFormat="false" ht="14.25" hidden="false" customHeight="true" outlineLevel="0" collapsed="false">
      <c r="A789" s="50" t="s">
        <v>40</v>
      </c>
      <c r="B789" s="51" t="s">
        <v>157</v>
      </c>
      <c r="C789" s="51" t="s">
        <v>201</v>
      </c>
      <c r="D789" s="52" t="n">
        <v>1</v>
      </c>
      <c r="E789" s="53" t="n">
        <v>12000</v>
      </c>
      <c r="F789" s="54" t="n">
        <f aca="false">IFERROR(D789*E789,0)</f>
        <v>12000</v>
      </c>
      <c r="G789" s="51" t="str">
        <f aca="false">INDEX(SETORES!$B:$B,MATCH(A789,SETORES!$A:$A,0))</f>
        <v>Clientes</v>
      </c>
      <c r="H789" s="51" t="s">
        <v>21</v>
      </c>
    </row>
    <row r="790" customFormat="false" ht="14.25" hidden="false" customHeight="true" outlineLevel="0" collapsed="false">
      <c r="A790" s="16" t="s">
        <v>40</v>
      </c>
      <c r="B790" s="42" t="s">
        <v>155</v>
      </c>
      <c r="C790" s="42" t="s">
        <v>165</v>
      </c>
      <c r="D790" s="43" t="n">
        <v>5</v>
      </c>
      <c r="E790" s="44" t="n">
        <v>43.54</v>
      </c>
      <c r="F790" s="45" t="n">
        <f aca="false">IFERROR(D790*E790,0)</f>
        <v>217.7</v>
      </c>
      <c r="G790" s="51" t="s">
        <v>99</v>
      </c>
      <c r="H790" s="42" t="s">
        <v>21</v>
      </c>
    </row>
    <row r="791" customFormat="false" ht="14.25" hidden="false" customHeight="true" outlineLevel="0" collapsed="false">
      <c r="A791" s="50" t="s">
        <v>40</v>
      </c>
      <c r="B791" s="51" t="s">
        <v>155</v>
      </c>
      <c r="C791" s="51" t="s">
        <v>166</v>
      </c>
      <c r="D791" s="52" t="n">
        <v>5</v>
      </c>
      <c r="E791" s="53" t="n">
        <v>29.74</v>
      </c>
      <c r="F791" s="54" t="n">
        <f aca="false">IFERROR(D791*E791,0)</f>
        <v>148.7</v>
      </c>
      <c r="G791" s="42" t="s">
        <v>99</v>
      </c>
      <c r="H791" s="51" t="s">
        <v>21</v>
      </c>
    </row>
    <row r="792" customFormat="false" ht="14.25" hidden="false" customHeight="true" outlineLevel="0" collapsed="false">
      <c r="A792" s="50" t="s">
        <v>40</v>
      </c>
      <c r="B792" s="51" t="s">
        <v>155</v>
      </c>
      <c r="C792" s="51" t="s">
        <v>167</v>
      </c>
      <c r="D792" s="52" t="n">
        <v>5</v>
      </c>
      <c r="E792" s="53" t="n">
        <v>47.66</v>
      </c>
      <c r="F792" s="54" t="n">
        <f aca="false">IFERROR(D792*E792,0)</f>
        <v>238.3</v>
      </c>
      <c r="G792" s="42" t="s">
        <v>99</v>
      </c>
      <c r="H792" s="51" t="s">
        <v>21</v>
      </c>
    </row>
    <row r="793" customFormat="false" ht="14.25" hidden="false" customHeight="true" outlineLevel="0" collapsed="false">
      <c r="A793" s="16" t="s">
        <v>40</v>
      </c>
      <c r="B793" s="42" t="s">
        <v>155</v>
      </c>
      <c r="C793" s="42" t="s">
        <v>168</v>
      </c>
      <c r="D793" s="43" t="n">
        <v>1</v>
      </c>
      <c r="E793" s="44" t="n">
        <v>41.365</v>
      </c>
      <c r="F793" s="45" t="n">
        <v>41.365</v>
      </c>
      <c r="G793" s="42" t="str">
        <f aca="false">INDEX(SETORES!$B:$B,MATCH(A793,SETORES!$A:$A,0))</f>
        <v>Clientes</v>
      </c>
      <c r="H793" s="42" t="s">
        <v>21</v>
      </c>
    </row>
    <row r="794" customFormat="false" ht="14.25" hidden="false" customHeight="true" outlineLevel="0" collapsed="false">
      <c r="A794" s="50" t="s">
        <v>40</v>
      </c>
      <c r="B794" s="51" t="s">
        <v>157</v>
      </c>
      <c r="C794" s="51" t="s">
        <v>174</v>
      </c>
      <c r="D794" s="52" t="n">
        <v>1</v>
      </c>
      <c r="E794" s="53" t="n">
        <v>65</v>
      </c>
      <c r="F794" s="54" t="n">
        <f aca="false">IFERROR(D794*E794,0)</f>
        <v>65</v>
      </c>
      <c r="G794" s="51" t="str">
        <f aca="false">INDEX(SETORES!$B:$B,MATCH(A794,SETORES!$A:$A,0))</f>
        <v>Clientes</v>
      </c>
      <c r="H794" s="51" t="s">
        <v>21</v>
      </c>
    </row>
    <row r="795" customFormat="false" ht="14.25" hidden="false" customHeight="true" outlineLevel="0" collapsed="false">
      <c r="A795" s="50" t="s">
        <v>40</v>
      </c>
      <c r="B795" s="51" t="s">
        <v>157</v>
      </c>
      <c r="C795" s="51" t="s">
        <v>175</v>
      </c>
      <c r="D795" s="52" t="n">
        <v>4</v>
      </c>
      <c r="E795" s="53" t="n">
        <v>56.5</v>
      </c>
      <c r="F795" s="54" t="n">
        <f aca="false">IFERROR(D795*E795,0)</f>
        <v>226</v>
      </c>
      <c r="G795" s="51" t="str">
        <f aca="false">INDEX(SETORES!$B:$B,MATCH(A795,SETORES!$A:$A,0))</f>
        <v>Clientes</v>
      </c>
      <c r="H795" s="51" t="s">
        <v>21</v>
      </c>
    </row>
    <row r="796" customFormat="false" ht="14.25" hidden="false" customHeight="true" outlineLevel="0" collapsed="false">
      <c r="A796" s="16" t="s">
        <v>40</v>
      </c>
      <c r="B796" s="42" t="s">
        <v>157</v>
      </c>
      <c r="C796" s="42" t="s">
        <v>176</v>
      </c>
      <c r="D796" s="43"/>
      <c r="E796" s="44"/>
      <c r="F796" s="45" t="n">
        <f aca="false">IFERROR(D796*E796,0)</f>
        <v>0</v>
      </c>
      <c r="G796" s="42" t="str">
        <f aca="false">INDEX(SETORES!$B:$B,MATCH(A796,SETORES!$A:$A,0))</f>
        <v>Clientes</v>
      </c>
      <c r="H796" s="42" t="s">
        <v>21</v>
      </c>
    </row>
    <row r="797" customFormat="false" ht="14.25" hidden="false" customHeight="true" outlineLevel="0" collapsed="false">
      <c r="A797" s="50" t="s">
        <v>40</v>
      </c>
      <c r="B797" s="51" t="s">
        <v>155</v>
      </c>
      <c r="C797" s="51" t="s">
        <v>169</v>
      </c>
      <c r="D797" s="52" t="n">
        <v>1</v>
      </c>
      <c r="E797" s="53" t="n">
        <v>14720.9</v>
      </c>
      <c r="F797" s="54" t="n">
        <f aca="false">IFERROR(E797,0)</f>
        <v>14720.9</v>
      </c>
      <c r="G797" s="51" t="str">
        <f aca="false">INDEX(SETORES!$B:$B,MATCH(A797,SETORES!$A:$A,0))</f>
        <v>Clientes</v>
      </c>
      <c r="H797" s="51" t="s">
        <v>21</v>
      </c>
    </row>
    <row r="798" customFormat="false" ht="14.25" hidden="false" customHeight="true" outlineLevel="0" collapsed="false">
      <c r="A798" s="50" t="s">
        <v>40</v>
      </c>
      <c r="B798" s="51" t="s">
        <v>155</v>
      </c>
      <c r="C798" s="51" t="s">
        <v>170</v>
      </c>
      <c r="D798" s="52" t="n">
        <v>5</v>
      </c>
      <c r="E798" s="53" t="n">
        <v>9.92</v>
      </c>
      <c r="F798" s="54" t="n">
        <f aca="false">IFERROR(D798*E798,0)</f>
        <v>49.6</v>
      </c>
      <c r="G798" s="51" t="str">
        <f aca="false">INDEX(SETORES!$B:$B,MATCH(A798,SETORES!$A:$A,0))</f>
        <v>Clientes</v>
      </c>
      <c r="H798" s="51" t="s">
        <v>21</v>
      </c>
    </row>
    <row r="799" customFormat="false" ht="14.25" hidden="false" customHeight="true" outlineLevel="0" collapsed="false">
      <c r="A799" s="16" t="s">
        <v>40</v>
      </c>
      <c r="B799" s="42" t="s">
        <v>155</v>
      </c>
      <c r="C799" s="42" t="s">
        <v>183</v>
      </c>
      <c r="D799" s="43" t="n">
        <v>1</v>
      </c>
      <c r="E799" s="44" t="n">
        <v>4.90196</v>
      </c>
      <c r="F799" s="45" t="n">
        <f aca="false">IFERROR(D799*E799,0)</f>
        <v>4.90196</v>
      </c>
      <c r="G799" s="42" t="str">
        <f aca="false">INDEX(SETORES!$B:$B,MATCH(A799,SETORES!$A:$A,0))</f>
        <v>Clientes</v>
      </c>
      <c r="H799" s="42" t="s">
        <v>21</v>
      </c>
    </row>
    <row r="800" customFormat="false" ht="14.25" hidden="false" customHeight="true" outlineLevel="0" collapsed="false">
      <c r="A800" s="16" t="s">
        <v>40</v>
      </c>
      <c r="B800" s="42" t="s">
        <v>155</v>
      </c>
      <c r="C800" s="42" t="s">
        <v>172</v>
      </c>
      <c r="D800" s="43" t="n">
        <v>7</v>
      </c>
      <c r="E800" s="44" t="n">
        <v>50</v>
      </c>
      <c r="F800" s="45" t="n">
        <f aca="false">IFERROR(D800*E800,0)</f>
        <v>350</v>
      </c>
      <c r="G800" s="42" t="str">
        <f aca="false">INDEX(SETORES!$B:$B,MATCH(A800,SETORES!$A:$A,0))</f>
        <v>Clientes</v>
      </c>
      <c r="H800" s="42" t="s">
        <v>21</v>
      </c>
    </row>
    <row r="801" customFormat="false" ht="14.25" hidden="false" customHeight="true" outlineLevel="0" collapsed="false">
      <c r="A801" s="16" t="s">
        <v>40</v>
      </c>
      <c r="B801" s="42" t="s">
        <v>155</v>
      </c>
      <c r="C801" s="42" t="s">
        <v>202</v>
      </c>
      <c r="D801" s="43" t="n">
        <v>1</v>
      </c>
      <c r="E801" s="44" t="n">
        <v>2559.45</v>
      </c>
      <c r="F801" s="45" t="n">
        <f aca="false">IFERROR(D801*E801,0)</f>
        <v>2559.45</v>
      </c>
      <c r="G801" s="42" t="str">
        <f aca="false">INDEX(SETORES!$B:$B,MATCH(A801,SETORES!$A:$A,0))</f>
        <v>Clientes</v>
      </c>
      <c r="H801" s="42" t="s">
        <v>21</v>
      </c>
    </row>
    <row r="802" customFormat="false" ht="14.25" hidden="false" customHeight="true" outlineLevel="0" collapsed="false">
      <c r="A802" s="16" t="s">
        <v>40</v>
      </c>
      <c r="B802" s="42" t="s">
        <v>155</v>
      </c>
      <c r="C802" s="42" t="s">
        <v>177</v>
      </c>
      <c r="D802" s="43"/>
      <c r="E802" s="44"/>
      <c r="F802" s="45" t="n">
        <v>0</v>
      </c>
      <c r="G802" s="42" t="str">
        <f aca="false">INDEX(SETORES!$B:$B,MATCH(A802,SETORES!$A:$A,0))</f>
        <v>Clientes</v>
      </c>
      <c r="H802" s="42" t="s">
        <v>21</v>
      </c>
    </row>
    <row r="803" customFormat="false" ht="14.25" hidden="false" customHeight="true" outlineLevel="0" collapsed="false">
      <c r="A803" s="50" t="s">
        <v>40</v>
      </c>
      <c r="B803" s="51" t="s">
        <v>155</v>
      </c>
      <c r="C803" s="51" t="s">
        <v>178</v>
      </c>
      <c r="D803" s="52" t="n">
        <v>1</v>
      </c>
      <c r="E803" s="53" t="n">
        <v>51.3</v>
      </c>
      <c r="F803" s="54" t="n">
        <v>51.3</v>
      </c>
      <c r="G803" s="51" t="str">
        <f aca="false">INDEX(SETORES!$B:$B,MATCH(A803,SETORES!$A:$A,0))</f>
        <v>Clientes</v>
      </c>
      <c r="H803" s="51" t="s">
        <v>21</v>
      </c>
    </row>
    <row r="804" customFormat="false" ht="14.25" hidden="false" customHeight="true" outlineLevel="0" collapsed="false">
      <c r="A804" s="50" t="s">
        <v>40</v>
      </c>
      <c r="B804" s="51" t="s">
        <v>157</v>
      </c>
      <c r="C804" s="51" t="s">
        <v>158</v>
      </c>
      <c r="D804" s="52"/>
      <c r="E804" s="53"/>
      <c r="F804" s="54" t="n">
        <f aca="false">IFERROR(D804*E804,0)</f>
        <v>0</v>
      </c>
      <c r="G804" s="51" t="str">
        <f aca="false">INDEX(SETORES!$B:$B,MATCH(A804,SETORES!$A:$A,0))</f>
        <v>Clientes</v>
      </c>
      <c r="H804" s="51" t="s">
        <v>21</v>
      </c>
    </row>
    <row r="805" customFormat="false" ht="14.25" hidden="false" customHeight="true" outlineLevel="0" collapsed="false">
      <c r="A805" s="16" t="s">
        <v>40</v>
      </c>
      <c r="B805" s="42" t="s">
        <v>155</v>
      </c>
      <c r="C805" s="42" t="s">
        <v>173</v>
      </c>
      <c r="D805" s="43" t="n">
        <v>5</v>
      </c>
      <c r="E805" s="44" t="n">
        <v>2.05</v>
      </c>
      <c r="F805" s="45" t="n">
        <f aca="false">IFERROR(D805*E805,0)</f>
        <v>10.25</v>
      </c>
      <c r="G805" s="42" t="str">
        <f aca="false">INDEX(SETORES!$B:$B,MATCH(A805,SETORES!$A:$A,0))</f>
        <v>Clientes</v>
      </c>
      <c r="H805" s="42" t="s">
        <v>21</v>
      </c>
    </row>
    <row r="806" customFormat="false" ht="14.25" hidden="false" customHeight="true" outlineLevel="0" collapsed="false">
      <c r="A806" s="16" t="s">
        <v>40</v>
      </c>
      <c r="B806" s="42" t="s">
        <v>155</v>
      </c>
      <c r="C806" s="42" t="s">
        <v>179</v>
      </c>
      <c r="D806" s="43"/>
      <c r="E806" s="44"/>
      <c r="F806" s="45" t="n">
        <f aca="false">IFERROR(D806*E806,0)</f>
        <v>0</v>
      </c>
      <c r="G806" s="42" t="str">
        <f aca="false">INDEX(SETORES!$B:$B,MATCH(A806,SETORES!$A:$A,0))</f>
        <v>Clientes</v>
      </c>
      <c r="H806" s="42" t="s">
        <v>21</v>
      </c>
    </row>
    <row r="807" customFormat="false" ht="14.25" hidden="false" customHeight="true" outlineLevel="0" collapsed="false">
      <c r="A807" s="50" t="s">
        <v>41</v>
      </c>
      <c r="B807" s="51" t="s">
        <v>155</v>
      </c>
      <c r="C807" s="51" t="s">
        <v>162</v>
      </c>
      <c r="D807" s="52" t="n">
        <v>1</v>
      </c>
      <c r="E807" s="53" t="n">
        <v>0.0242</v>
      </c>
      <c r="F807" s="54" t="n">
        <v>0.0242</v>
      </c>
      <c r="G807" s="51" t="str">
        <f aca="false">INDEX(SETORES!$B:$B,MATCH(A807,SETORES!$A:$A,0))</f>
        <v>Clientes</v>
      </c>
      <c r="H807" s="51" t="s">
        <v>21</v>
      </c>
    </row>
    <row r="808" customFormat="false" ht="14.25" hidden="false" customHeight="true" outlineLevel="0" collapsed="false">
      <c r="A808" s="16" t="s">
        <v>41</v>
      </c>
      <c r="B808" s="42" t="s">
        <v>155</v>
      </c>
      <c r="C808" s="42" t="s">
        <v>163</v>
      </c>
      <c r="D808" s="43" t="n">
        <v>1</v>
      </c>
      <c r="E808" s="44" t="n">
        <v>30</v>
      </c>
      <c r="F808" s="45" t="n">
        <f aca="false">IFERROR(D808*E808,0)</f>
        <v>30</v>
      </c>
      <c r="G808" s="42" t="str">
        <f aca="false">INDEX(SETORES!$B:$B,MATCH(A808,SETORES!$A:$A,0))</f>
        <v>Clientes</v>
      </c>
      <c r="H808" s="42" t="s">
        <v>21</v>
      </c>
    </row>
    <row r="809" customFormat="false" ht="14.25" hidden="false" customHeight="true" outlineLevel="0" collapsed="false">
      <c r="A809" s="50" t="s">
        <v>41</v>
      </c>
      <c r="B809" s="51" t="s">
        <v>157</v>
      </c>
      <c r="C809" s="51" t="s">
        <v>199</v>
      </c>
      <c r="D809" s="52" t="n">
        <v>1</v>
      </c>
      <c r="E809" s="53" t="n">
        <v>1837.24</v>
      </c>
      <c r="F809" s="54" t="n">
        <f aca="false">IFERROR(D809*E809,0)</f>
        <v>1837.24</v>
      </c>
      <c r="G809" s="51" t="str">
        <f aca="false">INDEX(SETORES!$B:$B,MATCH(A809,SETORES!$A:$A,0))</f>
        <v>Clientes</v>
      </c>
      <c r="H809" s="51" t="s">
        <v>21</v>
      </c>
    </row>
    <row r="810" customFormat="false" ht="14.25" hidden="false" customHeight="true" outlineLevel="0" collapsed="false">
      <c r="A810" s="50" t="s">
        <v>41</v>
      </c>
      <c r="B810" s="51" t="s">
        <v>155</v>
      </c>
      <c r="C810" s="51" t="s">
        <v>165</v>
      </c>
      <c r="D810" s="52" t="n">
        <v>1</v>
      </c>
      <c r="E810" s="53" t="n">
        <v>43.54</v>
      </c>
      <c r="F810" s="54" t="n">
        <f aca="false">IFERROR(D810*E810,0)</f>
        <v>43.54</v>
      </c>
      <c r="G810" s="51" t="s">
        <v>99</v>
      </c>
      <c r="H810" s="51" t="s">
        <v>21</v>
      </c>
    </row>
    <row r="811" customFormat="false" ht="14.25" hidden="false" customHeight="true" outlineLevel="0" collapsed="false">
      <c r="A811" s="16" t="s">
        <v>41</v>
      </c>
      <c r="B811" s="42" t="s">
        <v>155</v>
      </c>
      <c r="C811" s="42" t="s">
        <v>166</v>
      </c>
      <c r="D811" s="43" t="n">
        <v>1</v>
      </c>
      <c r="E811" s="44" t="n">
        <v>29.74</v>
      </c>
      <c r="F811" s="45" t="n">
        <f aca="false">IFERROR(D811*E811,0)</f>
        <v>29.74</v>
      </c>
      <c r="G811" s="42" t="s">
        <v>99</v>
      </c>
      <c r="H811" s="42" t="s">
        <v>21</v>
      </c>
    </row>
    <row r="812" customFormat="false" ht="14.25" hidden="false" customHeight="true" outlineLevel="0" collapsed="false">
      <c r="A812" s="16" t="s">
        <v>41</v>
      </c>
      <c r="B812" s="42" t="s">
        <v>155</v>
      </c>
      <c r="C812" s="42" t="s">
        <v>167</v>
      </c>
      <c r="D812" s="43" t="n">
        <v>1</v>
      </c>
      <c r="E812" s="44" t="n">
        <v>47.66</v>
      </c>
      <c r="F812" s="45" t="n">
        <f aca="false">IFERROR(D812*E812,0)</f>
        <v>47.66</v>
      </c>
      <c r="G812" s="42" t="s">
        <v>99</v>
      </c>
      <c r="H812" s="42" t="s">
        <v>21</v>
      </c>
    </row>
    <row r="813" customFormat="false" ht="14.25" hidden="false" customHeight="true" outlineLevel="0" collapsed="false">
      <c r="A813" s="16" t="s">
        <v>41</v>
      </c>
      <c r="B813" s="42" t="s">
        <v>155</v>
      </c>
      <c r="C813" s="42" t="s">
        <v>168</v>
      </c>
      <c r="D813" s="43" t="n">
        <v>1</v>
      </c>
      <c r="E813" s="44" t="n">
        <v>8.273</v>
      </c>
      <c r="F813" s="45" t="n">
        <v>8.273</v>
      </c>
      <c r="G813" s="42" t="str">
        <f aca="false">INDEX(SETORES!$B:$B,MATCH(A813,SETORES!$A:$A,0))</f>
        <v>Clientes</v>
      </c>
      <c r="H813" s="42" t="s">
        <v>21</v>
      </c>
    </row>
    <row r="814" customFormat="false" ht="14.25" hidden="false" customHeight="true" outlineLevel="0" collapsed="false">
      <c r="A814" s="50" t="s">
        <v>41</v>
      </c>
      <c r="B814" s="51" t="s">
        <v>155</v>
      </c>
      <c r="C814" s="51" t="s">
        <v>169</v>
      </c>
      <c r="D814" s="52" t="n">
        <v>1</v>
      </c>
      <c r="E814" s="53" t="n">
        <v>18000</v>
      </c>
      <c r="F814" s="54" t="n">
        <f aca="false">IFERROR(E814,0)</f>
        <v>18000</v>
      </c>
      <c r="G814" s="51" t="str">
        <f aca="false">INDEX(SETORES!$B:$B,MATCH(A814,SETORES!$A:$A,0))</f>
        <v>Clientes</v>
      </c>
      <c r="H814" s="51" t="s">
        <v>21</v>
      </c>
    </row>
    <row r="815" customFormat="false" ht="14.25" hidden="false" customHeight="true" outlineLevel="0" collapsed="false">
      <c r="A815" s="16" t="s">
        <v>41</v>
      </c>
      <c r="B815" s="42" t="s">
        <v>155</v>
      </c>
      <c r="C815" s="42" t="s">
        <v>170</v>
      </c>
      <c r="D815" s="43" t="n">
        <v>1</v>
      </c>
      <c r="E815" s="44" t="n">
        <v>9.92</v>
      </c>
      <c r="F815" s="45" t="n">
        <f aca="false">IFERROR(D815*E815,0)</f>
        <v>9.92</v>
      </c>
      <c r="G815" s="42" t="str">
        <f aca="false">INDEX(SETORES!$B:$B,MATCH(A815,SETORES!$A:$A,0))</f>
        <v>Clientes</v>
      </c>
      <c r="H815" s="42" t="s">
        <v>21</v>
      </c>
    </row>
    <row r="816" customFormat="false" ht="14.25" hidden="false" customHeight="true" outlineLevel="0" collapsed="false">
      <c r="A816" s="50" t="s">
        <v>41</v>
      </c>
      <c r="B816" s="51" t="s">
        <v>155</v>
      </c>
      <c r="C816" s="51" t="s">
        <v>183</v>
      </c>
      <c r="D816" s="52" t="n">
        <v>1</v>
      </c>
      <c r="E816" s="53" t="n">
        <v>0.980392</v>
      </c>
      <c r="F816" s="54" t="n">
        <f aca="false">IFERROR(D816*E816,0)</f>
        <v>0.980392</v>
      </c>
      <c r="G816" s="51" t="str">
        <f aca="false">INDEX(SETORES!$B:$B,MATCH(A816,SETORES!$A:$A,0))</f>
        <v>Clientes</v>
      </c>
      <c r="H816" s="51" t="s">
        <v>21</v>
      </c>
    </row>
    <row r="817" customFormat="false" ht="14.25" hidden="false" customHeight="true" outlineLevel="0" collapsed="false">
      <c r="A817" s="16" t="s">
        <v>41</v>
      </c>
      <c r="B817" s="42" t="s">
        <v>155</v>
      </c>
      <c r="C817" s="42" t="s">
        <v>172</v>
      </c>
      <c r="D817" s="43" t="n">
        <v>1</v>
      </c>
      <c r="E817" s="44" t="n">
        <v>50</v>
      </c>
      <c r="F817" s="45" t="n">
        <f aca="false">IFERROR(D817*E817,0)</f>
        <v>50</v>
      </c>
      <c r="G817" s="42" t="str">
        <f aca="false">INDEX(SETORES!$B:$B,MATCH(A817,SETORES!$A:$A,0))</f>
        <v>Clientes</v>
      </c>
      <c r="H817" s="42" t="s">
        <v>21</v>
      </c>
    </row>
    <row r="818" customFormat="false" ht="14.25" hidden="false" customHeight="true" outlineLevel="0" collapsed="false">
      <c r="A818" s="16" t="s">
        <v>41</v>
      </c>
      <c r="B818" s="42" t="s">
        <v>155</v>
      </c>
      <c r="C818" s="42" t="s">
        <v>177</v>
      </c>
      <c r="D818" s="43"/>
      <c r="E818" s="44"/>
      <c r="F818" s="45" t="n">
        <v>0</v>
      </c>
      <c r="G818" s="42" t="str">
        <f aca="false">INDEX(SETORES!$B:$B,MATCH(A818,SETORES!$A:$A,0))</f>
        <v>Clientes</v>
      </c>
      <c r="H818" s="42" t="s">
        <v>21</v>
      </c>
    </row>
    <row r="819" customFormat="false" ht="14.25" hidden="false" customHeight="true" outlineLevel="0" collapsed="false">
      <c r="A819" s="50" t="s">
        <v>41</v>
      </c>
      <c r="B819" s="51" t="s">
        <v>155</v>
      </c>
      <c r="C819" s="51" t="s">
        <v>178</v>
      </c>
      <c r="D819" s="52" t="n">
        <v>1</v>
      </c>
      <c r="E819" s="53" t="n">
        <v>37.43</v>
      </c>
      <c r="F819" s="54" t="n">
        <v>37.43</v>
      </c>
      <c r="G819" s="51" t="str">
        <f aca="false">INDEX(SETORES!$B:$B,MATCH(A819,SETORES!$A:$A,0))</f>
        <v>Clientes</v>
      </c>
      <c r="H819" s="51" t="s">
        <v>21</v>
      </c>
    </row>
    <row r="820" customFormat="false" ht="14.25" hidden="false" customHeight="true" outlineLevel="0" collapsed="false">
      <c r="A820" s="16" t="s">
        <v>41</v>
      </c>
      <c r="B820" s="42" t="s">
        <v>157</v>
      </c>
      <c r="C820" s="42" t="s">
        <v>158</v>
      </c>
      <c r="D820" s="43"/>
      <c r="E820" s="44"/>
      <c r="F820" s="45" t="n">
        <f aca="false">IFERROR(D820*E820,0)</f>
        <v>0</v>
      </c>
      <c r="G820" s="42" t="str">
        <f aca="false">INDEX(SETORES!$B:$B,MATCH(A820,SETORES!$A:$A,0))</f>
        <v>Clientes</v>
      </c>
      <c r="H820" s="42" t="s">
        <v>21</v>
      </c>
    </row>
    <row r="821" customFormat="false" ht="14.25" hidden="false" customHeight="true" outlineLevel="0" collapsed="false">
      <c r="A821" s="50" t="s">
        <v>41</v>
      </c>
      <c r="B821" s="51" t="s">
        <v>155</v>
      </c>
      <c r="C821" s="51" t="s">
        <v>173</v>
      </c>
      <c r="D821" s="52" t="n">
        <v>1</v>
      </c>
      <c r="E821" s="53" t="n">
        <v>2.05</v>
      </c>
      <c r="F821" s="54" t="n">
        <f aca="false">IFERROR(D821*E821,0)</f>
        <v>2.05</v>
      </c>
      <c r="G821" s="51" t="str">
        <f aca="false">INDEX(SETORES!$B:$B,MATCH(A821,SETORES!$A:$A,0))</f>
        <v>Clientes</v>
      </c>
      <c r="H821" s="51" t="s">
        <v>21</v>
      </c>
    </row>
    <row r="822" customFormat="false" ht="14.25" hidden="false" customHeight="true" outlineLevel="0" collapsed="false">
      <c r="A822" s="50" t="s">
        <v>79</v>
      </c>
      <c r="B822" s="51" t="s">
        <v>155</v>
      </c>
      <c r="C822" s="51" t="s">
        <v>162</v>
      </c>
      <c r="D822" s="52" t="n">
        <v>5</v>
      </c>
      <c r="E822" s="53" t="n">
        <v>29.6003</v>
      </c>
      <c r="F822" s="54" t="n">
        <v>16.6235</v>
      </c>
      <c r="G822" s="51" t="str">
        <f aca="false">INDEX(SETORES!$B:$B,MATCH(A822,SETORES!$A:$A,0))</f>
        <v>Funcionários</v>
      </c>
      <c r="H822" s="51" t="s">
        <v>21</v>
      </c>
    </row>
    <row r="823" customFormat="false" ht="14.25" hidden="false" customHeight="true" outlineLevel="0" collapsed="false">
      <c r="A823" s="50" t="s">
        <v>79</v>
      </c>
      <c r="B823" s="51" t="s">
        <v>157</v>
      </c>
      <c r="C823" s="51" t="s">
        <v>203</v>
      </c>
      <c r="D823" s="52" t="n">
        <v>1</v>
      </c>
      <c r="E823" s="53" t="n">
        <v>89474.31</v>
      </c>
      <c r="F823" s="54" t="n">
        <f aca="false">IFERROR(E823,0)</f>
        <v>89474.31</v>
      </c>
      <c r="G823" s="51" t="s">
        <v>99</v>
      </c>
      <c r="H823" s="51" t="s">
        <v>21</v>
      </c>
    </row>
    <row r="824" customFormat="false" ht="14.25" hidden="false" customHeight="true" outlineLevel="0" collapsed="false">
      <c r="A824" s="16" t="s">
        <v>79</v>
      </c>
      <c r="B824" s="42" t="s">
        <v>157</v>
      </c>
      <c r="C824" s="42" t="s">
        <v>204</v>
      </c>
      <c r="D824" s="43" t="n">
        <v>1</v>
      </c>
      <c r="E824" s="44" t="n">
        <v>-12600</v>
      </c>
      <c r="F824" s="45" t="n">
        <f aca="false">IFERROR(E824,0)</f>
        <v>-12600</v>
      </c>
      <c r="G824" s="42" t="s">
        <v>99</v>
      </c>
      <c r="H824" s="42" t="s">
        <v>21</v>
      </c>
    </row>
    <row r="825" customFormat="false" ht="14.25" hidden="false" customHeight="true" outlineLevel="0" collapsed="false">
      <c r="A825" s="16" t="s">
        <v>79</v>
      </c>
      <c r="B825" s="42" t="s">
        <v>155</v>
      </c>
      <c r="C825" s="42" t="s">
        <v>205</v>
      </c>
      <c r="D825" s="43" t="n">
        <v>1</v>
      </c>
      <c r="E825" s="44" t="n">
        <v>885.85</v>
      </c>
      <c r="F825" s="45" t="n">
        <f aca="false">IFERROR(D825*E825,0)</f>
        <v>885.85</v>
      </c>
      <c r="G825" s="42" t="s">
        <v>99</v>
      </c>
      <c r="H825" s="42" t="s">
        <v>21</v>
      </c>
    </row>
    <row r="826" customFormat="false" ht="14.25" hidden="false" customHeight="true" outlineLevel="0" collapsed="false">
      <c r="A826" s="50" t="s">
        <v>79</v>
      </c>
      <c r="B826" s="51" t="s">
        <v>155</v>
      </c>
      <c r="C826" s="51" t="s">
        <v>165</v>
      </c>
      <c r="D826" s="52" t="n">
        <v>5</v>
      </c>
      <c r="E826" s="53" t="n">
        <v>43.54</v>
      </c>
      <c r="F826" s="54" t="n">
        <f aca="false">IFERROR(D826*E826,0)</f>
        <v>217.7</v>
      </c>
      <c r="G826" s="51" t="s">
        <v>99</v>
      </c>
      <c r="H826" s="51" t="s">
        <v>21</v>
      </c>
    </row>
    <row r="827" customFormat="false" ht="14.25" hidden="false" customHeight="true" outlineLevel="0" collapsed="false">
      <c r="A827" s="16" t="s">
        <v>79</v>
      </c>
      <c r="B827" s="42" t="s">
        <v>155</v>
      </c>
      <c r="C827" s="42" t="s">
        <v>166</v>
      </c>
      <c r="D827" s="43" t="n">
        <v>5</v>
      </c>
      <c r="E827" s="44" t="n">
        <v>29.74</v>
      </c>
      <c r="F827" s="45" t="n">
        <f aca="false">IFERROR(D827*E827,0)</f>
        <v>148.7</v>
      </c>
      <c r="G827" s="42" t="s">
        <v>99</v>
      </c>
      <c r="H827" s="42" t="s">
        <v>21</v>
      </c>
    </row>
    <row r="828" customFormat="false" ht="14.25" hidden="false" customHeight="true" outlineLevel="0" collapsed="false">
      <c r="A828" s="16" t="s">
        <v>79</v>
      </c>
      <c r="B828" s="42" t="s">
        <v>155</v>
      </c>
      <c r="C828" s="42" t="s">
        <v>167</v>
      </c>
      <c r="D828" s="43" t="n">
        <v>5</v>
      </c>
      <c r="E828" s="44" t="n">
        <v>47.66</v>
      </c>
      <c r="F828" s="45" t="n">
        <f aca="false">IFERROR(D828*E828,0)</f>
        <v>238.3</v>
      </c>
      <c r="G828" s="42" t="s">
        <v>99</v>
      </c>
      <c r="H828" s="42" t="s">
        <v>21</v>
      </c>
    </row>
    <row r="829" customFormat="false" ht="14.25" hidden="false" customHeight="true" outlineLevel="0" collapsed="false">
      <c r="A829" s="16" t="s">
        <v>79</v>
      </c>
      <c r="B829" s="42" t="s">
        <v>155</v>
      </c>
      <c r="C829" s="42" t="s">
        <v>168</v>
      </c>
      <c r="D829" s="43" t="n">
        <v>5</v>
      </c>
      <c r="E829" s="44" t="n">
        <v>147.3902</v>
      </c>
      <c r="F829" s="45" t="n">
        <v>106.291</v>
      </c>
      <c r="G829" s="42" t="str">
        <f aca="false">INDEX(SETORES!$B:$B,MATCH(A829,SETORES!$A:$A,0))</f>
        <v>Funcionários</v>
      </c>
      <c r="H829" s="42" t="s">
        <v>21</v>
      </c>
    </row>
    <row r="830" customFormat="false" ht="14.25" hidden="false" customHeight="true" outlineLevel="0" collapsed="false">
      <c r="A830" s="16" t="s">
        <v>79</v>
      </c>
      <c r="B830" s="42" t="s">
        <v>155</v>
      </c>
      <c r="C830" s="42" t="s">
        <v>169</v>
      </c>
      <c r="D830" s="43" t="n">
        <v>1</v>
      </c>
      <c r="E830" s="44" t="n">
        <v>27510.6</v>
      </c>
      <c r="F830" s="45" t="n">
        <v>27510.6</v>
      </c>
      <c r="G830" s="42" t="str">
        <f aca="false">INDEX(SETORES!$B:$B,MATCH(A830,SETORES!$A:$A,0))</f>
        <v>Funcionários</v>
      </c>
      <c r="H830" s="42" t="s">
        <v>21</v>
      </c>
    </row>
    <row r="831" customFormat="false" ht="14.25" hidden="false" customHeight="true" outlineLevel="0" collapsed="false">
      <c r="A831" s="50" t="s">
        <v>79</v>
      </c>
      <c r="B831" s="51" t="s">
        <v>157</v>
      </c>
      <c r="C831" s="51" t="s">
        <v>206</v>
      </c>
      <c r="D831" s="52" t="n">
        <v>1</v>
      </c>
      <c r="E831" s="53" t="n">
        <v>1170</v>
      </c>
      <c r="F831" s="54" t="n">
        <f aca="false">IFERROR(E831,0)</f>
        <v>1170</v>
      </c>
      <c r="G831" s="51" t="s">
        <v>99</v>
      </c>
      <c r="H831" s="51" t="s">
        <v>21</v>
      </c>
    </row>
    <row r="832" customFormat="false" ht="14.25" hidden="false" customHeight="true" outlineLevel="0" collapsed="false">
      <c r="A832" s="50" t="s">
        <v>79</v>
      </c>
      <c r="B832" s="51" t="s">
        <v>155</v>
      </c>
      <c r="C832" s="51" t="s">
        <v>170</v>
      </c>
      <c r="D832" s="52" t="n">
        <v>5</v>
      </c>
      <c r="E832" s="53" t="n">
        <v>9.92</v>
      </c>
      <c r="F832" s="54" t="n">
        <f aca="false">IFERROR(D832*E832,0)</f>
        <v>49.6</v>
      </c>
      <c r="G832" s="51" t="s">
        <v>99</v>
      </c>
      <c r="H832" s="51" t="s">
        <v>21</v>
      </c>
    </row>
    <row r="833" customFormat="false" ht="14.25" hidden="false" customHeight="true" outlineLevel="0" collapsed="false">
      <c r="A833" s="50" t="s">
        <v>79</v>
      </c>
      <c r="B833" s="51" t="s">
        <v>155</v>
      </c>
      <c r="C833" s="51" t="s">
        <v>172</v>
      </c>
      <c r="D833" s="52" t="n">
        <v>1</v>
      </c>
      <c r="E833" s="53" t="n">
        <v>50</v>
      </c>
      <c r="F833" s="54" t="n">
        <f aca="false">IFERROR(D833*E833,0)</f>
        <v>50</v>
      </c>
      <c r="G833" s="51" t="str">
        <f aca="false">INDEX(SETORES!$B:$B,MATCH(A833,SETORES!$A:$A,0))</f>
        <v>Funcionários</v>
      </c>
      <c r="H833" s="51" t="s">
        <v>21</v>
      </c>
    </row>
    <row r="834" customFormat="false" ht="14.25" hidden="false" customHeight="true" outlineLevel="0" collapsed="false">
      <c r="A834" s="16" t="s">
        <v>79</v>
      </c>
      <c r="B834" s="42" t="s">
        <v>157</v>
      </c>
      <c r="C834" s="42" t="s">
        <v>207</v>
      </c>
      <c r="D834" s="43" t="n">
        <v>1</v>
      </c>
      <c r="E834" s="44" t="n">
        <v>1800.06</v>
      </c>
      <c r="F834" s="45" t="n">
        <f aca="false">IFERROR(E834,0)</f>
        <v>1800.06</v>
      </c>
      <c r="G834" s="42" t="s">
        <v>99</v>
      </c>
      <c r="H834" s="42" t="s">
        <v>21</v>
      </c>
    </row>
    <row r="835" customFormat="false" ht="14.25" hidden="false" customHeight="true" outlineLevel="0" collapsed="false">
      <c r="A835" s="50" t="s">
        <v>79</v>
      </c>
      <c r="B835" s="51" t="s">
        <v>157</v>
      </c>
      <c r="C835" s="51" t="s">
        <v>184</v>
      </c>
      <c r="D835" s="52" t="n">
        <v>5</v>
      </c>
      <c r="E835" s="44" t="n">
        <v>65.93</v>
      </c>
      <c r="F835" s="54" t="n">
        <f aca="false">IFERROR(D835*E835,0)</f>
        <v>329.65</v>
      </c>
      <c r="G835" s="51" t="str">
        <f aca="false">INDEX(SETORES!$B:$B,MATCH(A835,SETORES!$A:$A,0))</f>
        <v>Funcionários</v>
      </c>
      <c r="H835" s="51" t="s">
        <v>21</v>
      </c>
    </row>
    <row r="836" customFormat="false" ht="14.25" hidden="false" customHeight="true" outlineLevel="0" collapsed="false">
      <c r="A836" s="50" t="s">
        <v>79</v>
      </c>
      <c r="B836" s="51" t="s">
        <v>157</v>
      </c>
      <c r="C836" s="51" t="s">
        <v>158</v>
      </c>
      <c r="D836" s="52"/>
      <c r="E836" s="53"/>
      <c r="F836" s="54" t="n">
        <f aca="false">IFERROR(D836*E836,0)</f>
        <v>0</v>
      </c>
      <c r="G836" s="51" t="str">
        <f aca="false">INDEX(SETORES!$B:$B,MATCH(A836,SETORES!$A:$A,0))</f>
        <v>Funcionários</v>
      </c>
      <c r="H836" s="51" t="s">
        <v>21</v>
      </c>
    </row>
    <row r="837" customFormat="false" ht="14.25" hidden="false" customHeight="true" outlineLevel="0" collapsed="false">
      <c r="A837" s="46" t="s">
        <v>79</v>
      </c>
      <c r="B837" s="47" t="s">
        <v>157</v>
      </c>
      <c r="C837" s="47" t="s">
        <v>158</v>
      </c>
      <c r="D837" s="47" t="n">
        <v>1</v>
      </c>
      <c r="E837" s="48" t="n">
        <v>11025.81</v>
      </c>
      <c r="F837" s="48" t="n">
        <f aca="false">D837*E837</f>
        <v>11025.81</v>
      </c>
      <c r="G837" s="47" t="s">
        <v>99</v>
      </c>
      <c r="H837" s="47" t="s">
        <v>21</v>
      </c>
    </row>
    <row r="838" customFormat="false" ht="14.25" hidden="false" customHeight="true" outlineLevel="0" collapsed="false">
      <c r="A838" s="16" t="s">
        <v>79</v>
      </c>
      <c r="B838" s="42" t="s">
        <v>155</v>
      </c>
      <c r="C838" s="42" t="s">
        <v>173</v>
      </c>
      <c r="D838" s="43" t="n">
        <v>5</v>
      </c>
      <c r="E838" s="44" t="n">
        <v>2.05</v>
      </c>
      <c r="F838" s="45" t="n">
        <f aca="false">IFERROR(D838*E838,0)</f>
        <v>10.25</v>
      </c>
      <c r="G838" s="42" t="s">
        <v>99</v>
      </c>
      <c r="H838" s="42" t="s">
        <v>21</v>
      </c>
    </row>
    <row r="839" customFormat="false" ht="14.25" hidden="false" customHeight="true" outlineLevel="0" collapsed="false">
      <c r="A839" s="50" t="s">
        <v>141</v>
      </c>
      <c r="B839" s="51" t="s">
        <v>155</v>
      </c>
      <c r="C839" s="51" t="s">
        <v>169</v>
      </c>
      <c r="D839" s="52" t="n">
        <v>1</v>
      </c>
      <c r="E839" s="53" t="n">
        <v>20362.12</v>
      </c>
      <c r="F839" s="54" t="n">
        <f aca="false">D839*E839</f>
        <v>20362.12</v>
      </c>
      <c r="G839" s="51"/>
      <c r="H839" s="51" t="s">
        <v>21</v>
      </c>
    </row>
    <row r="840" customFormat="false" ht="14.25" hidden="false" customHeight="true" outlineLevel="0" collapsed="false">
      <c r="A840" s="50" t="s">
        <v>80</v>
      </c>
      <c r="B840" s="51" t="s">
        <v>155</v>
      </c>
      <c r="C840" s="51" t="s">
        <v>162</v>
      </c>
      <c r="D840" s="52" t="n">
        <v>1</v>
      </c>
      <c r="E840" s="53" t="n">
        <v>0.0727</v>
      </c>
      <c r="F840" s="54" t="n">
        <v>0.0727</v>
      </c>
      <c r="G840" s="51" t="s">
        <v>97</v>
      </c>
      <c r="H840" s="51" t="s">
        <v>21</v>
      </c>
    </row>
    <row r="841" customFormat="false" ht="14.25" hidden="false" customHeight="true" outlineLevel="0" collapsed="false">
      <c r="A841" s="16" t="s">
        <v>80</v>
      </c>
      <c r="B841" s="42" t="s">
        <v>155</v>
      </c>
      <c r="C841" s="42" t="s">
        <v>165</v>
      </c>
      <c r="D841" s="43" t="n">
        <v>3</v>
      </c>
      <c r="E841" s="44" t="n">
        <v>43.54</v>
      </c>
      <c r="F841" s="45" t="n">
        <f aca="false">IFERROR(D841*E841,0)</f>
        <v>130.62</v>
      </c>
      <c r="G841" s="51" t="s">
        <v>99</v>
      </c>
      <c r="H841" s="42" t="s">
        <v>21</v>
      </c>
    </row>
    <row r="842" customFormat="false" ht="14.25" hidden="false" customHeight="true" outlineLevel="0" collapsed="false">
      <c r="A842" s="50" t="s">
        <v>80</v>
      </c>
      <c r="B842" s="51" t="s">
        <v>155</v>
      </c>
      <c r="C842" s="51" t="s">
        <v>166</v>
      </c>
      <c r="D842" s="52" t="n">
        <v>3</v>
      </c>
      <c r="E842" s="53" t="n">
        <v>29.74</v>
      </c>
      <c r="F842" s="54" t="n">
        <f aca="false">IFERROR(D842*E842,0)</f>
        <v>89.22</v>
      </c>
      <c r="G842" s="42" t="s">
        <v>99</v>
      </c>
      <c r="H842" s="51" t="s">
        <v>21</v>
      </c>
    </row>
    <row r="843" customFormat="false" ht="14.25" hidden="false" customHeight="true" outlineLevel="0" collapsed="false">
      <c r="A843" s="50" t="s">
        <v>80</v>
      </c>
      <c r="B843" s="51" t="s">
        <v>155</v>
      </c>
      <c r="C843" s="51" t="s">
        <v>167</v>
      </c>
      <c r="D843" s="52" t="n">
        <v>3</v>
      </c>
      <c r="E843" s="53" t="n">
        <v>47.66</v>
      </c>
      <c r="F843" s="54" t="n">
        <f aca="false">IFERROR(D843*E843,0)</f>
        <v>142.98</v>
      </c>
      <c r="G843" s="42" t="s">
        <v>99</v>
      </c>
      <c r="H843" s="51" t="s">
        <v>21</v>
      </c>
    </row>
    <row r="844" customFormat="false" ht="14.25" hidden="false" customHeight="true" outlineLevel="0" collapsed="false">
      <c r="A844" s="16" t="s">
        <v>80</v>
      </c>
      <c r="B844" s="42" t="s">
        <v>155</v>
      </c>
      <c r="C844" s="42" t="s">
        <v>168</v>
      </c>
      <c r="D844" s="43" t="n">
        <v>1</v>
      </c>
      <c r="E844" s="44" t="n">
        <v>24.819</v>
      </c>
      <c r="F844" s="45" t="n">
        <v>24.819</v>
      </c>
      <c r="G844" s="42" t="s">
        <v>97</v>
      </c>
      <c r="H844" s="42" t="s">
        <v>21</v>
      </c>
    </row>
    <row r="845" customFormat="false" ht="14.25" hidden="false" customHeight="true" outlineLevel="0" collapsed="false">
      <c r="A845" s="50" t="s">
        <v>80</v>
      </c>
      <c r="B845" s="51" t="s">
        <v>155</v>
      </c>
      <c r="C845" s="51" t="s">
        <v>169</v>
      </c>
      <c r="D845" s="52" t="n">
        <v>1</v>
      </c>
      <c r="E845" s="53" t="n">
        <v>28674.49</v>
      </c>
      <c r="F845" s="54" t="n">
        <f aca="false">IFERROR(E845,0)</f>
        <v>28674.49</v>
      </c>
      <c r="G845" s="51" t="str">
        <f aca="false">INDEX(SETORES!$B:$B,MATCH(A845,SETORES!$A:$A,0))</f>
        <v>Clientes</v>
      </c>
      <c r="H845" s="51" t="s">
        <v>21</v>
      </c>
    </row>
    <row r="846" customFormat="false" ht="14.25" hidden="false" customHeight="true" outlineLevel="0" collapsed="false">
      <c r="A846" s="16" t="s">
        <v>80</v>
      </c>
      <c r="B846" s="42" t="s">
        <v>155</v>
      </c>
      <c r="C846" s="42" t="s">
        <v>170</v>
      </c>
      <c r="D846" s="43" t="n">
        <v>3</v>
      </c>
      <c r="E846" s="44" t="n">
        <v>9.92</v>
      </c>
      <c r="F846" s="45" t="n">
        <f aca="false">IFERROR(D846*E846,0)</f>
        <v>29.76</v>
      </c>
      <c r="G846" s="42" t="str">
        <f aca="false">INDEX(SETORES!$B:$B,MATCH(A846,SETORES!$A:$A,0))</f>
        <v>Clientes</v>
      </c>
      <c r="H846" s="42" t="s">
        <v>21</v>
      </c>
    </row>
    <row r="847" customFormat="false" ht="14.25" hidden="false" customHeight="true" outlineLevel="0" collapsed="false">
      <c r="A847" s="16" t="s">
        <v>80</v>
      </c>
      <c r="B847" s="42" t="s">
        <v>155</v>
      </c>
      <c r="C847" s="42" t="s">
        <v>183</v>
      </c>
      <c r="D847" s="43" t="n">
        <v>1</v>
      </c>
      <c r="E847" s="44" t="n">
        <v>2.941176</v>
      </c>
      <c r="F847" s="45" t="n">
        <f aca="false">IFERROR(D847*E847,0)</f>
        <v>2.941176</v>
      </c>
      <c r="G847" s="42" t="str">
        <f aca="false">INDEX(SETORES!$B:$B,MATCH(A847,SETORES!$A:$A,0))</f>
        <v>Clientes</v>
      </c>
      <c r="H847" s="42" t="s">
        <v>21</v>
      </c>
    </row>
    <row r="848" customFormat="false" ht="14.25" hidden="false" customHeight="true" outlineLevel="0" collapsed="false">
      <c r="A848" s="16" t="s">
        <v>80</v>
      </c>
      <c r="B848" s="42" t="s">
        <v>155</v>
      </c>
      <c r="C848" s="42" t="s">
        <v>172</v>
      </c>
      <c r="D848" s="43" t="n">
        <v>2</v>
      </c>
      <c r="E848" s="44" t="n">
        <v>50</v>
      </c>
      <c r="F848" s="45" t="n">
        <f aca="false">IFERROR(D848*E848,0)</f>
        <v>100</v>
      </c>
      <c r="G848" s="42" t="str">
        <f aca="false">INDEX(SETORES!$B:$B,MATCH(A848,SETORES!$A:$A,0))</f>
        <v>Clientes</v>
      </c>
      <c r="H848" s="42" t="s">
        <v>21</v>
      </c>
    </row>
    <row r="849" customFormat="false" ht="14.25" hidden="false" customHeight="true" outlineLevel="0" collapsed="false">
      <c r="A849" s="16" t="s">
        <v>80</v>
      </c>
      <c r="B849" s="42" t="s">
        <v>155</v>
      </c>
      <c r="C849" s="42" t="s">
        <v>177</v>
      </c>
      <c r="D849" s="43" t="n">
        <v>3</v>
      </c>
      <c r="E849" s="44" t="n">
        <v>2.2567</v>
      </c>
      <c r="F849" s="45" t="n">
        <v>6.7701</v>
      </c>
      <c r="G849" s="42" t="str">
        <f aca="false">INDEX(SETORES!$B:$B,MATCH(A849,SETORES!$A:$A,0))</f>
        <v>Clientes</v>
      </c>
      <c r="H849" s="42" t="s">
        <v>21</v>
      </c>
    </row>
    <row r="850" customFormat="false" ht="14.25" hidden="false" customHeight="true" outlineLevel="0" collapsed="false">
      <c r="A850" s="50" t="s">
        <v>80</v>
      </c>
      <c r="B850" s="51" t="s">
        <v>155</v>
      </c>
      <c r="C850" s="51" t="s">
        <v>178</v>
      </c>
      <c r="D850" s="52" t="n">
        <v>1</v>
      </c>
      <c r="E850" s="53" t="n">
        <v>66.76</v>
      </c>
      <c r="F850" s="54" t="n">
        <v>66.76</v>
      </c>
      <c r="G850" s="51" t="str">
        <f aca="false">INDEX(SETORES!$B:$B,MATCH(A850,SETORES!$A:$A,0))</f>
        <v>Clientes</v>
      </c>
      <c r="H850" s="51" t="s">
        <v>21</v>
      </c>
    </row>
    <row r="851" customFormat="false" ht="14.25" hidden="false" customHeight="true" outlineLevel="0" collapsed="false">
      <c r="A851" s="16" t="s">
        <v>80</v>
      </c>
      <c r="B851" s="42" t="s">
        <v>157</v>
      </c>
      <c r="C851" s="42" t="s">
        <v>158</v>
      </c>
      <c r="D851" s="43"/>
      <c r="E851" s="44"/>
      <c r="F851" s="45" t="n">
        <f aca="false">IFERROR(D851*E851,0)</f>
        <v>0</v>
      </c>
      <c r="G851" s="42" t="str">
        <f aca="false">INDEX(SETORES!$B:$B,MATCH(A851,SETORES!$A:$A,0))</f>
        <v>Clientes</v>
      </c>
      <c r="H851" s="42" t="s">
        <v>21</v>
      </c>
    </row>
    <row r="852" customFormat="false" ht="14.25" hidden="false" customHeight="true" outlineLevel="0" collapsed="false">
      <c r="A852" s="50" t="s">
        <v>80</v>
      </c>
      <c r="B852" s="51" t="s">
        <v>155</v>
      </c>
      <c r="C852" s="51" t="s">
        <v>173</v>
      </c>
      <c r="D852" s="52" t="n">
        <v>3</v>
      </c>
      <c r="E852" s="53" t="n">
        <v>2.05</v>
      </c>
      <c r="F852" s="54" t="n">
        <f aca="false">IFERROR(D852*E852,0)</f>
        <v>6.15</v>
      </c>
      <c r="G852" s="51" t="str">
        <f aca="false">INDEX(SETORES!$B:$B,MATCH(A852,SETORES!$A:$A,0))</f>
        <v>Clientes</v>
      </c>
      <c r="H852" s="51" t="s">
        <v>21</v>
      </c>
    </row>
    <row r="853" customFormat="false" ht="14.25" hidden="false" customHeight="true" outlineLevel="0" collapsed="false">
      <c r="A853" s="50" t="s">
        <v>42</v>
      </c>
      <c r="B853" s="51" t="s">
        <v>155</v>
      </c>
      <c r="C853" s="51" t="s">
        <v>162</v>
      </c>
      <c r="D853" s="52" t="n">
        <v>1</v>
      </c>
      <c r="E853" s="53" t="n">
        <v>0.0485</v>
      </c>
      <c r="F853" s="54" t="n">
        <v>0.0485</v>
      </c>
      <c r="G853" s="51" t="str">
        <f aca="false">INDEX(SETORES!$B:$B,MATCH(A853,SETORES!$A:$A,0))</f>
        <v>Clientes</v>
      </c>
      <c r="H853" s="51" t="s">
        <v>21</v>
      </c>
    </row>
    <row r="854" customFormat="false" ht="14.25" hidden="false" customHeight="true" outlineLevel="0" collapsed="false">
      <c r="A854" s="50" t="s">
        <v>42</v>
      </c>
      <c r="B854" s="51" t="s">
        <v>155</v>
      </c>
      <c r="C854" s="51" t="s">
        <v>165</v>
      </c>
      <c r="D854" s="52" t="n">
        <v>2</v>
      </c>
      <c r="E854" s="53" t="n">
        <v>43.54</v>
      </c>
      <c r="F854" s="54" t="n">
        <f aca="false">IFERROR(D854*E854,0)</f>
        <v>87.08</v>
      </c>
      <c r="G854" s="51" t="s">
        <v>99</v>
      </c>
      <c r="H854" s="51" t="s">
        <v>21</v>
      </c>
    </row>
    <row r="855" customFormat="false" ht="14.25" hidden="false" customHeight="true" outlineLevel="0" collapsed="false">
      <c r="A855" s="16" t="s">
        <v>42</v>
      </c>
      <c r="B855" s="42" t="s">
        <v>155</v>
      </c>
      <c r="C855" s="42" t="s">
        <v>166</v>
      </c>
      <c r="D855" s="43" t="n">
        <v>2</v>
      </c>
      <c r="E855" s="44" t="n">
        <v>29.74</v>
      </c>
      <c r="F855" s="45" t="n">
        <f aca="false">IFERROR(D855*E855,0)</f>
        <v>59.48</v>
      </c>
      <c r="G855" s="42" t="s">
        <v>99</v>
      </c>
      <c r="H855" s="42" t="s">
        <v>21</v>
      </c>
    </row>
    <row r="856" customFormat="false" ht="14.25" hidden="false" customHeight="true" outlineLevel="0" collapsed="false">
      <c r="A856" s="16" t="s">
        <v>42</v>
      </c>
      <c r="B856" s="42" t="s">
        <v>155</v>
      </c>
      <c r="C856" s="42" t="s">
        <v>167</v>
      </c>
      <c r="D856" s="43" t="n">
        <v>2</v>
      </c>
      <c r="E856" s="44" t="n">
        <v>47.66</v>
      </c>
      <c r="F856" s="45" t="n">
        <f aca="false">IFERROR(D856*E856,0)</f>
        <v>95.32</v>
      </c>
      <c r="G856" s="42" t="s">
        <v>99</v>
      </c>
      <c r="H856" s="42" t="s">
        <v>21</v>
      </c>
    </row>
    <row r="857" customFormat="false" ht="14.25" hidden="false" customHeight="true" outlineLevel="0" collapsed="false">
      <c r="A857" s="16" t="s">
        <v>42</v>
      </c>
      <c r="B857" s="42" t="s">
        <v>155</v>
      </c>
      <c r="C857" s="42" t="s">
        <v>168</v>
      </c>
      <c r="D857" s="43" t="n">
        <v>1</v>
      </c>
      <c r="E857" s="44" t="n">
        <v>16.546</v>
      </c>
      <c r="F857" s="45" t="n">
        <v>16.546</v>
      </c>
      <c r="G857" s="42" t="str">
        <f aca="false">INDEX(SETORES!$B:$B,MATCH(A857,SETORES!$A:$A,0))</f>
        <v>Clientes</v>
      </c>
      <c r="H857" s="42" t="s">
        <v>21</v>
      </c>
    </row>
    <row r="858" customFormat="false" ht="14.25" hidden="false" customHeight="true" outlineLevel="0" collapsed="false">
      <c r="A858" s="50" t="s">
        <v>42</v>
      </c>
      <c r="B858" s="51" t="s">
        <v>157</v>
      </c>
      <c r="C858" s="51" t="s">
        <v>175</v>
      </c>
      <c r="D858" s="52"/>
      <c r="E858" s="53"/>
      <c r="F858" s="54" t="n">
        <f aca="false">IFERROR(D858*E858,0)</f>
        <v>0</v>
      </c>
      <c r="G858" s="51" t="str">
        <f aca="false">INDEX(SETORES!$B:$B,MATCH(A858,SETORES!$A:$A,0))</f>
        <v>Clientes</v>
      </c>
      <c r="H858" s="51" t="s">
        <v>21</v>
      </c>
    </row>
    <row r="859" customFormat="false" ht="14.25" hidden="false" customHeight="true" outlineLevel="0" collapsed="false">
      <c r="A859" s="16" t="s">
        <v>42</v>
      </c>
      <c r="B859" s="42" t="s">
        <v>157</v>
      </c>
      <c r="C859" s="42" t="s">
        <v>176</v>
      </c>
      <c r="D859" s="43"/>
      <c r="E859" s="44"/>
      <c r="F859" s="45" t="n">
        <f aca="false">IFERROR(D859*E859,0)</f>
        <v>0</v>
      </c>
      <c r="G859" s="42" t="str">
        <f aca="false">INDEX(SETORES!$B:$B,MATCH(A859,SETORES!$A:$A,0))</f>
        <v>Clientes</v>
      </c>
      <c r="H859" s="42" t="s">
        <v>21</v>
      </c>
    </row>
    <row r="860" customFormat="false" ht="14.25" hidden="false" customHeight="true" outlineLevel="0" collapsed="false">
      <c r="A860" s="50" t="s">
        <v>42</v>
      </c>
      <c r="B860" s="51" t="s">
        <v>155</v>
      </c>
      <c r="C860" s="51" t="s">
        <v>169</v>
      </c>
      <c r="D860" s="52" t="n">
        <v>1</v>
      </c>
      <c r="E860" s="53" t="n">
        <v>27129.8033777778</v>
      </c>
      <c r="F860" s="54" t="n">
        <f aca="false">IFERROR(E860,0)</f>
        <v>27129.8033777778</v>
      </c>
      <c r="G860" s="51" t="str">
        <f aca="false">INDEX(SETORES!$B:$B,MATCH(A860,SETORES!$A:$A,0))</f>
        <v>Clientes</v>
      </c>
      <c r="H860" s="51" t="s">
        <v>21</v>
      </c>
    </row>
    <row r="861" customFormat="false" ht="14.25" hidden="false" customHeight="true" outlineLevel="0" collapsed="false">
      <c r="A861" s="16" t="s">
        <v>42</v>
      </c>
      <c r="B861" s="42" t="s">
        <v>155</v>
      </c>
      <c r="C861" s="42" t="s">
        <v>170</v>
      </c>
      <c r="D861" s="43" t="n">
        <v>2</v>
      </c>
      <c r="E861" s="44" t="n">
        <v>9.92</v>
      </c>
      <c r="F861" s="45" t="n">
        <f aca="false">IFERROR(D861*E861,0)</f>
        <v>19.84</v>
      </c>
      <c r="G861" s="42" t="str">
        <f aca="false">INDEX(SETORES!$B:$B,MATCH(A861,SETORES!$A:$A,0))</f>
        <v>Clientes</v>
      </c>
      <c r="H861" s="42" t="s">
        <v>21</v>
      </c>
    </row>
    <row r="862" customFormat="false" ht="14.25" hidden="false" customHeight="true" outlineLevel="0" collapsed="false">
      <c r="A862" s="50" t="s">
        <v>42</v>
      </c>
      <c r="B862" s="51" t="s">
        <v>155</v>
      </c>
      <c r="C862" s="51" t="s">
        <v>183</v>
      </c>
      <c r="D862" s="52" t="n">
        <v>1</v>
      </c>
      <c r="E862" s="53" t="n">
        <v>1.960784</v>
      </c>
      <c r="F862" s="54" t="n">
        <f aca="false">IFERROR(D862*E862,0)</f>
        <v>1.960784</v>
      </c>
      <c r="G862" s="51" t="str">
        <f aca="false">INDEX(SETORES!$B:$B,MATCH(A862,SETORES!$A:$A,0))</f>
        <v>Clientes</v>
      </c>
      <c r="H862" s="51" t="s">
        <v>21</v>
      </c>
    </row>
    <row r="863" customFormat="false" ht="14.25" hidden="false" customHeight="true" outlineLevel="0" collapsed="false">
      <c r="A863" s="50" t="s">
        <v>42</v>
      </c>
      <c r="B863" s="51" t="s">
        <v>155</v>
      </c>
      <c r="C863" s="51" t="s">
        <v>172</v>
      </c>
      <c r="D863" s="52" t="n">
        <v>2</v>
      </c>
      <c r="E863" s="53" t="n">
        <v>50</v>
      </c>
      <c r="F863" s="54" t="n">
        <f aca="false">IFERROR(D863*E863,0)</f>
        <v>100</v>
      </c>
      <c r="G863" s="51" t="str">
        <f aca="false">INDEX(SETORES!$B:$B,MATCH(A863,SETORES!$A:$A,0))</f>
        <v>Clientes</v>
      </c>
      <c r="H863" s="51" t="s">
        <v>21</v>
      </c>
    </row>
    <row r="864" customFormat="false" ht="14.25" hidden="false" customHeight="true" outlineLevel="0" collapsed="false">
      <c r="A864" s="16" t="s">
        <v>42</v>
      </c>
      <c r="B864" s="42" t="s">
        <v>155</v>
      </c>
      <c r="C864" s="42" t="s">
        <v>177</v>
      </c>
      <c r="D864" s="43" t="n">
        <v>2</v>
      </c>
      <c r="E864" s="44" t="n">
        <v>3.385</v>
      </c>
      <c r="F864" s="45" t="n">
        <v>6.77</v>
      </c>
      <c r="G864" s="42" t="str">
        <f aca="false">INDEX(SETORES!$B:$B,MATCH(A864,SETORES!$A:$A,0))</f>
        <v>Clientes</v>
      </c>
      <c r="H864" s="42" t="s">
        <v>21</v>
      </c>
    </row>
    <row r="865" customFormat="false" ht="14.25" hidden="false" customHeight="true" outlineLevel="0" collapsed="false">
      <c r="A865" s="50" t="s">
        <v>42</v>
      </c>
      <c r="B865" s="51" t="s">
        <v>155</v>
      </c>
      <c r="C865" s="51" t="s">
        <v>178</v>
      </c>
      <c r="D865" s="52" t="n">
        <v>1</v>
      </c>
      <c r="E865" s="53" t="n">
        <v>78.93</v>
      </c>
      <c r="F865" s="54" t="n">
        <v>78.93</v>
      </c>
      <c r="G865" s="51" t="str">
        <f aca="false">INDEX(SETORES!$B:$B,MATCH(A865,SETORES!$A:$A,0))</f>
        <v>Clientes</v>
      </c>
      <c r="H865" s="51" t="s">
        <v>21</v>
      </c>
    </row>
    <row r="866" customFormat="false" ht="14.25" hidden="false" customHeight="true" outlineLevel="0" collapsed="false">
      <c r="A866" s="50" t="s">
        <v>42</v>
      </c>
      <c r="B866" s="51" t="s">
        <v>157</v>
      </c>
      <c r="C866" s="51" t="s">
        <v>158</v>
      </c>
      <c r="D866" s="52"/>
      <c r="E866" s="53"/>
      <c r="F866" s="54" t="n">
        <f aca="false">IFERROR(D866*E866,0)</f>
        <v>0</v>
      </c>
      <c r="G866" s="51" t="str">
        <f aca="false">INDEX(SETORES!$B:$B,MATCH(A866,SETORES!$A:$A,0))</f>
        <v>Clientes</v>
      </c>
      <c r="H866" s="51" t="s">
        <v>21</v>
      </c>
    </row>
    <row r="867" customFormat="false" ht="14.25" hidden="false" customHeight="true" outlineLevel="0" collapsed="false">
      <c r="A867" s="50" t="s">
        <v>42</v>
      </c>
      <c r="B867" s="51" t="s">
        <v>155</v>
      </c>
      <c r="C867" s="51" t="s">
        <v>173</v>
      </c>
      <c r="D867" s="52" t="n">
        <v>2</v>
      </c>
      <c r="E867" s="53" t="n">
        <v>2.05</v>
      </c>
      <c r="F867" s="54" t="n">
        <f aca="false">IFERROR(D867*E867,0)</f>
        <v>4.1</v>
      </c>
      <c r="G867" s="51" t="str">
        <f aca="false">INDEX(SETORES!$B:$B,MATCH(A867,SETORES!$A:$A,0))</f>
        <v>Clientes</v>
      </c>
      <c r="H867" s="51" t="s">
        <v>21</v>
      </c>
    </row>
    <row r="868" customFormat="false" ht="14.25" hidden="false" customHeight="true" outlineLevel="0" collapsed="false">
      <c r="A868" s="16" t="s">
        <v>42</v>
      </c>
      <c r="B868" s="42" t="s">
        <v>155</v>
      </c>
      <c r="C868" s="42" t="s">
        <v>179</v>
      </c>
      <c r="D868" s="43"/>
      <c r="E868" s="44"/>
      <c r="F868" s="45" t="n">
        <f aca="false">IFERROR(D868*E868,0)</f>
        <v>0</v>
      </c>
      <c r="G868" s="42" t="str">
        <f aca="false">INDEX(SETORES!$B:$B,MATCH(A868,SETORES!$A:$A,0))</f>
        <v>Clientes</v>
      </c>
      <c r="H868" s="42" t="s">
        <v>21</v>
      </c>
    </row>
    <row r="869" customFormat="false" ht="14.25" hidden="false" customHeight="true" outlineLevel="0" collapsed="false">
      <c r="A869" s="16" t="s">
        <v>42</v>
      </c>
      <c r="B869" s="42" t="s">
        <v>157</v>
      </c>
      <c r="C869" s="42" t="s">
        <v>208</v>
      </c>
      <c r="D869" s="43"/>
      <c r="E869" s="44"/>
      <c r="F869" s="45" t="n">
        <f aca="false">IFERROR(D869*E869,0)</f>
        <v>0</v>
      </c>
      <c r="G869" s="42" t="str">
        <f aca="false">INDEX(SETORES!$B:$B,MATCH(A869,SETORES!$A:$A,0))</f>
        <v>Clientes</v>
      </c>
      <c r="H869" s="42" t="s">
        <v>21</v>
      </c>
    </row>
    <row r="870" customFormat="false" ht="14.25" hidden="false" customHeight="true" outlineLevel="0" collapsed="false">
      <c r="A870" s="50" t="s">
        <v>33</v>
      </c>
      <c r="B870" s="51" t="s">
        <v>155</v>
      </c>
      <c r="C870" s="51" t="s">
        <v>162</v>
      </c>
      <c r="D870" s="52" t="n">
        <v>1</v>
      </c>
      <c r="E870" s="53" t="n">
        <v>0.1697</v>
      </c>
      <c r="F870" s="54" t="n">
        <v>0.1697</v>
      </c>
      <c r="G870" s="51" t="str">
        <f aca="false">INDEX(SETORES!$B:$B,MATCH(A870,SETORES!$A:$A,0))</f>
        <v>Funcionários</v>
      </c>
      <c r="H870" s="51" t="s">
        <v>21</v>
      </c>
    </row>
    <row r="871" customFormat="false" ht="14.25" hidden="false" customHeight="true" outlineLevel="0" collapsed="false">
      <c r="A871" s="16" t="s">
        <v>33</v>
      </c>
      <c r="B871" s="42" t="s">
        <v>155</v>
      </c>
      <c r="C871" s="42" t="s">
        <v>163</v>
      </c>
      <c r="D871" s="43" t="n">
        <v>2</v>
      </c>
      <c r="E871" s="44" t="n">
        <v>30</v>
      </c>
      <c r="F871" s="45" t="n">
        <f aca="false">IFERROR(D871*E871,0)</f>
        <v>60</v>
      </c>
      <c r="G871" s="42" t="str">
        <f aca="false">INDEX(SETORES!$B:$B,MATCH(A871,SETORES!$A:$A,0))</f>
        <v>Funcionários</v>
      </c>
      <c r="H871" s="42" t="s">
        <v>21</v>
      </c>
    </row>
    <row r="872" customFormat="false" ht="14.25" hidden="false" customHeight="true" outlineLevel="0" collapsed="false">
      <c r="A872" s="16" t="s">
        <v>33</v>
      </c>
      <c r="B872" s="42" t="s">
        <v>155</v>
      </c>
      <c r="C872" s="42" t="s">
        <v>165</v>
      </c>
      <c r="D872" s="43" t="n">
        <v>7</v>
      </c>
      <c r="E872" s="44" t="n">
        <v>43.54</v>
      </c>
      <c r="F872" s="45" t="n">
        <f aca="false">IFERROR(D872*E872,0)</f>
        <v>304.78</v>
      </c>
      <c r="G872" s="42" t="str">
        <f aca="false">INDEX(SETORES!$B:$B,MATCH(A872,SETORES!$A:$A,0))</f>
        <v>Funcionários</v>
      </c>
      <c r="H872" s="42" t="s">
        <v>21</v>
      </c>
    </row>
    <row r="873" customFormat="false" ht="14.25" hidden="false" customHeight="true" outlineLevel="0" collapsed="false">
      <c r="A873" s="50" t="s">
        <v>33</v>
      </c>
      <c r="B873" s="51" t="s">
        <v>155</v>
      </c>
      <c r="C873" s="51" t="s">
        <v>166</v>
      </c>
      <c r="D873" s="52" t="n">
        <v>7</v>
      </c>
      <c r="E873" s="53" t="n">
        <v>29.74</v>
      </c>
      <c r="F873" s="54" t="n">
        <f aca="false">IFERROR(D873*E873,0)</f>
        <v>208.18</v>
      </c>
      <c r="G873" s="42" t="s">
        <v>99</v>
      </c>
      <c r="H873" s="51" t="s">
        <v>21</v>
      </c>
    </row>
    <row r="874" customFormat="false" ht="14.25" hidden="false" customHeight="true" outlineLevel="0" collapsed="false">
      <c r="A874" s="50" t="s">
        <v>33</v>
      </c>
      <c r="B874" s="51" t="s">
        <v>155</v>
      </c>
      <c r="C874" s="51" t="s">
        <v>167</v>
      </c>
      <c r="D874" s="52" t="n">
        <v>7</v>
      </c>
      <c r="E874" s="53" t="n">
        <v>47.66</v>
      </c>
      <c r="F874" s="54" t="n">
        <f aca="false">IFERROR(D874*E874,0)</f>
        <v>333.62</v>
      </c>
      <c r="G874" s="42" t="s">
        <v>99</v>
      </c>
      <c r="H874" s="51" t="s">
        <v>21</v>
      </c>
    </row>
    <row r="875" customFormat="false" ht="14.25" hidden="false" customHeight="true" outlineLevel="0" collapsed="false">
      <c r="A875" s="16" t="s">
        <v>33</v>
      </c>
      <c r="B875" s="42" t="s">
        <v>155</v>
      </c>
      <c r="C875" s="42" t="s">
        <v>168</v>
      </c>
      <c r="D875" s="43" t="n">
        <v>1</v>
      </c>
      <c r="E875" s="44" t="n">
        <v>57.911</v>
      </c>
      <c r="F875" s="45" t="n">
        <v>57.911</v>
      </c>
      <c r="G875" s="42" t="str">
        <f aca="false">INDEX(SETORES!$B:$B,MATCH(A875,SETORES!$A:$A,0))</f>
        <v>Funcionários</v>
      </c>
      <c r="H875" s="42" t="s">
        <v>21</v>
      </c>
    </row>
    <row r="876" customFormat="false" ht="14.25" hidden="false" customHeight="true" outlineLevel="0" collapsed="false">
      <c r="A876" s="16" t="s">
        <v>33</v>
      </c>
      <c r="B876" s="42" t="s">
        <v>157</v>
      </c>
      <c r="C876" s="42" t="s">
        <v>174</v>
      </c>
      <c r="D876" s="43" t="n">
        <v>1</v>
      </c>
      <c r="E876" s="44" t="n">
        <v>65</v>
      </c>
      <c r="F876" s="45" t="n">
        <f aca="false">IFERROR(D876*E876,0)</f>
        <v>65</v>
      </c>
      <c r="G876" s="42" t="str">
        <f aca="false">INDEX(SETORES!$B:$B,MATCH(A876,SETORES!$A:$A,0))</f>
        <v>Funcionários</v>
      </c>
      <c r="H876" s="42" t="s">
        <v>21</v>
      </c>
    </row>
    <row r="877" customFormat="false" ht="14.25" hidden="false" customHeight="true" outlineLevel="0" collapsed="false">
      <c r="A877" s="16" t="s">
        <v>33</v>
      </c>
      <c r="B877" s="42" t="s">
        <v>157</v>
      </c>
      <c r="C877" s="42" t="s">
        <v>175</v>
      </c>
      <c r="D877" s="43"/>
      <c r="E877" s="44"/>
      <c r="F877" s="45" t="n">
        <f aca="false">IFERROR(D877*E877,0)</f>
        <v>0</v>
      </c>
      <c r="G877" s="42" t="str">
        <f aca="false">INDEX(SETORES!$B:$B,MATCH(A877,SETORES!$A:$A,0))</f>
        <v>Funcionários</v>
      </c>
      <c r="H877" s="42" t="s">
        <v>21</v>
      </c>
    </row>
    <row r="878" customFormat="false" ht="14.25" hidden="false" customHeight="true" outlineLevel="0" collapsed="false">
      <c r="A878" s="50" t="s">
        <v>33</v>
      </c>
      <c r="B878" s="51" t="s">
        <v>157</v>
      </c>
      <c r="C878" s="51" t="s">
        <v>176</v>
      </c>
      <c r="D878" s="52"/>
      <c r="E878" s="53"/>
      <c r="F878" s="54" t="n">
        <f aca="false">IFERROR(D878*E878,0)</f>
        <v>0</v>
      </c>
      <c r="G878" s="51" t="str">
        <f aca="false">INDEX(SETORES!$B:$B,MATCH(A878,SETORES!$A:$A,0))</f>
        <v>Funcionários</v>
      </c>
      <c r="H878" s="51" t="s">
        <v>21</v>
      </c>
    </row>
    <row r="879" customFormat="false" ht="14.25" hidden="false" customHeight="true" outlineLevel="0" collapsed="false">
      <c r="A879" s="50" t="s">
        <v>33</v>
      </c>
      <c r="B879" s="51" t="s">
        <v>155</v>
      </c>
      <c r="C879" s="51" t="s">
        <v>169</v>
      </c>
      <c r="D879" s="52" t="n">
        <v>1</v>
      </c>
      <c r="E879" s="53" t="n">
        <v>43775.11</v>
      </c>
      <c r="F879" s="54" t="n">
        <f aca="false">IFERROR(E879,0)</f>
        <v>43775.11</v>
      </c>
      <c r="G879" s="51" t="str">
        <f aca="false">INDEX(SETORES!$B:$B,MATCH(A879,SETORES!$A:$A,0))</f>
        <v>Funcionários</v>
      </c>
      <c r="H879" s="51" t="s">
        <v>21</v>
      </c>
    </row>
    <row r="880" customFormat="false" ht="14.25" hidden="false" customHeight="true" outlineLevel="0" collapsed="false">
      <c r="A880" s="16" t="s">
        <v>33</v>
      </c>
      <c r="B880" s="42" t="s">
        <v>155</v>
      </c>
      <c r="C880" s="42" t="s">
        <v>170</v>
      </c>
      <c r="D880" s="43" t="n">
        <v>7</v>
      </c>
      <c r="E880" s="44" t="n">
        <v>9.92</v>
      </c>
      <c r="F880" s="45" t="n">
        <f aca="false">IFERROR(D880*E880,0)</f>
        <v>69.44</v>
      </c>
      <c r="G880" s="42" t="str">
        <f aca="false">INDEX(SETORES!$B:$B,MATCH(A880,SETORES!$A:$A,0))</f>
        <v>Funcionários</v>
      </c>
      <c r="H880" s="42" t="s">
        <v>21</v>
      </c>
    </row>
    <row r="881" customFormat="false" ht="14.25" hidden="false" customHeight="true" outlineLevel="0" collapsed="false">
      <c r="A881" s="50" t="s">
        <v>33</v>
      </c>
      <c r="B881" s="51" t="s">
        <v>157</v>
      </c>
      <c r="C881" s="51" t="s">
        <v>209</v>
      </c>
      <c r="D881" s="52"/>
      <c r="E881" s="53"/>
      <c r="F881" s="54" t="n">
        <f aca="false">IFERROR(D881*E881,0)</f>
        <v>0</v>
      </c>
      <c r="G881" s="51" t="str">
        <f aca="false">INDEX(SETORES!$B:$B,MATCH(A881,SETORES!$A:$A,0))</f>
        <v>Funcionários</v>
      </c>
      <c r="H881" s="51" t="s">
        <v>21</v>
      </c>
    </row>
    <row r="882" customFormat="false" ht="14.25" hidden="false" customHeight="true" outlineLevel="0" collapsed="false">
      <c r="A882" s="50" t="s">
        <v>33</v>
      </c>
      <c r="B882" s="51" t="s">
        <v>155</v>
      </c>
      <c r="C882" s="51" t="s">
        <v>183</v>
      </c>
      <c r="D882" s="52" t="n">
        <v>1</v>
      </c>
      <c r="E882" s="53" t="n">
        <v>153.58</v>
      </c>
      <c r="F882" s="54" t="n">
        <f aca="false">IFERROR(D882*E882,0)</f>
        <v>153.58</v>
      </c>
      <c r="G882" s="51" t="str">
        <f aca="false">INDEX(SETORES!$B:$B,MATCH(A882,SETORES!$A:$A,0))</f>
        <v>Funcionários</v>
      </c>
      <c r="H882" s="51" t="s">
        <v>21</v>
      </c>
    </row>
    <row r="883" customFormat="false" ht="14.25" hidden="false" customHeight="true" outlineLevel="0" collapsed="false">
      <c r="A883" s="16" t="s">
        <v>33</v>
      </c>
      <c r="B883" s="42" t="s">
        <v>155</v>
      </c>
      <c r="C883" s="42" t="s">
        <v>172</v>
      </c>
      <c r="D883" s="43" t="n">
        <v>7</v>
      </c>
      <c r="E883" s="44" t="n">
        <v>50</v>
      </c>
      <c r="F883" s="45" t="n">
        <f aca="false">IFERROR(D883*E883,0)</f>
        <v>350</v>
      </c>
      <c r="G883" s="42" t="str">
        <f aca="false">INDEX(SETORES!$B:$B,MATCH(A883,SETORES!$A:$A,0))</f>
        <v>Funcionários</v>
      </c>
      <c r="H883" s="42" t="s">
        <v>21</v>
      </c>
    </row>
    <row r="884" customFormat="false" ht="14.25" hidden="false" customHeight="true" outlineLevel="0" collapsed="false">
      <c r="A884" s="50" t="s">
        <v>33</v>
      </c>
      <c r="B884" s="51" t="s">
        <v>155</v>
      </c>
      <c r="C884" s="51" t="s">
        <v>210</v>
      </c>
      <c r="D884" s="52" t="n">
        <v>1</v>
      </c>
      <c r="E884" s="53" t="n">
        <v>2559.44</v>
      </c>
      <c r="F884" s="54" t="n">
        <f aca="false">IFERROR(D884*E884,0)</f>
        <v>2559.44</v>
      </c>
      <c r="G884" s="51" t="str">
        <f aca="false">INDEX(SETORES!$B:$B,MATCH(A884,SETORES!$A:$A,0))</f>
        <v>Funcionários</v>
      </c>
      <c r="H884" s="51" t="s">
        <v>21</v>
      </c>
    </row>
    <row r="885" customFormat="false" ht="14.25" hidden="false" customHeight="true" outlineLevel="0" collapsed="false">
      <c r="A885" s="16" t="s">
        <v>33</v>
      </c>
      <c r="B885" s="42" t="s">
        <v>155</v>
      </c>
      <c r="C885" s="42" t="s">
        <v>177</v>
      </c>
      <c r="D885" s="43"/>
      <c r="E885" s="44"/>
      <c r="F885" s="45" t="n">
        <v>0</v>
      </c>
      <c r="G885" s="42" t="str">
        <f aca="false">INDEX(SETORES!$B:$B,MATCH(A885,SETORES!$A:$A,0))</f>
        <v>Funcionários</v>
      </c>
      <c r="H885" s="42" t="s">
        <v>21</v>
      </c>
    </row>
    <row r="886" customFormat="false" ht="14.25" hidden="false" customHeight="true" outlineLevel="0" collapsed="false">
      <c r="A886" s="50" t="s">
        <v>33</v>
      </c>
      <c r="B886" s="51" t="s">
        <v>155</v>
      </c>
      <c r="C886" s="51" t="s">
        <v>178</v>
      </c>
      <c r="D886" s="52" t="n">
        <v>1</v>
      </c>
      <c r="E886" s="53" t="n">
        <v>75.54</v>
      </c>
      <c r="F886" s="54" t="n">
        <v>75.54</v>
      </c>
      <c r="G886" s="51" t="str">
        <f aca="false">INDEX(SETORES!$B:$B,MATCH(A886,SETORES!$A:$A,0))</f>
        <v>Funcionários</v>
      </c>
      <c r="H886" s="51" t="s">
        <v>21</v>
      </c>
    </row>
    <row r="887" customFormat="false" ht="14.25" hidden="false" customHeight="true" outlineLevel="0" collapsed="false">
      <c r="A887" s="16" t="s">
        <v>33</v>
      </c>
      <c r="B887" s="42" t="s">
        <v>155</v>
      </c>
      <c r="C887" s="42" t="s">
        <v>211</v>
      </c>
      <c r="D887" s="43" t="n">
        <v>1</v>
      </c>
      <c r="E887" s="44" t="n">
        <v>4226.8</v>
      </c>
      <c r="F887" s="45" t="n">
        <f aca="false">IFERROR(D887*E887,0)</f>
        <v>4226.8</v>
      </c>
      <c r="G887" s="42" t="str">
        <f aca="false">INDEX(SETORES!$B:$B,MATCH(A887,SETORES!$A:$A,0))</f>
        <v>Funcionários</v>
      </c>
      <c r="H887" s="42" t="s">
        <v>21</v>
      </c>
    </row>
    <row r="888" customFormat="false" ht="14.25" hidden="false" customHeight="true" outlineLevel="0" collapsed="false">
      <c r="A888" s="50" t="s">
        <v>33</v>
      </c>
      <c r="B888" s="51" t="s">
        <v>155</v>
      </c>
      <c r="C888" s="51" t="s">
        <v>212</v>
      </c>
      <c r="D888" s="52" t="n">
        <v>1</v>
      </c>
      <c r="E888" s="53" t="n">
        <v>3800</v>
      </c>
      <c r="F888" s="54" t="n">
        <f aca="false">IFERROR(D888*E888,0)</f>
        <v>3800</v>
      </c>
      <c r="G888" s="51" t="str">
        <f aca="false">INDEX(SETORES!$B:$B,MATCH(A888,SETORES!$A:$A,0))</f>
        <v>Funcionários</v>
      </c>
      <c r="H888" s="51" t="s">
        <v>21</v>
      </c>
    </row>
    <row r="889" customFormat="false" ht="14.25" hidden="false" customHeight="true" outlineLevel="0" collapsed="false">
      <c r="A889" s="16" t="s">
        <v>33</v>
      </c>
      <c r="B889" s="42" t="s">
        <v>155</v>
      </c>
      <c r="C889" s="42" t="s">
        <v>213</v>
      </c>
      <c r="D889" s="43" t="n">
        <v>1</v>
      </c>
      <c r="E889" s="44" t="n">
        <v>1099.93</v>
      </c>
      <c r="F889" s="45" t="n">
        <f aca="false">IFERROR(D889*E889,0)</f>
        <v>1099.93</v>
      </c>
      <c r="G889" s="42" t="str">
        <f aca="false">INDEX(SETORES!$B:$B,MATCH(A889,SETORES!$A:$A,0))</f>
        <v>Funcionários</v>
      </c>
      <c r="H889" s="42" t="s">
        <v>21</v>
      </c>
    </row>
    <row r="890" customFormat="false" ht="14.25" hidden="false" customHeight="true" outlineLevel="0" collapsed="false">
      <c r="A890" s="50" t="s">
        <v>33</v>
      </c>
      <c r="B890" s="51" t="s">
        <v>155</v>
      </c>
      <c r="C890" s="51" t="s">
        <v>173</v>
      </c>
      <c r="D890" s="52" t="n">
        <v>7</v>
      </c>
      <c r="E890" s="53" t="n">
        <v>2.05</v>
      </c>
      <c r="F890" s="54" t="n">
        <f aca="false">IFERROR(D890*E890,0)</f>
        <v>14.35</v>
      </c>
      <c r="G890" s="51" t="str">
        <f aca="false">INDEX(SETORES!$B:$B,MATCH(A890,SETORES!$A:$A,0))</f>
        <v>Funcionários</v>
      </c>
      <c r="H890" s="51" t="s">
        <v>21</v>
      </c>
    </row>
    <row r="891" customFormat="false" ht="14.25" hidden="false" customHeight="true" outlineLevel="0" collapsed="false">
      <c r="A891" s="16" t="s">
        <v>33</v>
      </c>
      <c r="B891" s="42" t="s">
        <v>155</v>
      </c>
      <c r="C891" s="42" t="s">
        <v>179</v>
      </c>
      <c r="D891" s="43"/>
      <c r="E891" s="44"/>
      <c r="F891" s="45" t="n">
        <f aca="false">IFERROR(D891*E891,0)</f>
        <v>0</v>
      </c>
      <c r="G891" s="42" t="str">
        <f aca="false">INDEX(SETORES!$B:$B,MATCH(A891,SETORES!$A:$A,0))</f>
        <v>Funcionários</v>
      </c>
      <c r="H891" s="42" t="s">
        <v>21</v>
      </c>
    </row>
    <row r="892" customFormat="false" ht="14.25" hidden="false" customHeight="true" outlineLevel="0" collapsed="false">
      <c r="A892" s="16" t="s">
        <v>45</v>
      </c>
      <c r="B892" s="42" t="s">
        <v>155</v>
      </c>
      <c r="C892" s="42" t="s">
        <v>162</v>
      </c>
      <c r="D892" s="43" t="n">
        <v>10</v>
      </c>
      <c r="E892" s="44" t="n">
        <v>29.6003</v>
      </c>
      <c r="F892" s="45" t="n">
        <v>33.247</v>
      </c>
      <c r="G892" s="42" t="str">
        <f aca="false">INDEX(SETORES!$B:$B,MATCH(A892,SETORES!$A:$A,0))</f>
        <v>Clientes</v>
      </c>
      <c r="H892" s="42" t="s">
        <v>21</v>
      </c>
    </row>
    <row r="893" customFormat="false" ht="14.25" hidden="false" customHeight="true" outlineLevel="0" collapsed="false">
      <c r="A893" s="50" t="s">
        <v>45</v>
      </c>
      <c r="B893" s="51" t="s">
        <v>155</v>
      </c>
      <c r="C893" s="51" t="s">
        <v>163</v>
      </c>
      <c r="D893" s="52" t="n">
        <v>8</v>
      </c>
      <c r="E893" s="53" t="n">
        <v>30</v>
      </c>
      <c r="F893" s="54" t="n">
        <f aca="false">IFERROR(D893*E893,0)</f>
        <v>240</v>
      </c>
      <c r="G893" s="51" t="str">
        <f aca="false">INDEX(SETORES!$B:$B,MATCH(A893,SETORES!$A:$A,0))</f>
        <v>Clientes</v>
      </c>
      <c r="H893" s="51" t="s">
        <v>21</v>
      </c>
    </row>
    <row r="894" customFormat="false" ht="14.25" hidden="false" customHeight="true" outlineLevel="0" collapsed="false">
      <c r="A894" s="16" t="s">
        <v>45</v>
      </c>
      <c r="B894" s="42" t="s">
        <v>157</v>
      </c>
      <c r="C894" s="42" t="s">
        <v>199</v>
      </c>
      <c r="D894" s="43" t="n">
        <v>1</v>
      </c>
      <c r="E894" s="44" t="n">
        <v>6506.65</v>
      </c>
      <c r="F894" s="45" t="n">
        <f aca="false">IFERROR(D894*E894,0)</f>
        <v>6506.65</v>
      </c>
      <c r="G894" s="42" t="str">
        <f aca="false">INDEX(SETORES!$B:$B,MATCH(A894,SETORES!$A:$A,0))</f>
        <v>Clientes</v>
      </c>
      <c r="H894" s="42" t="s">
        <v>21</v>
      </c>
    </row>
    <row r="895" customFormat="false" ht="14.25" hidden="false" customHeight="true" outlineLevel="0" collapsed="false">
      <c r="A895" s="50" t="s">
        <v>45</v>
      </c>
      <c r="B895" s="51" t="s">
        <v>155</v>
      </c>
      <c r="C895" s="51" t="s">
        <v>205</v>
      </c>
      <c r="D895" s="52" t="n">
        <v>1</v>
      </c>
      <c r="E895" s="53" t="n">
        <v>1771.7</v>
      </c>
      <c r="F895" s="54" t="n">
        <f aca="false">IFERROR(D895*E895,0)</f>
        <v>1771.7</v>
      </c>
      <c r="G895" s="51" t="str">
        <f aca="false">INDEX(SETORES!$B:$B,MATCH(A895,SETORES!$A:$A,0))</f>
        <v>Clientes</v>
      </c>
      <c r="H895" s="51" t="s">
        <v>21</v>
      </c>
    </row>
    <row r="896" customFormat="false" ht="14.25" hidden="false" customHeight="true" outlineLevel="0" collapsed="false">
      <c r="A896" s="16" t="s">
        <v>45</v>
      </c>
      <c r="B896" s="42" t="s">
        <v>155</v>
      </c>
      <c r="C896" s="42" t="s">
        <v>165</v>
      </c>
      <c r="D896" s="43" t="n">
        <v>10</v>
      </c>
      <c r="E896" s="44" t="n">
        <v>43.54</v>
      </c>
      <c r="F896" s="45" t="n">
        <f aca="false">IFERROR(D896*E896,0)</f>
        <v>435.4</v>
      </c>
      <c r="G896" s="42" t="s">
        <v>99</v>
      </c>
      <c r="H896" s="42" t="s">
        <v>21</v>
      </c>
    </row>
    <row r="897" customFormat="false" ht="14.25" hidden="false" customHeight="true" outlineLevel="0" collapsed="false">
      <c r="A897" s="50" t="s">
        <v>45</v>
      </c>
      <c r="B897" s="51" t="s">
        <v>155</v>
      </c>
      <c r="C897" s="51" t="s">
        <v>166</v>
      </c>
      <c r="D897" s="52" t="n">
        <v>10</v>
      </c>
      <c r="E897" s="53" t="n">
        <v>29.74</v>
      </c>
      <c r="F897" s="54" t="n">
        <f aca="false">IFERROR(D897*E897,0)</f>
        <v>297.4</v>
      </c>
      <c r="G897" s="42" t="s">
        <v>99</v>
      </c>
      <c r="H897" s="51" t="s">
        <v>21</v>
      </c>
    </row>
    <row r="898" customFormat="false" ht="14.25" hidden="false" customHeight="true" outlineLevel="0" collapsed="false">
      <c r="A898" s="50" t="s">
        <v>45</v>
      </c>
      <c r="B898" s="51" t="s">
        <v>155</v>
      </c>
      <c r="C898" s="51" t="s">
        <v>167</v>
      </c>
      <c r="D898" s="52" t="n">
        <v>10</v>
      </c>
      <c r="E898" s="53" t="n">
        <v>47.66</v>
      </c>
      <c r="F898" s="54" t="n">
        <f aca="false">IFERROR(D898*E898,0)</f>
        <v>476.6</v>
      </c>
      <c r="G898" s="42" t="s">
        <v>99</v>
      </c>
      <c r="H898" s="51" t="s">
        <v>21</v>
      </c>
    </row>
    <row r="899" customFormat="false" ht="14.25" hidden="false" customHeight="true" outlineLevel="0" collapsed="false">
      <c r="A899" s="16" t="s">
        <v>45</v>
      </c>
      <c r="B899" s="42" t="s">
        <v>157</v>
      </c>
      <c r="C899" s="42" t="s">
        <v>191</v>
      </c>
      <c r="D899" s="43"/>
      <c r="E899" s="44"/>
      <c r="F899" s="45" t="n">
        <f aca="false">IFERROR(D899*E899,0)</f>
        <v>0</v>
      </c>
      <c r="G899" s="42" t="str">
        <f aca="false">INDEX(SETORES!$B:$B,MATCH(A899,SETORES!$A:$A,0))</f>
        <v>Clientes</v>
      </c>
      <c r="H899" s="42" t="s">
        <v>21</v>
      </c>
    </row>
    <row r="900" customFormat="false" ht="14.25" hidden="false" customHeight="true" outlineLevel="0" collapsed="false">
      <c r="A900" s="50" t="s">
        <v>45</v>
      </c>
      <c r="B900" s="51" t="s">
        <v>155</v>
      </c>
      <c r="C900" s="51" t="s">
        <v>168</v>
      </c>
      <c r="D900" s="52" t="n">
        <v>10</v>
      </c>
      <c r="E900" s="53" t="n">
        <v>147.3902</v>
      </c>
      <c r="F900" s="54" t="n">
        <v>212.582</v>
      </c>
      <c r="G900" s="51" t="str">
        <f aca="false">INDEX(SETORES!$B:$B,MATCH(A900,SETORES!$A:$A,0))</f>
        <v>Clientes</v>
      </c>
      <c r="H900" s="51" t="s">
        <v>21</v>
      </c>
    </row>
    <row r="901" customFormat="false" ht="14.25" hidden="false" customHeight="true" outlineLevel="0" collapsed="false">
      <c r="A901" s="50" t="s">
        <v>45</v>
      </c>
      <c r="B901" s="51" t="s">
        <v>157</v>
      </c>
      <c r="C901" s="51" t="s">
        <v>175</v>
      </c>
      <c r="D901" s="52" t="n">
        <v>2</v>
      </c>
      <c r="E901" s="53" t="n">
        <v>68</v>
      </c>
      <c r="F901" s="54" t="n">
        <f aca="false">IFERROR(D901*E901,0)</f>
        <v>136</v>
      </c>
      <c r="G901" s="51" t="str">
        <f aca="false">INDEX(SETORES!$B:$B,MATCH(A901,SETORES!$A:$A,0))</f>
        <v>Clientes</v>
      </c>
      <c r="H901" s="51" t="s">
        <v>21</v>
      </c>
    </row>
    <row r="902" customFormat="false" ht="14.25" hidden="false" customHeight="true" outlineLevel="0" collapsed="false">
      <c r="A902" s="16" t="s">
        <v>45</v>
      </c>
      <c r="B902" s="42" t="s">
        <v>157</v>
      </c>
      <c r="C902" s="42" t="s">
        <v>176</v>
      </c>
      <c r="D902" s="43"/>
      <c r="E902" s="44"/>
      <c r="F902" s="45" t="n">
        <f aca="false">IFERROR(D902*E902,0)</f>
        <v>0</v>
      </c>
      <c r="G902" s="42" t="str">
        <f aca="false">INDEX(SETORES!$B:$B,MATCH(A902,SETORES!$A:$A,0))</f>
        <v>Clientes</v>
      </c>
      <c r="H902" s="42" t="s">
        <v>21</v>
      </c>
    </row>
    <row r="903" customFormat="false" ht="14.25" hidden="false" customHeight="true" outlineLevel="0" collapsed="false">
      <c r="A903" s="16" t="s">
        <v>45</v>
      </c>
      <c r="B903" s="42" t="s">
        <v>155</v>
      </c>
      <c r="C903" s="42" t="s">
        <v>169</v>
      </c>
      <c r="D903" s="43" t="n">
        <v>1</v>
      </c>
      <c r="E903" s="44" t="n">
        <v>62444.09</v>
      </c>
      <c r="F903" s="45" t="n">
        <f aca="false">IFERROR(E903,0)</f>
        <v>62444.09</v>
      </c>
      <c r="G903" s="42" t="str">
        <f aca="false">INDEX(SETORES!$B:$B,MATCH(A903,SETORES!$A:$A,0))</f>
        <v>Clientes</v>
      </c>
      <c r="H903" s="42" t="s">
        <v>21</v>
      </c>
    </row>
    <row r="904" customFormat="false" ht="14.25" hidden="false" customHeight="true" outlineLevel="0" collapsed="false">
      <c r="A904" s="16" t="s">
        <v>45</v>
      </c>
      <c r="B904" s="42" t="s">
        <v>155</v>
      </c>
      <c r="C904" s="42" t="s">
        <v>170</v>
      </c>
      <c r="D904" s="43" t="n">
        <v>10</v>
      </c>
      <c r="E904" s="44" t="n">
        <v>9.92</v>
      </c>
      <c r="F904" s="45" t="n">
        <f aca="false">IFERROR(D904*E904,0)</f>
        <v>99.2</v>
      </c>
      <c r="G904" s="42" t="str">
        <f aca="false">INDEX(SETORES!$B:$B,MATCH(A904,SETORES!$A:$A,0))</f>
        <v>Clientes</v>
      </c>
      <c r="H904" s="42" t="s">
        <v>21</v>
      </c>
    </row>
    <row r="905" customFormat="false" ht="14.25" hidden="false" customHeight="true" outlineLevel="0" collapsed="false">
      <c r="A905" s="50" t="s">
        <v>45</v>
      </c>
      <c r="B905" s="51" t="s">
        <v>155</v>
      </c>
      <c r="C905" s="51" t="s">
        <v>183</v>
      </c>
      <c r="D905" s="52" t="n">
        <v>1</v>
      </c>
      <c r="E905" s="53" t="n">
        <v>128.68</v>
      </c>
      <c r="F905" s="54" t="n">
        <f aca="false">IFERROR(D905*E905,0)</f>
        <v>128.68</v>
      </c>
      <c r="G905" s="51" t="str">
        <f aca="false">INDEX(SETORES!$B:$B,MATCH(A905,SETORES!$A:$A,0))</f>
        <v>Clientes</v>
      </c>
      <c r="H905" s="51" t="s">
        <v>21</v>
      </c>
    </row>
    <row r="906" customFormat="false" ht="14.25" hidden="false" customHeight="true" outlineLevel="0" collapsed="false">
      <c r="A906" s="50" t="s">
        <v>45</v>
      </c>
      <c r="B906" s="51" t="s">
        <v>155</v>
      </c>
      <c r="C906" s="51" t="s">
        <v>172</v>
      </c>
      <c r="D906" s="52" t="n">
        <v>14</v>
      </c>
      <c r="E906" s="53" t="n">
        <v>44.29</v>
      </c>
      <c r="F906" s="54" t="n">
        <f aca="false">IFERROR(D906*E906,0)</f>
        <v>620.06</v>
      </c>
      <c r="G906" s="51" t="str">
        <f aca="false">INDEX(SETORES!$B:$B,MATCH(A906,SETORES!$A:$A,0))</f>
        <v>Clientes</v>
      </c>
      <c r="H906" s="51" t="s">
        <v>21</v>
      </c>
    </row>
    <row r="907" customFormat="false" ht="14.25" hidden="false" customHeight="true" outlineLevel="0" collapsed="false">
      <c r="A907" s="16" t="s">
        <v>45</v>
      </c>
      <c r="B907" s="42" t="s">
        <v>155</v>
      </c>
      <c r="C907" s="42" t="s">
        <v>177</v>
      </c>
      <c r="D907" s="43"/>
      <c r="E907" s="44"/>
      <c r="F907" s="45" t="n">
        <v>0</v>
      </c>
      <c r="G907" s="42" t="str">
        <f aca="false">INDEX(SETORES!$B:$B,MATCH(A907,SETORES!$A:$A,0))</f>
        <v>Clientes</v>
      </c>
      <c r="H907" s="42" t="s">
        <v>21</v>
      </c>
    </row>
    <row r="908" customFormat="false" ht="14.25" hidden="false" customHeight="true" outlineLevel="0" collapsed="false">
      <c r="A908" s="50" t="s">
        <v>45</v>
      </c>
      <c r="B908" s="51" t="s">
        <v>155</v>
      </c>
      <c r="C908" s="51" t="s">
        <v>178</v>
      </c>
      <c r="D908" s="52"/>
      <c r="E908" s="53"/>
      <c r="F908" s="54" t="n">
        <v>0</v>
      </c>
      <c r="G908" s="51" t="str">
        <f aca="false">INDEX(SETORES!$B:$B,MATCH(A908,SETORES!$A:$A,0))</f>
        <v>Clientes</v>
      </c>
      <c r="H908" s="51" t="s">
        <v>21</v>
      </c>
    </row>
    <row r="909" customFormat="false" ht="14.25" hidden="false" customHeight="true" outlineLevel="0" collapsed="false">
      <c r="A909" s="50" t="s">
        <v>45</v>
      </c>
      <c r="B909" s="51" t="s">
        <v>157</v>
      </c>
      <c r="C909" s="51" t="s">
        <v>184</v>
      </c>
      <c r="D909" s="52" t="n">
        <v>10</v>
      </c>
      <c r="E909" s="44" t="n">
        <v>65.93</v>
      </c>
      <c r="F909" s="54" t="n">
        <f aca="false">IFERROR(D909*E909,0)</f>
        <v>659.3</v>
      </c>
      <c r="G909" s="51" t="str">
        <f aca="false">INDEX(SETORES!$B:$B,MATCH(A909,SETORES!$A:$A,0))</f>
        <v>Clientes</v>
      </c>
      <c r="H909" s="51" t="s">
        <v>21</v>
      </c>
    </row>
    <row r="910" customFormat="false" ht="14.25" hidden="false" customHeight="true" outlineLevel="0" collapsed="false">
      <c r="A910" s="16" t="s">
        <v>45</v>
      </c>
      <c r="B910" s="42" t="s">
        <v>157</v>
      </c>
      <c r="C910" s="42" t="s">
        <v>158</v>
      </c>
      <c r="D910" s="43" t="n">
        <v>1</v>
      </c>
      <c r="E910" s="44" t="n">
        <v>14703.68</v>
      </c>
      <c r="F910" s="45" t="n">
        <f aca="false">IFERROR(D910*E910,0)</f>
        <v>14703.68</v>
      </c>
      <c r="G910" s="42" t="str">
        <f aca="false">INDEX(SETORES!$B:$B,MATCH(A910,SETORES!$A:$A,0))</f>
        <v>Clientes</v>
      </c>
      <c r="H910" s="42" t="s">
        <v>21</v>
      </c>
    </row>
    <row r="911" customFormat="false" ht="14.25" hidden="false" customHeight="true" outlineLevel="0" collapsed="false">
      <c r="A911" s="16" t="s">
        <v>45</v>
      </c>
      <c r="B911" s="42" t="s">
        <v>155</v>
      </c>
      <c r="C911" s="42" t="s">
        <v>214</v>
      </c>
      <c r="D911" s="43" t="n">
        <v>1</v>
      </c>
      <c r="E911" s="44" t="n">
        <v>666.2</v>
      </c>
      <c r="F911" s="45" t="n">
        <f aca="false">IFERROR(D911*E911,0)</f>
        <v>666.2</v>
      </c>
      <c r="G911" s="42" t="str">
        <f aca="false">INDEX(SETORES!$B:$B,MATCH(A911,SETORES!$A:$A,0))</f>
        <v>Clientes</v>
      </c>
      <c r="H911" s="42" t="s">
        <v>21</v>
      </c>
    </row>
    <row r="912" customFormat="false" ht="14.25" hidden="false" customHeight="true" outlineLevel="0" collapsed="false">
      <c r="A912" s="50" t="s">
        <v>45</v>
      </c>
      <c r="B912" s="51" t="s">
        <v>155</v>
      </c>
      <c r="C912" s="51" t="s">
        <v>173</v>
      </c>
      <c r="D912" s="52" t="n">
        <v>10</v>
      </c>
      <c r="E912" s="53" t="n">
        <v>2.05</v>
      </c>
      <c r="F912" s="54" t="n">
        <f aca="false">IFERROR(D912*E912,0)</f>
        <v>20.5</v>
      </c>
      <c r="G912" s="51" t="str">
        <f aca="false">INDEX(SETORES!$B:$B,MATCH(A912,SETORES!$A:$A,0))</f>
        <v>Clientes</v>
      </c>
      <c r="H912" s="51" t="s">
        <v>21</v>
      </c>
    </row>
    <row r="913" customFormat="false" ht="14.25" hidden="false" customHeight="true" outlineLevel="0" collapsed="false">
      <c r="A913" s="50" t="s">
        <v>45</v>
      </c>
      <c r="B913" s="51" t="s">
        <v>155</v>
      </c>
      <c r="C913" s="42" t="s">
        <v>163</v>
      </c>
      <c r="D913" s="52"/>
      <c r="E913" s="53"/>
      <c r="F913" s="54" t="n">
        <f aca="false">IFERROR(D913*E913,0)</f>
        <v>0</v>
      </c>
      <c r="G913" s="51" t="str">
        <f aca="false">INDEX(SETORES!$B:$B,MATCH(A913,SETORES!$A:$A,0))</f>
        <v>Clientes</v>
      </c>
      <c r="H913" s="51" t="s">
        <v>21</v>
      </c>
    </row>
    <row r="914" customFormat="false" ht="14.25" hidden="false" customHeight="true" outlineLevel="0" collapsed="false">
      <c r="A914" s="50" t="s">
        <v>50</v>
      </c>
      <c r="B914" s="51" t="s">
        <v>155</v>
      </c>
      <c r="C914" s="51" t="s">
        <v>162</v>
      </c>
      <c r="D914" s="52" t="n">
        <v>16</v>
      </c>
      <c r="E914" s="53" t="n">
        <v>29.6003</v>
      </c>
      <c r="F914" s="54" t="n">
        <v>53.1952</v>
      </c>
      <c r="G914" s="51" t="str">
        <f aca="false">INDEX(SETORES!$B:$B,MATCH(A914,SETORES!$A:$A,0))</f>
        <v>Clientes</v>
      </c>
      <c r="H914" s="51" t="s">
        <v>21</v>
      </c>
    </row>
    <row r="915" customFormat="false" ht="14.25" hidden="false" customHeight="true" outlineLevel="0" collapsed="false">
      <c r="A915" s="50" t="s">
        <v>50</v>
      </c>
      <c r="B915" s="51" t="s">
        <v>155</v>
      </c>
      <c r="C915" s="51" t="s">
        <v>165</v>
      </c>
      <c r="D915" s="52" t="n">
        <v>16</v>
      </c>
      <c r="E915" s="53" t="n">
        <v>43.54</v>
      </c>
      <c r="F915" s="54" t="n">
        <f aca="false">IFERROR(D915*E915,0)</f>
        <v>696.64</v>
      </c>
      <c r="G915" s="51" t="s">
        <v>99</v>
      </c>
      <c r="H915" s="51" t="s">
        <v>21</v>
      </c>
    </row>
    <row r="916" customFormat="false" ht="14.25" hidden="false" customHeight="true" outlineLevel="0" collapsed="false">
      <c r="A916" s="16" t="s">
        <v>50</v>
      </c>
      <c r="B916" s="42" t="s">
        <v>155</v>
      </c>
      <c r="C916" s="42" t="s">
        <v>166</v>
      </c>
      <c r="D916" s="43" t="n">
        <v>16</v>
      </c>
      <c r="E916" s="44" t="n">
        <v>29.74</v>
      </c>
      <c r="F916" s="45" t="n">
        <f aca="false">IFERROR(D916*E916,0)</f>
        <v>475.84</v>
      </c>
      <c r="G916" s="42" t="s">
        <v>99</v>
      </c>
      <c r="H916" s="42" t="s">
        <v>21</v>
      </c>
    </row>
    <row r="917" customFormat="false" ht="14.25" hidden="false" customHeight="true" outlineLevel="0" collapsed="false">
      <c r="A917" s="16" t="s">
        <v>50</v>
      </c>
      <c r="B917" s="42" t="s">
        <v>155</v>
      </c>
      <c r="C917" s="42" t="s">
        <v>167</v>
      </c>
      <c r="D917" s="43" t="n">
        <v>16</v>
      </c>
      <c r="E917" s="44" t="n">
        <v>47.66</v>
      </c>
      <c r="F917" s="45" t="n">
        <f aca="false">IFERROR(D917*E917,0)</f>
        <v>762.56</v>
      </c>
      <c r="G917" s="42" t="s">
        <v>99</v>
      </c>
      <c r="H917" s="42" t="s">
        <v>21</v>
      </c>
    </row>
    <row r="918" customFormat="false" ht="14.25" hidden="false" customHeight="true" outlineLevel="0" collapsed="false">
      <c r="A918" s="16" t="s">
        <v>50</v>
      </c>
      <c r="B918" s="42" t="s">
        <v>155</v>
      </c>
      <c r="C918" s="42" t="s">
        <v>168</v>
      </c>
      <c r="D918" s="43" t="n">
        <v>16</v>
      </c>
      <c r="E918" s="44" t="n">
        <v>147.3902</v>
      </c>
      <c r="F918" s="45" t="n">
        <v>340.1312</v>
      </c>
      <c r="G918" s="42" t="str">
        <f aca="false">INDEX(SETORES!$B:$B,MATCH(A918,SETORES!$A:$A,0))</f>
        <v>Clientes</v>
      </c>
      <c r="H918" s="42" t="s">
        <v>21</v>
      </c>
    </row>
    <row r="919" customFormat="false" ht="14.25" hidden="false" customHeight="true" outlineLevel="0" collapsed="false">
      <c r="A919" s="16" t="s">
        <v>50</v>
      </c>
      <c r="B919" s="42" t="s">
        <v>157</v>
      </c>
      <c r="C919" s="42" t="s">
        <v>174</v>
      </c>
      <c r="D919" s="43" t="n">
        <v>1</v>
      </c>
      <c r="E919" s="44" t="n">
        <v>100</v>
      </c>
      <c r="F919" s="45" t="n">
        <f aca="false">IFERROR(D919*E919,0)</f>
        <v>100</v>
      </c>
      <c r="G919" s="42" t="str">
        <f aca="false">INDEX(SETORES!$B:$B,MATCH(A919,SETORES!$A:$A,0))</f>
        <v>Clientes</v>
      </c>
      <c r="H919" s="42" t="s">
        <v>21</v>
      </c>
    </row>
    <row r="920" customFormat="false" ht="14.25" hidden="false" customHeight="true" outlineLevel="0" collapsed="false">
      <c r="A920" s="16" t="s">
        <v>50</v>
      </c>
      <c r="B920" s="42" t="s">
        <v>157</v>
      </c>
      <c r="C920" s="42" t="s">
        <v>175</v>
      </c>
      <c r="D920" s="43" t="n">
        <v>4</v>
      </c>
      <c r="E920" s="44" t="n">
        <v>33.75</v>
      </c>
      <c r="F920" s="45" t="n">
        <f aca="false">IFERROR(D920*E920,0)</f>
        <v>135</v>
      </c>
      <c r="G920" s="42" t="str">
        <f aca="false">INDEX(SETORES!$B:$B,MATCH(A920,SETORES!$A:$A,0))</f>
        <v>Clientes</v>
      </c>
      <c r="H920" s="42" t="s">
        <v>21</v>
      </c>
    </row>
    <row r="921" customFormat="false" ht="14.25" hidden="false" customHeight="true" outlineLevel="0" collapsed="false">
      <c r="A921" s="50" t="s">
        <v>50</v>
      </c>
      <c r="B921" s="51" t="s">
        <v>157</v>
      </c>
      <c r="C921" s="51" t="s">
        <v>176</v>
      </c>
      <c r="D921" s="52"/>
      <c r="E921" s="53"/>
      <c r="F921" s="54" t="n">
        <f aca="false">IFERROR(D921*E921,0)</f>
        <v>0</v>
      </c>
      <c r="G921" s="51" t="str">
        <f aca="false">INDEX(SETORES!$B:$B,MATCH(A921,SETORES!$A:$A,0))</f>
        <v>Clientes</v>
      </c>
      <c r="H921" s="51" t="s">
        <v>21</v>
      </c>
    </row>
    <row r="922" customFormat="false" ht="14.25" hidden="false" customHeight="true" outlineLevel="0" collapsed="false">
      <c r="A922" s="50" t="s">
        <v>50</v>
      </c>
      <c r="B922" s="51" t="s">
        <v>155</v>
      </c>
      <c r="C922" s="51" t="s">
        <v>169</v>
      </c>
      <c r="D922" s="52" t="n">
        <v>1</v>
      </c>
      <c r="E922" s="53" t="n">
        <v>82507.09</v>
      </c>
      <c r="F922" s="54" t="n">
        <f aca="false">IFERROR(E922,0)</f>
        <v>82507.09</v>
      </c>
      <c r="G922" s="51" t="str">
        <f aca="false">INDEX(SETORES!$B:$B,MATCH(A922,SETORES!$A:$A,0))</f>
        <v>Clientes</v>
      </c>
      <c r="H922" s="51" t="s">
        <v>21</v>
      </c>
    </row>
    <row r="923" customFormat="false" ht="14.25" hidden="false" customHeight="true" outlineLevel="0" collapsed="false">
      <c r="A923" s="50" t="s">
        <v>50</v>
      </c>
      <c r="B923" s="51" t="s">
        <v>155</v>
      </c>
      <c r="C923" s="51" t="s">
        <v>170</v>
      </c>
      <c r="D923" s="52" t="n">
        <v>16</v>
      </c>
      <c r="E923" s="53" t="n">
        <v>9.92</v>
      </c>
      <c r="F923" s="54" t="n">
        <f aca="false">IFERROR(D923*E923,0)</f>
        <v>158.72</v>
      </c>
      <c r="G923" s="51" t="str">
        <f aca="false">INDEX(SETORES!$B:$B,MATCH(A923,SETORES!$A:$A,0))</f>
        <v>Clientes</v>
      </c>
      <c r="H923" s="51" t="s">
        <v>21</v>
      </c>
    </row>
    <row r="924" customFormat="false" ht="14.25" hidden="false" customHeight="true" outlineLevel="0" collapsed="false">
      <c r="A924" s="16" t="s">
        <v>50</v>
      </c>
      <c r="B924" s="42" t="s">
        <v>155</v>
      </c>
      <c r="C924" s="42" t="s">
        <v>183</v>
      </c>
      <c r="D924" s="43" t="n">
        <v>1</v>
      </c>
      <c r="E924" s="44" t="n">
        <v>153.58</v>
      </c>
      <c r="F924" s="45" t="n">
        <f aca="false">IFERROR(D924*E924,0)</f>
        <v>153.58</v>
      </c>
      <c r="G924" s="42" t="str">
        <f aca="false">INDEX(SETORES!$B:$B,MATCH(A924,SETORES!$A:$A,0))</f>
        <v>Clientes</v>
      </c>
      <c r="H924" s="42" t="s">
        <v>21</v>
      </c>
    </row>
    <row r="925" customFormat="false" ht="14.25" hidden="false" customHeight="true" outlineLevel="0" collapsed="false">
      <c r="A925" s="50" t="s">
        <v>50</v>
      </c>
      <c r="B925" s="51" t="s">
        <v>155</v>
      </c>
      <c r="C925" s="51" t="s">
        <v>172</v>
      </c>
      <c r="D925" s="52" t="n">
        <v>12</v>
      </c>
      <c r="E925" s="53" t="n">
        <v>23.33</v>
      </c>
      <c r="F925" s="54" t="n">
        <f aca="false">IFERROR(D925*E925,0)</f>
        <v>279.96</v>
      </c>
      <c r="G925" s="51" t="str">
        <f aca="false">INDEX(SETORES!$B:$B,MATCH(A925,SETORES!$A:$A,0))</f>
        <v>Clientes</v>
      </c>
      <c r="H925" s="51" t="s">
        <v>21</v>
      </c>
    </row>
    <row r="926" customFormat="false" ht="14.25" hidden="false" customHeight="true" outlineLevel="0" collapsed="false">
      <c r="A926" s="16" t="s">
        <v>50</v>
      </c>
      <c r="B926" s="42" t="s">
        <v>155</v>
      </c>
      <c r="C926" s="42" t="s">
        <v>177</v>
      </c>
      <c r="D926" s="43"/>
      <c r="E926" s="44"/>
      <c r="F926" s="45" t="n">
        <v>32684.03</v>
      </c>
      <c r="G926" s="42" t="str">
        <f aca="false">INDEX(SETORES!$B:$B,MATCH(A926,SETORES!$A:$A,0))</f>
        <v>Clientes</v>
      </c>
      <c r="H926" s="42" t="s">
        <v>21</v>
      </c>
    </row>
    <row r="927" customFormat="false" ht="14.25" hidden="false" customHeight="true" outlineLevel="0" collapsed="false">
      <c r="A927" s="50" t="s">
        <v>50</v>
      </c>
      <c r="B927" s="51" t="s">
        <v>155</v>
      </c>
      <c r="C927" s="51" t="s">
        <v>178</v>
      </c>
      <c r="D927" s="52"/>
      <c r="E927" s="53"/>
      <c r="F927" s="54" t="n">
        <v>0</v>
      </c>
      <c r="G927" s="51" t="str">
        <f aca="false">INDEX(SETORES!$B:$B,MATCH(A927,SETORES!$A:$A,0))</f>
        <v>Clientes</v>
      </c>
      <c r="H927" s="51" t="s">
        <v>21</v>
      </c>
    </row>
    <row r="928" customFormat="false" ht="14.25" hidden="false" customHeight="true" outlineLevel="0" collapsed="false">
      <c r="A928" s="16" t="s">
        <v>50</v>
      </c>
      <c r="B928" s="42" t="s">
        <v>157</v>
      </c>
      <c r="C928" s="42" t="s">
        <v>184</v>
      </c>
      <c r="D928" s="43" t="n">
        <v>16</v>
      </c>
      <c r="E928" s="44" t="n">
        <v>65.93</v>
      </c>
      <c r="F928" s="45" t="n">
        <f aca="false">IFERROR(D928*E928,0)</f>
        <v>1054.88</v>
      </c>
      <c r="G928" s="42" t="str">
        <f aca="false">INDEX(SETORES!$B:$B,MATCH(A928,SETORES!$A:$A,0))</f>
        <v>Clientes</v>
      </c>
      <c r="H928" s="42" t="s">
        <v>21</v>
      </c>
    </row>
    <row r="929" customFormat="false" ht="14.25" hidden="false" customHeight="true" outlineLevel="0" collapsed="false">
      <c r="A929" s="50" t="s">
        <v>50</v>
      </c>
      <c r="B929" s="51" t="s">
        <v>157</v>
      </c>
      <c r="C929" s="51" t="s">
        <v>158</v>
      </c>
      <c r="D929" s="52"/>
      <c r="E929" s="53"/>
      <c r="F929" s="54" t="n">
        <f aca="false">IFERROR(D929*E929,0)</f>
        <v>0</v>
      </c>
      <c r="G929" s="51" t="str">
        <f aca="false">INDEX(SETORES!$B:$B,MATCH(A929,SETORES!$A:$A,0))</f>
        <v>Clientes</v>
      </c>
      <c r="H929" s="51" t="s">
        <v>21</v>
      </c>
    </row>
    <row r="930" customFormat="false" ht="14.25" hidden="false" customHeight="true" outlineLevel="0" collapsed="false">
      <c r="A930" s="16" t="s">
        <v>50</v>
      </c>
      <c r="B930" s="42" t="s">
        <v>155</v>
      </c>
      <c r="C930" s="42" t="s">
        <v>173</v>
      </c>
      <c r="D930" s="43" t="n">
        <v>16</v>
      </c>
      <c r="E930" s="44" t="n">
        <v>2.05</v>
      </c>
      <c r="F930" s="45" t="n">
        <f aca="false">IFERROR(D930*E930,0)</f>
        <v>32.8</v>
      </c>
      <c r="G930" s="42" t="str">
        <f aca="false">INDEX(SETORES!$B:$B,MATCH(A930,SETORES!$A:$A,0))</f>
        <v>Clientes</v>
      </c>
      <c r="H930" s="42" t="s">
        <v>21</v>
      </c>
    </row>
    <row r="931" customFormat="false" ht="14.25" hidden="false" customHeight="true" outlineLevel="0" collapsed="false">
      <c r="A931" s="16" t="s">
        <v>50</v>
      </c>
      <c r="B931" s="42" t="s">
        <v>155</v>
      </c>
      <c r="C931" s="42" t="s">
        <v>179</v>
      </c>
      <c r="D931" s="43"/>
      <c r="E931" s="44"/>
      <c r="F931" s="45" t="n">
        <f aca="false">IFERROR(D931*E931,0)</f>
        <v>0</v>
      </c>
      <c r="G931" s="42" t="str">
        <f aca="false">INDEX(SETORES!$B:$B,MATCH(A931,SETORES!$A:$A,0))</f>
        <v>Clientes</v>
      </c>
      <c r="H931" s="42" t="s">
        <v>21</v>
      </c>
    </row>
    <row r="932" customFormat="false" ht="14.25" hidden="false" customHeight="true" outlineLevel="0" collapsed="false">
      <c r="A932" s="16" t="s">
        <v>36</v>
      </c>
      <c r="B932" s="42" t="s">
        <v>155</v>
      </c>
      <c r="C932" s="42" t="s">
        <v>162</v>
      </c>
      <c r="D932" s="43" t="n">
        <v>1</v>
      </c>
      <c r="E932" s="44" t="n">
        <v>0.194</v>
      </c>
      <c r="F932" s="45" t="n">
        <v>0.194</v>
      </c>
      <c r="G932" s="42" t="str">
        <f aca="false">INDEX(SETORES!$B:$B,MATCH(A932,SETORES!$A:$A,0))</f>
        <v>Clientes</v>
      </c>
      <c r="H932" s="42" t="s">
        <v>21</v>
      </c>
    </row>
    <row r="933" customFormat="false" ht="14.25" hidden="false" customHeight="true" outlineLevel="0" collapsed="false">
      <c r="A933" s="16" t="s">
        <v>36</v>
      </c>
      <c r="B933" s="42" t="s">
        <v>155</v>
      </c>
      <c r="C933" s="42" t="s">
        <v>163</v>
      </c>
      <c r="D933" s="43" t="n">
        <v>2</v>
      </c>
      <c r="E933" s="44" t="n">
        <v>30</v>
      </c>
      <c r="F933" s="45" t="n">
        <f aca="false">IFERROR(D933*E933,0)</f>
        <v>60</v>
      </c>
      <c r="G933" s="42" t="str">
        <f aca="false">INDEX(SETORES!$B:$B,MATCH(A933,SETORES!$A:$A,0))</f>
        <v>Clientes</v>
      </c>
      <c r="H933" s="42" t="s">
        <v>21</v>
      </c>
    </row>
    <row r="934" customFormat="false" ht="14.25" hidden="false" customHeight="true" outlineLevel="0" collapsed="false">
      <c r="A934" s="16" t="s">
        <v>36</v>
      </c>
      <c r="B934" s="42" t="s">
        <v>155</v>
      </c>
      <c r="C934" s="42" t="s">
        <v>165</v>
      </c>
      <c r="D934" s="43" t="n">
        <v>9</v>
      </c>
      <c r="E934" s="44" t="n">
        <v>43.54</v>
      </c>
      <c r="F934" s="45" t="n">
        <f aca="false">IFERROR(D934*E934,0)</f>
        <v>391.86</v>
      </c>
      <c r="G934" s="42" t="s">
        <v>99</v>
      </c>
      <c r="H934" s="42" t="s">
        <v>21</v>
      </c>
    </row>
    <row r="935" customFormat="false" ht="14.25" hidden="false" customHeight="true" outlineLevel="0" collapsed="false">
      <c r="A935" s="50" t="s">
        <v>36</v>
      </c>
      <c r="B935" s="51" t="s">
        <v>155</v>
      </c>
      <c r="C935" s="51" t="s">
        <v>166</v>
      </c>
      <c r="D935" s="52" t="n">
        <v>9</v>
      </c>
      <c r="E935" s="53" t="n">
        <v>29.74</v>
      </c>
      <c r="F935" s="54" t="n">
        <f aca="false">IFERROR(D935*E935,0)</f>
        <v>267.66</v>
      </c>
      <c r="G935" s="42" t="s">
        <v>99</v>
      </c>
      <c r="H935" s="51" t="s">
        <v>21</v>
      </c>
    </row>
    <row r="936" customFormat="false" ht="14.25" hidden="false" customHeight="true" outlineLevel="0" collapsed="false">
      <c r="A936" s="50" t="s">
        <v>36</v>
      </c>
      <c r="B936" s="51" t="s">
        <v>155</v>
      </c>
      <c r="C936" s="51" t="s">
        <v>167</v>
      </c>
      <c r="D936" s="52" t="n">
        <v>9</v>
      </c>
      <c r="E936" s="53" t="n">
        <v>47.66</v>
      </c>
      <c r="F936" s="54" t="n">
        <f aca="false">IFERROR(D936*E936,0)</f>
        <v>428.94</v>
      </c>
      <c r="G936" s="42" t="s">
        <v>99</v>
      </c>
      <c r="H936" s="51" t="s">
        <v>21</v>
      </c>
    </row>
    <row r="937" customFormat="false" ht="14.25" hidden="false" customHeight="true" outlineLevel="0" collapsed="false">
      <c r="A937" s="50" t="s">
        <v>36</v>
      </c>
      <c r="B937" s="51" t="s">
        <v>155</v>
      </c>
      <c r="C937" s="51" t="s">
        <v>168</v>
      </c>
      <c r="D937" s="52" t="n">
        <v>1</v>
      </c>
      <c r="E937" s="53" t="n">
        <v>66.184</v>
      </c>
      <c r="F937" s="54" t="n">
        <v>66.184</v>
      </c>
      <c r="G937" s="51" t="str">
        <f aca="false">INDEX(SETORES!$B:$B,MATCH(A937,SETORES!$A:$A,0))</f>
        <v>Clientes</v>
      </c>
      <c r="H937" s="51" t="s">
        <v>21</v>
      </c>
    </row>
    <row r="938" customFormat="false" ht="14.25" hidden="false" customHeight="true" outlineLevel="0" collapsed="false">
      <c r="A938" s="16" t="s">
        <v>36</v>
      </c>
      <c r="B938" s="42" t="s">
        <v>157</v>
      </c>
      <c r="C938" s="42" t="s">
        <v>175</v>
      </c>
      <c r="D938" s="43" t="n">
        <v>2</v>
      </c>
      <c r="E938" s="44" t="n">
        <v>45</v>
      </c>
      <c r="F938" s="45" t="n">
        <f aca="false">IFERROR(D938*E938,0)</f>
        <v>90</v>
      </c>
      <c r="G938" s="42" t="str">
        <f aca="false">INDEX(SETORES!$B:$B,MATCH(A938,SETORES!$A:$A,0))</f>
        <v>Clientes</v>
      </c>
      <c r="H938" s="42" t="s">
        <v>21</v>
      </c>
    </row>
    <row r="939" customFormat="false" ht="14.25" hidden="false" customHeight="true" outlineLevel="0" collapsed="false">
      <c r="A939" s="50" t="s">
        <v>36</v>
      </c>
      <c r="B939" s="51" t="s">
        <v>157</v>
      </c>
      <c r="C939" s="51" t="s">
        <v>176</v>
      </c>
      <c r="D939" s="52"/>
      <c r="E939" s="53"/>
      <c r="F939" s="54" t="n">
        <f aca="false">IFERROR(D939*E939,0)</f>
        <v>0</v>
      </c>
      <c r="G939" s="51" t="str">
        <f aca="false">INDEX(SETORES!$B:$B,MATCH(A939,SETORES!$A:$A,0))</f>
        <v>Clientes</v>
      </c>
      <c r="H939" s="51" t="s">
        <v>21</v>
      </c>
    </row>
    <row r="940" customFormat="false" ht="14.25" hidden="false" customHeight="true" outlineLevel="0" collapsed="false">
      <c r="A940" s="16" t="s">
        <v>36</v>
      </c>
      <c r="B940" s="42" t="s">
        <v>155</v>
      </c>
      <c r="C940" s="42" t="s">
        <v>169</v>
      </c>
      <c r="D940" s="43" t="n">
        <v>1</v>
      </c>
      <c r="E940" s="44" t="n">
        <v>41415.06</v>
      </c>
      <c r="F940" s="45" t="n">
        <f aca="false">IFERROR(E940,0)</f>
        <v>41415.06</v>
      </c>
      <c r="G940" s="42" t="str">
        <f aca="false">INDEX(SETORES!$B:$B,MATCH(A940,SETORES!$A:$A,0))</f>
        <v>Clientes</v>
      </c>
      <c r="H940" s="42" t="s">
        <v>21</v>
      </c>
    </row>
    <row r="941" customFormat="false" ht="14.25" hidden="false" customHeight="true" outlineLevel="0" collapsed="false">
      <c r="A941" s="16" t="s">
        <v>36</v>
      </c>
      <c r="B941" s="42" t="s">
        <v>155</v>
      </c>
      <c r="C941" s="42" t="s">
        <v>170</v>
      </c>
      <c r="D941" s="43" t="n">
        <v>9</v>
      </c>
      <c r="E941" s="44" t="n">
        <v>9.92</v>
      </c>
      <c r="F941" s="45" t="n">
        <f aca="false">IFERROR(D941*E941,0)</f>
        <v>89.28</v>
      </c>
      <c r="G941" s="42" t="str">
        <f aca="false">INDEX(SETORES!$B:$B,MATCH(A941,SETORES!$A:$A,0))</f>
        <v>Clientes</v>
      </c>
      <c r="H941" s="42" t="s">
        <v>21</v>
      </c>
    </row>
    <row r="942" customFormat="false" ht="14.25" hidden="false" customHeight="true" outlineLevel="0" collapsed="false">
      <c r="A942" s="50" t="s">
        <v>36</v>
      </c>
      <c r="B942" s="51" t="s">
        <v>155</v>
      </c>
      <c r="C942" s="51" t="s">
        <v>183</v>
      </c>
      <c r="D942" s="52" t="n">
        <v>1</v>
      </c>
      <c r="E942" s="53" t="n">
        <v>153.58</v>
      </c>
      <c r="F942" s="54" t="n">
        <f aca="false">IFERROR(D942*E942,0)</f>
        <v>153.58</v>
      </c>
      <c r="G942" s="51" t="str">
        <f aca="false">INDEX(SETORES!$B:$B,MATCH(A942,SETORES!$A:$A,0))</f>
        <v>Clientes</v>
      </c>
      <c r="H942" s="51" t="s">
        <v>21</v>
      </c>
    </row>
    <row r="943" customFormat="false" ht="14.25" hidden="false" customHeight="true" outlineLevel="0" collapsed="false">
      <c r="A943" s="16" t="s">
        <v>36</v>
      </c>
      <c r="B943" s="42" t="s">
        <v>155</v>
      </c>
      <c r="C943" s="42" t="s">
        <v>172</v>
      </c>
      <c r="D943" s="43" t="n">
        <v>8</v>
      </c>
      <c r="E943" s="44" t="n">
        <v>50</v>
      </c>
      <c r="F943" s="45" t="n">
        <f aca="false">IFERROR(D943*E943,0)</f>
        <v>400</v>
      </c>
      <c r="G943" s="42" t="str">
        <f aca="false">INDEX(SETORES!$B:$B,MATCH(A943,SETORES!$A:$A,0))</f>
        <v>Clientes</v>
      </c>
      <c r="H943" s="42" t="s">
        <v>21</v>
      </c>
    </row>
    <row r="944" customFormat="false" ht="14.25" hidden="false" customHeight="true" outlineLevel="0" collapsed="false">
      <c r="A944" s="50" t="s">
        <v>36</v>
      </c>
      <c r="B944" s="51" t="s">
        <v>155</v>
      </c>
      <c r="C944" s="51" t="s">
        <v>215</v>
      </c>
      <c r="D944" s="52" t="n">
        <v>1</v>
      </c>
      <c r="E944" s="53" t="n">
        <v>29185.01</v>
      </c>
      <c r="F944" s="54" t="n">
        <f aca="false">IFERROR(D944*E944,0)</f>
        <v>29185.01</v>
      </c>
      <c r="G944" s="51" t="str">
        <f aca="false">INDEX(SETORES!$B:$B,MATCH(A944,SETORES!$A:$A,0))</f>
        <v>Clientes</v>
      </c>
      <c r="H944" s="51" t="s">
        <v>21</v>
      </c>
    </row>
    <row r="945" customFormat="false" ht="14.25" hidden="false" customHeight="true" outlineLevel="0" collapsed="false">
      <c r="A945" s="50" t="s">
        <v>36</v>
      </c>
      <c r="B945" s="51" t="s">
        <v>155</v>
      </c>
      <c r="C945" s="51" t="s">
        <v>177</v>
      </c>
      <c r="D945" s="52" t="n">
        <v>1</v>
      </c>
      <c r="E945" s="53" t="n">
        <v>71.42</v>
      </c>
      <c r="F945" s="54" t="n">
        <v>714.2004</v>
      </c>
      <c r="G945" s="51" t="str">
        <f aca="false">INDEX(SETORES!$B:$B,MATCH(A945,SETORES!$A:$A,0))</f>
        <v>Clientes</v>
      </c>
      <c r="H945" s="51" t="s">
        <v>21</v>
      </c>
    </row>
    <row r="946" customFormat="false" ht="14.25" hidden="false" customHeight="true" outlineLevel="0" collapsed="false">
      <c r="A946" s="16" t="s">
        <v>36</v>
      </c>
      <c r="B946" s="42" t="s">
        <v>155</v>
      </c>
      <c r="C946" s="42" t="s">
        <v>178</v>
      </c>
      <c r="D946" s="43" t="n">
        <v>1</v>
      </c>
      <c r="E946" s="44" t="n">
        <v>221.42</v>
      </c>
      <c r="F946" s="45" t="n">
        <v>221.42</v>
      </c>
      <c r="G946" s="42" t="str">
        <f aca="false">INDEX(SETORES!$B:$B,MATCH(A946,SETORES!$A:$A,0))</f>
        <v>Clientes</v>
      </c>
      <c r="H946" s="42" t="s">
        <v>21</v>
      </c>
    </row>
    <row r="947" customFormat="false" ht="14.25" hidden="false" customHeight="true" outlineLevel="0" collapsed="false">
      <c r="A947" s="16" t="s">
        <v>36</v>
      </c>
      <c r="B947" s="42" t="s">
        <v>155</v>
      </c>
      <c r="C947" s="42" t="s">
        <v>216</v>
      </c>
      <c r="D947" s="43" t="n">
        <v>1</v>
      </c>
      <c r="E947" s="44" t="n">
        <v>1807.85</v>
      </c>
      <c r="F947" s="45" t="n">
        <f aca="false">IFERROR(D947*E947,0)</f>
        <v>1807.85</v>
      </c>
      <c r="G947" s="42" t="str">
        <f aca="false">INDEX(SETORES!$B:$B,MATCH(A947,SETORES!$A:$A,0))</f>
        <v>Clientes</v>
      </c>
      <c r="H947" s="42" t="s">
        <v>21</v>
      </c>
    </row>
    <row r="948" customFormat="false" ht="14.25" hidden="false" customHeight="true" outlineLevel="0" collapsed="false">
      <c r="A948" s="16" t="s">
        <v>36</v>
      </c>
      <c r="B948" s="42" t="s">
        <v>157</v>
      </c>
      <c r="C948" s="42" t="s">
        <v>158</v>
      </c>
      <c r="D948" s="43"/>
      <c r="E948" s="44"/>
      <c r="F948" s="45" t="n">
        <f aca="false">IFERROR(D948*E948,0)</f>
        <v>0</v>
      </c>
      <c r="G948" s="42" t="str">
        <f aca="false">INDEX(SETORES!$B:$B,MATCH(A948,SETORES!$A:$A,0))</f>
        <v>Clientes</v>
      </c>
      <c r="H948" s="42" t="s">
        <v>21</v>
      </c>
    </row>
    <row r="949" customFormat="false" ht="14.25" hidden="false" customHeight="true" outlineLevel="0" collapsed="false">
      <c r="A949" s="50" t="s">
        <v>36</v>
      </c>
      <c r="B949" s="51" t="s">
        <v>155</v>
      </c>
      <c r="C949" s="51" t="s">
        <v>173</v>
      </c>
      <c r="D949" s="52" t="n">
        <v>9</v>
      </c>
      <c r="E949" s="53" t="n">
        <v>2.05</v>
      </c>
      <c r="F949" s="54" t="n">
        <f aca="false">IFERROR(D949*E949,0)</f>
        <v>18.45</v>
      </c>
      <c r="G949" s="51" t="str">
        <f aca="false">INDEX(SETORES!$B:$B,MATCH(A949,SETORES!$A:$A,0))</f>
        <v>Clientes</v>
      </c>
      <c r="H949" s="51" t="s">
        <v>21</v>
      </c>
    </row>
    <row r="950" customFormat="false" ht="14.25" hidden="false" customHeight="true" outlineLevel="0" collapsed="false">
      <c r="A950" s="50" t="s">
        <v>36</v>
      </c>
      <c r="B950" s="51" t="s">
        <v>155</v>
      </c>
      <c r="C950" s="51" t="s">
        <v>179</v>
      </c>
      <c r="D950" s="52"/>
      <c r="E950" s="53"/>
      <c r="F950" s="54" t="n">
        <f aca="false">IFERROR(D950*E950,0)</f>
        <v>0</v>
      </c>
      <c r="G950" s="51" t="str">
        <f aca="false">INDEX(SETORES!$B:$B,MATCH(A950,SETORES!$A:$A,0))</f>
        <v>Clientes</v>
      </c>
      <c r="H950" s="51" t="s">
        <v>21</v>
      </c>
    </row>
    <row r="951" customFormat="false" ht="14.25" hidden="false" customHeight="true" outlineLevel="0" collapsed="false">
      <c r="A951" s="50" t="s">
        <v>81</v>
      </c>
      <c r="B951" s="51" t="s">
        <v>155</v>
      </c>
      <c r="C951" s="51" t="s">
        <v>163</v>
      </c>
      <c r="D951" s="52" t="n">
        <v>2</v>
      </c>
      <c r="E951" s="53" t="n">
        <v>30</v>
      </c>
      <c r="F951" s="54" t="n">
        <f aca="false">IFERROR(D951*E951,0)</f>
        <v>60</v>
      </c>
      <c r="G951" s="51" t="str">
        <f aca="false">INDEX(SETORES!$B:$B,MATCH(A951,SETORES!$A:$A,0))</f>
        <v>Clientes</v>
      </c>
      <c r="H951" s="51" t="s">
        <v>21</v>
      </c>
    </row>
    <row r="952" customFormat="false" ht="14.25" hidden="false" customHeight="true" outlineLevel="0" collapsed="false">
      <c r="A952" s="16" t="s">
        <v>81</v>
      </c>
      <c r="B952" s="42" t="s">
        <v>155</v>
      </c>
      <c r="C952" s="42" t="s">
        <v>165</v>
      </c>
      <c r="D952" s="43" t="n">
        <v>3</v>
      </c>
      <c r="E952" s="44" t="n">
        <v>43.54</v>
      </c>
      <c r="F952" s="45" t="n">
        <f aca="false">IFERROR(D952*E952,0)</f>
        <v>130.62</v>
      </c>
      <c r="G952" s="42" t="s">
        <v>99</v>
      </c>
      <c r="H952" s="42" t="s">
        <v>21</v>
      </c>
    </row>
    <row r="953" customFormat="false" ht="14.25" hidden="false" customHeight="true" outlineLevel="0" collapsed="false">
      <c r="A953" s="50" t="s">
        <v>81</v>
      </c>
      <c r="B953" s="51" t="s">
        <v>155</v>
      </c>
      <c r="C953" s="51" t="s">
        <v>166</v>
      </c>
      <c r="D953" s="52" t="n">
        <v>3</v>
      </c>
      <c r="E953" s="53" t="n">
        <v>29.74</v>
      </c>
      <c r="F953" s="54" t="n">
        <f aca="false">IFERROR(D953*E953,0)</f>
        <v>89.22</v>
      </c>
      <c r="G953" s="42" t="s">
        <v>99</v>
      </c>
      <c r="H953" s="51" t="s">
        <v>21</v>
      </c>
    </row>
    <row r="954" customFormat="false" ht="14.25" hidden="false" customHeight="true" outlineLevel="0" collapsed="false">
      <c r="A954" s="50" t="s">
        <v>81</v>
      </c>
      <c r="B954" s="51" t="s">
        <v>155</v>
      </c>
      <c r="C954" s="51" t="s">
        <v>167</v>
      </c>
      <c r="D954" s="52" t="n">
        <v>3</v>
      </c>
      <c r="E954" s="53" t="n">
        <v>47.66</v>
      </c>
      <c r="F954" s="54" t="n">
        <f aca="false">IFERROR(D954*E954,0)</f>
        <v>142.98</v>
      </c>
      <c r="G954" s="42" t="s">
        <v>99</v>
      </c>
      <c r="H954" s="51" t="s">
        <v>21</v>
      </c>
    </row>
    <row r="955" customFormat="false" ht="14.25" hidden="false" customHeight="true" outlineLevel="0" collapsed="false">
      <c r="A955" s="50" t="s">
        <v>81</v>
      </c>
      <c r="B955" s="51" t="s">
        <v>157</v>
      </c>
      <c r="C955" s="51" t="s">
        <v>175</v>
      </c>
      <c r="D955" s="52" t="n">
        <v>2</v>
      </c>
      <c r="E955" s="53" t="n">
        <v>45</v>
      </c>
      <c r="F955" s="54" t="n">
        <f aca="false">IFERROR(D955*E955,0)</f>
        <v>90</v>
      </c>
      <c r="G955" s="51" t="str">
        <f aca="false">INDEX(SETORES!$B:$B,MATCH(A955,SETORES!$A:$A,0))</f>
        <v>Clientes</v>
      </c>
      <c r="H955" s="51" t="s">
        <v>21</v>
      </c>
    </row>
    <row r="956" customFormat="false" ht="14.25" hidden="false" customHeight="true" outlineLevel="0" collapsed="false">
      <c r="A956" s="16" t="s">
        <v>81</v>
      </c>
      <c r="B956" s="42" t="s">
        <v>155</v>
      </c>
      <c r="C956" s="42" t="s">
        <v>169</v>
      </c>
      <c r="D956" s="43" t="n">
        <v>1</v>
      </c>
      <c r="E956" s="44" t="n">
        <v>13569.86</v>
      </c>
      <c r="F956" s="45" t="n">
        <f aca="false">IFERROR(E956,0)</f>
        <v>13569.86</v>
      </c>
      <c r="G956" s="42" t="str">
        <f aca="false">INDEX(SETORES!$B:$B,MATCH(A956,SETORES!$A:$A,0))</f>
        <v>Clientes</v>
      </c>
      <c r="H956" s="42" t="s">
        <v>21</v>
      </c>
    </row>
    <row r="957" customFormat="false" ht="14.25" hidden="false" customHeight="true" outlineLevel="0" collapsed="false">
      <c r="A957" s="16" t="s">
        <v>81</v>
      </c>
      <c r="B957" s="42" t="s">
        <v>155</v>
      </c>
      <c r="C957" s="42" t="s">
        <v>170</v>
      </c>
      <c r="D957" s="43" t="n">
        <v>3</v>
      </c>
      <c r="E957" s="44" t="n">
        <v>9.92</v>
      </c>
      <c r="F957" s="45" t="n">
        <f aca="false">IFERROR(D957*E957,0)</f>
        <v>29.76</v>
      </c>
      <c r="G957" s="42" t="str">
        <f aca="false">INDEX(SETORES!$B:$B,MATCH(A957,SETORES!$A:$A,0))</f>
        <v>Clientes</v>
      </c>
      <c r="H957" s="42" t="s">
        <v>21</v>
      </c>
    </row>
    <row r="958" customFormat="false" ht="14.25" hidden="false" customHeight="true" outlineLevel="0" collapsed="false">
      <c r="A958" s="16" t="s">
        <v>81</v>
      </c>
      <c r="B958" s="42" t="s">
        <v>155</v>
      </c>
      <c r="C958" s="42" t="s">
        <v>183</v>
      </c>
      <c r="D958" s="43" t="n">
        <v>1</v>
      </c>
      <c r="E958" s="44" t="n">
        <v>2.941176</v>
      </c>
      <c r="F958" s="45" t="n">
        <f aca="false">IFERROR(D958*E958,0)</f>
        <v>2.941176</v>
      </c>
      <c r="G958" s="42" t="str">
        <f aca="false">INDEX(SETORES!$B:$B,MATCH(A958,SETORES!$A:$A,0))</f>
        <v>Clientes</v>
      </c>
      <c r="H958" s="42" t="s">
        <v>21</v>
      </c>
    </row>
    <row r="959" customFormat="false" ht="14.25" hidden="false" customHeight="true" outlineLevel="0" collapsed="false">
      <c r="A959" s="16" t="s">
        <v>81</v>
      </c>
      <c r="B959" s="42" t="s">
        <v>155</v>
      </c>
      <c r="C959" s="42" t="s">
        <v>172</v>
      </c>
      <c r="D959" s="43" t="n">
        <v>3</v>
      </c>
      <c r="E959" s="44" t="n">
        <v>50</v>
      </c>
      <c r="F959" s="45" t="n">
        <f aca="false">IFERROR(D959*E959,0)</f>
        <v>150</v>
      </c>
      <c r="G959" s="42" t="str">
        <f aca="false">INDEX(SETORES!$B:$B,MATCH(A959,SETORES!$A:$A,0))</f>
        <v>Clientes</v>
      </c>
      <c r="H959" s="42" t="s">
        <v>21</v>
      </c>
    </row>
    <row r="960" customFormat="false" ht="14.25" hidden="false" customHeight="true" outlineLevel="0" collapsed="false">
      <c r="A960" s="50" t="s">
        <v>81</v>
      </c>
      <c r="B960" s="51" t="s">
        <v>155</v>
      </c>
      <c r="C960" s="51" t="s">
        <v>178</v>
      </c>
      <c r="D960" s="52" t="n">
        <v>1</v>
      </c>
      <c r="E960" s="53" t="n">
        <v>68.12</v>
      </c>
      <c r="F960" s="54" t="n">
        <v>68.12</v>
      </c>
      <c r="G960" s="51" t="str">
        <f aca="false">INDEX(SETORES!$B:$B,MATCH(A960,SETORES!$A:$A,0))</f>
        <v>Clientes</v>
      </c>
      <c r="H960" s="51" t="s">
        <v>21</v>
      </c>
    </row>
    <row r="961" customFormat="false" ht="14.25" hidden="false" customHeight="true" outlineLevel="0" collapsed="false">
      <c r="A961" s="50" t="s">
        <v>81</v>
      </c>
      <c r="B961" s="51" t="s">
        <v>157</v>
      </c>
      <c r="C961" s="51" t="s">
        <v>158</v>
      </c>
      <c r="D961" s="52"/>
      <c r="E961" s="53"/>
      <c r="F961" s="54" t="n">
        <f aca="false">IFERROR(D961*E961,0)</f>
        <v>0</v>
      </c>
      <c r="G961" s="51" t="str">
        <f aca="false">INDEX(SETORES!$B:$B,MATCH(A961,SETORES!$A:$A,0))</f>
        <v>Clientes</v>
      </c>
      <c r="H961" s="51" t="s">
        <v>21</v>
      </c>
    </row>
    <row r="962" customFormat="false" ht="14.25" hidden="false" customHeight="true" outlineLevel="0" collapsed="false">
      <c r="A962" s="50" t="s">
        <v>81</v>
      </c>
      <c r="B962" s="51" t="s">
        <v>155</v>
      </c>
      <c r="C962" s="51" t="s">
        <v>173</v>
      </c>
      <c r="D962" s="52" t="n">
        <v>3</v>
      </c>
      <c r="E962" s="53" t="n">
        <v>2.05</v>
      </c>
      <c r="F962" s="54" t="n">
        <f aca="false">IFERROR(D962*E962,0)</f>
        <v>6.15</v>
      </c>
      <c r="G962" s="51" t="str">
        <f aca="false">INDEX(SETORES!$B:$B,MATCH(A962,SETORES!$A:$A,0))</f>
        <v>Clientes</v>
      </c>
      <c r="H962" s="51" t="s">
        <v>21</v>
      </c>
    </row>
    <row r="963" customFormat="false" ht="14.25" hidden="false" customHeight="true" outlineLevel="0" collapsed="false">
      <c r="A963" s="50" t="s">
        <v>82</v>
      </c>
      <c r="B963" s="51" t="s">
        <v>157</v>
      </c>
      <c r="C963" s="51" t="s">
        <v>199</v>
      </c>
      <c r="D963" s="52" t="n">
        <v>1</v>
      </c>
      <c r="E963" s="53" t="n">
        <v>13559.09</v>
      </c>
      <c r="F963" s="54" t="n">
        <f aca="false">IFERROR(D963*E963,0)</f>
        <v>13559.09</v>
      </c>
      <c r="G963" s="51" t="str">
        <f aca="false">INDEX(SETORES!$B:$B,MATCH(A963,SETORES!$A:$A,0))</f>
        <v>Clientes</v>
      </c>
      <c r="H963" s="51" t="s">
        <v>21</v>
      </c>
    </row>
    <row r="964" customFormat="false" ht="14.25" hidden="false" customHeight="true" outlineLevel="0" collapsed="false">
      <c r="A964" s="50" t="s">
        <v>82</v>
      </c>
      <c r="B964" s="51" t="s">
        <v>155</v>
      </c>
      <c r="C964" s="51" t="s">
        <v>205</v>
      </c>
      <c r="D964" s="52" t="n">
        <v>1</v>
      </c>
      <c r="E964" s="53" t="n">
        <v>1417.36</v>
      </c>
      <c r="F964" s="54" t="n">
        <f aca="false">IFERROR(D964*E964,0)</f>
        <v>1417.36</v>
      </c>
      <c r="G964" s="51" t="str">
        <f aca="false">INDEX(SETORES!$B:$B,MATCH(A964,SETORES!$A:$A,0))</f>
        <v>Clientes</v>
      </c>
      <c r="H964" s="51" t="s">
        <v>21</v>
      </c>
    </row>
    <row r="965" customFormat="false" ht="14.25" hidden="false" customHeight="true" outlineLevel="0" collapsed="false">
      <c r="A965" s="16" t="s">
        <v>82</v>
      </c>
      <c r="B965" s="42" t="s">
        <v>155</v>
      </c>
      <c r="C965" s="42" t="s">
        <v>165</v>
      </c>
      <c r="D965" s="43" t="n">
        <v>8</v>
      </c>
      <c r="E965" s="44" t="n">
        <v>43.54</v>
      </c>
      <c r="F965" s="45" t="n">
        <f aca="false">IFERROR(D965*E965,0)</f>
        <v>348.32</v>
      </c>
      <c r="G965" s="42" t="s">
        <v>99</v>
      </c>
      <c r="H965" s="42" t="s">
        <v>21</v>
      </c>
    </row>
    <row r="966" customFormat="false" ht="14.25" hidden="false" customHeight="true" outlineLevel="0" collapsed="false">
      <c r="A966" s="50" t="s">
        <v>82</v>
      </c>
      <c r="B966" s="51" t="s">
        <v>155</v>
      </c>
      <c r="C966" s="51" t="s">
        <v>166</v>
      </c>
      <c r="D966" s="52" t="n">
        <v>8</v>
      </c>
      <c r="E966" s="53" t="n">
        <v>29.74</v>
      </c>
      <c r="F966" s="54" t="n">
        <f aca="false">IFERROR(D966*E966,0)</f>
        <v>237.92</v>
      </c>
      <c r="G966" s="42" t="s">
        <v>99</v>
      </c>
      <c r="H966" s="51" t="s">
        <v>21</v>
      </c>
    </row>
    <row r="967" customFormat="false" ht="14.25" hidden="false" customHeight="true" outlineLevel="0" collapsed="false">
      <c r="A967" s="50" t="s">
        <v>82</v>
      </c>
      <c r="B967" s="51" t="s">
        <v>155</v>
      </c>
      <c r="C967" s="51" t="s">
        <v>167</v>
      </c>
      <c r="D967" s="52" t="n">
        <v>8</v>
      </c>
      <c r="E967" s="53" t="n">
        <v>47.66</v>
      </c>
      <c r="F967" s="54" t="n">
        <f aca="false">IFERROR(D967*E967,0)</f>
        <v>381.28</v>
      </c>
      <c r="G967" s="42" t="s">
        <v>99</v>
      </c>
      <c r="H967" s="51" t="s">
        <v>21</v>
      </c>
    </row>
    <row r="968" customFormat="false" ht="14.25" hidden="false" customHeight="true" outlineLevel="0" collapsed="false">
      <c r="A968" s="16" t="s">
        <v>82</v>
      </c>
      <c r="B968" s="42" t="s">
        <v>157</v>
      </c>
      <c r="C968" s="42" t="s">
        <v>217</v>
      </c>
      <c r="D968" s="43" t="n">
        <v>1</v>
      </c>
      <c r="E968" s="44" t="n">
        <v>2979.78</v>
      </c>
      <c r="F968" s="45" t="n">
        <f aca="false">IFERROR(D968*E968,0)</f>
        <v>2979.78</v>
      </c>
      <c r="G968" s="42" t="str">
        <f aca="false">INDEX(SETORES!$B:$B,MATCH(A968,SETORES!$A:$A,0))</f>
        <v>Clientes</v>
      </c>
      <c r="H968" s="42" t="s">
        <v>21</v>
      </c>
    </row>
    <row r="969" customFormat="false" ht="14.25" hidden="false" customHeight="true" outlineLevel="0" collapsed="false">
      <c r="A969" s="16" t="s">
        <v>82</v>
      </c>
      <c r="B969" s="42" t="s">
        <v>155</v>
      </c>
      <c r="C969" s="42" t="s">
        <v>169</v>
      </c>
      <c r="D969" s="43" t="n">
        <v>1</v>
      </c>
      <c r="E969" s="44" t="n">
        <v>56795.02</v>
      </c>
      <c r="F969" s="45" t="n">
        <f aca="false">IFERROR(E969,0)</f>
        <v>56795.02</v>
      </c>
      <c r="G969" s="42" t="str">
        <f aca="false">INDEX(SETORES!$B:$B,MATCH(A969,SETORES!$A:$A,0))</f>
        <v>Clientes</v>
      </c>
      <c r="H969" s="42" t="s">
        <v>21</v>
      </c>
    </row>
    <row r="970" customFormat="false" ht="14.25" hidden="false" customHeight="true" outlineLevel="0" collapsed="false">
      <c r="A970" s="16" t="s">
        <v>82</v>
      </c>
      <c r="B970" s="42" t="s">
        <v>155</v>
      </c>
      <c r="C970" s="42" t="s">
        <v>170</v>
      </c>
      <c r="D970" s="43" t="n">
        <v>8</v>
      </c>
      <c r="E970" s="44" t="n">
        <v>9.92</v>
      </c>
      <c r="F970" s="45" t="n">
        <f aca="false">IFERROR(D970*E970,0)</f>
        <v>79.36</v>
      </c>
      <c r="G970" s="42" t="str">
        <f aca="false">INDEX(SETORES!$B:$B,MATCH(A970,SETORES!$A:$A,0))</f>
        <v>Clientes</v>
      </c>
      <c r="H970" s="42" t="s">
        <v>21</v>
      </c>
    </row>
    <row r="971" customFormat="false" ht="14.25" hidden="false" customHeight="true" outlineLevel="0" collapsed="false">
      <c r="A971" s="16" t="s">
        <v>82</v>
      </c>
      <c r="B971" s="42" t="s">
        <v>155</v>
      </c>
      <c r="C971" s="42" t="s">
        <v>172</v>
      </c>
      <c r="D971" s="43"/>
      <c r="E971" s="44"/>
      <c r="F971" s="45" t="n">
        <f aca="false">IFERROR(D971*E971,0)</f>
        <v>0</v>
      </c>
      <c r="G971" s="42" t="str">
        <f aca="false">INDEX(SETORES!$B:$B,MATCH(A971,SETORES!$A:$A,0))</f>
        <v>Clientes</v>
      </c>
      <c r="H971" s="42" t="s">
        <v>21</v>
      </c>
    </row>
    <row r="972" customFormat="false" ht="14.25" hidden="false" customHeight="true" outlineLevel="0" collapsed="false">
      <c r="A972" s="16" t="s">
        <v>82</v>
      </c>
      <c r="B972" s="42" t="s">
        <v>157</v>
      </c>
      <c r="C972" s="42" t="s">
        <v>158</v>
      </c>
      <c r="D972" s="43"/>
      <c r="E972" s="44"/>
      <c r="F972" s="45" t="n">
        <f aca="false">IFERROR(D972*E972,0)</f>
        <v>0</v>
      </c>
      <c r="G972" s="42" t="str">
        <f aca="false">INDEX(SETORES!$B:$B,MATCH(A972,SETORES!$A:$A,0))</f>
        <v>Clientes</v>
      </c>
      <c r="H972" s="42" t="s">
        <v>21</v>
      </c>
    </row>
    <row r="973" customFormat="false" ht="14.25" hidden="false" customHeight="true" outlineLevel="0" collapsed="false">
      <c r="A973" s="50" t="s">
        <v>82</v>
      </c>
      <c r="B973" s="51" t="s">
        <v>155</v>
      </c>
      <c r="C973" s="51" t="s">
        <v>173</v>
      </c>
      <c r="D973" s="52" t="n">
        <v>8</v>
      </c>
      <c r="E973" s="53" t="n">
        <v>2.05</v>
      </c>
      <c r="F973" s="54" t="n">
        <f aca="false">IFERROR(D973*E973,0)</f>
        <v>16.4</v>
      </c>
      <c r="G973" s="51" t="str">
        <f aca="false">INDEX(SETORES!$B:$B,MATCH(A973,SETORES!$A:$A,0))</f>
        <v>Clientes</v>
      </c>
      <c r="H973" s="51" t="s">
        <v>21</v>
      </c>
    </row>
    <row r="974" customFormat="false" ht="14.25" hidden="false" customHeight="true" outlineLevel="0" collapsed="false">
      <c r="A974" s="16" t="s">
        <v>34</v>
      </c>
      <c r="B974" s="42" t="s">
        <v>155</v>
      </c>
      <c r="C974" s="42" t="s">
        <v>162</v>
      </c>
      <c r="D974" s="43" t="n">
        <v>1</v>
      </c>
      <c r="E974" s="44" t="n">
        <v>0.1455</v>
      </c>
      <c r="F974" s="45" t="n">
        <v>0.1455</v>
      </c>
      <c r="G974" s="42" t="str">
        <f aca="false">INDEX(SETORES!$B:$B,MATCH(A974,SETORES!$A:$A,0))</f>
        <v>Clientes</v>
      </c>
      <c r="H974" s="42" t="s">
        <v>21</v>
      </c>
    </row>
    <row r="975" customFormat="false" ht="14.25" hidden="false" customHeight="true" outlineLevel="0" collapsed="false">
      <c r="A975" s="16" t="s">
        <v>34</v>
      </c>
      <c r="B975" s="42" t="s">
        <v>155</v>
      </c>
      <c r="C975" s="42" t="s">
        <v>163</v>
      </c>
      <c r="D975" s="43" t="n">
        <v>2</v>
      </c>
      <c r="E975" s="44" t="n">
        <v>30</v>
      </c>
      <c r="F975" s="45" t="n">
        <f aca="false">IFERROR(D975*E975,0)</f>
        <v>60</v>
      </c>
      <c r="G975" s="42" t="str">
        <f aca="false">INDEX(SETORES!$B:$B,MATCH(A975,SETORES!$A:$A,0))</f>
        <v>Clientes</v>
      </c>
      <c r="H975" s="42" t="s">
        <v>21</v>
      </c>
    </row>
    <row r="976" customFormat="false" ht="14.25" hidden="false" customHeight="true" outlineLevel="0" collapsed="false">
      <c r="A976" s="16" t="s">
        <v>34</v>
      </c>
      <c r="B976" s="42" t="s">
        <v>155</v>
      </c>
      <c r="C976" s="42" t="s">
        <v>164</v>
      </c>
      <c r="D976" s="43" t="n">
        <v>1</v>
      </c>
      <c r="E976" s="44" t="n">
        <v>3259.19</v>
      </c>
      <c r="F976" s="45" t="n">
        <f aca="false">IFERROR(D976*E976,0)</f>
        <v>3259.19</v>
      </c>
      <c r="G976" s="42" t="str">
        <f aca="false">INDEX(SETORES!$B:$B,MATCH(A976,SETORES!$A:$A,0))</f>
        <v>Clientes</v>
      </c>
      <c r="H976" s="42" t="s">
        <v>21</v>
      </c>
    </row>
    <row r="977" customFormat="false" ht="14.25" hidden="false" customHeight="true" outlineLevel="0" collapsed="false">
      <c r="A977" s="16" t="s">
        <v>34</v>
      </c>
      <c r="B977" s="42" t="s">
        <v>155</v>
      </c>
      <c r="C977" s="42" t="s">
        <v>165</v>
      </c>
      <c r="D977" s="43" t="n">
        <v>11</v>
      </c>
      <c r="E977" s="44" t="n">
        <v>43.54</v>
      </c>
      <c r="F977" s="45" t="n">
        <f aca="false">IFERROR(D977*E977,0)</f>
        <v>478.94</v>
      </c>
      <c r="G977" s="42" t="s">
        <v>99</v>
      </c>
      <c r="H977" s="42" t="s">
        <v>21</v>
      </c>
    </row>
    <row r="978" customFormat="false" ht="14.25" hidden="false" customHeight="true" outlineLevel="0" collapsed="false">
      <c r="A978" s="50" t="s">
        <v>34</v>
      </c>
      <c r="B978" s="51" t="s">
        <v>155</v>
      </c>
      <c r="C978" s="51" t="s">
        <v>166</v>
      </c>
      <c r="D978" s="52" t="n">
        <v>11</v>
      </c>
      <c r="E978" s="53" t="n">
        <v>29.74</v>
      </c>
      <c r="F978" s="54" t="n">
        <f aca="false">IFERROR(D978*E978,0)</f>
        <v>327.14</v>
      </c>
      <c r="G978" s="42" t="s">
        <v>99</v>
      </c>
      <c r="H978" s="51" t="s">
        <v>21</v>
      </c>
    </row>
    <row r="979" customFormat="false" ht="14.25" hidden="false" customHeight="true" outlineLevel="0" collapsed="false">
      <c r="A979" s="50" t="s">
        <v>34</v>
      </c>
      <c r="B979" s="51" t="s">
        <v>155</v>
      </c>
      <c r="C979" s="51" t="s">
        <v>167</v>
      </c>
      <c r="D979" s="52" t="n">
        <v>11</v>
      </c>
      <c r="E979" s="53" t="n">
        <v>47.66</v>
      </c>
      <c r="F979" s="54" t="n">
        <f aca="false">IFERROR(D979*E979,0)</f>
        <v>524.26</v>
      </c>
      <c r="G979" s="42" t="s">
        <v>99</v>
      </c>
      <c r="H979" s="51" t="s">
        <v>21</v>
      </c>
    </row>
    <row r="980" customFormat="false" ht="14.25" hidden="false" customHeight="true" outlineLevel="0" collapsed="false">
      <c r="A980" s="50" t="s">
        <v>34</v>
      </c>
      <c r="B980" s="51" t="s">
        <v>155</v>
      </c>
      <c r="C980" s="51" t="s">
        <v>168</v>
      </c>
      <c r="D980" s="52" t="n">
        <v>1</v>
      </c>
      <c r="E980" s="53" t="n">
        <v>49.638</v>
      </c>
      <c r="F980" s="54" t="n">
        <v>49.638</v>
      </c>
      <c r="G980" s="51" t="str">
        <f aca="false">INDEX(SETORES!$B:$B,MATCH(A980,SETORES!$A:$A,0))</f>
        <v>Clientes</v>
      </c>
      <c r="H980" s="51" t="s">
        <v>21</v>
      </c>
    </row>
    <row r="981" customFormat="false" ht="14.25" hidden="false" customHeight="true" outlineLevel="0" collapsed="false">
      <c r="A981" s="50" t="s">
        <v>34</v>
      </c>
      <c r="B981" s="51" t="s">
        <v>157</v>
      </c>
      <c r="C981" s="51" t="s">
        <v>174</v>
      </c>
      <c r="D981" s="52"/>
      <c r="E981" s="53"/>
      <c r="F981" s="54" t="n">
        <f aca="false">IFERROR(D981*E981,0)</f>
        <v>0</v>
      </c>
      <c r="G981" s="51" t="str">
        <f aca="false">INDEX(SETORES!$B:$B,MATCH(A981,SETORES!$A:$A,0))</f>
        <v>Clientes</v>
      </c>
      <c r="H981" s="51" t="s">
        <v>21</v>
      </c>
    </row>
    <row r="982" customFormat="false" ht="14.25" hidden="false" customHeight="true" outlineLevel="0" collapsed="false">
      <c r="A982" s="50" t="s">
        <v>34</v>
      </c>
      <c r="B982" s="51" t="s">
        <v>157</v>
      </c>
      <c r="C982" s="51" t="s">
        <v>175</v>
      </c>
      <c r="D982" s="52" t="n">
        <v>3</v>
      </c>
      <c r="E982" s="53" t="n">
        <v>45</v>
      </c>
      <c r="F982" s="54" t="n">
        <f aca="false">IFERROR(D982*E982,0)</f>
        <v>135</v>
      </c>
      <c r="G982" s="51" t="str">
        <f aca="false">INDEX(SETORES!$B:$B,MATCH(A982,SETORES!$A:$A,0))</f>
        <v>Clientes</v>
      </c>
      <c r="H982" s="51" t="s">
        <v>21</v>
      </c>
    </row>
    <row r="983" customFormat="false" ht="14.25" hidden="false" customHeight="true" outlineLevel="0" collapsed="false">
      <c r="A983" s="16" t="s">
        <v>34</v>
      </c>
      <c r="B983" s="42" t="s">
        <v>157</v>
      </c>
      <c r="C983" s="42" t="s">
        <v>176</v>
      </c>
      <c r="D983" s="43"/>
      <c r="E983" s="44"/>
      <c r="F983" s="45" t="n">
        <f aca="false">IFERROR(D983*E983,0)</f>
        <v>0</v>
      </c>
      <c r="G983" s="42" t="str">
        <f aca="false">INDEX(SETORES!$B:$B,MATCH(A983,SETORES!$A:$A,0))</f>
        <v>Clientes</v>
      </c>
      <c r="H983" s="42" t="s">
        <v>21</v>
      </c>
    </row>
    <row r="984" customFormat="false" ht="14.25" hidden="false" customHeight="true" outlineLevel="0" collapsed="false">
      <c r="A984" s="16" t="s">
        <v>34</v>
      </c>
      <c r="B984" s="42" t="s">
        <v>155</v>
      </c>
      <c r="C984" s="42" t="s">
        <v>169</v>
      </c>
      <c r="D984" s="43" t="n">
        <v>1</v>
      </c>
      <c r="E984" s="44" t="n">
        <v>39347.83</v>
      </c>
      <c r="F984" s="45" t="n">
        <f aca="false">IFERROR(D984*E984,0)</f>
        <v>39347.83</v>
      </c>
      <c r="G984" s="42" t="str">
        <f aca="false">INDEX(SETORES!$B:$B,MATCH(A984,SETORES!$A:$A,0))</f>
        <v>Clientes</v>
      </c>
      <c r="H984" s="42" t="s">
        <v>21</v>
      </c>
    </row>
    <row r="985" customFormat="false" ht="14.25" hidden="false" customHeight="true" outlineLevel="0" collapsed="false">
      <c r="A985" s="50" t="s">
        <v>34</v>
      </c>
      <c r="B985" s="51" t="s">
        <v>155</v>
      </c>
      <c r="C985" s="51" t="s">
        <v>170</v>
      </c>
      <c r="D985" s="52" t="n">
        <v>11</v>
      </c>
      <c r="E985" s="53" t="n">
        <v>9.92</v>
      </c>
      <c r="F985" s="54" t="n">
        <f aca="false">IFERROR(D985*E985,0)</f>
        <v>109.12</v>
      </c>
      <c r="G985" s="51" t="str">
        <f aca="false">INDEX(SETORES!$B:$B,MATCH(A985,SETORES!$A:$A,0))</f>
        <v>Clientes</v>
      </c>
      <c r="H985" s="51" t="s">
        <v>21</v>
      </c>
    </row>
    <row r="986" customFormat="false" ht="14.25" hidden="false" customHeight="true" outlineLevel="0" collapsed="false">
      <c r="A986" s="16" t="s">
        <v>34</v>
      </c>
      <c r="B986" s="42" t="s">
        <v>155</v>
      </c>
      <c r="C986" s="42" t="s">
        <v>183</v>
      </c>
      <c r="D986" s="43" t="n">
        <v>1</v>
      </c>
      <c r="E986" s="44" t="n">
        <v>5.882352</v>
      </c>
      <c r="F986" s="45" t="n">
        <f aca="false">IFERROR(D986*E986,0)</f>
        <v>5.882352</v>
      </c>
      <c r="G986" s="42" t="str">
        <f aca="false">INDEX(SETORES!$B:$B,MATCH(A986,SETORES!$A:$A,0))</f>
        <v>Clientes</v>
      </c>
      <c r="H986" s="42" t="s">
        <v>21</v>
      </c>
    </row>
    <row r="987" customFormat="false" ht="14.25" hidden="false" customHeight="true" outlineLevel="0" collapsed="false">
      <c r="A987" s="16" t="s">
        <v>34</v>
      </c>
      <c r="B987" s="42" t="s">
        <v>155</v>
      </c>
      <c r="C987" s="42" t="s">
        <v>172</v>
      </c>
      <c r="D987" s="43" t="n">
        <v>11</v>
      </c>
      <c r="E987" s="44" t="n">
        <v>50</v>
      </c>
      <c r="F987" s="45" t="n">
        <f aca="false">IFERROR(D987*E987,0)</f>
        <v>550</v>
      </c>
      <c r="G987" s="42" t="str">
        <f aca="false">INDEX(SETORES!$B:$B,MATCH(A987,SETORES!$A:$A,0))</f>
        <v>Clientes</v>
      </c>
      <c r="H987" s="42" t="s">
        <v>21</v>
      </c>
    </row>
    <row r="988" customFormat="false" ht="14.25" hidden="false" customHeight="true" outlineLevel="0" collapsed="false">
      <c r="A988" s="50" t="s">
        <v>34</v>
      </c>
      <c r="B988" s="51" t="s">
        <v>155</v>
      </c>
      <c r="C988" s="51" t="s">
        <v>177</v>
      </c>
      <c r="D988" s="52" t="n">
        <v>11</v>
      </c>
      <c r="E988" s="53" t="n">
        <v>3.1033</v>
      </c>
      <c r="F988" s="54" t="n">
        <f aca="false">IFERROR(D988*E988,0)</f>
        <v>34.1363</v>
      </c>
      <c r="G988" s="51" t="str">
        <f aca="false">INDEX(SETORES!$B:$B,MATCH(A988,SETORES!$A:$A,0))</f>
        <v>Clientes</v>
      </c>
      <c r="H988" s="51" t="s">
        <v>21</v>
      </c>
    </row>
    <row r="989" customFormat="false" ht="14.25" hidden="false" customHeight="true" outlineLevel="0" collapsed="false">
      <c r="A989" s="16" t="s">
        <v>34</v>
      </c>
      <c r="B989" s="42" t="s">
        <v>155</v>
      </c>
      <c r="C989" s="42" t="s">
        <v>178</v>
      </c>
      <c r="D989" s="43" t="n">
        <v>1</v>
      </c>
      <c r="E989" s="44" t="n">
        <v>188.83</v>
      </c>
      <c r="F989" s="45" t="n">
        <v>188.83</v>
      </c>
      <c r="G989" s="42" t="str">
        <f aca="false">INDEX(SETORES!$B:$B,MATCH(A989,SETORES!$A:$A,0))</f>
        <v>Clientes</v>
      </c>
      <c r="H989" s="42" t="s">
        <v>21</v>
      </c>
    </row>
    <row r="990" customFormat="false" ht="14.25" hidden="false" customHeight="true" outlineLevel="0" collapsed="false">
      <c r="A990" s="50" t="s">
        <v>34</v>
      </c>
      <c r="B990" s="51" t="s">
        <v>157</v>
      </c>
      <c r="C990" s="51" t="s">
        <v>158</v>
      </c>
      <c r="D990" s="52"/>
      <c r="E990" s="53"/>
      <c r="F990" s="54" t="n">
        <f aca="false">IFERROR(D990*E990,0)</f>
        <v>0</v>
      </c>
      <c r="G990" s="51" t="str">
        <f aca="false">INDEX(SETORES!$B:$B,MATCH(A990,SETORES!$A:$A,0))</f>
        <v>Clientes</v>
      </c>
      <c r="H990" s="51" t="s">
        <v>21</v>
      </c>
    </row>
    <row r="991" customFormat="false" ht="14.25" hidden="false" customHeight="true" outlineLevel="0" collapsed="false">
      <c r="A991" s="16" t="s">
        <v>34</v>
      </c>
      <c r="B991" s="42" t="s">
        <v>155</v>
      </c>
      <c r="C991" s="42" t="s">
        <v>173</v>
      </c>
      <c r="D991" s="43" t="n">
        <v>11</v>
      </c>
      <c r="E991" s="44" t="n">
        <v>2.05</v>
      </c>
      <c r="F991" s="45" t="n">
        <f aca="false">IFERROR(D991*E991,0)</f>
        <v>22.55</v>
      </c>
      <c r="G991" s="42" t="str">
        <f aca="false">INDEX(SETORES!$B:$B,MATCH(A991,SETORES!$A:$A,0))</f>
        <v>Clientes</v>
      </c>
      <c r="H991" s="42" t="s">
        <v>21</v>
      </c>
    </row>
    <row r="992" customFormat="false" ht="14.25" hidden="false" customHeight="true" outlineLevel="0" collapsed="false">
      <c r="A992" s="50" t="s">
        <v>34</v>
      </c>
      <c r="B992" s="51" t="s">
        <v>155</v>
      </c>
      <c r="C992" s="51" t="s">
        <v>179</v>
      </c>
      <c r="D992" s="52"/>
      <c r="E992" s="53"/>
      <c r="F992" s="54" t="n">
        <f aca="false">IFERROR(D992*E992,0)</f>
        <v>0</v>
      </c>
      <c r="G992" s="51" t="str">
        <f aca="false">INDEX(SETORES!$B:$B,MATCH(A992,SETORES!$A:$A,0))</f>
        <v>Clientes</v>
      </c>
      <c r="H992" s="51" t="s">
        <v>21</v>
      </c>
    </row>
    <row r="993" customFormat="false" ht="14.25" hidden="false" customHeight="true" outlineLevel="0" collapsed="false">
      <c r="A993" s="50" t="s">
        <v>83</v>
      </c>
      <c r="B993" s="51" t="s">
        <v>155</v>
      </c>
      <c r="C993" s="51" t="s">
        <v>163</v>
      </c>
      <c r="D993" s="52" t="n">
        <v>2</v>
      </c>
      <c r="E993" s="53" t="n">
        <v>30</v>
      </c>
      <c r="F993" s="54" t="n">
        <f aca="false">IFERROR(D993*E993,0)</f>
        <v>60</v>
      </c>
      <c r="G993" s="51" t="str">
        <f aca="false">INDEX(SETORES!$B:$B,MATCH(A993,SETORES!$A:$A,0))</f>
        <v>Clientes</v>
      </c>
      <c r="H993" s="51" t="s">
        <v>21</v>
      </c>
    </row>
    <row r="994" customFormat="false" ht="14.25" hidden="false" customHeight="true" outlineLevel="0" collapsed="false">
      <c r="A994" s="16" t="s">
        <v>83</v>
      </c>
      <c r="B994" s="42" t="s">
        <v>157</v>
      </c>
      <c r="C994" s="42" t="s">
        <v>199</v>
      </c>
      <c r="D994" s="43" t="n">
        <v>1</v>
      </c>
      <c r="E994" s="44" t="n">
        <v>1878.14</v>
      </c>
      <c r="F994" s="45" t="n">
        <f aca="false">IFERROR(D994*E994,0)</f>
        <v>1878.14</v>
      </c>
      <c r="G994" s="42" t="str">
        <f aca="false">INDEX(SETORES!$B:$B,MATCH(A994,SETORES!$A:$A,0))</f>
        <v>Clientes</v>
      </c>
      <c r="H994" s="42" t="s">
        <v>21</v>
      </c>
    </row>
    <row r="995" customFormat="false" ht="14.25" hidden="false" customHeight="true" outlineLevel="0" collapsed="false">
      <c r="A995" s="50" t="s">
        <v>83</v>
      </c>
      <c r="B995" s="51" t="s">
        <v>155</v>
      </c>
      <c r="C995" s="51" t="s">
        <v>218</v>
      </c>
      <c r="D995" s="52" t="n">
        <v>1</v>
      </c>
      <c r="E995" s="53" t="n">
        <v>7500</v>
      </c>
      <c r="F995" s="54" t="n">
        <f aca="false">IFERROR(D995*E995,0)</f>
        <v>7500</v>
      </c>
      <c r="G995" s="51" t="str">
        <f aca="false">INDEX(SETORES!$B:$B,MATCH(A995,SETORES!$A:$A,0))</f>
        <v>Clientes</v>
      </c>
      <c r="H995" s="51" t="s">
        <v>21</v>
      </c>
    </row>
    <row r="996" customFormat="false" ht="14.25" hidden="false" customHeight="true" outlineLevel="0" collapsed="false">
      <c r="A996" s="16" t="s">
        <v>83</v>
      </c>
      <c r="B996" s="42" t="s">
        <v>155</v>
      </c>
      <c r="C996" s="42" t="s">
        <v>165</v>
      </c>
      <c r="D996" s="43" t="n">
        <v>2</v>
      </c>
      <c r="E996" s="44" t="n">
        <v>43.54</v>
      </c>
      <c r="F996" s="45" t="n">
        <f aca="false">IFERROR(D996*E996,0)</f>
        <v>87.08</v>
      </c>
      <c r="G996" s="42" t="s">
        <v>99</v>
      </c>
      <c r="H996" s="42" t="s">
        <v>21</v>
      </c>
    </row>
    <row r="997" customFormat="false" ht="14.25" hidden="false" customHeight="true" outlineLevel="0" collapsed="false">
      <c r="A997" s="50" t="s">
        <v>83</v>
      </c>
      <c r="B997" s="51" t="s">
        <v>155</v>
      </c>
      <c r="C997" s="51" t="s">
        <v>166</v>
      </c>
      <c r="D997" s="52" t="n">
        <v>2</v>
      </c>
      <c r="E997" s="53" t="n">
        <v>29.74</v>
      </c>
      <c r="F997" s="54" t="n">
        <f aca="false">IFERROR(D997*E997,0)</f>
        <v>59.48</v>
      </c>
      <c r="G997" s="42" t="s">
        <v>99</v>
      </c>
      <c r="H997" s="51" t="s">
        <v>21</v>
      </c>
    </row>
    <row r="998" customFormat="false" ht="14.25" hidden="false" customHeight="true" outlineLevel="0" collapsed="false">
      <c r="A998" s="50" t="s">
        <v>83</v>
      </c>
      <c r="B998" s="51" t="s">
        <v>155</v>
      </c>
      <c r="C998" s="51" t="s">
        <v>167</v>
      </c>
      <c r="D998" s="52" t="n">
        <v>2</v>
      </c>
      <c r="E998" s="53" t="n">
        <v>47.66</v>
      </c>
      <c r="F998" s="54" t="n">
        <f aca="false">IFERROR(D998*E998,0)</f>
        <v>95.32</v>
      </c>
      <c r="G998" s="42" t="s">
        <v>99</v>
      </c>
      <c r="H998" s="51" t="s">
        <v>21</v>
      </c>
    </row>
    <row r="999" customFormat="false" ht="14.25" hidden="false" customHeight="true" outlineLevel="0" collapsed="false">
      <c r="A999" s="16" t="s">
        <v>83</v>
      </c>
      <c r="B999" s="42" t="s">
        <v>155</v>
      </c>
      <c r="C999" s="42" t="s">
        <v>169</v>
      </c>
      <c r="D999" s="43" t="n">
        <v>1</v>
      </c>
      <c r="E999" s="44" t="n">
        <v>6068.32</v>
      </c>
      <c r="F999" s="45" t="n">
        <f aca="false">IFERROR(E999,0)</f>
        <v>6068.32</v>
      </c>
      <c r="G999" s="42" t="str">
        <f aca="false">INDEX(SETORES!$B:$B,MATCH(A999,SETORES!$A:$A,0))</f>
        <v>Clientes</v>
      </c>
      <c r="H999" s="42" t="s">
        <v>21</v>
      </c>
    </row>
    <row r="1000" customFormat="false" ht="14.25" hidden="false" customHeight="true" outlineLevel="0" collapsed="false">
      <c r="A1000" s="16" t="s">
        <v>83</v>
      </c>
      <c r="B1000" s="42" t="s">
        <v>155</v>
      </c>
      <c r="C1000" s="42" t="s">
        <v>170</v>
      </c>
      <c r="D1000" s="43" t="n">
        <v>2</v>
      </c>
      <c r="E1000" s="44" t="n">
        <v>9.92</v>
      </c>
      <c r="F1000" s="45" t="n">
        <f aca="false">IFERROR(D1000*E1000,0)</f>
        <v>19.84</v>
      </c>
      <c r="G1000" s="42" t="str">
        <f aca="false">INDEX(SETORES!$B:$B,MATCH(A1000,SETORES!$A:$A,0))</f>
        <v>Clientes</v>
      </c>
      <c r="H1000" s="42" t="s">
        <v>21</v>
      </c>
    </row>
    <row r="1001" customFormat="false" ht="14.25" hidden="false" customHeight="true" outlineLevel="0" collapsed="false">
      <c r="A1001" s="50" t="s">
        <v>83</v>
      </c>
      <c r="B1001" s="51" t="s">
        <v>155</v>
      </c>
      <c r="C1001" s="51" t="s">
        <v>183</v>
      </c>
      <c r="D1001" s="52" t="n">
        <v>1</v>
      </c>
      <c r="E1001" s="53" t="n">
        <v>0</v>
      </c>
      <c r="F1001" s="54" t="n">
        <f aca="false">IFERROR(D1001*E1001,0)</f>
        <v>0</v>
      </c>
      <c r="G1001" s="51" t="str">
        <f aca="false">INDEX(SETORES!$B:$B,MATCH(A1001,SETORES!$A:$A,0))</f>
        <v>Clientes</v>
      </c>
      <c r="H1001" s="51" t="s">
        <v>21</v>
      </c>
    </row>
    <row r="1002" customFormat="false" ht="14.25" hidden="false" customHeight="true" outlineLevel="0" collapsed="false">
      <c r="A1002" s="16" t="s">
        <v>83</v>
      </c>
      <c r="B1002" s="42" t="s">
        <v>155</v>
      </c>
      <c r="C1002" s="42" t="s">
        <v>172</v>
      </c>
      <c r="D1002" s="43" t="n">
        <v>3</v>
      </c>
      <c r="E1002" s="44" t="n">
        <v>50</v>
      </c>
      <c r="F1002" s="45" t="n">
        <f aca="false">IFERROR(D1002*E1002,0)</f>
        <v>150</v>
      </c>
      <c r="G1002" s="42" t="str">
        <f aca="false">INDEX(SETORES!$B:$B,MATCH(A1002,SETORES!$A:$A,0))</f>
        <v>Clientes</v>
      </c>
      <c r="H1002" s="42" t="s">
        <v>21</v>
      </c>
    </row>
    <row r="1003" customFormat="false" ht="14.25" hidden="false" customHeight="true" outlineLevel="0" collapsed="false">
      <c r="A1003" s="50" t="s">
        <v>83</v>
      </c>
      <c r="B1003" s="51" t="s">
        <v>155</v>
      </c>
      <c r="C1003" s="51" t="s">
        <v>178</v>
      </c>
      <c r="D1003" s="52" t="n">
        <v>1</v>
      </c>
      <c r="E1003" s="53" t="n">
        <v>71.13</v>
      </c>
      <c r="F1003" s="54" t="n">
        <v>71.13</v>
      </c>
      <c r="G1003" s="51" t="str">
        <f aca="false">INDEX(SETORES!$B:$B,MATCH(A1003,SETORES!$A:$A,0))</f>
        <v>Clientes</v>
      </c>
      <c r="H1003" s="51" t="s">
        <v>21</v>
      </c>
    </row>
    <row r="1004" customFormat="false" ht="14.25" hidden="false" customHeight="true" outlineLevel="0" collapsed="false">
      <c r="A1004" s="16" t="s">
        <v>83</v>
      </c>
      <c r="B1004" s="42" t="s">
        <v>157</v>
      </c>
      <c r="C1004" s="42" t="s">
        <v>158</v>
      </c>
      <c r="D1004" s="43"/>
      <c r="E1004" s="44"/>
      <c r="F1004" s="45" t="n">
        <f aca="false">IFERROR(D1004*E1004,0)</f>
        <v>0</v>
      </c>
      <c r="G1004" s="42" t="str">
        <f aca="false">INDEX(SETORES!$B:$B,MATCH(A1004,SETORES!$A:$A,0))</f>
        <v>Clientes</v>
      </c>
      <c r="H1004" s="42" t="s">
        <v>21</v>
      </c>
    </row>
    <row r="1005" customFormat="false" ht="14.25" hidden="false" customHeight="true" outlineLevel="0" collapsed="false">
      <c r="A1005" s="50" t="s">
        <v>83</v>
      </c>
      <c r="B1005" s="51" t="s">
        <v>155</v>
      </c>
      <c r="C1005" s="51" t="s">
        <v>173</v>
      </c>
      <c r="D1005" s="52" t="n">
        <v>2</v>
      </c>
      <c r="E1005" s="53" t="n">
        <v>2.05</v>
      </c>
      <c r="F1005" s="54" t="n">
        <f aca="false">IFERROR(D1005*E1005,0)</f>
        <v>4.1</v>
      </c>
      <c r="G1005" s="51" t="str">
        <f aca="false">INDEX(SETORES!$B:$B,MATCH(A1005,SETORES!$A:$A,0))</f>
        <v>Clientes</v>
      </c>
      <c r="H1005" s="51" t="s">
        <v>21</v>
      </c>
    </row>
    <row r="1006" customFormat="false" ht="14.25" hidden="false" customHeight="true" outlineLevel="0" collapsed="false">
      <c r="A1006" s="16" t="s">
        <v>84</v>
      </c>
      <c r="B1006" s="42" t="s">
        <v>157</v>
      </c>
      <c r="C1006" s="42" t="s">
        <v>199</v>
      </c>
      <c r="D1006" s="43" t="n">
        <v>1</v>
      </c>
      <c r="E1006" s="44" t="n">
        <v>7771.58</v>
      </c>
      <c r="F1006" s="45" t="n">
        <f aca="false">IFERROR(D1006*E1006,0)</f>
        <v>7771.58</v>
      </c>
      <c r="G1006" s="42" t="str">
        <f aca="false">INDEX(SETORES!$B:$B,MATCH(A1006,SETORES!$A:$A,0))</f>
        <v>Clientes</v>
      </c>
      <c r="H1006" s="42" t="s">
        <v>21</v>
      </c>
    </row>
    <row r="1007" customFormat="false" ht="14.25" hidden="false" customHeight="true" outlineLevel="0" collapsed="false">
      <c r="A1007" s="16" t="s">
        <v>84</v>
      </c>
      <c r="B1007" s="42" t="s">
        <v>155</v>
      </c>
      <c r="C1007" s="42" t="s">
        <v>205</v>
      </c>
      <c r="D1007" s="43" t="n">
        <v>1</v>
      </c>
      <c r="E1007" s="44" t="n">
        <v>3897.73</v>
      </c>
      <c r="F1007" s="45" t="n">
        <f aca="false">IFERROR(D1007*E1007,0)</f>
        <v>3897.73</v>
      </c>
      <c r="G1007" s="42" t="str">
        <f aca="false">INDEX(SETORES!$B:$B,MATCH(A1007,SETORES!$A:$A,0))</f>
        <v>Clientes</v>
      </c>
      <c r="H1007" s="42" t="s">
        <v>21</v>
      </c>
    </row>
    <row r="1008" customFormat="false" ht="14.25" hidden="false" customHeight="true" outlineLevel="0" collapsed="false">
      <c r="A1008" s="16" t="s">
        <v>84</v>
      </c>
      <c r="B1008" s="42" t="s">
        <v>155</v>
      </c>
      <c r="C1008" s="42" t="s">
        <v>165</v>
      </c>
      <c r="D1008" s="43" t="n">
        <v>22</v>
      </c>
      <c r="E1008" s="44" t="n">
        <v>43.54</v>
      </c>
      <c r="F1008" s="45" t="n">
        <f aca="false">IFERROR(D1008*E1008,0)</f>
        <v>957.88</v>
      </c>
      <c r="G1008" s="42" t="s">
        <v>99</v>
      </c>
      <c r="H1008" s="42" t="s">
        <v>21</v>
      </c>
    </row>
    <row r="1009" customFormat="false" ht="14.25" hidden="false" customHeight="true" outlineLevel="0" collapsed="false">
      <c r="A1009" s="50" t="s">
        <v>84</v>
      </c>
      <c r="B1009" s="51" t="s">
        <v>155</v>
      </c>
      <c r="C1009" s="51" t="s">
        <v>166</v>
      </c>
      <c r="D1009" s="52" t="n">
        <v>22</v>
      </c>
      <c r="E1009" s="53" t="n">
        <v>29.74</v>
      </c>
      <c r="F1009" s="54" t="n">
        <f aca="false">IFERROR(D1009*E1009,0)</f>
        <v>654.28</v>
      </c>
      <c r="G1009" s="42" t="s">
        <v>99</v>
      </c>
      <c r="H1009" s="51" t="s">
        <v>21</v>
      </c>
    </row>
    <row r="1010" customFormat="false" ht="14.25" hidden="false" customHeight="true" outlineLevel="0" collapsed="false">
      <c r="A1010" s="50" t="s">
        <v>84</v>
      </c>
      <c r="B1010" s="51" t="s">
        <v>155</v>
      </c>
      <c r="C1010" s="51" t="s">
        <v>167</v>
      </c>
      <c r="D1010" s="52" t="n">
        <v>22</v>
      </c>
      <c r="E1010" s="53" t="n">
        <v>47.66</v>
      </c>
      <c r="F1010" s="54" t="n">
        <f aca="false">IFERROR(D1010*E1010,0)</f>
        <v>1048.52</v>
      </c>
      <c r="G1010" s="42" t="s">
        <v>99</v>
      </c>
      <c r="H1010" s="51" t="s">
        <v>21</v>
      </c>
    </row>
    <row r="1011" customFormat="false" ht="14.25" hidden="false" customHeight="true" outlineLevel="0" collapsed="false">
      <c r="A1011" s="50" t="s">
        <v>84</v>
      </c>
      <c r="B1011" s="51" t="s">
        <v>157</v>
      </c>
      <c r="C1011" s="51" t="s">
        <v>217</v>
      </c>
      <c r="D1011" s="52" t="n">
        <v>1</v>
      </c>
      <c r="E1011" s="53" t="n">
        <v>7429.1</v>
      </c>
      <c r="F1011" s="54" t="n">
        <f aca="false">IFERROR(D1011*E1011,0)</f>
        <v>7429.1</v>
      </c>
      <c r="G1011" s="51" t="str">
        <f aca="false">INDEX(SETORES!$B:$B,MATCH(A1011,SETORES!$A:$A,0))</f>
        <v>Clientes</v>
      </c>
      <c r="H1011" s="51" t="s">
        <v>21</v>
      </c>
    </row>
    <row r="1012" customFormat="false" ht="14.25" hidden="false" customHeight="true" outlineLevel="0" collapsed="false">
      <c r="A1012" s="50" t="s">
        <v>84</v>
      </c>
      <c r="B1012" s="51" t="s">
        <v>155</v>
      </c>
      <c r="C1012" s="51" t="s">
        <v>169</v>
      </c>
      <c r="D1012" s="52" t="n">
        <v>1</v>
      </c>
      <c r="E1012" s="53" t="n">
        <v>158087.5</v>
      </c>
      <c r="F1012" s="54" t="n">
        <f aca="false">IFERROR(E1012,0)</f>
        <v>158087.5</v>
      </c>
      <c r="G1012" s="51" t="str">
        <f aca="false">INDEX(SETORES!$B:$B,MATCH(A1012,SETORES!$A:$A,0))</f>
        <v>Clientes</v>
      </c>
      <c r="H1012" s="51" t="s">
        <v>21</v>
      </c>
    </row>
    <row r="1013" customFormat="false" ht="14.25" hidden="false" customHeight="true" outlineLevel="0" collapsed="false">
      <c r="A1013" s="16" t="s">
        <v>84</v>
      </c>
      <c r="B1013" s="42" t="s">
        <v>155</v>
      </c>
      <c r="C1013" s="42" t="s">
        <v>170</v>
      </c>
      <c r="D1013" s="43" t="n">
        <v>22</v>
      </c>
      <c r="E1013" s="44" t="n">
        <v>9.92</v>
      </c>
      <c r="F1013" s="45" t="n">
        <f aca="false">IFERROR(D1013*E1013,0)</f>
        <v>218.24</v>
      </c>
      <c r="G1013" s="42" t="str">
        <f aca="false">INDEX(SETORES!$B:$B,MATCH(A1013,SETORES!$A:$A,0))</f>
        <v>Clientes</v>
      </c>
      <c r="H1013" s="42" t="s">
        <v>21</v>
      </c>
    </row>
    <row r="1014" customFormat="false" ht="14.25" hidden="false" customHeight="true" outlineLevel="0" collapsed="false">
      <c r="A1014" s="16" t="s">
        <v>84</v>
      </c>
      <c r="B1014" s="42" t="s">
        <v>155</v>
      </c>
      <c r="C1014" s="42" t="s">
        <v>172</v>
      </c>
      <c r="D1014" s="43" t="n">
        <v>2</v>
      </c>
      <c r="E1014" s="44" t="n">
        <v>50</v>
      </c>
      <c r="F1014" s="45" t="n">
        <f aca="false">IFERROR(D1014*E1014,0)</f>
        <v>100</v>
      </c>
      <c r="G1014" s="42" t="str">
        <f aca="false">INDEX(SETORES!$B:$B,MATCH(A1014,SETORES!$A:$A,0))</f>
        <v>Clientes</v>
      </c>
      <c r="H1014" s="42" t="s">
        <v>21</v>
      </c>
    </row>
    <row r="1015" customFormat="false" ht="14.25" hidden="false" customHeight="true" outlineLevel="0" collapsed="false">
      <c r="A1015" s="50" t="s">
        <v>84</v>
      </c>
      <c r="B1015" s="51" t="s">
        <v>155</v>
      </c>
      <c r="C1015" s="51" t="s">
        <v>173</v>
      </c>
      <c r="D1015" s="52" t="n">
        <v>22</v>
      </c>
      <c r="E1015" s="53" t="n">
        <v>2.05</v>
      </c>
      <c r="F1015" s="54" t="n">
        <f aca="false">IFERROR(D1015*E1015,0)</f>
        <v>45.1</v>
      </c>
      <c r="G1015" s="51" t="str">
        <f aca="false">INDEX(SETORES!$B:$B,MATCH(A1015,SETORES!$A:$A,0))</f>
        <v>Clientes</v>
      </c>
      <c r="H1015" s="51" t="s">
        <v>21</v>
      </c>
    </row>
    <row r="1016" customFormat="false" ht="14.25" hidden="false" customHeight="true" outlineLevel="0" collapsed="false">
      <c r="A1016" s="50" t="s">
        <v>48</v>
      </c>
      <c r="B1016" s="51" t="s">
        <v>155</v>
      </c>
      <c r="C1016" s="51" t="s">
        <v>162</v>
      </c>
      <c r="D1016" s="52" t="n">
        <v>14</v>
      </c>
      <c r="E1016" s="53" t="n">
        <v>29.6003</v>
      </c>
      <c r="F1016" s="54" t="n">
        <v>46.5458</v>
      </c>
      <c r="G1016" s="51" t="str">
        <f aca="false">INDEX(SETORES!$B:$B,MATCH(A1016,SETORES!$A:$A,0))</f>
        <v>Clientes</v>
      </c>
      <c r="H1016" s="51" t="s">
        <v>21</v>
      </c>
    </row>
    <row r="1017" customFormat="false" ht="14.25" hidden="false" customHeight="true" outlineLevel="0" collapsed="false">
      <c r="A1017" s="16" t="s">
        <v>48</v>
      </c>
      <c r="B1017" s="42" t="s">
        <v>155</v>
      </c>
      <c r="C1017" s="42" t="s">
        <v>163</v>
      </c>
      <c r="D1017" s="43" t="n">
        <v>7</v>
      </c>
      <c r="E1017" s="44" t="n">
        <v>30</v>
      </c>
      <c r="F1017" s="45" t="n">
        <f aca="false">IFERROR(D1017*E1017,0)</f>
        <v>210</v>
      </c>
      <c r="G1017" s="42" t="str">
        <f aca="false">INDEX(SETORES!$B:$B,MATCH(A1017,SETORES!$A:$A,0))</f>
        <v>Clientes</v>
      </c>
      <c r="H1017" s="42" t="s">
        <v>21</v>
      </c>
    </row>
    <row r="1018" customFormat="false" ht="14.25" hidden="false" customHeight="true" outlineLevel="0" collapsed="false">
      <c r="A1018" s="16" t="s">
        <v>48</v>
      </c>
      <c r="B1018" s="42" t="s">
        <v>157</v>
      </c>
      <c r="C1018" s="42" t="s">
        <v>199</v>
      </c>
      <c r="D1018" s="43" t="n">
        <v>1</v>
      </c>
      <c r="E1018" s="44" t="n">
        <v>37632.61</v>
      </c>
      <c r="F1018" s="45" t="n">
        <f aca="false">IFERROR(D1018*E1018,0)</f>
        <v>37632.61</v>
      </c>
      <c r="G1018" s="42" t="str">
        <f aca="false">INDEX(SETORES!$B:$B,MATCH(A1018,SETORES!$A:$A,0))</f>
        <v>Clientes</v>
      </c>
      <c r="H1018" s="42" t="s">
        <v>21</v>
      </c>
    </row>
    <row r="1019" customFormat="false" ht="14.25" hidden="false" customHeight="true" outlineLevel="0" collapsed="false">
      <c r="A1019" s="16" t="s">
        <v>48</v>
      </c>
      <c r="B1019" s="42" t="s">
        <v>157</v>
      </c>
      <c r="C1019" s="42" t="s">
        <v>219</v>
      </c>
      <c r="D1019" s="43" t="n">
        <v>1</v>
      </c>
      <c r="E1019" s="44" t="n">
        <v>21332.99</v>
      </c>
      <c r="F1019" s="45" t="n">
        <f aca="false">IFERROR(D1019*E1019,0)</f>
        <v>21332.99</v>
      </c>
      <c r="G1019" s="42" t="str">
        <f aca="false">INDEX(SETORES!$B:$B,MATCH(A1019,SETORES!$A:$A,0))</f>
        <v>Clientes</v>
      </c>
      <c r="H1019" s="42" t="s">
        <v>21</v>
      </c>
    </row>
    <row r="1020" customFormat="false" ht="14.25" hidden="false" customHeight="true" outlineLevel="0" collapsed="false">
      <c r="A1020" s="16" t="s">
        <v>48</v>
      </c>
      <c r="B1020" s="42" t="s">
        <v>155</v>
      </c>
      <c r="C1020" s="42" t="s">
        <v>220</v>
      </c>
      <c r="D1020" s="43" t="n">
        <v>1</v>
      </c>
      <c r="E1020" s="44" t="n">
        <v>10847.070633</v>
      </c>
      <c r="F1020" s="45" t="n">
        <v>10847.070633</v>
      </c>
      <c r="G1020" s="42" t="s">
        <v>97</v>
      </c>
      <c r="H1020" s="42" t="s">
        <v>21</v>
      </c>
    </row>
    <row r="1021" customFormat="false" ht="14.25" hidden="false" customHeight="true" outlineLevel="0" collapsed="false">
      <c r="A1021" s="50" t="s">
        <v>48</v>
      </c>
      <c r="B1021" s="51" t="s">
        <v>155</v>
      </c>
      <c r="C1021" s="51" t="s">
        <v>165</v>
      </c>
      <c r="D1021" s="52" t="n">
        <v>14</v>
      </c>
      <c r="E1021" s="53" t="n">
        <v>43.54</v>
      </c>
      <c r="F1021" s="54" t="n">
        <v>609.56</v>
      </c>
      <c r="G1021" s="42" t="s">
        <v>99</v>
      </c>
      <c r="H1021" s="51" t="s">
        <v>21</v>
      </c>
    </row>
    <row r="1022" customFormat="false" ht="14.25" hidden="false" customHeight="true" outlineLevel="0" collapsed="false">
      <c r="A1022" s="16" t="s">
        <v>48</v>
      </c>
      <c r="B1022" s="42" t="s">
        <v>155</v>
      </c>
      <c r="C1022" s="42" t="s">
        <v>166</v>
      </c>
      <c r="D1022" s="43" t="n">
        <v>14</v>
      </c>
      <c r="E1022" s="44" t="n">
        <v>29.74</v>
      </c>
      <c r="F1022" s="45" t="n">
        <v>416.36</v>
      </c>
      <c r="G1022" s="42" t="s">
        <v>99</v>
      </c>
      <c r="H1022" s="42" t="s">
        <v>21</v>
      </c>
    </row>
    <row r="1023" customFormat="false" ht="14.25" hidden="false" customHeight="true" outlineLevel="0" collapsed="false">
      <c r="A1023" s="16" t="s">
        <v>48</v>
      </c>
      <c r="B1023" s="42" t="s">
        <v>155</v>
      </c>
      <c r="C1023" s="42" t="s">
        <v>167</v>
      </c>
      <c r="D1023" s="43" t="n">
        <v>14</v>
      </c>
      <c r="E1023" s="44" t="n">
        <v>47.66</v>
      </c>
      <c r="F1023" s="45" t="n">
        <v>667.24</v>
      </c>
      <c r="G1023" s="42" t="s">
        <v>99</v>
      </c>
      <c r="H1023" s="42" t="s">
        <v>21</v>
      </c>
    </row>
    <row r="1024" customFormat="false" ht="14.25" hidden="false" customHeight="true" outlineLevel="0" collapsed="false">
      <c r="A1024" s="16" t="s">
        <v>48</v>
      </c>
      <c r="B1024" s="42" t="s">
        <v>155</v>
      </c>
      <c r="C1024" s="42" t="s">
        <v>168</v>
      </c>
      <c r="D1024" s="43" t="n">
        <v>14</v>
      </c>
      <c r="E1024" s="44" t="n">
        <v>147.3902</v>
      </c>
      <c r="F1024" s="45" t="n">
        <v>297.6148</v>
      </c>
      <c r="G1024" s="42" t="str">
        <f aca="false">INDEX(SETORES!$B:$B,MATCH(A1024,SETORES!$A:$A,0))</f>
        <v>Clientes</v>
      </c>
      <c r="H1024" s="42" t="s">
        <v>21</v>
      </c>
    </row>
    <row r="1025" customFormat="false" ht="14.25" hidden="false" customHeight="true" outlineLevel="0" collapsed="false">
      <c r="A1025" s="16" t="s">
        <v>48</v>
      </c>
      <c r="B1025" s="42" t="s">
        <v>157</v>
      </c>
      <c r="C1025" s="42" t="s">
        <v>217</v>
      </c>
      <c r="D1025" s="43"/>
      <c r="E1025" s="44"/>
      <c r="F1025" s="45" t="n">
        <f aca="false">IFERROR(D1025*E1025,0)</f>
        <v>0</v>
      </c>
      <c r="G1025" s="42" t="str">
        <f aca="false">INDEX(SETORES!$B:$B,MATCH(A1025,SETORES!$A:$A,0))</f>
        <v>Clientes</v>
      </c>
      <c r="H1025" s="42" t="s">
        <v>21</v>
      </c>
    </row>
    <row r="1026" customFormat="false" ht="14.25" hidden="false" customHeight="true" outlineLevel="0" collapsed="false">
      <c r="A1026" s="16" t="s">
        <v>48</v>
      </c>
      <c r="B1026" s="42" t="s">
        <v>157</v>
      </c>
      <c r="C1026" s="42" t="s">
        <v>174</v>
      </c>
      <c r="D1026" s="43" t="n">
        <v>1</v>
      </c>
      <c r="E1026" s="44" t="n">
        <v>35</v>
      </c>
      <c r="F1026" s="45" t="n">
        <f aca="false">IFERROR(D1026*E1026,0)</f>
        <v>35</v>
      </c>
      <c r="G1026" s="42" t="str">
        <f aca="false">INDEX(SETORES!$B:$B,MATCH(A1026,SETORES!$A:$A,0))</f>
        <v>Clientes</v>
      </c>
      <c r="H1026" s="42" t="s">
        <v>21</v>
      </c>
    </row>
    <row r="1027" customFormat="false" ht="14.25" hidden="false" customHeight="true" outlineLevel="0" collapsed="false">
      <c r="A1027" s="16" t="s">
        <v>48</v>
      </c>
      <c r="B1027" s="42" t="s">
        <v>157</v>
      </c>
      <c r="C1027" s="42" t="s">
        <v>175</v>
      </c>
      <c r="D1027" s="43" t="n">
        <v>2</v>
      </c>
      <c r="E1027" s="44" t="n">
        <v>68</v>
      </c>
      <c r="F1027" s="45" t="n">
        <f aca="false">IFERROR(D1027*E1027,0)</f>
        <v>136</v>
      </c>
      <c r="G1027" s="42" t="str">
        <f aca="false">INDEX(SETORES!$B:$B,MATCH(A1027,SETORES!$A:$A,0))</f>
        <v>Clientes</v>
      </c>
      <c r="H1027" s="42" t="s">
        <v>21</v>
      </c>
    </row>
    <row r="1028" customFormat="false" ht="14.25" hidden="false" customHeight="true" outlineLevel="0" collapsed="false">
      <c r="A1028" s="50" t="s">
        <v>48</v>
      </c>
      <c r="B1028" s="51" t="s">
        <v>157</v>
      </c>
      <c r="C1028" s="51" t="s">
        <v>176</v>
      </c>
      <c r="D1028" s="52"/>
      <c r="E1028" s="53"/>
      <c r="F1028" s="54" t="n">
        <f aca="false">IFERROR(D1028*E1028,0)</f>
        <v>0</v>
      </c>
      <c r="G1028" s="51" t="str">
        <f aca="false">INDEX(SETORES!$B:$B,MATCH(A1028,SETORES!$A:$A,0))</f>
        <v>Clientes</v>
      </c>
      <c r="H1028" s="51" t="s">
        <v>21</v>
      </c>
    </row>
    <row r="1029" customFormat="false" ht="14.25" hidden="false" customHeight="true" outlineLevel="0" collapsed="false">
      <c r="A1029" s="50" t="s">
        <v>48</v>
      </c>
      <c r="B1029" s="51" t="s">
        <v>155</v>
      </c>
      <c r="C1029" s="51" t="s">
        <v>169</v>
      </c>
      <c r="D1029" s="52" t="n">
        <v>1</v>
      </c>
      <c r="E1029" s="53" t="n">
        <v>66787.046329</v>
      </c>
      <c r="F1029" s="54" t="n">
        <v>66787.046329</v>
      </c>
      <c r="G1029" s="51" t="str">
        <f aca="false">INDEX(SETORES!$B:$B,MATCH(A1029,SETORES!$A:$A,0))</f>
        <v>Clientes</v>
      </c>
      <c r="H1029" s="51" t="s">
        <v>21</v>
      </c>
    </row>
    <row r="1030" customFormat="false" ht="14.25" hidden="false" customHeight="true" outlineLevel="0" collapsed="false">
      <c r="A1030" s="16" t="s">
        <v>48</v>
      </c>
      <c r="B1030" s="42" t="s">
        <v>155</v>
      </c>
      <c r="C1030" s="42" t="s">
        <v>170</v>
      </c>
      <c r="D1030" s="43" t="n">
        <v>14</v>
      </c>
      <c r="E1030" s="44" t="n">
        <v>9.92</v>
      </c>
      <c r="F1030" s="45" t="n">
        <v>138.88</v>
      </c>
      <c r="G1030" s="42" t="str">
        <f aca="false">INDEX(SETORES!$B:$B,MATCH(A1030,SETORES!$A:$A,0))</f>
        <v>Clientes</v>
      </c>
      <c r="H1030" s="42" t="s">
        <v>21</v>
      </c>
    </row>
    <row r="1031" customFormat="false" ht="14.25" hidden="false" customHeight="true" outlineLevel="0" collapsed="false">
      <c r="A1031" s="50" t="s">
        <v>48</v>
      </c>
      <c r="B1031" s="51" t="s">
        <v>155</v>
      </c>
      <c r="C1031" s="51" t="s">
        <v>183</v>
      </c>
      <c r="D1031" s="52" t="n">
        <v>1</v>
      </c>
      <c r="E1031" s="53" t="n">
        <v>403.58</v>
      </c>
      <c r="F1031" s="54" t="n">
        <f aca="false">IFERROR(D1031*E1031,0)</f>
        <v>403.58</v>
      </c>
      <c r="G1031" s="51" t="str">
        <f aca="false">INDEX(SETORES!$B:$B,MATCH(A1031,SETORES!$A:$A,0))</f>
        <v>Clientes</v>
      </c>
      <c r="H1031" s="51" t="s">
        <v>21</v>
      </c>
    </row>
    <row r="1032" customFormat="false" ht="14.25" hidden="false" customHeight="true" outlineLevel="0" collapsed="false">
      <c r="A1032" s="16" t="s">
        <v>48</v>
      </c>
      <c r="B1032" s="42" t="s">
        <v>155</v>
      </c>
      <c r="C1032" s="42" t="s">
        <v>172</v>
      </c>
      <c r="D1032" s="43" t="n">
        <v>4</v>
      </c>
      <c r="E1032" s="44" t="n">
        <v>50</v>
      </c>
      <c r="F1032" s="45" t="n">
        <f aca="false">IFERROR(D1032*E1032,0)</f>
        <v>200</v>
      </c>
      <c r="G1032" s="42" t="str">
        <f aca="false">INDEX(SETORES!$B:$B,MATCH(A1032,SETORES!$A:$A,0))</f>
        <v>Clientes</v>
      </c>
      <c r="H1032" s="42" t="s">
        <v>21</v>
      </c>
    </row>
    <row r="1033" customFormat="false" ht="14.25" hidden="false" customHeight="true" outlineLevel="0" collapsed="false">
      <c r="A1033" s="50" t="s">
        <v>48</v>
      </c>
      <c r="B1033" s="51" t="s">
        <v>157</v>
      </c>
      <c r="C1033" s="51" t="s">
        <v>221</v>
      </c>
      <c r="D1033" s="52"/>
      <c r="E1033" s="53"/>
      <c r="F1033" s="54" t="n">
        <f aca="false">IFERROR(D1033*E1033,0)</f>
        <v>0</v>
      </c>
      <c r="G1033" s="51" t="str">
        <f aca="false">INDEX(SETORES!$B:$B,MATCH(A1033,SETORES!$A:$A,0))</f>
        <v>Clientes</v>
      </c>
      <c r="H1033" s="51" t="s">
        <v>21</v>
      </c>
    </row>
    <row r="1034" customFormat="false" ht="14.25" hidden="false" customHeight="true" outlineLevel="0" collapsed="false">
      <c r="A1034" s="16" t="s">
        <v>48</v>
      </c>
      <c r="B1034" s="42" t="s">
        <v>155</v>
      </c>
      <c r="C1034" s="42" t="s">
        <v>177</v>
      </c>
      <c r="D1034" s="43"/>
      <c r="E1034" s="44"/>
      <c r="F1034" s="45" t="n">
        <v>0</v>
      </c>
      <c r="G1034" s="42" t="str">
        <f aca="false">INDEX(SETORES!$B:$B,MATCH(A1034,SETORES!$A:$A,0))</f>
        <v>Clientes</v>
      </c>
      <c r="H1034" s="42" t="s">
        <v>21</v>
      </c>
    </row>
    <row r="1035" customFormat="false" ht="14.25" hidden="false" customHeight="true" outlineLevel="0" collapsed="false">
      <c r="A1035" s="50" t="s">
        <v>48</v>
      </c>
      <c r="B1035" s="51" t="s">
        <v>155</v>
      </c>
      <c r="C1035" s="51" t="s">
        <v>178</v>
      </c>
      <c r="D1035" s="52"/>
      <c r="E1035" s="53"/>
      <c r="F1035" s="54" t="n">
        <v>0</v>
      </c>
      <c r="G1035" s="51" t="str">
        <f aca="false">INDEX(SETORES!$B:$B,MATCH(A1035,SETORES!$A:$A,0))</f>
        <v>Clientes</v>
      </c>
      <c r="H1035" s="51" t="s">
        <v>21</v>
      </c>
    </row>
    <row r="1036" customFormat="false" ht="14.25" hidden="false" customHeight="true" outlineLevel="0" collapsed="false">
      <c r="A1036" s="50" t="s">
        <v>48</v>
      </c>
      <c r="B1036" s="51" t="s">
        <v>157</v>
      </c>
      <c r="C1036" s="51" t="s">
        <v>184</v>
      </c>
      <c r="D1036" s="52" t="n">
        <v>14</v>
      </c>
      <c r="E1036" s="44" t="n">
        <v>65.93</v>
      </c>
      <c r="F1036" s="54" t="n">
        <v>1076.88</v>
      </c>
      <c r="G1036" s="51" t="str">
        <f aca="false">INDEX(SETORES!$B:$B,MATCH(A1036,SETORES!$A:$A,0))</f>
        <v>Clientes</v>
      </c>
      <c r="H1036" s="51" t="s">
        <v>21</v>
      </c>
    </row>
    <row r="1037" customFormat="false" ht="14.25" hidden="false" customHeight="true" outlineLevel="0" collapsed="false">
      <c r="A1037" s="50" t="s">
        <v>48</v>
      </c>
      <c r="B1037" s="51" t="s">
        <v>157</v>
      </c>
      <c r="C1037" s="51" t="s">
        <v>158</v>
      </c>
      <c r="D1037" s="52"/>
      <c r="E1037" s="53"/>
      <c r="F1037" s="54" t="n">
        <f aca="false">IFERROR(D1037*E1037,0)</f>
        <v>0</v>
      </c>
      <c r="G1037" s="51" t="str">
        <f aca="false">INDEX(SETORES!$B:$B,MATCH(A1037,SETORES!$A:$A,0))</f>
        <v>Clientes</v>
      </c>
      <c r="H1037" s="51" t="s">
        <v>21</v>
      </c>
    </row>
    <row r="1038" customFormat="false" ht="14.25" hidden="false" customHeight="true" outlineLevel="0" collapsed="false">
      <c r="A1038" s="50" t="s">
        <v>48</v>
      </c>
      <c r="B1038" s="51" t="s">
        <v>155</v>
      </c>
      <c r="C1038" s="51" t="s">
        <v>222</v>
      </c>
      <c r="D1038" s="52" t="n">
        <v>1</v>
      </c>
      <c r="E1038" s="53" t="n">
        <v>2911</v>
      </c>
      <c r="F1038" s="54" t="n">
        <f aca="false">IFERROR(D1038*E1038,0)</f>
        <v>2911</v>
      </c>
      <c r="G1038" s="51" t="str">
        <f aca="false">INDEX(SETORES!$B:$B,MATCH(A1038,SETORES!$A:$A,0))</f>
        <v>Clientes</v>
      </c>
      <c r="H1038" s="51" t="s">
        <v>21</v>
      </c>
    </row>
    <row r="1039" customFormat="false" ht="14.25" hidden="false" customHeight="true" outlineLevel="0" collapsed="false">
      <c r="A1039" s="50" t="s">
        <v>48</v>
      </c>
      <c r="B1039" s="51" t="s">
        <v>155</v>
      </c>
      <c r="C1039" s="51" t="s">
        <v>173</v>
      </c>
      <c r="D1039" s="52" t="n">
        <v>14</v>
      </c>
      <c r="E1039" s="53" t="n">
        <v>2.05</v>
      </c>
      <c r="F1039" s="54" t="n">
        <v>28.7</v>
      </c>
      <c r="G1039" s="51" t="str">
        <f aca="false">INDEX(SETORES!$B:$B,MATCH(A1039,SETORES!$A:$A,0))</f>
        <v>Clientes</v>
      </c>
      <c r="H1039" s="51" t="s">
        <v>21</v>
      </c>
    </row>
    <row r="1040" customFormat="false" ht="14.25" hidden="false" customHeight="true" outlineLevel="0" collapsed="false">
      <c r="A1040" s="16" t="s">
        <v>48</v>
      </c>
      <c r="B1040" s="42" t="s">
        <v>155</v>
      </c>
      <c r="C1040" s="42" t="s">
        <v>179</v>
      </c>
      <c r="D1040" s="43"/>
      <c r="E1040" s="44"/>
      <c r="F1040" s="45" t="n">
        <f aca="false">IFERROR(D1040*E1040,0)</f>
        <v>0</v>
      </c>
      <c r="G1040" s="42" t="str">
        <f aca="false">INDEX(SETORES!$B:$B,MATCH(A1040,SETORES!$A:$A,0))</f>
        <v>Clientes</v>
      </c>
      <c r="H1040" s="42" t="s">
        <v>21</v>
      </c>
    </row>
    <row r="1041" customFormat="false" ht="14.25" hidden="false" customHeight="true" outlineLevel="0" collapsed="false">
      <c r="A1041" s="50" t="s">
        <v>47</v>
      </c>
      <c r="B1041" s="51" t="s">
        <v>155</v>
      </c>
      <c r="C1041" s="51" t="s">
        <v>163</v>
      </c>
      <c r="D1041" s="52" t="n">
        <v>7</v>
      </c>
      <c r="E1041" s="53" t="n">
        <v>30</v>
      </c>
      <c r="F1041" s="54" t="n">
        <f aca="false">IFERROR(D1041*E1041,0)</f>
        <v>210</v>
      </c>
      <c r="G1041" s="51" t="str">
        <f aca="false">INDEX(SETORES!$B:$B,MATCH(A1041,SETORES!$A:$A,0))</f>
        <v>Clientes</v>
      </c>
      <c r="H1041" s="51" t="s">
        <v>21</v>
      </c>
    </row>
    <row r="1042" customFormat="false" ht="14.25" hidden="false" customHeight="true" outlineLevel="0" collapsed="false">
      <c r="A1042" s="50" t="s">
        <v>47</v>
      </c>
      <c r="B1042" s="51" t="s">
        <v>157</v>
      </c>
      <c r="C1042" s="51" t="s">
        <v>199</v>
      </c>
      <c r="D1042" s="52" t="n">
        <v>1</v>
      </c>
      <c r="E1042" s="53" t="n">
        <v>8877.73</v>
      </c>
      <c r="F1042" s="54" t="n">
        <f aca="false">IFERROR(D1042*E1042,0)</f>
        <v>8877.73</v>
      </c>
      <c r="G1042" s="51" t="str">
        <f aca="false">INDEX(SETORES!$B:$B,MATCH(A1042,SETORES!$A:$A,0))</f>
        <v>Clientes</v>
      </c>
      <c r="H1042" s="51" t="s">
        <v>21</v>
      </c>
    </row>
    <row r="1043" customFormat="false" ht="14.25" hidden="false" customHeight="true" outlineLevel="0" collapsed="false">
      <c r="A1043" s="50" t="s">
        <v>47</v>
      </c>
      <c r="B1043" s="51" t="s">
        <v>155</v>
      </c>
      <c r="C1043" s="51" t="s">
        <v>205</v>
      </c>
      <c r="D1043" s="52" t="n">
        <v>1</v>
      </c>
      <c r="E1043" s="53" t="n">
        <v>2303.21</v>
      </c>
      <c r="F1043" s="54" t="n">
        <f aca="false">IFERROR(D1043*E1043,0)</f>
        <v>2303.21</v>
      </c>
      <c r="G1043" s="51" t="str">
        <f aca="false">INDEX(SETORES!$B:$B,MATCH(A1043,SETORES!$A:$A,0))</f>
        <v>Clientes</v>
      </c>
      <c r="H1043" s="51" t="s">
        <v>21</v>
      </c>
    </row>
    <row r="1044" customFormat="false" ht="14.25" hidden="false" customHeight="true" outlineLevel="0" collapsed="false">
      <c r="A1044" s="16" t="s">
        <v>47</v>
      </c>
      <c r="B1044" s="42" t="s">
        <v>155</v>
      </c>
      <c r="C1044" s="42" t="s">
        <v>165</v>
      </c>
      <c r="D1044" s="43" t="n">
        <v>13</v>
      </c>
      <c r="E1044" s="44" t="n">
        <v>43.54</v>
      </c>
      <c r="F1044" s="45" t="n">
        <f aca="false">IFERROR(D1044*E1044,0)</f>
        <v>566.02</v>
      </c>
      <c r="G1044" s="42" t="s">
        <v>99</v>
      </c>
      <c r="H1044" s="42" t="s">
        <v>21</v>
      </c>
    </row>
    <row r="1045" customFormat="false" ht="14.25" hidden="false" customHeight="true" outlineLevel="0" collapsed="false">
      <c r="A1045" s="50" t="s">
        <v>47</v>
      </c>
      <c r="B1045" s="51" t="s">
        <v>155</v>
      </c>
      <c r="C1045" s="51" t="s">
        <v>166</v>
      </c>
      <c r="D1045" s="52" t="n">
        <v>13</v>
      </c>
      <c r="E1045" s="53" t="n">
        <v>29.74</v>
      </c>
      <c r="F1045" s="54" t="n">
        <f aca="false">IFERROR(D1045*E1045,0)</f>
        <v>386.62</v>
      </c>
      <c r="G1045" s="42" t="s">
        <v>99</v>
      </c>
      <c r="H1045" s="51" t="s">
        <v>21</v>
      </c>
    </row>
    <row r="1046" customFormat="false" ht="14.25" hidden="false" customHeight="true" outlineLevel="0" collapsed="false">
      <c r="A1046" s="50" t="s">
        <v>47</v>
      </c>
      <c r="B1046" s="51" t="s">
        <v>155</v>
      </c>
      <c r="C1046" s="51" t="s">
        <v>167</v>
      </c>
      <c r="D1046" s="52" t="n">
        <v>13</v>
      </c>
      <c r="E1046" s="53" t="n">
        <v>47.66</v>
      </c>
      <c r="F1046" s="54" t="n">
        <f aca="false">IFERROR(D1046*E1046,0)</f>
        <v>619.58</v>
      </c>
      <c r="G1046" s="42" t="s">
        <v>99</v>
      </c>
      <c r="H1046" s="51" t="s">
        <v>21</v>
      </c>
    </row>
    <row r="1047" customFormat="false" ht="14.25" hidden="false" customHeight="true" outlineLevel="0" collapsed="false">
      <c r="A1047" s="50" t="s">
        <v>47</v>
      </c>
      <c r="B1047" s="51" t="s">
        <v>157</v>
      </c>
      <c r="C1047" s="51" t="s">
        <v>217</v>
      </c>
      <c r="D1047" s="52" t="n">
        <v>1</v>
      </c>
      <c r="E1047" s="53" t="n">
        <v>577.53</v>
      </c>
      <c r="F1047" s="54" t="n">
        <f aca="false">IFERROR(D1047*E1047,0)</f>
        <v>577.53</v>
      </c>
      <c r="G1047" s="51" t="str">
        <f aca="false">INDEX(SETORES!$B:$B,MATCH(A1047,SETORES!$A:$A,0))</f>
        <v>Clientes</v>
      </c>
      <c r="H1047" s="51" t="s">
        <v>21</v>
      </c>
    </row>
    <row r="1048" customFormat="false" ht="14.25" hidden="false" customHeight="true" outlineLevel="0" collapsed="false">
      <c r="A1048" s="16" t="s">
        <v>47</v>
      </c>
      <c r="B1048" s="42" t="s">
        <v>157</v>
      </c>
      <c r="C1048" s="42" t="s">
        <v>174</v>
      </c>
      <c r="D1048" s="43" t="n">
        <v>1</v>
      </c>
      <c r="E1048" s="44" t="n">
        <v>735</v>
      </c>
      <c r="F1048" s="45" t="n">
        <f aca="false">IFERROR(D1048*E1048,0)</f>
        <v>735</v>
      </c>
      <c r="G1048" s="42" t="str">
        <f aca="false">INDEX(SETORES!$B:$B,MATCH(A1048,SETORES!$A:$A,0))</f>
        <v>Clientes</v>
      </c>
      <c r="H1048" s="42" t="s">
        <v>21</v>
      </c>
    </row>
    <row r="1049" customFormat="false" ht="14.25" hidden="false" customHeight="true" outlineLevel="0" collapsed="false">
      <c r="A1049" s="16" t="s">
        <v>47</v>
      </c>
      <c r="B1049" s="42" t="s">
        <v>157</v>
      </c>
      <c r="C1049" s="42" t="s">
        <v>175</v>
      </c>
      <c r="D1049" s="43" t="n">
        <v>3</v>
      </c>
      <c r="E1049" s="44" t="n">
        <v>30</v>
      </c>
      <c r="F1049" s="45" t="n">
        <f aca="false">IFERROR(D1049*E1049,0)</f>
        <v>90</v>
      </c>
      <c r="G1049" s="42" t="str">
        <f aca="false">INDEX(SETORES!$B:$B,MATCH(A1049,SETORES!$A:$A,0))</f>
        <v>Clientes</v>
      </c>
      <c r="H1049" s="42" t="s">
        <v>21</v>
      </c>
    </row>
    <row r="1050" customFormat="false" ht="14.25" hidden="false" customHeight="true" outlineLevel="0" collapsed="false">
      <c r="A1050" s="50" t="s">
        <v>47</v>
      </c>
      <c r="B1050" s="51" t="s">
        <v>157</v>
      </c>
      <c r="C1050" s="51" t="s">
        <v>176</v>
      </c>
      <c r="D1050" s="52" t="n">
        <v>1</v>
      </c>
      <c r="E1050" s="53" t="n">
        <v>45</v>
      </c>
      <c r="F1050" s="54" t="n">
        <f aca="false">IFERROR(D1050*E1050,0)</f>
        <v>45</v>
      </c>
      <c r="G1050" s="51" t="str">
        <f aca="false">INDEX(SETORES!$B:$B,MATCH(A1050,SETORES!$A:$A,0))</f>
        <v>Clientes</v>
      </c>
      <c r="H1050" s="51" t="s">
        <v>21</v>
      </c>
    </row>
    <row r="1051" customFormat="false" ht="14.25" hidden="false" customHeight="true" outlineLevel="0" collapsed="false">
      <c r="A1051" s="50" t="s">
        <v>47</v>
      </c>
      <c r="B1051" s="51" t="s">
        <v>155</v>
      </c>
      <c r="C1051" s="51" t="s">
        <v>169</v>
      </c>
      <c r="D1051" s="52" t="n">
        <v>1</v>
      </c>
      <c r="E1051" s="53" t="n">
        <v>105508.61</v>
      </c>
      <c r="F1051" s="54" t="n">
        <f aca="false">IFERROR(E1051,0)</f>
        <v>105508.61</v>
      </c>
      <c r="G1051" s="51" t="str">
        <f aca="false">INDEX(SETORES!$B:$B,MATCH(A1051,SETORES!$A:$A,0))</f>
        <v>Clientes</v>
      </c>
      <c r="H1051" s="51" t="s">
        <v>21</v>
      </c>
    </row>
    <row r="1052" customFormat="false" ht="14.25" hidden="false" customHeight="true" outlineLevel="0" collapsed="false">
      <c r="A1052" s="16" t="s">
        <v>47</v>
      </c>
      <c r="B1052" s="42" t="s">
        <v>155</v>
      </c>
      <c r="C1052" s="42" t="s">
        <v>170</v>
      </c>
      <c r="D1052" s="43" t="n">
        <v>13</v>
      </c>
      <c r="E1052" s="44" t="n">
        <v>9.92</v>
      </c>
      <c r="F1052" s="45" t="n">
        <f aca="false">IFERROR(D1052*E1052,0)</f>
        <v>128.96</v>
      </c>
      <c r="G1052" s="42" t="str">
        <f aca="false">INDEX(SETORES!$B:$B,MATCH(A1052,SETORES!$A:$A,0))</f>
        <v>Clientes</v>
      </c>
      <c r="H1052" s="42" t="s">
        <v>21</v>
      </c>
    </row>
    <row r="1053" customFormat="false" ht="14.25" hidden="false" customHeight="true" outlineLevel="0" collapsed="false">
      <c r="A1053" s="16" t="s">
        <v>47</v>
      </c>
      <c r="B1053" s="42" t="s">
        <v>157</v>
      </c>
      <c r="C1053" s="42" t="s">
        <v>223</v>
      </c>
      <c r="D1053" s="43"/>
      <c r="E1053" s="44"/>
      <c r="F1053" s="45" t="n">
        <f aca="false">IFERROR(D1053*E1053,0)</f>
        <v>0</v>
      </c>
      <c r="G1053" s="42" t="str">
        <f aca="false">INDEX(SETORES!$B:$B,MATCH(A1053,SETORES!$A:$A,0))</f>
        <v>Clientes</v>
      </c>
      <c r="H1053" s="42" t="s">
        <v>21</v>
      </c>
    </row>
    <row r="1054" customFormat="false" ht="14.25" hidden="false" customHeight="true" outlineLevel="0" collapsed="false">
      <c r="A1054" s="16" t="s">
        <v>47</v>
      </c>
      <c r="B1054" s="42" t="s">
        <v>155</v>
      </c>
      <c r="C1054" s="42" t="s">
        <v>172</v>
      </c>
      <c r="D1054" s="43" t="n">
        <v>1</v>
      </c>
      <c r="E1054" s="44" t="n">
        <v>50</v>
      </c>
      <c r="F1054" s="45" t="n">
        <f aca="false">IFERROR(D1054*E1054,0)</f>
        <v>50</v>
      </c>
      <c r="G1054" s="42" t="str">
        <f aca="false">INDEX(SETORES!$B:$B,MATCH(A1054,SETORES!$A:$A,0))</f>
        <v>Clientes</v>
      </c>
      <c r="H1054" s="42" t="s">
        <v>21</v>
      </c>
    </row>
    <row r="1055" customFormat="false" ht="14.25" hidden="false" customHeight="true" outlineLevel="0" collapsed="false">
      <c r="A1055" s="16" t="s">
        <v>47</v>
      </c>
      <c r="B1055" s="42" t="s">
        <v>155</v>
      </c>
      <c r="C1055" s="42" t="s">
        <v>177</v>
      </c>
      <c r="D1055" s="43"/>
      <c r="E1055" s="44"/>
      <c r="F1055" s="45" t="n">
        <v>0</v>
      </c>
      <c r="G1055" s="42" t="str">
        <f aca="false">INDEX(SETORES!$B:$B,MATCH(A1055,SETORES!$A:$A,0))</f>
        <v>Clientes</v>
      </c>
      <c r="H1055" s="42" t="s">
        <v>21</v>
      </c>
    </row>
    <row r="1056" customFormat="false" ht="14.25" hidden="false" customHeight="true" outlineLevel="0" collapsed="false">
      <c r="A1056" s="50" t="s">
        <v>47</v>
      </c>
      <c r="B1056" s="51" t="s">
        <v>155</v>
      </c>
      <c r="C1056" s="51" t="s">
        <v>178</v>
      </c>
      <c r="D1056" s="52"/>
      <c r="E1056" s="53"/>
      <c r="F1056" s="54" t="n">
        <v>0</v>
      </c>
      <c r="G1056" s="51" t="str">
        <f aca="false">INDEX(SETORES!$B:$B,MATCH(A1056,SETORES!$A:$A,0))</f>
        <v>Clientes</v>
      </c>
      <c r="H1056" s="51" t="s">
        <v>21</v>
      </c>
    </row>
    <row r="1057" customFormat="false" ht="14.25" hidden="false" customHeight="true" outlineLevel="0" collapsed="false">
      <c r="A1057" s="50" t="s">
        <v>47</v>
      </c>
      <c r="B1057" s="51" t="s">
        <v>155</v>
      </c>
      <c r="C1057" s="51" t="s">
        <v>173</v>
      </c>
      <c r="D1057" s="52" t="n">
        <v>13</v>
      </c>
      <c r="E1057" s="53" t="n">
        <v>2.05</v>
      </c>
      <c r="F1057" s="54" t="n">
        <f aca="false">IFERROR(D1057*E1057,0)</f>
        <v>26.65</v>
      </c>
      <c r="G1057" s="51" t="str">
        <f aca="false">INDEX(SETORES!$B:$B,MATCH(A1057,SETORES!$A:$A,0))</f>
        <v>Clientes</v>
      </c>
      <c r="H1057" s="51" t="s">
        <v>21</v>
      </c>
    </row>
    <row r="1058" customFormat="false" ht="14.25" hidden="false" customHeight="true" outlineLevel="0" collapsed="false">
      <c r="A1058" s="16" t="s">
        <v>47</v>
      </c>
      <c r="B1058" s="42" t="s">
        <v>155</v>
      </c>
      <c r="C1058" s="42" t="s">
        <v>179</v>
      </c>
      <c r="D1058" s="43"/>
      <c r="E1058" s="44"/>
      <c r="F1058" s="45" t="n">
        <f aca="false">IFERROR(D1058*E1058,0)</f>
        <v>0</v>
      </c>
      <c r="G1058" s="42" t="str">
        <f aca="false">INDEX(SETORES!$B:$B,MATCH(A1058,SETORES!$A:$A,0))</f>
        <v>Clientes</v>
      </c>
      <c r="H1058" s="42" t="s">
        <v>21</v>
      </c>
    </row>
    <row r="1059" customFormat="false" ht="14.25" hidden="false" customHeight="true" outlineLevel="0" collapsed="false">
      <c r="A1059" s="50" t="s">
        <v>85</v>
      </c>
      <c r="B1059" s="51" t="s">
        <v>155</v>
      </c>
      <c r="C1059" s="51" t="s">
        <v>162</v>
      </c>
      <c r="D1059" s="52" t="n">
        <v>1</v>
      </c>
      <c r="E1059" s="53" t="n">
        <v>0.291</v>
      </c>
      <c r="F1059" s="54" t="n">
        <v>0.291</v>
      </c>
      <c r="G1059" s="51" t="s">
        <v>97</v>
      </c>
      <c r="H1059" s="51" t="s">
        <v>21</v>
      </c>
    </row>
    <row r="1060" customFormat="false" ht="14.25" hidden="false" customHeight="true" outlineLevel="0" collapsed="false">
      <c r="A1060" s="16" t="s">
        <v>85</v>
      </c>
      <c r="B1060" s="42" t="s">
        <v>155</v>
      </c>
      <c r="C1060" s="42" t="s">
        <v>163</v>
      </c>
      <c r="D1060" s="43" t="n">
        <v>10</v>
      </c>
      <c r="E1060" s="44" t="n">
        <v>30</v>
      </c>
      <c r="F1060" s="45" t="n">
        <f aca="false">IFERROR(D1060*E1060,0)</f>
        <v>300</v>
      </c>
      <c r="G1060" s="42" t="str">
        <f aca="false">INDEX(SETORES!$B:$B,MATCH(A1060,SETORES!$A:$A,0))</f>
        <v>Clientes</v>
      </c>
      <c r="H1060" s="42" t="s">
        <v>21</v>
      </c>
    </row>
    <row r="1061" customFormat="false" ht="14.25" hidden="false" customHeight="true" outlineLevel="0" collapsed="false">
      <c r="A1061" s="50" t="s">
        <v>85</v>
      </c>
      <c r="B1061" s="51" t="s">
        <v>157</v>
      </c>
      <c r="C1061" s="51" t="s">
        <v>199</v>
      </c>
      <c r="D1061" s="52" t="n">
        <v>1</v>
      </c>
      <c r="E1061" s="53" t="n">
        <v>1223.23</v>
      </c>
      <c r="F1061" s="54" t="n">
        <f aca="false">IFERROR(D1061*E1061,0)</f>
        <v>1223.23</v>
      </c>
      <c r="G1061" s="51" t="str">
        <f aca="false">INDEX(SETORES!$B:$B,MATCH(A1061,SETORES!$A:$A,0))</f>
        <v>Clientes</v>
      </c>
      <c r="H1061" s="51" t="s">
        <v>21</v>
      </c>
    </row>
    <row r="1062" customFormat="false" ht="14.25" hidden="false" customHeight="true" outlineLevel="0" collapsed="false">
      <c r="A1062" s="16" t="s">
        <v>85</v>
      </c>
      <c r="B1062" s="42" t="s">
        <v>155</v>
      </c>
      <c r="C1062" s="42" t="s">
        <v>165</v>
      </c>
      <c r="D1062" s="43" t="n">
        <v>12</v>
      </c>
      <c r="E1062" s="44" t="n">
        <v>43.54</v>
      </c>
      <c r="F1062" s="45" t="n">
        <f aca="false">IFERROR(D1062*E1062,0)</f>
        <v>522.48</v>
      </c>
      <c r="G1062" s="42" t="s">
        <v>99</v>
      </c>
      <c r="H1062" s="42" t="s">
        <v>21</v>
      </c>
    </row>
    <row r="1063" customFormat="false" ht="14.25" hidden="false" customHeight="true" outlineLevel="0" collapsed="false">
      <c r="A1063" s="50" t="s">
        <v>85</v>
      </c>
      <c r="B1063" s="51" t="s">
        <v>155</v>
      </c>
      <c r="C1063" s="51" t="s">
        <v>166</v>
      </c>
      <c r="D1063" s="52" t="n">
        <v>12</v>
      </c>
      <c r="E1063" s="53" t="n">
        <v>29.74</v>
      </c>
      <c r="F1063" s="54" t="n">
        <f aca="false">IFERROR(D1063*E1063,0)</f>
        <v>356.88</v>
      </c>
      <c r="G1063" s="42" t="s">
        <v>99</v>
      </c>
      <c r="H1063" s="51" t="s">
        <v>21</v>
      </c>
    </row>
    <row r="1064" customFormat="false" ht="14.25" hidden="false" customHeight="true" outlineLevel="0" collapsed="false">
      <c r="A1064" s="50" t="s">
        <v>85</v>
      </c>
      <c r="B1064" s="51" t="s">
        <v>155</v>
      </c>
      <c r="C1064" s="51" t="s">
        <v>167</v>
      </c>
      <c r="D1064" s="52" t="n">
        <v>12</v>
      </c>
      <c r="E1064" s="53" t="n">
        <v>47.66</v>
      </c>
      <c r="F1064" s="54" t="n">
        <f aca="false">IFERROR(D1064*E1064,0)</f>
        <v>571.92</v>
      </c>
      <c r="G1064" s="42" t="s">
        <v>99</v>
      </c>
      <c r="H1064" s="51" t="s">
        <v>21</v>
      </c>
    </row>
    <row r="1065" customFormat="false" ht="14.25" hidden="false" customHeight="true" outlineLevel="0" collapsed="false">
      <c r="A1065" s="16" t="s">
        <v>85</v>
      </c>
      <c r="B1065" s="42" t="s">
        <v>155</v>
      </c>
      <c r="C1065" s="42" t="s">
        <v>168</v>
      </c>
      <c r="D1065" s="43" t="n">
        <v>1</v>
      </c>
      <c r="E1065" s="44" t="n">
        <v>99.276</v>
      </c>
      <c r="F1065" s="45" t="n">
        <v>99.276</v>
      </c>
      <c r="G1065" s="42" t="s">
        <v>97</v>
      </c>
      <c r="H1065" s="42" t="s">
        <v>21</v>
      </c>
    </row>
    <row r="1066" customFormat="false" ht="14.25" hidden="false" customHeight="true" outlineLevel="0" collapsed="false">
      <c r="A1066" s="16" t="s">
        <v>85</v>
      </c>
      <c r="B1066" s="42" t="s">
        <v>157</v>
      </c>
      <c r="C1066" s="42" t="s">
        <v>174</v>
      </c>
      <c r="D1066" s="43" t="n">
        <v>1</v>
      </c>
      <c r="E1066" s="44" t="n">
        <v>65</v>
      </c>
      <c r="F1066" s="45" t="n">
        <f aca="false">IFERROR(D1066*E1066,0)</f>
        <v>65</v>
      </c>
      <c r="G1066" s="42" t="str">
        <f aca="false">INDEX(SETORES!$B:$B,MATCH(A1066,SETORES!$A:$A,0))</f>
        <v>Clientes</v>
      </c>
      <c r="H1066" s="42" t="s">
        <v>21</v>
      </c>
    </row>
    <row r="1067" customFormat="false" ht="14.25" hidden="false" customHeight="true" outlineLevel="0" collapsed="false">
      <c r="A1067" s="16" t="s">
        <v>85</v>
      </c>
      <c r="B1067" s="42" t="s">
        <v>157</v>
      </c>
      <c r="C1067" s="42" t="s">
        <v>175</v>
      </c>
      <c r="D1067" s="43" t="n">
        <v>2</v>
      </c>
      <c r="E1067" s="44" t="n">
        <v>45</v>
      </c>
      <c r="F1067" s="45" t="n">
        <f aca="false">IFERROR(D1067*E1067,0)</f>
        <v>90</v>
      </c>
      <c r="G1067" s="42" t="str">
        <f aca="false">INDEX(SETORES!$B:$B,MATCH(A1067,SETORES!$A:$A,0))</f>
        <v>Clientes</v>
      </c>
      <c r="H1067" s="42" t="s">
        <v>21</v>
      </c>
    </row>
    <row r="1068" customFormat="false" ht="14.25" hidden="false" customHeight="true" outlineLevel="0" collapsed="false">
      <c r="A1068" s="50" t="s">
        <v>85</v>
      </c>
      <c r="B1068" s="51" t="s">
        <v>155</v>
      </c>
      <c r="C1068" s="51" t="s">
        <v>169</v>
      </c>
      <c r="D1068" s="52" t="n">
        <v>1</v>
      </c>
      <c r="E1068" s="53" t="n">
        <v>55912.74</v>
      </c>
      <c r="F1068" s="54" t="n">
        <f aca="false">IFERROR(E1068,0)</f>
        <v>55912.74</v>
      </c>
      <c r="G1068" s="51" t="str">
        <f aca="false">INDEX(SETORES!$B:$B,MATCH(A1068,SETORES!$A:$A,0))</f>
        <v>Clientes</v>
      </c>
      <c r="H1068" s="51" t="s">
        <v>21</v>
      </c>
    </row>
    <row r="1069" customFormat="false" ht="14.25" hidden="false" customHeight="true" outlineLevel="0" collapsed="false">
      <c r="A1069" s="16" t="s">
        <v>85</v>
      </c>
      <c r="B1069" s="42" t="s">
        <v>155</v>
      </c>
      <c r="C1069" s="42" t="s">
        <v>170</v>
      </c>
      <c r="D1069" s="43" t="n">
        <v>12</v>
      </c>
      <c r="E1069" s="44" t="n">
        <v>9.92</v>
      </c>
      <c r="F1069" s="45" t="n">
        <f aca="false">IFERROR(D1069*E1069,0)</f>
        <v>119.04</v>
      </c>
      <c r="G1069" s="42" t="str">
        <f aca="false">INDEX(SETORES!$B:$B,MATCH(A1069,SETORES!$A:$A,0))</f>
        <v>Clientes</v>
      </c>
      <c r="H1069" s="42" t="s">
        <v>21</v>
      </c>
    </row>
    <row r="1070" customFormat="false" ht="14.25" hidden="false" customHeight="true" outlineLevel="0" collapsed="false">
      <c r="A1070" s="50" t="s">
        <v>85</v>
      </c>
      <c r="B1070" s="51" t="s">
        <v>155</v>
      </c>
      <c r="C1070" s="51" t="s">
        <v>183</v>
      </c>
      <c r="D1070" s="52" t="n">
        <v>1</v>
      </c>
      <c r="E1070" s="53" t="n">
        <v>128.68</v>
      </c>
      <c r="F1070" s="54" t="n">
        <f aca="false">IFERROR(D1070*E1070,0)</f>
        <v>128.68</v>
      </c>
      <c r="G1070" s="51" t="str">
        <f aca="false">INDEX(SETORES!$B:$B,MATCH(A1070,SETORES!$A:$A,0))</f>
        <v>Clientes</v>
      </c>
      <c r="H1070" s="51" t="s">
        <v>21</v>
      </c>
    </row>
    <row r="1071" customFormat="false" ht="14.25" hidden="false" customHeight="true" outlineLevel="0" collapsed="false">
      <c r="A1071" s="16" t="s">
        <v>85</v>
      </c>
      <c r="B1071" s="42" t="s">
        <v>155</v>
      </c>
      <c r="C1071" s="42" t="s">
        <v>172</v>
      </c>
      <c r="D1071" s="43" t="n">
        <v>15</v>
      </c>
      <c r="E1071" s="44" t="n">
        <v>47.33</v>
      </c>
      <c r="F1071" s="45" t="n">
        <f aca="false">IFERROR(D1071*E1071,0)</f>
        <v>709.95</v>
      </c>
      <c r="G1071" s="42" t="str">
        <f aca="false">INDEX(SETORES!$B:$B,MATCH(A1071,SETORES!$A:$A,0))</f>
        <v>Clientes</v>
      </c>
      <c r="H1071" s="42" t="s">
        <v>21</v>
      </c>
    </row>
    <row r="1072" customFormat="false" ht="14.25" hidden="false" customHeight="true" outlineLevel="0" collapsed="false">
      <c r="A1072" s="16" t="s">
        <v>85</v>
      </c>
      <c r="B1072" s="42" t="s">
        <v>155</v>
      </c>
      <c r="C1072" s="42" t="s">
        <v>178</v>
      </c>
      <c r="D1072" s="43" t="n">
        <v>1</v>
      </c>
      <c r="E1072" s="44" t="n">
        <v>198.78</v>
      </c>
      <c r="F1072" s="45" t="n">
        <v>198.78</v>
      </c>
      <c r="G1072" s="42" t="str">
        <f aca="false">INDEX(SETORES!$B:$B,MATCH(A1072,SETORES!$A:$A,0))</f>
        <v>Clientes</v>
      </c>
      <c r="H1072" s="42" t="s">
        <v>21</v>
      </c>
    </row>
    <row r="1073" customFormat="false" ht="14.25" hidden="false" customHeight="true" outlineLevel="0" collapsed="false">
      <c r="A1073" s="16" t="s">
        <v>85</v>
      </c>
      <c r="B1073" s="42" t="s">
        <v>157</v>
      </c>
      <c r="C1073" s="42" t="s">
        <v>158</v>
      </c>
      <c r="D1073" s="43"/>
      <c r="E1073" s="44"/>
      <c r="F1073" s="45" t="n">
        <f aca="false">IFERROR(D1073*E1073,0)</f>
        <v>0</v>
      </c>
      <c r="G1073" s="42" t="str">
        <f aca="false">INDEX(SETORES!$B:$B,MATCH(A1073,SETORES!$A:$A,0))</f>
        <v>Clientes</v>
      </c>
      <c r="H1073" s="42" t="s">
        <v>21</v>
      </c>
    </row>
    <row r="1074" customFormat="false" ht="14.25" hidden="false" customHeight="true" outlineLevel="0" collapsed="false">
      <c r="A1074" s="46" t="s">
        <v>85</v>
      </c>
      <c r="B1074" s="47" t="s">
        <v>157</v>
      </c>
      <c r="C1074" s="47" t="s">
        <v>158</v>
      </c>
      <c r="D1074" s="47" t="n">
        <v>1</v>
      </c>
      <c r="E1074" s="48" t="n">
        <v>9553.58</v>
      </c>
      <c r="F1074" s="48" t="n">
        <f aca="false">D1074*E1074</f>
        <v>9553.58</v>
      </c>
      <c r="G1074" s="47" t="s">
        <v>97</v>
      </c>
      <c r="H1074" s="47" t="s">
        <v>21</v>
      </c>
    </row>
    <row r="1075" customFormat="false" ht="14.25" hidden="false" customHeight="true" outlineLevel="0" collapsed="false">
      <c r="A1075" s="50" t="s">
        <v>85</v>
      </c>
      <c r="B1075" s="51" t="s">
        <v>155</v>
      </c>
      <c r="C1075" s="51" t="s">
        <v>173</v>
      </c>
      <c r="D1075" s="52" t="n">
        <v>12</v>
      </c>
      <c r="E1075" s="53" t="n">
        <v>2.05</v>
      </c>
      <c r="F1075" s="54" t="n">
        <f aca="false">IFERROR(D1075*E1075,0)</f>
        <v>24.6</v>
      </c>
      <c r="G1075" s="51" t="str">
        <f aca="false">INDEX(SETORES!$B:$B,MATCH(A1075,SETORES!$A:$A,0))</f>
        <v>Clientes</v>
      </c>
      <c r="H1075" s="51" t="s">
        <v>21</v>
      </c>
    </row>
    <row r="1076" customFormat="false" ht="14.25" hidden="false" customHeight="true" outlineLevel="0" collapsed="false">
      <c r="A1076" s="50" t="s">
        <v>31</v>
      </c>
      <c r="B1076" s="51" t="s">
        <v>155</v>
      </c>
      <c r="C1076" s="51" t="s">
        <v>162</v>
      </c>
      <c r="D1076" s="52" t="n">
        <v>1</v>
      </c>
      <c r="E1076" s="53" t="n">
        <v>0.1212</v>
      </c>
      <c r="F1076" s="54" t="n">
        <v>0.1212</v>
      </c>
      <c r="G1076" s="51" t="str">
        <f aca="false">INDEX(SETORES!$B:$B,MATCH(A1076,SETORES!$A:$A,0))</f>
        <v>Clientes</v>
      </c>
      <c r="H1076" s="51" t="s">
        <v>21</v>
      </c>
    </row>
    <row r="1077" customFormat="false" ht="14.25" hidden="false" customHeight="true" outlineLevel="0" collapsed="false">
      <c r="A1077" s="50" t="s">
        <v>31</v>
      </c>
      <c r="B1077" s="51" t="s">
        <v>155</v>
      </c>
      <c r="C1077" s="51" t="s">
        <v>163</v>
      </c>
      <c r="D1077" s="52" t="n">
        <v>3</v>
      </c>
      <c r="E1077" s="53" t="n">
        <v>30</v>
      </c>
      <c r="F1077" s="54" t="n">
        <f aca="false">IFERROR(D1077*E1077,0)</f>
        <v>90</v>
      </c>
      <c r="G1077" s="51" t="str">
        <f aca="false">INDEX(SETORES!$B:$B,MATCH(A1077,SETORES!$A:$A,0))</f>
        <v>Clientes</v>
      </c>
      <c r="H1077" s="51" t="s">
        <v>21</v>
      </c>
    </row>
    <row r="1078" customFormat="false" ht="14.25" hidden="false" customHeight="true" outlineLevel="0" collapsed="false">
      <c r="A1078" s="50" t="s">
        <v>31</v>
      </c>
      <c r="B1078" s="51" t="s">
        <v>157</v>
      </c>
      <c r="C1078" s="51" t="s">
        <v>199</v>
      </c>
      <c r="D1078" s="52" t="n">
        <v>1</v>
      </c>
      <c r="E1078" s="53" t="n">
        <v>1999.61</v>
      </c>
      <c r="F1078" s="54" t="n">
        <f aca="false">IFERROR(D1078*E1078,0)</f>
        <v>1999.61</v>
      </c>
      <c r="G1078" s="51" t="str">
        <f aca="false">INDEX(SETORES!$B:$B,MATCH(A1078,SETORES!$A:$A,0))</f>
        <v>Clientes</v>
      </c>
      <c r="H1078" s="51" t="s">
        <v>21</v>
      </c>
    </row>
    <row r="1079" customFormat="false" ht="14.25" hidden="false" customHeight="true" outlineLevel="0" collapsed="false">
      <c r="A1079" s="50" t="s">
        <v>31</v>
      </c>
      <c r="B1079" s="51" t="s">
        <v>155</v>
      </c>
      <c r="C1079" s="51" t="s">
        <v>165</v>
      </c>
      <c r="D1079" s="52" t="n">
        <v>5</v>
      </c>
      <c r="E1079" s="53" t="n">
        <v>43.54</v>
      </c>
      <c r="F1079" s="54" t="n">
        <f aca="false">IFERROR(D1079*E1079,0)</f>
        <v>217.7</v>
      </c>
      <c r="G1079" s="42" t="s">
        <v>99</v>
      </c>
      <c r="H1079" s="51" t="s">
        <v>21</v>
      </c>
    </row>
    <row r="1080" customFormat="false" ht="14.25" hidden="false" customHeight="true" outlineLevel="0" collapsed="false">
      <c r="A1080" s="16" t="s">
        <v>31</v>
      </c>
      <c r="B1080" s="42" t="s">
        <v>155</v>
      </c>
      <c r="C1080" s="42" t="s">
        <v>166</v>
      </c>
      <c r="D1080" s="43" t="n">
        <v>5</v>
      </c>
      <c r="E1080" s="44" t="n">
        <v>29.74</v>
      </c>
      <c r="F1080" s="45" t="n">
        <f aca="false">IFERROR(D1080*E1080,0)</f>
        <v>148.7</v>
      </c>
      <c r="G1080" s="42" t="s">
        <v>99</v>
      </c>
      <c r="H1080" s="42" t="s">
        <v>21</v>
      </c>
    </row>
    <row r="1081" customFormat="false" ht="14.25" hidden="false" customHeight="true" outlineLevel="0" collapsed="false">
      <c r="A1081" s="16" t="s">
        <v>31</v>
      </c>
      <c r="B1081" s="42" t="s">
        <v>155</v>
      </c>
      <c r="C1081" s="42" t="s">
        <v>167</v>
      </c>
      <c r="D1081" s="43" t="n">
        <v>5</v>
      </c>
      <c r="E1081" s="44" t="n">
        <v>47.66</v>
      </c>
      <c r="F1081" s="45" t="n">
        <f aca="false">IFERROR(D1081*E1081,0)</f>
        <v>238.3</v>
      </c>
      <c r="G1081" s="42" t="s">
        <v>99</v>
      </c>
      <c r="H1081" s="42" t="s">
        <v>21</v>
      </c>
    </row>
    <row r="1082" customFormat="false" ht="14.25" hidden="false" customHeight="true" outlineLevel="0" collapsed="false">
      <c r="A1082" s="16" t="s">
        <v>31</v>
      </c>
      <c r="B1082" s="42" t="s">
        <v>155</v>
      </c>
      <c r="C1082" s="42" t="s">
        <v>168</v>
      </c>
      <c r="D1082" s="43" t="n">
        <v>1</v>
      </c>
      <c r="E1082" s="44" t="n">
        <v>41.365</v>
      </c>
      <c r="F1082" s="45" t="n">
        <v>41.365</v>
      </c>
      <c r="G1082" s="42" t="str">
        <f aca="false">INDEX(SETORES!$B:$B,MATCH(A1082,SETORES!$A:$A,0))</f>
        <v>Clientes</v>
      </c>
      <c r="H1082" s="42" t="s">
        <v>21</v>
      </c>
    </row>
    <row r="1083" customFormat="false" ht="14.25" hidden="false" customHeight="true" outlineLevel="0" collapsed="false">
      <c r="A1083" s="50" t="s">
        <v>31</v>
      </c>
      <c r="B1083" s="51" t="s">
        <v>155</v>
      </c>
      <c r="C1083" s="51" t="s">
        <v>169</v>
      </c>
      <c r="D1083" s="52" t="n">
        <v>1</v>
      </c>
      <c r="E1083" s="53" t="n">
        <v>58179.03</v>
      </c>
      <c r="F1083" s="54" t="n">
        <f aca="false">IFERROR(E1083,0)</f>
        <v>58179.03</v>
      </c>
      <c r="G1083" s="51" t="str">
        <f aca="false">INDEX(SETORES!$B:$B,MATCH(A1083,SETORES!$A:$A,0))</f>
        <v>Clientes</v>
      </c>
      <c r="H1083" s="51" t="s">
        <v>21</v>
      </c>
    </row>
    <row r="1084" customFormat="false" ht="14.25" hidden="false" customHeight="true" outlineLevel="0" collapsed="false">
      <c r="A1084" s="16" t="s">
        <v>31</v>
      </c>
      <c r="B1084" s="42" t="s">
        <v>155</v>
      </c>
      <c r="C1084" s="42" t="s">
        <v>170</v>
      </c>
      <c r="D1084" s="43" t="n">
        <v>5</v>
      </c>
      <c r="E1084" s="44" t="n">
        <v>9.92</v>
      </c>
      <c r="F1084" s="45" t="n">
        <f aca="false">IFERROR(D1084*E1084,0)</f>
        <v>49.6</v>
      </c>
      <c r="G1084" s="42" t="str">
        <f aca="false">INDEX(SETORES!$B:$B,MATCH(A1084,SETORES!$A:$A,0))</f>
        <v>Clientes</v>
      </c>
      <c r="H1084" s="42" t="s">
        <v>21</v>
      </c>
    </row>
    <row r="1085" customFormat="false" ht="14.25" hidden="false" customHeight="true" outlineLevel="0" collapsed="false">
      <c r="A1085" s="16" t="s">
        <v>31</v>
      </c>
      <c r="B1085" s="42" t="s">
        <v>155</v>
      </c>
      <c r="C1085" s="42" t="s">
        <v>183</v>
      </c>
      <c r="D1085" s="43" t="n">
        <v>1</v>
      </c>
      <c r="E1085" s="44" t="n">
        <v>200</v>
      </c>
      <c r="F1085" s="45" t="n">
        <f aca="false">IFERROR(D1085*E1085,0)</f>
        <v>200</v>
      </c>
      <c r="G1085" s="42" t="str">
        <f aca="false">INDEX(SETORES!$B:$B,MATCH(A1085,SETORES!$A:$A,0))</f>
        <v>Clientes</v>
      </c>
      <c r="H1085" s="42" t="s">
        <v>21</v>
      </c>
    </row>
    <row r="1086" customFormat="false" ht="14.25" hidden="false" customHeight="true" outlineLevel="0" collapsed="false">
      <c r="A1086" s="16" t="s">
        <v>31</v>
      </c>
      <c r="B1086" s="42" t="s">
        <v>155</v>
      </c>
      <c r="C1086" s="42" t="s">
        <v>172</v>
      </c>
      <c r="D1086" s="43" t="n">
        <v>6</v>
      </c>
      <c r="E1086" s="44" t="n">
        <v>50</v>
      </c>
      <c r="F1086" s="45" t="n">
        <f aca="false">IFERROR(D1086*E1086,0)</f>
        <v>300</v>
      </c>
      <c r="G1086" s="42" t="str">
        <f aca="false">INDEX(SETORES!$B:$B,MATCH(A1086,SETORES!$A:$A,0))</f>
        <v>Clientes</v>
      </c>
      <c r="H1086" s="42" t="s">
        <v>21</v>
      </c>
    </row>
    <row r="1087" customFormat="false" ht="14.25" hidden="false" customHeight="true" outlineLevel="0" collapsed="false">
      <c r="A1087" s="16" t="s">
        <v>31</v>
      </c>
      <c r="B1087" s="42" t="s">
        <v>155</v>
      </c>
      <c r="C1087" s="42" t="s">
        <v>177</v>
      </c>
      <c r="D1087" s="43" t="n">
        <v>1</v>
      </c>
      <c r="E1087" s="44" t="n">
        <v>63.1</v>
      </c>
      <c r="F1087" s="45" t="n">
        <v>189.3</v>
      </c>
      <c r="G1087" s="42" t="str">
        <f aca="false">INDEX(SETORES!$B:$B,MATCH(A1087,SETORES!$A:$A,0))</f>
        <v>Clientes</v>
      </c>
      <c r="H1087" s="42" t="s">
        <v>21</v>
      </c>
    </row>
    <row r="1088" customFormat="false" ht="14.25" hidden="false" customHeight="true" outlineLevel="0" collapsed="false">
      <c r="A1088" s="50" t="s">
        <v>31</v>
      </c>
      <c r="B1088" s="51" t="s">
        <v>155</v>
      </c>
      <c r="C1088" s="51" t="s">
        <v>178</v>
      </c>
      <c r="D1088" s="52" t="n">
        <v>1</v>
      </c>
      <c r="E1088" s="53" t="n">
        <v>213.49</v>
      </c>
      <c r="F1088" s="54" t="n">
        <v>213.49</v>
      </c>
      <c r="G1088" s="51" t="str">
        <f aca="false">INDEX(SETORES!$B:$B,MATCH(A1088,SETORES!$A:$A,0))</f>
        <v>Clientes</v>
      </c>
      <c r="H1088" s="51" t="s">
        <v>21</v>
      </c>
    </row>
    <row r="1089" customFormat="false" ht="14.25" hidden="false" customHeight="true" outlineLevel="0" collapsed="false">
      <c r="A1089" s="50" t="s">
        <v>31</v>
      </c>
      <c r="B1089" s="51" t="s">
        <v>157</v>
      </c>
      <c r="C1089" s="51" t="s">
        <v>158</v>
      </c>
      <c r="D1089" s="52" t="n">
        <v>1</v>
      </c>
      <c r="E1089" s="53" t="n">
        <v>13047.79</v>
      </c>
      <c r="F1089" s="54" t="n">
        <f aca="false">IFERROR(D1089*E1089,0)</f>
        <v>13047.79</v>
      </c>
      <c r="G1089" s="51" t="str">
        <f aca="false">INDEX(SETORES!$B:$B,MATCH(A1089,SETORES!$A:$A,0))</f>
        <v>Clientes</v>
      </c>
      <c r="H1089" s="51" t="s">
        <v>21</v>
      </c>
    </row>
    <row r="1090" customFormat="false" ht="14.25" hidden="false" customHeight="true" outlineLevel="0" collapsed="false">
      <c r="A1090" s="50" t="s">
        <v>31</v>
      </c>
      <c r="B1090" s="51" t="s">
        <v>155</v>
      </c>
      <c r="C1090" s="51" t="s">
        <v>173</v>
      </c>
      <c r="D1090" s="52" t="n">
        <v>5</v>
      </c>
      <c r="E1090" s="53" t="n">
        <v>2.05</v>
      </c>
      <c r="F1090" s="54" t="n">
        <f aca="false">IFERROR(D1090*E1090,0)</f>
        <v>10.25</v>
      </c>
      <c r="G1090" s="51" t="str">
        <f aca="false">INDEX(SETORES!$B:$B,MATCH(A1090,SETORES!$A:$A,0))</f>
        <v>Clientes</v>
      </c>
      <c r="H1090" s="51" t="s">
        <v>21</v>
      </c>
    </row>
    <row r="1091" customFormat="false" ht="14.25" hidden="false" customHeight="true" outlineLevel="0" collapsed="false">
      <c r="A1091" s="16" t="s">
        <v>31</v>
      </c>
      <c r="B1091" s="42" t="s">
        <v>155</v>
      </c>
      <c r="C1091" s="42" t="s">
        <v>179</v>
      </c>
      <c r="D1091" s="43"/>
      <c r="E1091" s="44"/>
      <c r="F1091" s="45" t="n">
        <f aca="false">IFERROR(D1091*E1091,0)</f>
        <v>0</v>
      </c>
      <c r="G1091" s="42" t="str">
        <f aca="false">INDEX(SETORES!$B:$B,MATCH(A1091,SETORES!$A:$A,0))</f>
        <v>Clientes</v>
      </c>
      <c r="H1091" s="42" t="s">
        <v>21</v>
      </c>
    </row>
    <row r="1092" customFormat="false" ht="14.25" hidden="false" customHeight="true" outlineLevel="0" collapsed="false">
      <c r="A1092" s="50" t="s">
        <v>37</v>
      </c>
      <c r="B1092" s="51" t="s">
        <v>155</v>
      </c>
      <c r="C1092" s="51" t="s">
        <v>162</v>
      </c>
      <c r="D1092" s="52" t="n">
        <v>1</v>
      </c>
      <c r="E1092" s="53" t="n">
        <v>1.0427</v>
      </c>
      <c r="F1092" s="54" t="n">
        <v>1.0427</v>
      </c>
      <c r="G1092" s="51" t="str">
        <f aca="false">INDEX(SETORES!$B:$B,MATCH(A1092,SETORES!$A:$A,0))</f>
        <v>Clientes</v>
      </c>
      <c r="H1092" s="51" t="s">
        <v>21</v>
      </c>
    </row>
    <row r="1093" customFormat="false" ht="14.25" hidden="false" customHeight="true" outlineLevel="0" collapsed="false">
      <c r="A1093" s="50" t="s">
        <v>37</v>
      </c>
      <c r="B1093" s="51" t="s">
        <v>155</v>
      </c>
      <c r="C1093" s="51" t="s">
        <v>180</v>
      </c>
      <c r="D1093" s="52" t="n">
        <v>1</v>
      </c>
      <c r="E1093" s="53" t="n">
        <v>3208.87</v>
      </c>
      <c r="F1093" s="54" t="n">
        <f aca="false">IFERROR(D1093*E1093,0)</f>
        <v>3208.87</v>
      </c>
      <c r="G1093" s="51" t="str">
        <f aca="false">INDEX(SETORES!$B:$B,MATCH(A1093,SETORES!$A:$A,0))</f>
        <v>Clientes</v>
      </c>
      <c r="H1093" s="51" t="s">
        <v>21</v>
      </c>
    </row>
    <row r="1094" customFormat="false" ht="14.25" hidden="false" customHeight="true" outlineLevel="0" collapsed="false">
      <c r="A1094" s="16" t="s">
        <v>37</v>
      </c>
      <c r="B1094" s="42" t="s">
        <v>155</v>
      </c>
      <c r="C1094" s="42" t="s">
        <v>165</v>
      </c>
      <c r="D1094" s="43" t="n">
        <v>43</v>
      </c>
      <c r="E1094" s="44" t="n">
        <v>43.54</v>
      </c>
      <c r="F1094" s="45" t="n">
        <f aca="false">IFERROR(D1094*E1094,0)</f>
        <v>1872.22</v>
      </c>
      <c r="G1094" s="42" t="s">
        <v>99</v>
      </c>
      <c r="H1094" s="42" t="s">
        <v>21</v>
      </c>
    </row>
    <row r="1095" customFormat="false" ht="14.25" hidden="false" customHeight="true" outlineLevel="0" collapsed="false">
      <c r="A1095" s="50" t="s">
        <v>37</v>
      </c>
      <c r="B1095" s="51" t="s">
        <v>155</v>
      </c>
      <c r="C1095" s="51" t="s">
        <v>166</v>
      </c>
      <c r="D1095" s="52" t="n">
        <v>43</v>
      </c>
      <c r="E1095" s="53" t="n">
        <v>29.74</v>
      </c>
      <c r="F1095" s="54" t="n">
        <f aca="false">IFERROR(D1095*E1095,0)</f>
        <v>1278.82</v>
      </c>
      <c r="G1095" s="42" t="s">
        <v>99</v>
      </c>
      <c r="H1095" s="51" t="s">
        <v>21</v>
      </c>
    </row>
    <row r="1096" customFormat="false" ht="14.25" hidden="false" customHeight="true" outlineLevel="0" collapsed="false">
      <c r="A1096" s="50" t="s">
        <v>37</v>
      </c>
      <c r="B1096" s="51" t="s">
        <v>155</v>
      </c>
      <c r="C1096" s="51" t="s">
        <v>167</v>
      </c>
      <c r="D1096" s="52" t="n">
        <v>43</v>
      </c>
      <c r="E1096" s="53" t="n">
        <v>47.66</v>
      </c>
      <c r="F1096" s="54" t="n">
        <f aca="false">IFERROR(D1096*E1096,0)</f>
        <v>2049.38</v>
      </c>
      <c r="G1096" s="42" t="s">
        <v>99</v>
      </c>
      <c r="H1096" s="51" t="s">
        <v>21</v>
      </c>
    </row>
    <row r="1097" customFormat="false" ht="14.25" hidden="false" customHeight="true" outlineLevel="0" collapsed="false">
      <c r="A1097" s="16" t="s">
        <v>37</v>
      </c>
      <c r="B1097" s="42" t="s">
        <v>155</v>
      </c>
      <c r="C1097" s="42" t="s">
        <v>168</v>
      </c>
      <c r="D1097" s="43" t="n">
        <v>1</v>
      </c>
      <c r="E1097" s="44" t="n">
        <v>355.739</v>
      </c>
      <c r="F1097" s="45" t="n">
        <v>355.739</v>
      </c>
      <c r="G1097" s="42" t="str">
        <f aca="false">INDEX(SETORES!$B:$B,MATCH(A1097,SETORES!$A:$A,0))</f>
        <v>Clientes</v>
      </c>
      <c r="H1097" s="42" t="s">
        <v>21</v>
      </c>
    </row>
    <row r="1098" customFormat="false" ht="14.25" hidden="false" customHeight="true" outlineLevel="0" collapsed="false">
      <c r="A1098" s="16" t="s">
        <v>37</v>
      </c>
      <c r="B1098" s="42" t="s">
        <v>157</v>
      </c>
      <c r="C1098" s="42" t="s">
        <v>174</v>
      </c>
      <c r="D1098" s="43" t="n">
        <v>1</v>
      </c>
      <c r="E1098" s="44" t="n">
        <v>35</v>
      </c>
      <c r="F1098" s="45" t="n">
        <f aca="false">IFERROR(D1098*E1098,0)</f>
        <v>35</v>
      </c>
      <c r="G1098" s="42" t="str">
        <f aca="false">INDEX(SETORES!$B:$B,MATCH(A1098,SETORES!$A:$A,0))</f>
        <v>Clientes</v>
      </c>
      <c r="H1098" s="42" t="s">
        <v>21</v>
      </c>
    </row>
    <row r="1099" customFormat="false" ht="14.25" hidden="false" customHeight="true" outlineLevel="0" collapsed="false">
      <c r="A1099" s="50" t="s">
        <v>37</v>
      </c>
      <c r="B1099" s="51" t="s">
        <v>157</v>
      </c>
      <c r="C1099" s="51" t="s">
        <v>175</v>
      </c>
      <c r="D1099" s="52"/>
      <c r="E1099" s="53"/>
      <c r="F1099" s="54" t="n">
        <f aca="false">IFERROR(D1099*E1099,0)</f>
        <v>0</v>
      </c>
      <c r="G1099" s="51" t="str">
        <f aca="false">INDEX(SETORES!$B:$B,MATCH(A1099,SETORES!$A:$A,0))</f>
        <v>Clientes</v>
      </c>
      <c r="H1099" s="51" t="s">
        <v>21</v>
      </c>
    </row>
    <row r="1100" customFormat="false" ht="14.25" hidden="false" customHeight="true" outlineLevel="0" collapsed="false">
      <c r="A1100" s="16" t="s">
        <v>37</v>
      </c>
      <c r="B1100" s="42" t="s">
        <v>157</v>
      </c>
      <c r="C1100" s="42" t="s">
        <v>176</v>
      </c>
      <c r="D1100" s="43"/>
      <c r="E1100" s="44"/>
      <c r="F1100" s="45" t="n">
        <f aca="false">IFERROR(D1100*E1100,0)</f>
        <v>0</v>
      </c>
      <c r="G1100" s="42" t="str">
        <f aca="false">INDEX(SETORES!$B:$B,MATCH(A1100,SETORES!$A:$A,0))</f>
        <v>Clientes</v>
      </c>
      <c r="H1100" s="42" t="s">
        <v>21</v>
      </c>
    </row>
    <row r="1101" customFormat="false" ht="14.25" hidden="false" customHeight="true" outlineLevel="0" collapsed="false">
      <c r="A1101" s="50" t="s">
        <v>37</v>
      </c>
      <c r="B1101" s="51" t="s">
        <v>155</v>
      </c>
      <c r="C1101" s="51" t="s">
        <v>169</v>
      </c>
      <c r="D1101" s="52" t="n">
        <v>1</v>
      </c>
      <c r="E1101" s="53" t="n">
        <v>142024.07</v>
      </c>
      <c r="F1101" s="54" t="n">
        <f aca="false">IFERROR(E1101,0)</f>
        <v>142024.07</v>
      </c>
      <c r="G1101" s="51" t="str">
        <f aca="false">INDEX(SETORES!$B:$B,MATCH(A1101,SETORES!$A:$A,0))</f>
        <v>Clientes</v>
      </c>
      <c r="H1101" s="51" t="s">
        <v>21</v>
      </c>
    </row>
    <row r="1102" customFormat="false" ht="14.25" hidden="false" customHeight="true" outlineLevel="0" collapsed="false">
      <c r="A1102" s="50" t="s">
        <v>37</v>
      </c>
      <c r="B1102" s="51" t="s">
        <v>155</v>
      </c>
      <c r="C1102" s="51" t="s">
        <v>170</v>
      </c>
      <c r="D1102" s="52" t="n">
        <v>43</v>
      </c>
      <c r="E1102" s="53" t="n">
        <v>9.92</v>
      </c>
      <c r="F1102" s="54" t="n">
        <f aca="false">IFERROR(D1102*E1102,0)</f>
        <v>426.56</v>
      </c>
      <c r="G1102" s="51" t="str">
        <f aca="false">INDEX(SETORES!$B:$B,MATCH(A1102,SETORES!$A:$A,0))</f>
        <v>Clientes</v>
      </c>
      <c r="H1102" s="51" t="s">
        <v>21</v>
      </c>
    </row>
    <row r="1103" customFormat="false" ht="14.25" hidden="false" customHeight="true" outlineLevel="0" collapsed="false">
      <c r="A1103" s="16" t="s">
        <v>37</v>
      </c>
      <c r="B1103" s="42" t="s">
        <v>155</v>
      </c>
      <c r="C1103" s="42" t="s">
        <v>181</v>
      </c>
      <c r="D1103" s="43" t="n">
        <v>1</v>
      </c>
      <c r="E1103" s="44" t="n">
        <v>9.022948</v>
      </c>
      <c r="F1103" s="45" t="n">
        <f aca="false">IFERROR(D1103*E1103,0)</f>
        <v>9.022948</v>
      </c>
      <c r="G1103" s="42" t="str">
        <f aca="false">INDEX(SETORES!$B:$B,MATCH(A1103,SETORES!$A:$A,0))</f>
        <v>Clientes</v>
      </c>
      <c r="H1103" s="42" t="s">
        <v>21</v>
      </c>
    </row>
    <row r="1104" customFormat="false" ht="14.25" hidden="false" customHeight="true" outlineLevel="0" collapsed="false">
      <c r="A1104" s="16" t="s">
        <v>37</v>
      </c>
      <c r="B1104" s="42" t="s">
        <v>155</v>
      </c>
      <c r="C1104" s="42" t="s">
        <v>172</v>
      </c>
      <c r="D1104" s="43" t="n">
        <v>7</v>
      </c>
      <c r="E1104" s="44" t="n">
        <v>50</v>
      </c>
      <c r="F1104" s="45" t="n">
        <f aca="false">IFERROR(D1104*E1104,0)</f>
        <v>350</v>
      </c>
      <c r="G1104" s="42" t="str">
        <f aca="false">INDEX(SETORES!$B:$B,MATCH(A1104,SETORES!$A:$A,0))</f>
        <v>Clientes</v>
      </c>
      <c r="H1104" s="42" t="s">
        <v>21</v>
      </c>
    </row>
    <row r="1105" customFormat="false" ht="14.25" hidden="false" customHeight="true" outlineLevel="0" collapsed="false">
      <c r="A1105" s="16" t="s">
        <v>37</v>
      </c>
      <c r="B1105" s="42" t="s">
        <v>155</v>
      </c>
      <c r="C1105" s="42" t="s">
        <v>224</v>
      </c>
      <c r="D1105" s="43"/>
      <c r="E1105" s="44"/>
      <c r="F1105" s="45" t="n">
        <f aca="false">IFERROR(D1105*E1105,0)</f>
        <v>0</v>
      </c>
      <c r="G1105" s="42" t="str">
        <f aca="false">INDEX(SETORES!$B:$B,MATCH(A1105,SETORES!$A:$A,0))</f>
        <v>Clientes</v>
      </c>
      <c r="H1105" s="42" t="s">
        <v>21</v>
      </c>
    </row>
    <row r="1106" customFormat="false" ht="14.25" hidden="false" customHeight="true" outlineLevel="0" collapsed="false">
      <c r="A1106" s="16" t="s">
        <v>37</v>
      </c>
      <c r="B1106" s="42" t="s">
        <v>155</v>
      </c>
      <c r="C1106" s="42" t="s">
        <v>177</v>
      </c>
      <c r="D1106" s="43" t="n">
        <v>43</v>
      </c>
      <c r="E1106" s="44" t="n">
        <v>0.9851</v>
      </c>
      <c r="F1106" s="45" t="n">
        <v>42.3593</v>
      </c>
      <c r="G1106" s="42" t="str">
        <f aca="false">INDEX(SETORES!$B:$B,MATCH(A1106,SETORES!$A:$A,0))</f>
        <v>Clientes</v>
      </c>
      <c r="H1106" s="42" t="s">
        <v>21</v>
      </c>
    </row>
    <row r="1107" customFormat="false" ht="14.25" hidden="false" customHeight="true" outlineLevel="0" collapsed="false">
      <c r="A1107" s="50" t="s">
        <v>37</v>
      </c>
      <c r="B1107" s="51" t="s">
        <v>155</v>
      </c>
      <c r="C1107" s="51" t="s">
        <v>178</v>
      </c>
      <c r="D1107" s="52" t="n">
        <v>1</v>
      </c>
      <c r="E1107" s="53" t="n">
        <v>1287.462295</v>
      </c>
      <c r="F1107" s="54" t="n">
        <v>1287.462295</v>
      </c>
      <c r="G1107" s="51" t="str">
        <f aca="false">INDEX(SETORES!$B:$B,MATCH(A1107,SETORES!$A:$A,0))</f>
        <v>Clientes</v>
      </c>
      <c r="H1107" s="51" t="s">
        <v>21</v>
      </c>
    </row>
    <row r="1108" customFormat="false" ht="14.25" hidden="false" customHeight="true" outlineLevel="0" collapsed="false">
      <c r="A1108" s="50" t="s">
        <v>37</v>
      </c>
      <c r="B1108" s="51" t="s">
        <v>157</v>
      </c>
      <c r="C1108" s="51" t="s">
        <v>158</v>
      </c>
      <c r="D1108" s="52" t="n">
        <v>1</v>
      </c>
      <c r="E1108" s="53" t="n">
        <v>7086.44</v>
      </c>
      <c r="F1108" s="54" t="n">
        <f aca="false">IFERROR(D1108*E1108,0)</f>
        <v>7086.44</v>
      </c>
      <c r="G1108" s="51" t="str">
        <f aca="false">INDEX(SETORES!$B:$B,MATCH(A1108,SETORES!$A:$A,0))</f>
        <v>Clientes</v>
      </c>
      <c r="H1108" s="51" t="s">
        <v>21</v>
      </c>
    </row>
    <row r="1109" customFormat="false" ht="14.25" hidden="false" customHeight="true" outlineLevel="0" collapsed="false">
      <c r="A1109" s="50" t="s">
        <v>37</v>
      </c>
      <c r="B1109" s="51" t="s">
        <v>155</v>
      </c>
      <c r="C1109" s="51" t="s">
        <v>182</v>
      </c>
      <c r="D1109" s="52" t="n">
        <v>1</v>
      </c>
      <c r="E1109" s="53" t="n">
        <v>2379.739841</v>
      </c>
      <c r="F1109" s="54" t="n">
        <f aca="false">IFERROR(D1109*E1109,0)</f>
        <v>2379.739841</v>
      </c>
      <c r="G1109" s="51" t="str">
        <f aca="false">INDEX(SETORES!$B:$B,MATCH(A1109,SETORES!$A:$A,0))</f>
        <v>Clientes</v>
      </c>
      <c r="H1109" s="51" t="s">
        <v>21</v>
      </c>
    </row>
    <row r="1110" customFormat="false" ht="14.25" hidden="false" customHeight="true" outlineLevel="0" collapsed="false">
      <c r="A1110" s="16" t="s">
        <v>37</v>
      </c>
      <c r="B1110" s="42" t="s">
        <v>155</v>
      </c>
      <c r="C1110" s="42" t="s">
        <v>173</v>
      </c>
      <c r="D1110" s="43" t="n">
        <v>43</v>
      </c>
      <c r="E1110" s="44" t="n">
        <v>2.05</v>
      </c>
      <c r="F1110" s="45" t="n">
        <f aca="false">IFERROR(D1110*E1110,0)</f>
        <v>88.15</v>
      </c>
      <c r="G1110" s="42" t="str">
        <f aca="false">INDEX(SETORES!$B:$B,MATCH(A1110,SETORES!$A:$A,0))</f>
        <v>Clientes</v>
      </c>
      <c r="H1110" s="42" t="s">
        <v>21</v>
      </c>
    </row>
    <row r="1111" customFormat="false" ht="14.25" hidden="false" customHeight="true" outlineLevel="0" collapsed="false">
      <c r="A1111" s="16" t="s">
        <v>37</v>
      </c>
      <c r="B1111" s="42" t="s">
        <v>155</v>
      </c>
      <c r="C1111" s="42" t="s">
        <v>179</v>
      </c>
      <c r="D1111" s="43"/>
      <c r="E1111" s="44"/>
      <c r="F1111" s="45" t="n">
        <f aca="false">IFERROR(D1111*E1111,0)</f>
        <v>0</v>
      </c>
      <c r="G1111" s="42" t="str">
        <f aca="false">INDEX(SETORES!$B:$B,MATCH(A1111,SETORES!$A:$A,0))</f>
        <v>Clientes</v>
      </c>
      <c r="H1111" s="42" t="s">
        <v>21</v>
      </c>
    </row>
    <row r="1112" customFormat="false" ht="14.25" hidden="false" customHeight="true" outlineLevel="0" collapsed="false">
      <c r="A1112" s="16" t="s">
        <v>46</v>
      </c>
      <c r="B1112" s="42" t="s">
        <v>155</v>
      </c>
      <c r="C1112" s="42" t="s">
        <v>163</v>
      </c>
      <c r="D1112" s="43" t="n">
        <v>5</v>
      </c>
      <c r="E1112" s="44" t="n">
        <v>30</v>
      </c>
      <c r="F1112" s="45" t="n">
        <f aca="false">IFERROR(D1112*E1112,0)</f>
        <v>150</v>
      </c>
      <c r="G1112" s="42" t="str">
        <f aca="false">INDEX(SETORES!$B:$B,MATCH(A1112,SETORES!$A:$A,0))</f>
        <v>Clientes</v>
      </c>
      <c r="H1112" s="42" t="s">
        <v>21</v>
      </c>
    </row>
    <row r="1113" customFormat="false" ht="14.25" hidden="false" customHeight="true" outlineLevel="0" collapsed="false">
      <c r="A1113" s="50" t="s">
        <v>46</v>
      </c>
      <c r="B1113" s="51" t="s">
        <v>157</v>
      </c>
      <c r="C1113" s="51" t="s">
        <v>199</v>
      </c>
      <c r="D1113" s="52" t="n">
        <v>1</v>
      </c>
      <c r="E1113" s="53" t="n">
        <v>11003.74</v>
      </c>
      <c r="F1113" s="54" t="n">
        <f aca="false">IFERROR(D1113*E1113,0)</f>
        <v>11003.74</v>
      </c>
      <c r="G1113" s="51" t="str">
        <f aca="false">INDEX(SETORES!$B:$B,MATCH(A1113,SETORES!$A:$A,0))</f>
        <v>Clientes</v>
      </c>
      <c r="H1113" s="51" t="s">
        <v>21</v>
      </c>
    </row>
    <row r="1114" customFormat="false" ht="14.25" hidden="false" customHeight="true" outlineLevel="0" collapsed="false">
      <c r="A1114" s="16" t="s">
        <v>46</v>
      </c>
      <c r="B1114" s="42" t="s">
        <v>155</v>
      </c>
      <c r="C1114" s="42" t="s">
        <v>205</v>
      </c>
      <c r="D1114" s="43" t="n">
        <v>1</v>
      </c>
      <c r="E1114" s="44" t="n">
        <v>4074.9</v>
      </c>
      <c r="F1114" s="45" t="n">
        <f aca="false">IFERROR(D1114*E1114,0)</f>
        <v>4074.9</v>
      </c>
      <c r="G1114" s="42" t="str">
        <f aca="false">INDEX(SETORES!$B:$B,MATCH(A1114,SETORES!$A:$A,0))</f>
        <v>Clientes</v>
      </c>
      <c r="H1114" s="42" t="s">
        <v>21</v>
      </c>
    </row>
    <row r="1115" customFormat="false" ht="14.25" hidden="false" customHeight="true" outlineLevel="0" collapsed="false">
      <c r="A1115" s="50" t="s">
        <v>46</v>
      </c>
      <c r="B1115" s="51" t="s">
        <v>155</v>
      </c>
      <c r="C1115" s="51" t="s">
        <v>165</v>
      </c>
      <c r="D1115" s="52" t="n">
        <v>23</v>
      </c>
      <c r="E1115" s="53" t="n">
        <v>43.54</v>
      </c>
      <c r="F1115" s="54" t="n">
        <f aca="false">IFERROR(D1115*E1115,0)</f>
        <v>1001.42</v>
      </c>
      <c r="G1115" s="42" t="s">
        <v>99</v>
      </c>
      <c r="H1115" s="51" t="s">
        <v>21</v>
      </c>
    </row>
    <row r="1116" customFormat="false" ht="14.25" hidden="false" customHeight="true" outlineLevel="0" collapsed="false">
      <c r="A1116" s="16" t="s">
        <v>46</v>
      </c>
      <c r="B1116" s="42" t="s">
        <v>155</v>
      </c>
      <c r="C1116" s="42" t="s">
        <v>166</v>
      </c>
      <c r="D1116" s="43" t="n">
        <v>23</v>
      </c>
      <c r="E1116" s="44" t="n">
        <v>29.74</v>
      </c>
      <c r="F1116" s="45" t="n">
        <f aca="false">IFERROR(D1116*E1116,0)</f>
        <v>684.02</v>
      </c>
      <c r="G1116" s="42" t="s">
        <v>99</v>
      </c>
      <c r="H1116" s="42" t="s">
        <v>21</v>
      </c>
    </row>
    <row r="1117" customFormat="false" ht="14.25" hidden="false" customHeight="true" outlineLevel="0" collapsed="false">
      <c r="A1117" s="16" t="s">
        <v>46</v>
      </c>
      <c r="B1117" s="42" t="s">
        <v>155</v>
      </c>
      <c r="C1117" s="42" t="s">
        <v>167</v>
      </c>
      <c r="D1117" s="43" t="n">
        <v>23</v>
      </c>
      <c r="E1117" s="44" t="n">
        <v>47.66</v>
      </c>
      <c r="F1117" s="45" t="n">
        <f aca="false">IFERROR(D1117*E1117,0)</f>
        <v>1096.18</v>
      </c>
      <c r="G1117" s="42" t="s">
        <v>99</v>
      </c>
      <c r="H1117" s="42" t="s">
        <v>21</v>
      </c>
    </row>
    <row r="1118" customFormat="false" ht="14.25" hidden="false" customHeight="true" outlineLevel="0" collapsed="false">
      <c r="A1118" s="16" t="s">
        <v>46</v>
      </c>
      <c r="B1118" s="42" t="s">
        <v>157</v>
      </c>
      <c r="C1118" s="42" t="s">
        <v>217</v>
      </c>
      <c r="D1118" s="43" t="n">
        <v>1</v>
      </c>
      <c r="E1118" s="44" t="n">
        <v>749.1</v>
      </c>
      <c r="F1118" s="45" t="n">
        <f aca="false">IFERROR(D1118*E1118,0)</f>
        <v>749.1</v>
      </c>
      <c r="G1118" s="42" t="str">
        <f aca="false">INDEX(SETORES!$B:$B,MATCH(A1118,SETORES!$A:$A,0))</f>
        <v>Clientes</v>
      </c>
      <c r="H1118" s="42" t="s">
        <v>21</v>
      </c>
    </row>
    <row r="1119" customFormat="false" ht="14.25" hidden="false" customHeight="true" outlineLevel="0" collapsed="false">
      <c r="A1119" s="16" t="s">
        <v>46</v>
      </c>
      <c r="B1119" s="42" t="s">
        <v>155</v>
      </c>
      <c r="C1119" s="42" t="s">
        <v>169</v>
      </c>
      <c r="D1119" s="43" t="n">
        <v>1</v>
      </c>
      <c r="E1119" s="44" t="n">
        <v>154792.47</v>
      </c>
      <c r="F1119" s="45" t="n">
        <f aca="false">IFERROR(E1119,0)</f>
        <v>154792.47</v>
      </c>
      <c r="G1119" s="42" t="str">
        <f aca="false">INDEX(SETORES!$B:$B,MATCH(A1119,SETORES!$A:$A,0))</f>
        <v>Clientes</v>
      </c>
      <c r="H1119" s="42" t="s">
        <v>21</v>
      </c>
    </row>
    <row r="1120" customFormat="false" ht="14.25" hidden="false" customHeight="true" outlineLevel="0" collapsed="false">
      <c r="A1120" s="16" t="s">
        <v>46</v>
      </c>
      <c r="B1120" s="42" t="s">
        <v>155</v>
      </c>
      <c r="C1120" s="42" t="s">
        <v>170</v>
      </c>
      <c r="D1120" s="43" t="n">
        <v>23</v>
      </c>
      <c r="E1120" s="44" t="n">
        <v>9.92</v>
      </c>
      <c r="F1120" s="45" t="n">
        <f aca="false">IFERROR(D1120*E1120,0)</f>
        <v>228.16</v>
      </c>
      <c r="G1120" s="42" t="str">
        <f aca="false">INDEX(SETORES!$B:$B,MATCH(A1120,SETORES!$A:$A,0))</f>
        <v>Clientes</v>
      </c>
      <c r="H1120" s="42" t="s">
        <v>21</v>
      </c>
    </row>
    <row r="1121" customFormat="false" ht="14.25" hidden="false" customHeight="true" outlineLevel="0" collapsed="false">
      <c r="A1121" s="50" t="s">
        <v>46</v>
      </c>
      <c r="B1121" s="51" t="s">
        <v>157</v>
      </c>
      <c r="C1121" s="51" t="s">
        <v>223</v>
      </c>
      <c r="D1121" s="52"/>
      <c r="E1121" s="53"/>
      <c r="F1121" s="54" t="n">
        <f aca="false">IFERROR(D1121*E1121,0)</f>
        <v>0</v>
      </c>
      <c r="G1121" s="51" t="str">
        <f aca="false">INDEX(SETORES!$B:$B,MATCH(A1121,SETORES!$A:$A,0))</f>
        <v>Clientes</v>
      </c>
      <c r="H1121" s="51" t="s">
        <v>21</v>
      </c>
    </row>
    <row r="1122" customFormat="false" ht="14.25" hidden="false" customHeight="true" outlineLevel="0" collapsed="false">
      <c r="A1122" s="16" t="s">
        <v>46</v>
      </c>
      <c r="B1122" s="42" t="s">
        <v>155</v>
      </c>
      <c r="C1122" s="42" t="s">
        <v>172</v>
      </c>
      <c r="D1122" s="43"/>
      <c r="E1122" s="44"/>
      <c r="F1122" s="45" t="n">
        <f aca="false">IFERROR(D1122*E1122,0)</f>
        <v>0</v>
      </c>
      <c r="G1122" s="42" t="str">
        <f aca="false">INDEX(SETORES!$B:$B,MATCH(A1122,SETORES!$A:$A,0))</f>
        <v>Clientes</v>
      </c>
      <c r="H1122" s="42" t="s">
        <v>21</v>
      </c>
    </row>
    <row r="1123" customFormat="false" ht="14.25" hidden="false" customHeight="true" outlineLevel="0" collapsed="false">
      <c r="A1123" s="50" t="s">
        <v>46</v>
      </c>
      <c r="B1123" s="51" t="s">
        <v>157</v>
      </c>
      <c r="C1123" s="51" t="s">
        <v>158</v>
      </c>
      <c r="D1123" s="52" t="n">
        <v>1</v>
      </c>
      <c r="E1123" s="53" t="n">
        <v>8704.8</v>
      </c>
      <c r="F1123" s="54" t="n">
        <f aca="false">IFERROR(D1123*E1123,0)</f>
        <v>8704.8</v>
      </c>
      <c r="G1123" s="51" t="str">
        <f aca="false">INDEX(SETORES!$B:$B,MATCH(A1123,SETORES!$A:$A,0))</f>
        <v>Clientes</v>
      </c>
      <c r="H1123" s="51" t="s">
        <v>21</v>
      </c>
    </row>
    <row r="1124" customFormat="false" ht="14.25" hidden="false" customHeight="true" outlineLevel="0" collapsed="false">
      <c r="A1124" s="50" t="s">
        <v>46</v>
      </c>
      <c r="B1124" s="51" t="s">
        <v>155</v>
      </c>
      <c r="C1124" s="51" t="s">
        <v>173</v>
      </c>
      <c r="D1124" s="52" t="n">
        <v>23</v>
      </c>
      <c r="E1124" s="53" t="n">
        <v>2.05</v>
      </c>
      <c r="F1124" s="54" t="n">
        <f aca="false">IFERROR(D1124*E1124,0)</f>
        <v>47.15</v>
      </c>
      <c r="G1124" s="51" t="str">
        <f aca="false">INDEX(SETORES!$B:$B,MATCH(A1124,SETORES!$A:$A,0))</f>
        <v>Clientes</v>
      </c>
      <c r="H1124" s="51" t="s">
        <v>21</v>
      </c>
    </row>
    <row r="1125" customFormat="false" ht="14.25" hidden="false" customHeight="true" outlineLevel="0" collapsed="false">
      <c r="A1125" s="50" t="s">
        <v>46</v>
      </c>
      <c r="B1125" s="51" t="s">
        <v>155</v>
      </c>
      <c r="C1125" s="51" t="s">
        <v>179</v>
      </c>
      <c r="D1125" s="52"/>
      <c r="E1125" s="53"/>
      <c r="F1125" s="54" t="n">
        <f aca="false">IFERROR(D1125*E1125,0)</f>
        <v>0</v>
      </c>
      <c r="G1125" s="51" t="str">
        <f aca="false">INDEX(SETORES!$B:$B,MATCH(A1125,SETORES!$A:$A,0))</f>
        <v>Clientes</v>
      </c>
      <c r="H1125" s="51" t="s">
        <v>21</v>
      </c>
    </row>
    <row r="1126" customFormat="false" ht="14.25" hidden="false" customHeight="true" outlineLevel="0" collapsed="false">
      <c r="A1126" s="16" t="s">
        <v>49</v>
      </c>
      <c r="B1126" s="42" t="s">
        <v>155</v>
      </c>
      <c r="C1126" s="42" t="s">
        <v>162</v>
      </c>
      <c r="D1126" s="43" t="n">
        <v>4</v>
      </c>
      <c r="E1126" s="44" t="n">
        <v>29.6003</v>
      </c>
      <c r="F1126" s="45" t="n">
        <v>13.2988</v>
      </c>
      <c r="G1126" s="42" t="str">
        <f aca="false">INDEX(SETORES!$B:$B,MATCH(A1126,SETORES!$A:$A,0))</f>
        <v>Clientes</v>
      </c>
      <c r="H1126" s="42" t="s">
        <v>21</v>
      </c>
    </row>
    <row r="1127" customFormat="false" ht="14.25" hidden="false" customHeight="true" outlineLevel="0" collapsed="false">
      <c r="A1127" s="50" t="s">
        <v>49</v>
      </c>
      <c r="B1127" s="51" t="s">
        <v>157</v>
      </c>
      <c r="C1127" s="51" t="s">
        <v>199</v>
      </c>
      <c r="D1127" s="52" t="n">
        <v>1</v>
      </c>
      <c r="E1127" s="53" t="n">
        <v>55.05</v>
      </c>
      <c r="F1127" s="54" t="n">
        <f aca="false">IFERROR(D1127*E1127,0)</f>
        <v>55.05</v>
      </c>
      <c r="G1127" s="51" t="str">
        <f aca="false">INDEX(SETORES!$B:$B,MATCH(A1127,SETORES!$A:$A,0))</f>
        <v>Clientes</v>
      </c>
      <c r="H1127" s="51" t="s">
        <v>21</v>
      </c>
    </row>
    <row r="1128" customFormat="false" ht="14.25" hidden="false" customHeight="true" outlineLevel="0" collapsed="false">
      <c r="A1128" s="16" t="s">
        <v>49</v>
      </c>
      <c r="B1128" s="42" t="s">
        <v>155</v>
      </c>
      <c r="C1128" s="42" t="s">
        <v>220</v>
      </c>
      <c r="D1128" s="43" t="n">
        <v>1</v>
      </c>
      <c r="E1128" s="44" t="n">
        <v>3099.163038</v>
      </c>
      <c r="F1128" s="45" t="n">
        <v>3099.163038</v>
      </c>
      <c r="G1128" s="42" t="s">
        <v>97</v>
      </c>
      <c r="H1128" s="42" t="s">
        <v>21</v>
      </c>
    </row>
    <row r="1129" customFormat="false" ht="14.25" hidden="false" customHeight="true" outlineLevel="0" collapsed="false">
      <c r="A1129" s="16" t="s">
        <v>49</v>
      </c>
      <c r="B1129" s="42" t="s">
        <v>155</v>
      </c>
      <c r="C1129" s="42" t="s">
        <v>165</v>
      </c>
      <c r="D1129" s="43" t="n">
        <v>4</v>
      </c>
      <c r="E1129" s="44" t="n">
        <v>43.54</v>
      </c>
      <c r="F1129" s="45" t="n">
        <f aca="false">IFERROR(D1129*E1129,0)</f>
        <v>174.16</v>
      </c>
      <c r="G1129" s="42" t="s">
        <v>99</v>
      </c>
      <c r="H1129" s="42" t="s">
        <v>21</v>
      </c>
    </row>
    <row r="1130" customFormat="false" ht="14.25" hidden="false" customHeight="true" outlineLevel="0" collapsed="false">
      <c r="A1130" s="50" t="s">
        <v>49</v>
      </c>
      <c r="B1130" s="51" t="s">
        <v>155</v>
      </c>
      <c r="C1130" s="51" t="s">
        <v>166</v>
      </c>
      <c r="D1130" s="52" t="n">
        <v>4</v>
      </c>
      <c r="E1130" s="53" t="n">
        <v>29.74</v>
      </c>
      <c r="F1130" s="54" t="n">
        <f aca="false">IFERROR(D1130*E1130,0)</f>
        <v>118.96</v>
      </c>
      <c r="G1130" s="42" t="s">
        <v>99</v>
      </c>
      <c r="H1130" s="51" t="s">
        <v>21</v>
      </c>
    </row>
    <row r="1131" customFormat="false" ht="14.25" hidden="false" customHeight="true" outlineLevel="0" collapsed="false">
      <c r="A1131" s="50" t="s">
        <v>49</v>
      </c>
      <c r="B1131" s="51" t="s">
        <v>155</v>
      </c>
      <c r="C1131" s="51" t="s">
        <v>167</v>
      </c>
      <c r="D1131" s="52" t="n">
        <v>4</v>
      </c>
      <c r="E1131" s="53" t="n">
        <v>47.66</v>
      </c>
      <c r="F1131" s="54" t="n">
        <f aca="false">IFERROR(D1131*E1131,0)</f>
        <v>190.64</v>
      </c>
      <c r="G1131" s="42" t="s">
        <v>99</v>
      </c>
      <c r="H1131" s="51" t="s">
        <v>21</v>
      </c>
    </row>
    <row r="1132" customFormat="false" ht="14.25" hidden="false" customHeight="true" outlineLevel="0" collapsed="false">
      <c r="A1132" s="50" t="s">
        <v>49</v>
      </c>
      <c r="B1132" s="51" t="s">
        <v>155</v>
      </c>
      <c r="C1132" s="51" t="s">
        <v>168</v>
      </c>
      <c r="D1132" s="52" t="n">
        <v>4</v>
      </c>
      <c r="E1132" s="53" t="n">
        <v>147.3902</v>
      </c>
      <c r="F1132" s="54" t="n">
        <v>85.0328</v>
      </c>
      <c r="G1132" s="51" t="str">
        <f aca="false">INDEX(SETORES!$B:$B,MATCH(A1132,SETORES!$A:$A,0))</f>
        <v>Clientes</v>
      </c>
      <c r="H1132" s="51" t="s">
        <v>21</v>
      </c>
    </row>
    <row r="1133" customFormat="false" ht="14.25" hidden="false" customHeight="true" outlineLevel="0" collapsed="false">
      <c r="A1133" s="50" t="s">
        <v>49</v>
      </c>
      <c r="B1133" s="51" t="s">
        <v>157</v>
      </c>
      <c r="C1133" s="51" t="s">
        <v>174</v>
      </c>
      <c r="D1133" s="52" t="n">
        <v>1</v>
      </c>
      <c r="E1133" s="53" t="n">
        <v>184</v>
      </c>
      <c r="F1133" s="54" t="n">
        <f aca="false">IFERROR(D1133*E1133,0)</f>
        <v>184</v>
      </c>
      <c r="G1133" s="51" t="str">
        <f aca="false">INDEX(SETORES!$B:$B,MATCH(A1133,SETORES!$A:$A,0))</f>
        <v>Clientes</v>
      </c>
      <c r="H1133" s="51" t="s">
        <v>21</v>
      </c>
    </row>
    <row r="1134" customFormat="false" ht="14.25" hidden="false" customHeight="true" outlineLevel="0" collapsed="false">
      <c r="A1134" s="16" t="s">
        <v>49</v>
      </c>
      <c r="B1134" s="42" t="s">
        <v>155</v>
      </c>
      <c r="C1134" s="42" t="s">
        <v>169</v>
      </c>
      <c r="D1134" s="43" t="n">
        <v>1</v>
      </c>
      <c r="E1134" s="44" t="n">
        <v>23068.3</v>
      </c>
      <c r="F1134" s="45" t="n">
        <f aca="false">IFERROR(E1134,0)</f>
        <v>23068.3</v>
      </c>
      <c r="G1134" s="42" t="str">
        <f aca="false">INDEX(SETORES!$B:$B,MATCH(A1134,SETORES!$A:$A,0))</f>
        <v>Clientes</v>
      </c>
      <c r="H1134" s="42" t="s">
        <v>21</v>
      </c>
    </row>
    <row r="1135" customFormat="false" ht="14.25" hidden="false" customHeight="true" outlineLevel="0" collapsed="false">
      <c r="A1135" s="16" t="s">
        <v>49</v>
      </c>
      <c r="B1135" s="42" t="s">
        <v>155</v>
      </c>
      <c r="C1135" s="42" t="s">
        <v>170</v>
      </c>
      <c r="D1135" s="43" t="n">
        <v>4</v>
      </c>
      <c r="E1135" s="44" t="n">
        <v>9.92</v>
      </c>
      <c r="F1135" s="45" t="n">
        <f aca="false">IFERROR(D1135*E1135,0)</f>
        <v>39.68</v>
      </c>
      <c r="G1135" s="42" t="str">
        <f aca="false">INDEX(SETORES!$B:$B,MATCH(A1135,SETORES!$A:$A,0))</f>
        <v>Clientes</v>
      </c>
      <c r="H1135" s="42" t="s">
        <v>21</v>
      </c>
    </row>
    <row r="1136" customFormat="false" ht="14.25" hidden="false" customHeight="true" outlineLevel="0" collapsed="false">
      <c r="A1136" s="16" t="s">
        <v>49</v>
      </c>
      <c r="B1136" s="42" t="s">
        <v>155</v>
      </c>
      <c r="C1136" s="42" t="s">
        <v>183</v>
      </c>
      <c r="D1136" s="43" t="n">
        <v>1</v>
      </c>
      <c r="E1136" s="44" t="n">
        <v>250</v>
      </c>
      <c r="F1136" s="45" t="n">
        <f aca="false">IFERROR(D1136*E1136,0)</f>
        <v>250</v>
      </c>
      <c r="G1136" s="42" t="str">
        <f aca="false">INDEX(SETORES!$B:$B,MATCH(A1136,SETORES!$A:$A,0))</f>
        <v>Clientes</v>
      </c>
      <c r="H1136" s="42" t="s">
        <v>21</v>
      </c>
    </row>
    <row r="1137" customFormat="false" ht="14.25" hidden="false" customHeight="true" outlineLevel="0" collapsed="false">
      <c r="A1137" s="16" t="s">
        <v>49</v>
      </c>
      <c r="B1137" s="42" t="s">
        <v>157</v>
      </c>
      <c r="C1137" s="42" t="s">
        <v>221</v>
      </c>
      <c r="D1137" s="43"/>
      <c r="E1137" s="44"/>
      <c r="F1137" s="45" t="n">
        <f aca="false">IFERROR(D1137*E1137,0)</f>
        <v>0</v>
      </c>
      <c r="G1137" s="42" t="str">
        <f aca="false">INDEX(SETORES!$B:$B,MATCH(A1137,SETORES!$A:$A,0))</f>
        <v>Clientes</v>
      </c>
      <c r="H1137" s="42" t="s">
        <v>21</v>
      </c>
    </row>
    <row r="1138" customFormat="false" ht="14.25" hidden="false" customHeight="true" outlineLevel="0" collapsed="false">
      <c r="A1138" s="16" t="s">
        <v>49</v>
      </c>
      <c r="B1138" s="42" t="s">
        <v>155</v>
      </c>
      <c r="C1138" s="42" t="s">
        <v>177</v>
      </c>
      <c r="D1138" s="43"/>
      <c r="E1138" s="44"/>
      <c r="F1138" s="45" t="n">
        <v>0</v>
      </c>
      <c r="G1138" s="42" t="str">
        <f aca="false">INDEX(SETORES!$B:$B,MATCH(A1138,SETORES!$A:$A,0))</f>
        <v>Clientes</v>
      </c>
      <c r="H1138" s="42" t="s">
        <v>21</v>
      </c>
    </row>
    <row r="1139" customFormat="false" ht="14.25" hidden="false" customHeight="true" outlineLevel="0" collapsed="false">
      <c r="A1139" s="50" t="s">
        <v>49</v>
      </c>
      <c r="B1139" s="51" t="s">
        <v>155</v>
      </c>
      <c r="C1139" s="51" t="s">
        <v>178</v>
      </c>
      <c r="D1139" s="52"/>
      <c r="E1139" s="53"/>
      <c r="F1139" s="54" t="n">
        <v>0</v>
      </c>
      <c r="G1139" s="51" t="str">
        <f aca="false">INDEX(SETORES!$B:$B,MATCH(A1139,SETORES!$A:$A,0))</f>
        <v>Clientes</v>
      </c>
      <c r="H1139" s="51" t="s">
        <v>21</v>
      </c>
    </row>
    <row r="1140" customFormat="false" ht="14.25" hidden="false" customHeight="true" outlineLevel="0" collapsed="false">
      <c r="A1140" s="50" t="s">
        <v>49</v>
      </c>
      <c r="B1140" s="51" t="s">
        <v>157</v>
      </c>
      <c r="C1140" s="51" t="s">
        <v>184</v>
      </c>
      <c r="D1140" s="52" t="n">
        <v>4</v>
      </c>
      <c r="E1140" s="44" t="n">
        <v>65.93</v>
      </c>
      <c r="F1140" s="54" t="n">
        <f aca="false">IFERROR(D1140*E1140,0)</f>
        <v>263.72</v>
      </c>
      <c r="G1140" s="51" t="str">
        <f aca="false">INDEX(SETORES!$B:$B,MATCH(A1140,SETORES!$A:$A,0))</f>
        <v>Clientes</v>
      </c>
      <c r="H1140" s="51" t="s">
        <v>21</v>
      </c>
    </row>
    <row r="1141" customFormat="false" ht="14.25" hidden="false" customHeight="true" outlineLevel="0" collapsed="false">
      <c r="A1141" s="50" t="s">
        <v>49</v>
      </c>
      <c r="B1141" s="51" t="s">
        <v>157</v>
      </c>
      <c r="C1141" s="51" t="s">
        <v>158</v>
      </c>
      <c r="D1141" s="52"/>
      <c r="E1141" s="53"/>
      <c r="F1141" s="54" t="n">
        <f aca="false">IFERROR(D1141*E1141,0)</f>
        <v>0</v>
      </c>
      <c r="G1141" s="51" t="str">
        <f aca="false">INDEX(SETORES!$B:$B,MATCH(A1141,SETORES!$A:$A,0))</f>
        <v>Clientes</v>
      </c>
      <c r="H1141" s="51" t="s">
        <v>21</v>
      </c>
    </row>
    <row r="1142" customFormat="false" ht="14.25" hidden="false" customHeight="true" outlineLevel="0" collapsed="false">
      <c r="A1142" s="16" t="s">
        <v>49</v>
      </c>
      <c r="B1142" s="42" t="s">
        <v>155</v>
      </c>
      <c r="C1142" s="42" t="s">
        <v>225</v>
      </c>
      <c r="D1142" s="43" t="n">
        <v>1</v>
      </c>
      <c r="E1142" s="44" t="n">
        <v>1800</v>
      </c>
      <c r="F1142" s="45" t="n">
        <f aca="false">IFERROR(D1142*E1142,0)</f>
        <v>1800</v>
      </c>
      <c r="G1142" s="42" t="str">
        <f aca="false">INDEX(SETORES!$B:$B,MATCH(A1142,SETORES!$A:$A,0))</f>
        <v>Clientes</v>
      </c>
      <c r="H1142" s="42" t="s">
        <v>21</v>
      </c>
    </row>
    <row r="1143" customFormat="false" ht="14.25" hidden="false" customHeight="true" outlineLevel="0" collapsed="false">
      <c r="A1143" s="50" t="s">
        <v>49</v>
      </c>
      <c r="B1143" s="51" t="s">
        <v>155</v>
      </c>
      <c r="C1143" s="51" t="s">
        <v>173</v>
      </c>
      <c r="D1143" s="52" t="n">
        <v>4</v>
      </c>
      <c r="E1143" s="53" t="n">
        <v>2.05</v>
      </c>
      <c r="F1143" s="54" t="n">
        <f aca="false">IFERROR(D1143*E1143,0)</f>
        <v>8.2</v>
      </c>
      <c r="G1143" s="51" t="str">
        <f aca="false">INDEX(SETORES!$B:$B,MATCH(A1143,SETORES!$A:$A,0))</f>
        <v>Clientes</v>
      </c>
      <c r="H1143" s="51" t="s">
        <v>21</v>
      </c>
    </row>
    <row r="1144" customFormat="false" ht="14.25" hidden="false" customHeight="true" outlineLevel="0" collapsed="false">
      <c r="A1144" s="50" t="s">
        <v>49</v>
      </c>
      <c r="B1144" s="51" t="s">
        <v>155</v>
      </c>
      <c r="C1144" s="51" t="s">
        <v>179</v>
      </c>
      <c r="D1144" s="52"/>
      <c r="E1144" s="53"/>
      <c r="F1144" s="54" t="n">
        <f aca="false">IFERROR(D1144*E1144,0)</f>
        <v>0</v>
      </c>
      <c r="G1144" s="51" t="str">
        <f aca="false">INDEX(SETORES!$B:$B,MATCH(A1144,SETORES!$A:$A,0))</f>
        <v>Clientes</v>
      </c>
      <c r="H1144" s="51" t="s">
        <v>21</v>
      </c>
    </row>
    <row r="1145" customFormat="false" ht="14.25" hidden="false" customHeight="true" outlineLevel="0" collapsed="false">
      <c r="A1145" s="46" t="s">
        <v>146</v>
      </c>
      <c r="B1145" s="47" t="s">
        <v>155</v>
      </c>
      <c r="C1145" s="47" t="s">
        <v>169</v>
      </c>
      <c r="D1145" s="47" t="n">
        <v>1</v>
      </c>
      <c r="E1145" s="48" t="n">
        <v>23134.52</v>
      </c>
      <c r="F1145" s="48" t="n">
        <f aca="false">IFERROR(D1145*E1145,0)</f>
        <v>23134.52</v>
      </c>
      <c r="G1145" s="47" t="str">
        <f aca="false">INDEX(SETORES!$B:$B,MATCH(A1145,SETORES!$A:$A,0))</f>
        <v>Clientes</v>
      </c>
      <c r="H1145" s="47" t="s">
        <v>21</v>
      </c>
    </row>
    <row r="1146" customFormat="false" ht="14.25" hidden="false" customHeight="true" outlineLevel="0" collapsed="false">
      <c r="A1146" s="1" t="s">
        <v>146</v>
      </c>
      <c r="B1146" s="36" t="s">
        <v>155</v>
      </c>
      <c r="C1146" s="36" t="s">
        <v>170</v>
      </c>
      <c r="D1146" s="36" t="n">
        <v>3</v>
      </c>
      <c r="E1146" s="37" t="n">
        <v>9.92</v>
      </c>
      <c r="F1146" s="48" t="n">
        <f aca="false">IFERROR(D1146*E1146,0)</f>
        <v>29.76</v>
      </c>
      <c r="G1146" s="36" t="s">
        <v>97</v>
      </c>
      <c r="H1146" s="47" t="s">
        <v>21</v>
      </c>
    </row>
    <row r="1147" customFormat="false" ht="14.25" hidden="false" customHeight="true" outlineLevel="0" collapsed="false">
      <c r="A1147" s="1" t="s">
        <v>146</v>
      </c>
      <c r="B1147" s="36" t="s">
        <v>155</v>
      </c>
      <c r="C1147" s="36" t="s">
        <v>172</v>
      </c>
      <c r="D1147" s="36" t="n">
        <v>3</v>
      </c>
      <c r="E1147" s="37" t="n">
        <v>50</v>
      </c>
      <c r="F1147" s="48" t="n">
        <f aca="false">IFERROR(D1147*E1147,0)</f>
        <v>150</v>
      </c>
      <c r="G1147" s="36" t="s">
        <v>97</v>
      </c>
      <c r="H1147" s="47" t="s">
        <v>21</v>
      </c>
    </row>
    <row r="1148" customFormat="false" ht="14.25" hidden="false" customHeight="true" outlineLevel="0" collapsed="false">
      <c r="A1148" s="1" t="s">
        <v>146</v>
      </c>
      <c r="B1148" s="36" t="s">
        <v>155</v>
      </c>
      <c r="C1148" s="36" t="s">
        <v>226</v>
      </c>
      <c r="D1148" s="36" t="n">
        <v>0</v>
      </c>
      <c r="E1148" s="37" t="n">
        <v>0</v>
      </c>
      <c r="F1148" s="48" t="n">
        <f aca="false">IFERROR(D1148*E1148,0)</f>
        <v>0</v>
      </c>
      <c r="G1148" s="36" t="s">
        <v>97</v>
      </c>
      <c r="H1148" s="47" t="s">
        <v>21</v>
      </c>
    </row>
    <row r="1149" customFormat="false" ht="14.25" hidden="false" customHeight="true" outlineLevel="0" collapsed="false">
      <c r="A1149" s="1" t="s">
        <v>146</v>
      </c>
      <c r="B1149" s="36" t="s">
        <v>155</v>
      </c>
      <c r="C1149" s="36" t="s">
        <v>177</v>
      </c>
      <c r="D1149" s="36" t="n">
        <v>0</v>
      </c>
      <c r="E1149" s="37" t="n">
        <v>0</v>
      </c>
      <c r="F1149" s="48" t="n">
        <f aca="false">IFERROR(D1149*E1149,0)</f>
        <v>0</v>
      </c>
      <c r="G1149" s="36" t="s">
        <v>97</v>
      </c>
      <c r="H1149" s="47" t="s">
        <v>21</v>
      </c>
    </row>
    <row r="1150" customFormat="false" ht="14.25" hidden="false" customHeight="true" outlineLevel="0" collapsed="false">
      <c r="A1150" s="1" t="s">
        <v>146</v>
      </c>
      <c r="B1150" s="36" t="s">
        <v>155</v>
      </c>
      <c r="C1150" s="36" t="s">
        <v>178</v>
      </c>
      <c r="D1150" s="36" t="n">
        <v>0</v>
      </c>
      <c r="E1150" s="37" t="n">
        <v>0</v>
      </c>
      <c r="F1150" s="48" t="n">
        <f aca="false">IFERROR(D1150*E1150,0)</f>
        <v>0</v>
      </c>
      <c r="G1150" s="36" t="s">
        <v>97</v>
      </c>
      <c r="H1150" s="47" t="s">
        <v>21</v>
      </c>
    </row>
    <row r="1151" customFormat="false" ht="14.25" hidden="false" customHeight="true" outlineLevel="0" collapsed="false">
      <c r="A1151" s="1" t="s">
        <v>146</v>
      </c>
      <c r="B1151" s="36" t="s">
        <v>157</v>
      </c>
      <c r="C1151" s="36" t="s">
        <v>184</v>
      </c>
      <c r="D1151" s="36" t="n">
        <v>3</v>
      </c>
      <c r="E1151" s="44" t="n">
        <v>65.93</v>
      </c>
      <c r="F1151" s="48" t="n">
        <f aca="false">IFERROR(D1151*E1151,0)</f>
        <v>197.79</v>
      </c>
      <c r="G1151" s="36" t="s">
        <v>97</v>
      </c>
      <c r="H1151" s="47" t="s">
        <v>21</v>
      </c>
    </row>
    <row r="1152" customFormat="false" ht="14.25" hidden="false" customHeight="true" outlineLevel="0" collapsed="false">
      <c r="A1152" s="1" t="s">
        <v>146</v>
      </c>
      <c r="B1152" s="36" t="s">
        <v>155</v>
      </c>
      <c r="C1152" s="36" t="s">
        <v>173</v>
      </c>
      <c r="D1152" s="36" t="n">
        <v>3</v>
      </c>
      <c r="E1152" s="37" t="n">
        <v>2.05</v>
      </c>
      <c r="F1152" s="48" t="n">
        <f aca="false">IFERROR(D1152*E1152,0)</f>
        <v>6.15</v>
      </c>
      <c r="G1152" s="36" t="s">
        <v>97</v>
      </c>
      <c r="H1152" s="47" t="s">
        <v>21</v>
      </c>
    </row>
    <row r="1153" customFormat="false" ht="14.25" hidden="false" customHeight="true" outlineLevel="0" collapsed="false">
      <c r="A1153" s="1" t="s">
        <v>146</v>
      </c>
      <c r="B1153" s="36" t="s">
        <v>155</v>
      </c>
      <c r="C1153" s="36" t="s">
        <v>179</v>
      </c>
      <c r="D1153" s="36" t="n">
        <v>3</v>
      </c>
      <c r="E1153" s="37" t="n">
        <v>30</v>
      </c>
      <c r="F1153" s="48" t="n">
        <f aca="false">IFERROR(D1153*E1153,0)</f>
        <v>90</v>
      </c>
      <c r="G1153" s="36" t="s">
        <v>97</v>
      </c>
      <c r="H1153" s="47" t="s">
        <v>21</v>
      </c>
    </row>
    <row r="1154" customFormat="false" ht="14.25" hidden="false" customHeight="true" outlineLevel="0" collapsed="false">
      <c r="A1154" s="50" t="s">
        <v>86</v>
      </c>
      <c r="B1154" s="51" t="s">
        <v>155</v>
      </c>
      <c r="C1154" s="51" t="s">
        <v>163</v>
      </c>
      <c r="D1154" s="52" t="n">
        <v>4</v>
      </c>
      <c r="E1154" s="53" t="n">
        <v>30</v>
      </c>
      <c r="F1154" s="54" t="n">
        <f aca="false">IFERROR(D1154*E1154,0)</f>
        <v>120</v>
      </c>
      <c r="G1154" s="51" t="str">
        <f aca="false">INDEX(SETORES!$B:$B,MATCH(A1154,SETORES!$A:$A,0))</f>
        <v>Clientes</v>
      </c>
      <c r="H1154" s="51" t="s">
        <v>21</v>
      </c>
    </row>
    <row r="1155" customFormat="false" ht="14.25" hidden="false" customHeight="true" outlineLevel="0" collapsed="false">
      <c r="A1155" s="16" t="s">
        <v>86</v>
      </c>
      <c r="B1155" s="42" t="s">
        <v>155</v>
      </c>
      <c r="C1155" s="42" t="s">
        <v>165</v>
      </c>
      <c r="D1155" s="43" t="n">
        <v>7</v>
      </c>
      <c r="E1155" s="44" t="n">
        <v>43.54</v>
      </c>
      <c r="F1155" s="45" t="n">
        <f aca="false">IFERROR(D1155*E1155,0)</f>
        <v>304.78</v>
      </c>
      <c r="G1155" s="42" t="s">
        <v>99</v>
      </c>
      <c r="H1155" s="42" t="s">
        <v>21</v>
      </c>
    </row>
    <row r="1156" customFormat="false" ht="14.25" hidden="false" customHeight="true" outlineLevel="0" collapsed="false">
      <c r="A1156" s="50" t="s">
        <v>86</v>
      </c>
      <c r="B1156" s="51" t="s">
        <v>155</v>
      </c>
      <c r="C1156" s="51" t="s">
        <v>166</v>
      </c>
      <c r="D1156" s="52" t="n">
        <v>7</v>
      </c>
      <c r="E1156" s="53" t="n">
        <v>29.74</v>
      </c>
      <c r="F1156" s="54" t="n">
        <f aca="false">IFERROR(D1156*E1156,0)</f>
        <v>208.18</v>
      </c>
      <c r="G1156" s="42" t="s">
        <v>99</v>
      </c>
      <c r="H1156" s="51" t="s">
        <v>21</v>
      </c>
    </row>
    <row r="1157" customFormat="false" ht="14.25" hidden="false" customHeight="true" outlineLevel="0" collapsed="false">
      <c r="A1157" s="50" t="s">
        <v>86</v>
      </c>
      <c r="B1157" s="51" t="s">
        <v>155</v>
      </c>
      <c r="C1157" s="51" t="s">
        <v>167</v>
      </c>
      <c r="D1157" s="52" t="n">
        <v>7</v>
      </c>
      <c r="E1157" s="53" t="n">
        <v>47.66</v>
      </c>
      <c r="F1157" s="54" t="n">
        <f aca="false">IFERROR(D1157*E1157,0)</f>
        <v>333.62</v>
      </c>
      <c r="G1157" s="42" t="s">
        <v>99</v>
      </c>
      <c r="H1157" s="51" t="s">
        <v>21</v>
      </c>
    </row>
    <row r="1158" customFormat="false" ht="14.25" hidden="false" customHeight="true" outlineLevel="0" collapsed="false">
      <c r="A1158" s="50" t="s">
        <v>86</v>
      </c>
      <c r="B1158" s="51" t="s">
        <v>157</v>
      </c>
      <c r="C1158" s="51" t="s">
        <v>174</v>
      </c>
      <c r="D1158" s="52" t="n">
        <v>1</v>
      </c>
      <c r="E1158" s="53" t="n">
        <v>35</v>
      </c>
      <c r="F1158" s="54" t="n">
        <f aca="false">IFERROR(D1158*E1158,0)</f>
        <v>35</v>
      </c>
      <c r="G1158" s="51" t="str">
        <f aca="false">INDEX(SETORES!$B:$B,MATCH(A1158,SETORES!$A:$A,0))</f>
        <v>Clientes</v>
      </c>
      <c r="H1158" s="51" t="s">
        <v>21</v>
      </c>
    </row>
    <row r="1159" customFormat="false" ht="14.25" hidden="false" customHeight="true" outlineLevel="0" collapsed="false">
      <c r="A1159" s="50" t="s">
        <v>86</v>
      </c>
      <c r="B1159" s="51" t="s">
        <v>155</v>
      </c>
      <c r="C1159" s="51" t="s">
        <v>169</v>
      </c>
      <c r="D1159" s="52" t="n">
        <v>1</v>
      </c>
      <c r="E1159" s="53" t="n">
        <v>27856.75</v>
      </c>
      <c r="F1159" s="54" t="n">
        <f aca="false">IFERROR(E1159,0)</f>
        <v>27856.75</v>
      </c>
      <c r="G1159" s="51" t="str">
        <f aca="false">INDEX(SETORES!$B:$B,MATCH(A1159,SETORES!$A:$A,0))</f>
        <v>Clientes</v>
      </c>
      <c r="H1159" s="51" t="s">
        <v>21</v>
      </c>
    </row>
    <row r="1160" customFormat="false" ht="14.25" hidden="false" customHeight="true" outlineLevel="0" collapsed="false">
      <c r="A1160" s="16" t="s">
        <v>86</v>
      </c>
      <c r="B1160" s="42" t="s">
        <v>155</v>
      </c>
      <c r="C1160" s="42" t="s">
        <v>170</v>
      </c>
      <c r="D1160" s="43" t="n">
        <v>7</v>
      </c>
      <c r="E1160" s="44" t="n">
        <v>9.92</v>
      </c>
      <c r="F1160" s="45" t="n">
        <f aca="false">IFERROR(D1160*E1160,0)</f>
        <v>69.44</v>
      </c>
      <c r="G1160" s="42" t="str">
        <f aca="false">INDEX(SETORES!$B:$B,MATCH(A1160,SETORES!$A:$A,0))</f>
        <v>Clientes</v>
      </c>
      <c r="H1160" s="42" t="s">
        <v>21</v>
      </c>
    </row>
    <row r="1161" customFormat="false" ht="14.25" hidden="false" customHeight="true" outlineLevel="0" collapsed="false">
      <c r="A1161" s="50" t="s">
        <v>86</v>
      </c>
      <c r="B1161" s="51" t="s">
        <v>155</v>
      </c>
      <c r="C1161" s="51" t="s">
        <v>183</v>
      </c>
      <c r="D1161" s="52" t="n">
        <v>1</v>
      </c>
      <c r="E1161" s="53" t="n">
        <v>6.862744</v>
      </c>
      <c r="F1161" s="54" t="n">
        <f aca="false">IFERROR(D1161*E1161,0)</f>
        <v>6.862744</v>
      </c>
      <c r="G1161" s="51" t="str">
        <f aca="false">INDEX(SETORES!$B:$B,MATCH(A1161,SETORES!$A:$A,0))</f>
        <v>Clientes</v>
      </c>
      <c r="H1161" s="51" t="s">
        <v>21</v>
      </c>
    </row>
    <row r="1162" customFormat="false" ht="14.25" hidden="false" customHeight="true" outlineLevel="0" collapsed="false">
      <c r="A1162" s="16" t="s">
        <v>86</v>
      </c>
      <c r="B1162" s="42" t="s">
        <v>155</v>
      </c>
      <c r="C1162" s="42" t="s">
        <v>172</v>
      </c>
      <c r="D1162" s="43" t="n">
        <v>7</v>
      </c>
      <c r="E1162" s="44" t="n">
        <v>50</v>
      </c>
      <c r="F1162" s="45" t="n">
        <f aca="false">IFERROR(D1162*E1162,0)</f>
        <v>350</v>
      </c>
      <c r="G1162" s="42" t="str">
        <f aca="false">INDEX(SETORES!$B:$B,MATCH(A1162,SETORES!$A:$A,0))</f>
        <v>Clientes</v>
      </c>
      <c r="H1162" s="42" t="s">
        <v>21</v>
      </c>
    </row>
    <row r="1163" customFormat="false" ht="14.25" hidden="false" customHeight="true" outlineLevel="0" collapsed="false">
      <c r="A1163" s="16" t="s">
        <v>86</v>
      </c>
      <c r="B1163" s="42" t="s">
        <v>155</v>
      </c>
      <c r="C1163" s="42" t="s">
        <v>178</v>
      </c>
      <c r="D1163" s="43" t="n">
        <v>1</v>
      </c>
      <c r="E1163" s="44" t="n">
        <v>176.73</v>
      </c>
      <c r="F1163" s="45" t="n">
        <v>176.73</v>
      </c>
      <c r="G1163" s="42" t="str">
        <f aca="false">INDEX(SETORES!$B:$B,MATCH(A1163,SETORES!$A:$A,0))</f>
        <v>Clientes</v>
      </c>
      <c r="H1163" s="42" t="s">
        <v>21</v>
      </c>
    </row>
    <row r="1164" customFormat="false" ht="14.25" hidden="false" customHeight="true" outlineLevel="0" collapsed="false">
      <c r="A1164" s="16" t="s">
        <v>86</v>
      </c>
      <c r="B1164" s="42" t="s">
        <v>157</v>
      </c>
      <c r="C1164" s="42" t="s">
        <v>158</v>
      </c>
      <c r="D1164" s="43"/>
      <c r="E1164" s="44"/>
      <c r="F1164" s="45" t="n">
        <f aca="false">IFERROR(D1164*E1164,0)</f>
        <v>0</v>
      </c>
      <c r="G1164" s="42" t="str">
        <f aca="false">INDEX(SETORES!$B:$B,MATCH(A1164,SETORES!$A:$A,0))</f>
        <v>Clientes</v>
      </c>
      <c r="H1164" s="42" t="s">
        <v>21</v>
      </c>
    </row>
    <row r="1165" customFormat="false" ht="14.25" hidden="false" customHeight="true" outlineLevel="0" collapsed="false">
      <c r="A1165" s="50" t="s">
        <v>86</v>
      </c>
      <c r="B1165" s="51" t="s">
        <v>155</v>
      </c>
      <c r="C1165" s="51" t="s">
        <v>173</v>
      </c>
      <c r="D1165" s="52" t="n">
        <v>7</v>
      </c>
      <c r="E1165" s="53" t="n">
        <v>2.05</v>
      </c>
      <c r="F1165" s="54" t="n">
        <f aca="false">IFERROR(D1165*E1165,0)</f>
        <v>14.35</v>
      </c>
      <c r="G1165" s="51" t="str">
        <f aca="false">INDEX(SETORES!$B:$B,MATCH(A1165,SETORES!$A:$A,0))</f>
        <v>Clientes</v>
      </c>
      <c r="H1165" s="51" t="s">
        <v>21</v>
      </c>
    </row>
    <row r="1166" customFormat="false" ht="14.25" hidden="false" customHeight="true" outlineLevel="0" collapsed="false">
      <c r="A1166" s="50" t="s">
        <v>39</v>
      </c>
      <c r="B1166" s="51" t="s">
        <v>155</v>
      </c>
      <c r="C1166" s="51" t="s">
        <v>162</v>
      </c>
      <c r="D1166" s="52" t="n">
        <v>1</v>
      </c>
      <c r="E1166" s="53" t="n">
        <v>0.291</v>
      </c>
      <c r="F1166" s="54" t="n">
        <v>0.291</v>
      </c>
      <c r="G1166" s="51" t="str">
        <f aca="false">INDEX(SETORES!$B:$B,MATCH(A1166,SETORES!$A:$A,0))</f>
        <v>Clientes</v>
      </c>
      <c r="H1166" s="51" t="s">
        <v>21</v>
      </c>
    </row>
    <row r="1167" customFormat="false" ht="14.25" hidden="false" customHeight="true" outlineLevel="0" collapsed="false">
      <c r="A1167" s="50" t="s">
        <v>39</v>
      </c>
      <c r="B1167" s="51" t="s">
        <v>155</v>
      </c>
      <c r="C1167" s="51" t="s">
        <v>180</v>
      </c>
      <c r="D1167" s="52" t="n">
        <v>1</v>
      </c>
      <c r="E1167" s="53" t="n">
        <v>895.5</v>
      </c>
      <c r="F1167" s="54" t="n">
        <f aca="false">IFERROR(D1167*E1167,0)</f>
        <v>895.5</v>
      </c>
      <c r="G1167" s="51" t="str">
        <f aca="false">INDEX(SETORES!$B:$B,MATCH(A1167,SETORES!$A:$A,0))</f>
        <v>Clientes</v>
      </c>
      <c r="H1167" s="51" t="s">
        <v>21</v>
      </c>
    </row>
    <row r="1168" customFormat="false" ht="14.25" hidden="false" customHeight="true" outlineLevel="0" collapsed="false">
      <c r="A1168" s="16" t="s">
        <v>39</v>
      </c>
      <c r="B1168" s="42" t="s">
        <v>155</v>
      </c>
      <c r="C1168" s="42" t="s">
        <v>165</v>
      </c>
      <c r="D1168" s="43" t="n">
        <v>12</v>
      </c>
      <c r="E1168" s="44" t="n">
        <v>43.54</v>
      </c>
      <c r="F1168" s="45" t="n">
        <f aca="false">IFERROR(D1168*E1168,0)</f>
        <v>522.48</v>
      </c>
      <c r="G1168" s="42" t="s">
        <v>99</v>
      </c>
      <c r="H1168" s="42" t="s">
        <v>21</v>
      </c>
    </row>
    <row r="1169" customFormat="false" ht="14.25" hidden="false" customHeight="true" outlineLevel="0" collapsed="false">
      <c r="A1169" s="50" t="s">
        <v>39</v>
      </c>
      <c r="B1169" s="51" t="s">
        <v>155</v>
      </c>
      <c r="C1169" s="51" t="s">
        <v>166</v>
      </c>
      <c r="D1169" s="52" t="n">
        <v>12</v>
      </c>
      <c r="E1169" s="53" t="n">
        <v>29.74</v>
      </c>
      <c r="F1169" s="54" t="n">
        <f aca="false">IFERROR(D1169*E1169,0)</f>
        <v>356.88</v>
      </c>
      <c r="G1169" s="42" t="s">
        <v>99</v>
      </c>
      <c r="H1169" s="51" t="s">
        <v>21</v>
      </c>
    </row>
    <row r="1170" customFormat="false" ht="14.25" hidden="false" customHeight="true" outlineLevel="0" collapsed="false">
      <c r="A1170" s="50" t="s">
        <v>39</v>
      </c>
      <c r="B1170" s="51" t="s">
        <v>155</v>
      </c>
      <c r="C1170" s="51" t="s">
        <v>167</v>
      </c>
      <c r="D1170" s="52" t="n">
        <v>12</v>
      </c>
      <c r="E1170" s="53" t="n">
        <v>47.66</v>
      </c>
      <c r="F1170" s="54" t="n">
        <f aca="false">IFERROR(D1170*E1170,0)</f>
        <v>571.92</v>
      </c>
      <c r="G1170" s="42" t="s">
        <v>99</v>
      </c>
      <c r="H1170" s="51" t="s">
        <v>21</v>
      </c>
    </row>
    <row r="1171" customFormat="false" ht="14.25" hidden="false" customHeight="true" outlineLevel="0" collapsed="false">
      <c r="A1171" s="16" t="s">
        <v>39</v>
      </c>
      <c r="B1171" s="42" t="s">
        <v>155</v>
      </c>
      <c r="C1171" s="42" t="s">
        <v>168</v>
      </c>
      <c r="D1171" s="43" t="n">
        <v>1</v>
      </c>
      <c r="E1171" s="44" t="n">
        <v>99.276</v>
      </c>
      <c r="F1171" s="45" t="n">
        <v>99.276</v>
      </c>
      <c r="G1171" s="42" t="str">
        <f aca="false">INDEX(SETORES!$B:$B,MATCH(A1171,SETORES!$A:$A,0))</f>
        <v>Clientes</v>
      </c>
      <c r="H1171" s="42" t="s">
        <v>21</v>
      </c>
    </row>
    <row r="1172" customFormat="false" ht="14.25" hidden="false" customHeight="true" outlineLevel="0" collapsed="false">
      <c r="A1172" s="16" t="s">
        <v>39</v>
      </c>
      <c r="B1172" s="42" t="s">
        <v>157</v>
      </c>
      <c r="C1172" s="42" t="s">
        <v>175</v>
      </c>
      <c r="D1172" s="43"/>
      <c r="E1172" s="44"/>
      <c r="F1172" s="45" t="n">
        <f aca="false">IFERROR(D1172*E1172,0)</f>
        <v>0</v>
      </c>
      <c r="G1172" s="42" t="str">
        <f aca="false">INDEX(SETORES!$B:$B,MATCH(A1172,SETORES!$A:$A,0))</f>
        <v>Clientes</v>
      </c>
      <c r="H1172" s="42" t="s">
        <v>21</v>
      </c>
    </row>
    <row r="1173" customFormat="false" ht="14.25" hidden="false" customHeight="true" outlineLevel="0" collapsed="false">
      <c r="A1173" s="50" t="s">
        <v>39</v>
      </c>
      <c r="B1173" s="51" t="s">
        <v>157</v>
      </c>
      <c r="C1173" s="51" t="s">
        <v>176</v>
      </c>
      <c r="D1173" s="52"/>
      <c r="E1173" s="53"/>
      <c r="F1173" s="54" t="n">
        <f aca="false">IFERROR(D1173*E1173,0)</f>
        <v>0</v>
      </c>
      <c r="G1173" s="51" t="str">
        <f aca="false">INDEX(SETORES!$B:$B,MATCH(A1173,SETORES!$A:$A,0))</f>
        <v>Clientes</v>
      </c>
      <c r="H1173" s="51" t="s">
        <v>21</v>
      </c>
    </row>
    <row r="1174" customFormat="false" ht="14.25" hidden="false" customHeight="true" outlineLevel="0" collapsed="false">
      <c r="A1174" s="50" t="s">
        <v>39</v>
      </c>
      <c r="B1174" s="51" t="s">
        <v>155</v>
      </c>
      <c r="C1174" s="51" t="s">
        <v>169</v>
      </c>
      <c r="D1174" s="52" t="n">
        <v>1</v>
      </c>
      <c r="E1174" s="53" t="n">
        <v>38376.56</v>
      </c>
      <c r="F1174" s="54" t="n">
        <f aca="false">IFERROR(E1174,0)</f>
        <v>38376.56</v>
      </c>
      <c r="G1174" s="51" t="str">
        <f aca="false">INDEX(SETORES!$B:$B,MATCH(A1174,SETORES!$A:$A,0))</f>
        <v>Clientes</v>
      </c>
      <c r="H1174" s="51" t="s">
        <v>21</v>
      </c>
    </row>
    <row r="1175" customFormat="false" ht="14.25" hidden="false" customHeight="true" outlineLevel="0" collapsed="false">
      <c r="A1175" s="16" t="s">
        <v>39</v>
      </c>
      <c r="B1175" s="42" t="s">
        <v>155</v>
      </c>
      <c r="C1175" s="42" t="s">
        <v>170</v>
      </c>
      <c r="D1175" s="43" t="n">
        <v>12</v>
      </c>
      <c r="E1175" s="44" t="n">
        <v>9.92</v>
      </c>
      <c r="F1175" s="45" t="n">
        <f aca="false">IFERROR(D1175*E1175,0)</f>
        <v>119.04</v>
      </c>
      <c r="G1175" s="42" t="str">
        <f aca="false">INDEX(SETORES!$B:$B,MATCH(A1175,SETORES!$A:$A,0))</f>
        <v>Clientes</v>
      </c>
      <c r="H1175" s="42" t="s">
        <v>21</v>
      </c>
    </row>
    <row r="1176" customFormat="false" ht="14.25" hidden="false" customHeight="true" outlineLevel="0" collapsed="false">
      <c r="A1176" s="50" t="s">
        <v>39</v>
      </c>
      <c r="B1176" s="51" t="s">
        <v>155</v>
      </c>
      <c r="C1176" s="51" t="s">
        <v>181</v>
      </c>
      <c r="D1176" s="52" t="n">
        <v>1</v>
      </c>
      <c r="E1176" s="53" t="n">
        <v>2.518032</v>
      </c>
      <c r="F1176" s="54" t="n">
        <f aca="false">IFERROR(D1176*E1176,0)</f>
        <v>2.518032</v>
      </c>
      <c r="G1176" s="51" t="str">
        <f aca="false">INDEX(SETORES!$B:$B,MATCH(A1176,SETORES!$A:$A,0))</f>
        <v>Clientes</v>
      </c>
      <c r="H1176" s="51" t="s">
        <v>21</v>
      </c>
    </row>
    <row r="1177" customFormat="false" ht="14.25" hidden="false" customHeight="true" outlineLevel="0" collapsed="false">
      <c r="A1177" s="50" t="s">
        <v>39</v>
      </c>
      <c r="B1177" s="51" t="s">
        <v>155</v>
      </c>
      <c r="C1177" s="51" t="s">
        <v>172</v>
      </c>
      <c r="D1177" s="52" t="n">
        <v>2</v>
      </c>
      <c r="E1177" s="53" t="n">
        <v>50</v>
      </c>
      <c r="F1177" s="54" t="n">
        <f aca="false">IFERROR(D1177*E1177,0)</f>
        <v>100</v>
      </c>
      <c r="G1177" s="51" t="str">
        <f aca="false">INDEX(SETORES!$B:$B,MATCH(A1177,SETORES!$A:$A,0))</f>
        <v>Clientes</v>
      </c>
      <c r="H1177" s="51" t="s">
        <v>21</v>
      </c>
    </row>
    <row r="1178" customFormat="false" ht="14.25" hidden="false" customHeight="true" outlineLevel="0" collapsed="false">
      <c r="A1178" s="16" t="s">
        <v>39</v>
      </c>
      <c r="B1178" s="42" t="s">
        <v>155</v>
      </c>
      <c r="C1178" s="42" t="s">
        <v>177</v>
      </c>
      <c r="D1178" s="43" t="n">
        <v>12</v>
      </c>
      <c r="E1178" s="44" t="n">
        <v>0.9851</v>
      </c>
      <c r="F1178" s="45" t="n">
        <v>11.8212</v>
      </c>
      <c r="G1178" s="42" t="str">
        <f aca="false">INDEX(SETORES!$B:$B,MATCH(A1178,SETORES!$A:$A,0))</f>
        <v>Clientes</v>
      </c>
      <c r="H1178" s="42" t="s">
        <v>21</v>
      </c>
    </row>
    <row r="1179" customFormat="false" ht="14.25" hidden="false" customHeight="true" outlineLevel="0" collapsed="false">
      <c r="A1179" s="50" t="s">
        <v>39</v>
      </c>
      <c r="B1179" s="51" t="s">
        <v>155</v>
      </c>
      <c r="C1179" s="51" t="s">
        <v>178</v>
      </c>
      <c r="D1179" s="52" t="n">
        <v>1</v>
      </c>
      <c r="E1179" s="53" t="n">
        <v>359.291803</v>
      </c>
      <c r="F1179" s="54" t="n">
        <v>359.291803</v>
      </c>
      <c r="G1179" s="51" t="str">
        <f aca="false">INDEX(SETORES!$B:$B,MATCH(A1179,SETORES!$A:$A,0))</f>
        <v>Clientes</v>
      </c>
      <c r="H1179" s="51" t="s">
        <v>21</v>
      </c>
    </row>
    <row r="1180" customFormat="false" ht="14.25" hidden="false" customHeight="true" outlineLevel="0" collapsed="false">
      <c r="A1180" s="16" t="s">
        <v>39</v>
      </c>
      <c r="B1180" s="42" t="s">
        <v>157</v>
      </c>
      <c r="C1180" s="42" t="s">
        <v>158</v>
      </c>
      <c r="D1180" s="43" t="n">
        <v>1</v>
      </c>
      <c r="E1180" s="44" t="n">
        <v>10389.2</v>
      </c>
      <c r="F1180" s="45" t="n">
        <f aca="false">IFERROR(D1180*E1180,0)</f>
        <v>10389.2</v>
      </c>
      <c r="G1180" s="42" t="str">
        <f aca="false">INDEX(SETORES!$B:$B,MATCH(A1180,SETORES!$A:$A,0))</f>
        <v>Clientes</v>
      </c>
      <c r="H1180" s="42" t="s">
        <v>21</v>
      </c>
    </row>
    <row r="1181" customFormat="false" ht="14.25" hidden="false" customHeight="true" outlineLevel="0" collapsed="false">
      <c r="A1181" s="16" t="s">
        <v>39</v>
      </c>
      <c r="B1181" s="42" t="s">
        <v>155</v>
      </c>
      <c r="C1181" s="42" t="s">
        <v>182</v>
      </c>
      <c r="D1181" s="43" t="n">
        <v>1</v>
      </c>
      <c r="E1181" s="44" t="n">
        <v>664.113444</v>
      </c>
      <c r="F1181" s="45" t="n">
        <f aca="false">IFERROR(D1181*E1181,0)</f>
        <v>664.113444</v>
      </c>
      <c r="G1181" s="42" t="str">
        <f aca="false">INDEX(SETORES!$B:$B,MATCH(A1181,SETORES!$A:$A,0))</f>
        <v>Clientes</v>
      </c>
      <c r="H1181" s="42" t="s">
        <v>21</v>
      </c>
    </row>
    <row r="1182" customFormat="false" ht="14.25" hidden="false" customHeight="true" outlineLevel="0" collapsed="false">
      <c r="A1182" s="50" t="s">
        <v>39</v>
      </c>
      <c r="B1182" s="51" t="s">
        <v>155</v>
      </c>
      <c r="C1182" s="51" t="s">
        <v>173</v>
      </c>
      <c r="D1182" s="52" t="n">
        <v>12</v>
      </c>
      <c r="E1182" s="53" t="n">
        <v>2.05</v>
      </c>
      <c r="F1182" s="54" t="n">
        <f aca="false">IFERROR(D1182*E1182,0)</f>
        <v>24.6</v>
      </c>
      <c r="G1182" s="51" t="str">
        <f aca="false">INDEX(SETORES!$B:$B,MATCH(A1182,SETORES!$A:$A,0))</f>
        <v>Clientes</v>
      </c>
      <c r="H1182" s="51" t="s">
        <v>21</v>
      </c>
    </row>
    <row r="1183" customFormat="false" ht="14.25" hidden="false" customHeight="true" outlineLevel="0" collapsed="false">
      <c r="A1183" s="16" t="s">
        <v>39</v>
      </c>
      <c r="B1183" s="42" t="s">
        <v>155</v>
      </c>
      <c r="C1183" s="42" t="s">
        <v>179</v>
      </c>
      <c r="D1183" s="43"/>
      <c r="E1183" s="44"/>
      <c r="F1183" s="45" t="n">
        <f aca="false">IFERROR(D1183*E1183,0)</f>
        <v>0</v>
      </c>
      <c r="G1183" s="42" t="str">
        <f aca="false">INDEX(SETORES!$B:$B,MATCH(A1183,SETORES!$A:$A,0))</f>
        <v>Clientes</v>
      </c>
      <c r="H1183" s="42" t="s">
        <v>21</v>
      </c>
    </row>
    <row r="1184" customFormat="false" ht="14.25" hidden="false" customHeight="true" outlineLevel="0" collapsed="false">
      <c r="A1184" s="16" t="s">
        <v>32</v>
      </c>
      <c r="B1184" s="42" t="s">
        <v>155</v>
      </c>
      <c r="C1184" s="42" t="s">
        <v>227</v>
      </c>
      <c r="D1184" s="43"/>
      <c r="E1184" s="44"/>
      <c r="F1184" s="45" t="n">
        <f aca="false">IFERROR(D1184*E1184,0)</f>
        <v>0</v>
      </c>
      <c r="G1184" s="42" t="str">
        <f aca="false">INDEX(SETORES!$B:$B,MATCH(A1184,SETORES!$A:$A,0))</f>
        <v>Funcionários</v>
      </c>
      <c r="H1184" s="42" t="s">
        <v>21</v>
      </c>
    </row>
    <row r="1185" customFormat="false" ht="14.25" hidden="false" customHeight="true" outlineLevel="0" collapsed="false">
      <c r="A1185" s="50" t="s">
        <v>32</v>
      </c>
      <c r="B1185" s="51" t="s">
        <v>155</v>
      </c>
      <c r="C1185" s="51" t="s">
        <v>162</v>
      </c>
      <c r="D1185" s="52" t="n">
        <v>1</v>
      </c>
      <c r="E1185" s="53" t="n">
        <v>0.1455</v>
      </c>
      <c r="F1185" s="54" t="n">
        <v>0.1455</v>
      </c>
      <c r="G1185" s="51" t="str">
        <f aca="false">INDEX(SETORES!$B:$B,MATCH(A1185,SETORES!$A:$A,0))</f>
        <v>Funcionários</v>
      </c>
      <c r="H1185" s="51" t="s">
        <v>21</v>
      </c>
    </row>
    <row r="1186" customFormat="false" ht="14.25" hidden="false" customHeight="true" outlineLevel="0" collapsed="false">
      <c r="A1186" s="16" t="s">
        <v>32</v>
      </c>
      <c r="B1186" s="42" t="s">
        <v>155</v>
      </c>
      <c r="C1186" s="42" t="s">
        <v>163</v>
      </c>
      <c r="D1186" s="43" t="n">
        <v>3</v>
      </c>
      <c r="E1186" s="44" t="n">
        <v>30</v>
      </c>
      <c r="F1186" s="45" t="n">
        <f aca="false">IFERROR(D1186*E1186,0)</f>
        <v>90</v>
      </c>
      <c r="G1186" s="42" t="str">
        <f aca="false">INDEX(SETORES!$B:$B,MATCH(A1186,SETORES!$A:$A,0))</f>
        <v>Funcionários</v>
      </c>
      <c r="H1186" s="42" t="s">
        <v>21</v>
      </c>
    </row>
    <row r="1187" customFormat="false" ht="14.25" hidden="false" customHeight="true" outlineLevel="0" collapsed="false">
      <c r="A1187" s="50" t="s">
        <v>32</v>
      </c>
      <c r="B1187" s="51" t="s">
        <v>155</v>
      </c>
      <c r="C1187" s="51" t="s">
        <v>165</v>
      </c>
      <c r="D1187" s="52" t="n">
        <v>6</v>
      </c>
      <c r="E1187" s="53" t="n">
        <v>43.54</v>
      </c>
      <c r="F1187" s="54" t="n">
        <f aca="false">IFERROR(D1187*E1187,0)</f>
        <v>261.24</v>
      </c>
      <c r="G1187" s="51" t="str">
        <f aca="false">INDEX(SETORES!$B:$B,MATCH(A1187,SETORES!$A:$A,0))</f>
        <v>Funcionários</v>
      </c>
      <c r="H1187" s="51" t="s">
        <v>21</v>
      </c>
    </row>
    <row r="1188" customFormat="false" ht="14.25" hidden="false" customHeight="true" outlineLevel="0" collapsed="false">
      <c r="A1188" s="16" t="s">
        <v>32</v>
      </c>
      <c r="B1188" s="42" t="s">
        <v>155</v>
      </c>
      <c r="C1188" s="42" t="s">
        <v>166</v>
      </c>
      <c r="D1188" s="43" t="n">
        <v>6</v>
      </c>
      <c r="E1188" s="44" t="n">
        <v>29.74</v>
      </c>
      <c r="F1188" s="45" t="n">
        <f aca="false">IFERROR(D1188*E1188,0)</f>
        <v>178.44</v>
      </c>
      <c r="G1188" s="42" t="str">
        <f aca="false">INDEX(SETORES!$B:$B,MATCH(A1188,SETORES!$A:$A,0))</f>
        <v>Funcionários</v>
      </c>
      <c r="H1188" s="42" t="s">
        <v>21</v>
      </c>
    </row>
    <row r="1189" customFormat="false" ht="14.25" hidden="false" customHeight="true" outlineLevel="0" collapsed="false">
      <c r="A1189" s="16" t="s">
        <v>32</v>
      </c>
      <c r="B1189" s="42" t="s">
        <v>155</v>
      </c>
      <c r="C1189" s="42" t="s">
        <v>167</v>
      </c>
      <c r="D1189" s="43" t="n">
        <v>6</v>
      </c>
      <c r="E1189" s="44" t="n">
        <v>47.66</v>
      </c>
      <c r="F1189" s="45" t="n">
        <f aca="false">IFERROR(D1189*E1189,0)</f>
        <v>285.96</v>
      </c>
      <c r="G1189" s="42" t="str">
        <f aca="false">INDEX(SETORES!$B:$B,MATCH(A1189,SETORES!$A:$A,0))</f>
        <v>Funcionários</v>
      </c>
      <c r="H1189" s="42" t="s">
        <v>21</v>
      </c>
    </row>
    <row r="1190" customFormat="false" ht="14.25" hidden="false" customHeight="true" outlineLevel="0" collapsed="false">
      <c r="A1190" s="16" t="s">
        <v>32</v>
      </c>
      <c r="B1190" s="42" t="s">
        <v>155</v>
      </c>
      <c r="C1190" s="42" t="s">
        <v>168</v>
      </c>
      <c r="D1190" s="43" t="n">
        <v>1</v>
      </c>
      <c r="E1190" s="44" t="n">
        <v>49.638</v>
      </c>
      <c r="F1190" s="45" t="n">
        <v>49.638</v>
      </c>
      <c r="G1190" s="42" t="str">
        <f aca="false">INDEX(SETORES!$B:$B,MATCH(A1190,SETORES!$A:$A,0))</f>
        <v>Funcionários</v>
      </c>
      <c r="H1190" s="42" t="s">
        <v>21</v>
      </c>
    </row>
    <row r="1191" customFormat="false" ht="14.25" hidden="false" customHeight="true" outlineLevel="0" collapsed="false">
      <c r="A1191" s="16" t="s">
        <v>32</v>
      </c>
      <c r="B1191" s="42" t="s">
        <v>157</v>
      </c>
      <c r="C1191" s="42" t="s">
        <v>228</v>
      </c>
      <c r="D1191" s="43" t="n">
        <v>4</v>
      </c>
      <c r="E1191" s="44" t="n">
        <v>45</v>
      </c>
      <c r="F1191" s="45" t="n">
        <f aca="false">IFERROR(D1191*E1191,0)</f>
        <v>180</v>
      </c>
      <c r="G1191" s="42" t="str">
        <f aca="false">INDEX(SETORES!$B:$B,MATCH(A1191,SETORES!$A:$A,0))</f>
        <v>Funcionários</v>
      </c>
      <c r="H1191" s="42" t="s">
        <v>21</v>
      </c>
    </row>
    <row r="1192" customFormat="false" ht="14.25" hidden="false" customHeight="true" outlineLevel="0" collapsed="false">
      <c r="A1192" s="50" t="s">
        <v>32</v>
      </c>
      <c r="B1192" s="51" t="s">
        <v>157</v>
      </c>
      <c r="C1192" s="51" t="s">
        <v>229</v>
      </c>
      <c r="D1192" s="52"/>
      <c r="E1192" s="53"/>
      <c r="F1192" s="54" t="n">
        <f aca="false">IFERROR(D1192*E1192,0)</f>
        <v>0</v>
      </c>
      <c r="G1192" s="51" t="str">
        <f aca="false">INDEX(SETORES!$B:$B,MATCH(A1192,SETORES!$A:$A,0))</f>
        <v>Funcionários</v>
      </c>
      <c r="H1192" s="51" t="s">
        <v>21</v>
      </c>
    </row>
    <row r="1193" customFormat="false" ht="14.25" hidden="false" customHeight="true" outlineLevel="0" collapsed="false">
      <c r="A1193" s="50" t="s">
        <v>32</v>
      </c>
      <c r="B1193" s="51" t="s">
        <v>155</v>
      </c>
      <c r="C1193" s="51" t="s">
        <v>169</v>
      </c>
      <c r="D1193" s="52" t="n">
        <v>1</v>
      </c>
      <c r="E1193" s="53" t="n">
        <v>30249.56</v>
      </c>
      <c r="F1193" s="54" t="n">
        <f aca="false">IFERROR(E1193,0)</f>
        <v>30249.56</v>
      </c>
      <c r="G1193" s="51" t="str">
        <f aca="false">INDEX(SETORES!$B:$B,MATCH(A1193,SETORES!$A:$A,0))</f>
        <v>Funcionários</v>
      </c>
      <c r="H1193" s="51" t="s">
        <v>21</v>
      </c>
    </row>
    <row r="1194" customFormat="false" ht="14.25" hidden="false" customHeight="true" outlineLevel="0" collapsed="false">
      <c r="A1194" s="16" t="s">
        <v>32</v>
      </c>
      <c r="B1194" s="42" t="s">
        <v>155</v>
      </c>
      <c r="C1194" s="42" t="s">
        <v>170</v>
      </c>
      <c r="D1194" s="43" t="n">
        <v>6</v>
      </c>
      <c r="E1194" s="44" t="n">
        <v>9.92</v>
      </c>
      <c r="F1194" s="45" t="n">
        <f aca="false">IFERROR(D1194*E1194,0)</f>
        <v>59.52</v>
      </c>
      <c r="G1194" s="42" t="str">
        <f aca="false">INDEX(SETORES!$B:$B,MATCH(A1194,SETORES!$A:$A,0))</f>
        <v>Funcionários</v>
      </c>
      <c r="H1194" s="42" t="s">
        <v>21</v>
      </c>
    </row>
    <row r="1195" customFormat="false" ht="14.25" hidden="false" customHeight="true" outlineLevel="0" collapsed="false">
      <c r="A1195" s="50" t="s">
        <v>32</v>
      </c>
      <c r="B1195" s="51" t="s">
        <v>155</v>
      </c>
      <c r="C1195" s="51" t="s">
        <v>183</v>
      </c>
      <c r="D1195" s="52" t="n">
        <v>1</v>
      </c>
      <c r="E1195" s="53" t="n">
        <v>5.882352</v>
      </c>
      <c r="F1195" s="54" t="n">
        <f aca="false">IFERROR(D1195*E1195,0)</f>
        <v>5.882352</v>
      </c>
      <c r="G1195" s="51" t="str">
        <f aca="false">INDEX(SETORES!$B:$B,MATCH(A1195,SETORES!$A:$A,0))</f>
        <v>Funcionários</v>
      </c>
      <c r="H1195" s="51" t="s">
        <v>21</v>
      </c>
    </row>
    <row r="1196" customFormat="false" ht="14.25" hidden="false" customHeight="true" outlineLevel="0" collapsed="false">
      <c r="A1196" s="16" t="s">
        <v>32</v>
      </c>
      <c r="B1196" s="42" t="s">
        <v>155</v>
      </c>
      <c r="C1196" s="42" t="s">
        <v>172</v>
      </c>
      <c r="D1196" s="43" t="n">
        <v>6</v>
      </c>
      <c r="E1196" s="44" t="n">
        <v>50</v>
      </c>
      <c r="F1196" s="45" t="n">
        <f aca="false">IFERROR(D1196*E1196,0)</f>
        <v>300</v>
      </c>
      <c r="G1196" s="42" t="str">
        <f aca="false">INDEX(SETORES!$B:$B,MATCH(A1196,SETORES!$A:$A,0))</f>
        <v>Funcionários</v>
      </c>
      <c r="H1196" s="42" t="s">
        <v>21</v>
      </c>
    </row>
    <row r="1197" customFormat="false" ht="14.25" hidden="false" customHeight="true" outlineLevel="0" collapsed="false">
      <c r="A1197" s="16" t="s">
        <v>32</v>
      </c>
      <c r="B1197" s="42" t="s">
        <v>155</v>
      </c>
      <c r="C1197" s="42" t="s">
        <v>177</v>
      </c>
      <c r="D1197" s="43"/>
      <c r="E1197" s="44"/>
      <c r="F1197" s="45" t="n">
        <v>0</v>
      </c>
      <c r="G1197" s="42" t="str">
        <f aca="false">INDEX(SETORES!$B:$B,MATCH(A1197,SETORES!$A:$A,0))</f>
        <v>Funcionários</v>
      </c>
      <c r="H1197" s="42" t="s">
        <v>21</v>
      </c>
    </row>
    <row r="1198" customFormat="false" ht="14.25" hidden="false" customHeight="true" outlineLevel="0" collapsed="false">
      <c r="A1198" s="50" t="s">
        <v>32</v>
      </c>
      <c r="B1198" s="51" t="s">
        <v>155</v>
      </c>
      <c r="C1198" s="51" t="s">
        <v>178</v>
      </c>
      <c r="D1198" s="52" t="n">
        <v>1</v>
      </c>
      <c r="E1198" s="53" t="n">
        <v>59.24</v>
      </c>
      <c r="F1198" s="54" t="n">
        <v>59.24</v>
      </c>
      <c r="G1198" s="51" t="str">
        <f aca="false">INDEX(SETORES!$B:$B,MATCH(A1198,SETORES!$A:$A,0))</f>
        <v>Funcionários</v>
      </c>
      <c r="H1198" s="51" t="s">
        <v>21</v>
      </c>
    </row>
    <row r="1199" customFormat="false" ht="14.25" hidden="false" customHeight="true" outlineLevel="0" collapsed="false">
      <c r="A1199" s="50" t="s">
        <v>32</v>
      </c>
      <c r="B1199" s="51" t="s">
        <v>155</v>
      </c>
      <c r="C1199" s="51" t="s">
        <v>230</v>
      </c>
      <c r="D1199" s="52"/>
      <c r="E1199" s="53"/>
      <c r="F1199" s="54" t="n">
        <f aca="false">IFERROR(D1199*E1199,0)</f>
        <v>0</v>
      </c>
      <c r="G1199" s="51" t="str">
        <f aca="false">INDEX(SETORES!$B:$B,MATCH(A1199,SETORES!$A:$A,0))</f>
        <v>Funcionários</v>
      </c>
      <c r="H1199" s="51" t="s">
        <v>21</v>
      </c>
    </row>
    <row r="1200" customFormat="false" ht="14.25" hidden="false" customHeight="true" outlineLevel="0" collapsed="false">
      <c r="A1200" s="50" t="s">
        <v>32</v>
      </c>
      <c r="B1200" s="51" t="s">
        <v>155</v>
      </c>
      <c r="C1200" s="51" t="s">
        <v>231</v>
      </c>
      <c r="D1200" s="52" t="n">
        <v>1</v>
      </c>
      <c r="E1200" s="53" t="n">
        <v>2000</v>
      </c>
      <c r="F1200" s="54" t="n">
        <f aca="false">IFERROR(D1200*E1200,0)</f>
        <v>2000</v>
      </c>
      <c r="G1200" s="51" t="str">
        <f aca="false">INDEX(SETORES!$B:$B,MATCH(A1200,SETORES!$A:$A,0))</f>
        <v>Funcionários</v>
      </c>
      <c r="H1200" s="51" t="s">
        <v>21</v>
      </c>
    </row>
    <row r="1201" customFormat="false" ht="14.25" hidden="false" customHeight="true" outlineLevel="0" collapsed="false">
      <c r="A1201" s="50" t="s">
        <v>32</v>
      </c>
      <c r="B1201" s="51" t="s">
        <v>157</v>
      </c>
      <c r="C1201" s="51" t="s">
        <v>232</v>
      </c>
      <c r="D1201" s="52"/>
      <c r="E1201" s="53"/>
      <c r="F1201" s="54" t="n">
        <f aca="false">IFERROR(D1201*E1201,0)</f>
        <v>0</v>
      </c>
      <c r="G1201" s="51" t="str">
        <f aca="false">INDEX(SETORES!$B:$B,MATCH(A1201,SETORES!$A:$A,0))</f>
        <v>Funcionários</v>
      </c>
      <c r="H1201" s="51" t="s">
        <v>21</v>
      </c>
    </row>
    <row r="1202" customFormat="false" ht="14.25" hidden="false" customHeight="true" outlineLevel="0" collapsed="false">
      <c r="A1202" s="50" t="s">
        <v>32</v>
      </c>
      <c r="B1202" s="51" t="s">
        <v>157</v>
      </c>
      <c r="C1202" s="51" t="s">
        <v>158</v>
      </c>
      <c r="D1202" s="52"/>
      <c r="E1202" s="53"/>
      <c r="F1202" s="54" t="n">
        <f aca="false">IFERROR(D1202*E1202,0)</f>
        <v>0</v>
      </c>
      <c r="G1202" s="51" t="str">
        <f aca="false">INDEX(SETORES!$B:$B,MATCH(A1202,SETORES!$A:$A,0))</f>
        <v>Funcionários</v>
      </c>
      <c r="H1202" s="51" t="s">
        <v>21</v>
      </c>
    </row>
    <row r="1203" customFormat="false" ht="14.25" hidden="false" customHeight="true" outlineLevel="0" collapsed="false">
      <c r="A1203" s="50" t="s">
        <v>32</v>
      </c>
      <c r="B1203" s="51" t="s">
        <v>155</v>
      </c>
      <c r="C1203" s="51" t="s">
        <v>233</v>
      </c>
      <c r="D1203" s="52" t="n">
        <v>1</v>
      </c>
      <c r="E1203" s="53" t="n">
        <v>2500</v>
      </c>
      <c r="F1203" s="54" t="n">
        <f aca="false">IFERROR(D1203*E1203,0)</f>
        <v>2500</v>
      </c>
      <c r="G1203" s="51" t="str">
        <f aca="false">INDEX(SETORES!$B:$B,MATCH(A1203,SETORES!$A:$A,0))</f>
        <v>Funcionários</v>
      </c>
      <c r="H1203" s="51" t="s">
        <v>21</v>
      </c>
    </row>
    <row r="1204" customFormat="false" ht="14.25" hidden="false" customHeight="true" outlineLevel="0" collapsed="false">
      <c r="A1204" s="16" t="s">
        <v>32</v>
      </c>
      <c r="B1204" s="42" t="s">
        <v>155</v>
      </c>
      <c r="C1204" s="42" t="s">
        <v>234</v>
      </c>
      <c r="D1204" s="43" t="n">
        <v>1</v>
      </c>
      <c r="E1204" s="44" t="n">
        <v>2612.9</v>
      </c>
      <c r="F1204" s="45" t="n">
        <f aca="false">IFERROR(D1204*E1204,0)</f>
        <v>2612.9</v>
      </c>
      <c r="G1204" s="42" t="str">
        <f aca="false">INDEX(SETORES!$B:$B,MATCH(A1204,SETORES!$A:$A,0))</f>
        <v>Funcionários</v>
      </c>
      <c r="H1204" s="42" t="s">
        <v>21</v>
      </c>
    </row>
    <row r="1205" customFormat="false" ht="14.25" hidden="false" customHeight="true" outlineLevel="0" collapsed="false">
      <c r="A1205" s="50" t="s">
        <v>32</v>
      </c>
      <c r="B1205" s="51" t="s">
        <v>155</v>
      </c>
      <c r="C1205" s="51" t="s">
        <v>173</v>
      </c>
      <c r="D1205" s="52" t="n">
        <v>6</v>
      </c>
      <c r="E1205" s="53" t="n">
        <v>2.05</v>
      </c>
      <c r="F1205" s="54" t="n">
        <f aca="false">IFERROR(D1205*E1205,0)</f>
        <v>12.3</v>
      </c>
      <c r="G1205" s="51" t="str">
        <f aca="false">INDEX(SETORES!$B:$B,MATCH(A1205,SETORES!$A:$A,0))</f>
        <v>Funcionários</v>
      </c>
      <c r="H1205" s="51" t="s">
        <v>21</v>
      </c>
    </row>
    <row r="1206" customFormat="false" ht="14.25" hidden="false" customHeight="true" outlineLevel="0" collapsed="false">
      <c r="A1206" s="16" t="s">
        <v>32</v>
      </c>
      <c r="B1206" s="42" t="s">
        <v>155</v>
      </c>
      <c r="C1206" s="42" t="s">
        <v>179</v>
      </c>
      <c r="D1206" s="43"/>
      <c r="E1206" s="44"/>
      <c r="F1206" s="45" t="n">
        <f aca="false">IFERROR(D1206*E1206,0)</f>
        <v>0</v>
      </c>
      <c r="G1206" s="42" t="str">
        <f aca="false">INDEX(SETORES!$B:$B,MATCH(A1206,SETORES!$A:$A,0))</f>
        <v>Funcionários</v>
      </c>
      <c r="H1206" s="42" t="s">
        <v>21</v>
      </c>
    </row>
    <row r="1207" customFormat="false" ht="14.25" hidden="false" customHeight="true" outlineLevel="0" collapsed="false">
      <c r="A1207" s="16" t="s">
        <v>32</v>
      </c>
      <c r="B1207" s="42" t="s">
        <v>155</v>
      </c>
      <c r="C1207" s="42" t="s">
        <v>235</v>
      </c>
      <c r="D1207" s="43"/>
      <c r="E1207" s="44"/>
      <c r="F1207" s="45" t="n">
        <f aca="false">IFERROR(D1207*E1207,0)</f>
        <v>0</v>
      </c>
      <c r="G1207" s="42" t="str">
        <f aca="false">INDEX(SETORES!$B:$B,MATCH(A1207,SETORES!$A:$A,0))</f>
        <v>Funcionários</v>
      </c>
      <c r="H1207" s="42" t="s">
        <v>21</v>
      </c>
    </row>
    <row r="1208" customFormat="false" ht="14.25" hidden="false" customHeight="true" outlineLevel="0" collapsed="false">
      <c r="A1208" s="50" t="s">
        <v>44</v>
      </c>
      <c r="B1208" s="51" t="s">
        <v>155</v>
      </c>
      <c r="C1208" s="51" t="s">
        <v>162</v>
      </c>
      <c r="D1208" s="52" t="n">
        <v>9</v>
      </c>
      <c r="E1208" s="53" t="n">
        <v>29.6003</v>
      </c>
      <c r="F1208" s="54" t="n">
        <v>29.9223</v>
      </c>
      <c r="G1208" s="51" t="str">
        <f aca="false">INDEX(SETORES!$B:$B,MATCH(A1208,SETORES!$A:$A,0))</f>
        <v>Funcionários</v>
      </c>
      <c r="H1208" s="51" t="s">
        <v>21</v>
      </c>
    </row>
    <row r="1209" customFormat="false" ht="14.25" hidden="false" customHeight="true" outlineLevel="0" collapsed="false">
      <c r="A1209" s="50" t="s">
        <v>44</v>
      </c>
      <c r="B1209" s="51" t="s">
        <v>155</v>
      </c>
      <c r="C1209" s="51" t="s">
        <v>163</v>
      </c>
      <c r="D1209" s="52" t="n">
        <v>4</v>
      </c>
      <c r="E1209" s="53" t="n">
        <v>30</v>
      </c>
      <c r="F1209" s="54" t="n">
        <v>120</v>
      </c>
      <c r="G1209" s="51" t="str">
        <f aca="false">INDEX(SETORES!$B:$B,MATCH(A1209,SETORES!$A:$A,0))</f>
        <v>Funcionários</v>
      </c>
      <c r="H1209" s="51" t="s">
        <v>21</v>
      </c>
    </row>
    <row r="1210" customFormat="false" ht="14.25" hidden="false" customHeight="true" outlineLevel="0" collapsed="false">
      <c r="A1210" s="50" t="s">
        <v>44</v>
      </c>
      <c r="B1210" s="51" t="s">
        <v>157</v>
      </c>
      <c r="C1210" s="51" t="s">
        <v>199</v>
      </c>
      <c r="D1210" s="52" t="n">
        <v>1</v>
      </c>
      <c r="E1210" s="53" t="n">
        <v>2867.75</v>
      </c>
      <c r="F1210" s="54" t="n">
        <v>2867.75</v>
      </c>
      <c r="G1210" s="51" t="str">
        <f aca="false">INDEX(SETORES!$B:$B,MATCH(A1210,SETORES!$A:$A,0))</f>
        <v>Funcionários</v>
      </c>
      <c r="H1210" s="51" t="s">
        <v>21</v>
      </c>
    </row>
    <row r="1211" customFormat="false" ht="14.25" hidden="false" customHeight="true" outlineLevel="0" collapsed="false">
      <c r="A1211" s="50" t="s">
        <v>44</v>
      </c>
      <c r="B1211" s="51" t="s">
        <v>155</v>
      </c>
      <c r="C1211" s="51" t="s">
        <v>165</v>
      </c>
      <c r="D1211" s="52" t="n">
        <v>9</v>
      </c>
      <c r="E1211" s="53" t="n">
        <v>43.54</v>
      </c>
      <c r="F1211" s="54" t="n">
        <f aca="false">IFERROR(D1211*E1211,0)</f>
        <v>391.86</v>
      </c>
      <c r="G1211" s="51" t="str">
        <f aca="false">INDEX(SETORES!$B:$B,MATCH(A1211,SETORES!$A:$A,0))</f>
        <v>Funcionários</v>
      </c>
      <c r="H1211" s="51" t="s">
        <v>21</v>
      </c>
    </row>
    <row r="1212" customFormat="false" ht="14.25" hidden="false" customHeight="true" outlineLevel="0" collapsed="false">
      <c r="A1212" s="16" t="s">
        <v>44</v>
      </c>
      <c r="B1212" s="42" t="s">
        <v>155</v>
      </c>
      <c r="C1212" s="42" t="s">
        <v>166</v>
      </c>
      <c r="D1212" s="43" t="n">
        <v>9</v>
      </c>
      <c r="E1212" s="44" t="n">
        <v>29.74</v>
      </c>
      <c r="F1212" s="45" t="n">
        <f aca="false">IFERROR(D1212*E1212,0)</f>
        <v>267.66</v>
      </c>
      <c r="G1212" s="42" t="str">
        <f aca="false">INDEX(SETORES!$B:$B,MATCH(A1212,SETORES!$A:$A,0))</f>
        <v>Funcionários</v>
      </c>
      <c r="H1212" s="42" t="s">
        <v>21</v>
      </c>
    </row>
    <row r="1213" customFormat="false" ht="14.25" hidden="false" customHeight="true" outlineLevel="0" collapsed="false">
      <c r="A1213" s="16" t="s">
        <v>44</v>
      </c>
      <c r="B1213" s="42" t="s">
        <v>155</v>
      </c>
      <c r="C1213" s="42" t="s">
        <v>167</v>
      </c>
      <c r="D1213" s="43" t="n">
        <v>9</v>
      </c>
      <c r="E1213" s="44" t="n">
        <v>47.66</v>
      </c>
      <c r="F1213" s="45" t="n">
        <f aca="false">IFERROR(D1213*E1213,0)</f>
        <v>428.94</v>
      </c>
      <c r="G1213" s="42" t="str">
        <f aca="false">INDEX(SETORES!$B:$B,MATCH(A1213,SETORES!$A:$A,0))</f>
        <v>Funcionários</v>
      </c>
      <c r="H1213" s="42" t="s">
        <v>21</v>
      </c>
    </row>
    <row r="1214" customFormat="false" ht="14.25" hidden="false" customHeight="true" outlineLevel="0" collapsed="false">
      <c r="A1214" s="16" t="s">
        <v>44</v>
      </c>
      <c r="B1214" s="42" t="s">
        <v>155</v>
      </c>
      <c r="C1214" s="42" t="s">
        <v>168</v>
      </c>
      <c r="D1214" s="43" t="n">
        <v>9</v>
      </c>
      <c r="E1214" s="44" t="n">
        <v>147.3902</v>
      </c>
      <c r="F1214" s="45" t="n">
        <v>191.3238</v>
      </c>
      <c r="G1214" s="42" t="str">
        <f aca="false">INDEX(SETORES!$B:$B,MATCH(A1214,SETORES!$A:$A,0))</f>
        <v>Funcionários</v>
      </c>
      <c r="H1214" s="42" t="s">
        <v>21</v>
      </c>
    </row>
    <row r="1215" customFormat="false" ht="14.25" hidden="false" customHeight="true" outlineLevel="0" collapsed="false">
      <c r="A1215" s="16" t="s">
        <v>44</v>
      </c>
      <c r="B1215" s="42" t="s">
        <v>157</v>
      </c>
      <c r="C1215" s="42" t="s">
        <v>217</v>
      </c>
      <c r="D1215" s="43"/>
      <c r="E1215" s="44"/>
      <c r="F1215" s="45" t="n">
        <f aca="false">IFERROR(D1215*E1215,0)</f>
        <v>0</v>
      </c>
      <c r="G1215" s="42" t="str">
        <f aca="false">INDEX(SETORES!$B:$B,MATCH(A1215,SETORES!$A:$A,0))</f>
        <v>Funcionários</v>
      </c>
      <c r="H1215" s="42" t="s">
        <v>21</v>
      </c>
    </row>
    <row r="1216" customFormat="false" ht="14.25" hidden="false" customHeight="true" outlineLevel="0" collapsed="false">
      <c r="A1216" s="50" t="s">
        <v>44</v>
      </c>
      <c r="B1216" s="51" t="s">
        <v>157</v>
      </c>
      <c r="C1216" s="51" t="s">
        <v>174</v>
      </c>
      <c r="D1216" s="52" t="n">
        <v>1</v>
      </c>
      <c r="E1216" s="53" t="n">
        <v>35</v>
      </c>
      <c r="F1216" s="54" t="n">
        <f aca="false">IFERROR(D1216*E1216,0)</f>
        <v>35</v>
      </c>
      <c r="G1216" s="51" t="str">
        <f aca="false">INDEX(SETORES!$B:$B,MATCH(A1216,SETORES!$A:$A,0))</f>
        <v>Funcionários</v>
      </c>
      <c r="H1216" s="51" t="s">
        <v>21</v>
      </c>
    </row>
    <row r="1217" customFormat="false" ht="14.25" hidden="false" customHeight="true" outlineLevel="0" collapsed="false">
      <c r="A1217" s="16" t="s">
        <v>44</v>
      </c>
      <c r="B1217" s="42" t="s">
        <v>157</v>
      </c>
      <c r="C1217" s="42" t="s">
        <v>175</v>
      </c>
      <c r="D1217" s="43" t="n">
        <v>4</v>
      </c>
      <c r="E1217" s="44" t="n">
        <v>45</v>
      </c>
      <c r="F1217" s="45" t="n">
        <f aca="false">IFERROR(D1217*E1217,0)</f>
        <v>180</v>
      </c>
      <c r="G1217" s="42" t="str">
        <f aca="false">INDEX(SETORES!$B:$B,MATCH(A1217,SETORES!$A:$A,0))</f>
        <v>Funcionários</v>
      </c>
      <c r="H1217" s="42" t="s">
        <v>21</v>
      </c>
    </row>
    <row r="1218" customFormat="false" ht="14.25" hidden="false" customHeight="true" outlineLevel="0" collapsed="false">
      <c r="A1218" s="50" t="s">
        <v>44</v>
      </c>
      <c r="B1218" s="51" t="s">
        <v>157</v>
      </c>
      <c r="C1218" s="51" t="s">
        <v>176</v>
      </c>
      <c r="D1218" s="52"/>
      <c r="E1218" s="53"/>
      <c r="F1218" s="54" t="n">
        <f aca="false">IFERROR(D1218*E1218,0)</f>
        <v>0</v>
      </c>
      <c r="G1218" s="51" t="str">
        <f aca="false">INDEX(SETORES!$B:$B,MATCH(A1218,SETORES!$A:$A,0))</f>
        <v>Funcionários</v>
      </c>
      <c r="H1218" s="51" t="s">
        <v>21</v>
      </c>
    </row>
    <row r="1219" customFormat="false" ht="14.25" hidden="false" customHeight="true" outlineLevel="0" collapsed="false">
      <c r="A1219" s="50" t="s">
        <v>44</v>
      </c>
      <c r="B1219" s="51" t="s">
        <v>155</v>
      </c>
      <c r="C1219" s="51" t="s">
        <v>169</v>
      </c>
      <c r="D1219" s="52" t="n">
        <v>1</v>
      </c>
      <c r="E1219" s="53" t="n">
        <v>46380.08</v>
      </c>
      <c r="F1219" s="54" t="n">
        <f aca="false">IFERROR(E1219,0)</f>
        <v>46380.08</v>
      </c>
      <c r="G1219" s="51" t="str">
        <f aca="false">INDEX(SETORES!$B:$B,MATCH(A1219,SETORES!$A:$A,0))</f>
        <v>Funcionários</v>
      </c>
      <c r="H1219" s="51" t="s">
        <v>21</v>
      </c>
    </row>
    <row r="1220" customFormat="false" ht="14.25" hidden="false" customHeight="true" outlineLevel="0" collapsed="false">
      <c r="A1220" s="50" t="s">
        <v>44</v>
      </c>
      <c r="B1220" s="51" t="s">
        <v>155</v>
      </c>
      <c r="C1220" s="51" t="s">
        <v>170</v>
      </c>
      <c r="D1220" s="52" t="n">
        <v>9</v>
      </c>
      <c r="E1220" s="53" t="n">
        <v>9.92</v>
      </c>
      <c r="F1220" s="54" t="n">
        <f aca="false">IFERROR(D1220*E1220,0)</f>
        <v>89.28</v>
      </c>
      <c r="G1220" s="51" t="str">
        <f aca="false">INDEX(SETORES!$B:$B,MATCH(A1220,SETORES!$A:$A,0))</f>
        <v>Funcionários</v>
      </c>
      <c r="H1220" s="51" t="s">
        <v>21</v>
      </c>
    </row>
    <row r="1221" customFormat="false" ht="14.25" hidden="false" customHeight="true" outlineLevel="0" collapsed="false">
      <c r="A1221" s="16" t="s">
        <v>44</v>
      </c>
      <c r="B1221" s="42" t="s">
        <v>155</v>
      </c>
      <c r="C1221" s="42" t="s">
        <v>183</v>
      </c>
      <c r="D1221" s="43" t="n">
        <v>1</v>
      </c>
      <c r="E1221" s="44" t="n">
        <v>570</v>
      </c>
      <c r="F1221" s="45" t="n">
        <f aca="false">IFERROR(D1221*E1221,0)</f>
        <v>570</v>
      </c>
      <c r="G1221" s="42" t="str">
        <f aca="false">INDEX(SETORES!$B:$B,MATCH(A1221,SETORES!$A:$A,0))</f>
        <v>Funcionários</v>
      </c>
      <c r="H1221" s="42" t="s">
        <v>21</v>
      </c>
    </row>
    <row r="1222" customFormat="false" ht="14.25" hidden="false" customHeight="true" outlineLevel="0" collapsed="false">
      <c r="A1222" s="16" t="s">
        <v>44</v>
      </c>
      <c r="B1222" s="42" t="s">
        <v>155</v>
      </c>
      <c r="C1222" s="42" t="s">
        <v>172</v>
      </c>
      <c r="D1222" s="43" t="n">
        <v>6</v>
      </c>
      <c r="E1222" s="44" t="n">
        <v>50</v>
      </c>
      <c r="F1222" s="45" t="n">
        <v>300</v>
      </c>
      <c r="G1222" s="42" t="str">
        <f aca="false">INDEX(SETORES!$B:$B,MATCH(A1222,SETORES!$A:$A,0))</f>
        <v>Funcionários</v>
      </c>
      <c r="H1222" s="42" t="s">
        <v>21</v>
      </c>
    </row>
    <row r="1223" customFormat="false" ht="14.25" hidden="false" customHeight="true" outlineLevel="0" collapsed="false">
      <c r="A1223" s="16" t="s">
        <v>44</v>
      </c>
      <c r="B1223" s="42" t="s">
        <v>155</v>
      </c>
      <c r="C1223" s="42" t="s">
        <v>177</v>
      </c>
      <c r="D1223" s="43"/>
      <c r="E1223" s="44"/>
      <c r="F1223" s="45" t="n">
        <v>0</v>
      </c>
      <c r="G1223" s="42" t="str">
        <f aca="false">INDEX(SETORES!$B:$B,MATCH(A1223,SETORES!$A:$A,0))</f>
        <v>Funcionários</v>
      </c>
      <c r="H1223" s="42" t="s">
        <v>21</v>
      </c>
    </row>
    <row r="1224" customFormat="false" ht="14.25" hidden="false" customHeight="true" outlineLevel="0" collapsed="false">
      <c r="A1224" s="50" t="s">
        <v>44</v>
      </c>
      <c r="B1224" s="51" t="s">
        <v>155</v>
      </c>
      <c r="C1224" s="51" t="s">
        <v>178</v>
      </c>
      <c r="D1224" s="52"/>
      <c r="E1224" s="53"/>
      <c r="F1224" s="54" t="n">
        <v>0</v>
      </c>
      <c r="G1224" s="51" t="str">
        <f aca="false">INDEX(SETORES!$B:$B,MATCH(A1224,SETORES!$A:$A,0))</f>
        <v>Funcionários</v>
      </c>
      <c r="H1224" s="51" t="s">
        <v>21</v>
      </c>
    </row>
    <row r="1225" customFormat="false" ht="14.25" hidden="false" customHeight="true" outlineLevel="0" collapsed="false">
      <c r="A1225" s="50" t="s">
        <v>44</v>
      </c>
      <c r="B1225" s="51" t="s">
        <v>157</v>
      </c>
      <c r="C1225" s="51" t="s">
        <v>236</v>
      </c>
      <c r="D1225" s="52" t="n">
        <v>1</v>
      </c>
      <c r="E1225" s="53" t="n">
        <v>7689.5</v>
      </c>
      <c r="F1225" s="54" t="n">
        <f aca="false">IFERROR(D1225*E1225,0)</f>
        <v>7689.5</v>
      </c>
      <c r="G1225" s="51" t="str">
        <f aca="false">INDEX(SETORES!$B:$B,MATCH(A1225,SETORES!$A:$A,0))</f>
        <v>Funcionários</v>
      </c>
      <c r="H1225" s="51" t="s">
        <v>21</v>
      </c>
    </row>
    <row r="1226" customFormat="false" ht="14.25" hidden="false" customHeight="true" outlineLevel="0" collapsed="false">
      <c r="A1226" s="16" t="s">
        <v>44</v>
      </c>
      <c r="B1226" s="42" t="s">
        <v>157</v>
      </c>
      <c r="C1226" s="42" t="s">
        <v>184</v>
      </c>
      <c r="D1226" s="43" t="n">
        <v>9</v>
      </c>
      <c r="E1226" s="44" t="n">
        <v>65.93</v>
      </c>
      <c r="F1226" s="45" t="n">
        <f aca="false">IFERROR(D1226*E1226,0)</f>
        <v>593.37</v>
      </c>
      <c r="G1226" s="42" t="str">
        <f aca="false">INDEX(SETORES!$B:$B,MATCH(A1226,SETORES!$A:$A,0))</f>
        <v>Funcionários</v>
      </c>
      <c r="H1226" s="42" t="s">
        <v>21</v>
      </c>
    </row>
    <row r="1227" customFormat="false" ht="14.25" hidden="false" customHeight="true" outlineLevel="0" collapsed="false">
      <c r="A1227" s="16" t="s">
        <v>44</v>
      </c>
      <c r="B1227" s="42" t="s">
        <v>157</v>
      </c>
      <c r="C1227" s="42" t="s">
        <v>158</v>
      </c>
      <c r="D1227" s="43" t="n">
        <v>1</v>
      </c>
      <c r="E1227" s="44" t="n">
        <v>5236.96</v>
      </c>
      <c r="F1227" s="45" t="n">
        <f aca="false">IFERROR(D1227*E1227,0)</f>
        <v>5236.96</v>
      </c>
      <c r="G1227" s="42" t="str">
        <f aca="false">INDEX(SETORES!$B:$B,MATCH(A1227,SETORES!$A:$A,0))</f>
        <v>Funcionários</v>
      </c>
      <c r="H1227" s="42" t="s">
        <v>21</v>
      </c>
    </row>
    <row r="1228" customFormat="false" ht="14.25" hidden="false" customHeight="true" outlineLevel="0" collapsed="false">
      <c r="A1228" s="16" t="s">
        <v>44</v>
      </c>
      <c r="B1228" s="42" t="s">
        <v>155</v>
      </c>
      <c r="C1228" s="42" t="s">
        <v>173</v>
      </c>
      <c r="D1228" s="43" t="n">
        <v>9</v>
      </c>
      <c r="E1228" s="44" t="n">
        <v>2.05</v>
      </c>
      <c r="F1228" s="45" t="n">
        <f aca="false">IFERROR(D1228*E1228,0)</f>
        <v>18.45</v>
      </c>
      <c r="G1228" s="42" t="str">
        <f aca="false">INDEX(SETORES!$B:$B,MATCH(A1228,SETORES!$A:$A,0))</f>
        <v>Funcionários</v>
      </c>
      <c r="H1228" s="42" t="s">
        <v>21</v>
      </c>
    </row>
    <row r="1229" customFormat="false" ht="14.25" hidden="false" customHeight="true" outlineLevel="0" collapsed="false">
      <c r="A1229" s="16" t="s">
        <v>44</v>
      </c>
      <c r="B1229" s="42" t="s">
        <v>155</v>
      </c>
      <c r="C1229" s="42" t="s">
        <v>179</v>
      </c>
      <c r="D1229" s="43"/>
      <c r="E1229" s="44"/>
      <c r="F1229" s="45" t="n">
        <f aca="false">IFERROR(D1229*E1229,0)</f>
        <v>0</v>
      </c>
      <c r="G1229" s="42" t="str">
        <f aca="false">INDEX(SETORES!$B:$B,MATCH(A1229,SETORES!$A:$A,0))</f>
        <v>Funcionários</v>
      </c>
      <c r="H1229" s="42" t="s">
        <v>21</v>
      </c>
    </row>
    <row r="1230" customFormat="false" ht="14.25" hidden="false" customHeight="true" outlineLevel="0" collapsed="false">
      <c r="A1230" s="16" t="s">
        <v>139</v>
      </c>
      <c r="B1230" s="42" t="s">
        <v>155</v>
      </c>
      <c r="C1230" s="42" t="s">
        <v>205</v>
      </c>
      <c r="D1230" s="43" t="n">
        <v>1</v>
      </c>
      <c r="E1230" s="44" t="n">
        <v>1063.02</v>
      </c>
      <c r="F1230" s="45" t="n">
        <f aca="false">IFERROR(D1230*E1230,0)</f>
        <v>1063.02</v>
      </c>
      <c r="G1230" s="42" t="str">
        <f aca="false">INDEX(SETORES!$B:$B,MATCH(A1230,SETORES!$A:$A,0))</f>
        <v>Funcionários</v>
      </c>
      <c r="H1230" s="42" t="s">
        <v>21</v>
      </c>
    </row>
    <row r="1231" customFormat="false" ht="14.25" hidden="false" customHeight="true" outlineLevel="0" collapsed="false">
      <c r="A1231" s="50" t="s">
        <v>139</v>
      </c>
      <c r="B1231" s="51" t="s">
        <v>155</v>
      </c>
      <c r="C1231" s="51" t="s">
        <v>165</v>
      </c>
      <c r="D1231" s="52" t="n">
        <v>6</v>
      </c>
      <c r="E1231" s="53" t="n">
        <v>43.54</v>
      </c>
      <c r="F1231" s="54" t="n">
        <f aca="false">IFERROR(D1231*E1231,0)</f>
        <v>261.24</v>
      </c>
      <c r="G1231" s="51" t="str">
        <f aca="false">INDEX(SETORES!$B:$B,MATCH(A1231,SETORES!$A:$A,0))</f>
        <v>Funcionários</v>
      </c>
      <c r="H1231" s="51" t="s">
        <v>21</v>
      </c>
    </row>
    <row r="1232" customFormat="false" ht="14.25" hidden="false" customHeight="true" outlineLevel="0" collapsed="false">
      <c r="A1232" s="50" t="s">
        <v>139</v>
      </c>
      <c r="B1232" s="51" t="s">
        <v>155</v>
      </c>
      <c r="C1232" s="51" t="s">
        <v>166</v>
      </c>
      <c r="D1232" s="52" t="n">
        <v>6</v>
      </c>
      <c r="E1232" s="53" t="n">
        <v>29.74</v>
      </c>
      <c r="F1232" s="54" t="n">
        <f aca="false">IFERROR(D1232*E1232,0)</f>
        <v>178.44</v>
      </c>
      <c r="G1232" s="51" t="str">
        <f aca="false">INDEX(SETORES!$B:$B,MATCH(A1232,SETORES!$A:$A,0))</f>
        <v>Funcionários</v>
      </c>
      <c r="H1232" s="51" t="s">
        <v>21</v>
      </c>
    </row>
    <row r="1233" customFormat="false" ht="14.25" hidden="false" customHeight="true" outlineLevel="0" collapsed="false">
      <c r="A1233" s="50" t="s">
        <v>139</v>
      </c>
      <c r="B1233" s="51" t="s">
        <v>155</v>
      </c>
      <c r="C1233" s="51" t="s">
        <v>167</v>
      </c>
      <c r="D1233" s="52" t="n">
        <v>6</v>
      </c>
      <c r="E1233" s="53" t="n">
        <v>47.66</v>
      </c>
      <c r="F1233" s="54" t="n">
        <f aca="false">IFERROR(D1233*E1233,0)</f>
        <v>285.96</v>
      </c>
      <c r="G1233" s="51" t="str">
        <f aca="false">INDEX(SETORES!$B:$B,MATCH(A1233,SETORES!$A:$A,0))</f>
        <v>Funcionários</v>
      </c>
      <c r="H1233" s="51" t="s">
        <v>21</v>
      </c>
    </row>
    <row r="1234" customFormat="false" ht="14.25" hidden="false" customHeight="true" outlineLevel="0" collapsed="false">
      <c r="A1234" s="50" t="s">
        <v>139</v>
      </c>
      <c r="B1234" s="51" t="s">
        <v>157</v>
      </c>
      <c r="C1234" s="51" t="s">
        <v>176</v>
      </c>
      <c r="D1234" s="52" t="n">
        <v>4</v>
      </c>
      <c r="E1234" s="53" t="n">
        <v>121.25</v>
      </c>
      <c r="F1234" s="54" t="n">
        <f aca="false">IFERROR(D1234*E1234,0)</f>
        <v>485</v>
      </c>
      <c r="G1234" s="51" t="str">
        <f aca="false">INDEX(SETORES!$B:$B,MATCH(A1234,SETORES!$A:$A,0))</f>
        <v>Funcionários</v>
      </c>
      <c r="H1234" s="51" t="s">
        <v>21</v>
      </c>
    </row>
    <row r="1235" customFormat="false" ht="14.25" hidden="false" customHeight="true" outlineLevel="0" collapsed="false">
      <c r="A1235" s="50" t="s">
        <v>139</v>
      </c>
      <c r="B1235" s="51" t="s">
        <v>155</v>
      </c>
      <c r="C1235" s="51" t="s">
        <v>169</v>
      </c>
      <c r="D1235" s="52" t="n">
        <v>1</v>
      </c>
      <c r="E1235" s="53" t="n">
        <v>22919.89</v>
      </c>
      <c r="F1235" s="54" t="n">
        <v>22919.89</v>
      </c>
      <c r="G1235" s="51" t="str">
        <f aca="false">INDEX(SETORES!$B:$B,MATCH(A1235,SETORES!$A:$A,0))</f>
        <v>Funcionários</v>
      </c>
      <c r="H1235" s="51" t="s">
        <v>21</v>
      </c>
    </row>
    <row r="1236" customFormat="false" ht="14.25" hidden="false" customHeight="true" outlineLevel="0" collapsed="false">
      <c r="A1236" s="16" t="s">
        <v>139</v>
      </c>
      <c r="B1236" s="42" t="s">
        <v>155</v>
      </c>
      <c r="C1236" s="42" t="s">
        <v>170</v>
      </c>
      <c r="D1236" s="43" t="n">
        <v>6</v>
      </c>
      <c r="E1236" s="44" t="n">
        <v>9.92</v>
      </c>
      <c r="F1236" s="45" t="n">
        <f aca="false">IFERROR(D1236*E1236,0)</f>
        <v>59.52</v>
      </c>
      <c r="G1236" s="42" t="str">
        <f aca="false">INDEX(SETORES!$B:$B,MATCH(A1236,SETORES!$A:$A,0))</f>
        <v>Funcionários</v>
      </c>
      <c r="H1236" s="42" t="s">
        <v>21</v>
      </c>
    </row>
    <row r="1237" customFormat="false" ht="14.25" hidden="false" customHeight="true" outlineLevel="0" collapsed="false">
      <c r="A1237" s="50" t="s">
        <v>139</v>
      </c>
      <c r="B1237" s="51" t="s">
        <v>155</v>
      </c>
      <c r="C1237" s="51" t="s">
        <v>173</v>
      </c>
      <c r="D1237" s="52" t="n">
        <v>6</v>
      </c>
      <c r="E1237" s="53" t="n">
        <v>2.05</v>
      </c>
      <c r="F1237" s="54" t="n">
        <f aca="false">IFERROR(D1237*E1237,0)</f>
        <v>12.3</v>
      </c>
      <c r="G1237" s="51" t="str">
        <f aca="false">INDEX(SETORES!$B:$B,MATCH(A1237,SETORES!$A:$A,0))</f>
        <v>Funcionários</v>
      </c>
      <c r="H1237" s="51" t="s">
        <v>21</v>
      </c>
    </row>
    <row r="1238" customFormat="false" ht="14.25" hidden="false" customHeight="true" outlineLevel="0" collapsed="false">
      <c r="A1238" s="50" t="s">
        <v>53</v>
      </c>
      <c r="B1238" s="51" t="s">
        <v>155</v>
      </c>
      <c r="C1238" s="51" t="s">
        <v>162</v>
      </c>
      <c r="D1238" s="52" t="n">
        <v>1</v>
      </c>
      <c r="E1238" s="53" t="n">
        <v>0.8002</v>
      </c>
      <c r="F1238" s="54" t="n">
        <v>0.8002</v>
      </c>
      <c r="G1238" s="51" t="str">
        <f aca="false">INDEX(SETORES!$B:$B,MATCH(A1238,SETORES!$A:$A,0))</f>
        <v>Clientes</v>
      </c>
      <c r="H1238" s="51" t="s">
        <v>21</v>
      </c>
    </row>
    <row r="1239" customFormat="false" ht="14.25" hidden="false" customHeight="true" outlineLevel="0" collapsed="false">
      <c r="A1239" s="50" t="s">
        <v>53</v>
      </c>
      <c r="B1239" s="51" t="s">
        <v>155</v>
      </c>
      <c r="C1239" s="51" t="s">
        <v>180</v>
      </c>
      <c r="D1239" s="52" t="n">
        <v>1</v>
      </c>
      <c r="E1239" s="53" t="n">
        <v>2462.62</v>
      </c>
      <c r="F1239" s="54" t="n">
        <f aca="false">IFERROR(D1239*E1239,0)</f>
        <v>2462.62</v>
      </c>
      <c r="G1239" s="51" t="str">
        <f aca="false">INDEX(SETORES!$B:$B,MATCH(A1239,SETORES!$A:$A,0))</f>
        <v>Clientes</v>
      </c>
      <c r="H1239" s="51" t="s">
        <v>21</v>
      </c>
    </row>
    <row r="1240" customFormat="false" ht="14.25" hidden="false" customHeight="true" outlineLevel="0" collapsed="false">
      <c r="A1240" s="50" t="s">
        <v>53</v>
      </c>
      <c r="B1240" s="51" t="s">
        <v>155</v>
      </c>
      <c r="C1240" s="51" t="s">
        <v>165</v>
      </c>
      <c r="D1240" s="52" t="n">
        <v>33</v>
      </c>
      <c r="E1240" s="53" t="n">
        <v>43.54</v>
      </c>
      <c r="F1240" s="54" t="n">
        <f aca="false">IFERROR(D1240*E1240,0)</f>
        <v>1436.82</v>
      </c>
      <c r="G1240" s="51" t="s">
        <v>99</v>
      </c>
      <c r="H1240" s="51" t="s">
        <v>21</v>
      </c>
    </row>
    <row r="1241" customFormat="false" ht="14.25" hidden="false" customHeight="true" outlineLevel="0" collapsed="false">
      <c r="A1241" s="16" t="s">
        <v>53</v>
      </c>
      <c r="B1241" s="42" t="s">
        <v>155</v>
      </c>
      <c r="C1241" s="42" t="s">
        <v>166</v>
      </c>
      <c r="D1241" s="43" t="n">
        <v>33</v>
      </c>
      <c r="E1241" s="44" t="n">
        <v>29.74</v>
      </c>
      <c r="F1241" s="45" t="n">
        <f aca="false">IFERROR(D1241*E1241,0)</f>
        <v>981.42</v>
      </c>
      <c r="G1241" s="42" t="s">
        <v>99</v>
      </c>
      <c r="H1241" s="42" t="s">
        <v>21</v>
      </c>
    </row>
    <row r="1242" customFormat="false" ht="14.25" hidden="false" customHeight="true" outlineLevel="0" collapsed="false">
      <c r="A1242" s="16" t="s">
        <v>53</v>
      </c>
      <c r="B1242" s="42" t="s">
        <v>155</v>
      </c>
      <c r="C1242" s="42" t="s">
        <v>167</v>
      </c>
      <c r="D1242" s="43" t="n">
        <v>33</v>
      </c>
      <c r="E1242" s="44" t="n">
        <v>47.66</v>
      </c>
      <c r="F1242" s="45" t="n">
        <f aca="false">IFERROR(D1242*E1242,0)</f>
        <v>1572.78</v>
      </c>
      <c r="G1242" s="42" t="s">
        <v>99</v>
      </c>
      <c r="H1242" s="42" t="s">
        <v>21</v>
      </c>
    </row>
    <row r="1243" customFormat="false" ht="14.25" hidden="false" customHeight="true" outlineLevel="0" collapsed="false">
      <c r="A1243" s="16" t="s">
        <v>53</v>
      </c>
      <c r="B1243" s="42" t="s">
        <v>155</v>
      </c>
      <c r="C1243" s="42" t="s">
        <v>168</v>
      </c>
      <c r="D1243" s="43" t="n">
        <v>1</v>
      </c>
      <c r="E1243" s="44" t="n">
        <v>273.009</v>
      </c>
      <c r="F1243" s="45" t="n">
        <v>273.009</v>
      </c>
      <c r="G1243" s="42" t="str">
        <f aca="false">INDEX(SETORES!$B:$B,MATCH(A1243,SETORES!$A:$A,0))</f>
        <v>Clientes</v>
      </c>
      <c r="H1243" s="42" t="s">
        <v>21</v>
      </c>
    </row>
    <row r="1244" customFormat="false" ht="14.25" hidden="false" customHeight="true" outlineLevel="0" collapsed="false">
      <c r="A1244" s="50" t="s">
        <v>53</v>
      </c>
      <c r="B1244" s="51" t="s">
        <v>157</v>
      </c>
      <c r="C1244" s="51" t="s">
        <v>174</v>
      </c>
      <c r="D1244" s="52" t="n">
        <v>1</v>
      </c>
      <c r="E1244" s="53" t="n">
        <v>10752.6</v>
      </c>
      <c r="F1244" s="54" t="n">
        <f aca="false">IFERROR(D1244*E1244,0)</f>
        <v>10752.6</v>
      </c>
      <c r="G1244" s="51" t="str">
        <f aca="false">INDEX(SETORES!$B:$B,MATCH(A1244,SETORES!$A:$A,0))</f>
        <v>Clientes</v>
      </c>
      <c r="H1244" s="51" t="s">
        <v>21</v>
      </c>
    </row>
    <row r="1245" customFormat="false" ht="14.25" hidden="false" customHeight="true" outlineLevel="0" collapsed="false">
      <c r="A1245" s="16" t="s">
        <v>53</v>
      </c>
      <c r="B1245" s="42" t="s">
        <v>157</v>
      </c>
      <c r="C1245" s="42" t="s">
        <v>175</v>
      </c>
      <c r="D1245" s="43" t="n">
        <v>2</v>
      </c>
      <c r="E1245" s="44" t="n">
        <v>45</v>
      </c>
      <c r="F1245" s="45" t="n">
        <f aca="false">IFERROR(D1245*E1245,0)</f>
        <v>90</v>
      </c>
      <c r="G1245" s="42" t="str">
        <f aca="false">INDEX(SETORES!$B:$B,MATCH(A1245,SETORES!$A:$A,0))</f>
        <v>Clientes</v>
      </c>
      <c r="H1245" s="42" t="s">
        <v>21</v>
      </c>
    </row>
    <row r="1246" customFormat="false" ht="14.25" hidden="false" customHeight="true" outlineLevel="0" collapsed="false">
      <c r="A1246" s="50" t="s">
        <v>53</v>
      </c>
      <c r="B1246" s="51" t="s">
        <v>155</v>
      </c>
      <c r="C1246" s="51" t="s">
        <v>169</v>
      </c>
      <c r="D1246" s="52" t="n">
        <v>1</v>
      </c>
      <c r="E1246" s="53" t="n">
        <v>101811.52</v>
      </c>
      <c r="F1246" s="54" t="n">
        <f aca="false">IFERROR(E1246,0)</f>
        <v>101811.52</v>
      </c>
      <c r="G1246" s="51" t="str">
        <f aca="false">INDEX(SETORES!$B:$B,MATCH(A1246,SETORES!$A:$A,0))</f>
        <v>Clientes</v>
      </c>
      <c r="H1246" s="51" t="s">
        <v>21</v>
      </c>
    </row>
    <row r="1247" customFormat="false" ht="14.25" hidden="false" customHeight="true" outlineLevel="0" collapsed="false">
      <c r="A1247" s="50" t="s">
        <v>53</v>
      </c>
      <c r="B1247" s="51" t="s">
        <v>155</v>
      </c>
      <c r="C1247" s="51" t="s">
        <v>170</v>
      </c>
      <c r="D1247" s="52" t="n">
        <v>33</v>
      </c>
      <c r="E1247" s="53" t="n">
        <v>9.92</v>
      </c>
      <c r="F1247" s="54" t="n">
        <f aca="false">IFERROR(D1247*E1247,0)</f>
        <v>327.36</v>
      </c>
      <c r="G1247" s="51" t="str">
        <f aca="false">INDEX(SETORES!$B:$B,MATCH(A1247,SETORES!$A:$A,0))</f>
        <v>Clientes</v>
      </c>
      <c r="H1247" s="51" t="s">
        <v>21</v>
      </c>
    </row>
    <row r="1248" customFormat="false" ht="14.25" hidden="false" customHeight="true" outlineLevel="0" collapsed="false">
      <c r="A1248" s="16" t="s">
        <v>53</v>
      </c>
      <c r="B1248" s="42" t="s">
        <v>155</v>
      </c>
      <c r="C1248" s="42" t="s">
        <v>181</v>
      </c>
      <c r="D1248" s="43" t="n">
        <v>1</v>
      </c>
      <c r="E1248" s="44" t="n">
        <v>6.924588</v>
      </c>
      <c r="F1248" s="45" t="n">
        <f aca="false">IFERROR(D1248*E1248,0)</f>
        <v>6.924588</v>
      </c>
      <c r="G1248" s="42" t="str">
        <f aca="false">INDEX(SETORES!$B:$B,MATCH(A1248,SETORES!$A:$A,0))</f>
        <v>Clientes</v>
      </c>
      <c r="H1248" s="42" t="s">
        <v>21</v>
      </c>
    </row>
    <row r="1249" customFormat="false" ht="14.25" hidden="false" customHeight="true" outlineLevel="0" collapsed="false">
      <c r="A1249" s="16" t="s">
        <v>53</v>
      </c>
      <c r="B1249" s="42" t="s">
        <v>155</v>
      </c>
      <c r="C1249" s="42" t="s">
        <v>172</v>
      </c>
      <c r="D1249" s="43" t="n">
        <v>33</v>
      </c>
      <c r="E1249" s="44" t="n">
        <v>50</v>
      </c>
      <c r="F1249" s="45" t="n">
        <f aca="false">IFERROR(D1249*E1249,0)</f>
        <v>1650</v>
      </c>
      <c r="G1249" s="42" t="str">
        <f aca="false">INDEX(SETORES!$B:$B,MATCH(A1249,SETORES!$A:$A,0))</f>
        <v>Clientes</v>
      </c>
      <c r="H1249" s="42" t="s">
        <v>21</v>
      </c>
    </row>
    <row r="1250" customFormat="false" ht="14.25" hidden="false" customHeight="true" outlineLevel="0" collapsed="false">
      <c r="A1250" s="16" t="s">
        <v>53</v>
      </c>
      <c r="B1250" s="42" t="s">
        <v>155</v>
      </c>
      <c r="C1250" s="42" t="s">
        <v>177</v>
      </c>
      <c r="D1250" s="43" t="n">
        <v>33</v>
      </c>
      <c r="E1250" s="44" t="n">
        <v>0.9851</v>
      </c>
      <c r="F1250" s="45" t="n">
        <v>32.5083</v>
      </c>
      <c r="G1250" s="42" t="str">
        <f aca="false">INDEX(SETORES!$B:$B,MATCH(A1250,SETORES!$A:$A,0))</f>
        <v>Clientes</v>
      </c>
      <c r="H1250" s="42" t="s">
        <v>21</v>
      </c>
    </row>
    <row r="1251" customFormat="false" ht="14.25" hidden="false" customHeight="true" outlineLevel="0" collapsed="false">
      <c r="A1251" s="50" t="s">
        <v>53</v>
      </c>
      <c r="B1251" s="51" t="s">
        <v>155</v>
      </c>
      <c r="C1251" s="51" t="s">
        <v>178</v>
      </c>
      <c r="D1251" s="52" t="n">
        <v>1</v>
      </c>
      <c r="E1251" s="53" t="n">
        <v>988.052459</v>
      </c>
      <c r="F1251" s="54" t="n">
        <v>988.052459</v>
      </c>
      <c r="G1251" s="51" t="str">
        <f aca="false">INDEX(SETORES!$B:$B,MATCH(A1251,SETORES!$A:$A,0))</f>
        <v>Clientes</v>
      </c>
      <c r="H1251" s="51" t="s">
        <v>21</v>
      </c>
    </row>
    <row r="1252" customFormat="false" ht="14.25" hidden="false" customHeight="true" outlineLevel="0" collapsed="false">
      <c r="A1252" s="16" t="s">
        <v>53</v>
      </c>
      <c r="B1252" s="42" t="s">
        <v>157</v>
      </c>
      <c r="C1252" s="42" t="s">
        <v>158</v>
      </c>
      <c r="D1252" s="43" t="n">
        <v>1</v>
      </c>
      <c r="E1252" s="44" t="n">
        <v>89098.12</v>
      </c>
      <c r="F1252" s="45" t="n">
        <f aca="false">IFERROR(D1252*E1252,0)</f>
        <v>89098.12</v>
      </c>
      <c r="G1252" s="42" t="str">
        <f aca="false">INDEX(SETORES!$B:$B,MATCH(A1252,SETORES!$A:$A,0))</f>
        <v>Clientes</v>
      </c>
      <c r="H1252" s="42" t="s">
        <v>21</v>
      </c>
    </row>
    <row r="1253" customFormat="false" ht="14.25" hidden="false" customHeight="true" outlineLevel="0" collapsed="false">
      <c r="A1253" s="50" t="s">
        <v>53</v>
      </c>
      <c r="B1253" s="51" t="s">
        <v>155</v>
      </c>
      <c r="C1253" s="51" t="s">
        <v>182</v>
      </c>
      <c r="D1253" s="52" t="n">
        <v>1</v>
      </c>
      <c r="E1253" s="53" t="n">
        <v>1826.311971</v>
      </c>
      <c r="F1253" s="54" t="n">
        <f aca="false">IFERROR(D1253*E1253,0)</f>
        <v>1826.311971</v>
      </c>
      <c r="G1253" s="51" t="str">
        <f aca="false">INDEX(SETORES!$B:$B,MATCH(A1253,SETORES!$A:$A,0))</f>
        <v>Clientes</v>
      </c>
      <c r="H1253" s="51" t="s">
        <v>21</v>
      </c>
    </row>
    <row r="1254" customFormat="false" ht="14.25" hidden="false" customHeight="true" outlineLevel="0" collapsed="false">
      <c r="A1254" s="16" t="s">
        <v>53</v>
      </c>
      <c r="B1254" s="42" t="s">
        <v>155</v>
      </c>
      <c r="C1254" s="42" t="s">
        <v>173</v>
      </c>
      <c r="D1254" s="43" t="n">
        <v>33</v>
      </c>
      <c r="E1254" s="44" t="n">
        <v>2.05</v>
      </c>
      <c r="F1254" s="45" t="n">
        <f aca="false">IFERROR(D1254*E1254,0)</f>
        <v>67.65</v>
      </c>
      <c r="G1254" s="42" t="str">
        <f aca="false">INDEX(SETORES!$B:$B,MATCH(A1254,SETORES!$A:$A,0))</f>
        <v>Clientes</v>
      </c>
      <c r="H1254" s="42" t="s">
        <v>21</v>
      </c>
    </row>
    <row r="1255" customFormat="false" ht="14.25" hidden="false" customHeight="true" outlineLevel="0" collapsed="false">
      <c r="A1255" s="16" t="s">
        <v>53</v>
      </c>
      <c r="B1255" s="42" t="s">
        <v>155</v>
      </c>
      <c r="C1255" s="42" t="s">
        <v>179</v>
      </c>
      <c r="D1255" s="43"/>
      <c r="E1255" s="44"/>
      <c r="F1255" s="45" t="n">
        <f aca="false">IFERROR(D1255*E1255,0)</f>
        <v>0</v>
      </c>
      <c r="G1255" s="42" t="str">
        <f aca="false">INDEX(SETORES!$B:$B,MATCH(A1255,SETORES!$A:$A,0))</f>
        <v>Clientes</v>
      </c>
      <c r="H1255" s="42" t="s">
        <v>21</v>
      </c>
    </row>
    <row r="1256" customFormat="false" ht="14.25" hidden="false" customHeight="true" outlineLevel="0" collapsed="false">
      <c r="A1256" s="16" t="s">
        <v>52</v>
      </c>
      <c r="B1256" s="42" t="s">
        <v>155</v>
      </c>
      <c r="C1256" s="42" t="s">
        <v>162</v>
      </c>
      <c r="D1256" s="43" t="n">
        <v>1</v>
      </c>
      <c r="E1256" s="44" t="n">
        <v>0.194</v>
      </c>
      <c r="F1256" s="45" t="n">
        <v>0.194</v>
      </c>
      <c r="G1256" s="42" t="str">
        <f aca="false">INDEX(SETORES!$B:$B,MATCH(A1256,SETORES!$A:$A,0))</f>
        <v>Clientes</v>
      </c>
      <c r="H1256" s="42" t="s">
        <v>21</v>
      </c>
    </row>
    <row r="1257" customFormat="false" ht="14.25" hidden="false" customHeight="true" outlineLevel="0" collapsed="false">
      <c r="A1257" s="16" t="s">
        <v>52</v>
      </c>
      <c r="B1257" s="42" t="s">
        <v>155</v>
      </c>
      <c r="C1257" s="42" t="s">
        <v>180</v>
      </c>
      <c r="D1257" s="43" t="n">
        <v>1</v>
      </c>
      <c r="E1257" s="44" t="n">
        <v>597</v>
      </c>
      <c r="F1257" s="45" t="n">
        <f aca="false">IFERROR(D1257*E1257,0)</f>
        <v>597</v>
      </c>
      <c r="G1257" s="42" t="str">
        <f aca="false">INDEX(SETORES!$B:$B,MATCH(A1257,SETORES!$A:$A,0))</f>
        <v>Clientes</v>
      </c>
      <c r="H1257" s="42" t="s">
        <v>21</v>
      </c>
    </row>
    <row r="1258" customFormat="false" ht="14.25" hidden="false" customHeight="true" outlineLevel="0" collapsed="false">
      <c r="A1258" s="16" t="s">
        <v>52</v>
      </c>
      <c r="B1258" s="42" t="s">
        <v>155</v>
      </c>
      <c r="C1258" s="42" t="s">
        <v>165</v>
      </c>
      <c r="D1258" s="43" t="n">
        <v>8</v>
      </c>
      <c r="E1258" s="44" t="n">
        <v>43.54</v>
      </c>
      <c r="F1258" s="45" t="n">
        <f aca="false">IFERROR(D1258*E1258,0)</f>
        <v>348.32</v>
      </c>
      <c r="G1258" s="42" t="s">
        <v>99</v>
      </c>
      <c r="H1258" s="42" t="s">
        <v>21</v>
      </c>
    </row>
    <row r="1259" customFormat="false" ht="14.25" hidden="false" customHeight="true" outlineLevel="0" collapsed="false">
      <c r="A1259" s="50" t="s">
        <v>52</v>
      </c>
      <c r="B1259" s="51" t="s">
        <v>155</v>
      </c>
      <c r="C1259" s="51" t="s">
        <v>166</v>
      </c>
      <c r="D1259" s="52" t="n">
        <v>8</v>
      </c>
      <c r="E1259" s="53" t="n">
        <v>29.74</v>
      </c>
      <c r="F1259" s="54" t="n">
        <f aca="false">IFERROR(D1259*E1259,0)</f>
        <v>237.92</v>
      </c>
      <c r="G1259" s="42" t="s">
        <v>99</v>
      </c>
      <c r="H1259" s="51" t="s">
        <v>21</v>
      </c>
    </row>
    <row r="1260" customFormat="false" ht="14.25" hidden="false" customHeight="true" outlineLevel="0" collapsed="false">
      <c r="A1260" s="50" t="s">
        <v>52</v>
      </c>
      <c r="B1260" s="51" t="s">
        <v>155</v>
      </c>
      <c r="C1260" s="51" t="s">
        <v>167</v>
      </c>
      <c r="D1260" s="52" t="n">
        <v>8</v>
      </c>
      <c r="E1260" s="53" t="n">
        <v>47.66</v>
      </c>
      <c r="F1260" s="54" t="n">
        <f aca="false">IFERROR(D1260*E1260,0)</f>
        <v>381.28</v>
      </c>
      <c r="G1260" s="51" t="s">
        <v>99</v>
      </c>
      <c r="H1260" s="51" t="s">
        <v>21</v>
      </c>
    </row>
    <row r="1261" customFormat="false" ht="14.25" hidden="false" customHeight="true" outlineLevel="0" collapsed="false">
      <c r="A1261" s="50" t="s">
        <v>52</v>
      </c>
      <c r="B1261" s="51" t="s">
        <v>155</v>
      </c>
      <c r="C1261" s="51" t="s">
        <v>168</v>
      </c>
      <c r="D1261" s="52" t="n">
        <v>1</v>
      </c>
      <c r="E1261" s="53" t="n">
        <v>66.184</v>
      </c>
      <c r="F1261" s="54" t="n">
        <v>66.184</v>
      </c>
      <c r="G1261" s="51" t="str">
        <f aca="false">INDEX(SETORES!$B:$B,MATCH(A1261,SETORES!$A:$A,0))</f>
        <v>Clientes</v>
      </c>
      <c r="H1261" s="51" t="s">
        <v>21</v>
      </c>
    </row>
    <row r="1262" customFormat="false" ht="14.25" hidden="false" customHeight="true" outlineLevel="0" collapsed="false">
      <c r="A1262" s="50" t="s">
        <v>52</v>
      </c>
      <c r="B1262" s="51" t="s">
        <v>157</v>
      </c>
      <c r="C1262" s="51" t="s">
        <v>176</v>
      </c>
      <c r="D1262" s="52" t="n">
        <v>1</v>
      </c>
      <c r="E1262" s="53" t="n">
        <v>68</v>
      </c>
      <c r="F1262" s="54" t="n">
        <f aca="false">IFERROR(D1262*E1262,0)</f>
        <v>68</v>
      </c>
      <c r="G1262" s="51" t="str">
        <f aca="false">INDEX(SETORES!$B:$B,MATCH(A1262,SETORES!$A:$A,0))</f>
        <v>Clientes</v>
      </c>
      <c r="H1262" s="51" t="s">
        <v>21</v>
      </c>
    </row>
    <row r="1263" customFormat="false" ht="14.25" hidden="false" customHeight="true" outlineLevel="0" collapsed="false">
      <c r="A1263" s="16" t="s">
        <v>52</v>
      </c>
      <c r="B1263" s="42" t="s">
        <v>155</v>
      </c>
      <c r="C1263" s="42" t="s">
        <v>169</v>
      </c>
      <c r="D1263" s="43" t="n">
        <v>1</v>
      </c>
      <c r="E1263" s="44" t="n">
        <v>26304.95</v>
      </c>
      <c r="F1263" s="45" t="n">
        <f aca="false">IFERROR(E1263,0)</f>
        <v>26304.95</v>
      </c>
      <c r="G1263" s="42" t="str">
        <f aca="false">INDEX(SETORES!$B:$B,MATCH(A1263,SETORES!$A:$A,0))</f>
        <v>Clientes</v>
      </c>
      <c r="H1263" s="42" t="s">
        <v>21</v>
      </c>
    </row>
    <row r="1264" customFormat="false" ht="14.25" hidden="false" customHeight="true" outlineLevel="0" collapsed="false">
      <c r="A1264" s="16" t="s">
        <v>52</v>
      </c>
      <c r="B1264" s="42" t="s">
        <v>155</v>
      </c>
      <c r="C1264" s="42" t="s">
        <v>170</v>
      </c>
      <c r="D1264" s="43" t="n">
        <v>8</v>
      </c>
      <c r="E1264" s="44" t="n">
        <v>9.92</v>
      </c>
      <c r="F1264" s="45" t="n">
        <f aca="false">IFERROR(D1264*E1264,0)</f>
        <v>79.36</v>
      </c>
      <c r="G1264" s="42" t="str">
        <f aca="false">INDEX(SETORES!$B:$B,MATCH(A1264,SETORES!$A:$A,0))</f>
        <v>Clientes</v>
      </c>
      <c r="H1264" s="42" t="s">
        <v>21</v>
      </c>
    </row>
    <row r="1265" customFormat="false" ht="14.25" hidden="false" customHeight="true" outlineLevel="0" collapsed="false">
      <c r="A1265" s="50" t="s">
        <v>52</v>
      </c>
      <c r="B1265" s="51" t="s">
        <v>155</v>
      </c>
      <c r="C1265" s="51" t="s">
        <v>181</v>
      </c>
      <c r="D1265" s="52" t="n">
        <v>1</v>
      </c>
      <c r="E1265" s="53" t="n">
        <v>1.678688</v>
      </c>
      <c r="F1265" s="54" t="n">
        <f aca="false">IFERROR(D1265*E1265,0)</f>
        <v>1.678688</v>
      </c>
      <c r="G1265" s="51" t="str">
        <f aca="false">INDEX(SETORES!$B:$B,MATCH(A1265,SETORES!$A:$A,0))</f>
        <v>Clientes</v>
      </c>
      <c r="H1265" s="51" t="s">
        <v>21</v>
      </c>
    </row>
    <row r="1266" customFormat="false" ht="14.25" hidden="false" customHeight="true" outlineLevel="0" collapsed="false">
      <c r="A1266" s="50" t="s">
        <v>52</v>
      </c>
      <c r="B1266" s="51" t="s">
        <v>155</v>
      </c>
      <c r="C1266" s="51" t="s">
        <v>172</v>
      </c>
      <c r="D1266" s="52" t="n">
        <v>2</v>
      </c>
      <c r="E1266" s="53" t="n">
        <v>50</v>
      </c>
      <c r="F1266" s="54" t="n">
        <f aca="false">IFERROR(D1266*E1266,0)</f>
        <v>100</v>
      </c>
      <c r="G1266" s="51" t="str">
        <f aca="false">INDEX(SETORES!$B:$B,MATCH(A1266,SETORES!$A:$A,0))</f>
        <v>Clientes</v>
      </c>
      <c r="H1266" s="51" t="s">
        <v>21</v>
      </c>
    </row>
    <row r="1267" customFormat="false" ht="14.25" hidden="false" customHeight="true" outlineLevel="0" collapsed="false">
      <c r="A1267" s="50" t="s">
        <v>52</v>
      </c>
      <c r="B1267" s="51" t="s">
        <v>155</v>
      </c>
      <c r="C1267" s="51" t="s">
        <v>177</v>
      </c>
      <c r="D1267" s="52" t="n">
        <v>8</v>
      </c>
      <c r="E1267" s="53" t="n">
        <v>0.9851</v>
      </c>
      <c r="F1267" s="54" t="n">
        <v>7.8808</v>
      </c>
      <c r="G1267" s="51" t="str">
        <f aca="false">INDEX(SETORES!$B:$B,MATCH(A1267,SETORES!$A:$A,0))</f>
        <v>Clientes</v>
      </c>
      <c r="H1267" s="51" t="s">
        <v>21</v>
      </c>
    </row>
    <row r="1268" customFormat="false" ht="14.25" hidden="false" customHeight="true" outlineLevel="0" collapsed="false">
      <c r="A1268" s="16" t="s">
        <v>52</v>
      </c>
      <c r="B1268" s="42" t="s">
        <v>155</v>
      </c>
      <c r="C1268" s="42" t="s">
        <v>178</v>
      </c>
      <c r="D1268" s="43" t="n">
        <v>1</v>
      </c>
      <c r="E1268" s="44" t="n">
        <v>239.527869</v>
      </c>
      <c r="F1268" s="45" t="n">
        <v>239.527869</v>
      </c>
      <c r="G1268" s="42" t="str">
        <f aca="false">INDEX(SETORES!$B:$B,MATCH(A1268,SETORES!$A:$A,0))</f>
        <v>Clientes</v>
      </c>
      <c r="H1268" s="42" t="s">
        <v>21</v>
      </c>
    </row>
    <row r="1269" customFormat="false" ht="14.25" hidden="false" customHeight="true" outlineLevel="0" collapsed="false">
      <c r="A1269" s="16" t="s">
        <v>52</v>
      </c>
      <c r="B1269" s="42" t="s">
        <v>157</v>
      </c>
      <c r="C1269" s="42" t="s">
        <v>158</v>
      </c>
      <c r="D1269" s="43"/>
      <c r="E1269" s="44"/>
      <c r="F1269" s="45" t="n">
        <f aca="false">IFERROR(D1269*E1269,0)</f>
        <v>0</v>
      </c>
      <c r="G1269" s="42" t="str">
        <f aca="false">INDEX(SETORES!$B:$B,MATCH(A1269,SETORES!$A:$A,0))</f>
        <v>Clientes</v>
      </c>
      <c r="H1269" s="42" t="s">
        <v>21</v>
      </c>
    </row>
    <row r="1270" customFormat="false" ht="14.25" hidden="false" customHeight="true" outlineLevel="0" collapsed="false">
      <c r="A1270" s="16" t="s">
        <v>52</v>
      </c>
      <c r="B1270" s="42" t="s">
        <v>155</v>
      </c>
      <c r="C1270" s="42" t="s">
        <v>182</v>
      </c>
      <c r="D1270" s="43" t="n">
        <v>1</v>
      </c>
      <c r="E1270" s="44" t="n">
        <v>442.742296</v>
      </c>
      <c r="F1270" s="45" t="n">
        <f aca="false">IFERROR(D1270*E1270,0)</f>
        <v>442.742296</v>
      </c>
      <c r="G1270" s="42" t="str">
        <f aca="false">INDEX(SETORES!$B:$B,MATCH(A1270,SETORES!$A:$A,0))</f>
        <v>Clientes</v>
      </c>
      <c r="H1270" s="42" t="s">
        <v>21</v>
      </c>
    </row>
    <row r="1271" customFormat="false" ht="14.25" hidden="false" customHeight="true" outlineLevel="0" collapsed="false">
      <c r="A1271" s="50" t="s">
        <v>52</v>
      </c>
      <c r="B1271" s="51" t="s">
        <v>155</v>
      </c>
      <c r="C1271" s="51" t="s">
        <v>173</v>
      </c>
      <c r="D1271" s="52" t="n">
        <v>8</v>
      </c>
      <c r="E1271" s="53" t="n">
        <v>2.05</v>
      </c>
      <c r="F1271" s="54" t="n">
        <f aca="false">IFERROR(D1271*E1271,0)</f>
        <v>16.4</v>
      </c>
      <c r="G1271" s="51" t="str">
        <f aca="false">INDEX(SETORES!$B:$B,MATCH(A1271,SETORES!$A:$A,0))</f>
        <v>Clientes</v>
      </c>
      <c r="H1271" s="51" t="s">
        <v>21</v>
      </c>
    </row>
    <row r="1272" customFormat="false" ht="14.25" hidden="false" customHeight="true" outlineLevel="0" collapsed="false">
      <c r="A1272" s="50" t="s">
        <v>52</v>
      </c>
      <c r="B1272" s="51" t="s">
        <v>155</v>
      </c>
      <c r="C1272" s="51" t="s">
        <v>179</v>
      </c>
      <c r="D1272" s="52"/>
      <c r="E1272" s="53"/>
      <c r="F1272" s="54" t="n">
        <f aca="false">IFERROR(D1272*E1272,0)</f>
        <v>0</v>
      </c>
      <c r="G1272" s="51" t="str">
        <f aca="false">INDEX(SETORES!$B:$B,MATCH(A1272,SETORES!$A:$A,0))</f>
        <v>Clientes</v>
      </c>
      <c r="H1272" s="51" t="s">
        <v>21</v>
      </c>
    </row>
    <row r="1273" customFormat="false" ht="14.25" hidden="false" customHeight="true" outlineLevel="0" collapsed="false">
      <c r="A1273" s="16" t="s">
        <v>51</v>
      </c>
      <c r="B1273" s="42" t="s">
        <v>155</v>
      </c>
      <c r="C1273" s="42" t="s">
        <v>162</v>
      </c>
      <c r="D1273" s="43" t="n">
        <v>1</v>
      </c>
      <c r="E1273" s="44" t="n">
        <v>0.3152</v>
      </c>
      <c r="F1273" s="45" t="n">
        <v>0.3152</v>
      </c>
      <c r="G1273" s="42" t="str">
        <f aca="false">INDEX(SETORES!$B:$B,MATCH(A1273,SETORES!$A:$A,0))</f>
        <v>Clientes</v>
      </c>
      <c r="H1273" s="42" t="s">
        <v>21</v>
      </c>
    </row>
    <row r="1274" customFormat="false" ht="14.25" hidden="false" customHeight="true" outlineLevel="0" collapsed="false">
      <c r="A1274" s="16" t="s">
        <v>51</v>
      </c>
      <c r="B1274" s="42" t="s">
        <v>155</v>
      </c>
      <c r="C1274" s="42" t="s">
        <v>180</v>
      </c>
      <c r="D1274" s="43" t="n">
        <v>1</v>
      </c>
      <c r="E1274" s="44" t="n">
        <v>746.25</v>
      </c>
      <c r="F1274" s="45" t="n">
        <f aca="false">IFERROR(D1274*E1274,0)</f>
        <v>746.25</v>
      </c>
      <c r="G1274" s="42" t="str">
        <f aca="false">INDEX(SETORES!$B:$B,MATCH(A1274,SETORES!$A:$A,0))</f>
        <v>Clientes</v>
      </c>
      <c r="H1274" s="42" t="s">
        <v>21</v>
      </c>
    </row>
    <row r="1275" customFormat="false" ht="14.25" hidden="false" customHeight="true" outlineLevel="0" collapsed="false">
      <c r="A1275" s="16" t="s">
        <v>51</v>
      </c>
      <c r="B1275" s="42" t="s">
        <v>155</v>
      </c>
      <c r="C1275" s="42" t="s">
        <v>165</v>
      </c>
      <c r="D1275" s="43" t="n">
        <v>13</v>
      </c>
      <c r="E1275" s="44" t="n">
        <v>43.54</v>
      </c>
      <c r="F1275" s="45" t="n">
        <v>566.02</v>
      </c>
      <c r="G1275" s="42" t="s">
        <v>99</v>
      </c>
      <c r="H1275" s="42" t="s">
        <v>21</v>
      </c>
    </row>
    <row r="1276" customFormat="false" ht="14.25" hidden="false" customHeight="true" outlineLevel="0" collapsed="false">
      <c r="A1276" s="50" t="s">
        <v>51</v>
      </c>
      <c r="B1276" s="51" t="s">
        <v>155</v>
      </c>
      <c r="C1276" s="51" t="s">
        <v>166</v>
      </c>
      <c r="D1276" s="52" t="n">
        <v>13</v>
      </c>
      <c r="E1276" s="53" t="n">
        <v>29.74</v>
      </c>
      <c r="F1276" s="54" t="n">
        <v>386.62</v>
      </c>
      <c r="G1276" s="42" t="s">
        <v>99</v>
      </c>
      <c r="H1276" s="51" t="s">
        <v>21</v>
      </c>
    </row>
    <row r="1277" customFormat="false" ht="14.25" hidden="false" customHeight="true" outlineLevel="0" collapsed="false">
      <c r="A1277" s="50" t="s">
        <v>51</v>
      </c>
      <c r="B1277" s="51" t="s">
        <v>155</v>
      </c>
      <c r="C1277" s="51" t="s">
        <v>167</v>
      </c>
      <c r="D1277" s="52" t="n">
        <v>13</v>
      </c>
      <c r="E1277" s="53" t="n">
        <v>47.66</v>
      </c>
      <c r="F1277" s="54" t="n">
        <v>619.58</v>
      </c>
      <c r="G1277" s="51" t="s">
        <v>99</v>
      </c>
      <c r="H1277" s="51" t="s">
        <v>21</v>
      </c>
    </row>
    <row r="1278" customFormat="false" ht="14.25" hidden="false" customHeight="true" outlineLevel="0" collapsed="false">
      <c r="A1278" s="50" t="s">
        <v>51</v>
      </c>
      <c r="B1278" s="51" t="s">
        <v>155</v>
      </c>
      <c r="C1278" s="51" t="s">
        <v>168</v>
      </c>
      <c r="D1278" s="52" t="n">
        <v>1</v>
      </c>
      <c r="E1278" s="53" t="n">
        <v>107.549</v>
      </c>
      <c r="F1278" s="54" t="n">
        <v>107.549</v>
      </c>
      <c r="G1278" s="51" t="str">
        <f aca="false">INDEX(SETORES!$B:$B,MATCH(A1278,SETORES!$A:$A,0))</f>
        <v>Clientes</v>
      </c>
      <c r="H1278" s="51" t="s">
        <v>21</v>
      </c>
    </row>
    <row r="1279" customFormat="false" ht="14.25" hidden="false" customHeight="true" outlineLevel="0" collapsed="false">
      <c r="A1279" s="16" t="s">
        <v>51</v>
      </c>
      <c r="B1279" s="42" t="s">
        <v>157</v>
      </c>
      <c r="C1279" s="42" t="s">
        <v>175</v>
      </c>
      <c r="D1279" s="43" t="n">
        <v>2</v>
      </c>
      <c r="E1279" s="44" t="n">
        <v>68</v>
      </c>
      <c r="F1279" s="45" t="n">
        <f aca="false">IFERROR(D1279*E1279,0)</f>
        <v>136</v>
      </c>
      <c r="G1279" s="42" t="str">
        <f aca="false">INDEX(SETORES!$B:$B,MATCH(A1279,SETORES!$A:$A,0))</f>
        <v>Clientes</v>
      </c>
      <c r="H1279" s="42" t="s">
        <v>21</v>
      </c>
    </row>
    <row r="1280" customFormat="false" ht="14.25" hidden="false" customHeight="true" outlineLevel="0" collapsed="false">
      <c r="A1280" s="16" t="s">
        <v>51</v>
      </c>
      <c r="B1280" s="42" t="s">
        <v>155</v>
      </c>
      <c r="C1280" s="42" t="s">
        <v>169</v>
      </c>
      <c r="D1280" s="43" t="n">
        <v>1</v>
      </c>
      <c r="E1280" s="44" t="n">
        <v>130589.439786667</v>
      </c>
      <c r="F1280" s="45" t="n">
        <v>130589.439786667</v>
      </c>
      <c r="G1280" s="42" t="str">
        <f aca="false">INDEX(SETORES!$B:$B,MATCH(A1280,SETORES!$A:$A,0))</f>
        <v>Clientes</v>
      </c>
      <c r="H1280" s="42" t="s">
        <v>21</v>
      </c>
    </row>
    <row r="1281" customFormat="false" ht="14.25" hidden="false" customHeight="true" outlineLevel="0" collapsed="false">
      <c r="A1281" s="16" t="s">
        <v>51</v>
      </c>
      <c r="B1281" s="42" t="s">
        <v>155</v>
      </c>
      <c r="C1281" s="42" t="s">
        <v>170</v>
      </c>
      <c r="D1281" s="43" t="n">
        <v>13</v>
      </c>
      <c r="E1281" s="44" t="n">
        <v>9.92</v>
      </c>
      <c r="F1281" s="45" t="n">
        <v>128.96</v>
      </c>
      <c r="G1281" s="42" t="str">
        <f aca="false">INDEX(SETORES!$B:$B,MATCH(A1281,SETORES!$A:$A,0))</f>
        <v>Clientes</v>
      </c>
      <c r="H1281" s="42" t="s">
        <v>21</v>
      </c>
    </row>
    <row r="1282" customFormat="false" ht="14.25" hidden="false" customHeight="true" outlineLevel="0" collapsed="false">
      <c r="A1282" s="50" t="s">
        <v>51</v>
      </c>
      <c r="B1282" s="51" t="s">
        <v>155</v>
      </c>
      <c r="C1282" s="51" t="s">
        <v>181</v>
      </c>
      <c r="D1282" s="52" t="n">
        <v>1</v>
      </c>
      <c r="E1282" s="53" t="n">
        <v>2.727868</v>
      </c>
      <c r="F1282" s="54" t="n">
        <f aca="false">IFERROR(D1282*E1282,0)</f>
        <v>2.727868</v>
      </c>
      <c r="G1282" s="51" t="str">
        <f aca="false">INDEX(SETORES!$B:$B,MATCH(A1282,SETORES!$A:$A,0))</f>
        <v>Clientes</v>
      </c>
      <c r="H1282" s="51" t="s">
        <v>21</v>
      </c>
    </row>
    <row r="1283" customFormat="false" ht="14.25" hidden="false" customHeight="true" outlineLevel="0" collapsed="false">
      <c r="A1283" s="50" t="s">
        <v>51</v>
      </c>
      <c r="B1283" s="51" t="s">
        <v>155</v>
      </c>
      <c r="C1283" s="51" t="s">
        <v>172</v>
      </c>
      <c r="D1283" s="52" t="n">
        <v>14</v>
      </c>
      <c r="E1283" s="53" t="n">
        <v>50</v>
      </c>
      <c r="F1283" s="54" t="n">
        <f aca="false">IFERROR(D1283*E1283,0)</f>
        <v>700</v>
      </c>
      <c r="G1283" s="51" t="str">
        <f aca="false">INDEX(SETORES!$B:$B,MATCH(A1283,SETORES!$A:$A,0))</f>
        <v>Clientes</v>
      </c>
      <c r="H1283" s="51" t="s">
        <v>21</v>
      </c>
    </row>
    <row r="1284" customFormat="false" ht="14.25" hidden="false" customHeight="true" outlineLevel="0" collapsed="false">
      <c r="A1284" s="50" t="s">
        <v>51</v>
      </c>
      <c r="B1284" s="51" t="s">
        <v>155</v>
      </c>
      <c r="C1284" s="51" t="s">
        <v>177</v>
      </c>
      <c r="D1284" s="52" t="n">
        <v>13</v>
      </c>
      <c r="E1284" s="53" t="n">
        <v>0.9851</v>
      </c>
      <c r="F1284" s="54" t="n">
        <v>12.8063</v>
      </c>
      <c r="G1284" s="51" t="str">
        <f aca="false">INDEX(SETORES!$B:$B,MATCH(A1284,SETORES!$A:$A,0))</f>
        <v>Clientes</v>
      </c>
      <c r="H1284" s="51" t="s">
        <v>21</v>
      </c>
    </row>
    <row r="1285" customFormat="false" ht="14.25" hidden="false" customHeight="true" outlineLevel="0" collapsed="false">
      <c r="A1285" s="16" t="s">
        <v>51</v>
      </c>
      <c r="B1285" s="42" t="s">
        <v>155</v>
      </c>
      <c r="C1285" s="42" t="s">
        <v>178</v>
      </c>
      <c r="D1285" s="43" t="n">
        <v>1</v>
      </c>
      <c r="E1285" s="44" t="n">
        <v>389.232787</v>
      </c>
      <c r="F1285" s="45" t="n">
        <v>389.232787</v>
      </c>
      <c r="G1285" s="42" t="str">
        <f aca="false">INDEX(SETORES!$B:$B,MATCH(A1285,SETORES!$A:$A,0))</f>
        <v>Clientes</v>
      </c>
      <c r="H1285" s="42" t="s">
        <v>21</v>
      </c>
    </row>
    <row r="1286" customFormat="false" ht="14.25" hidden="false" customHeight="true" outlineLevel="0" collapsed="false">
      <c r="A1286" s="50" t="s">
        <v>51</v>
      </c>
      <c r="B1286" s="51" t="s">
        <v>157</v>
      </c>
      <c r="C1286" s="51" t="s">
        <v>158</v>
      </c>
      <c r="D1286" s="52" t="n">
        <v>1</v>
      </c>
      <c r="E1286" s="53" t="n">
        <v>5737.4</v>
      </c>
      <c r="F1286" s="54" t="n">
        <f aca="false">IFERROR(D1286*E1286,0)</f>
        <v>5737.4</v>
      </c>
      <c r="G1286" s="51" t="str">
        <f aca="false">INDEX(SETORES!$B:$B,MATCH(A1286,SETORES!$A:$A,0))</f>
        <v>Clientes</v>
      </c>
      <c r="H1286" s="51" t="s">
        <v>21</v>
      </c>
    </row>
    <row r="1287" customFormat="false" ht="14.25" hidden="false" customHeight="true" outlineLevel="0" collapsed="false">
      <c r="A1287" s="50" t="s">
        <v>51</v>
      </c>
      <c r="B1287" s="51" t="s">
        <v>155</v>
      </c>
      <c r="C1287" s="51" t="s">
        <v>182</v>
      </c>
      <c r="D1287" s="52" t="n">
        <v>1</v>
      </c>
      <c r="E1287" s="53" t="n">
        <v>719.456231</v>
      </c>
      <c r="F1287" s="54" t="n">
        <f aca="false">IFERROR(D1287*E1287,0)</f>
        <v>719.456231</v>
      </c>
      <c r="G1287" s="51" t="str">
        <f aca="false">INDEX(SETORES!$B:$B,MATCH(A1287,SETORES!$A:$A,0))</f>
        <v>Clientes</v>
      </c>
      <c r="H1287" s="51" t="s">
        <v>21</v>
      </c>
    </row>
    <row r="1288" customFormat="false" ht="14.25" hidden="false" customHeight="true" outlineLevel="0" collapsed="false">
      <c r="A1288" s="50" t="s">
        <v>51</v>
      </c>
      <c r="B1288" s="51" t="s">
        <v>155</v>
      </c>
      <c r="C1288" s="51" t="s">
        <v>173</v>
      </c>
      <c r="D1288" s="52" t="n">
        <v>13</v>
      </c>
      <c r="E1288" s="53" t="n">
        <v>2.05</v>
      </c>
      <c r="F1288" s="54" t="n">
        <v>26.65</v>
      </c>
      <c r="G1288" s="51" t="str">
        <f aca="false">INDEX(SETORES!$B:$B,MATCH(A1288,SETORES!$A:$A,0))</f>
        <v>Clientes</v>
      </c>
      <c r="H1288" s="51" t="s">
        <v>21</v>
      </c>
    </row>
    <row r="1289" customFormat="false" ht="14.25" hidden="false" customHeight="true" outlineLevel="0" collapsed="false">
      <c r="A1289" s="50" t="s">
        <v>51</v>
      </c>
      <c r="B1289" s="51" t="s">
        <v>155</v>
      </c>
      <c r="C1289" s="51" t="s">
        <v>179</v>
      </c>
      <c r="D1289" s="52"/>
      <c r="E1289" s="53"/>
      <c r="F1289" s="54" t="n">
        <f aca="false">IFERROR(D1289*E1289,0)</f>
        <v>0</v>
      </c>
      <c r="G1289" s="51" t="str">
        <f aca="false">INDEX(SETORES!$B:$B,MATCH(A1289,SETORES!$A:$A,0))</f>
        <v>Clientes</v>
      </c>
      <c r="H1289" s="51" t="s">
        <v>21</v>
      </c>
    </row>
    <row r="1290" customFormat="false" ht="14.25" hidden="false" customHeight="true" outlineLevel="0" collapsed="false">
      <c r="A1290" s="50" t="s">
        <v>87</v>
      </c>
      <c r="B1290" s="51" t="s">
        <v>155</v>
      </c>
      <c r="C1290" s="51" t="s">
        <v>162</v>
      </c>
      <c r="D1290" s="52" t="n">
        <v>1</v>
      </c>
      <c r="E1290" s="53" t="n">
        <v>0.1697</v>
      </c>
      <c r="F1290" s="54" t="n">
        <v>0.1697</v>
      </c>
      <c r="G1290" s="51" t="s">
        <v>97</v>
      </c>
      <c r="H1290" s="51" t="s">
        <v>21</v>
      </c>
    </row>
    <row r="1291" customFormat="false" ht="14.25" hidden="false" customHeight="true" outlineLevel="0" collapsed="false">
      <c r="A1291" s="16" t="s">
        <v>87</v>
      </c>
      <c r="B1291" s="42" t="s">
        <v>155</v>
      </c>
      <c r="C1291" s="42" t="s">
        <v>163</v>
      </c>
      <c r="D1291" s="43" t="n">
        <v>5</v>
      </c>
      <c r="E1291" s="44" t="n">
        <v>30</v>
      </c>
      <c r="F1291" s="45" t="n">
        <f aca="false">IFERROR(D1291*E1291,0)</f>
        <v>150</v>
      </c>
      <c r="G1291" s="42" t="str">
        <f aca="false">INDEX(SETORES!$B:$B,MATCH(A1291,SETORES!$A:$A,0))</f>
        <v>Clientes</v>
      </c>
      <c r="H1291" s="42" t="s">
        <v>21</v>
      </c>
    </row>
    <row r="1292" customFormat="false" ht="14.25" hidden="false" customHeight="true" outlineLevel="0" collapsed="false">
      <c r="A1292" s="16" t="s">
        <v>87</v>
      </c>
      <c r="B1292" s="42" t="s">
        <v>155</v>
      </c>
      <c r="C1292" s="42" t="s">
        <v>165</v>
      </c>
      <c r="D1292" s="43" t="n">
        <v>7</v>
      </c>
      <c r="E1292" s="44" t="n">
        <v>43.54</v>
      </c>
      <c r="F1292" s="45" t="n">
        <f aca="false">IFERROR(D1292*E1292,0)</f>
        <v>304.78</v>
      </c>
      <c r="G1292" s="42" t="s">
        <v>99</v>
      </c>
      <c r="H1292" s="42" t="s">
        <v>21</v>
      </c>
    </row>
    <row r="1293" customFormat="false" ht="14.25" hidden="false" customHeight="true" outlineLevel="0" collapsed="false">
      <c r="A1293" s="50" t="s">
        <v>87</v>
      </c>
      <c r="B1293" s="51" t="s">
        <v>155</v>
      </c>
      <c r="C1293" s="51" t="s">
        <v>166</v>
      </c>
      <c r="D1293" s="52" t="n">
        <v>7</v>
      </c>
      <c r="E1293" s="53" t="n">
        <v>29.74</v>
      </c>
      <c r="F1293" s="54" t="n">
        <f aca="false">IFERROR(D1293*E1293,0)</f>
        <v>208.18</v>
      </c>
      <c r="G1293" s="42" t="s">
        <v>99</v>
      </c>
      <c r="H1293" s="51" t="s">
        <v>21</v>
      </c>
    </row>
    <row r="1294" customFormat="false" ht="14.25" hidden="false" customHeight="true" outlineLevel="0" collapsed="false">
      <c r="A1294" s="50" t="s">
        <v>87</v>
      </c>
      <c r="B1294" s="51" t="s">
        <v>155</v>
      </c>
      <c r="C1294" s="51" t="s">
        <v>167</v>
      </c>
      <c r="D1294" s="52" t="n">
        <v>7</v>
      </c>
      <c r="E1294" s="53" t="n">
        <v>47.66</v>
      </c>
      <c r="F1294" s="54" t="n">
        <f aca="false">IFERROR(D1294*E1294,0)</f>
        <v>333.62</v>
      </c>
      <c r="G1294" s="51" t="s">
        <v>99</v>
      </c>
      <c r="H1294" s="51" t="s">
        <v>21</v>
      </c>
    </row>
    <row r="1295" customFormat="false" ht="14.25" hidden="false" customHeight="true" outlineLevel="0" collapsed="false">
      <c r="A1295" s="16" t="s">
        <v>87</v>
      </c>
      <c r="B1295" s="42" t="s">
        <v>155</v>
      </c>
      <c r="C1295" s="42" t="s">
        <v>168</v>
      </c>
      <c r="D1295" s="43" t="n">
        <v>1</v>
      </c>
      <c r="E1295" s="44" t="n">
        <v>57.911</v>
      </c>
      <c r="F1295" s="45" t="n">
        <v>57.911</v>
      </c>
      <c r="G1295" s="42" t="s">
        <v>97</v>
      </c>
      <c r="H1295" s="42" t="s">
        <v>21</v>
      </c>
    </row>
    <row r="1296" customFormat="false" ht="14.25" hidden="false" customHeight="true" outlineLevel="0" collapsed="false">
      <c r="A1296" s="50" t="s">
        <v>87</v>
      </c>
      <c r="B1296" s="51" t="s">
        <v>157</v>
      </c>
      <c r="C1296" s="51" t="s">
        <v>175</v>
      </c>
      <c r="D1296" s="52" t="n">
        <v>4</v>
      </c>
      <c r="E1296" s="53" t="n">
        <v>45</v>
      </c>
      <c r="F1296" s="54" t="n">
        <f aca="false">IFERROR(D1296*E1296,0)</f>
        <v>180</v>
      </c>
      <c r="G1296" s="51" t="str">
        <f aca="false">INDEX(SETORES!$B:$B,MATCH(A1296,SETORES!$A:$A,0))</f>
        <v>Clientes</v>
      </c>
      <c r="H1296" s="51" t="s">
        <v>21</v>
      </c>
    </row>
    <row r="1297" customFormat="false" ht="14.25" hidden="false" customHeight="true" outlineLevel="0" collapsed="false">
      <c r="A1297" s="50" t="s">
        <v>87</v>
      </c>
      <c r="B1297" s="51" t="s">
        <v>155</v>
      </c>
      <c r="C1297" s="51" t="s">
        <v>169</v>
      </c>
      <c r="D1297" s="52" t="n">
        <v>1</v>
      </c>
      <c r="E1297" s="53" t="n">
        <v>32250.43</v>
      </c>
      <c r="F1297" s="54" t="n">
        <f aca="false">IFERROR(E1297,0)</f>
        <v>32250.43</v>
      </c>
      <c r="G1297" s="51" t="str">
        <f aca="false">INDEX(SETORES!$B:$B,MATCH(A1297,SETORES!$A:$A,0))</f>
        <v>Clientes</v>
      </c>
      <c r="H1297" s="51" t="s">
        <v>21</v>
      </c>
    </row>
    <row r="1298" customFormat="false" ht="14.25" hidden="false" customHeight="true" outlineLevel="0" collapsed="false">
      <c r="A1298" s="16" t="s">
        <v>87</v>
      </c>
      <c r="B1298" s="42" t="s">
        <v>155</v>
      </c>
      <c r="C1298" s="42" t="s">
        <v>170</v>
      </c>
      <c r="D1298" s="43" t="n">
        <v>7</v>
      </c>
      <c r="E1298" s="44" t="n">
        <v>9.92</v>
      </c>
      <c r="F1298" s="45" t="n">
        <f aca="false">IFERROR(D1298*E1298,0)</f>
        <v>69.44</v>
      </c>
      <c r="G1298" s="42" t="str">
        <f aca="false">INDEX(SETORES!$B:$B,MATCH(A1298,SETORES!$A:$A,0))</f>
        <v>Clientes</v>
      </c>
      <c r="H1298" s="42" t="s">
        <v>21</v>
      </c>
    </row>
    <row r="1299" customFormat="false" ht="14.25" hidden="false" customHeight="true" outlineLevel="0" collapsed="false">
      <c r="A1299" s="16" t="s">
        <v>87</v>
      </c>
      <c r="B1299" s="42" t="s">
        <v>155</v>
      </c>
      <c r="C1299" s="42" t="s">
        <v>183</v>
      </c>
      <c r="D1299" s="43" t="n">
        <v>1</v>
      </c>
      <c r="E1299" s="44" t="n">
        <v>6.862744</v>
      </c>
      <c r="F1299" s="45" t="n">
        <f aca="false">IFERROR(D1299*E1299,0)</f>
        <v>6.862744</v>
      </c>
      <c r="G1299" s="42" t="str">
        <f aca="false">INDEX(SETORES!$B:$B,MATCH(A1299,SETORES!$A:$A,0))</f>
        <v>Clientes</v>
      </c>
      <c r="H1299" s="42" t="s">
        <v>21</v>
      </c>
    </row>
    <row r="1300" customFormat="false" ht="14.25" hidden="false" customHeight="true" outlineLevel="0" collapsed="false">
      <c r="A1300" s="16" t="s">
        <v>87</v>
      </c>
      <c r="B1300" s="42" t="s">
        <v>155</v>
      </c>
      <c r="C1300" s="42" t="s">
        <v>172</v>
      </c>
      <c r="D1300" s="43" t="n">
        <v>12</v>
      </c>
      <c r="E1300" s="44" t="n">
        <v>66.67</v>
      </c>
      <c r="F1300" s="45" t="n">
        <f aca="false">IFERROR(D1300*E1300,0)</f>
        <v>800.04</v>
      </c>
      <c r="G1300" s="42" t="str">
        <f aca="false">INDEX(SETORES!$B:$B,MATCH(A1300,SETORES!$A:$A,0))</f>
        <v>Clientes</v>
      </c>
      <c r="H1300" s="42" t="s">
        <v>21</v>
      </c>
    </row>
    <row r="1301" customFormat="false" ht="14.25" hidden="false" customHeight="true" outlineLevel="0" collapsed="false">
      <c r="A1301" s="16" t="s">
        <v>87</v>
      </c>
      <c r="B1301" s="42" t="s">
        <v>155</v>
      </c>
      <c r="C1301" s="42" t="s">
        <v>178</v>
      </c>
      <c r="D1301" s="43" t="n">
        <v>1</v>
      </c>
      <c r="E1301" s="44" t="n">
        <v>74.08</v>
      </c>
      <c r="F1301" s="45" t="n">
        <v>74.08</v>
      </c>
      <c r="G1301" s="42" t="str">
        <f aca="false">INDEX(SETORES!$B:$B,MATCH(A1301,SETORES!$A:$A,0))</f>
        <v>Clientes</v>
      </c>
      <c r="H1301" s="42" t="s">
        <v>21</v>
      </c>
    </row>
    <row r="1302" customFormat="false" ht="14.25" hidden="false" customHeight="true" outlineLevel="0" collapsed="false">
      <c r="A1302" s="50" t="s">
        <v>87</v>
      </c>
      <c r="B1302" s="51" t="s">
        <v>155</v>
      </c>
      <c r="C1302" s="51" t="s">
        <v>173</v>
      </c>
      <c r="D1302" s="52" t="n">
        <v>7</v>
      </c>
      <c r="E1302" s="53" t="n">
        <v>2.05</v>
      </c>
      <c r="F1302" s="54" t="n">
        <f aca="false">IFERROR(D1302*E1302,0)</f>
        <v>14.35</v>
      </c>
      <c r="G1302" s="51" t="str">
        <f aca="false">INDEX(SETORES!$B:$B,MATCH(A1302,SETORES!$A:$A,0))</f>
        <v>Clientes</v>
      </c>
      <c r="H1302" s="51" t="s">
        <v>21</v>
      </c>
    </row>
    <row r="1303" customFormat="false" ht="14.25" hidden="false" customHeight="true" outlineLevel="0" collapsed="false">
      <c r="A1303" s="16" t="s">
        <v>55</v>
      </c>
      <c r="B1303" s="42" t="s">
        <v>155</v>
      </c>
      <c r="C1303" s="42" t="s">
        <v>156</v>
      </c>
      <c r="D1303" s="43" t="n">
        <v>1</v>
      </c>
      <c r="E1303" s="44" t="n">
        <v>21454</v>
      </c>
      <c r="F1303" s="45" t="n">
        <f aca="false">IFERROR(D1303*E1303,0)</f>
        <v>21454</v>
      </c>
      <c r="G1303" s="42" t="str">
        <f aca="false">INDEX(SETORES!$B:$B,MATCH(A1303,SETORES!$A:$A,0))</f>
        <v>Funcionários</v>
      </c>
      <c r="H1303" s="42" t="s">
        <v>11</v>
      </c>
    </row>
    <row r="1304" customFormat="false" ht="14.25" hidden="false" customHeight="true" outlineLevel="0" collapsed="false">
      <c r="A1304" s="16" t="s">
        <v>55</v>
      </c>
      <c r="B1304" s="42" t="s">
        <v>155</v>
      </c>
      <c r="C1304" s="42" t="s">
        <v>159</v>
      </c>
      <c r="D1304" s="43" t="n">
        <v>1</v>
      </c>
      <c r="E1304" s="44" t="n">
        <v>99</v>
      </c>
      <c r="F1304" s="45" t="n">
        <f aca="false">IFERROR(D1304*E1304,0)</f>
        <v>99</v>
      </c>
      <c r="G1304" s="42" t="str">
        <f aca="false">INDEX(SETORES!$B:$B,MATCH(A1304,SETORES!$A:$A,0))</f>
        <v>Funcionários</v>
      </c>
      <c r="H1304" s="42" t="s">
        <v>11</v>
      </c>
    </row>
    <row r="1305" customFormat="false" ht="14.25" hidden="false" customHeight="true" outlineLevel="0" collapsed="false">
      <c r="A1305" s="46" t="s">
        <v>55</v>
      </c>
      <c r="B1305" s="47" t="s">
        <v>155</v>
      </c>
      <c r="C1305" s="47" t="s">
        <v>237</v>
      </c>
      <c r="D1305" s="47" t="n">
        <v>1</v>
      </c>
      <c r="E1305" s="48" t="n">
        <v>436</v>
      </c>
      <c r="F1305" s="48" t="n">
        <f aca="false">D1305*E1305</f>
        <v>436</v>
      </c>
      <c r="G1305" s="47" t="s">
        <v>99</v>
      </c>
      <c r="H1305" s="42" t="s">
        <v>11</v>
      </c>
    </row>
    <row r="1306" customFormat="false" ht="14.25" hidden="false" customHeight="true" outlineLevel="0" collapsed="false">
      <c r="A1306" s="50" t="s">
        <v>55</v>
      </c>
      <c r="B1306" s="51" t="s">
        <v>155</v>
      </c>
      <c r="C1306" s="51" t="s">
        <v>161</v>
      </c>
      <c r="D1306" s="52" t="n">
        <v>1</v>
      </c>
      <c r="E1306" s="53" t="n">
        <v>1787.15</v>
      </c>
      <c r="F1306" s="54" t="n">
        <f aca="false">IFERROR(D1306*E1306,0)</f>
        <v>1787.15</v>
      </c>
      <c r="G1306" s="51" t="str">
        <f aca="false">INDEX(SETORES!$B:$B,MATCH(A1306,SETORES!$A:$A,0))</f>
        <v>Funcionários</v>
      </c>
      <c r="H1306" s="51" t="s">
        <v>11</v>
      </c>
    </row>
    <row r="1307" customFormat="false" ht="14.25" hidden="false" customHeight="true" outlineLevel="0" collapsed="false">
      <c r="A1307" s="50" t="s">
        <v>89</v>
      </c>
      <c r="B1307" s="51" t="s">
        <v>155</v>
      </c>
      <c r="C1307" s="51" t="s">
        <v>162</v>
      </c>
      <c r="D1307" s="52" t="n">
        <v>1</v>
      </c>
      <c r="E1307" s="53" t="n">
        <v>0.05</v>
      </c>
      <c r="F1307" s="54" t="n">
        <v>0.05</v>
      </c>
      <c r="G1307" s="51" t="s">
        <v>97</v>
      </c>
      <c r="H1307" s="51" t="s">
        <v>11</v>
      </c>
    </row>
    <row r="1308" customFormat="false" ht="14.25" hidden="false" customHeight="true" outlineLevel="0" collapsed="false">
      <c r="A1308" s="16" t="s">
        <v>89</v>
      </c>
      <c r="B1308" s="42" t="s">
        <v>155</v>
      </c>
      <c r="C1308" s="42" t="s">
        <v>163</v>
      </c>
      <c r="D1308" s="43" t="n">
        <v>1</v>
      </c>
      <c r="E1308" s="44" t="n">
        <v>30</v>
      </c>
      <c r="F1308" s="45" t="n">
        <f aca="false">IFERROR(D1308*E1308,0)</f>
        <v>30</v>
      </c>
      <c r="G1308" s="42" t="str">
        <f aca="false">INDEX(SETORES!$B:$B,MATCH(A1308,SETORES!$A:$A,0))</f>
        <v>Clientes</v>
      </c>
      <c r="H1308" s="42" t="s">
        <v>11</v>
      </c>
    </row>
    <row r="1309" customFormat="false" ht="14.25" hidden="false" customHeight="true" outlineLevel="0" collapsed="false">
      <c r="A1309" s="50" t="s">
        <v>89</v>
      </c>
      <c r="B1309" s="51" t="s">
        <v>155</v>
      </c>
      <c r="C1309" s="51" t="s">
        <v>164</v>
      </c>
      <c r="D1309" s="52" t="n">
        <v>1</v>
      </c>
      <c r="E1309" s="53" t="n">
        <v>1184.86</v>
      </c>
      <c r="F1309" s="54" t="n">
        <f aca="false">IFERROR(D1309*E1309,0)</f>
        <v>1184.86</v>
      </c>
      <c r="G1309" s="51" t="str">
        <f aca="false">INDEX(SETORES!$B:$B,MATCH(A1309,SETORES!$A:$A,0))</f>
        <v>Clientes</v>
      </c>
      <c r="H1309" s="51" t="s">
        <v>11</v>
      </c>
    </row>
    <row r="1310" customFormat="false" ht="14.25" hidden="false" customHeight="true" outlineLevel="0" collapsed="false">
      <c r="A1310" s="16" t="s">
        <v>89</v>
      </c>
      <c r="B1310" s="42" t="s">
        <v>155</v>
      </c>
      <c r="C1310" s="42" t="s">
        <v>168</v>
      </c>
      <c r="D1310" s="43" t="n">
        <v>1</v>
      </c>
      <c r="E1310" s="44" t="n">
        <v>17.5144</v>
      </c>
      <c r="F1310" s="45" t="n">
        <v>17.5144</v>
      </c>
      <c r="G1310" s="42" t="s">
        <v>97</v>
      </c>
      <c r="H1310" s="42" t="s">
        <v>11</v>
      </c>
    </row>
    <row r="1311" customFormat="false" ht="14.25" hidden="false" customHeight="true" outlineLevel="0" collapsed="false">
      <c r="A1311" s="50" t="s">
        <v>89</v>
      </c>
      <c r="B1311" s="51" t="s">
        <v>155</v>
      </c>
      <c r="C1311" s="51" t="s">
        <v>169</v>
      </c>
      <c r="D1311" s="52" t="n">
        <v>1</v>
      </c>
      <c r="E1311" s="53" t="n">
        <v>7245.47</v>
      </c>
      <c r="F1311" s="54" t="n">
        <f aca="false">IFERROR(E1311,0)</f>
        <v>7245.47</v>
      </c>
      <c r="G1311" s="51" t="str">
        <f aca="false">INDEX(SETORES!$B:$B,MATCH(A1311,SETORES!$A:$A,0))</f>
        <v>Clientes</v>
      </c>
      <c r="H1311" s="51" t="s">
        <v>11</v>
      </c>
    </row>
    <row r="1312" customFormat="false" ht="14.25" hidden="false" customHeight="true" outlineLevel="0" collapsed="false">
      <c r="A1312" s="50" t="s">
        <v>89</v>
      </c>
      <c r="B1312" s="51" t="s">
        <v>155</v>
      </c>
      <c r="C1312" s="51" t="s">
        <v>170</v>
      </c>
      <c r="D1312" s="52" t="n">
        <v>2</v>
      </c>
      <c r="E1312" s="53" t="n">
        <v>9.85</v>
      </c>
      <c r="F1312" s="54" t="n">
        <f aca="false">IFERROR(D1312*E1312,0)</f>
        <v>19.7</v>
      </c>
      <c r="G1312" s="51" t="str">
        <f aca="false">INDEX(SETORES!$B:$B,MATCH(A1312,SETORES!$A:$A,0))</f>
        <v>Clientes</v>
      </c>
      <c r="H1312" s="51" t="s">
        <v>11</v>
      </c>
    </row>
    <row r="1313" customFormat="false" ht="14.25" hidden="false" customHeight="true" outlineLevel="0" collapsed="false">
      <c r="A1313" s="16" t="s">
        <v>89</v>
      </c>
      <c r="B1313" s="42" t="s">
        <v>155</v>
      </c>
      <c r="C1313" s="42" t="s">
        <v>173</v>
      </c>
      <c r="D1313" s="43" t="n">
        <v>2</v>
      </c>
      <c r="E1313" s="44" t="n">
        <v>2.04</v>
      </c>
      <c r="F1313" s="45" t="n">
        <f aca="false">IFERROR(D1313*E1313,0)</f>
        <v>4.08</v>
      </c>
      <c r="G1313" s="42" t="str">
        <f aca="false">INDEX(SETORES!$B:$B,MATCH(A1313,SETORES!$A:$A,0))</f>
        <v>Clientes</v>
      </c>
      <c r="H1313" s="42" t="s">
        <v>11</v>
      </c>
    </row>
    <row r="1314" customFormat="false" ht="14.25" hidden="false" customHeight="true" outlineLevel="0" collapsed="false">
      <c r="A1314" s="16" t="s">
        <v>35</v>
      </c>
      <c r="B1314" s="42" t="s">
        <v>155</v>
      </c>
      <c r="C1314" s="42" t="s">
        <v>162</v>
      </c>
      <c r="D1314" s="43" t="n">
        <v>1</v>
      </c>
      <c r="E1314" s="44" t="n">
        <v>0.1</v>
      </c>
      <c r="F1314" s="45" t="n">
        <v>0.1</v>
      </c>
      <c r="G1314" s="42" t="str">
        <f aca="false">INDEX(SETORES!$B:$B,MATCH(A1314,SETORES!$A:$A,0))</f>
        <v>Clientes</v>
      </c>
      <c r="H1314" s="42" t="s">
        <v>11</v>
      </c>
    </row>
    <row r="1315" customFormat="false" ht="14.25" hidden="false" customHeight="true" outlineLevel="0" collapsed="false">
      <c r="A1315" s="50" t="s">
        <v>35</v>
      </c>
      <c r="B1315" s="51" t="s">
        <v>155</v>
      </c>
      <c r="C1315" s="51" t="s">
        <v>163</v>
      </c>
      <c r="D1315" s="52" t="n">
        <v>1</v>
      </c>
      <c r="E1315" s="53" t="n">
        <v>30</v>
      </c>
      <c r="F1315" s="54" t="n">
        <f aca="false">IFERROR(D1315*E1315,0)</f>
        <v>30</v>
      </c>
      <c r="G1315" s="51" t="str">
        <f aca="false">INDEX(SETORES!$B:$B,MATCH(A1315,SETORES!$A:$A,0))</f>
        <v>Clientes</v>
      </c>
      <c r="H1315" s="51" t="s">
        <v>11</v>
      </c>
    </row>
    <row r="1316" customFormat="false" ht="14.25" hidden="false" customHeight="true" outlineLevel="0" collapsed="false">
      <c r="A1316" s="16" t="s">
        <v>35</v>
      </c>
      <c r="B1316" s="42" t="s">
        <v>155</v>
      </c>
      <c r="C1316" s="42" t="s">
        <v>164</v>
      </c>
      <c r="D1316" s="43" t="n">
        <v>1</v>
      </c>
      <c r="E1316" s="44" t="n">
        <v>2369.71</v>
      </c>
      <c r="F1316" s="45" t="n">
        <f aca="false">IFERROR(D1316*E1316,0)</f>
        <v>2369.71</v>
      </c>
      <c r="G1316" s="42" t="str">
        <f aca="false">INDEX(SETORES!$B:$B,MATCH(A1316,SETORES!$A:$A,0))</f>
        <v>Clientes</v>
      </c>
      <c r="H1316" s="42" t="s">
        <v>11</v>
      </c>
    </row>
    <row r="1317" customFormat="false" ht="14.25" hidden="false" customHeight="true" outlineLevel="0" collapsed="false">
      <c r="A1317" s="16" t="s">
        <v>35</v>
      </c>
      <c r="B1317" s="42" t="s">
        <v>155</v>
      </c>
      <c r="C1317" s="42" t="s">
        <v>165</v>
      </c>
      <c r="D1317" s="43" t="n">
        <v>3</v>
      </c>
      <c r="E1317" s="44" t="n">
        <v>51.12</v>
      </c>
      <c r="F1317" s="45" t="n">
        <f aca="false">IFERROR(D1317*E1317,0)</f>
        <v>153.36</v>
      </c>
      <c r="G1317" s="51" t="s">
        <v>99</v>
      </c>
      <c r="H1317" s="42" t="s">
        <v>11</v>
      </c>
    </row>
    <row r="1318" customFormat="false" ht="14.25" hidden="false" customHeight="true" outlineLevel="0" collapsed="false">
      <c r="A1318" s="16" t="s">
        <v>35</v>
      </c>
      <c r="B1318" s="42" t="s">
        <v>155</v>
      </c>
      <c r="C1318" s="42" t="s">
        <v>166</v>
      </c>
      <c r="D1318" s="43" t="n">
        <v>3</v>
      </c>
      <c r="E1318" s="44" t="n">
        <v>31.33</v>
      </c>
      <c r="F1318" s="45" t="n">
        <f aca="false">IFERROR(D1318*E1318,0)</f>
        <v>93.99</v>
      </c>
      <c r="G1318" s="51" t="s">
        <v>99</v>
      </c>
      <c r="H1318" s="42" t="s">
        <v>11</v>
      </c>
    </row>
    <row r="1319" customFormat="false" ht="14.25" hidden="false" customHeight="true" outlineLevel="0" collapsed="false">
      <c r="A1319" s="16" t="s">
        <v>35</v>
      </c>
      <c r="B1319" s="42" t="s">
        <v>155</v>
      </c>
      <c r="C1319" s="42" t="s">
        <v>167</v>
      </c>
      <c r="D1319" s="43" t="n">
        <v>3</v>
      </c>
      <c r="E1319" s="44" t="n">
        <v>63.75</v>
      </c>
      <c r="F1319" s="45" t="n">
        <f aca="false">IFERROR(D1319*E1319,0)</f>
        <v>191.25</v>
      </c>
      <c r="G1319" s="51" t="s">
        <v>99</v>
      </c>
      <c r="H1319" s="42" t="s">
        <v>11</v>
      </c>
    </row>
    <row r="1320" customFormat="false" ht="14.25" hidden="false" customHeight="true" outlineLevel="0" collapsed="false">
      <c r="A1320" s="50" t="s">
        <v>35</v>
      </c>
      <c r="B1320" s="51" t="s">
        <v>155</v>
      </c>
      <c r="C1320" s="51" t="s">
        <v>168</v>
      </c>
      <c r="D1320" s="52" t="n">
        <v>1</v>
      </c>
      <c r="E1320" s="53" t="n">
        <v>35.0289</v>
      </c>
      <c r="F1320" s="54" t="n">
        <v>35.0289</v>
      </c>
      <c r="G1320" s="51" t="str">
        <f aca="false">INDEX(SETORES!$B:$B,MATCH(A1320,SETORES!$A:$A,0))</f>
        <v>Clientes</v>
      </c>
      <c r="H1320" s="51" t="s">
        <v>11</v>
      </c>
    </row>
    <row r="1321" customFormat="false" ht="14.25" hidden="false" customHeight="true" outlineLevel="0" collapsed="false">
      <c r="A1321" s="50" t="s">
        <v>35</v>
      </c>
      <c r="B1321" s="51" t="s">
        <v>157</v>
      </c>
      <c r="C1321" s="51" t="s">
        <v>174</v>
      </c>
      <c r="D1321" s="52"/>
      <c r="E1321" s="53"/>
      <c r="F1321" s="54" t="n">
        <f aca="false">IFERROR(D1321*E1321,0)</f>
        <v>0</v>
      </c>
      <c r="G1321" s="51" t="str">
        <f aca="false">INDEX(SETORES!$B:$B,MATCH(A1321,SETORES!$A:$A,0))</f>
        <v>Clientes</v>
      </c>
      <c r="H1321" s="51" t="s">
        <v>11</v>
      </c>
    </row>
    <row r="1322" customFormat="false" ht="14.25" hidden="false" customHeight="true" outlineLevel="0" collapsed="false">
      <c r="A1322" s="50" t="s">
        <v>35</v>
      </c>
      <c r="B1322" s="51" t="s">
        <v>157</v>
      </c>
      <c r="C1322" s="51" t="s">
        <v>175</v>
      </c>
      <c r="D1322" s="52"/>
      <c r="E1322" s="53"/>
      <c r="F1322" s="54" t="n">
        <f aca="false">IFERROR(D1322*E1322,0)</f>
        <v>0</v>
      </c>
      <c r="G1322" s="51" t="str">
        <f aca="false">INDEX(SETORES!$B:$B,MATCH(A1322,SETORES!$A:$A,0))</f>
        <v>Clientes</v>
      </c>
      <c r="H1322" s="51" t="s">
        <v>11</v>
      </c>
    </row>
    <row r="1323" customFormat="false" ht="14.25" hidden="false" customHeight="true" outlineLevel="0" collapsed="false">
      <c r="A1323" s="16" t="s">
        <v>35</v>
      </c>
      <c r="B1323" s="42" t="s">
        <v>157</v>
      </c>
      <c r="C1323" s="42" t="s">
        <v>176</v>
      </c>
      <c r="D1323" s="43" t="n">
        <v>1</v>
      </c>
      <c r="E1323" s="44" t="n">
        <v>38</v>
      </c>
      <c r="F1323" s="45" t="n">
        <f aca="false">IFERROR(D1323*E1323,0)</f>
        <v>38</v>
      </c>
      <c r="G1323" s="42" t="str">
        <f aca="false">INDEX(SETORES!$B:$B,MATCH(A1323,SETORES!$A:$A,0))</f>
        <v>Clientes</v>
      </c>
      <c r="H1323" s="42" t="s">
        <v>11</v>
      </c>
    </row>
    <row r="1324" customFormat="false" ht="14.25" hidden="false" customHeight="true" outlineLevel="0" collapsed="false">
      <c r="A1324" s="16" t="s">
        <v>35</v>
      </c>
      <c r="B1324" s="42" t="s">
        <v>155</v>
      </c>
      <c r="C1324" s="42" t="s">
        <v>169</v>
      </c>
      <c r="D1324" s="43" t="n">
        <v>1</v>
      </c>
      <c r="E1324" s="44" t="n">
        <v>14018.17</v>
      </c>
      <c r="F1324" s="45" t="n">
        <f aca="false">IFERROR(E1324,0)</f>
        <v>14018.17</v>
      </c>
      <c r="G1324" s="42" t="str">
        <f aca="false">INDEX(SETORES!$B:$B,MATCH(A1324,SETORES!$A:$A,0))</f>
        <v>Clientes</v>
      </c>
      <c r="H1324" s="42" t="s">
        <v>11</v>
      </c>
    </row>
    <row r="1325" customFormat="false" ht="14.25" hidden="false" customHeight="true" outlineLevel="0" collapsed="false">
      <c r="A1325" s="50" t="s">
        <v>35</v>
      </c>
      <c r="B1325" s="51" t="s">
        <v>155</v>
      </c>
      <c r="C1325" s="51" t="s">
        <v>170</v>
      </c>
      <c r="D1325" s="52" t="n">
        <v>4</v>
      </c>
      <c r="E1325" s="53" t="n">
        <v>9.85</v>
      </c>
      <c r="F1325" s="45" t="n">
        <f aca="false">IFERROR(D1325*E1325,0)</f>
        <v>39.4</v>
      </c>
      <c r="G1325" s="51" t="str">
        <f aca="false">INDEX(SETORES!$B:$B,MATCH(A1325,SETORES!$A:$A,0))</f>
        <v>Clientes</v>
      </c>
      <c r="H1325" s="51" t="s">
        <v>11</v>
      </c>
    </row>
    <row r="1326" customFormat="false" ht="14.25" hidden="false" customHeight="true" outlineLevel="0" collapsed="false">
      <c r="A1326" s="16" t="s">
        <v>35</v>
      </c>
      <c r="B1326" s="42" t="s">
        <v>155</v>
      </c>
      <c r="C1326" s="42" t="s">
        <v>172</v>
      </c>
      <c r="D1326" s="43" t="n">
        <v>3</v>
      </c>
      <c r="E1326" s="44" t="n">
        <v>50</v>
      </c>
      <c r="F1326" s="45" t="n">
        <f aca="false">IFERROR(D1326*E1326,0)</f>
        <v>150</v>
      </c>
      <c r="G1326" s="42" t="str">
        <f aca="false">INDEX(SETORES!$B:$B,MATCH(A1326,SETORES!$A:$A,0))</f>
        <v>Clientes</v>
      </c>
      <c r="H1326" s="42" t="s">
        <v>11</v>
      </c>
    </row>
    <row r="1327" customFormat="false" ht="14.25" hidden="false" customHeight="true" outlineLevel="0" collapsed="false">
      <c r="A1327" s="50" t="s">
        <v>35</v>
      </c>
      <c r="B1327" s="51" t="s">
        <v>155</v>
      </c>
      <c r="C1327" s="51" t="s">
        <v>177</v>
      </c>
      <c r="D1327" s="52" t="n">
        <v>4</v>
      </c>
      <c r="E1327" s="53" t="n">
        <v>4.375</v>
      </c>
      <c r="F1327" s="54" t="n">
        <v>17.5</v>
      </c>
      <c r="G1327" s="51" t="str">
        <f aca="false">INDEX(SETORES!$B:$B,MATCH(A1327,SETORES!$A:$A,0))</f>
        <v>Clientes</v>
      </c>
      <c r="H1327" s="51" t="s">
        <v>11</v>
      </c>
    </row>
    <row r="1328" customFormat="false" ht="14.25" hidden="false" customHeight="true" outlineLevel="0" collapsed="false">
      <c r="A1328" s="16" t="s">
        <v>35</v>
      </c>
      <c r="B1328" s="42" t="s">
        <v>155</v>
      </c>
      <c r="C1328" s="42" t="s">
        <v>178</v>
      </c>
      <c r="D1328" s="43" t="n">
        <v>1</v>
      </c>
      <c r="E1328" s="44" t="n">
        <v>74.8</v>
      </c>
      <c r="F1328" s="45" t="n">
        <v>74.8</v>
      </c>
      <c r="G1328" s="42" t="str">
        <f aca="false">INDEX(SETORES!$B:$B,MATCH(A1328,SETORES!$A:$A,0))</f>
        <v>Clientes</v>
      </c>
      <c r="H1328" s="42" t="s">
        <v>11</v>
      </c>
    </row>
    <row r="1329" customFormat="false" ht="14.25" hidden="false" customHeight="true" outlineLevel="0" collapsed="false">
      <c r="A1329" s="16" t="s">
        <v>35</v>
      </c>
      <c r="B1329" s="42" t="s">
        <v>157</v>
      </c>
      <c r="C1329" s="42" t="s">
        <v>158</v>
      </c>
      <c r="D1329" s="43"/>
      <c r="E1329" s="44"/>
      <c r="F1329" s="45" t="n">
        <f aca="false">IFERROR(D1329*E1329,0)</f>
        <v>0</v>
      </c>
      <c r="G1329" s="42" t="str">
        <f aca="false">INDEX(SETORES!$B:$B,MATCH(A1329,SETORES!$A:$A,0))</f>
        <v>Clientes</v>
      </c>
      <c r="H1329" s="42" t="s">
        <v>11</v>
      </c>
    </row>
    <row r="1330" customFormat="false" ht="14.25" hidden="false" customHeight="true" outlineLevel="0" collapsed="false">
      <c r="A1330" s="16" t="s">
        <v>35</v>
      </c>
      <c r="B1330" s="42" t="s">
        <v>155</v>
      </c>
      <c r="C1330" s="42" t="s">
        <v>173</v>
      </c>
      <c r="D1330" s="43" t="n">
        <v>4</v>
      </c>
      <c r="E1330" s="44" t="n">
        <v>2.04</v>
      </c>
      <c r="F1330" s="45" t="n">
        <f aca="false">IFERROR(D1330*E1330,0)</f>
        <v>8.16</v>
      </c>
      <c r="G1330" s="42" t="str">
        <f aca="false">INDEX(SETORES!$B:$B,MATCH(A1330,SETORES!$A:$A,0))</f>
        <v>Clientes</v>
      </c>
      <c r="H1330" s="42" t="s">
        <v>11</v>
      </c>
    </row>
    <row r="1331" customFormat="false" ht="14.25" hidden="false" customHeight="true" outlineLevel="0" collapsed="false">
      <c r="A1331" s="50" t="s">
        <v>35</v>
      </c>
      <c r="B1331" s="51" t="s">
        <v>155</v>
      </c>
      <c r="C1331" s="51" t="s">
        <v>179</v>
      </c>
      <c r="D1331" s="52"/>
      <c r="E1331" s="53"/>
      <c r="F1331" s="54" t="n">
        <f aca="false">IFERROR(D1331*E1331,0)</f>
        <v>0</v>
      </c>
      <c r="G1331" s="51" t="str">
        <f aca="false">INDEX(SETORES!$B:$B,MATCH(A1331,SETORES!$A:$A,0))</f>
        <v>Clientes</v>
      </c>
      <c r="H1331" s="51" t="s">
        <v>11</v>
      </c>
    </row>
    <row r="1332" customFormat="false" ht="14.25" hidden="false" customHeight="true" outlineLevel="0" collapsed="false">
      <c r="A1332" s="16" t="s">
        <v>38</v>
      </c>
      <c r="B1332" s="42" t="s">
        <v>155</v>
      </c>
      <c r="C1332" s="42" t="s">
        <v>162</v>
      </c>
      <c r="D1332" s="43" t="n">
        <v>1</v>
      </c>
      <c r="E1332" s="44" t="n">
        <v>0.275</v>
      </c>
      <c r="F1332" s="45" t="n">
        <v>0.275</v>
      </c>
      <c r="G1332" s="42" t="str">
        <f aca="false">INDEX(SETORES!$B:$B,MATCH(A1332,SETORES!$A:$A,0))</f>
        <v>Clientes</v>
      </c>
      <c r="H1332" s="42" t="s">
        <v>11</v>
      </c>
    </row>
    <row r="1333" customFormat="false" ht="14.25" hidden="false" customHeight="true" outlineLevel="0" collapsed="false">
      <c r="A1333" s="50" t="s">
        <v>38</v>
      </c>
      <c r="B1333" s="51" t="s">
        <v>155</v>
      </c>
      <c r="C1333" s="51" t="s">
        <v>180</v>
      </c>
      <c r="D1333" s="52" t="n">
        <v>1</v>
      </c>
      <c r="E1333" s="53" t="n">
        <v>766.15</v>
      </c>
      <c r="F1333" s="54" t="n">
        <f aca="false">IFERROR(D1333*E1333,0)</f>
        <v>766.15</v>
      </c>
      <c r="G1333" s="51" t="str">
        <f aca="false">INDEX(SETORES!$B:$B,MATCH(A1333,SETORES!$A:$A,0))</f>
        <v>Clientes</v>
      </c>
      <c r="H1333" s="51" t="s">
        <v>11</v>
      </c>
    </row>
    <row r="1334" customFormat="false" ht="14.25" hidden="false" customHeight="true" outlineLevel="0" collapsed="false">
      <c r="A1334" s="50" t="s">
        <v>38</v>
      </c>
      <c r="B1334" s="51" t="s">
        <v>155</v>
      </c>
      <c r="C1334" s="51" t="s">
        <v>168</v>
      </c>
      <c r="D1334" s="52" t="n">
        <v>1</v>
      </c>
      <c r="E1334" s="53" t="n">
        <v>96.3294</v>
      </c>
      <c r="F1334" s="54" t="n">
        <v>96.3294</v>
      </c>
      <c r="G1334" s="51" t="str">
        <f aca="false">INDEX(SETORES!$B:$B,MATCH(A1334,SETORES!$A:$A,0))</f>
        <v>Clientes</v>
      </c>
      <c r="H1334" s="51" t="s">
        <v>11</v>
      </c>
    </row>
    <row r="1335" customFormat="false" ht="14.25" hidden="false" customHeight="true" outlineLevel="0" collapsed="false">
      <c r="A1335" s="50" t="s">
        <v>38</v>
      </c>
      <c r="B1335" s="51" t="s">
        <v>157</v>
      </c>
      <c r="C1335" s="51" t="s">
        <v>175</v>
      </c>
      <c r="D1335" s="52" t="n">
        <v>1</v>
      </c>
      <c r="E1335" s="53" t="n">
        <v>496</v>
      </c>
      <c r="F1335" s="54" t="n">
        <f aca="false">IFERROR(D1335*E1335,0)</f>
        <v>496</v>
      </c>
      <c r="G1335" s="51" t="str">
        <f aca="false">INDEX(SETORES!$B:$B,MATCH(A1335,SETORES!$A:$A,0))</f>
        <v>Clientes</v>
      </c>
      <c r="H1335" s="51" t="s">
        <v>11</v>
      </c>
    </row>
    <row r="1336" customFormat="false" ht="14.25" hidden="false" customHeight="true" outlineLevel="0" collapsed="false">
      <c r="A1336" s="16" t="s">
        <v>38</v>
      </c>
      <c r="B1336" s="42" t="s">
        <v>157</v>
      </c>
      <c r="C1336" s="42" t="s">
        <v>176</v>
      </c>
      <c r="D1336" s="43" t="n">
        <v>1</v>
      </c>
      <c r="E1336" s="44" t="n">
        <v>65.33</v>
      </c>
      <c r="F1336" s="45" t="n">
        <f aca="false">IFERROR(D1336*E1336,0)</f>
        <v>65.33</v>
      </c>
      <c r="G1336" s="42" t="str">
        <f aca="false">INDEX(SETORES!$B:$B,MATCH(A1336,SETORES!$A:$A,0))</f>
        <v>Clientes</v>
      </c>
      <c r="H1336" s="42" t="s">
        <v>11</v>
      </c>
    </row>
    <row r="1337" customFormat="false" ht="14.25" hidden="false" customHeight="true" outlineLevel="0" collapsed="false">
      <c r="A1337" s="16" t="s">
        <v>38</v>
      </c>
      <c r="B1337" s="42" t="s">
        <v>155</v>
      </c>
      <c r="C1337" s="42" t="s">
        <v>169</v>
      </c>
      <c r="D1337" s="43" t="n">
        <v>1</v>
      </c>
      <c r="E1337" s="44" t="n">
        <v>35079.61</v>
      </c>
      <c r="F1337" s="45" t="n">
        <f aca="false">IFERROR(E1337,0)</f>
        <v>35079.61</v>
      </c>
      <c r="G1337" s="42" t="str">
        <f aca="false">INDEX(SETORES!$B:$B,MATCH(A1337,SETORES!$A:$A,0))</f>
        <v>Clientes</v>
      </c>
      <c r="H1337" s="42" t="s">
        <v>11</v>
      </c>
    </row>
    <row r="1338" customFormat="false" ht="14.25" hidden="false" customHeight="true" outlineLevel="0" collapsed="false">
      <c r="A1338" s="50" t="s">
        <v>38</v>
      </c>
      <c r="B1338" s="51" t="s">
        <v>155</v>
      </c>
      <c r="C1338" s="51" t="s">
        <v>170</v>
      </c>
      <c r="D1338" s="52" t="n">
        <v>11</v>
      </c>
      <c r="E1338" s="53" t="n">
        <v>9.85</v>
      </c>
      <c r="F1338" s="54" t="n">
        <f aca="false">IFERROR(D1338*E1338,0)</f>
        <v>108.35</v>
      </c>
      <c r="G1338" s="51" t="str">
        <f aca="false">INDEX(SETORES!$B:$B,MATCH(A1338,SETORES!$A:$A,0))</f>
        <v>Clientes</v>
      </c>
      <c r="H1338" s="51" t="s">
        <v>11</v>
      </c>
    </row>
    <row r="1339" customFormat="false" ht="14.25" hidden="false" customHeight="true" outlineLevel="0" collapsed="false">
      <c r="A1339" s="16" t="s">
        <v>38</v>
      </c>
      <c r="B1339" s="42" t="s">
        <v>155</v>
      </c>
      <c r="C1339" s="42" t="s">
        <v>181</v>
      </c>
      <c r="D1339" s="43" t="n">
        <v>1</v>
      </c>
      <c r="E1339" s="44" t="n">
        <v>2.308196</v>
      </c>
      <c r="F1339" s="45" t="n">
        <f aca="false">IFERROR(D1339*E1339,0)</f>
        <v>2.308196</v>
      </c>
      <c r="G1339" s="42" t="str">
        <f aca="false">INDEX(SETORES!$B:$B,MATCH(A1339,SETORES!$A:$A,0))</f>
        <v>Clientes</v>
      </c>
      <c r="H1339" s="42" t="s">
        <v>11</v>
      </c>
    </row>
    <row r="1340" customFormat="false" ht="14.25" hidden="false" customHeight="true" outlineLevel="0" collapsed="false">
      <c r="A1340" s="16" t="s">
        <v>38</v>
      </c>
      <c r="B1340" s="42" t="s">
        <v>155</v>
      </c>
      <c r="C1340" s="42" t="s">
        <v>172</v>
      </c>
      <c r="D1340" s="43" t="n">
        <v>13</v>
      </c>
      <c r="E1340" s="44" t="n">
        <v>50</v>
      </c>
      <c r="F1340" s="45" t="n">
        <f aca="false">IFERROR(D1340*E1340,0)</f>
        <v>650</v>
      </c>
      <c r="G1340" s="42" t="str">
        <f aca="false">INDEX(SETORES!$B:$B,MATCH(A1340,SETORES!$A:$A,0))</f>
        <v>Clientes</v>
      </c>
      <c r="H1340" s="42" t="s">
        <v>11</v>
      </c>
    </row>
    <row r="1341" customFormat="false" ht="14.25" hidden="false" customHeight="true" outlineLevel="0" collapsed="false">
      <c r="A1341" s="50" t="s">
        <v>38</v>
      </c>
      <c r="B1341" s="51" t="s">
        <v>155</v>
      </c>
      <c r="C1341" s="51" t="s">
        <v>177</v>
      </c>
      <c r="D1341" s="52" t="n">
        <v>11</v>
      </c>
      <c r="E1341" s="53" t="n">
        <v>0.2641</v>
      </c>
      <c r="F1341" s="54" t="n">
        <v>2.9051</v>
      </c>
      <c r="G1341" s="51" t="str">
        <f aca="false">INDEX(SETORES!$B:$B,MATCH(A1341,SETORES!$A:$A,0))</f>
        <v>Clientes</v>
      </c>
      <c r="H1341" s="51" t="s">
        <v>11</v>
      </c>
    </row>
    <row r="1342" customFormat="false" ht="14.25" hidden="false" customHeight="true" outlineLevel="0" collapsed="false">
      <c r="A1342" s="16" t="s">
        <v>38</v>
      </c>
      <c r="B1342" s="42" t="s">
        <v>155</v>
      </c>
      <c r="C1342" s="42" t="s">
        <v>178</v>
      </c>
      <c r="D1342" s="43" t="n">
        <v>1</v>
      </c>
      <c r="E1342" s="44" t="n">
        <v>677.233934</v>
      </c>
      <c r="F1342" s="45" t="n">
        <v>677.233934</v>
      </c>
      <c r="G1342" s="42" t="str">
        <f aca="false">INDEX(SETORES!$B:$B,MATCH(A1342,SETORES!$A:$A,0))</f>
        <v>Clientes</v>
      </c>
      <c r="H1342" s="42" t="s">
        <v>11</v>
      </c>
    </row>
    <row r="1343" customFormat="false" ht="14.25" hidden="false" customHeight="true" outlineLevel="0" collapsed="false">
      <c r="A1343" s="50" t="s">
        <v>38</v>
      </c>
      <c r="B1343" s="51" t="s">
        <v>157</v>
      </c>
      <c r="C1343" s="51" t="s">
        <v>158</v>
      </c>
      <c r="D1343" s="52" t="n">
        <v>1</v>
      </c>
      <c r="E1343" s="53" t="n">
        <v>2340.76</v>
      </c>
      <c r="F1343" s="54" t="n">
        <f aca="false">IFERROR(D1343*E1343,0)</f>
        <v>2340.76</v>
      </c>
      <c r="G1343" s="51" t="str">
        <f aca="false">INDEX(SETORES!$B:$B,MATCH(A1343,SETORES!$A:$A,0))</f>
        <v>Clientes</v>
      </c>
      <c r="H1343" s="51" t="s">
        <v>11</v>
      </c>
    </row>
    <row r="1344" customFormat="false" ht="14.25" hidden="false" customHeight="true" outlineLevel="0" collapsed="false">
      <c r="A1344" s="16" t="s">
        <v>38</v>
      </c>
      <c r="B1344" s="42" t="s">
        <v>155</v>
      </c>
      <c r="C1344" s="42" t="s">
        <v>238</v>
      </c>
      <c r="D1344" s="43" t="n">
        <v>1</v>
      </c>
      <c r="E1344" s="44" t="n">
        <v>1262.295078</v>
      </c>
      <c r="F1344" s="45" t="n">
        <f aca="false">IFERROR(D1344*E1344,0)</f>
        <v>1262.295078</v>
      </c>
      <c r="G1344" s="42" t="str">
        <f aca="false">INDEX(SETORES!$B:$B,MATCH(A1344,SETORES!$A:$A,0))</f>
        <v>Clientes</v>
      </c>
      <c r="H1344" s="42" t="s">
        <v>11</v>
      </c>
    </row>
    <row r="1345" customFormat="false" ht="14.25" hidden="false" customHeight="true" outlineLevel="0" collapsed="false">
      <c r="A1345" s="16" t="s">
        <v>38</v>
      </c>
      <c r="B1345" s="42" t="s">
        <v>155</v>
      </c>
      <c r="C1345" s="42" t="s">
        <v>239</v>
      </c>
      <c r="D1345" s="43" t="n">
        <v>1</v>
      </c>
      <c r="E1345" s="44" t="n">
        <v>499.778686</v>
      </c>
      <c r="F1345" s="45" t="n">
        <f aca="false">IFERROR(D1345*E1345,0)</f>
        <v>499.778686</v>
      </c>
      <c r="G1345" s="42" t="str">
        <f aca="false">INDEX(SETORES!$B:$B,MATCH(A1345,SETORES!$A:$A,0))</f>
        <v>Clientes</v>
      </c>
      <c r="H1345" s="42" t="s">
        <v>11</v>
      </c>
    </row>
    <row r="1346" customFormat="false" ht="14.25" hidden="false" customHeight="true" outlineLevel="0" collapsed="false">
      <c r="A1346" s="50" t="s">
        <v>38</v>
      </c>
      <c r="B1346" s="51" t="s">
        <v>155</v>
      </c>
      <c r="C1346" s="51" t="s">
        <v>182</v>
      </c>
      <c r="D1346" s="52" t="n">
        <v>1</v>
      </c>
      <c r="E1346" s="53" t="n">
        <v>608.770657</v>
      </c>
      <c r="F1346" s="54" t="n">
        <f aca="false">IFERROR(D1346*E1346,0)</f>
        <v>608.770657</v>
      </c>
      <c r="G1346" s="51" t="str">
        <f aca="false">INDEX(SETORES!$B:$B,MATCH(A1346,SETORES!$A:$A,0))</f>
        <v>Clientes</v>
      </c>
      <c r="H1346" s="51" t="s">
        <v>11</v>
      </c>
    </row>
    <row r="1347" customFormat="false" ht="14.25" hidden="false" customHeight="true" outlineLevel="0" collapsed="false">
      <c r="A1347" s="16" t="s">
        <v>38</v>
      </c>
      <c r="B1347" s="42" t="s">
        <v>155</v>
      </c>
      <c r="C1347" s="42" t="s">
        <v>173</v>
      </c>
      <c r="D1347" s="43" t="n">
        <v>11</v>
      </c>
      <c r="E1347" s="44" t="n">
        <v>2.04</v>
      </c>
      <c r="F1347" s="45" t="n">
        <f aca="false">IFERROR(D1347*E1347,0)</f>
        <v>22.44</v>
      </c>
      <c r="G1347" s="42" t="str">
        <f aca="false">INDEX(SETORES!$B:$B,MATCH(A1347,SETORES!$A:$A,0))</f>
        <v>Clientes</v>
      </c>
      <c r="H1347" s="42" t="s">
        <v>11</v>
      </c>
    </row>
    <row r="1348" customFormat="false" ht="14.25" hidden="false" customHeight="true" outlineLevel="0" collapsed="false">
      <c r="A1348" s="50" t="s">
        <v>38</v>
      </c>
      <c r="B1348" s="51" t="s">
        <v>155</v>
      </c>
      <c r="C1348" s="51" t="s">
        <v>179</v>
      </c>
      <c r="D1348" s="52"/>
      <c r="E1348" s="53"/>
      <c r="F1348" s="54" t="n">
        <f aca="false">IFERROR(D1348*E1348,0)</f>
        <v>0</v>
      </c>
      <c r="G1348" s="51" t="str">
        <f aca="false">INDEX(SETORES!$B:$B,MATCH(A1348,SETORES!$A:$A,0))</f>
        <v>Clientes</v>
      </c>
      <c r="H1348" s="51" t="s">
        <v>11</v>
      </c>
    </row>
    <row r="1349" customFormat="false" ht="14.25" hidden="false" customHeight="true" outlineLevel="0" collapsed="false">
      <c r="A1349" s="50" t="s">
        <v>78</v>
      </c>
      <c r="B1349" s="51" t="s">
        <v>155</v>
      </c>
      <c r="C1349" s="51" t="s">
        <v>162</v>
      </c>
      <c r="D1349" s="52" t="n">
        <v>15</v>
      </c>
      <c r="E1349" s="53" t="n">
        <v>2.1332</v>
      </c>
      <c r="F1349" s="54" t="n">
        <v>4.686</v>
      </c>
      <c r="G1349" s="51" t="str">
        <f aca="false">INDEX(SETORES!$B:$B,MATCH(A1349,SETORES!$A:$A,0))</f>
        <v>Clientes</v>
      </c>
      <c r="H1349" s="51" t="s">
        <v>11</v>
      </c>
    </row>
    <row r="1350" customFormat="false" ht="14.25" hidden="false" customHeight="true" outlineLevel="0" collapsed="false">
      <c r="A1350" s="16" t="s">
        <v>78</v>
      </c>
      <c r="B1350" s="42" t="s">
        <v>155</v>
      </c>
      <c r="C1350" s="42" t="s">
        <v>163</v>
      </c>
      <c r="D1350" s="43" t="n">
        <v>13</v>
      </c>
      <c r="E1350" s="44" t="n">
        <v>30</v>
      </c>
      <c r="F1350" s="45" t="n">
        <f aca="false">IFERROR(D1350*E1350,0)</f>
        <v>390</v>
      </c>
      <c r="G1350" s="42" t="str">
        <f aca="false">INDEX(SETORES!$B:$B,MATCH(A1350,SETORES!$A:$A,0))</f>
        <v>Clientes</v>
      </c>
      <c r="H1350" s="42" t="s">
        <v>11</v>
      </c>
    </row>
    <row r="1351" customFormat="false" ht="14.25" hidden="false" customHeight="true" outlineLevel="0" collapsed="false">
      <c r="A1351" s="50" t="s">
        <v>78</v>
      </c>
      <c r="B1351" s="51" t="s">
        <v>155</v>
      </c>
      <c r="C1351" s="51" t="s">
        <v>165</v>
      </c>
      <c r="D1351" s="52" t="n">
        <v>15</v>
      </c>
      <c r="E1351" s="44" t="n">
        <v>51.12</v>
      </c>
      <c r="F1351" s="54" t="n">
        <f aca="false">IFERROR(D1351*E1351,0)</f>
        <v>766.8</v>
      </c>
      <c r="G1351" s="51" t="s">
        <v>99</v>
      </c>
      <c r="H1351" s="51" t="s">
        <v>11</v>
      </c>
    </row>
    <row r="1352" customFormat="false" ht="14.25" hidden="false" customHeight="true" outlineLevel="0" collapsed="false">
      <c r="A1352" s="16" t="s">
        <v>78</v>
      </c>
      <c r="B1352" s="42" t="s">
        <v>155</v>
      </c>
      <c r="C1352" s="42" t="s">
        <v>166</v>
      </c>
      <c r="D1352" s="43" t="n">
        <v>15</v>
      </c>
      <c r="E1352" s="44" t="n">
        <v>31.33</v>
      </c>
      <c r="F1352" s="45" t="n">
        <f aca="false">IFERROR(D1352*E1352,0)</f>
        <v>469.95</v>
      </c>
      <c r="G1352" s="51" t="s">
        <v>99</v>
      </c>
      <c r="H1352" s="42" t="s">
        <v>11</v>
      </c>
    </row>
    <row r="1353" customFormat="false" ht="14.25" hidden="false" customHeight="true" outlineLevel="0" collapsed="false">
      <c r="A1353" s="16" t="s">
        <v>78</v>
      </c>
      <c r="B1353" s="42" t="s">
        <v>155</v>
      </c>
      <c r="C1353" s="42" t="s">
        <v>167</v>
      </c>
      <c r="D1353" s="43" t="n">
        <v>15</v>
      </c>
      <c r="E1353" s="44" t="n">
        <v>63.75</v>
      </c>
      <c r="F1353" s="45" t="n">
        <f aca="false">IFERROR(D1353*E1353,0)</f>
        <v>956.25</v>
      </c>
      <c r="G1353" s="51" t="s">
        <v>99</v>
      </c>
      <c r="H1353" s="42" t="s">
        <v>11</v>
      </c>
    </row>
    <row r="1354" customFormat="false" ht="14.25" hidden="false" customHeight="true" outlineLevel="0" collapsed="false">
      <c r="A1354" s="16" t="s">
        <v>78</v>
      </c>
      <c r="B1354" s="42" t="s">
        <v>155</v>
      </c>
      <c r="C1354" s="42" t="s">
        <v>168</v>
      </c>
      <c r="D1354" s="43" t="n">
        <v>15</v>
      </c>
      <c r="E1354" s="44" t="n">
        <v>162.5079</v>
      </c>
      <c r="F1354" s="45" t="n">
        <v>355.3155</v>
      </c>
      <c r="G1354" s="42" t="str">
        <f aca="false">INDEX(SETORES!$B:$B,MATCH(A1354,SETORES!$A:$A,0))</f>
        <v>Clientes</v>
      </c>
      <c r="H1354" s="42" t="s">
        <v>11</v>
      </c>
    </row>
    <row r="1355" customFormat="false" ht="14.25" hidden="false" customHeight="true" outlineLevel="0" collapsed="false">
      <c r="A1355" s="50" t="s">
        <v>78</v>
      </c>
      <c r="B1355" s="51" t="s">
        <v>155</v>
      </c>
      <c r="C1355" s="51" t="s">
        <v>169</v>
      </c>
      <c r="D1355" s="52" t="n">
        <v>1</v>
      </c>
      <c r="E1355" s="53" t="n">
        <v>89682.63</v>
      </c>
      <c r="F1355" s="54" t="n">
        <f aca="false">IFERROR(E1355,0)</f>
        <v>89682.63</v>
      </c>
      <c r="G1355" s="51" t="str">
        <f aca="false">INDEX(SETORES!$B:$B,MATCH(A1355,SETORES!$A:$A,0))</f>
        <v>Clientes</v>
      </c>
      <c r="H1355" s="51" t="s">
        <v>11</v>
      </c>
    </row>
    <row r="1356" customFormat="false" ht="14.25" hidden="false" customHeight="true" outlineLevel="0" collapsed="false">
      <c r="A1356" s="50" t="s">
        <v>78</v>
      </c>
      <c r="B1356" s="51" t="s">
        <v>155</v>
      </c>
      <c r="C1356" s="51" t="s">
        <v>170</v>
      </c>
      <c r="D1356" s="52" t="n">
        <v>15</v>
      </c>
      <c r="E1356" s="53" t="n">
        <v>9.85</v>
      </c>
      <c r="F1356" s="54" t="n">
        <f aca="false">IFERROR(D1356*E1356,0)</f>
        <v>147.75</v>
      </c>
      <c r="G1356" s="51" t="str">
        <f aca="false">INDEX(SETORES!$B:$B,MATCH(A1356,SETORES!$A:$A,0))</f>
        <v>Clientes</v>
      </c>
      <c r="H1356" s="51" t="s">
        <v>11</v>
      </c>
    </row>
    <row r="1357" customFormat="false" ht="14.25" hidden="false" customHeight="true" outlineLevel="0" collapsed="false">
      <c r="A1357" s="50" t="s">
        <v>78</v>
      </c>
      <c r="B1357" s="51" t="s">
        <v>155</v>
      </c>
      <c r="C1357" s="51" t="s">
        <v>172</v>
      </c>
      <c r="D1357" s="52" t="n">
        <v>15</v>
      </c>
      <c r="E1357" s="53" t="n">
        <v>50</v>
      </c>
      <c r="F1357" s="54" t="n">
        <f aca="false">IFERROR(D1357*E1357,0)</f>
        <v>750</v>
      </c>
      <c r="G1357" s="51" t="str">
        <f aca="false">INDEX(SETORES!$B:$B,MATCH(A1357,SETORES!$A:$A,0))</f>
        <v>Clientes</v>
      </c>
      <c r="H1357" s="51" t="s">
        <v>11</v>
      </c>
    </row>
    <row r="1358" customFormat="false" ht="14.25" hidden="false" customHeight="true" outlineLevel="0" collapsed="false">
      <c r="A1358" s="16" t="s">
        <v>78</v>
      </c>
      <c r="B1358" s="42" t="s">
        <v>157</v>
      </c>
      <c r="C1358" s="42" t="s">
        <v>184</v>
      </c>
      <c r="D1358" s="43" t="n">
        <v>15</v>
      </c>
      <c r="E1358" s="44" t="n">
        <v>67.41</v>
      </c>
      <c r="F1358" s="45" t="n">
        <f aca="false">IFERROR(D1358*E1358,0)</f>
        <v>1011.15</v>
      </c>
      <c r="G1358" s="42" t="str">
        <f aca="false">INDEX(SETORES!$B:$B,MATCH(A1358,SETORES!$A:$A,0))</f>
        <v>Clientes</v>
      </c>
      <c r="H1358" s="42" t="s">
        <v>11</v>
      </c>
    </row>
    <row r="1359" customFormat="false" ht="14.25" hidden="false" customHeight="true" outlineLevel="0" collapsed="false">
      <c r="A1359" s="16" t="s">
        <v>78</v>
      </c>
      <c r="B1359" s="42" t="s">
        <v>157</v>
      </c>
      <c r="C1359" s="42" t="s">
        <v>158</v>
      </c>
      <c r="D1359" s="43"/>
      <c r="E1359" s="44"/>
      <c r="F1359" s="45" t="n">
        <f aca="false">IFERROR(D1359*E1359,0)</f>
        <v>0</v>
      </c>
      <c r="G1359" s="42" t="str">
        <f aca="false">INDEX(SETORES!$B:$B,MATCH(A1359,SETORES!$A:$A,0))</f>
        <v>Clientes</v>
      </c>
      <c r="H1359" s="42" t="s">
        <v>11</v>
      </c>
    </row>
    <row r="1360" customFormat="false" ht="14.25" hidden="false" customHeight="true" outlineLevel="0" collapsed="false">
      <c r="A1360" s="16" t="s">
        <v>78</v>
      </c>
      <c r="B1360" s="42" t="s">
        <v>155</v>
      </c>
      <c r="C1360" s="42" t="s">
        <v>173</v>
      </c>
      <c r="D1360" s="43" t="n">
        <v>15</v>
      </c>
      <c r="E1360" s="44" t="n">
        <v>2.04</v>
      </c>
      <c r="F1360" s="45" t="n">
        <f aca="false">IFERROR(D1360*E1360,0)</f>
        <v>30.6</v>
      </c>
      <c r="G1360" s="42" t="str">
        <f aca="false">INDEX(SETORES!$B:$B,MATCH(A1360,SETORES!$A:$A,0))</f>
        <v>Clientes</v>
      </c>
      <c r="H1360" s="42" t="s">
        <v>11</v>
      </c>
    </row>
    <row r="1361" customFormat="false" ht="14.25" hidden="false" customHeight="true" outlineLevel="0" collapsed="false">
      <c r="A1361" s="16" t="s">
        <v>54</v>
      </c>
      <c r="B1361" s="42" t="s">
        <v>155</v>
      </c>
      <c r="C1361" s="42" t="s">
        <v>185</v>
      </c>
      <c r="D1361" s="43" t="n">
        <v>1</v>
      </c>
      <c r="E1361" s="44" t="n">
        <v>545.99</v>
      </c>
      <c r="F1361" s="45" t="n">
        <f aca="false">IFERROR(D1361*E1361,0)</f>
        <v>545.99</v>
      </c>
      <c r="G1361" s="42" t="str">
        <f aca="false">INDEX(SETORES!$B:$B,MATCH(A1361,SETORES!$A:$A,0))</f>
        <v>Clientes</v>
      </c>
      <c r="H1361" s="42" t="s">
        <v>11</v>
      </c>
    </row>
    <row r="1362" customFormat="false" ht="14.25" hidden="false" customHeight="true" outlineLevel="0" collapsed="false">
      <c r="A1362" s="50" t="s">
        <v>54</v>
      </c>
      <c r="B1362" s="51" t="s">
        <v>155</v>
      </c>
      <c r="C1362" s="51" t="s">
        <v>162</v>
      </c>
      <c r="D1362" s="52" t="n">
        <v>1</v>
      </c>
      <c r="E1362" s="53" t="n">
        <v>0.275</v>
      </c>
      <c r="F1362" s="54" t="n">
        <v>0.275</v>
      </c>
      <c r="G1362" s="51" t="s">
        <v>97</v>
      </c>
      <c r="H1362" s="51" t="s">
        <v>11</v>
      </c>
    </row>
    <row r="1363" customFormat="false" ht="14.25" hidden="false" customHeight="true" outlineLevel="0" collapsed="false">
      <c r="A1363" s="50" t="s">
        <v>54</v>
      </c>
      <c r="B1363" s="51" t="s">
        <v>157</v>
      </c>
      <c r="C1363" s="51" t="s">
        <v>199</v>
      </c>
      <c r="D1363" s="52"/>
      <c r="E1363" s="53"/>
      <c r="F1363" s="54" t="n">
        <f aca="false">IFERROR(D1363*E1363,0)</f>
        <v>0</v>
      </c>
      <c r="G1363" s="51" t="str">
        <f aca="false">INDEX(SETORES!$B:$B,MATCH(A1363,SETORES!$A:$A,0))</f>
        <v>Clientes</v>
      </c>
      <c r="H1363" s="51" t="s">
        <v>11</v>
      </c>
    </row>
    <row r="1364" customFormat="false" ht="14.25" hidden="false" customHeight="true" outlineLevel="0" collapsed="false">
      <c r="A1364" s="50" t="s">
        <v>54</v>
      </c>
      <c r="B1364" s="51" t="s">
        <v>157</v>
      </c>
      <c r="C1364" s="51" t="s">
        <v>186</v>
      </c>
      <c r="D1364" s="52" t="n">
        <v>1</v>
      </c>
      <c r="E1364" s="53" t="n">
        <v>2950.58</v>
      </c>
      <c r="F1364" s="54" t="n">
        <f aca="false">IFERROR(D1364*E1364,0)</f>
        <v>2950.58</v>
      </c>
      <c r="G1364" s="51" t="str">
        <f aca="false">INDEX(SETORES!$B:$B,MATCH(A1364,SETORES!$A:$A,0))</f>
        <v>Clientes</v>
      </c>
      <c r="H1364" s="51" t="s">
        <v>11</v>
      </c>
    </row>
    <row r="1365" customFormat="false" ht="14.25" hidden="false" customHeight="true" outlineLevel="0" collapsed="false">
      <c r="A1365" s="50" t="s">
        <v>54</v>
      </c>
      <c r="B1365" s="51" t="s">
        <v>155</v>
      </c>
      <c r="C1365" s="51" t="s">
        <v>187</v>
      </c>
      <c r="D1365" s="52" t="n">
        <v>1</v>
      </c>
      <c r="E1365" s="53" t="n">
        <v>2997</v>
      </c>
      <c r="F1365" s="54" t="n">
        <f aca="false">IFERROR(D1365*E1365,0)</f>
        <v>2997</v>
      </c>
      <c r="G1365" s="51" t="str">
        <f aca="false">INDEX(SETORES!$B:$B,MATCH(A1365,SETORES!$A:$A,0))</f>
        <v>Clientes</v>
      </c>
      <c r="H1365" s="51" t="s">
        <v>11</v>
      </c>
    </row>
    <row r="1366" customFormat="false" ht="14.25" hidden="false" customHeight="true" outlineLevel="0" collapsed="false">
      <c r="A1366" s="50" t="s">
        <v>54</v>
      </c>
      <c r="B1366" s="51" t="s">
        <v>155</v>
      </c>
      <c r="C1366" s="51" t="s">
        <v>165</v>
      </c>
      <c r="D1366" s="52" t="n">
        <v>10</v>
      </c>
      <c r="E1366" s="44" t="n">
        <v>51.12</v>
      </c>
      <c r="F1366" s="54" t="n">
        <f aca="false">IFERROR(D1366*E1366,0)</f>
        <v>511.2</v>
      </c>
      <c r="G1366" s="51" t="s">
        <v>99</v>
      </c>
      <c r="H1366" s="51" t="s">
        <v>11</v>
      </c>
    </row>
    <row r="1367" customFormat="false" ht="14.25" hidden="false" customHeight="true" outlineLevel="0" collapsed="false">
      <c r="A1367" s="16" t="s">
        <v>54</v>
      </c>
      <c r="B1367" s="42" t="s">
        <v>155</v>
      </c>
      <c r="C1367" s="42" t="s">
        <v>166</v>
      </c>
      <c r="D1367" s="43" t="n">
        <v>10</v>
      </c>
      <c r="E1367" s="44" t="n">
        <v>31.33</v>
      </c>
      <c r="F1367" s="45" t="n">
        <f aca="false">IFERROR(D1367*E1367,0)</f>
        <v>313.3</v>
      </c>
      <c r="G1367" s="51" t="s">
        <v>99</v>
      </c>
      <c r="H1367" s="42" t="s">
        <v>11</v>
      </c>
    </row>
    <row r="1368" customFormat="false" ht="14.25" hidden="false" customHeight="true" outlineLevel="0" collapsed="false">
      <c r="A1368" s="16" t="s">
        <v>54</v>
      </c>
      <c r="B1368" s="42" t="s">
        <v>155</v>
      </c>
      <c r="C1368" s="42" t="s">
        <v>167</v>
      </c>
      <c r="D1368" s="43" t="n">
        <v>11</v>
      </c>
      <c r="E1368" s="44" t="n">
        <v>63.75</v>
      </c>
      <c r="F1368" s="45" t="n">
        <f aca="false">IFERROR(D1368*E1368,0)</f>
        <v>701.25</v>
      </c>
      <c r="G1368" s="51" t="s">
        <v>99</v>
      </c>
      <c r="H1368" s="42" t="s">
        <v>11</v>
      </c>
    </row>
    <row r="1369" customFormat="false" ht="14.25" hidden="false" customHeight="true" outlineLevel="0" collapsed="false">
      <c r="A1369" s="50" t="s">
        <v>54</v>
      </c>
      <c r="B1369" s="51" t="s">
        <v>157</v>
      </c>
      <c r="C1369" s="51" t="s">
        <v>240</v>
      </c>
      <c r="D1369" s="52"/>
      <c r="E1369" s="53"/>
      <c r="F1369" s="45" t="n">
        <f aca="false">IFERROR(D1369*E1369,0)</f>
        <v>0</v>
      </c>
      <c r="G1369" s="51" t="s">
        <v>99</v>
      </c>
      <c r="H1369" s="51" t="s">
        <v>11</v>
      </c>
    </row>
    <row r="1370" customFormat="false" ht="14.25" hidden="false" customHeight="true" outlineLevel="0" collapsed="false">
      <c r="A1370" s="50" t="s">
        <v>54</v>
      </c>
      <c r="B1370" s="51" t="s">
        <v>157</v>
      </c>
      <c r="C1370" s="51" t="s">
        <v>188</v>
      </c>
      <c r="D1370" s="52"/>
      <c r="E1370" s="53"/>
      <c r="F1370" s="54" t="n">
        <f aca="false">IFERROR(D1370*E1370,0)</f>
        <v>0</v>
      </c>
      <c r="G1370" s="51" t="str">
        <f aca="false">INDEX(SETORES!$B:$B,MATCH(A1370,SETORES!$A:$A,0))</f>
        <v>Clientes</v>
      </c>
      <c r="H1370" s="51" t="s">
        <v>11</v>
      </c>
    </row>
    <row r="1371" customFormat="false" ht="14.25" hidden="false" customHeight="true" outlineLevel="0" collapsed="false">
      <c r="A1371" s="50" t="s">
        <v>54</v>
      </c>
      <c r="B1371" s="51" t="s">
        <v>155</v>
      </c>
      <c r="C1371" s="51" t="s">
        <v>189</v>
      </c>
      <c r="D1371" s="52"/>
      <c r="E1371" s="53"/>
      <c r="F1371" s="54" t="n">
        <f aca="false">IFERROR(D1371*E1371,0)</f>
        <v>0</v>
      </c>
      <c r="G1371" s="51" t="str">
        <f aca="false">INDEX(SETORES!$B:$B,MATCH(A1371,SETORES!$A:$A,0))</f>
        <v>Clientes</v>
      </c>
      <c r="H1371" s="51" t="s">
        <v>11</v>
      </c>
    </row>
    <row r="1372" customFormat="false" ht="14.25" hidden="false" customHeight="true" outlineLevel="0" collapsed="false">
      <c r="A1372" s="50" t="s">
        <v>54</v>
      </c>
      <c r="B1372" s="51" t="s">
        <v>155</v>
      </c>
      <c r="C1372" s="51" t="s">
        <v>190</v>
      </c>
      <c r="D1372" s="52" t="n">
        <v>10</v>
      </c>
      <c r="E1372" s="53" t="n">
        <v>50</v>
      </c>
      <c r="F1372" s="54" t="n">
        <f aca="false">IFERROR(D1372*E1372,0)</f>
        <v>500</v>
      </c>
      <c r="G1372" s="51" t="str">
        <f aca="false">INDEX(SETORES!$B:$B,MATCH(A1372,SETORES!$A:$A,0))</f>
        <v>Clientes</v>
      </c>
      <c r="H1372" s="51" t="s">
        <v>11</v>
      </c>
    </row>
    <row r="1373" customFormat="false" ht="14.25" hidden="false" customHeight="true" outlineLevel="0" collapsed="false">
      <c r="A1373" s="50" t="s">
        <v>54</v>
      </c>
      <c r="B1373" s="51" t="s">
        <v>157</v>
      </c>
      <c r="C1373" s="51" t="s">
        <v>191</v>
      </c>
      <c r="D1373" s="52"/>
      <c r="E1373" s="53"/>
      <c r="F1373" s="54" t="n">
        <f aca="false">IFERROR(D1373*E1373,0)</f>
        <v>0</v>
      </c>
      <c r="G1373" s="51" t="str">
        <f aca="false">INDEX(SETORES!$B:$B,MATCH(A1373,SETORES!$A:$A,0))</f>
        <v>Clientes</v>
      </c>
      <c r="H1373" s="51" t="s">
        <v>11</v>
      </c>
    </row>
    <row r="1374" customFormat="false" ht="14.25" hidden="false" customHeight="true" outlineLevel="0" collapsed="false">
      <c r="A1374" s="16" t="s">
        <v>54</v>
      </c>
      <c r="B1374" s="42" t="s">
        <v>155</v>
      </c>
      <c r="C1374" s="42" t="s">
        <v>168</v>
      </c>
      <c r="D1374" s="43" t="n">
        <v>1</v>
      </c>
      <c r="E1374" s="44" t="n">
        <v>96.3294</v>
      </c>
      <c r="F1374" s="45" t="n">
        <v>96.3294</v>
      </c>
      <c r="G1374" s="42" t="s">
        <v>97</v>
      </c>
      <c r="H1374" s="42" t="s">
        <v>11</v>
      </c>
    </row>
    <row r="1375" customFormat="false" ht="14.25" hidden="false" customHeight="true" outlineLevel="0" collapsed="false">
      <c r="A1375" s="16" t="s">
        <v>54</v>
      </c>
      <c r="B1375" s="42" t="s">
        <v>155</v>
      </c>
      <c r="C1375" s="42" t="s">
        <v>241</v>
      </c>
      <c r="D1375" s="43" t="n">
        <v>10</v>
      </c>
      <c r="E1375" s="44" t="n">
        <v>128551.32</v>
      </c>
      <c r="F1375" s="45" t="n">
        <f aca="false">IFERROR(E1375,0)</f>
        <v>128551.32</v>
      </c>
      <c r="G1375" s="42" t="str">
        <f aca="false">INDEX(SETORES!$B:$B,MATCH(A1375,SETORES!$A:$A,0))</f>
        <v>Clientes</v>
      </c>
      <c r="H1375" s="42" t="s">
        <v>11</v>
      </c>
    </row>
    <row r="1376" customFormat="false" ht="14.25" hidden="false" customHeight="true" outlineLevel="0" collapsed="false">
      <c r="A1376" s="16" t="s">
        <v>54</v>
      </c>
      <c r="B1376" s="42" t="s">
        <v>155</v>
      </c>
      <c r="C1376" s="42" t="s">
        <v>170</v>
      </c>
      <c r="D1376" s="43" t="n">
        <v>10</v>
      </c>
      <c r="E1376" s="44" t="n">
        <v>9.85</v>
      </c>
      <c r="F1376" s="45" t="n">
        <f aca="false">IFERROR(D1376*E1376,0)</f>
        <v>98.5</v>
      </c>
      <c r="G1376" s="42" t="str">
        <f aca="false">INDEX(SETORES!$B:$B,MATCH(A1376,SETORES!$A:$A,0))</f>
        <v>Clientes</v>
      </c>
      <c r="H1376" s="42" t="s">
        <v>11</v>
      </c>
    </row>
    <row r="1377" customFormat="false" ht="14.25" hidden="false" customHeight="true" outlineLevel="0" collapsed="false">
      <c r="A1377" s="16" t="s">
        <v>54</v>
      </c>
      <c r="B1377" s="42" t="s">
        <v>155</v>
      </c>
      <c r="C1377" s="42" t="s">
        <v>183</v>
      </c>
      <c r="D1377" s="43" t="n">
        <v>1</v>
      </c>
      <c r="E1377" s="44" t="n">
        <v>11.36364</v>
      </c>
      <c r="F1377" s="45" t="n">
        <f aca="false">IFERROR(D1377*E1377,0)</f>
        <v>11.36364</v>
      </c>
      <c r="G1377" s="42" t="str">
        <f aca="false">INDEX(SETORES!$B:$B,MATCH(A1377,SETORES!$A:$A,0))</f>
        <v>Clientes</v>
      </c>
      <c r="H1377" s="42" t="s">
        <v>11</v>
      </c>
    </row>
    <row r="1378" customFormat="false" ht="14.25" hidden="false" customHeight="true" outlineLevel="0" collapsed="false">
      <c r="A1378" s="50" t="s">
        <v>54</v>
      </c>
      <c r="B1378" s="51" t="s">
        <v>155</v>
      </c>
      <c r="C1378" s="51" t="s">
        <v>192</v>
      </c>
      <c r="D1378" s="52" t="n">
        <v>7</v>
      </c>
      <c r="E1378" s="53" t="n">
        <v>30</v>
      </c>
      <c r="F1378" s="54" t="n">
        <f aca="false">IFERROR(D1378*E1378,0)</f>
        <v>210</v>
      </c>
      <c r="G1378" s="51" t="str">
        <f aca="false">INDEX(SETORES!$B:$B,MATCH(A1378,SETORES!$A:$A,0))</f>
        <v>Clientes</v>
      </c>
      <c r="H1378" s="51" t="s">
        <v>11</v>
      </c>
    </row>
    <row r="1379" customFormat="false" ht="14.25" hidden="false" customHeight="true" outlineLevel="0" collapsed="false">
      <c r="A1379" s="16" t="s">
        <v>54</v>
      </c>
      <c r="B1379" s="42" t="s">
        <v>157</v>
      </c>
      <c r="C1379" s="42" t="s">
        <v>193</v>
      </c>
      <c r="D1379" s="43"/>
      <c r="E1379" s="44"/>
      <c r="F1379" s="45" t="n">
        <f aca="false">IFERROR(D1379*E1379,0)</f>
        <v>0</v>
      </c>
      <c r="G1379" s="42" t="str">
        <f aca="false">INDEX(SETORES!$B:$B,MATCH(A1379,SETORES!$A:$A,0))</f>
        <v>Clientes</v>
      </c>
      <c r="H1379" s="42" t="s">
        <v>11</v>
      </c>
    </row>
    <row r="1380" customFormat="false" ht="14.25" hidden="false" customHeight="true" outlineLevel="0" collapsed="false">
      <c r="A1380" s="50" t="s">
        <v>54</v>
      </c>
      <c r="B1380" s="51" t="s">
        <v>155</v>
      </c>
      <c r="C1380" s="51" t="s">
        <v>178</v>
      </c>
      <c r="D1380" s="52" t="n">
        <v>1</v>
      </c>
      <c r="E1380" s="53" t="n">
        <v>97.45</v>
      </c>
      <c r="F1380" s="54" t="n">
        <v>97.45</v>
      </c>
      <c r="G1380" s="51" t="str">
        <f aca="false">INDEX(SETORES!$B:$B,MATCH(A1380,SETORES!$A:$A,0))</f>
        <v>Clientes</v>
      </c>
      <c r="H1380" s="51" t="s">
        <v>11</v>
      </c>
    </row>
    <row r="1381" customFormat="false" ht="14.25" hidden="false" customHeight="true" outlineLevel="0" collapsed="false">
      <c r="A1381" s="16" t="s">
        <v>54</v>
      </c>
      <c r="B1381" s="42" t="s">
        <v>157</v>
      </c>
      <c r="C1381" s="42" t="s">
        <v>194</v>
      </c>
      <c r="D1381" s="43"/>
      <c r="E1381" s="44"/>
      <c r="F1381" s="45" t="n">
        <f aca="false">IFERROR(D1381*E1381,0)</f>
        <v>0</v>
      </c>
      <c r="G1381" s="42" t="str">
        <f aca="false">INDEX(SETORES!$B:$B,MATCH(A1381,SETORES!$A:$A,0))</f>
        <v>Clientes</v>
      </c>
      <c r="H1381" s="42" t="s">
        <v>11</v>
      </c>
    </row>
    <row r="1382" customFormat="false" ht="14.25" hidden="false" customHeight="true" outlineLevel="0" collapsed="false">
      <c r="A1382" s="50" t="s">
        <v>54</v>
      </c>
      <c r="B1382" s="51" t="s">
        <v>157</v>
      </c>
      <c r="C1382" s="51" t="s">
        <v>158</v>
      </c>
      <c r="D1382" s="52"/>
      <c r="E1382" s="53"/>
      <c r="F1382" s="54" t="n">
        <f aca="false">IFERROR(D1382*E1382,0)</f>
        <v>0</v>
      </c>
      <c r="G1382" s="51" t="str">
        <f aca="false">INDEX(SETORES!$B:$B,MATCH(A1382,SETORES!$A:$A,0))</f>
        <v>Clientes</v>
      </c>
      <c r="H1382" s="51" t="s">
        <v>11</v>
      </c>
    </row>
    <row r="1383" customFormat="false" ht="14.25" hidden="false" customHeight="true" outlineLevel="0" collapsed="false">
      <c r="A1383" s="16" t="s">
        <v>54</v>
      </c>
      <c r="B1383" s="42" t="s">
        <v>157</v>
      </c>
      <c r="C1383" s="42" t="s">
        <v>196</v>
      </c>
      <c r="D1383" s="43" t="n">
        <v>1</v>
      </c>
      <c r="E1383" s="44" t="n">
        <v>3022.47</v>
      </c>
      <c r="F1383" s="45" t="n">
        <f aca="false">IFERROR(D1383*E1383,0)</f>
        <v>3022.47</v>
      </c>
      <c r="G1383" s="42" t="str">
        <f aca="false">INDEX(SETORES!$B:$B,MATCH(A1383,SETORES!$A:$A,0))</f>
        <v>Clientes</v>
      </c>
      <c r="H1383" s="42" t="s">
        <v>11</v>
      </c>
    </row>
    <row r="1384" customFormat="false" ht="14.25" hidden="false" customHeight="true" outlineLevel="0" collapsed="false">
      <c r="A1384" s="16" t="s">
        <v>54</v>
      </c>
      <c r="B1384" s="42" t="s">
        <v>155</v>
      </c>
      <c r="C1384" s="42" t="s">
        <v>197</v>
      </c>
      <c r="D1384" s="43" t="n">
        <v>1</v>
      </c>
      <c r="E1384" s="44" t="n">
        <v>3042.34</v>
      </c>
      <c r="F1384" s="45" t="n">
        <f aca="false">IFERROR(D1384*E1384,0)</f>
        <v>3042.34</v>
      </c>
      <c r="G1384" s="42" t="str">
        <f aca="false">INDEX(SETORES!$B:$B,MATCH(A1384,SETORES!$A:$A,0))</f>
        <v>Clientes</v>
      </c>
      <c r="H1384" s="42" t="s">
        <v>11</v>
      </c>
    </row>
    <row r="1385" customFormat="false" ht="14.25" hidden="false" customHeight="true" outlineLevel="0" collapsed="false">
      <c r="A1385" s="50" t="s">
        <v>54</v>
      </c>
      <c r="B1385" s="51" t="s">
        <v>155</v>
      </c>
      <c r="C1385" s="51" t="s">
        <v>173</v>
      </c>
      <c r="D1385" s="52" t="n">
        <v>10</v>
      </c>
      <c r="E1385" s="53" t="n">
        <v>2.04</v>
      </c>
      <c r="F1385" s="54" t="n">
        <f aca="false">IFERROR(D1385*E1385,0)</f>
        <v>20.4</v>
      </c>
      <c r="G1385" s="51" t="str">
        <f aca="false">INDEX(SETORES!$B:$B,MATCH(A1385,SETORES!$A:$A,0))</f>
        <v>Clientes</v>
      </c>
      <c r="H1385" s="51" t="s">
        <v>11</v>
      </c>
    </row>
    <row r="1386" customFormat="false" ht="14.25" hidden="false" customHeight="true" outlineLevel="0" collapsed="false">
      <c r="A1386" s="16" t="s">
        <v>54</v>
      </c>
      <c r="B1386" s="42" t="s">
        <v>157</v>
      </c>
      <c r="C1386" s="42" t="s">
        <v>198</v>
      </c>
      <c r="D1386" s="43"/>
      <c r="E1386" s="44"/>
      <c r="F1386" s="45" t="n">
        <f aca="false">IFERROR(D1386*E1386,0)</f>
        <v>0</v>
      </c>
      <c r="G1386" s="42" t="str">
        <f aca="false">INDEX(SETORES!$B:$B,MATCH(A1386,SETORES!$A:$A,0))</f>
        <v>Clientes</v>
      </c>
      <c r="H1386" s="42" t="s">
        <v>11</v>
      </c>
    </row>
    <row r="1387" customFormat="false" ht="14.25" hidden="false" customHeight="true" outlineLevel="0" collapsed="false">
      <c r="A1387" s="16" t="s">
        <v>43</v>
      </c>
      <c r="B1387" s="42" t="s">
        <v>155</v>
      </c>
      <c r="C1387" s="42" t="s">
        <v>162</v>
      </c>
      <c r="D1387" s="43" t="n">
        <v>4</v>
      </c>
      <c r="E1387" s="44" t="n">
        <v>2.1332</v>
      </c>
      <c r="F1387" s="45" t="n">
        <v>1.2496</v>
      </c>
      <c r="G1387" s="42" t="str">
        <f aca="false">INDEX(SETORES!$B:$B,MATCH(A1387,SETORES!$A:$A,0))</f>
        <v>Clientes</v>
      </c>
      <c r="H1387" s="42" t="s">
        <v>11</v>
      </c>
    </row>
    <row r="1388" customFormat="false" ht="14.25" hidden="false" customHeight="true" outlineLevel="0" collapsed="false">
      <c r="A1388" s="50" t="s">
        <v>43</v>
      </c>
      <c r="B1388" s="51" t="s">
        <v>155</v>
      </c>
      <c r="C1388" s="51" t="s">
        <v>163</v>
      </c>
      <c r="D1388" s="52" t="n">
        <v>2</v>
      </c>
      <c r="E1388" s="53" t="n">
        <v>30</v>
      </c>
      <c r="F1388" s="54" t="n">
        <f aca="false">IFERROR(D1388*E1388,0)</f>
        <v>60</v>
      </c>
      <c r="G1388" s="51" t="str">
        <f aca="false">INDEX(SETORES!$B:$B,MATCH(A1388,SETORES!$A:$A,0))</f>
        <v>Clientes</v>
      </c>
      <c r="H1388" s="51" t="s">
        <v>11</v>
      </c>
    </row>
    <row r="1389" customFormat="false" ht="14.25" hidden="false" customHeight="true" outlineLevel="0" collapsed="false">
      <c r="A1389" s="50" t="s">
        <v>43</v>
      </c>
      <c r="B1389" s="51" t="s">
        <v>155</v>
      </c>
      <c r="C1389" s="51" t="s">
        <v>168</v>
      </c>
      <c r="D1389" s="52" t="n">
        <v>4</v>
      </c>
      <c r="E1389" s="53" t="n">
        <v>162.5079</v>
      </c>
      <c r="F1389" s="54" t="n">
        <v>94.7508</v>
      </c>
      <c r="G1389" s="51" t="str">
        <f aca="false">INDEX(SETORES!$B:$B,MATCH(A1389,SETORES!$A:$A,0))</f>
        <v>Clientes</v>
      </c>
      <c r="H1389" s="51" t="s">
        <v>11</v>
      </c>
    </row>
    <row r="1390" customFormat="false" ht="14.25" hidden="false" customHeight="true" outlineLevel="0" collapsed="false">
      <c r="A1390" s="16" t="s">
        <v>43</v>
      </c>
      <c r="B1390" s="42" t="s">
        <v>155</v>
      </c>
      <c r="C1390" s="42" t="s">
        <v>169</v>
      </c>
      <c r="D1390" s="43" t="n">
        <v>1</v>
      </c>
      <c r="E1390" s="44" t="n">
        <v>23138.39</v>
      </c>
      <c r="F1390" s="45" t="n">
        <f aca="false">IFERROR(E1390,0)</f>
        <v>23138.39</v>
      </c>
      <c r="G1390" s="42" t="str">
        <f aca="false">INDEX(SETORES!$B:$B,MATCH(A1390,SETORES!$A:$A,0))</f>
        <v>Clientes</v>
      </c>
      <c r="H1390" s="42" t="s">
        <v>11</v>
      </c>
    </row>
    <row r="1391" customFormat="false" ht="14.25" hidden="false" customHeight="true" outlineLevel="0" collapsed="false">
      <c r="A1391" s="16" t="s">
        <v>43</v>
      </c>
      <c r="B1391" s="42" t="s">
        <v>155</v>
      </c>
      <c r="C1391" s="42" t="s">
        <v>170</v>
      </c>
      <c r="D1391" s="43" t="n">
        <v>4</v>
      </c>
      <c r="E1391" s="44" t="n">
        <v>9.85</v>
      </c>
      <c r="F1391" s="45" t="n">
        <f aca="false">IFERROR(D1391*E1391,0)</f>
        <v>39.4</v>
      </c>
      <c r="G1391" s="42" t="str">
        <f aca="false">INDEX(SETORES!$B:$B,MATCH(A1391,SETORES!$A:$A,0))</f>
        <v>Clientes</v>
      </c>
      <c r="H1391" s="42" t="s">
        <v>11</v>
      </c>
    </row>
    <row r="1392" customFormat="false" ht="14.25" hidden="false" customHeight="true" outlineLevel="0" collapsed="false">
      <c r="A1392" s="50" t="s">
        <v>43</v>
      </c>
      <c r="B1392" s="51" t="s">
        <v>155</v>
      </c>
      <c r="C1392" s="51" t="s">
        <v>183</v>
      </c>
      <c r="D1392" s="52" t="n">
        <v>1</v>
      </c>
      <c r="E1392" s="53" t="n">
        <v>25.6</v>
      </c>
      <c r="F1392" s="54" t="n">
        <f aca="false">IFERROR(D1392*E1392,0)</f>
        <v>25.6</v>
      </c>
      <c r="G1392" s="51" t="str">
        <f aca="false">INDEX(SETORES!$B:$B,MATCH(A1392,SETORES!$A:$A,0))</f>
        <v>Clientes</v>
      </c>
      <c r="H1392" s="51" t="s">
        <v>11</v>
      </c>
    </row>
    <row r="1393" customFormat="false" ht="14.25" hidden="false" customHeight="true" outlineLevel="0" collapsed="false">
      <c r="A1393" s="16" t="s">
        <v>43</v>
      </c>
      <c r="B1393" s="42" t="s">
        <v>155</v>
      </c>
      <c r="C1393" s="42" t="s">
        <v>172</v>
      </c>
      <c r="D1393" s="43" t="n">
        <v>4</v>
      </c>
      <c r="E1393" s="44" t="n">
        <v>50</v>
      </c>
      <c r="F1393" s="45" t="n">
        <f aca="false">IFERROR(D1393*E1393,0)</f>
        <v>200</v>
      </c>
      <c r="G1393" s="42" t="str">
        <f aca="false">INDEX(SETORES!$B:$B,MATCH(A1393,SETORES!$A:$A,0))</f>
        <v>Clientes</v>
      </c>
      <c r="H1393" s="42" t="s">
        <v>11</v>
      </c>
    </row>
    <row r="1394" customFormat="false" ht="14.25" hidden="false" customHeight="true" outlineLevel="0" collapsed="false">
      <c r="A1394" s="50" t="s">
        <v>43</v>
      </c>
      <c r="B1394" s="51" t="s">
        <v>155</v>
      </c>
      <c r="C1394" s="51" t="s">
        <v>177</v>
      </c>
      <c r="D1394" s="52"/>
      <c r="E1394" s="53"/>
      <c r="F1394" s="54" t="n">
        <v>0</v>
      </c>
      <c r="G1394" s="51" t="str">
        <f aca="false">INDEX(SETORES!$B:$B,MATCH(A1394,SETORES!$A:$A,0))</f>
        <v>Clientes</v>
      </c>
      <c r="H1394" s="51" t="s">
        <v>11</v>
      </c>
    </row>
    <row r="1395" customFormat="false" ht="14.25" hidden="false" customHeight="true" outlineLevel="0" collapsed="false">
      <c r="A1395" s="16" t="s">
        <v>43</v>
      </c>
      <c r="B1395" s="42" t="s">
        <v>155</v>
      </c>
      <c r="C1395" s="42" t="s">
        <v>178</v>
      </c>
      <c r="D1395" s="43"/>
      <c r="E1395" s="44"/>
      <c r="F1395" s="45" t="n">
        <v>0</v>
      </c>
      <c r="G1395" s="42" t="str">
        <f aca="false">INDEX(SETORES!$B:$B,MATCH(A1395,SETORES!$A:$A,0))</f>
        <v>Clientes</v>
      </c>
      <c r="H1395" s="42" t="s">
        <v>11</v>
      </c>
    </row>
    <row r="1396" customFormat="false" ht="14.25" hidden="false" customHeight="true" outlineLevel="0" collapsed="false">
      <c r="A1396" s="50" t="s">
        <v>43</v>
      </c>
      <c r="B1396" s="51" t="s">
        <v>157</v>
      </c>
      <c r="C1396" s="51" t="s">
        <v>184</v>
      </c>
      <c r="D1396" s="52" t="n">
        <v>4</v>
      </c>
      <c r="E1396" s="44" t="n">
        <v>67.41</v>
      </c>
      <c r="F1396" s="54" t="n">
        <f aca="false">IFERROR(D1396*E1396,0)</f>
        <v>269.64</v>
      </c>
      <c r="G1396" s="51" t="str">
        <f aca="false">INDEX(SETORES!$B:$B,MATCH(A1396,SETORES!$A:$A,0))</f>
        <v>Clientes</v>
      </c>
      <c r="H1396" s="51" t="s">
        <v>11</v>
      </c>
    </row>
    <row r="1397" customFormat="false" ht="14.25" hidden="false" customHeight="true" outlineLevel="0" collapsed="false">
      <c r="A1397" s="50" t="s">
        <v>43</v>
      </c>
      <c r="B1397" s="51" t="s">
        <v>157</v>
      </c>
      <c r="C1397" s="51" t="s">
        <v>158</v>
      </c>
      <c r="D1397" s="52"/>
      <c r="E1397" s="53"/>
      <c r="F1397" s="54" t="n">
        <f aca="false">IFERROR(D1397*E1397,0)</f>
        <v>0</v>
      </c>
      <c r="G1397" s="51" t="str">
        <f aca="false">INDEX(SETORES!$B:$B,MATCH(A1397,SETORES!$A:$A,0))</f>
        <v>Clientes</v>
      </c>
      <c r="H1397" s="51" t="s">
        <v>11</v>
      </c>
    </row>
    <row r="1398" customFormat="false" ht="14.25" hidden="false" customHeight="true" outlineLevel="0" collapsed="false">
      <c r="A1398" s="50" t="s">
        <v>43</v>
      </c>
      <c r="B1398" s="51" t="s">
        <v>155</v>
      </c>
      <c r="C1398" s="51" t="s">
        <v>173</v>
      </c>
      <c r="D1398" s="52" t="n">
        <v>4</v>
      </c>
      <c r="E1398" s="53" t="n">
        <v>2.04</v>
      </c>
      <c r="F1398" s="54" t="n">
        <f aca="false">IFERROR(D1398*E1398,0)</f>
        <v>8.16</v>
      </c>
      <c r="G1398" s="51" t="str">
        <f aca="false">INDEX(SETORES!$B:$B,MATCH(A1398,SETORES!$A:$A,0))</f>
        <v>Clientes</v>
      </c>
      <c r="H1398" s="51" t="s">
        <v>11</v>
      </c>
    </row>
    <row r="1399" customFormat="false" ht="14.25" hidden="false" customHeight="true" outlineLevel="0" collapsed="false">
      <c r="A1399" s="50" t="s">
        <v>43</v>
      </c>
      <c r="B1399" s="51" t="s">
        <v>155</v>
      </c>
      <c r="C1399" s="51" t="s">
        <v>179</v>
      </c>
      <c r="D1399" s="52"/>
      <c r="E1399" s="53"/>
      <c r="F1399" s="54" t="n">
        <f aca="false">IFERROR(D1399*E1399,0)</f>
        <v>0</v>
      </c>
      <c r="G1399" s="51" t="str">
        <f aca="false">INDEX(SETORES!$B:$B,MATCH(A1399,SETORES!$A:$A,0))</f>
        <v>Clientes</v>
      </c>
      <c r="H1399" s="51" t="s">
        <v>11</v>
      </c>
    </row>
    <row r="1400" customFormat="false" ht="14.25" hidden="false" customHeight="true" outlineLevel="0" collapsed="false">
      <c r="A1400" s="46" t="s">
        <v>143</v>
      </c>
      <c r="B1400" s="47" t="s">
        <v>155</v>
      </c>
      <c r="C1400" s="47" t="s">
        <v>169</v>
      </c>
      <c r="D1400" s="47" t="n">
        <v>1</v>
      </c>
      <c r="E1400" s="48" t="n">
        <v>45450.81</v>
      </c>
      <c r="F1400" s="45" t="n">
        <f aca="false">IFERROR(D1400*E1400,0)</f>
        <v>45450.81</v>
      </c>
      <c r="G1400" s="47" t="s">
        <v>97</v>
      </c>
      <c r="H1400" s="42" t="s">
        <v>11</v>
      </c>
    </row>
    <row r="1401" customFormat="false" ht="14.25" hidden="false" customHeight="true" outlineLevel="0" collapsed="false">
      <c r="A1401" s="16" t="s">
        <v>40</v>
      </c>
      <c r="B1401" s="42" t="s">
        <v>155</v>
      </c>
      <c r="C1401" s="42" t="s">
        <v>162</v>
      </c>
      <c r="D1401" s="43" t="n">
        <v>1</v>
      </c>
      <c r="E1401" s="44" t="n">
        <v>0.1</v>
      </c>
      <c r="F1401" s="45" t="n">
        <v>0.1</v>
      </c>
      <c r="G1401" s="42" t="str">
        <f aca="false">INDEX(SETORES!$B:$B,MATCH(A1401,SETORES!$A:$A,0))</f>
        <v>Clientes</v>
      </c>
      <c r="H1401" s="42" t="s">
        <v>11</v>
      </c>
    </row>
    <row r="1402" customFormat="false" ht="14.25" hidden="false" customHeight="true" outlineLevel="0" collapsed="false">
      <c r="A1402" s="50" t="s">
        <v>40</v>
      </c>
      <c r="B1402" s="51" t="s">
        <v>157</v>
      </c>
      <c r="C1402" s="51" t="s">
        <v>200</v>
      </c>
      <c r="D1402" s="52" t="n">
        <v>1</v>
      </c>
      <c r="E1402" s="53" t="n">
        <v>6000</v>
      </c>
      <c r="F1402" s="54" t="n">
        <f aca="false">IFERROR(D1402*E1402,0)</f>
        <v>6000</v>
      </c>
      <c r="G1402" s="51" t="str">
        <f aca="false">INDEX(SETORES!$B:$B,MATCH(A1402,SETORES!$A:$A,0))</f>
        <v>Clientes</v>
      </c>
      <c r="H1402" s="51" t="s">
        <v>11</v>
      </c>
    </row>
    <row r="1403" customFormat="false" ht="14.25" hidden="false" customHeight="true" outlineLevel="0" collapsed="false">
      <c r="A1403" s="16" t="s">
        <v>40</v>
      </c>
      <c r="B1403" s="42" t="s">
        <v>155</v>
      </c>
      <c r="C1403" s="42" t="s">
        <v>163</v>
      </c>
      <c r="D1403" s="43" t="n">
        <v>2</v>
      </c>
      <c r="E1403" s="44" t="n">
        <v>30</v>
      </c>
      <c r="F1403" s="45" t="n">
        <f aca="false">IFERROR(D1403*E1403,0)</f>
        <v>60</v>
      </c>
      <c r="G1403" s="42" t="str">
        <f aca="false">INDEX(SETORES!$B:$B,MATCH(A1403,SETORES!$A:$A,0))</f>
        <v>Clientes</v>
      </c>
      <c r="H1403" s="42" t="s">
        <v>11</v>
      </c>
    </row>
    <row r="1404" customFormat="false" ht="14.25" hidden="false" customHeight="true" outlineLevel="0" collapsed="false">
      <c r="A1404" s="16" t="s">
        <v>40</v>
      </c>
      <c r="B1404" s="42" t="s">
        <v>157</v>
      </c>
      <c r="C1404" s="42" t="s">
        <v>201</v>
      </c>
      <c r="D1404" s="43" t="n">
        <v>1</v>
      </c>
      <c r="E1404" s="44" t="n">
        <v>12000</v>
      </c>
      <c r="F1404" s="45" t="n">
        <f aca="false">IFERROR(D1404*E1404,0)</f>
        <v>12000</v>
      </c>
      <c r="G1404" s="42" t="str">
        <f aca="false">INDEX(SETORES!$B:$B,MATCH(A1404,SETORES!$A:$A,0))</f>
        <v>Clientes</v>
      </c>
      <c r="H1404" s="42" t="s">
        <v>11</v>
      </c>
    </row>
    <row r="1405" customFormat="false" ht="14.25" hidden="false" customHeight="true" outlineLevel="0" collapsed="false">
      <c r="A1405" s="16" t="s">
        <v>40</v>
      </c>
      <c r="B1405" s="42" t="s">
        <v>155</v>
      </c>
      <c r="C1405" s="42" t="s">
        <v>165</v>
      </c>
      <c r="D1405" s="43" t="n">
        <v>4</v>
      </c>
      <c r="E1405" s="44" t="n">
        <v>51.12</v>
      </c>
      <c r="F1405" s="45" t="n">
        <v>0.1</v>
      </c>
      <c r="G1405" s="51" t="s">
        <v>99</v>
      </c>
      <c r="H1405" s="42" t="s">
        <v>11</v>
      </c>
    </row>
    <row r="1406" customFormat="false" ht="14.25" hidden="false" customHeight="true" outlineLevel="0" collapsed="false">
      <c r="A1406" s="16" t="s">
        <v>40</v>
      </c>
      <c r="B1406" s="42" t="s">
        <v>155</v>
      </c>
      <c r="C1406" s="42" t="s">
        <v>166</v>
      </c>
      <c r="D1406" s="43" t="n">
        <v>4</v>
      </c>
      <c r="E1406" s="44" t="n">
        <v>31.33</v>
      </c>
      <c r="F1406" s="45" t="n">
        <f aca="false">IFERROR(D1406*E1406,0)</f>
        <v>125.32</v>
      </c>
      <c r="G1406" s="51" t="s">
        <v>99</v>
      </c>
      <c r="H1406" s="42" t="s">
        <v>11</v>
      </c>
    </row>
    <row r="1407" customFormat="false" ht="14.25" hidden="false" customHeight="true" outlineLevel="0" collapsed="false">
      <c r="A1407" s="16" t="s">
        <v>40</v>
      </c>
      <c r="B1407" s="42" t="s">
        <v>155</v>
      </c>
      <c r="C1407" s="42" t="s">
        <v>167</v>
      </c>
      <c r="D1407" s="43" t="n">
        <v>4</v>
      </c>
      <c r="E1407" s="44" t="n">
        <v>63.75</v>
      </c>
      <c r="F1407" s="45" t="n">
        <f aca="false">IFERROR(D1407*E1407,0)</f>
        <v>255</v>
      </c>
      <c r="G1407" s="51" t="s">
        <v>99</v>
      </c>
      <c r="H1407" s="42" t="s">
        <v>11</v>
      </c>
    </row>
    <row r="1408" customFormat="false" ht="14.25" hidden="false" customHeight="true" outlineLevel="0" collapsed="false">
      <c r="A1408" s="50" t="s">
        <v>40</v>
      </c>
      <c r="B1408" s="51" t="s">
        <v>155</v>
      </c>
      <c r="C1408" s="51" t="s">
        <v>168</v>
      </c>
      <c r="D1408" s="52" t="n">
        <v>1</v>
      </c>
      <c r="E1408" s="53" t="n">
        <v>35.0289</v>
      </c>
      <c r="F1408" s="54" t="n">
        <v>35.0289</v>
      </c>
      <c r="G1408" s="51" t="str">
        <f aca="false">INDEX(SETORES!$B:$B,MATCH(A1408,SETORES!$A:$A,0))</f>
        <v>Clientes</v>
      </c>
      <c r="H1408" s="51" t="s">
        <v>11</v>
      </c>
    </row>
    <row r="1409" customFormat="false" ht="14.25" hidden="false" customHeight="true" outlineLevel="0" collapsed="false">
      <c r="A1409" s="16" t="s">
        <v>40</v>
      </c>
      <c r="B1409" s="42" t="s">
        <v>157</v>
      </c>
      <c r="C1409" s="42" t="s">
        <v>175</v>
      </c>
      <c r="D1409" s="43" t="n">
        <v>1</v>
      </c>
      <c r="E1409" s="44" t="n">
        <v>136</v>
      </c>
      <c r="F1409" s="45" t="n">
        <f aca="false">IFERROR(D1409*E1409,0)</f>
        <v>136</v>
      </c>
      <c r="G1409" s="42" t="str">
        <f aca="false">INDEX(SETORES!$B:$B,MATCH(A1409,SETORES!$A:$A,0))</f>
        <v>Clientes</v>
      </c>
      <c r="H1409" s="42" t="s">
        <v>11</v>
      </c>
    </row>
    <row r="1410" customFormat="false" ht="14.25" hidden="false" customHeight="true" outlineLevel="0" collapsed="false">
      <c r="A1410" s="50" t="s">
        <v>40</v>
      </c>
      <c r="B1410" s="51" t="s">
        <v>157</v>
      </c>
      <c r="C1410" s="51" t="s">
        <v>176</v>
      </c>
      <c r="D1410" s="52" t="n">
        <v>1</v>
      </c>
      <c r="E1410" s="53" t="n">
        <v>68</v>
      </c>
      <c r="F1410" s="54" t="n">
        <f aca="false">IFERROR(D1410*E1410,0)</f>
        <v>68</v>
      </c>
      <c r="G1410" s="51" t="str">
        <f aca="false">INDEX(SETORES!$B:$B,MATCH(A1410,SETORES!$A:$A,0))</f>
        <v>Clientes</v>
      </c>
      <c r="H1410" s="51" t="s">
        <v>11</v>
      </c>
    </row>
    <row r="1411" customFormat="false" ht="14.25" hidden="false" customHeight="true" outlineLevel="0" collapsed="false">
      <c r="A1411" s="16" t="s">
        <v>40</v>
      </c>
      <c r="B1411" s="42" t="s">
        <v>155</v>
      </c>
      <c r="C1411" s="42" t="s">
        <v>169</v>
      </c>
      <c r="D1411" s="43" t="n">
        <v>1</v>
      </c>
      <c r="E1411" s="44" t="n">
        <v>13442.74</v>
      </c>
      <c r="F1411" s="45" t="n">
        <f aca="false">IFERROR(E1411,0)</f>
        <v>13442.74</v>
      </c>
      <c r="G1411" s="42" t="str">
        <f aca="false">INDEX(SETORES!$B:$B,MATCH(A1411,SETORES!$A:$A,0))</f>
        <v>Clientes</v>
      </c>
      <c r="H1411" s="42" t="s">
        <v>11</v>
      </c>
    </row>
    <row r="1412" customFormat="false" ht="14.25" hidden="false" customHeight="true" outlineLevel="0" collapsed="false">
      <c r="A1412" s="16" t="s">
        <v>40</v>
      </c>
      <c r="B1412" s="42" t="s">
        <v>155</v>
      </c>
      <c r="C1412" s="42" t="s">
        <v>170</v>
      </c>
      <c r="D1412" s="43" t="n">
        <v>4</v>
      </c>
      <c r="E1412" s="44" t="n">
        <v>9.85</v>
      </c>
      <c r="F1412" s="45" t="n">
        <f aca="false">IFERROR(D1412*E1412,0)</f>
        <v>39.4</v>
      </c>
      <c r="G1412" s="42" t="str">
        <f aca="false">INDEX(SETORES!$B:$B,MATCH(A1412,SETORES!$A:$A,0))</f>
        <v>Clientes</v>
      </c>
      <c r="H1412" s="42" t="s">
        <v>11</v>
      </c>
    </row>
    <row r="1413" customFormat="false" ht="14.25" hidden="false" customHeight="true" outlineLevel="0" collapsed="false">
      <c r="A1413" s="50" t="s">
        <v>40</v>
      </c>
      <c r="B1413" s="51" t="s">
        <v>155</v>
      </c>
      <c r="C1413" s="51" t="s">
        <v>183</v>
      </c>
      <c r="D1413" s="52" t="n">
        <v>1</v>
      </c>
      <c r="E1413" s="53" t="n">
        <v>4.545456</v>
      </c>
      <c r="F1413" s="54" t="n">
        <f aca="false">IFERROR(D1413*E1413,0)</f>
        <v>4.545456</v>
      </c>
      <c r="G1413" s="51" t="str">
        <f aca="false">INDEX(SETORES!$B:$B,MATCH(A1413,SETORES!$A:$A,0))</f>
        <v>Clientes</v>
      </c>
      <c r="H1413" s="51" t="s">
        <v>11</v>
      </c>
    </row>
    <row r="1414" customFormat="false" ht="14.25" hidden="false" customHeight="true" outlineLevel="0" collapsed="false">
      <c r="A1414" s="50" t="s">
        <v>40</v>
      </c>
      <c r="B1414" s="51" t="s">
        <v>155</v>
      </c>
      <c r="C1414" s="51" t="s">
        <v>172</v>
      </c>
      <c r="D1414" s="52" t="n">
        <v>4</v>
      </c>
      <c r="E1414" s="53" t="n">
        <v>50</v>
      </c>
      <c r="F1414" s="54" t="n">
        <f aca="false">IFERROR(D1414*E1414,0)</f>
        <v>200</v>
      </c>
      <c r="G1414" s="51" t="str">
        <f aca="false">INDEX(SETORES!$B:$B,MATCH(A1414,SETORES!$A:$A,0))</f>
        <v>Clientes</v>
      </c>
      <c r="H1414" s="51" t="s">
        <v>11</v>
      </c>
    </row>
    <row r="1415" customFormat="false" ht="14.25" hidden="false" customHeight="true" outlineLevel="0" collapsed="false">
      <c r="A1415" s="50" t="s">
        <v>40</v>
      </c>
      <c r="B1415" s="51" t="s">
        <v>155</v>
      </c>
      <c r="C1415" s="51" t="s">
        <v>202</v>
      </c>
      <c r="D1415" s="52" t="n">
        <v>1</v>
      </c>
      <c r="E1415" s="53" t="n">
        <v>2559.45</v>
      </c>
      <c r="F1415" s="54" t="n">
        <f aca="false">IFERROR(D1415*E1415,0)</f>
        <v>2559.45</v>
      </c>
      <c r="G1415" s="51" t="str">
        <f aca="false">INDEX(SETORES!$B:$B,MATCH(A1415,SETORES!$A:$A,0))</f>
        <v>Clientes</v>
      </c>
      <c r="H1415" s="51" t="s">
        <v>11</v>
      </c>
    </row>
    <row r="1416" customFormat="false" ht="14.25" hidden="false" customHeight="true" outlineLevel="0" collapsed="false">
      <c r="A1416" s="50" t="s">
        <v>40</v>
      </c>
      <c r="B1416" s="51" t="s">
        <v>155</v>
      </c>
      <c r="C1416" s="51" t="s">
        <v>177</v>
      </c>
      <c r="D1416" s="52"/>
      <c r="E1416" s="53"/>
      <c r="F1416" s="54" t="n">
        <v>0</v>
      </c>
      <c r="G1416" s="51" t="str">
        <f aca="false">INDEX(SETORES!$B:$B,MATCH(A1416,SETORES!$A:$A,0))</f>
        <v>Clientes</v>
      </c>
      <c r="H1416" s="51" t="s">
        <v>11</v>
      </c>
    </row>
    <row r="1417" customFormat="false" ht="14.25" hidden="false" customHeight="true" outlineLevel="0" collapsed="false">
      <c r="A1417" s="16" t="s">
        <v>40</v>
      </c>
      <c r="B1417" s="42" t="s">
        <v>155</v>
      </c>
      <c r="C1417" s="42" t="s">
        <v>178</v>
      </c>
      <c r="D1417" s="43" t="n">
        <v>1</v>
      </c>
      <c r="E1417" s="44" t="n">
        <v>63.95</v>
      </c>
      <c r="F1417" s="45" t="n">
        <v>63.95</v>
      </c>
      <c r="G1417" s="42" t="str">
        <f aca="false">INDEX(SETORES!$B:$B,MATCH(A1417,SETORES!$A:$A,0))</f>
        <v>Clientes</v>
      </c>
      <c r="H1417" s="42" t="s">
        <v>11</v>
      </c>
    </row>
    <row r="1418" customFormat="false" ht="14.25" hidden="false" customHeight="true" outlineLevel="0" collapsed="false">
      <c r="A1418" s="16" t="s">
        <v>40</v>
      </c>
      <c r="B1418" s="42" t="s">
        <v>157</v>
      </c>
      <c r="C1418" s="42" t="s">
        <v>158</v>
      </c>
      <c r="D1418" s="43" t="n">
        <v>1</v>
      </c>
      <c r="E1418" s="44" t="n">
        <v>3112.37</v>
      </c>
      <c r="F1418" s="45" t="n">
        <f aca="false">IFERROR(D1418*E1418,0)</f>
        <v>3112.37</v>
      </c>
      <c r="G1418" s="42" t="str">
        <f aca="false">INDEX(SETORES!$B:$B,MATCH(A1418,SETORES!$A:$A,0))</f>
        <v>Clientes</v>
      </c>
      <c r="H1418" s="42" t="s">
        <v>11</v>
      </c>
    </row>
    <row r="1419" customFormat="false" ht="14.25" hidden="false" customHeight="true" outlineLevel="0" collapsed="false">
      <c r="A1419" s="16" t="s">
        <v>40</v>
      </c>
      <c r="B1419" s="42" t="s">
        <v>155</v>
      </c>
      <c r="C1419" s="42" t="s">
        <v>242</v>
      </c>
      <c r="D1419" s="43"/>
      <c r="E1419" s="44"/>
      <c r="F1419" s="45" t="n">
        <f aca="false">IFERROR(D1419*E1419,0)</f>
        <v>0</v>
      </c>
      <c r="G1419" s="42" t="str">
        <f aca="false">INDEX(SETORES!$B:$B,MATCH(A1419,SETORES!$A:$A,0))</f>
        <v>Clientes</v>
      </c>
      <c r="H1419" s="42" t="s">
        <v>11</v>
      </c>
    </row>
    <row r="1420" customFormat="false" ht="14.25" hidden="false" customHeight="true" outlineLevel="0" collapsed="false">
      <c r="A1420" s="50" t="s">
        <v>40</v>
      </c>
      <c r="B1420" s="51" t="s">
        <v>155</v>
      </c>
      <c r="C1420" s="51" t="s">
        <v>173</v>
      </c>
      <c r="D1420" s="52" t="n">
        <v>4</v>
      </c>
      <c r="E1420" s="53" t="n">
        <v>2.04</v>
      </c>
      <c r="F1420" s="54" t="n">
        <f aca="false">IFERROR(D1420*E1420,0)</f>
        <v>8.16</v>
      </c>
      <c r="G1420" s="51" t="str">
        <f aca="false">INDEX(SETORES!$B:$B,MATCH(A1420,SETORES!$A:$A,0))</f>
        <v>Clientes</v>
      </c>
      <c r="H1420" s="51" t="s">
        <v>11</v>
      </c>
    </row>
    <row r="1421" customFormat="false" ht="14.25" hidden="false" customHeight="true" outlineLevel="0" collapsed="false">
      <c r="A1421" s="16" t="s">
        <v>41</v>
      </c>
      <c r="B1421" s="42" t="s">
        <v>155</v>
      </c>
      <c r="C1421" s="42" t="s">
        <v>162</v>
      </c>
      <c r="D1421" s="43" t="n">
        <v>1</v>
      </c>
      <c r="E1421" s="44" t="n">
        <v>0.025</v>
      </c>
      <c r="F1421" s="45" t="n">
        <v>0.025</v>
      </c>
      <c r="G1421" s="42" t="str">
        <f aca="false">INDEX(SETORES!$B:$B,MATCH(A1421,SETORES!$A:$A,0))</f>
        <v>Clientes</v>
      </c>
      <c r="H1421" s="42" t="s">
        <v>11</v>
      </c>
    </row>
    <row r="1422" customFormat="false" ht="14.25" hidden="false" customHeight="true" outlineLevel="0" collapsed="false">
      <c r="A1422" s="50" t="s">
        <v>41</v>
      </c>
      <c r="B1422" s="51" t="s">
        <v>155</v>
      </c>
      <c r="C1422" s="51" t="s">
        <v>163</v>
      </c>
      <c r="D1422" s="52" t="n">
        <v>1</v>
      </c>
      <c r="E1422" s="53" t="n">
        <v>30</v>
      </c>
      <c r="F1422" s="54" t="n">
        <f aca="false">IFERROR(D1422*E1422,0)</f>
        <v>30</v>
      </c>
      <c r="G1422" s="51" t="str">
        <f aca="false">INDEX(SETORES!$B:$B,MATCH(A1422,SETORES!$A:$A,0))</f>
        <v>Clientes</v>
      </c>
      <c r="H1422" s="51" t="s">
        <v>11</v>
      </c>
    </row>
    <row r="1423" customFormat="false" ht="14.25" hidden="false" customHeight="true" outlineLevel="0" collapsed="false">
      <c r="A1423" s="50" t="s">
        <v>41</v>
      </c>
      <c r="B1423" s="51" t="s">
        <v>155</v>
      </c>
      <c r="C1423" s="51" t="s">
        <v>165</v>
      </c>
      <c r="D1423" s="52" t="n">
        <v>1</v>
      </c>
      <c r="E1423" s="44" t="n">
        <v>51.12</v>
      </c>
      <c r="F1423" s="54" t="n">
        <f aca="false">IFERROR(D1423*E1423,0)</f>
        <v>51.12</v>
      </c>
      <c r="G1423" s="51" t="s">
        <v>99</v>
      </c>
      <c r="H1423" s="51" t="s">
        <v>11</v>
      </c>
    </row>
    <row r="1424" customFormat="false" ht="14.25" hidden="false" customHeight="true" outlineLevel="0" collapsed="false">
      <c r="A1424" s="50" t="s">
        <v>41</v>
      </c>
      <c r="B1424" s="51" t="s">
        <v>155</v>
      </c>
      <c r="C1424" s="51" t="s">
        <v>166</v>
      </c>
      <c r="D1424" s="52" t="n">
        <v>1</v>
      </c>
      <c r="E1424" s="44" t="n">
        <v>31.33</v>
      </c>
      <c r="F1424" s="45" t="n">
        <f aca="false">IFERROR(D1424*E1424,0)</f>
        <v>31.33</v>
      </c>
      <c r="G1424" s="51" t="s">
        <v>99</v>
      </c>
      <c r="H1424" s="51" t="s">
        <v>11</v>
      </c>
    </row>
    <row r="1425" customFormat="false" ht="14.25" hidden="false" customHeight="true" outlineLevel="0" collapsed="false">
      <c r="A1425" s="50" t="s">
        <v>41</v>
      </c>
      <c r="B1425" s="51" t="s">
        <v>155</v>
      </c>
      <c r="C1425" s="51" t="s">
        <v>167</v>
      </c>
      <c r="D1425" s="52" t="n">
        <v>1</v>
      </c>
      <c r="E1425" s="44" t="n">
        <v>63.75</v>
      </c>
      <c r="F1425" s="45" t="n">
        <f aca="false">IFERROR(D1425*E1425,0)</f>
        <v>63.75</v>
      </c>
      <c r="G1425" s="51" t="s">
        <v>99</v>
      </c>
      <c r="H1425" s="51" t="s">
        <v>11</v>
      </c>
    </row>
    <row r="1426" customFormat="false" ht="14.25" hidden="false" customHeight="true" outlineLevel="0" collapsed="false">
      <c r="A1426" s="50" t="s">
        <v>41</v>
      </c>
      <c r="B1426" s="51" t="s">
        <v>155</v>
      </c>
      <c r="C1426" s="51" t="s">
        <v>168</v>
      </c>
      <c r="D1426" s="52" t="n">
        <v>1</v>
      </c>
      <c r="E1426" s="53" t="n">
        <v>8.7572</v>
      </c>
      <c r="F1426" s="54" t="n">
        <v>8.7572</v>
      </c>
      <c r="G1426" s="51" t="str">
        <f aca="false">INDEX(SETORES!$B:$B,MATCH(A1426,SETORES!$A:$A,0))</f>
        <v>Clientes</v>
      </c>
      <c r="H1426" s="51" t="s">
        <v>11</v>
      </c>
    </row>
    <row r="1427" customFormat="false" ht="14.25" hidden="false" customHeight="true" outlineLevel="0" collapsed="false">
      <c r="A1427" s="16" t="s">
        <v>41</v>
      </c>
      <c r="B1427" s="42" t="s">
        <v>155</v>
      </c>
      <c r="C1427" s="42" t="s">
        <v>169</v>
      </c>
      <c r="D1427" s="43" t="n">
        <v>1</v>
      </c>
      <c r="E1427" s="44" t="n">
        <v>18000</v>
      </c>
      <c r="F1427" s="45" t="n">
        <f aca="false">IFERROR(E1427,0)</f>
        <v>18000</v>
      </c>
      <c r="G1427" s="42" t="str">
        <f aca="false">INDEX(SETORES!$B:$B,MATCH(A1427,SETORES!$A:$A,0))</f>
        <v>Clientes</v>
      </c>
      <c r="H1427" s="51" t="s">
        <v>11</v>
      </c>
    </row>
    <row r="1428" customFormat="false" ht="14.25" hidden="false" customHeight="true" outlineLevel="0" collapsed="false">
      <c r="A1428" s="50" t="s">
        <v>41</v>
      </c>
      <c r="B1428" s="51" t="s">
        <v>155</v>
      </c>
      <c r="C1428" s="51" t="s">
        <v>170</v>
      </c>
      <c r="D1428" s="52" t="n">
        <v>1</v>
      </c>
      <c r="E1428" s="53" t="n">
        <v>9.85</v>
      </c>
      <c r="F1428" s="54" t="n">
        <f aca="false">IFERROR(D1428*E1428,0)</f>
        <v>9.85</v>
      </c>
      <c r="G1428" s="51" t="str">
        <f aca="false">INDEX(SETORES!$B:$B,MATCH(A1428,SETORES!$A:$A,0))</f>
        <v>Clientes</v>
      </c>
      <c r="H1428" s="51" t="s">
        <v>11</v>
      </c>
    </row>
    <row r="1429" customFormat="false" ht="14.25" hidden="false" customHeight="true" outlineLevel="0" collapsed="false">
      <c r="A1429" s="16" t="s">
        <v>41</v>
      </c>
      <c r="B1429" s="42" t="s">
        <v>155</v>
      </c>
      <c r="C1429" s="42" t="s">
        <v>183</v>
      </c>
      <c r="D1429" s="43" t="n">
        <v>1</v>
      </c>
      <c r="E1429" s="44" t="n">
        <v>1.136364</v>
      </c>
      <c r="F1429" s="45" t="n">
        <f aca="false">IFERROR(D1429*E1429,0)</f>
        <v>1.136364</v>
      </c>
      <c r="G1429" s="42" t="str">
        <f aca="false">INDEX(SETORES!$B:$B,MATCH(A1429,SETORES!$A:$A,0))</f>
        <v>Clientes</v>
      </c>
      <c r="H1429" s="42" t="s">
        <v>11</v>
      </c>
    </row>
    <row r="1430" customFormat="false" ht="14.25" hidden="false" customHeight="true" outlineLevel="0" collapsed="false">
      <c r="A1430" s="50" t="s">
        <v>41</v>
      </c>
      <c r="B1430" s="51" t="s">
        <v>155</v>
      </c>
      <c r="C1430" s="51" t="s">
        <v>177</v>
      </c>
      <c r="D1430" s="52"/>
      <c r="E1430" s="53"/>
      <c r="F1430" s="54" t="n">
        <v>0</v>
      </c>
      <c r="G1430" s="51" t="str">
        <f aca="false">INDEX(SETORES!$B:$B,MATCH(A1430,SETORES!$A:$A,0))</f>
        <v>Clientes</v>
      </c>
      <c r="H1430" s="51" t="s">
        <v>11</v>
      </c>
    </row>
    <row r="1431" customFormat="false" ht="14.25" hidden="false" customHeight="true" outlineLevel="0" collapsed="false">
      <c r="A1431" s="16" t="s">
        <v>41</v>
      </c>
      <c r="B1431" s="42" t="s">
        <v>155</v>
      </c>
      <c r="C1431" s="42" t="s">
        <v>178</v>
      </c>
      <c r="D1431" s="43"/>
      <c r="E1431" s="44"/>
      <c r="F1431" s="45" t="n">
        <v>0</v>
      </c>
      <c r="G1431" s="42" t="str">
        <f aca="false">INDEX(SETORES!$B:$B,MATCH(A1431,SETORES!$A:$A,0))</f>
        <v>Clientes</v>
      </c>
      <c r="H1431" s="42" t="s">
        <v>11</v>
      </c>
    </row>
    <row r="1432" customFormat="false" ht="14.25" hidden="false" customHeight="true" outlineLevel="0" collapsed="false">
      <c r="A1432" s="16" t="s">
        <v>41</v>
      </c>
      <c r="B1432" s="42" t="s">
        <v>157</v>
      </c>
      <c r="C1432" s="42" t="s">
        <v>158</v>
      </c>
      <c r="D1432" s="43"/>
      <c r="E1432" s="44"/>
      <c r="F1432" s="45" t="n">
        <f aca="false">IFERROR(D1432*E1432,0)</f>
        <v>0</v>
      </c>
      <c r="G1432" s="42" t="str">
        <f aca="false">INDEX(SETORES!$B:$B,MATCH(A1432,SETORES!$A:$A,0))</f>
        <v>Clientes</v>
      </c>
      <c r="H1432" s="42" t="s">
        <v>11</v>
      </c>
    </row>
    <row r="1433" customFormat="false" ht="14.25" hidden="false" customHeight="true" outlineLevel="0" collapsed="false">
      <c r="A1433" s="16" t="s">
        <v>41</v>
      </c>
      <c r="B1433" s="42" t="s">
        <v>155</v>
      </c>
      <c r="C1433" s="42" t="s">
        <v>173</v>
      </c>
      <c r="D1433" s="43" t="n">
        <v>1</v>
      </c>
      <c r="E1433" s="44" t="n">
        <v>2.04</v>
      </c>
      <c r="F1433" s="45" t="n">
        <f aca="false">IFERROR(D1433*E1433,0)</f>
        <v>2.04</v>
      </c>
      <c r="G1433" s="42" t="str">
        <f aca="false">INDEX(SETORES!$B:$B,MATCH(A1433,SETORES!$A:$A,0))</f>
        <v>Clientes</v>
      </c>
      <c r="H1433" s="42" t="s">
        <v>11</v>
      </c>
    </row>
    <row r="1434" customFormat="false" ht="14.25" hidden="false" customHeight="true" outlineLevel="0" collapsed="false">
      <c r="A1434" s="50" t="s">
        <v>79</v>
      </c>
      <c r="B1434" s="51" t="s">
        <v>155</v>
      </c>
      <c r="C1434" s="51" t="s">
        <v>162</v>
      </c>
      <c r="D1434" s="52" t="n">
        <v>7</v>
      </c>
      <c r="E1434" s="53" t="n">
        <v>2.1332</v>
      </c>
      <c r="F1434" s="54" t="n">
        <v>2.1868</v>
      </c>
      <c r="G1434" s="51" t="str">
        <f aca="false">INDEX(SETORES!$B:$B,MATCH(A1434,SETORES!$A:$A,0))</f>
        <v>Funcionários</v>
      </c>
      <c r="H1434" s="51" t="s">
        <v>11</v>
      </c>
    </row>
    <row r="1435" customFormat="false" ht="14.25" hidden="false" customHeight="true" outlineLevel="0" collapsed="false">
      <c r="A1435" s="50" t="s">
        <v>79</v>
      </c>
      <c r="B1435" s="51" t="s">
        <v>155</v>
      </c>
      <c r="C1435" s="51" t="s">
        <v>205</v>
      </c>
      <c r="D1435" s="52" t="n">
        <v>1</v>
      </c>
      <c r="E1435" s="53" t="n">
        <v>1254.61</v>
      </c>
      <c r="F1435" s="54" t="n">
        <f aca="false">IFERROR(D1435*E1435,0)</f>
        <v>1254.61</v>
      </c>
      <c r="G1435" s="51" t="s">
        <v>99</v>
      </c>
      <c r="H1435" s="51" t="s">
        <v>11</v>
      </c>
    </row>
    <row r="1436" customFormat="false" ht="14.25" hidden="false" customHeight="true" outlineLevel="0" collapsed="false">
      <c r="A1436" s="50" t="s">
        <v>79</v>
      </c>
      <c r="B1436" s="51" t="s">
        <v>155</v>
      </c>
      <c r="C1436" s="51" t="s">
        <v>165</v>
      </c>
      <c r="D1436" s="43" t="n">
        <v>7</v>
      </c>
      <c r="E1436" s="44" t="n">
        <v>51.12</v>
      </c>
      <c r="F1436" s="45" t="n">
        <f aca="false">IFERROR(D1436*E1436,0)</f>
        <v>357.84</v>
      </c>
      <c r="G1436" s="51" t="s">
        <v>99</v>
      </c>
      <c r="H1436" s="42" t="s">
        <v>11</v>
      </c>
    </row>
    <row r="1437" customFormat="false" ht="14.25" hidden="false" customHeight="true" outlineLevel="0" collapsed="false">
      <c r="A1437" s="16" t="s">
        <v>79</v>
      </c>
      <c r="B1437" s="42" t="s">
        <v>155</v>
      </c>
      <c r="C1437" s="42" t="s">
        <v>166</v>
      </c>
      <c r="D1437" s="43" t="n">
        <v>7</v>
      </c>
      <c r="E1437" s="44" t="n">
        <v>31.33</v>
      </c>
      <c r="F1437" s="45" t="n">
        <f aca="false">IFERROR(D1437*E1437,0)</f>
        <v>219.31</v>
      </c>
      <c r="G1437" s="51" t="s">
        <v>99</v>
      </c>
      <c r="H1437" s="42" t="s">
        <v>11</v>
      </c>
    </row>
    <row r="1438" customFormat="false" ht="14.25" hidden="false" customHeight="true" outlineLevel="0" collapsed="false">
      <c r="A1438" s="16" t="s">
        <v>79</v>
      </c>
      <c r="B1438" s="42" t="s">
        <v>155</v>
      </c>
      <c r="C1438" s="42" t="s">
        <v>167</v>
      </c>
      <c r="D1438" s="43" t="n">
        <v>7</v>
      </c>
      <c r="E1438" s="44" t="n">
        <v>63.75</v>
      </c>
      <c r="F1438" s="45" t="n">
        <f aca="false">IFERROR(D1438*E1438,0)</f>
        <v>446.25</v>
      </c>
      <c r="G1438" s="51" t="s">
        <v>99</v>
      </c>
      <c r="H1438" s="42" t="s">
        <v>11</v>
      </c>
    </row>
    <row r="1439" customFormat="false" ht="14.25" hidden="false" customHeight="true" outlineLevel="0" collapsed="false">
      <c r="A1439" s="16" t="s">
        <v>79</v>
      </c>
      <c r="B1439" s="42" t="s">
        <v>155</v>
      </c>
      <c r="C1439" s="42" t="s">
        <v>168</v>
      </c>
      <c r="D1439" s="43" t="n">
        <v>7</v>
      </c>
      <c r="E1439" s="44" t="n">
        <v>162.5079</v>
      </c>
      <c r="F1439" s="45" t="n">
        <v>165.8139</v>
      </c>
      <c r="G1439" s="42" t="str">
        <f aca="false">INDEX(SETORES!$B:$B,MATCH(A1439,SETORES!$A:$A,0))</f>
        <v>Funcionários</v>
      </c>
      <c r="H1439" s="42" t="s">
        <v>11</v>
      </c>
    </row>
    <row r="1440" customFormat="false" ht="14.25" hidden="false" customHeight="true" outlineLevel="0" collapsed="false">
      <c r="A1440" s="50" t="s">
        <v>79</v>
      </c>
      <c r="B1440" s="51" t="s">
        <v>155</v>
      </c>
      <c r="C1440" s="51" t="s">
        <v>169</v>
      </c>
      <c r="D1440" s="52" t="n">
        <v>1</v>
      </c>
      <c r="E1440" s="53" t="n">
        <v>43834.77</v>
      </c>
      <c r="F1440" s="54" t="n">
        <v>43834.77</v>
      </c>
      <c r="G1440" s="51" t="str">
        <f aca="false">INDEX(SETORES!$B:$B,MATCH(A1440,SETORES!$A:$A,0))</f>
        <v>Funcionários</v>
      </c>
      <c r="H1440" s="51" t="s">
        <v>11</v>
      </c>
    </row>
    <row r="1441" customFormat="false" ht="14.25" hidden="false" customHeight="true" outlineLevel="0" collapsed="false">
      <c r="A1441" s="50" t="s">
        <v>79</v>
      </c>
      <c r="B1441" s="51" t="s">
        <v>155</v>
      </c>
      <c r="C1441" s="51" t="s">
        <v>170</v>
      </c>
      <c r="D1441" s="52" t="n">
        <v>7</v>
      </c>
      <c r="E1441" s="53" t="n">
        <v>9.85</v>
      </c>
      <c r="F1441" s="54" t="n">
        <f aca="false">IFERROR(D1441*E1441,0)</f>
        <v>68.95</v>
      </c>
      <c r="G1441" s="51" t="s">
        <v>99</v>
      </c>
      <c r="H1441" s="51" t="s">
        <v>11</v>
      </c>
    </row>
    <row r="1442" customFormat="false" ht="14.25" hidden="false" customHeight="true" outlineLevel="0" collapsed="false">
      <c r="A1442" s="50" t="s">
        <v>79</v>
      </c>
      <c r="B1442" s="51" t="s">
        <v>155</v>
      </c>
      <c r="C1442" s="51" t="s">
        <v>172</v>
      </c>
      <c r="D1442" s="52" t="n">
        <v>2</v>
      </c>
      <c r="E1442" s="44" t="n">
        <v>50</v>
      </c>
      <c r="F1442" s="54" t="n">
        <f aca="false">IFERROR(D1442*E1442,0)</f>
        <v>100</v>
      </c>
      <c r="G1442" s="51" t="str">
        <f aca="false">INDEX(SETORES!$B:$B,MATCH(A1442,SETORES!$A:$A,0))</f>
        <v>Funcionários</v>
      </c>
      <c r="H1442" s="51" t="s">
        <v>11</v>
      </c>
    </row>
    <row r="1443" customFormat="false" ht="14.25" hidden="false" customHeight="true" outlineLevel="0" collapsed="false">
      <c r="A1443" s="51" t="s">
        <v>143</v>
      </c>
      <c r="B1443" s="51" t="s">
        <v>157</v>
      </c>
      <c r="C1443" s="51" t="s">
        <v>184</v>
      </c>
      <c r="D1443" s="52" t="n">
        <v>10</v>
      </c>
      <c r="E1443" s="44" t="n">
        <v>67.41</v>
      </c>
      <c r="F1443" s="45" t="n">
        <f aca="false">IFERROR(D1443*E1443,0)</f>
        <v>674.1</v>
      </c>
      <c r="G1443" s="51" t="str">
        <f aca="false">INDEX(SETORES!$B:$B,MATCH(A1443,SETORES!$A:$A,0))</f>
        <v>Clientes</v>
      </c>
      <c r="H1443" s="51" t="s">
        <v>11</v>
      </c>
    </row>
    <row r="1444" customFormat="false" ht="14.25" hidden="false" customHeight="true" outlineLevel="0" collapsed="false">
      <c r="A1444" s="50" t="s">
        <v>79</v>
      </c>
      <c r="B1444" s="51" t="s">
        <v>157</v>
      </c>
      <c r="C1444" s="51" t="s">
        <v>184</v>
      </c>
      <c r="D1444" s="52" t="n">
        <v>7</v>
      </c>
      <c r="E1444" s="44" t="n">
        <v>67.41</v>
      </c>
      <c r="F1444" s="54" t="n">
        <f aca="false">IFERROR(D1444*E1444,0)</f>
        <v>471.87</v>
      </c>
      <c r="G1444" s="51" t="str">
        <f aca="false">INDEX(SETORES!$B:$B,MATCH(A1444,SETORES!$A:$A,0))</f>
        <v>Funcionários</v>
      </c>
      <c r="H1444" s="51" t="s">
        <v>11</v>
      </c>
    </row>
    <row r="1445" customFormat="false" ht="14.25" hidden="false" customHeight="true" outlineLevel="0" collapsed="false">
      <c r="A1445" s="50" t="s">
        <v>79</v>
      </c>
      <c r="B1445" s="51" t="s">
        <v>157</v>
      </c>
      <c r="C1445" s="51" t="s">
        <v>158</v>
      </c>
      <c r="D1445" s="52"/>
      <c r="E1445" s="53"/>
      <c r="F1445" s="54" t="n">
        <f aca="false">IFERROR(D1445*E1445,0)</f>
        <v>0</v>
      </c>
      <c r="G1445" s="51" t="str">
        <f aca="false">INDEX(SETORES!$B:$B,MATCH(A1445,SETORES!$A:$A,0))</f>
        <v>Funcionários</v>
      </c>
      <c r="H1445" s="51" t="s">
        <v>11</v>
      </c>
    </row>
    <row r="1446" customFormat="false" ht="14.25" hidden="false" customHeight="true" outlineLevel="0" collapsed="false">
      <c r="A1446" s="16" t="s">
        <v>79</v>
      </c>
      <c r="B1446" s="42" t="s">
        <v>155</v>
      </c>
      <c r="C1446" s="42" t="s">
        <v>173</v>
      </c>
      <c r="D1446" s="43" t="n">
        <v>7</v>
      </c>
      <c r="E1446" s="44" t="n">
        <v>2.04</v>
      </c>
      <c r="F1446" s="45" t="n">
        <f aca="false">IFERROR(D1446*E1446,0)</f>
        <v>14.28</v>
      </c>
      <c r="G1446" s="42" t="s">
        <v>99</v>
      </c>
      <c r="H1446" s="42" t="s">
        <v>11</v>
      </c>
    </row>
    <row r="1447" customFormat="false" ht="14.25" hidden="false" customHeight="true" outlineLevel="0" collapsed="false">
      <c r="A1447" s="50" t="s">
        <v>141</v>
      </c>
      <c r="B1447" s="51" t="s">
        <v>155</v>
      </c>
      <c r="C1447" s="51" t="s">
        <v>169</v>
      </c>
      <c r="D1447" s="52" t="n">
        <v>1</v>
      </c>
      <c r="E1447" s="53" t="n">
        <v>20632.94</v>
      </c>
      <c r="F1447" s="54" t="n">
        <f aca="false">D1447*E1447</f>
        <v>20632.94</v>
      </c>
      <c r="G1447" s="51"/>
      <c r="H1447" s="42" t="s">
        <v>11</v>
      </c>
    </row>
    <row r="1448" customFormat="false" ht="14.25" hidden="false" customHeight="true" outlineLevel="0" collapsed="false">
      <c r="A1448" s="50" t="s">
        <v>80</v>
      </c>
      <c r="B1448" s="51" t="s">
        <v>155</v>
      </c>
      <c r="C1448" s="51" t="s">
        <v>162</v>
      </c>
      <c r="D1448" s="52" t="n">
        <v>1</v>
      </c>
      <c r="E1448" s="53" t="n">
        <v>0.075</v>
      </c>
      <c r="F1448" s="54" t="n">
        <v>0.075</v>
      </c>
      <c r="G1448" s="51" t="s">
        <v>97</v>
      </c>
      <c r="H1448" s="51" t="s">
        <v>11</v>
      </c>
    </row>
    <row r="1449" customFormat="false" ht="14.25" hidden="false" customHeight="true" outlineLevel="0" collapsed="false">
      <c r="A1449" s="50" t="s">
        <v>80</v>
      </c>
      <c r="B1449" s="51" t="s">
        <v>155</v>
      </c>
      <c r="C1449" s="51" t="s">
        <v>165</v>
      </c>
      <c r="D1449" s="52" t="n">
        <v>3</v>
      </c>
      <c r="E1449" s="44" t="n">
        <v>51.12</v>
      </c>
      <c r="F1449" s="54" t="n">
        <f aca="false">IFERROR(D1449*E1449,0)</f>
        <v>153.36</v>
      </c>
      <c r="G1449" s="51" t="s">
        <v>99</v>
      </c>
      <c r="H1449" s="51" t="s">
        <v>11</v>
      </c>
    </row>
    <row r="1450" customFormat="false" ht="14.25" hidden="false" customHeight="true" outlineLevel="0" collapsed="false">
      <c r="A1450" s="16" t="s">
        <v>80</v>
      </c>
      <c r="B1450" s="42" t="s">
        <v>155</v>
      </c>
      <c r="C1450" s="42" t="s">
        <v>166</v>
      </c>
      <c r="D1450" s="43" t="n">
        <v>3</v>
      </c>
      <c r="E1450" s="44" t="n">
        <v>31.33</v>
      </c>
      <c r="F1450" s="45" t="n">
        <f aca="false">IFERROR(D1450*E1450,0)</f>
        <v>93.99</v>
      </c>
      <c r="G1450" s="51" t="s">
        <v>99</v>
      </c>
      <c r="H1450" s="42" t="s">
        <v>11</v>
      </c>
    </row>
    <row r="1451" customFormat="false" ht="14.25" hidden="false" customHeight="true" outlineLevel="0" collapsed="false">
      <c r="A1451" s="16" t="s">
        <v>80</v>
      </c>
      <c r="B1451" s="42" t="s">
        <v>155</v>
      </c>
      <c r="C1451" s="42" t="s">
        <v>167</v>
      </c>
      <c r="D1451" s="43" t="n">
        <v>3</v>
      </c>
      <c r="E1451" s="44" t="n">
        <v>63.75</v>
      </c>
      <c r="F1451" s="45" t="n">
        <f aca="false">IFERROR(D1451*E1451,0)</f>
        <v>191.25</v>
      </c>
      <c r="G1451" s="51" t="s">
        <v>99</v>
      </c>
      <c r="H1451" s="42" t="s">
        <v>11</v>
      </c>
    </row>
    <row r="1452" customFormat="false" ht="14.25" hidden="false" customHeight="true" outlineLevel="0" collapsed="false">
      <c r="A1452" s="16" t="s">
        <v>80</v>
      </c>
      <c r="B1452" s="42" t="s">
        <v>155</v>
      </c>
      <c r="C1452" s="42" t="s">
        <v>168</v>
      </c>
      <c r="D1452" s="43" t="n">
        <v>1</v>
      </c>
      <c r="E1452" s="44" t="n">
        <v>26.2716</v>
      </c>
      <c r="F1452" s="45" t="n">
        <v>26.2716</v>
      </c>
      <c r="G1452" s="42" t="s">
        <v>97</v>
      </c>
      <c r="H1452" s="42" t="s">
        <v>11</v>
      </c>
    </row>
    <row r="1453" customFormat="false" ht="14.25" hidden="false" customHeight="true" outlineLevel="0" collapsed="false">
      <c r="A1453" s="50" t="s">
        <v>80</v>
      </c>
      <c r="B1453" s="51" t="s">
        <v>155</v>
      </c>
      <c r="C1453" s="51" t="s">
        <v>169</v>
      </c>
      <c r="D1453" s="52" t="n">
        <v>1</v>
      </c>
      <c r="E1453" s="53" t="n">
        <v>28674.49</v>
      </c>
      <c r="F1453" s="54" t="n">
        <f aca="false">IFERROR(E1453,0)</f>
        <v>28674.49</v>
      </c>
      <c r="G1453" s="51" t="str">
        <f aca="false">INDEX(SETORES!$B:$B,MATCH(A1453,SETORES!$A:$A,0))</f>
        <v>Clientes</v>
      </c>
      <c r="H1453" s="51" t="s">
        <v>11</v>
      </c>
    </row>
    <row r="1454" customFormat="false" ht="14.25" hidden="false" customHeight="true" outlineLevel="0" collapsed="false">
      <c r="A1454" s="50" t="s">
        <v>80</v>
      </c>
      <c r="B1454" s="51" t="s">
        <v>155</v>
      </c>
      <c r="C1454" s="51" t="s">
        <v>170</v>
      </c>
      <c r="D1454" s="52" t="n">
        <v>3</v>
      </c>
      <c r="E1454" s="53" t="n">
        <v>9.85</v>
      </c>
      <c r="F1454" s="54" t="n">
        <f aca="false">IFERROR(D1454*E1454,0)</f>
        <v>29.55</v>
      </c>
      <c r="G1454" s="51" t="str">
        <f aca="false">INDEX(SETORES!$B:$B,MATCH(A1454,SETORES!$A:$A,0))</f>
        <v>Clientes</v>
      </c>
      <c r="H1454" s="51" t="s">
        <v>11</v>
      </c>
    </row>
    <row r="1455" customFormat="false" ht="14.25" hidden="false" customHeight="true" outlineLevel="0" collapsed="false">
      <c r="A1455" s="50" t="s">
        <v>80</v>
      </c>
      <c r="B1455" s="51" t="s">
        <v>155</v>
      </c>
      <c r="C1455" s="51" t="s">
        <v>183</v>
      </c>
      <c r="D1455" s="52" t="n">
        <v>1</v>
      </c>
      <c r="E1455" s="53" t="n">
        <v>3.409092</v>
      </c>
      <c r="F1455" s="54" t="n">
        <f aca="false">IFERROR(D1455*E1455,0)</f>
        <v>3.409092</v>
      </c>
      <c r="G1455" s="51" t="str">
        <f aca="false">INDEX(SETORES!$B:$B,MATCH(A1455,SETORES!$A:$A,0))</f>
        <v>Clientes</v>
      </c>
      <c r="H1455" s="51" t="s">
        <v>11</v>
      </c>
    </row>
    <row r="1456" customFormat="false" ht="14.25" hidden="false" customHeight="true" outlineLevel="0" collapsed="false">
      <c r="A1456" s="50" t="s">
        <v>80</v>
      </c>
      <c r="B1456" s="51" t="s">
        <v>155</v>
      </c>
      <c r="C1456" s="51" t="s">
        <v>172</v>
      </c>
      <c r="D1456" s="52" t="n">
        <v>3</v>
      </c>
      <c r="E1456" s="53" t="n">
        <v>50</v>
      </c>
      <c r="F1456" s="54" t="n">
        <f aca="false">IFERROR(D1456*E1456,0)</f>
        <v>150</v>
      </c>
      <c r="G1456" s="51" t="str">
        <f aca="false">INDEX(SETORES!$B:$B,MATCH(A1456,SETORES!$A:$A,0))</f>
        <v>Clientes</v>
      </c>
      <c r="H1456" s="51" t="s">
        <v>11</v>
      </c>
    </row>
    <row r="1457" customFormat="false" ht="14.25" hidden="false" customHeight="true" outlineLevel="0" collapsed="false">
      <c r="A1457" s="16" t="s">
        <v>80</v>
      </c>
      <c r="B1457" s="42" t="s">
        <v>155</v>
      </c>
      <c r="C1457" s="42" t="s">
        <v>178</v>
      </c>
      <c r="D1457" s="43" t="n">
        <v>1</v>
      </c>
      <c r="E1457" s="44" t="n">
        <v>46.45</v>
      </c>
      <c r="F1457" s="45" t="n">
        <v>46.45</v>
      </c>
      <c r="G1457" s="42" t="str">
        <f aca="false">INDEX(SETORES!$B:$B,MATCH(A1457,SETORES!$A:$A,0))</f>
        <v>Clientes</v>
      </c>
      <c r="H1457" s="42" t="s">
        <v>11</v>
      </c>
    </row>
    <row r="1458" customFormat="false" ht="14.25" hidden="false" customHeight="true" outlineLevel="0" collapsed="false">
      <c r="A1458" s="16" t="s">
        <v>80</v>
      </c>
      <c r="B1458" s="42" t="s">
        <v>157</v>
      </c>
      <c r="C1458" s="42" t="s">
        <v>158</v>
      </c>
      <c r="D1458" s="43"/>
      <c r="E1458" s="44"/>
      <c r="F1458" s="45" t="n">
        <f aca="false">IFERROR(D1458*E1458,0)</f>
        <v>0</v>
      </c>
      <c r="G1458" s="42" t="str">
        <f aca="false">INDEX(SETORES!$B:$B,MATCH(A1458,SETORES!$A:$A,0))</f>
        <v>Clientes</v>
      </c>
      <c r="H1458" s="42" t="s">
        <v>11</v>
      </c>
    </row>
    <row r="1459" customFormat="false" ht="14.25" hidden="false" customHeight="true" outlineLevel="0" collapsed="false">
      <c r="A1459" s="16" t="s">
        <v>80</v>
      </c>
      <c r="B1459" s="42" t="s">
        <v>155</v>
      </c>
      <c r="C1459" s="42" t="s">
        <v>173</v>
      </c>
      <c r="D1459" s="43" t="n">
        <v>3</v>
      </c>
      <c r="E1459" s="44" t="n">
        <v>2.04</v>
      </c>
      <c r="F1459" s="45" t="n">
        <f aca="false">IFERROR(D1459*E1459,0)</f>
        <v>6.12</v>
      </c>
      <c r="G1459" s="42" t="str">
        <f aca="false">INDEX(SETORES!$B:$B,MATCH(A1459,SETORES!$A:$A,0))</f>
        <v>Clientes</v>
      </c>
      <c r="H1459" s="42" t="s">
        <v>11</v>
      </c>
    </row>
    <row r="1460" customFormat="false" ht="14.25" hidden="false" customHeight="true" outlineLevel="0" collapsed="false">
      <c r="A1460" s="16" t="s">
        <v>42</v>
      </c>
      <c r="B1460" s="42" t="s">
        <v>155</v>
      </c>
      <c r="C1460" s="42" t="s">
        <v>162</v>
      </c>
      <c r="D1460" s="43" t="n">
        <v>1</v>
      </c>
      <c r="E1460" s="44" t="n">
        <v>0.05</v>
      </c>
      <c r="F1460" s="45" t="n">
        <v>0.05</v>
      </c>
      <c r="G1460" s="42" t="str">
        <f aca="false">INDEX(SETORES!$B:$B,MATCH(A1460,SETORES!$A:$A,0))</f>
        <v>Clientes</v>
      </c>
      <c r="H1460" s="42" t="s">
        <v>11</v>
      </c>
    </row>
    <row r="1461" customFormat="false" ht="14.25" hidden="false" customHeight="true" outlineLevel="0" collapsed="false">
      <c r="A1461" s="50" t="s">
        <v>42</v>
      </c>
      <c r="B1461" s="51" t="s">
        <v>155</v>
      </c>
      <c r="C1461" s="51" t="s">
        <v>168</v>
      </c>
      <c r="D1461" s="52" t="n">
        <v>1</v>
      </c>
      <c r="E1461" s="53" t="n">
        <v>17.5144</v>
      </c>
      <c r="F1461" s="54" t="n">
        <v>17.5144</v>
      </c>
      <c r="G1461" s="51" t="str">
        <f aca="false">INDEX(SETORES!$B:$B,MATCH(A1461,SETORES!$A:$A,0))</f>
        <v>Clientes</v>
      </c>
      <c r="H1461" s="51" t="s">
        <v>11</v>
      </c>
    </row>
    <row r="1462" customFormat="false" ht="14.25" hidden="false" customHeight="true" outlineLevel="0" collapsed="false">
      <c r="A1462" s="16" t="s">
        <v>42</v>
      </c>
      <c r="B1462" s="42" t="s">
        <v>157</v>
      </c>
      <c r="C1462" s="42" t="s">
        <v>175</v>
      </c>
      <c r="D1462" s="43"/>
      <c r="E1462" s="44"/>
      <c r="F1462" s="45" t="n">
        <f aca="false">IFERROR(D1462*E1462,0)</f>
        <v>0</v>
      </c>
      <c r="G1462" s="42" t="str">
        <f aca="false">INDEX(SETORES!$B:$B,MATCH(A1462,SETORES!$A:$A,0))</f>
        <v>Clientes</v>
      </c>
      <c r="H1462" s="42" t="s">
        <v>11</v>
      </c>
    </row>
    <row r="1463" customFormat="false" ht="14.25" hidden="false" customHeight="true" outlineLevel="0" collapsed="false">
      <c r="A1463" s="50" t="s">
        <v>42</v>
      </c>
      <c r="B1463" s="51" t="s">
        <v>157</v>
      </c>
      <c r="C1463" s="51" t="s">
        <v>176</v>
      </c>
      <c r="D1463" s="52"/>
      <c r="E1463" s="53"/>
      <c r="F1463" s="54" t="n">
        <f aca="false">IFERROR(D1463*E1463,0)</f>
        <v>0</v>
      </c>
      <c r="G1463" s="51" t="str">
        <f aca="false">INDEX(SETORES!$B:$B,MATCH(A1463,SETORES!$A:$A,0))</f>
        <v>Clientes</v>
      </c>
      <c r="H1463" s="51" t="s">
        <v>11</v>
      </c>
    </row>
    <row r="1464" customFormat="false" ht="14.25" hidden="false" customHeight="true" outlineLevel="0" collapsed="false">
      <c r="A1464" s="16" t="s">
        <v>42</v>
      </c>
      <c r="B1464" s="42" t="s">
        <v>155</v>
      </c>
      <c r="C1464" s="42" t="s">
        <v>169</v>
      </c>
      <c r="D1464" s="43" t="n">
        <v>1</v>
      </c>
      <c r="E1464" s="44" t="n">
        <v>28225.1106607408</v>
      </c>
      <c r="F1464" s="45" t="n">
        <f aca="false">IFERROR(E1464,0)</f>
        <v>28225.1106607408</v>
      </c>
      <c r="G1464" s="42" t="str">
        <f aca="false">INDEX(SETORES!$B:$B,MATCH(A1464,SETORES!$A:$A,0))</f>
        <v>Clientes</v>
      </c>
      <c r="H1464" s="42" t="s">
        <v>11</v>
      </c>
    </row>
    <row r="1465" customFormat="false" ht="14.25" hidden="false" customHeight="true" outlineLevel="0" collapsed="false">
      <c r="A1465" s="50" t="s">
        <v>42</v>
      </c>
      <c r="B1465" s="51" t="s">
        <v>155</v>
      </c>
      <c r="C1465" s="51" t="s">
        <v>170</v>
      </c>
      <c r="D1465" s="52" t="n">
        <v>2</v>
      </c>
      <c r="E1465" s="53" t="n">
        <v>9.85</v>
      </c>
      <c r="F1465" s="54" t="n">
        <f aca="false">IFERROR(D1465*E1465,0)</f>
        <v>19.7</v>
      </c>
      <c r="G1465" s="51" t="str">
        <f aca="false">INDEX(SETORES!$B:$B,MATCH(A1465,SETORES!$A:$A,0))</f>
        <v>Clientes</v>
      </c>
      <c r="H1465" s="51" t="s">
        <v>11</v>
      </c>
    </row>
    <row r="1466" customFormat="false" ht="14.25" hidden="false" customHeight="true" outlineLevel="0" collapsed="false">
      <c r="A1466" s="16" t="s">
        <v>42</v>
      </c>
      <c r="B1466" s="42" t="s">
        <v>155</v>
      </c>
      <c r="C1466" s="42" t="s">
        <v>183</v>
      </c>
      <c r="D1466" s="43" t="n">
        <v>1</v>
      </c>
      <c r="E1466" s="44" t="n">
        <v>2.272728</v>
      </c>
      <c r="F1466" s="45" t="n">
        <f aca="false">IFERROR(D1466*E1466,0)</f>
        <v>2.272728</v>
      </c>
      <c r="G1466" s="42" t="str">
        <f aca="false">INDEX(SETORES!$B:$B,MATCH(A1466,SETORES!$A:$A,0))</f>
        <v>Clientes</v>
      </c>
      <c r="H1466" s="42" t="s">
        <v>11</v>
      </c>
    </row>
    <row r="1467" customFormat="false" ht="14.25" hidden="false" customHeight="true" outlineLevel="0" collapsed="false">
      <c r="A1467" s="16" t="s">
        <v>42</v>
      </c>
      <c r="B1467" s="42" t="s">
        <v>155</v>
      </c>
      <c r="C1467" s="42" t="s">
        <v>172</v>
      </c>
      <c r="D1467" s="43" t="n">
        <v>2</v>
      </c>
      <c r="E1467" s="44" t="n">
        <v>50</v>
      </c>
      <c r="F1467" s="45" t="n">
        <f aca="false">IFERROR(D1467*E1467,0)</f>
        <v>100</v>
      </c>
      <c r="G1467" s="42" t="str">
        <f aca="false">INDEX(SETORES!$B:$B,MATCH(A1467,SETORES!$A:$A,0))</f>
        <v>Clientes</v>
      </c>
      <c r="H1467" s="42" t="s">
        <v>11</v>
      </c>
    </row>
    <row r="1468" customFormat="false" ht="14.25" hidden="false" customHeight="true" outlineLevel="0" collapsed="false">
      <c r="A1468" s="50" t="s">
        <v>42</v>
      </c>
      <c r="B1468" s="51" t="s">
        <v>155</v>
      </c>
      <c r="C1468" s="51" t="s">
        <v>177</v>
      </c>
      <c r="D1468" s="52" t="n">
        <v>2</v>
      </c>
      <c r="E1468" s="53" t="n">
        <v>5</v>
      </c>
      <c r="F1468" s="54" t="n">
        <v>10</v>
      </c>
      <c r="G1468" s="51" t="str">
        <f aca="false">INDEX(SETORES!$B:$B,MATCH(A1468,SETORES!$A:$A,0))</f>
        <v>Clientes</v>
      </c>
      <c r="H1468" s="51" t="s">
        <v>11</v>
      </c>
    </row>
    <row r="1469" customFormat="false" ht="14.25" hidden="false" customHeight="true" outlineLevel="0" collapsed="false">
      <c r="A1469" s="16" t="s">
        <v>42</v>
      </c>
      <c r="B1469" s="42" t="s">
        <v>155</v>
      </c>
      <c r="C1469" s="42" t="s">
        <v>178</v>
      </c>
      <c r="D1469" s="43" t="n">
        <v>1</v>
      </c>
      <c r="E1469" s="44" t="n">
        <v>70.8</v>
      </c>
      <c r="F1469" s="45" t="n">
        <v>70.8</v>
      </c>
      <c r="G1469" s="42" t="str">
        <f aca="false">INDEX(SETORES!$B:$B,MATCH(A1469,SETORES!$A:$A,0))</f>
        <v>Clientes</v>
      </c>
      <c r="H1469" s="42" t="s">
        <v>11</v>
      </c>
    </row>
    <row r="1470" customFormat="false" ht="14.25" hidden="false" customHeight="true" outlineLevel="0" collapsed="false">
      <c r="A1470" s="50" t="s">
        <v>42</v>
      </c>
      <c r="B1470" s="51" t="s">
        <v>157</v>
      </c>
      <c r="C1470" s="51" t="s">
        <v>158</v>
      </c>
      <c r="D1470" s="52"/>
      <c r="E1470" s="53"/>
      <c r="F1470" s="54" t="n">
        <f aca="false">IFERROR(D1470*E1470,0)</f>
        <v>0</v>
      </c>
      <c r="G1470" s="51" t="str">
        <f aca="false">INDEX(SETORES!$B:$B,MATCH(A1470,SETORES!$A:$A,0))</f>
        <v>Clientes</v>
      </c>
      <c r="H1470" s="51" t="s">
        <v>11</v>
      </c>
    </row>
    <row r="1471" customFormat="false" ht="14.25" hidden="false" customHeight="true" outlineLevel="0" collapsed="false">
      <c r="A1471" s="16" t="s">
        <v>42</v>
      </c>
      <c r="B1471" s="42" t="s">
        <v>155</v>
      </c>
      <c r="C1471" s="42" t="s">
        <v>173</v>
      </c>
      <c r="D1471" s="43" t="n">
        <v>2</v>
      </c>
      <c r="E1471" s="44" t="n">
        <v>2.04</v>
      </c>
      <c r="F1471" s="45" t="n">
        <f aca="false">IFERROR(D1471*E1471,0)</f>
        <v>4.08</v>
      </c>
      <c r="G1471" s="42" t="str">
        <f aca="false">INDEX(SETORES!$B:$B,MATCH(A1471,SETORES!$A:$A,0))</f>
        <v>Clientes</v>
      </c>
      <c r="H1471" s="42" t="s">
        <v>11</v>
      </c>
    </row>
    <row r="1472" customFormat="false" ht="14.25" hidden="false" customHeight="true" outlineLevel="0" collapsed="false">
      <c r="A1472" s="50" t="s">
        <v>42</v>
      </c>
      <c r="B1472" s="51" t="s">
        <v>155</v>
      </c>
      <c r="C1472" s="51" t="s">
        <v>179</v>
      </c>
      <c r="D1472" s="52"/>
      <c r="E1472" s="53"/>
      <c r="F1472" s="54" t="n">
        <f aca="false">IFERROR(D1472*E1472,0)</f>
        <v>0</v>
      </c>
      <c r="G1472" s="51" t="str">
        <f aca="false">INDEX(SETORES!$B:$B,MATCH(A1472,SETORES!$A:$A,0))</f>
        <v>Clientes</v>
      </c>
      <c r="H1472" s="51" t="s">
        <v>11</v>
      </c>
    </row>
    <row r="1473" customFormat="false" ht="14.25" hidden="false" customHeight="true" outlineLevel="0" collapsed="false">
      <c r="A1473" s="50" t="s">
        <v>42</v>
      </c>
      <c r="B1473" s="51" t="s">
        <v>157</v>
      </c>
      <c r="C1473" s="51" t="s">
        <v>208</v>
      </c>
      <c r="D1473" s="52"/>
      <c r="E1473" s="53"/>
      <c r="F1473" s="54" t="n">
        <f aca="false">IFERROR(D1473*E1473,0)</f>
        <v>0</v>
      </c>
      <c r="G1473" s="51" t="str">
        <f aca="false">INDEX(SETORES!$B:$B,MATCH(A1473,SETORES!$A:$A,0))</f>
        <v>Clientes</v>
      </c>
      <c r="H1473" s="51" t="s">
        <v>11</v>
      </c>
    </row>
    <row r="1474" customFormat="false" ht="14.25" hidden="false" customHeight="true" outlineLevel="0" collapsed="false">
      <c r="A1474" s="16" t="s">
        <v>33</v>
      </c>
      <c r="B1474" s="42" t="s">
        <v>155</v>
      </c>
      <c r="C1474" s="42" t="s">
        <v>162</v>
      </c>
      <c r="D1474" s="43" t="n">
        <v>1</v>
      </c>
      <c r="E1474" s="44" t="n">
        <v>0.175</v>
      </c>
      <c r="F1474" s="45" t="n">
        <v>0.175</v>
      </c>
      <c r="G1474" s="42" t="str">
        <f aca="false">INDEX(SETORES!$B:$B,MATCH(A1474,SETORES!$A:$A,0))</f>
        <v>Funcionários</v>
      </c>
      <c r="H1474" s="42" t="s">
        <v>11</v>
      </c>
    </row>
    <row r="1475" customFormat="false" ht="14.25" hidden="false" customHeight="true" outlineLevel="0" collapsed="false">
      <c r="A1475" s="50" t="s">
        <v>33</v>
      </c>
      <c r="B1475" s="51" t="s">
        <v>155</v>
      </c>
      <c r="C1475" s="51" t="s">
        <v>163</v>
      </c>
      <c r="D1475" s="52" t="n">
        <v>2</v>
      </c>
      <c r="E1475" s="53" t="n">
        <v>30</v>
      </c>
      <c r="F1475" s="54" t="n">
        <f aca="false">IFERROR(D1475*E1475,0)</f>
        <v>60</v>
      </c>
      <c r="G1475" s="51" t="str">
        <f aca="false">INDEX(SETORES!$B:$B,MATCH(A1475,SETORES!$A:$A,0))</f>
        <v>Funcionários</v>
      </c>
      <c r="H1475" s="51" t="s">
        <v>11</v>
      </c>
    </row>
    <row r="1476" customFormat="false" ht="14.25" hidden="false" customHeight="true" outlineLevel="0" collapsed="false">
      <c r="A1476" s="50" t="s">
        <v>33</v>
      </c>
      <c r="B1476" s="51" t="s">
        <v>155</v>
      </c>
      <c r="C1476" s="51" t="s">
        <v>168</v>
      </c>
      <c r="D1476" s="52" t="n">
        <v>1</v>
      </c>
      <c r="E1476" s="53" t="n">
        <v>61.3005</v>
      </c>
      <c r="F1476" s="54" t="n">
        <v>61.3005</v>
      </c>
      <c r="G1476" s="51" t="str">
        <f aca="false">INDEX(SETORES!$B:$B,MATCH(A1476,SETORES!$A:$A,0))</f>
        <v>Funcionários</v>
      </c>
      <c r="H1476" s="51" t="s">
        <v>11</v>
      </c>
    </row>
    <row r="1477" customFormat="false" ht="14.25" hidden="false" customHeight="true" outlineLevel="0" collapsed="false">
      <c r="A1477" s="50" t="s">
        <v>33</v>
      </c>
      <c r="B1477" s="51" t="s">
        <v>157</v>
      </c>
      <c r="C1477" s="51" t="s">
        <v>243</v>
      </c>
      <c r="D1477" s="52"/>
      <c r="E1477" s="53"/>
      <c r="F1477" s="54" t="n">
        <f aca="false">IFERROR(D1477*E1477,0)</f>
        <v>0</v>
      </c>
      <c r="G1477" s="51" t="str">
        <f aca="false">INDEX(SETORES!$B:$B,MATCH(A1477,SETORES!$A:$A,0))</f>
        <v>Funcionários</v>
      </c>
      <c r="H1477" s="51" t="s">
        <v>11</v>
      </c>
    </row>
    <row r="1478" customFormat="false" ht="14.25" hidden="false" customHeight="true" outlineLevel="0" collapsed="false">
      <c r="A1478" s="50" t="s">
        <v>33</v>
      </c>
      <c r="B1478" s="51" t="s">
        <v>157</v>
      </c>
      <c r="C1478" s="51" t="s">
        <v>175</v>
      </c>
      <c r="D1478" s="52" t="n">
        <v>1</v>
      </c>
      <c r="E1478" s="53" t="n">
        <v>272</v>
      </c>
      <c r="F1478" s="54" t="n">
        <f aca="false">IFERROR(D1478*E1478,0)</f>
        <v>272</v>
      </c>
      <c r="G1478" s="51" t="str">
        <f aca="false">INDEX(SETORES!$B:$B,MATCH(A1478,SETORES!$A:$A,0))</f>
        <v>Funcionários</v>
      </c>
      <c r="H1478" s="51" t="s">
        <v>11</v>
      </c>
    </row>
    <row r="1479" customFormat="false" ht="14.25" hidden="false" customHeight="true" outlineLevel="0" collapsed="false">
      <c r="A1479" s="16" t="s">
        <v>33</v>
      </c>
      <c r="B1479" s="42" t="s">
        <v>157</v>
      </c>
      <c r="C1479" s="42" t="s">
        <v>176</v>
      </c>
      <c r="D1479" s="43"/>
      <c r="E1479" s="44"/>
      <c r="F1479" s="45" t="n">
        <f aca="false">IFERROR(D1479*E1479,0)</f>
        <v>0</v>
      </c>
      <c r="G1479" s="42" t="str">
        <f aca="false">INDEX(SETORES!$B:$B,MATCH(A1479,SETORES!$A:$A,0))</f>
        <v>Funcionários</v>
      </c>
      <c r="H1479" s="42" t="s">
        <v>11</v>
      </c>
    </row>
    <row r="1480" customFormat="false" ht="14.25" hidden="false" customHeight="true" outlineLevel="0" collapsed="false">
      <c r="A1480" s="16" t="s">
        <v>33</v>
      </c>
      <c r="B1480" s="42" t="s">
        <v>155</v>
      </c>
      <c r="C1480" s="42" t="s">
        <v>169</v>
      </c>
      <c r="D1480" s="43" t="n">
        <v>1</v>
      </c>
      <c r="E1480" s="44" t="n">
        <v>41967.61</v>
      </c>
      <c r="F1480" s="45" t="n">
        <f aca="false">IFERROR(E1480,0)</f>
        <v>41967.61</v>
      </c>
      <c r="G1480" s="42" t="str">
        <f aca="false">INDEX(SETORES!$B:$B,MATCH(A1480,SETORES!$A:$A,0))</f>
        <v>Funcionários</v>
      </c>
      <c r="H1480" s="42" t="s">
        <v>11</v>
      </c>
    </row>
    <row r="1481" customFormat="false" ht="14.25" hidden="false" customHeight="true" outlineLevel="0" collapsed="false">
      <c r="A1481" s="50" t="s">
        <v>33</v>
      </c>
      <c r="B1481" s="51" t="s">
        <v>155</v>
      </c>
      <c r="C1481" s="51" t="s">
        <v>170</v>
      </c>
      <c r="D1481" s="52" t="n">
        <v>7</v>
      </c>
      <c r="E1481" s="53" t="n">
        <v>9.85</v>
      </c>
      <c r="F1481" s="54" t="n">
        <f aca="false">IFERROR(D1481*E1481,0)</f>
        <v>68.95</v>
      </c>
      <c r="G1481" s="51" t="str">
        <f aca="false">INDEX(SETORES!$B:$B,MATCH(A1481,SETORES!$A:$A,0))</f>
        <v>Funcionários</v>
      </c>
      <c r="H1481" s="51" t="s">
        <v>11</v>
      </c>
    </row>
    <row r="1482" customFormat="false" ht="14.25" hidden="false" customHeight="true" outlineLevel="0" collapsed="false">
      <c r="A1482" s="16" t="s">
        <v>33</v>
      </c>
      <c r="B1482" s="42" t="s">
        <v>157</v>
      </c>
      <c r="C1482" s="42" t="s">
        <v>209</v>
      </c>
      <c r="D1482" s="43"/>
      <c r="E1482" s="44"/>
      <c r="F1482" s="45" t="n">
        <f aca="false">IFERROR(D1482*E1482,0)</f>
        <v>0</v>
      </c>
      <c r="G1482" s="42" t="str">
        <f aca="false">INDEX(SETORES!$B:$B,MATCH(A1482,SETORES!$A:$A,0))</f>
        <v>Funcionários</v>
      </c>
      <c r="H1482" s="42" t="s">
        <v>11</v>
      </c>
    </row>
    <row r="1483" customFormat="false" ht="14.25" hidden="false" customHeight="true" outlineLevel="0" collapsed="false">
      <c r="A1483" s="16" t="s">
        <v>33</v>
      </c>
      <c r="B1483" s="42" t="s">
        <v>155</v>
      </c>
      <c r="C1483" s="42" t="s">
        <v>183</v>
      </c>
      <c r="D1483" s="43" t="n">
        <v>1</v>
      </c>
      <c r="E1483" s="44" t="n">
        <v>153.58</v>
      </c>
      <c r="F1483" s="45" t="n">
        <f aca="false">IFERROR(D1483*E1483,0)</f>
        <v>153.58</v>
      </c>
      <c r="G1483" s="42" t="str">
        <f aca="false">INDEX(SETORES!$B:$B,MATCH(A1483,SETORES!$A:$A,0))</f>
        <v>Funcionários</v>
      </c>
      <c r="H1483" s="42" t="s">
        <v>11</v>
      </c>
    </row>
    <row r="1484" customFormat="false" ht="14.25" hidden="false" customHeight="true" outlineLevel="0" collapsed="false">
      <c r="A1484" s="50" t="s">
        <v>33</v>
      </c>
      <c r="B1484" s="51" t="s">
        <v>155</v>
      </c>
      <c r="C1484" s="51" t="s">
        <v>172</v>
      </c>
      <c r="D1484" s="52" t="n">
        <v>7</v>
      </c>
      <c r="E1484" s="53" t="n">
        <v>50</v>
      </c>
      <c r="F1484" s="54" t="n">
        <f aca="false">IFERROR(D1484*E1484,0)</f>
        <v>350</v>
      </c>
      <c r="G1484" s="51" t="str">
        <f aca="false">INDEX(SETORES!$B:$B,MATCH(A1484,SETORES!$A:$A,0))</f>
        <v>Funcionários</v>
      </c>
      <c r="H1484" s="51" t="s">
        <v>11</v>
      </c>
    </row>
    <row r="1485" customFormat="false" ht="14.25" hidden="false" customHeight="true" outlineLevel="0" collapsed="false">
      <c r="A1485" s="16" t="s">
        <v>33</v>
      </c>
      <c r="B1485" s="42" t="s">
        <v>155</v>
      </c>
      <c r="C1485" s="42" t="s">
        <v>210</v>
      </c>
      <c r="D1485" s="43" t="n">
        <v>1</v>
      </c>
      <c r="E1485" s="44" t="n">
        <v>2559.44</v>
      </c>
      <c r="F1485" s="45" t="n">
        <f aca="false">IFERROR(D1485*E1485,0)</f>
        <v>2559.44</v>
      </c>
      <c r="G1485" s="51" t="s">
        <v>99</v>
      </c>
      <c r="H1485" s="42" t="s">
        <v>11</v>
      </c>
    </row>
    <row r="1486" customFormat="false" ht="14.25" hidden="false" customHeight="true" outlineLevel="0" collapsed="false">
      <c r="A1486" s="50" t="s">
        <v>33</v>
      </c>
      <c r="B1486" s="51" t="s">
        <v>155</v>
      </c>
      <c r="C1486" s="51" t="s">
        <v>177</v>
      </c>
      <c r="D1486" s="52" t="n">
        <v>7</v>
      </c>
      <c r="E1486" s="53" t="n">
        <v>1</v>
      </c>
      <c r="F1486" s="54" t="n">
        <v>7</v>
      </c>
      <c r="G1486" s="51" t="str">
        <f aca="false">INDEX(SETORES!$B:$B,MATCH(A1486,SETORES!$A:$A,0))</f>
        <v>Funcionários</v>
      </c>
      <c r="H1486" s="51" t="s">
        <v>11</v>
      </c>
    </row>
    <row r="1487" customFormat="false" ht="14.25" hidden="false" customHeight="true" outlineLevel="0" collapsed="false">
      <c r="A1487" s="16" t="s">
        <v>33</v>
      </c>
      <c r="B1487" s="42" t="s">
        <v>155</v>
      </c>
      <c r="C1487" s="42" t="s">
        <v>178</v>
      </c>
      <c r="D1487" s="43" t="n">
        <v>1</v>
      </c>
      <c r="E1487" s="44" t="n">
        <v>60.8</v>
      </c>
      <c r="F1487" s="45" t="n">
        <v>60.8</v>
      </c>
      <c r="G1487" s="42" t="str">
        <f aca="false">INDEX(SETORES!$B:$B,MATCH(A1487,SETORES!$A:$A,0))</f>
        <v>Funcionários</v>
      </c>
      <c r="H1487" s="42" t="s">
        <v>11</v>
      </c>
    </row>
    <row r="1488" customFormat="false" ht="14.25" hidden="false" customHeight="true" outlineLevel="0" collapsed="false">
      <c r="A1488" s="50" t="s">
        <v>33</v>
      </c>
      <c r="B1488" s="51" t="s">
        <v>155</v>
      </c>
      <c r="C1488" s="51" t="s">
        <v>211</v>
      </c>
      <c r="D1488" s="52" t="n">
        <v>1</v>
      </c>
      <c r="E1488" s="53" t="n">
        <v>4226.8</v>
      </c>
      <c r="F1488" s="54" t="n">
        <f aca="false">IFERROR(D1488*E1488,0)</f>
        <v>4226.8</v>
      </c>
      <c r="G1488" s="51" t="s">
        <v>99</v>
      </c>
      <c r="H1488" s="51" t="s">
        <v>11</v>
      </c>
    </row>
    <row r="1489" customFormat="false" ht="14.25" hidden="false" customHeight="true" outlineLevel="0" collapsed="false">
      <c r="A1489" s="16" t="s">
        <v>33</v>
      </c>
      <c r="B1489" s="42" t="s">
        <v>155</v>
      </c>
      <c r="C1489" s="42" t="s">
        <v>212</v>
      </c>
      <c r="D1489" s="43" t="n">
        <v>1</v>
      </c>
      <c r="E1489" s="44" t="n">
        <v>3714.01</v>
      </c>
      <c r="F1489" s="45" t="n">
        <f aca="false">IFERROR(D1489*E1489,0)</f>
        <v>3714.01</v>
      </c>
      <c r="G1489" s="51" t="s">
        <v>99</v>
      </c>
      <c r="H1489" s="42" t="s">
        <v>11</v>
      </c>
    </row>
    <row r="1490" customFormat="false" ht="14.25" hidden="false" customHeight="true" outlineLevel="0" collapsed="false">
      <c r="A1490" s="50" t="s">
        <v>33</v>
      </c>
      <c r="B1490" s="51" t="s">
        <v>155</v>
      </c>
      <c r="C1490" s="51" t="s">
        <v>213</v>
      </c>
      <c r="D1490" s="52" t="n">
        <v>1</v>
      </c>
      <c r="E1490" s="53" t="n">
        <v>1099.93</v>
      </c>
      <c r="F1490" s="54" t="n">
        <f aca="false">IFERROR(D1490*E1490,0)</f>
        <v>1099.93</v>
      </c>
      <c r="G1490" s="51" t="s">
        <v>99</v>
      </c>
      <c r="H1490" s="51" t="s">
        <v>11</v>
      </c>
    </row>
    <row r="1491" customFormat="false" ht="14.25" hidden="false" customHeight="true" outlineLevel="0" collapsed="false">
      <c r="A1491" s="16" t="s">
        <v>33</v>
      </c>
      <c r="B1491" s="42" t="s">
        <v>155</v>
      </c>
      <c r="C1491" s="42" t="s">
        <v>173</v>
      </c>
      <c r="D1491" s="43" t="n">
        <v>7</v>
      </c>
      <c r="E1491" s="44" t="n">
        <v>2.04</v>
      </c>
      <c r="F1491" s="45" t="n">
        <f aca="false">IFERROR(D1491*E1491,0)</f>
        <v>14.28</v>
      </c>
      <c r="G1491" s="42" t="str">
        <f aca="false">INDEX(SETORES!$B:$B,MATCH(A1491,SETORES!$A:$A,0))</f>
        <v>Funcionários</v>
      </c>
      <c r="H1491" s="42" t="s">
        <v>11</v>
      </c>
    </row>
    <row r="1492" customFormat="false" ht="14.25" hidden="false" customHeight="true" outlineLevel="0" collapsed="false">
      <c r="A1492" s="50" t="s">
        <v>33</v>
      </c>
      <c r="B1492" s="51" t="s">
        <v>155</v>
      </c>
      <c r="C1492" s="51" t="s">
        <v>179</v>
      </c>
      <c r="D1492" s="52"/>
      <c r="E1492" s="53"/>
      <c r="F1492" s="54" t="n">
        <f aca="false">IFERROR(D1492*E1492,0)</f>
        <v>0</v>
      </c>
      <c r="G1492" s="51" t="str">
        <f aca="false">INDEX(SETORES!$B:$B,MATCH(A1492,SETORES!$A:$A,0))</f>
        <v>Funcionários</v>
      </c>
      <c r="H1492" s="51" t="s">
        <v>11</v>
      </c>
    </row>
    <row r="1493" customFormat="false" ht="14.25" hidden="false" customHeight="true" outlineLevel="0" collapsed="false">
      <c r="A1493" s="16" t="s">
        <v>45</v>
      </c>
      <c r="B1493" s="42" t="s">
        <v>155</v>
      </c>
      <c r="C1493" s="42" t="s">
        <v>162</v>
      </c>
      <c r="D1493" s="43" t="n">
        <v>7</v>
      </c>
      <c r="E1493" s="44" t="n">
        <v>2.1332</v>
      </c>
      <c r="F1493" s="45" t="n">
        <v>2.1868</v>
      </c>
      <c r="G1493" s="42" t="str">
        <f aca="false">INDEX(SETORES!$B:$B,MATCH(A1493,SETORES!$A:$A,0))</f>
        <v>Clientes</v>
      </c>
      <c r="H1493" s="42" t="s">
        <v>11</v>
      </c>
    </row>
    <row r="1494" customFormat="false" ht="14.25" hidden="false" customHeight="true" outlineLevel="0" collapsed="false">
      <c r="A1494" s="16" t="s">
        <v>45</v>
      </c>
      <c r="B1494" s="42" t="s">
        <v>155</v>
      </c>
      <c r="C1494" s="42" t="s">
        <v>163</v>
      </c>
      <c r="D1494" s="43" t="n">
        <v>8</v>
      </c>
      <c r="E1494" s="44" t="n">
        <v>30</v>
      </c>
      <c r="F1494" s="45" t="n">
        <f aca="false">IFERROR(D1494*E1494,0)</f>
        <v>240</v>
      </c>
      <c r="G1494" s="42" t="str">
        <f aca="false">INDEX(SETORES!$B:$B,MATCH(A1494,SETORES!$A:$A,0))</f>
        <v>Clientes</v>
      </c>
      <c r="H1494" s="42" t="s">
        <v>11</v>
      </c>
    </row>
    <row r="1495" customFormat="false" ht="14.25" hidden="false" customHeight="true" outlineLevel="0" collapsed="false">
      <c r="A1495" s="50" t="s">
        <v>45</v>
      </c>
      <c r="B1495" s="51" t="s">
        <v>157</v>
      </c>
      <c r="C1495" s="51" t="s">
        <v>199</v>
      </c>
      <c r="D1495" s="52" t="n">
        <v>1</v>
      </c>
      <c r="E1495" s="53" t="n">
        <v>5735.95</v>
      </c>
      <c r="F1495" s="54" t="n">
        <f aca="false">IFERROR(D1495*E1495,0)</f>
        <v>5735.95</v>
      </c>
      <c r="G1495" s="51" t="str">
        <f aca="false">INDEX(SETORES!$B:$B,MATCH(A1495,SETORES!$A:$A,0))</f>
        <v>Clientes</v>
      </c>
      <c r="H1495" s="51" t="s">
        <v>11</v>
      </c>
    </row>
    <row r="1496" customFormat="false" ht="14.25" hidden="false" customHeight="true" outlineLevel="0" collapsed="false">
      <c r="A1496" s="16" t="s">
        <v>45</v>
      </c>
      <c r="B1496" s="42" t="s">
        <v>155</v>
      </c>
      <c r="C1496" s="42" t="s">
        <v>205</v>
      </c>
      <c r="D1496" s="43" t="n">
        <v>1</v>
      </c>
      <c r="E1496" s="44" t="n">
        <v>1254.61</v>
      </c>
      <c r="F1496" s="45" t="n">
        <f aca="false">IFERROR(D1496*E1496,0)</f>
        <v>1254.61</v>
      </c>
      <c r="G1496" s="42" t="str">
        <f aca="false">INDEX(SETORES!$B:$B,MATCH(A1496,SETORES!$A:$A,0))</f>
        <v>Clientes</v>
      </c>
      <c r="H1496" s="42" t="s">
        <v>11</v>
      </c>
    </row>
    <row r="1497" customFormat="false" ht="14.25" hidden="false" customHeight="true" outlineLevel="0" collapsed="false">
      <c r="A1497" s="50" t="s">
        <v>45</v>
      </c>
      <c r="B1497" s="51" t="s">
        <v>157</v>
      </c>
      <c r="C1497" s="51" t="s">
        <v>191</v>
      </c>
      <c r="D1497" s="52" t="n">
        <v>1</v>
      </c>
      <c r="E1497" s="53" t="n">
        <v>700</v>
      </c>
      <c r="F1497" s="54" t="n">
        <f aca="false">IFERROR(D1497*E1497,0)</f>
        <v>700</v>
      </c>
      <c r="G1497" s="51" t="str">
        <f aca="false">INDEX(SETORES!$B:$B,MATCH(A1497,SETORES!$A:$A,0))</f>
        <v>Clientes</v>
      </c>
      <c r="H1497" s="51" t="s">
        <v>11</v>
      </c>
    </row>
    <row r="1498" customFormat="false" ht="14.25" hidden="false" customHeight="true" outlineLevel="0" collapsed="false">
      <c r="A1498" s="16" t="s">
        <v>45</v>
      </c>
      <c r="B1498" s="42" t="s">
        <v>155</v>
      </c>
      <c r="C1498" s="42" t="s">
        <v>168</v>
      </c>
      <c r="D1498" s="43" t="n">
        <v>7</v>
      </c>
      <c r="E1498" s="44" t="n">
        <v>162.5079</v>
      </c>
      <c r="F1498" s="45" t="n">
        <v>165.8139</v>
      </c>
      <c r="G1498" s="42" t="str">
        <f aca="false">INDEX(SETORES!$B:$B,MATCH(A1498,SETORES!$A:$A,0))</f>
        <v>Clientes</v>
      </c>
      <c r="H1498" s="42" t="s">
        <v>11</v>
      </c>
    </row>
    <row r="1499" customFormat="false" ht="14.25" hidden="false" customHeight="true" outlineLevel="0" collapsed="false">
      <c r="A1499" s="16" t="s">
        <v>45</v>
      </c>
      <c r="B1499" s="42" t="s">
        <v>157</v>
      </c>
      <c r="C1499" s="42" t="s">
        <v>175</v>
      </c>
      <c r="D1499" s="43" t="n">
        <v>0</v>
      </c>
      <c r="E1499" s="44" t="n">
        <v>0</v>
      </c>
      <c r="F1499" s="45" t="n">
        <f aca="false">IFERROR(D1499*E1499,0)</f>
        <v>0</v>
      </c>
      <c r="G1499" s="42" t="str">
        <f aca="false">INDEX(SETORES!$B:$B,MATCH(A1499,SETORES!$A:$A,0))</f>
        <v>Clientes</v>
      </c>
      <c r="H1499" s="42" t="s">
        <v>11</v>
      </c>
    </row>
    <row r="1500" customFormat="false" ht="14.25" hidden="false" customHeight="true" outlineLevel="0" collapsed="false">
      <c r="A1500" s="50" t="s">
        <v>45</v>
      </c>
      <c r="B1500" s="51" t="s">
        <v>157</v>
      </c>
      <c r="C1500" s="51" t="s">
        <v>176</v>
      </c>
      <c r="D1500" s="52" t="n">
        <v>0</v>
      </c>
      <c r="E1500" s="53" t="n">
        <v>0</v>
      </c>
      <c r="F1500" s="54" t="n">
        <f aca="false">IFERROR(D1500*E1500,0)</f>
        <v>0</v>
      </c>
      <c r="G1500" s="51" t="str">
        <f aca="false">INDEX(SETORES!$B:$B,MATCH(A1500,SETORES!$A:$A,0))</f>
        <v>Clientes</v>
      </c>
      <c r="H1500" s="51" t="s">
        <v>11</v>
      </c>
    </row>
    <row r="1501" customFormat="false" ht="14.25" hidden="false" customHeight="true" outlineLevel="0" collapsed="false">
      <c r="A1501" s="50" t="s">
        <v>45</v>
      </c>
      <c r="B1501" s="51" t="s">
        <v>155</v>
      </c>
      <c r="C1501" s="51" t="s">
        <v>169</v>
      </c>
      <c r="D1501" s="52" t="n">
        <v>1</v>
      </c>
      <c r="E1501" s="53" t="n">
        <v>60198.19</v>
      </c>
      <c r="F1501" s="54" t="n">
        <f aca="false">IFERROR(E1501,0)</f>
        <v>60198.19</v>
      </c>
      <c r="G1501" s="51" t="str">
        <f aca="false">INDEX(SETORES!$B:$B,MATCH(A1501,SETORES!$A:$A,0))</f>
        <v>Clientes</v>
      </c>
      <c r="H1501" s="51" t="s">
        <v>11</v>
      </c>
    </row>
    <row r="1502" customFormat="false" ht="14.25" hidden="false" customHeight="true" outlineLevel="0" collapsed="false">
      <c r="A1502" s="50" t="s">
        <v>45</v>
      </c>
      <c r="B1502" s="51" t="s">
        <v>155</v>
      </c>
      <c r="C1502" s="51" t="s">
        <v>170</v>
      </c>
      <c r="D1502" s="52" t="n">
        <v>7</v>
      </c>
      <c r="E1502" s="53" t="n">
        <v>9.85</v>
      </c>
      <c r="F1502" s="54" t="n">
        <f aca="false">IFERROR(D1502*E1502,0)</f>
        <v>68.95</v>
      </c>
      <c r="G1502" s="51" t="str">
        <f aca="false">INDEX(SETORES!$B:$B,MATCH(A1502,SETORES!$A:$A,0))</f>
        <v>Clientes</v>
      </c>
      <c r="H1502" s="51" t="s">
        <v>11</v>
      </c>
    </row>
    <row r="1503" customFormat="false" ht="14.25" hidden="false" customHeight="true" outlineLevel="0" collapsed="false">
      <c r="A1503" s="16" t="s">
        <v>45</v>
      </c>
      <c r="B1503" s="42" t="s">
        <v>155</v>
      </c>
      <c r="C1503" s="42" t="s">
        <v>183</v>
      </c>
      <c r="D1503" s="43" t="n">
        <v>1</v>
      </c>
      <c r="E1503" s="44" t="n">
        <v>128.68</v>
      </c>
      <c r="F1503" s="45" t="n">
        <f aca="false">IFERROR(D1503*E1503,0)</f>
        <v>128.68</v>
      </c>
      <c r="G1503" s="42" t="str">
        <f aca="false">INDEX(SETORES!$B:$B,MATCH(A1503,SETORES!$A:$A,0))</f>
        <v>Clientes</v>
      </c>
      <c r="H1503" s="42" t="s">
        <v>11</v>
      </c>
    </row>
    <row r="1504" customFormat="false" ht="14.25" hidden="false" customHeight="true" outlineLevel="0" collapsed="false">
      <c r="A1504" s="16" t="s">
        <v>45</v>
      </c>
      <c r="B1504" s="42" t="s">
        <v>155</v>
      </c>
      <c r="C1504" s="42" t="s">
        <v>172</v>
      </c>
      <c r="D1504" s="43" t="n">
        <v>10</v>
      </c>
      <c r="E1504" s="44" t="n">
        <v>50</v>
      </c>
      <c r="F1504" s="45" t="n">
        <f aca="false">IFERROR(D1504*E1504,0)</f>
        <v>500</v>
      </c>
      <c r="G1504" s="42" t="str">
        <f aca="false">INDEX(SETORES!$B:$B,MATCH(A1504,SETORES!$A:$A,0))</f>
        <v>Clientes</v>
      </c>
      <c r="H1504" s="42" t="s">
        <v>11</v>
      </c>
    </row>
    <row r="1505" customFormat="false" ht="14.25" hidden="false" customHeight="true" outlineLevel="0" collapsed="false">
      <c r="A1505" s="50" t="s">
        <v>45</v>
      </c>
      <c r="B1505" s="51" t="s">
        <v>155</v>
      </c>
      <c r="C1505" s="51" t="s">
        <v>226</v>
      </c>
      <c r="D1505" s="52" t="n">
        <v>1</v>
      </c>
      <c r="E1505" s="53" t="n">
        <v>666.2</v>
      </c>
      <c r="F1505" s="54" t="n">
        <f aca="false">IFERROR(D1505*E1505,0)</f>
        <v>666.2</v>
      </c>
      <c r="G1505" s="51" t="str">
        <f aca="false">INDEX(SETORES!$B:$B,MATCH(A1505,SETORES!$A:$A,0))</f>
        <v>Clientes</v>
      </c>
      <c r="H1505" s="51" t="s">
        <v>11</v>
      </c>
    </row>
    <row r="1506" customFormat="false" ht="14.25" hidden="false" customHeight="true" outlineLevel="0" collapsed="false">
      <c r="A1506" s="50" t="s">
        <v>45</v>
      </c>
      <c r="B1506" s="51" t="s">
        <v>155</v>
      </c>
      <c r="C1506" s="51" t="s">
        <v>177</v>
      </c>
      <c r="D1506" s="52" t="n">
        <v>1</v>
      </c>
      <c r="E1506" s="53" t="n">
        <v>22.5</v>
      </c>
      <c r="F1506" s="54" t="n">
        <v>45</v>
      </c>
      <c r="G1506" s="51" t="str">
        <f aca="false">INDEX(SETORES!$B:$B,MATCH(A1506,SETORES!$A:$A,0))</f>
        <v>Clientes</v>
      </c>
      <c r="H1506" s="51" t="s">
        <v>11</v>
      </c>
    </row>
    <row r="1507" customFormat="false" ht="14.25" hidden="false" customHeight="true" outlineLevel="0" collapsed="false">
      <c r="A1507" s="16" t="s">
        <v>45</v>
      </c>
      <c r="B1507" s="42" t="s">
        <v>155</v>
      </c>
      <c r="C1507" s="42" t="s">
        <v>178</v>
      </c>
      <c r="D1507" s="43" t="n">
        <v>1</v>
      </c>
      <c r="E1507" s="44" t="n">
        <v>22.5</v>
      </c>
      <c r="F1507" s="45" t="n">
        <v>22.5</v>
      </c>
      <c r="G1507" s="42" t="str">
        <f aca="false">INDEX(SETORES!$B:$B,MATCH(A1507,SETORES!$A:$A,0))</f>
        <v>Clientes</v>
      </c>
      <c r="H1507" s="42" t="s">
        <v>11</v>
      </c>
    </row>
    <row r="1508" customFormat="false" ht="14.25" hidden="false" customHeight="true" outlineLevel="0" collapsed="false">
      <c r="A1508" s="16" t="s">
        <v>45</v>
      </c>
      <c r="B1508" s="42" t="s">
        <v>157</v>
      </c>
      <c r="C1508" s="42" t="s">
        <v>184</v>
      </c>
      <c r="D1508" s="43" t="n">
        <v>7</v>
      </c>
      <c r="E1508" s="44" t="n">
        <v>67.41</v>
      </c>
      <c r="F1508" s="45" t="n">
        <f aca="false">IFERROR(D1508*E1508,0)</f>
        <v>471.87</v>
      </c>
      <c r="G1508" s="42" t="str">
        <f aca="false">INDEX(SETORES!$B:$B,MATCH(A1508,SETORES!$A:$A,0))</f>
        <v>Clientes</v>
      </c>
      <c r="H1508" s="42" t="s">
        <v>11</v>
      </c>
    </row>
    <row r="1509" customFormat="false" ht="14.25" hidden="false" customHeight="true" outlineLevel="0" collapsed="false">
      <c r="A1509" s="50" t="s">
        <v>45</v>
      </c>
      <c r="B1509" s="51" t="s">
        <v>157</v>
      </c>
      <c r="C1509" s="51" t="s">
        <v>158</v>
      </c>
      <c r="D1509" s="52" t="n">
        <v>1</v>
      </c>
      <c r="E1509" s="53" t="n">
        <v>3121.37</v>
      </c>
      <c r="F1509" s="54" t="n">
        <f aca="false">IFERROR(D1509*E1509,0)</f>
        <v>3121.37</v>
      </c>
      <c r="G1509" s="51" t="str">
        <f aca="false">INDEX(SETORES!$B:$B,MATCH(A1509,SETORES!$A:$A,0))</f>
        <v>Clientes</v>
      </c>
      <c r="H1509" s="51" t="s">
        <v>11</v>
      </c>
    </row>
    <row r="1510" customFormat="false" ht="14.25" hidden="false" customHeight="true" outlineLevel="0" collapsed="false">
      <c r="A1510" s="16" t="s">
        <v>45</v>
      </c>
      <c r="B1510" s="42" t="s">
        <v>155</v>
      </c>
      <c r="C1510" s="42" t="s">
        <v>173</v>
      </c>
      <c r="D1510" s="43" t="n">
        <v>7</v>
      </c>
      <c r="E1510" s="44" t="n">
        <v>2.04</v>
      </c>
      <c r="F1510" s="45" t="n">
        <f aca="false">IFERROR(D1510*E1510,0)</f>
        <v>14.28</v>
      </c>
      <c r="G1510" s="42" t="str">
        <f aca="false">INDEX(SETORES!$B:$B,MATCH(A1510,SETORES!$A:$A,0))</f>
        <v>Clientes</v>
      </c>
      <c r="H1510" s="42" t="s">
        <v>11</v>
      </c>
    </row>
    <row r="1511" customFormat="false" ht="14.25" hidden="false" customHeight="true" outlineLevel="0" collapsed="false">
      <c r="A1511" s="50" t="s">
        <v>50</v>
      </c>
      <c r="B1511" s="51" t="s">
        <v>155</v>
      </c>
      <c r="C1511" s="51" t="s">
        <v>162</v>
      </c>
      <c r="D1511" s="52" t="n">
        <v>12</v>
      </c>
      <c r="E1511" s="53" t="n">
        <v>2.1332</v>
      </c>
      <c r="F1511" s="54" t="n">
        <v>3.7488</v>
      </c>
      <c r="G1511" s="51" t="str">
        <f aca="false">INDEX(SETORES!$B:$B,MATCH(A1511,SETORES!$A:$A,0))</f>
        <v>Clientes</v>
      </c>
      <c r="H1511" s="51" t="s">
        <v>11</v>
      </c>
    </row>
    <row r="1512" customFormat="false" ht="14.25" hidden="false" customHeight="true" outlineLevel="0" collapsed="false">
      <c r="A1512" s="16" t="s">
        <v>50</v>
      </c>
      <c r="B1512" s="42" t="s">
        <v>155</v>
      </c>
      <c r="C1512" s="42" t="s">
        <v>168</v>
      </c>
      <c r="D1512" s="43" t="n">
        <v>12</v>
      </c>
      <c r="E1512" s="44" t="n">
        <v>162.5079</v>
      </c>
      <c r="F1512" s="45" t="n">
        <v>284.2524</v>
      </c>
      <c r="G1512" s="42" t="str">
        <f aca="false">INDEX(SETORES!$B:$B,MATCH(A1512,SETORES!$A:$A,0))</f>
        <v>Clientes</v>
      </c>
      <c r="H1512" s="42" t="s">
        <v>11</v>
      </c>
    </row>
    <row r="1513" customFormat="false" ht="14.25" hidden="false" customHeight="true" outlineLevel="0" collapsed="false">
      <c r="A1513" s="50" t="s">
        <v>50</v>
      </c>
      <c r="B1513" s="51" t="s">
        <v>157</v>
      </c>
      <c r="C1513" s="51" t="s">
        <v>174</v>
      </c>
      <c r="D1513" s="52" t="n">
        <v>1</v>
      </c>
      <c r="E1513" s="53" t="n">
        <v>50</v>
      </c>
      <c r="F1513" s="54" t="n">
        <f aca="false">IFERROR(D1513*E1513,0)</f>
        <v>50</v>
      </c>
      <c r="G1513" s="51" t="str">
        <f aca="false">INDEX(SETORES!$B:$B,MATCH(A1513,SETORES!$A:$A,0))</f>
        <v>Clientes</v>
      </c>
      <c r="H1513" s="51" t="s">
        <v>11</v>
      </c>
    </row>
    <row r="1514" customFormat="false" ht="14.25" hidden="false" customHeight="true" outlineLevel="0" collapsed="false">
      <c r="A1514" s="50" t="s">
        <v>50</v>
      </c>
      <c r="B1514" s="51" t="s">
        <v>157</v>
      </c>
      <c r="C1514" s="51" t="s">
        <v>175</v>
      </c>
      <c r="D1514" s="52"/>
      <c r="E1514" s="53"/>
      <c r="F1514" s="54" t="n">
        <f aca="false">IFERROR(D1514*E1514,0)</f>
        <v>0</v>
      </c>
      <c r="G1514" s="51" t="str">
        <f aca="false">INDEX(SETORES!$B:$B,MATCH(A1514,SETORES!$A:$A,0))</f>
        <v>Clientes</v>
      </c>
      <c r="H1514" s="51" t="s">
        <v>11</v>
      </c>
    </row>
    <row r="1515" customFormat="false" ht="14.25" hidden="false" customHeight="true" outlineLevel="0" collapsed="false">
      <c r="A1515" s="16" t="s">
        <v>50</v>
      </c>
      <c r="B1515" s="42" t="s">
        <v>157</v>
      </c>
      <c r="C1515" s="42" t="s">
        <v>176</v>
      </c>
      <c r="D1515" s="43"/>
      <c r="E1515" s="44"/>
      <c r="F1515" s="45" t="n">
        <f aca="false">IFERROR(D1515*E1515,0)</f>
        <v>0</v>
      </c>
      <c r="G1515" s="42" t="str">
        <f aca="false">INDEX(SETORES!$B:$B,MATCH(A1515,SETORES!$A:$A,0))</f>
        <v>Clientes</v>
      </c>
      <c r="H1515" s="42" t="s">
        <v>11</v>
      </c>
    </row>
    <row r="1516" customFormat="false" ht="14.25" hidden="false" customHeight="true" outlineLevel="0" collapsed="false">
      <c r="A1516" s="50" t="s">
        <v>50</v>
      </c>
      <c r="B1516" s="51" t="s">
        <v>155</v>
      </c>
      <c r="C1516" s="51" t="s">
        <v>169</v>
      </c>
      <c r="D1516" s="52" t="n">
        <v>1</v>
      </c>
      <c r="E1516" s="53" t="n">
        <v>77491.69</v>
      </c>
      <c r="F1516" s="54" t="n">
        <f aca="false">IFERROR(E1516,0)</f>
        <v>77491.69</v>
      </c>
      <c r="G1516" s="51" t="str">
        <f aca="false">INDEX(SETORES!$B:$B,MATCH(A1516,SETORES!$A:$A,0))</f>
        <v>Clientes</v>
      </c>
      <c r="H1516" s="51" t="s">
        <v>11</v>
      </c>
    </row>
    <row r="1517" customFormat="false" ht="14.25" hidden="false" customHeight="true" outlineLevel="0" collapsed="false">
      <c r="A1517" s="16" t="s">
        <v>50</v>
      </c>
      <c r="B1517" s="42" t="s">
        <v>155</v>
      </c>
      <c r="C1517" s="42" t="s">
        <v>170</v>
      </c>
      <c r="D1517" s="43" t="n">
        <v>12</v>
      </c>
      <c r="E1517" s="44" t="n">
        <v>9.85</v>
      </c>
      <c r="F1517" s="45" t="n">
        <f aca="false">IFERROR(D1517*E1517,0)</f>
        <v>118.2</v>
      </c>
      <c r="G1517" s="42" t="str">
        <f aca="false">INDEX(SETORES!$B:$B,MATCH(A1517,SETORES!$A:$A,0))</f>
        <v>Clientes</v>
      </c>
      <c r="H1517" s="42" t="s">
        <v>11</v>
      </c>
    </row>
    <row r="1518" customFormat="false" ht="14.25" hidden="false" customHeight="true" outlineLevel="0" collapsed="false">
      <c r="A1518" s="50" t="s">
        <v>50</v>
      </c>
      <c r="B1518" s="51" t="s">
        <v>155</v>
      </c>
      <c r="C1518" s="51" t="s">
        <v>183</v>
      </c>
      <c r="D1518" s="52" t="n">
        <v>1</v>
      </c>
      <c r="E1518" s="53" t="n">
        <v>153.58</v>
      </c>
      <c r="F1518" s="54" t="n">
        <f aca="false">IFERROR(D1518*E1518,0)</f>
        <v>153.58</v>
      </c>
      <c r="G1518" s="51" t="str">
        <f aca="false">INDEX(SETORES!$B:$B,MATCH(A1518,SETORES!$A:$A,0))</f>
        <v>Clientes</v>
      </c>
      <c r="H1518" s="51" t="s">
        <v>11</v>
      </c>
    </row>
    <row r="1519" customFormat="false" ht="14.25" hidden="false" customHeight="true" outlineLevel="0" collapsed="false">
      <c r="A1519" s="16" t="s">
        <v>50</v>
      </c>
      <c r="B1519" s="42" t="s">
        <v>157</v>
      </c>
      <c r="C1519" s="42" t="s">
        <v>223</v>
      </c>
      <c r="D1519" s="43"/>
      <c r="E1519" s="44"/>
      <c r="F1519" s="45" t="n">
        <f aca="false">IFERROR(D1519*E1519,0)</f>
        <v>0</v>
      </c>
      <c r="G1519" s="42" t="str">
        <f aca="false">INDEX(SETORES!$B:$B,MATCH(A1519,SETORES!$A:$A,0))</f>
        <v>Clientes</v>
      </c>
      <c r="H1519" s="42" t="s">
        <v>11</v>
      </c>
    </row>
    <row r="1520" customFormat="false" ht="14.25" hidden="false" customHeight="true" outlineLevel="0" collapsed="false">
      <c r="A1520" s="16" t="s">
        <v>50</v>
      </c>
      <c r="B1520" s="42" t="s">
        <v>155</v>
      </c>
      <c r="C1520" s="42" t="s">
        <v>172</v>
      </c>
      <c r="D1520" s="43" t="n">
        <v>16</v>
      </c>
      <c r="E1520" s="44" t="n">
        <v>50</v>
      </c>
      <c r="F1520" s="45" t="n">
        <f aca="false">IFERROR(D1520*E1520,0)</f>
        <v>800</v>
      </c>
      <c r="G1520" s="42" t="str">
        <f aca="false">INDEX(SETORES!$B:$B,MATCH(A1520,SETORES!$A:$A,0))</f>
        <v>Clientes</v>
      </c>
      <c r="H1520" s="42" t="s">
        <v>11</v>
      </c>
    </row>
    <row r="1521" customFormat="false" ht="14.25" hidden="false" customHeight="true" outlineLevel="0" collapsed="false">
      <c r="A1521" s="16" t="s">
        <v>50</v>
      </c>
      <c r="B1521" s="42" t="s">
        <v>155</v>
      </c>
      <c r="C1521" s="42" t="s">
        <v>177</v>
      </c>
      <c r="D1521" s="43"/>
      <c r="E1521" s="44"/>
      <c r="F1521" s="45" t="n">
        <v>0</v>
      </c>
      <c r="G1521" s="42" t="str">
        <f aca="false">INDEX(SETORES!$B:$B,MATCH(A1521,SETORES!$A:$A,0))</f>
        <v>Clientes</v>
      </c>
      <c r="H1521" s="42" t="s">
        <v>11</v>
      </c>
    </row>
    <row r="1522" customFormat="false" ht="14.25" hidden="false" customHeight="true" outlineLevel="0" collapsed="false">
      <c r="A1522" s="50" t="s">
        <v>50</v>
      </c>
      <c r="B1522" s="51" t="s">
        <v>155</v>
      </c>
      <c r="C1522" s="51" t="s">
        <v>178</v>
      </c>
      <c r="D1522" s="52" t="n">
        <v>1</v>
      </c>
      <c r="E1522" s="53" t="n">
        <v>624.39</v>
      </c>
      <c r="F1522" s="54" t="n">
        <v>624.39</v>
      </c>
      <c r="G1522" s="51" t="str">
        <f aca="false">INDEX(SETORES!$B:$B,MATCH(A1522,SETORES!$A:$A,0))</f>
        <v>Clientes</v>
      </c>
      <c r="H1522" s="51" t="s">
        <v>11</v>
      </c>
    </row>
    <row r="1523" customFormat="false" ht="14.25" hidden="false" customHeight="true" outlineLevel="0" collapsed="false">
      <c r="A1523" s="50" t="s">
        <v>50</v>
      </c>
      <c r="B1523" s="51" t="s">
        <v>157</v>
      </c>
      <c r="C1523" s="51" t="s">
        <v>184</v>
      </c>
      <c r="D1523" s="52" t="n">
        <v>16</v>
      </c>
      <c r="E1523" s="44" t="n">
        <v>67.41</v>
      </c>
      <c r="F1523" s="54" t="n">
        <f aca="false">IFERROR(D1523*E1523,0)</f>
        <v>1078.56</v>
      </c>
      <c r="G1523" s="51" t="str">
        <f aca="false">INDEX(SETORES!$B:$B,MATCH(A1523,SETORES!$A:$A,0))</f>
        <v>Clientes</v>
      </c>
      <c r="H1523" s="51" t="s">
        <v>11</v>
      </c>
    </row>
    <row r="1524" customFormat="false" ht="14.25" hidden="false" customHeight="true" outlineLevel="0" collapsed="false">
      <c r="A1524" s="16" t="s">
        <v>50</v>
      </c>
      <c r="B1524" s="42" t="s">
        <v>157</v>
      </c>
      <c r="C1524" s="42" t="s">
        <v>158</v>
      </c>
      <c r="D1524" s="43" t="n">
        <v>1</v>
      </c>
      <c r="E1524" s="44" t="n">
        <v>3112.37</v>
      </c>
      <c r="F1524" s="45" t="n">
        <f aca="false">IFERROR(D1524*E1524,0)</f>
        <v>3112.37</v>
      </c>
      <c r="G1524" s="42" t="str">
        <f aca="false">INDEX(SETORES!$B:$B,MATCH(A1524,SETORES!$A:$A,0))</f>
        <v>Clientes</v>
      </c>
      <c r="H1524" s="42" t="s">
        <v>11</v>
      </c>
    </row>
    <row r="1525" customFormat="false" ht="14.25" hidden="false" customHeight="true" outlineLevel="0" collapsed="false">
      <c r="A1525" s="50" t="s">
        <v>50</v>
      </c>
      <c r="B1525" s="51" t="s">
        <v>155</v>
      </c>
      <c r="C1525" s="51" t="s">
        <v>173</v>
      </c>
      <c r="D1525" s="52" t="n">
        <v>12</v>
      </c>
      <c r="E1525" s="53" t="n">
        <v>2.04</v>
      </c>
      <c r="F1525" s="54" t="n">
        <f aca="false">IFERROR(D1525*E1525,0)</f>
        <v>24.48</v>
      </c>
      <c r="G1525" s="51" t="str">
        <f aca="false">INDEX(SETORES!$B:$B,MATCH(A1525,SETORES!$A:$A,0))</f>
        <v>Clientes</v>
      </c>
      <c r="H1525" s="51" t="s">
        <v>11</v>
      </c>
    </row>
    <row r="1526" customFormat="false" ht="14.25" hidden="false" customHeight="true" outlineLevel="0" collapsed="false">
      <c r="A1526" s="16" t="s">
        <v>50</v>
      </c>
      <c r="B1526" s="42" t="s">
        <v>155</v>
      </c>
      <c r="C1526" s="42" t="s">
        <v>179</v>
      </c>
      <c r="D1526" s="43"/>
      <c r="E1526" s="44"/>
      <c r="F1526" s="45" t="n">
        <f aca="false">IFERROR(D1526*E1526,0)</f>
        <v>0</v>
      </c>
      <c r="G1526" s="42" t="str">
        <f aca="false">INDEX(SETORES!$B:$B,MATCH(A1526,SETORES!$A:$A,0))</f>
        <v>Clientes</v>
      </c>
      <c r="H1526" s="42" t="s">
        <v>11</v>
      </c>
    </row>
    <row r="1527" customFormat="false" ht="14.25" hidden="false" customHeight="true" outlineLevel="0" collapsed="false">
      <c r="A1527" s="16" t="s">
        <v>36</v>
      </c>
      <c r="B1527" s="42" t="s">
        <v>155</v>
      </c>
      <c r="C1527" s="42" t="s">
        <v>162</v>
      </c>
      <c r="D1527" s="43" t="n">
        <v>1</v>
      </c>
      <c r="E1527" s="44" t="n">
        <v>0.175</v>
      </c>
      <c r="F1527" s="45" t="n">
        <v>0.175</v>
      </c>
      <c r="G1527" s="42" t="str">
        <f aca="false">INDEX(SETORES!$B:$B,MATCH(A1527,SETORES!$A:$A,0))</f>
        <v>Clientes</v>
      </c>
      <c r="H1527" s="42" t="s">
        <v>11</v>
      </c>
    </row>
    <row r="1528" customFormat="false" ht="14.25" hidden="false" customHeight="true" outlineLevel="0" collapsed="false">
      <c r="A1528" s="50" t="s">
        <v>36</v>
      </c>
      <c r="B1528" s="51" t="s">
        <v>155</v>
      </c>
      <c r="C1528" s="51" t="s">
        <v>163</v>
      </c>
      <c r="D1528" s="52" t="n">
        <v>2</v>
      </c>
      <c r="E1528" s="53" t="n">
        <v>30</v>
      </c>
      <c r="F1528" s="54" t="n">
        <f aca="false">IFERROR(D1528*E1528,0)</f>
        <v>60</v>
      </c>
      <c r="G1528" s="51" t="str">
        <f aca="false">INDEX(SETORES!$B:$B,MATCH(A1528,SETORES!$A:$A,0))</f>
        <v>Clientes</v>
      </c>
      <c r="H1528" s="51" t="s">
        <v>11</v>
      </c>
    </row>
    <row r="1529" customFormat="false" ht="14.25" hidden="false" customHeight="true" outlineLevel="0" collapsed="false">
      <c r="A1529" s="50" t="s">
        <v>36</v>
      </c>
      <c r="B1529" s="51" t="s">
        <v>155</v>
      </c>
      <c r="C1529" s="51" t="s">
        <v>168</v>
      </c>
      <c r="D1529" s="52" t="n">
        <v>1</v>
      </c>
      <c r="E1529" s="53" t="n">
        <v>61.3005</v>
      </c>
      <c r="F1529" s="54" t="n">
        <v>61.3005</v>
      </c>
      <c r="G1529" s="51" t="str">
        <f aca="false">INDEX(SETORES!$B:$B,MATCH(A1529,SETORES!$A:$A,0))</f>
        <v>Clientes</v>
      </c>
      <c r="H1529" s="51" t="s">
        <v>11</v>
      </c>
    </row>
    <row r="1530" customFormat="false" ht="14.25" hidden="false" customHeight="true" outlineLevel="0" collapsed="false">
      <c r="A1530" s="16" t="s">
        <v>36</v>
      </c>
      <c r="B1530" s="42" t="s">
        <v>157</v>
      </c>
      <c r="C1530" s="42" t="s">
        <v>175</v>
      </c>
      <c r="D1530" s="43"/>
      <c r="E1530" s="44"/>
      <c r="F1530" s="45" t="n">
        <f aca="false">IFERROR(D1530*E1530,0)</f>
        <v>0</v>
      </c>
      <c r="G1530" s="42" t="str">
        <f aca="false">INDEX(SETORES!$B:$B,MATCH(A1530,SETORES!$A:$A,0))</f>
        <v>Clientes</v>
      </c>
      <c r="H1530" s="42" t="s">
        <v>11</v>
      </c>
    </row>
    <row r="1531" customFormat="false" ht="14.25" hidden="false" customHeight="true" outlineLevel="0" collapsed="false">
      <c r="A1531" s="50" t="s">
        <v>36</v>
      </c>
      <c r="B1531" s="51" t="s">
        <v>157</v>
      </c>
      <c r="C1531" s="51" t="s">
        <v>176</v>
      </c>
      <c r="D1531" s="52"/>
      <c r="E1531" s="53"/>
      <c r="F1531" s="54" t="n">
        <f aca="false">IFERROR(D1531*E1531,0)</f>
        <v>0</v>
      </c>
      <c r="G1531" s="51" t="str">
        <f aca="false">INDEX(SETORES!$B:$B,MATCH(A1531,SETORES!$A:$A,0))</f>
        <v>Clientes</v>
      </c>
      <c r="H1531" s="51" t="s">
        <v>11</v>
      </c>
    </row>
    <row r="1532" customFormat="false" ht="14.25" hidden="false" customHeight="true" outlineLevel="0" collapsed="false">
      <c r="A1532" s="16" t="s">
        <v>36</v>
      </c>
      <c r="B1532" s="42" t="s">
        <v>155</v>
      </c>
      <c r="C1532" s="42" t="s">
        <v>169</v>
      </c>
      <c r="D1532" s="43" t="n">
        <v>1</v>
      </c>
      <c r="E1532" s="44" t="n">
        <v>38865.14</v>
      </c>
      <c r="F1532" s="45" t="n">
        <f aca="false">IFERROR(E1532,0)</f>
        <v>38865.14</v>
      </c>
      <c r="G1532" s="42" t="str">
        <f aca="false">INDEX(SETORES!$B:$B,MATCH(A1532,SETORES!$A:$A,0))</f>
        <v>Clientes</v>
      </c>
      <c r="H1532" s="42" t="s">
        <v>11</v>
      </c>
    </row>
    <row r="1533" customFormat="false" ht="14.25" hidden="false" customHeight="true" outlineLevel="0" collapsed="false">
      <c r="A1533" s="16" t="s">
        <v>36</v>
      </c>
      <c r="B1533" s="42" t="s">
        <v>155</v>
      </c>
      <c r="C1533" s="42" t="s">
        <v>170</v>
      </c>
      <c r="D1533" s="43" t="n">
        <v>8</v>
      </c>
      <c r="E1533" s="44" t="n">
        <v>9.85</v>
      </c>
      <c r="F1533" s="45" t="n">
        <f aca="false">IFERROR(D1533*E1533,0)</f>
        <v>78.8</v>
      </c>
      <c r="G1533" s="42" t="str">
        <f aca="false">INDEX(SETORES!$B:$B,MATCH(A1533,SETORES!$A:$A,0))</f>
        <v>Clientes</v>
      </c>
      <c r="H1533" s="42" t="s">
        <v>11</v>
      </c>
    </row>
    <row r="1534" customFormat="false" ht="14.25" hidden="false" customHeight="true" outlineLevel="0" collapsed="false">
      <c r="A1534" s="50" t="s">
        <v>36</v>
      </c>
      <c r="B1534" s="51" t="s">
        <v>155</v>
      </c>
      <c r="C1534" s="51" t="s">
        <v>183</v>
      </c>
      <c r="D1534" s="52" t="n">
        <v>1</v>
      </c>
      <c r="E1534" s="53" t="n">
        <v>153.58</v>
      </c>
      <c r="F1534" s="54" t="n">
        <f aca="false">IFERROR(D1534*E1534,0)</f>
        <v>153.58</v>
      </c>
      <c r="G1534" s="51" t="str">
        <f aca="false">INDEX(SETORES!$B:$B,MATCH(A1534,SETORES!$A:$A,0))</f>
        <v>Clientes</v>
      </c>
      <c r="H1534" s="51" t="s">
        <v>11</v>
      </c>
    </row>
    <row r="1535" customFormat="false" ht="14.25" hidden="false" customHeight="true" outlineLevel="0" collapsed="false">
      <c r="A1535" s="16" t="s">
        <v>36</v>
      </c>
      <c r="B1535" s="42" t="s">
        <v>155</v>
      </c>
      <c r="C1535" s="42" t="s">
        <v>172</v>
      </c>
      <c r="D1535" s="43" t="n">
        <v>8</v>
      </c>
      <c r="E1535" s="44" t="n">
        <v>50</v>
      </c>
      <c r="F1535" s="45" t="n">
        <f aca="false">IFERROR(D1535*E1535,0)</f>
        <v>400</v>
      </c>
      <c r="G1535" s="42" t="str">
        <f aca="false">INDEX(SETORES!$B:$B,MATCH(A1535,SETORES!$A:$A,0))</f>
        <v>Clientes</v>
      </c>
      <c r="H1535" s="42" t="s">
        <v>11</v>
      </c>
    </row>
    <row r="1536" customFormat="false" ht="14.25" hidden="false" customHeight="true" outlineLevel="0" collapsed="false">
      <c r="A1536" s="50" t="s">
        <v>36</v>
      </c>
      <c r="B1536" s="51" t="s">
        <v>155</v>
      </c>
      <c r="C1536" s="51" t="s">
        <v>215</v>
      </c>
      <c r="D1536" s="52" t="n">
        <v>1</v>
      </c>
      <c r="E1536" s="53" t="n">
        <v>29185.01</v>
      </c>
      <c r="F1536" s="54" t="n">
        <f aca="false">IFERROR(D1536*E1536,0)</f>
        <v>29185.01</v>
      </c>
      <c r="G1536" s="51" t="str">
        <f aca="false">INDEX(SETORES!$B:$B,MATCH(A1536,SETORES!$A:$A,0))</f>
        <v>Clientes</v>
      </c>
      <c r="H1536" s="51" t="s">
        <v>11</v>
      </c>
    </row>
    <row r="1537" customFormat="false" ht="14.25" hidden="false" customHeight="true" outlineLevel="0" collapsed="false">
      <c r="A1537" s="50" t="s">
        <v>36</v>
      </c>
      <c r="B1537" s="51" t="s">
        <v>155</v>
      </c>
      <c r="C1537" s="51" t="s">
        <v>177</v>
      </c>
      <c r="D1537" s="52" t="n">
        <v>8</v>
      </c>
      <c r="E1537" s="53" t="n">
        <v>2.75</v>
      </c>
      <c r="F1537" s="54" t="n">
        <v>22</v>
      </c>
      <c r="G1537" s="51" t="str">
        <f aca="false">INDEX(SETORES!$B:$B,MATCH(A1537,SETORES!$A:$A,0))</f>
        <v>Clientes</v>
      </c>
      <c r="H1537" s="51" t="s">
        <v>11</v>
      </c>
    </row>
    <row r="1538" customFormat="false" ht="14.25" hidden="false" customHeight="true" outlineLevel="0" collapsed="false">
      <c r="A1538" s="16" t="s">
        <v>36</v>
      </c>
      <c r="B1538" s="42" t="s">
        <v>155</v>
      </c>
      <c r="C1538" s="42" t="s">
        <v>178</v>
      </c>
      <c r="D1538" s="43" t="n">
        <v>1</v>
      </c>
      <c r="E1538" s="44" t="n">
        <v>138.53</v>
      </c>
      <c r="F1538" s="45" t="n">
        <v>138.53</v>
      </c>
      <c r="G1538" s="42" t="str">
        <f aca="false">INDEX(SETORES!$B:$B,MATCH(A1538,SETORES!$A:$A,0))</f>
        <v>Clientes</v>
      </c>
      <c r="H1538" s="42" t="s">
        <v>11</v>
      </c>
    </row>
    <row r="1539" customFormat="false" ht="14.25" hidden="false" customHeight="true" outlineLevel="0" collapsed="false">
      <c r="A1539" s="50" t="s">
        <v>36</v>
      </c>
      <c r="B1539" s="51" t="s">
        <v>155</v>
      </c>
      <c r="C1539" s="51" t="s">
        <v>244</v>
      </c>
      <c r="D1539" s="52" t="n">
        <v>1</v>
      </c>
      <c r="E1539" s="53" t="n">
        <v>1649.77</v>
      </c>
      <c r="F1539" s="54" t="n">
        <f aca="false">IFERROR(D1539*E1539,0)</f>
        <v>1649.77</v>
      </c>
      <c r="G1539" s="51" t="str">
        <f aca="false">INDEX(SETORES!$B:$B,MATCH(A1539,SETORES!$A:$A,0))</f>
        <v>Clientes</v>
      </c>
      <c r="H1539" s="51" t="s">
        <v>11</v>
      </c>
    </row>
    <row r="1540" customFormat="false" ht="14.25" hidden="false" customHeight="true" outlineLevel="0" collapsed="false">
      <c r="A1540" s="16" t="s">
        <v>36</v>
      </c>
      <c r="B1540" s="42" t="s">
        <v>157</v>
      </c>
      <c r="C1540" s="42" t="s">
        <v>158</v>
      </c>
      <c r="D1540" s="43"/>
      <c r="E1540" s="44"/>
      <c r="F1540" s="45" t="n">
        <f aca="false">IFERROR(D1540*E1540,0)</f>
        <v>0</v>
      </c>
      <c r="G1540" s="42" t="str">
        <f aca="false">INDEX(SETORES!$B:$B,MATCH(A1540,SETORES!$A:$A,0))</f>
        <v>Clientes</v>
      </c>
      <c r="H1540" s="42" t="s">
        <v>11</v>
      </c>
    </row>
    <row r="1541" customFormat="false" ht="14.25" hidden="false" customHeight="true" outlineLevel="0" collapsed="false">
      <c r="A1541" s="50" t="s">
        <v>36</v>
      </c>
      <c r="B1541" s="51" t="s">
        <v>155</v>
      </c>
      <c r="C1541" s="51" t="s">
        <v>173</v>
      </c>
      <c r="D1541" s="52" t="n">
        <v>8</v>
      </c>
      <c r="E1541" s="53" t="n">
        <v>2.04</v>
      </c>
      <c r="F1541" s="54" t="n">
        <f aca="false">IFERROR(D1541*E1541,0)</f>
        <v>16.32</v>
      </c>
      <c r="G1541" s="51" t="str">
        <f aca="false">INDEX(SETORES!$B:$B,MATCH(A1541,SETORES!$A:$A,0))</f>
        <v>Clientes</v>
      </c>
      <c r="H1541" s="51" t="s">
        <v>11</v>
      </c>
    </row>
    <row r="1542" customFormat="false" ht="14.25" hidden="false" customHeight="true" outlineLevel="0" collapsed="false">
      <c r="A1542" s="50" t="s">
        <v>36</v>
      </c>
      <c r="B1542" s="51" t="s">
        <v>155</v>
      </c>
      <c r="C1542" s="51" t="s">
        <v>179</v>
      </c>
      <c r="D1542" s="52"/>
      <c r="E1542" s="53"/>
      <c r="F1542" s="54" t="n">
        <f aca="false">IFERROR(D1542*E1542,0)</f>
        <v>0</v>
      </c>
      <c r="G1542" s="51" t="str">
        <f aca="false">INDEX(SETORES!$B:$B,MATCH(A1542,SETORES!$A:$A,0))</f>
        <v>Clientes</v>
      </c>
      <c r="H1542" s="51" t="s">
        <v>11</v>
      </c>
    </row>
    <row r="1543" customFormat="false" ht="14.25" hidden="false" customHeight="true" outlineLevel="0" collapsed="false">
      <c r="A1543" s="16" t="s">
        <v>81</v>
      </c>
      <c r="B1543" s="42" t="s">
        <v>155</v>
      </c>
      <c r="C1543" s="42" t="s">
        <v>163</v>
      </c>
      <c r="D1543" s="43" t="n">
        <v>2</v>
      </c>
      <c r="E1543" s="44" t="n">
        <v>30</v>
      </c>
      <c r="F1543" s="45" t="n">
        <f aca="false">IFERROR(D1543*E1543,0)</f>
        <v>60</v>
      </c>
      <c r="G1543" s="42" t="str">
        <f aca="false">INDEX(SETORES!$B:$B,MATCH(A1543,SETORES!$A:$A,0))</f>
        <v>Clientes</v>
      </c>
      <c r="H1543" s="42" t="s">
        <v>11</v>
      </c>
    </row>
    <row r="1544" customFormat="false" ht="14.25" hidden="false" customHeight="true" outlineLevel="0" collapsed="false">
      <c r="A1544" s="50" t="s">
        <v>81</v>
      </c>
      <c r="B1544" s="51" t="s">
        <v>155</v>
      </c>
      <c r="C1544" s="51" t="s">
        <v>165</v>
      </c>
      <c r="D1544" s="52" t="n">
        <v>2</v>
      </c>
      <c r="E1544" s="44" t="n">
        <v>51.12</v>
      </c>
      <c r="F1544" s="54" t="n">
        <f aca="false">IFERROR(D1544*E1544,0)</f>
        <v>102.24</v>
      </c>
      <c r="G1544" s="51" t="s">
        <v>99</v>
      </c>
      <c r="H1544" s="51" t="s">
        <v>11</v>
      </c>
    </row>
    <row r="1545" customFormat="false" ht="14.25" hidden="false" customHeight="true" outlineLevel="0" collapsed="false">
      <c r="A1545" s="16" t="s">
        <v>81</v>
      </c>
      <c r="B1545" s="42" t="s">
        <v>155</v>
      </c>
      <c r="C1545" s="42" t="s">
        <v>166</v>
      </c>
      <c r="D1545" s="43" t="n">
        <v>2</v>
      </c>
      <c r="E1545" s="44" t="n">
        <v>31.33</v>
      </c>
      <c r="F1545" s="45" t="n">
        <f aca="false">IFERROR(D1545*E1545,0)</f>
        <v>62.66</v>
      </c>
      <c r="G1545" s="51" t="s">
        <v>99</v>
      </c>
      <c r="H1545" s="42" t="s">
        <v>11</v>
      </c>
    </row>
    <row r="1546" customFormat="false" ht="14.25" hidden="false" customHeight="true" outlineLevel="0" collapsed="false">
      <c r="A1546" s="16" t="s">
        <v>81</v>
      </c>
      <c r="B1546" s="42" t="s">
        <v>155</v>
      </c>
      <c r="C1546" s="42" t="s">
        <v>167</v>
      </c>
      <c r="D1546" s="43" t="n">
        <v>2</v>
      </c>
      <c r="E1546" s="44" t="n">
        <v>63.75</v>
      </c>
      <c r="F1546" s="45" t="n">
        <f aca="false">IFERROR(D1546*E1546,0)</f>
        <v>127.5</v>
      </c>
      <c r="G1546" s="51" t="s">
        <v>99</v>
      </c>
      <c r="H1546" s="42" t="s">
        <v>11</v>
      </c>
    </row>
    <row r="1547" customFormat="false" ht="14.25" hidden="false" customHeight="true" outlineLevel="0" collapsed="false">
      <c r="A1547" s="16" t="s">
        <v>81</v>
      </c>
      <c r="B1547" s="42" t="s">
        <v>155</v>
      </c>
      <c r="C1547" s="42" t="s">
        <v>169</v>
      </c>
      <c r="D1547" s="43" t="n">
        <v>1</v>
      </c>
      <c r="E1547" s="44" t="n">
        <v>12859.26</v>
      </c>
      <c r="F1547" s="45" t="n">
        <f aca="false">IFERROR(E1547,0)</f>
        <v>12859.26</v>
      </c>
      <c r="G1547" s="42" t="str">
        <f aca="false">INDEX(SETORES!$B:$B,MATCH(A1547,SETORES!$A:$A,0))</f>
        <v>Clientes</v>
      </c>
      <c r="H1547" s="42" t="s">
        <v>11</v>
      </c>
    </row>
    <row r="1548" customFormat="false" ht="14.25" hidden="false" customHeight="true" outlineLevel="0" collapsed="false">
      <c r="A1548" s="50" t="s">
        <v>81</v>
      </c>
      <c r="B1548" s="51" t="s">
        <v>155</v>
      </c>
      <c r="C1548" s="51" t="s">
        <v>170</v>
      </c>
      <c r="D1548" s="52" t="n">
        <v>2</v>
      </c>
      <c r="E1548" s="53" t="n">
        <v>9.85</v>
      </c>
      <c r="F1548" s="54" t="n">
        <f aca="false">IFERROR(D1548*E1548,0)</f>
        <v>19.7</v>
      </c>
      <c r="G1548" s="51" t="str">
        <f aca="false">INDEX(SETORES!$B:$B,MATCH(A1548,SETORES!$A:$A,0))</f>
        <v>Clientes</v>
      </c>
      <c r="H1548" s="51" t="s">
        <v>11</v>
      </c>
    </row>
    <row r="1549" customFormat="false" ht="14.25" hidden="false" customHeight="true" outlineLevel="0" collapsed="false">
      <c r="A1549" s="16" t="s">
        <v>81</v>
      </c>
      <c r="B1549" s="42" t="s">
        <v>155</v>
      </c>
      <c r="C1549" s="42" t="s">
        <v>183</v>
      </c>
      <c r="D1549" s="43" t="n">
        <v>1</v>
      </c>
      <c r="E1549" s="44" t="n">
        <v>2.272728</v>
      </c>
      <c r="F1549" s="45" t="n">
        <f aca="false">IFERROR(D1549*E1549,0)</f>
        <v>2.272728</v>
      </c>
      <c r="G1549" s="42" t="str">
        <f aca="false">INDEX(SETORES!$B:$B,MATCH(A1549,SETORES!$A:$A,0))</f>
        <v>Clientes</v>
      </c>
      <c r="H1549" s="42" t="s">
        <v>11</v>
      </c>
    </row>
    <row r="1550" customFormat="false" ht="14.25" hidden="false" customHeight="true" outlineLevel="0" collapsed="false">
      <c r="A1550" s="50" t="s">
        <v>81</v>
      </c>
      <c r="B1550" s="51" t="s">
        <v>155</v>
      </c>
      <c r="C1550" s="51" t="s">
        <v>172</v>
      </c>
      <c r="D1550" s="52" t="n">
        <v>2</v>
      </c>
      <c r="E1550" s="53" t="n">
        <v>50</v>
      </c>
      <c r="F1550" s="54" t="n">
        <f aca="false">IFERROR(D1550*E1550,0)</f>
        <v>100</v>
      </c>
      <c r="G1550" s="51" t="str">
        <f aca="false">INDEX(SETORES!$B:$B,MATCH(A1550,SETORES!$A:$A,0))</f>
        <v>Clientes</v>
      </c>
      <c r="H1550" s="51" t="s">
        <v>11</v>
      </c>
    </row>
    <row r="1551" customFormat="false" ht="14.25" hidden="false" customHeight="true" outlineLevel="0" collapsed="false">
      <c r="A1551" s="16" t="s">
        <v>81</v>
      </c>
      <c r="B1551" s="42" t="s">
        <v>155</v>
      </c>
      <c r="C1551" s="42" t="s">
        <v>178</v>
      </c>
      <c r="D1551" s="43" t="n">
        <v>1</v>
      </c>
      <c r="E1551" s="44" t="n">
        <v>50.68</v>
      </c>
      <c r="F1551" s="45" t="n">
        <v>50.68</v>
      </c>
      <c r="G1551" s="42" t="str">
        <f aca="false">INDEX(SETORES!$B:$B,MATCH(A1551,SETORES!$A:$A,0))</f>
        <v>Clientes</v>
      </c>
      <c r="H1551" s="42" t="s">
        <v>11</v>
      </c>
    </row>
    <row r="1552" customFormat="false" ht="14.25" hidden="false" customHeight="true" outlineLevel="0" collapsed="false">
      <c r="A1552" s="50" t="s">
        <v>81</v>
      </c>
      <c r="B1552" s="51" t="s">
        <v>157</v>
      </c>
      <c r="C1552" s="51" t="s">
        <v>158</v>
      </c>
      <c r="D1552" s="52"/>
      <c r="E1552" s="53"/>
      <c r="F1552" s="54" t="n">
        <f aca="false">IFERROR(D1552*E1552,0)</f>
        <v>0</v>
      </c>
      <c r="G1552" s="51" t="str">
        <f aca="false">INDEX(SETORES!$B:$B,MATCH(A1552,SETORES!$A:$A,0))</f>
        <v>Clientes</v>
      </c>
      <c r="H1552" s="51" t="s">
        <v>11</v>
      </c>
    </row>
    <row r="1553" customFormat="false" ht="14.25" hidden="false" customHeight="true" outlineLevel="0" collapsed="false">
      <c r="A1553" s="16" t="s">
        <v>81</v>
      </c>
      <c r="B1553" s="42" t="s">
        <v>155</v>
      </c>
      <c r="C1553" s="42" t="s">
        <v>173</v>
      </c>
      <c r="D1553" s="43" t="n">
        <v>2</v>
      </c>
      <c r="E1553" s="44" t="n">
        <v>2.04</v>
      </c>
      <c r="F1553" s="45" t="n">
        <f aca="false">IFERROR(D1553*E1553,0)</f>
        <v>4.08</v>
      </c>
      <c r="G1553" s="42" t="str">
        <f aca="false">INDEX(SETORES!$B:$B,MATCH(A1553,SETORES!$A:$A,0))</f>
        <v>Clientes</v>
      </c>
      <c r="H1553" s="42" t="s">
        <v>11</v>
      </c>
    </row>
    <row r="1554" customFormat="false" ht="14.25" hidden="false" customHeight="true" outlineLevel="0" collapsed="false">
      <c r="A1554" s="50" t="s">
        <v>82</v>
      </c>
      <c r="B1554" s="51" t="s">
        <v>157</v>
      </c>
      <c r="C1554" s="51" t="s">
        <v>199</v>
      </c>
      <c r="D1554" s="52" t="n">
        <v>1</v>
      </c>
      <c r="E1554" s="53" t="n">
        <v>10705.67</v>
      </c>
      <c r="F1554" s="54" t="n">
        <f aca="false">IFERROR(D1554*E1554,0)</f>
        <v>10705.67</v>
      </c>
      <c r="G1554" s="51" t="str">
        <f aca="false">INDEX(SETORES!$B:$B,MATCH(A1554,SETORES!$A:$A,0))</f>
        <v>Clientes</v>
      </c>
      <c r="H1554" s="51" t="s">
        <v>11</v>
      </c>
    </row>
    <row r="1555" customFormat="false" ht="14.25" hidden="false" customHeight="true" outlineLevel="0" collapsed="false">
      <c r="A1555" s="16" t="s">
        <v>82</v>
      </c>
      <c r="B1555" s="42" t="s">
        <v>155</v>
      </c>
      <c r="C1555" s="42" t="s">
        <v>205</v>
      </c>
      <c r="D1555" s="43" t="n">
        <v>1</v>
      </c>
      <c r="E1555" s="44" t="n">
        <v>1613.07</v>
      </c>
      <c r="F1555" s="45" t="n">
        <f aca="false">IFERROR(D1555*E1555,0)</f>
        <v>1613.07</v>
      </c>
      <c r="G1555" s="42" t="str">
        <f aca="false">INDEX(SETORES!$B:$B,MATCH(A1555,SETORES!$A:$A,0))</f>
        <v>Clientes</v>
      </c>
      <c r="H1555" s="42" t="s">
        <v>11</v>
      </c>
    </row>
    <row r="1556" customFormat="false" ht="14.25" hidden="false" customHeight="true" outlineLevel="0" collapsed="false">
      <c r="A1556" s="50" t="s">
        <v>82</v>
      </c>
      <c r="B1556" s="51" t="s">
        <v>155</v>
      </c>
      <c r="C1556" s="51" t="s">
        <v>245</v>
      </c>
      <c r="D1556" s="52" t="n">
        <v>1</v>
      </c>
      <c r="E1556" s="53" t="n">
        <v>3357.2</v>
      </c>
      <c r="F1556" s="54" t="n">
        <f aca="false">IFERROR(D1556*E1556,0)</f>
        <v>3357.2</v>
      </c>
      <c r="G1556" s="51" t="str">
        <f aca="false">INDEX(SETORES!$B:$B,MATCH(A1556,SETORES!$A:$A,0))</f>
        <v>Clientes</v>
      </c>
      <c r="H1556" s="51" t="s">
        <v>11</v>
      </c>
    </row>
    <row r="1557" customFormat="false" ht="14.25" hidden="false" customHeight="true" outlineLevel="0" collapsed="false">
      <c r="A1557" s="50" t="s">
        <v>82</v>
      </c>
      <c r="B1557" s="51" t="s">
        <v>155</v>
      </c>
      <c r="C1557" s="51" t="s">
        <v>165</v>
      </c>
      <c r="D1557" s="52" t="n">
        <v>9</v>
      </c>
      <c r="E1557" s="44" t="n">
        <v>51.12</v>
      </c>
      <c r="F1557" s="54" t="n">
        <f aca="false">IFERROR(D1557*E1557,0)</f>
        <v>460.08</v>
      </c>
      <c r="G1557" s="51" t="s">
        <v>99</v>
      </c>
      <c r="H1557" s="51" t="s">
        <v>11</v>
      </c>
    </row>
    <row r="1558" customFormat="false" ht="14.25" hidden="false" customHeight="true" outlineLevel="0" collapsed="false">
      <c r="A1558" s="16" t="s">
        <v>82</v>
      </c>
      <c r="B1558" s="42" t="s">
        <v>155</v>
      </c>
      <c r="C1558" s="42" t="s">
        <v>166</v>
      </c>
      <c r="D1558" s="43" t="n">
        <v>9</v>
      </c>
      <c r="E1558" s="44" t="n">
        <v>31.33</v>
      </c>
      <c r="F1558" s="45" t="n">
        <f aca="false">IFERROR(D1558*E1558,0)</f>
        <v>281.97</v>
      </c>
      <c r="G1558" s="51" t="s">
        <v>99</v>
      </c>
      <c r="H1558" s="42" t="s">
        <v>11</v>
      </c>
    </row>
    <row r="1559" customFormat="false" ht="14.25" hidden="false" customHeight="true" outlineLevel="0" collapsed="false">
      <c r="A1559" s="16" t="s">
        <v>82</v>
      </c>
      <c r="B1559" s="42" t="s">
        <v>155</v>
      </c>
      <c r="C1559" s="42" t="s">
        <v>167</v>
      </c>
      <c r="D1559" s="43" t="n">
        <v>9</v>
      </c>
      <c r="E1559" s="44" t="n">
        <v>63.75</v>
      </c>
      <c r="F1559" s="45" t="n">
        <f aca="false">IFERROR(D1559*E1559,0)</f>
        <v>573.75</v>
      </c>
      <c r="G1559" s="51" t="s">
        <v>99</v>
      </c>
      <c r="H1559" s="42" t="s">
        <v>11</v>
      </c>
    </row>
    <row r="1560" customFormat="false" ht="14.25" hidden="false" customHeight="true" outlineLevel="0" collapsed="false">
      <c r="A1560" s="16" t="s">
        <v>82</v>
      </c>
      <c r="B1560" s="42" t="s">
        <v>157</v>
      </c>
      <c r="C1560" s="42" t="s">
        <v>217</v>
      </c>
      <c r="D1560" s="43" t="n">
        <v>1</v>
      </c>
      <c r="E1560" s="44" t="n">
        <v>2848.49</v>
      </c>
      <c r="F1560" s="45" t="n">
        <f aca="false">IFERROR(D1560*E1560,0)</f>
        <v>2848.49</v>
      </c>
      <c r="G1560" s="42" t="str">
        <f aca="false">INDEX(SETORES!$B:$B,MATCH(A1560,SETORES!$A:$A,0))</f>
        <v>Clientes</v>
      </c>
      <c r="H1560" s="42" t="s">
        <v>11</v>
      </c>
    </row>
    <row r="1561" customFormat="false" ht="14.25" hidden="false" customHeight="true" outlineLevel="0" collapsed="false">
      <c r="A1561" s="16" t="s">
        <v>82</v>
      </c>
      <c r="B1561" s="42" t="s">
        <v>155</v>
      </c>
      <c r="C1561" s="42" t="s">
        <v>169</v>
      </c>
      <c r="D1561" s="43" t="n">
        <v>1</v>
      </c>
      <c r="E1561" s="44" t="n">
        <v>86186.53</v>
      </c>
      <c r="F1561" s="45" t="n">
        <f aca="false">IFERROR(E1561,0)</f>
        <v>86186.53</v>
      </c>
      <c r="G1561" s="42" t="str">
        <f aca="false">INDEX(SETORES!$B:$B,MATCH(A1561,SETORES!$A:$A,0))</f>
        <v>Clientes</v>
      </c>
      <c r="H1561" s="42" t="s">
        <v>11</v>
      </c>
    </row>
    <row r="1562" customFormat="false" ht="14.25" hidden="false" customHeight="true" outlineLevel="0" collapsed="false">
      <c r="A1562" s="50" t="s">
        <v>82</v>
      </c>
      <c r="B1562" s="51" t="s">
        <v>155</v>
      </c>
      <c r="C1562" s="51" t="s">
        <v>170</v>
      </c>
      <c r="D1562" s="52" t="n">
        <v>9</v>
      </c>
      <c r="E1562" s="53" t="n">
        <v>9.85</v>
      </c>
      <c r="F1562" s="54" t="n">
        <f aca="false">IFERROR(D1562*E1562,0)</f>
        <v>88.65</v>
      </c>
      <c r="G1562" s="51" t="str">
        <f aca="false">INDEX(SETORES!$B:$B,MATCH(A1562,SETORES!$A:$A,0))</f>
        <v>Clientes</v>
      </c>
      <c r="H1562" s="51" t="s">
        <v>11</v>
      </c>
    </row>
    <row r="1563" customFormat="false" ht="14.25" hidden="false" customHeight="true" outlineLevel="0" collapsed="false">
      <c r="A1563" s="50" t="s">
        <v>82</v>
      </c>
      <c r="B1563" s="51" t="s">
        <v>155</v>
      </c>
      <c r="C1563" s="51" t="s">
        <v>172</v>
      </c>
      <c r="D1563" s="52"/>
      <c r="E1563" s="53"/>
      <c r="F1563" s="54" t="n">
        <f aca="false">IFERROR(D1563*E1563,0)</f>
        <v>0</v>
      </c>
      <c r="G1563" s="51" t="str">
        <f aca="false">INDEX(SETORES!$B:$B,MATCH(A1563,SETORES!$A:$A,0))</f>
        <v>Clientes</v>
      </c>
      <c r="H1563" s="51" t="s">
        <v>11</v>
      </c>
    </row>
    <row r="1564" customFormat="false" ht="14.25" hidden="false" customHeight="true" outlineLevel="0" collapsed="false">
      <c r="A1564" s="16" t="s">
        <v>82</v>
      </c>
      <c r="B1564" s="42" t="s">
        <v>157</v>
      </c>
      <c r="C1564" s="42" t="s">
        <v>158</v>
      </c>
      <c r="D1564" s="43"/>
      <c r="E1564" s="44"/>
      <c r="F1564" s="45" t="n">
        <f aca="false">IFERROR(D1564*E1564,0)</f>
        <v>0</v>
      </c>
      <c r="G1564" s="42" t="str">
        <f aca="false">INDEX(SETORES!$B:$B,MATCH(A1564,SETORES!$A:$A,0))</f>
        <v>Clientes</v>
      </c>
      <c r="H1564" s="42" t="s">
        <v>11</v>
      </c>
    </row>
    <row r="1565" customFormat="false" ht="14.25" hidden="false" customHeight="true" outlineLevel="0" collapsed="false">
      <c r="A1565" s="16" t="s">
        <v>82</v>
      </c>
      <c r="B1565" s="42" t="s">
        <v>155</v>
      </c>
      <c r="C1565" s="42" t="s">
        <v>173</v>
      </c>
      <c r="D1565" s="43" t="n">
        <v>9</v>
      </c>
      <c r="E1565" s="44" t="n">
        <v>2.04</v>
      </c>
      <c r="F1565" s="45" t="n">
        <f aca="false">IFERROR(D1565*E1565,0)</f>
        <v>18.36</v>
      </c>
      <c r="G1565" s="42" t="str">
        <f aca="false">INDEX(SETORES!$B:$B,MATCH(A1565,SETORES!$A:$A,0))</f>
        <v>Clientes</v>
      </c>
      <c r="H1565" s="42" t="s">
        <v>11</v>
      </c>
    </row>
    <row r="1566" customFormat="false" ht="14.25" hidden="false" customHeight="true" outlineLevel="0" collapsed="false">
      <c r="A1566" s="16" t="s">
        <v>34</v>
      </c>
      <c r="B1566" s="42" t="s">
        <v>155</v>
      </c>
      <c r="C1566" s="42" t="s">
        <v>162</v>
      </c>
      <c r="D1566" s="43" t="n">
        <v>1</v>
      </c>
      <c r="E1566" s="44" t="n">
        <v>0.125</v>
      </c>
      <c r="F1566" s="45" t="n">
        <v>0.125</v>
      </c>
      <c r="G1566" s="42" t="str">
        <f aca="false">INDEX(SETORES!$B:$B,MATCH(A1566,SETORES!$A:$A,0))</f>
        <v>Clientes</v>
      </c>
      <c r="H1566" s="42" t="s">
        <v>11</v>
      </c>
    </row>
    <row r="1567" customFormat="false" ht="14.25" hidden="false" customHeight="true" outlineLevel="0" collapsed="false">
      <c r="A1567" s="50" t="s">
        <v>34</v>
      </c>
      <c r="B1567" s="51" t="s">
        <v>155</v>
      </c>
      <c r="C1567" s="51" t="s">
        <v>163</v>
      </c>
      <c r="D1567" s="52" t="n">
        <v>2</v>
      </c>
      <c r="E1567" s="53" t="n">
        <v>30</v>
      </c>
      <c r="F1567" s="54" t="n">
        <f aca="false">IFERROR(D1567*E1567,0)</f>
        <v>60</v>
      </c>
      <c r="G1567" s="51" t="str">
        <f aca="false">INDEX(SETORES!$B:$B,MATCH(A1567,SETORES!$A:$A,0))</f>
        <v>Clientes</v>
      </c>
      <c r="H1567" s="51" t="s">
        <v>11</v>
      </c>
    </row>
    <row r="1568" customFormat="false" ht="14.25" hidden="false" customHeight="true" outlineLevel="0" collapsed="false">
      <c r="A1568" s="50" t="s">
        <v>34</v>
      </c>
      <c r="B1568" s="51" t="s">
        <v>155</v>
      </c>
      <c r="C1568" s="51" t="s">
        <v>164</v>
      </c>
      <c r="D1568" s="52" t="n">
        <v>1</v>
      </c>
      <c r="E1568" s="53" t="n">
        <v>2962.14</v>
      </c>
      <c r="F1568" s="54" t="n">
        <f aca="false">IFERROR(D1568*E1568,0)</f>
        <v>2962.14</v>
      </c>
      <c r="G1568" s="51" t="str">
        <f aca="false">INDEX(SETORES!$B:$B,MATCH(A1568,SETORES!$A:$A,0))</f>
        <v>Clientes</v>
      </c>
      <c r="H1568" s="51" t="s">
        <v>11</v>
      </c>
    </row>
    <row r="1569" customFormat="false" ht="14.25" hidden="false" customHeight="true" outlineLevel="0" collapsed="false">
      <c r="A1569" s="50" t="s">
        <v>34</v>
      </c>
      <c r="B1569" s="51" t="s">
        <v>155</v>
      </c>
      <c r="C1569" s="51" t="s">
        <v>168</v>
      </c>
      <c r="D1569" s="52" t="n">
        <v>1</v>
      </c>
      <c r="E1569" s="53" t="n">
        <v>43.7861</v>
      </c>
      <c r="F1569" s="54" t="n">
        <v>43.7861</v>
      </c>
      <c r="G1569" s="51" t="str">
        <f aca="false">INDEX(SETORES!$B:$B,MATCH(A1569,SETORES!$A:$A,0))</f>
        <v>Clientes</v>
      </c>
      <c r="H1569" s="51" t="s">
        <v>11</v>
      </c>
    </row>
    <row r="1570" customFormat="false" ht="14.25" hidden="false" customHeight="true" outlineLevel="0" collapsed="false">
      <c r="A1570" s="50" t="s">
        <v>34</v>
      </c>
      <c r="B1570" s="51" t="s">
        <v>157</v>
      </c>
      <c r="C1570" s="51" t="s">
        <v>174</v>
      </c>
      <c r="D1570" s="52"/>
      <c r="E1570" s="53"/>
      <c r="F1570" s="54" t="n">
        <f aca="false">IFERROR(D1570*E1570,0)</f>
        <v>0</v>
      </c>
      <c r="G1570" s="51" t="str">
        <f aca="false">INDEX(SETORES!$B:$B,MATCH(A1570,SETORES!$A:$A,0))</f>
        <v>Clientes</v>
      </c>
      <c r="H1570" s="51" t="s">
        <v>11</v>
      </c>
    </row>
    <row r="1571" customFormat="false" ht="14.25" hidden="false" customHeight="true" outlineLevel="0" collapsed="false">
      <c r="A1571" s="50" t="s">
        <v>34</v>
      </c>
      <c r="B1571" s="51" t="s">
        <v>157</v>
      </c>
      <c r="C1571" s="51" t="s">
        <v>175</v>
      </c>
      <c r="D1571" s="52"/>
      <c r="E1571" s="53"/>
      <c r="F1571" s="54" t="n">
        <f aca="false">IFERROR(D1571*E1571,0)</f>
        <v>0</v>
      </c>
      <c r="G1571" s="51" t="str">
        <f aca="false">INDEX(SETORES!$B:$B,MATCH(A1571,SETORES!$A:$A,0))</f>
        <v>Clientes</v>
      </c>
      <c r="H1571" s="51" t="s">
        <v>11</v>
      </c>
    </row>
    <row r="1572" customFormat="false" ht="14.25" hidden="false" customHeight="true" outlineLevel="0" collapsed="false">
      <c r="A1572" s="16" t="s">
        <v>34</v>
      </c>
      <c r="B1572" s="42" t="s">
        <v>157</v>
      </c>
      <c r="C1572" s="42" t="s">
        <v>176</v>
      </c>
      <c r="D1572" s="43" t="n">
        <v>1</v>
      </c>
      <c r="E1572" s="44" t="n">
        <v>38</v>
      </c>
      <c r="F1572" s="45" t="n">
        <f aca="false">IFERROR(D1572*E1572,0)</f>
        <v>38</v>
      </c>
      <c r="G1572" s="42" t="str">
        <f aca="false">INDEX(SETORES!$B:$B,MATCH(A1572,SETORES!$A:$A,0))</f>
        <v>Clientes</v>
      </c>
      <c r="H1572" s="42" t="s">
        <v>11</v>
      </c>
    </row>
    <row r="1573" customFormat="false" ht="14.25" hidden="false" customHeight="true" outlineLevel="0" collapsed="false">
      <c r="A1573" s="16" t="s">
        <v>34</v>
      </c>
      <c r="B1573" s="42" t="s">
        <v>155</v>
      </c>
      <c r="C1573" s="42" t="s">
        <v>169</v>
      </c>
      <c r="D1573" s="43" t="n">
        <v>1</v>
      </c>
      <c r="E1573" s="44" t="n">
        <v>34954.3</v>
      </c>
      <c r="F1573" s="45" t="n">
        <f aca="false">IFERROR(D1573*E1573,0)</f>
        <v>34954.3</v>
      </c>
      <c r="G1573" s="42" t="str">
        <f aca="false">INDEX(SETORES!$B:$B,MATCH(A1573,SETORES!$A:$A,0))</f>
        <v>Clientes</v>
      </c>
      <c r="H1573" s="42" t="s">
        <v>11</v>
      </c>
    </row>
    <row r="1574" customFormat="false" ht="14.25" hidden="false" customHeight="true" outlineLevel="0" collapsed="false">
      <c r="A1574" s="50" t="s">
        <v>34</v>
      </c>
      <c r="B1574" s="51" t="s">
        <v>155</v>
      </c>
      <c r="C1574" s="51" t="s">
        <v>170</v>
      </c>
      <c r="D1574" s="52" t="n">
        <v>8</v>
      </c>
      <c r="E1574" s="53" t="n">
        <v>9.85</v>
      </c>
      <c r="F1574" s="54" t="n">
        <f aca="false">IFERROR(D1574*E1574,0)</f>
        <v>78.8</v>
      </c>
      <c r="G1574" s="51" t="str">
        <f aca="false">INDEX(SETORES!$B:$B,MATCH(A1574,SETORES!$A:$A,0))</f>
        <v>Clientes</v>
      </c>
      <c r="H1574" s="51" t="s">
        <v>11</v>
      </c>
    </row>
    <row r="1575" customFormat="false" ht="14.25" hidden="false" customHeight="true" outlineLevel="0" collapsed="false">
      <c r="A1575" s="50" t="s">
        <v>34</v>
      </c>
      <c r="B1575" s="51" t="s">
        <v>155</v>
      </c>
      <c r="C1575" s="51" t="s">
        <v>183</v>
      </c>
      <c r="D1575" s="52" t="n">
        <v>1</v>
      </c>
      <c r="E1575" s="53" t="n">
        <v>5.68182</v>
      </c>
      <c r="F1575" s="54" t="n">
        <f aca="false">IFERROR(D1575*E1575,0)</f>
        <v>5.68182</v>
      </c>
      <c r="G1575" s="51" t="str">
        <f aca="false">INDEX(SETORES!$B:$B,MATCH(A1575,SETORES!$A:$A,0))</f>
        <v>Clientes</v>
      </c>
      <c r="H1575" s="51" t="s">
        <v>11</v>
      </c>
    </row>
    <row r="1576" customFormat="false" ht="14.25" hidden="false" customHeight="true" outlineLevel="0" collapsed="false">
      <c r="A1576" s="16" t="s">
        <v>34</v>
      </c>
      <c r="B1576" s="42" t="s">
        <v>155</v>
      </c>
      <c r="C1576" s="42" t="s">
        <v>172</v>
      </c>
      <c r="D1576" s="43" t="n">
        <v>8</v>
      </c>
      <c r="E1576" s="44" t="n">
        <v>50</v>
      </c>
      <c r="F1576" s="45" t="n">
        <f aca="false">IFERROR(D1576*E1576,0)</f>
        <v>400</v>
      </c>
      <c r="G1576" s="42" t="str">
        <f aca="false">INDEX(SETORES!$B:$B,MATCH(A1576,SETORES!$A:$A,0))</f>
        <v>Clientes</v>
      </c>
      <c r="H1576" s="42" t="s">
        <v>11</v>
      </c>
    </row>
    <row r="1577" customFormat="false" ht="14.25" hidden="false" customHeight="true" outlineLevel="0" collapsed="false">
      <c r="A1577" s="50" t="s">
        <v>34</v>
      </c>
      <c r="B1577" s="51" t="s">
        <v>155</v>
      </c>
      <c r="C1577" s="51" t="s">
        <v>177</v>
      </c>
      <c r="D1577" s="52" t="n">
        <v>5</v>
      </c>
      <c r="E1577" s="53" t="n">
        <v>28</v>
      </c>
      <c r="F1577" s="54" t="n">
        <v>140</v>
      </c>
      <c r="G1577" s="51" t="str">
        <f aca="false">INDEX(SETORES!$B:$B,MATCH(A1577,SETORES!$A:$A,0))</f>
        <v>Clientes</v>
      </c>
      <c r="H1577" s="51" t="s">
        <v>11</v>
      </c>
    </row>
    <row r="1578" customFormat="false" ht="14.25" hidden="false" customHeight="true" outlineLevel="0" collapsed="false">
      <c r="A1578" s="16" t="s">
        <v>34</v>
      </c>
      <c r="B1578" s="42" t="s">
        <v>155</v>
      </c>
      <c r="C1578" s="42" t="s">
        <v>178</v>
      </c>
      <c r="D1578" s="43" t="n">
        <v>1</v>
      </c>
      <c r="E1578" s="44" t="n">
        <v>184.6</v>
      </c>
      <c r="F1578" s="45" t="n">
        <v>184.6</v>
      </c>
      <c r="G1578" s="42" t="str">
        <f aca="false">INDEX(SETORES!$B:$B,MATCH(A1578,SETORES!$A:$A,0))</f>
        <v>Clientes</v>
      </c>
      <c r="H1578" s="42" t="s">
        <v>11</v>
      </c>
    </row>
    <row r="1579" customFormat="false" ht="14.25" hidden="false" customHeight="true" outlineLevel="0" collapsed="false">
      <c r="A1579" s="50" t="s">
        <v>34</v>
      </c>
      <c r="B1579" s="51" t="s">
        <v>157</v>
      </c>
      <c r="C1579" s="51" t="s">
        <v>158</v>
      </c>
      <c r="D1579" s="52"/>
      <c r="E1579" s="53"/>
      <c r="F1579" s="54" t="n">
        <f aca="false">IFERROR(D1579*E1579,0)</f>
        <v>0</v>
      </c>
      <c r="G1579" s="51" t="str">
        <f aca="false">INDEX(SETORES!$B:$B,MATCH(A1579,SETORES!$A:$A,0))</f>
        <v>Clientes</v>
      </c>
      <c r="H1579" s="51" t="s">
        <v>11</v>
      </c>
    </row>
    <row r="1580" customFormat="false" ht="14.25" hidden="false" customHeight="true" outlineLevel="0" collapsed="false">
      <c r="A1580" s="16" t="s">
        <v>34</v>
      </c>
      <c r="B1580" s="42" t="s">
        <v>155</v>
      </c>
      <c r="C1580" s="42" t="s">
        <v>173</v>
      </c>
      <c r="D1580" s="43" t="n">
        <v>8</v>
      </c>
      <c r="E1580" s="44" t="n">
        <v>2.04</v>
      </c>
      <c r="F1580" s="45" t="n">
        <f aca="false">IFERROR(D1580*E1580,0)</f>
        <v>16.32</v>
      </c>
      <c r="G1580" s="42" t="str">
        <f aca="false">INDEX(SETORES!$B:$B,MATCH(A1580,SETORES!$A:$A,0))</f>
        <v>Clientes</v>
      </c>
      <c r="H1580" s="42" t="s">
        <v>11</v>
      </c>
    </row>
    <row r="1581" customFormat="false" ht="14.25" hidden="false" customHeight="true" outlineLevel="0" collapsed="false">
      <c r="A1581" s="50" t="s">
        <v>34</v>
      </c>
      <c r="B1581" s="51" t="s">
        <v>155</v>
      </c>
      <c r="C1581" s="51" t="s">
        <v>179</v>
      </c>
      <c r="D1581" s="52"/>
      <c r="E1581" s="53"/>
      <c r="F1581" s="54" t="n">
        <f aca="false">IFERROR(D1581*E1581,0)</f>
        <v>0</v>
      </c>
      <c r="G1581" s="51" t="str">
        <f aca="false">INDEX(SETORES!$B:$B,MATCH(A1581,SETORES!$A:$A,0))</f>
        <v>Clientes</v>
      </c>
      <c r="H1581" s="51" t="s">
        <v>11</v>
      </c>
    </row>
    <row r="1582" customFormat="false" ht="14.25" hidden="false" customHeight="true" outlineLevel="0" collapsed="false">
      <c r="A1582" s="16" t="s">
        <v>83</v>
      </c>
      <c r="B1582" s="42" t="s">
        <v>155</v>
      </c>
      <c r="C1582" s="42" t="s">
        <v>163</v>
      </c>
      <c r="D1582" s="43" t="n">
        <v>2</v>
      </c>
      <c r="E1582" s="44" t="n">
        <v>30</v>
      </c>
      <c r="F1582" s="45" t="n">
        <f aca="false">IFERROR(D1582*E1582,0)</f>
        <v>60</v>
      </c>
      <c r="G1582" s="42" t="str">
        <f aca="false">INDEX(SETORES!$B:$B,MATCH(A1582,SETORES!$A:$A,0))</f>
        <v>Clientes</v>
      </c>
      <c r="H1582" s="42" t="s">
        <v>11</v>
      </c>
    </row>
    <row r="1583" customFormat="false" ht="14.25" hidden="false" customHeight="true" outlineLevel="0" collapsed="false">
      <c r="A1583" s="16" t="s">
        <v>83</v>
      </c>
      <c r="B1583" s="42" t="s">
        <v>157</v>
      </c>
      <c r="C1583" s="42" t="s">
        <v>199</v>
      </c>
      <c r="D1583" s="43" t="n">
        <v>1</v>
      </c>
      <c r="E1583" s="44" t="n">
        <v>1362.25</v>
      </c>
      <c r="F1583" s="45" t="n">
        <f aca="false">IFERROR(D1583*E1583,0)</f>
        <v>1362.25</v>
      </c>
      <c r="G1583" s="42" t="str">
        <f aca="false">INDEX(SETORES!$B:$B,MATCH(A1583,SETORES!$A:$A,0))</f>
        <v>Clientes</v>
      </c>
      <c r="H1583" s="42" t="s">
        <v>11</v>
      </c>
    </row>
    <row r="1584" customFormat="false" ht="14.25" hidden="false" customHeight="true" outlineLevel="0" collapsed="false">
      <c r="A1584" s="16" t="s">
        <v>83</v>
      </c>
      <c r="B1584" s="42" t="s">
        <v>155</v>
      </c>
      <c r="C1584" s="42" t="s">
        <v>218</v>
      </c>
      <c r="D1584" s="43" t="n">
        <v>1</v>
      </c>
      <c r="E1584" s="44" t="n">
        <v>7500</v>
      </c>
      <c r="F1584" s="45" t="n">
        <f aca="false">IFERROR(D1584*E1584,0)</f>
        <v>7500</v>
      </c>
      <c r="G1584" s="42" t="str">
        <f aca="false">INDEX(SETORES!$B:$B,MATCH(A1584,SETORES!$A:$A,0))</f>
        <v>Clientes</v>
      </c>
      <c r="H1584" s="42" t="s">
        <v>11</v>
      </c>
    </row>
    <row r="1585" customFormat="false" ht="14.25" hidden="false" customHeight="true" outlineLevel="0" collapsed="false">
      <c r="A1585" s="50" t="s">
        <v>83</v>
      </c>
      <c r="B1585" s="51" t="s">
        <v>155</v>
      </c>
      <c r="C1585" s="51" t="s">
        <v>165</v>
      </c>
      <c r="D1585" s="52" t="n">
        <v>2</v>
      </c>
      <c r="E1585" s="44" t="n">
        <v>51.12</v>
      </c>
      <c r="F1585" s="54" t="n">
        <f aca="false">IFERROR(D1585*E1585,0)</f>
        <v>102.24</v>
      </c>
      <c r="G1585" s="51" t="s">
        <v>99</v>
      </c>
      <c r="H1585" s="51" t="s">
        <v>11</v>
      </c>
    </row>
    <row r="1586" customFormat="false" ht="14.25" hidden="false" customHeight="true" outlineLevel="0" collapsed="false">
      <c r="A1586" s="16" t="s">
        <v>83</v>
      </c>
      <c r="B1586" s="42" t="s">
        <v>155</v>
      </c>
      <c r="C1586" s="42" t="s">
        <v>166</v>
      </c>
      <c r="D1586" s="43" t="n">
        <v>2</v>
      </c>
      <c r="E1586" s="44" t="n">
        <v>31.33</v>
      </c>
      <c r="F1586" s="45" t="n">
        <f aca="false">IFERROR(D1586*E1586,0)</f>
        <v>62.66</v>
      </c>
      <c r="G1586" s="51" t="s">
        <v>99</v>
      </c>
      <c r="H1586" s="42" t="s">
        <v>11</v>
      </c>
    </row>
    <row r="1587" customFormat="false" ht="14.25" hidden="false" customHeight="true" outlineLevel="0" collapsed="false">
      <c r="A1587" s="16" t="s">
        <v>83</v>
      </c>
      <c r="B1587" s="42" t="s">
        <v>155</v>
      </c>
      <c r="C1587" s="42" t="s">
        <v>167</v>
      </c>
      <c r="D1587" s="43" t="n">
        <v>2</v>
      </c>
      <c r="E1587" s="44" t="n">
        <v>63.75</v>
      </c>
      <c r="F1587" s="45" t="n">
        <f aca="false">IFERROR(D1587*E1587,0)</f>
        <v>127.5</v>
      </c>
      <c r="G1587" s="51" t="s">
        <v>99</v>
      </c>
      <c r="H1587" s="42" t="s">
        <v>11</v>
      </c>
    </row>
    <row r="1588" customFormat="false" ht="14.25" hidden="false" customHeight="true" outlineLevel="0" collapsed="false">
      <c r="A1588" s="16" t="s">
        <v>83</v>
      </c>
      <c r="B1588" s="42" t="s">
        <v>155</v>
      </c>
      <c r="C1588" s="42" t="s">
        <v>169</v>
      </c>
      <c r="D1588" s="43" t="n">
        <v>1</v>
      </c>
      <c r="E1588" s="44" t="n">
        <v>6068.32</v>
      </c>
      <c r="F1588" s="45" t="n">
        <f aca="false">IFERROR(E1588,0)</f>
        <v>6068.32</v>
      </c>
      <c r="G1588" s="42" t="str">
        <f aca="false">INDEX(SETORES!$B:$B,MATCH(A1588,SETORES!$A:$A,0))</f>
        <v>Clientes</v>
      </c>
      <c r="H1588" s="42" t="s">
        <v>11</v>
      </c>
    </row>
    <row r="1589" customFormat="false" ht="14.25" hidden="false" customHeight="true" outlineLevel="0" collapsed="false">
      <c r="A1589" s="50" t="s">
        <v>83</v>
      </c>
      <c r="B1589" s="51" t="s">
        <v>155</v>
      </c>
      <c r="C1589" s="51" t="s">
        <v>170</v>
      </c>
      <c r="D1589" s="52" t="n">
        <v>2</v>
      </c>
      <c r="E1589" s="53" t="n">
        <v>9.85</v>
      </c>
      <c r="F1589" s="54" t="n">
        <f aca="false">IFERROR(D1589*E1589,0)</f>
        <v>19.7</v>
      </c>
      <c r="G1589" s="51" t="str">
        <f aca="false">INDEX(SETORES!$B:$B,MATCH(A1589,SETORES!$A:$A,0))</f>
        <v>Clientes</v>
      </c>
      <c r="H1589" s="51" t="s">
        <v>11</v>
      </c>
    </row>
    <row r="1590" customFormat="false" ht="14.25" hidden="false" customHeight="true" outlineLevel="0" collapsed="false">
      <c r="A1590" s="50" t="s">
        <v>83</v>
      </c>
      <c r="B1590" s="51" t="s">
        <v>155</v>
      </c>
      <c r="C1590" s="51" t="s">
        <v>172</v>
      </c>
      <c r="D1590" s="52" t="n">
        <v>3</v>
      </c>
      <c r="E1590" s="53" t="n">
        <v>50</v>
      </c>
      <c r="F1590" s="54" t="n">
        <f aca="false">IFERROR(D1590*E1590,0)</f>
        <v>150</v>
      </c>
      <c r="G1590" s="51" t="str">
        <f aca="false">INDEX(SETORES!$B:$B,MATCH(A1590,SETORES!$A:$A,0))</f>
        <v>Clientes</v>
      </c>
      <c r="H1590" s="51" t="s">
        <v>11</v>
      </c>
    </row>
    <row r="1591" customFormat="false" ht="14.25" hidden="false" customHeight="true" outlineLevel="0" collapsed="false">
      <c r="A1591" s="50" t="s">
        <v>83</v>
      </c>
      <c r="B1591" s="51" t="s">
        <v>155</v>
      </c>
      <c r="C1591" s="51" t="s">
        <v>178</v>
      </c>
      <c r="D1591" s="52" t="n">
        <v>1</v>
      </c>
      <c r="E1591" s="53" t="n">
        <v>151.2</v>
      </c>
      <c r="F1591" s="54" t="n">
        <v>151.2</v>
      </c>
      <c r="G1591" s="51" t="str">
        <f aca="false">INDEX(SETORES!$B:$B,MATCH(A1591,SETORES!$A:$A,0))</f>
        <v>Clientes</v>
      </c>
      <c r="H1591" s="51" t="s">
        <v>11</v>
      </c>
    </row>
    <row r="1592" customFormat="false" ht="14.25" hidden="false" customHeight="true" outlineLevel="0" collapsed="false">
      <c r="A1592" s="16" t="s">
        <v>83</v>
      </c>
      <c r="B1592" s="42" t="s">
        <v>157</v>
      </c>
      <c r="C1592" s="42" t="s">
        <v>158</v>
      </c>
      <c r="D1592" s="43"/>
      <c r="E1592" s="44"/>
      <c r="F1592" s="45" t="n">
        <f aca="false">IFERROR(D1592*E1592,0)</f>
        <v>0</v>
      </c>
      <c r="G1592" s="42" t="str">
        <f aca="false">INDEX(SETORES!$B:$B,MATCH(A1592,SETORES!$A:$A,0))</f>
        <v>Clientes</v>
      </c>
      <c r="H1592" s="42" t="s">
        <v>11</v>
      </c>
    </row>
    <row r="1593" customFormat="false" ht="14.25" hidden="false" customHeight="true" outlineLevel="0" collapsed="false">
      <c r="A1593" s="16" t="s">
        <v>83</v>
      </c>
      <c r="B1593" s="42" t="s">
        <v>155</v>
      </c>
      <c r="C1593" s="42" t="s">
        <v>173</v>
      </c>
      <c r="D1593" s="43" t="n">
        <v>2</v>
      </c>
      <c r="E1593" s="44" t="n">
        <v>2.04</v>
      </c>
      <c r="F1593" s="45" t="n">
        <f aca="false">IFERROR(D1593*E1593,0)</f>
        <v>4.08</v>
      </c>
      <c r="G1593" s="42" t="str">
        <f aca="false">INDEX(SETORES!$B:$B,MATCH(A1593,SETORES!$A:$A,0))</f>
        <v>Clientes</v>
      </c>
      <c r="H1593" s="42" t="s">
        <v>11</v>
      </c>
    </row>
    <row r="1594" customFormat="false" ht="14.25" hidden="false" customHeight="true" outlineLevel="0" collapsed="false">
      <c r="A1594" s="16" t="s">
        <v>84</v>
      </c>
      <c r="B1594" s="42" t="s">
        <v>157</v>
      </c>
      <c r="C1594" s="42" t="s">
        <v>199</v>
      </c>
      <c r="D1594" s="43" t="n">
        <v>1</v>
      </c>
      <c r="E1594" s="44" t="n">
        <v>12957.78</v>
      </c>
      <c r="F1594" s="45" t="n">
        <f aca="false">IFERROR(D1594*E1594,0)</f>
        <v>12957.78</v>
      </c>
      <c r="G1594" s="42" t="str">
        <f aca="false">INDEX(SETORES!$B:$B,MATCH(A1594,SETORES!$A:$A,0))</f>
        <v>Clientes</v>
      </c>
      <c r="H1594" s="42" t="s">
        <v>11</v>
      </c>
    </row>
    <row r="1595" customFormat="false" ht="14.25" hidden="false" customHeight="true" outlineLevel="0" collapsed="false">
      <c r="A1595" s="50" t="s">
        <v>84</v>
      </c>
      <c r="B1595" s="51" t="s">
        <v>155</v>
      </c>
      <c r="C1595" s="51" t="s">
        <v>205</v>
      </c>
      <c r="D1595" s="52" t="n">
        <v>1</v>
      </c>
      <c r="E1595" s="53" t="n">
        <v>3763.83</v>
      </c>
      <c r="F1595" s="54" t="n">
        <f aca="false">IFERROR(D1595*E1595,0)</f>
        <v>3763.83</v>
      </c>
      <c r="G1595" s="51" t="str">
        <f aca="false">INDEX(SETORES!$B:$B,MATCH(A1595,SETORES!$A:$A,0))</f>
        <v>Clientes</v>
      </c>
      <c r="H1595" s="51" t="s">
        <v>11</v>
      </c>
    </row>
    <row r="1596" customFormat="false" ht="14.25" hidden="false" customHeight="true" outlineLevel="0" collapsed="false">
      <c r="A1596" s="16" t="s">
        <v>84</v>
      </c>
      <c r="B1596" s="42" t="s">
        <v>155</v>
      </c>
      <c r="C1596" s="42" t="s">
        <v>245</v>
      </c>
      <c r="D1596" s="43" t="n">
        <v>1</v>
      </c>
      <c r="E1596" s="44" t="n">
        <v>7833.47</v>
      </c>
      <c r="F1596" s="45" t="n">
        <f aca="false">IFERROR(D1596*E1596,0)</f>
        <v>7833.47</v>
      </c>
      <c r="G1596" s="42" t="str">
        <f aca="false">INDEX(SETORES!$B:$B,MATCH(A1596,SETORES!$A:$A,0))</f>
        <v>Clientes</v>
      </c>
      <c r="H1596" s="42" t="s">
        <v>11</v>
      </c>
    </row>
    <row r="1597" customFormat="false" ht="14.25" hidden="false" customHeight="true" outlineLevel="0" collapsed="false">
      <c r="A1597" s="50" t="s">
        <v>84</v>
      </c>
      <c r="B1597" s="51" t="s">
        <v>155</v>
      </c>
      <c r="C1597" s="51" t="s">
        <v>165</v>
      </c>
      <c r="D1597" s="52" t="n">
        <v>21</v>
      </c>
      <c r="E1597" s="44" t="n">
        <v>51.12</v>
      </c>
      <c r="F1597" s="54" t="n">
        <f aca="false">IFERROR(D1597*E1597,0)</f>
        <v>1073.52</v>
      </c>
      <c r="G1597" s="51" t="s">
        <v>99</v>
      </c>
      <c r="H1597" s="51" t="s">
        <v>11</v>
      </c>
    </row>
    <row r="1598" customFormat="false" ht="14.25" hidden="false" customHeight="true" outlineLevel="0" collapsed="false">
      <c r="A1598" s="16" t="s">
        <v>84</v>
      </c>
      <c r="B1598" s="42" t="s">
        <v>155</v>
      </c>
      <c r="C1598" s="42" t="s">
        <v>166</v>
      </c>
      <c r="D1598" s="43" t="n">
        <v>21</v>
      </c>
      <c r="E1598" s="44" t="n">
        <v>31.33</v>
      </c>
      <c r="F1598" s="45" t="n">
        <f aca="false">IFERROR(D1598*E1598,0)</f>
        <v>657.93</v>
      </c>
      <c r="G1598" s="51" t="s">
        <v>99</v>
      </c>
      <c r="H1598" s="42" t="s">
        <v>11</v>
      </c>
    </row>
    <row r="1599" customFormat="false" ht="14.25" hidden="false" customHeight="true" outlineLevel="0" collapsed="false">
      <c r="A1599" s="16" t="s">
        <v>84</v>
      </c>
      <c r="B1599" s="42" t="s">
        <v>155</v>
      </c>
      <c r="C1599" s="42" t="s">
        <v>167</v>
      </c>
      <c r="D1599" s="43" t="n">
        <v>21</v>
      </c>
      <c r="E1599" s="44" t="n">
        <v>63.75</v>
      </c>
      <c r="F1599" s="45" t="n">
        <f aca="false">IFERROR(D1599*E1599,0)</f>
        <v>1338.75</v>
      </c>
      <c r="G1599" s="51" t="s">
        <v>99</v>
      </c>
      <c r="H1599" s="42" t="s">
        <v>11</v>
      </c>
    </row>
    <row r="1600" customFormat="false" ht="14.25" hidden="false" customHeight="true" outlineLevel="0" collapsed="false">
      <c r="A1600" s="50" t="s">
        <v>84</v>
      </c>
      <c r="B1600" s="51" t="s">
        <v>157</v>
      </c>
      <c r="C1600" s="51" t="s">
        <v>217</v>
      </c>
      <c r="D1600" s="52" t="n">
        <v>1</v>
      </c>
      <c r="E1600" s="53" t="n">
        <v>2874.98</v>
      </c>
      <c r="F1600" s="54" t="n">
        <f aca="false">IFERROR(D1600*E1600,0)</f>
        <v>2874.98</v>
      </c>
      <c r="G1600" s="51" t="str">
        <f aca="false">INDEX(SETORES!$B:$B,MATCH(A1600,SETORES!$A:$A,0))</f>
        <v>Clientes</v>
      </c>
      <c r="H1600" s="51" t="s">
        <v>11</v>
      </c>
    </row>
    <row r="1601" customFormat="false" ht="14.25" hidden="false" customHeight="true" outlineLevel="0" collapsed="false">
      <c r="A1601" s="50" t="s">
        <v>84</v>
      </c>
      <c r="B1601" s="51" t="s">
        <v>155</v>
      </c>
      <c r="C1601" s="51" t="s">
        <v>169</v>
      </c>
      <c r="D1601" s="52" t="n">
        <v>1</v>
      </c>
      <c r="E1601" s="53" t="n">
        <v>131034.59</v>
      </c>
      <c r="F1601" s="54" t="n">
        <f aca="false">IFERROR(E1601,0)</f>
        <v>131034.59</v>
      </c>
      <c r="G1601" s="51" t="str">
        <f aca="false">INDEX(SETORES!$B:$B,MATCH(A1601,SETORES!$A:$A,0))</f>
        <v>Clientes</v>
      </c>
      <c r="H1601" s="51" t="s">
        <v>11</v>
      </c>
    </row>
    <row r="1602" customFormat="false" ht="14.25" hidden="false" customHeight="true" outlineLevel="0" collapsed="false">
      <c r="A1602" s="50" t="s">
        <v>84</v>
      </c>
      <c r="B1602" s="51" t="s">
        <v>155</v>
      </c>
      <c r="C1602" s="51" t="s">
        <v>170</v>
      </c>
      <c r="D1602" s="52" t="n">
        <v>21</v>
      </c>
      <c r="E1602" s="53" t="n">
        <v>9.85</v>
      </c>
      <c r="F1602" s="54" t="n">
        <f aca="false">IFERROR(D1602*E1602,0)</f>
        <v>206.85</v>
      </c>
      <c r="G1602" s="51" t="str">
        <f aca="false">INDEX(SETORES!$B:$B,MATCH(A1602,SETORES!$A:$A,0))</f>
        <v>Clientes</v>
      </c>
      <c r="H1602" s="51" t="s">
        <v>11</v>
      </c>
    </row>
    <row r="1603" customFormat="false" ht="14.25" hidden="false" customHeight="true" outlineLevel="0" collapsed="false">
      <c r="A1603" s="50" t="s">
        <v>84</v>
      </c>
      <c r="B1603" s="51" t="s">
        <v>155</v>
      </c>
      <c r="C1603" s="51" t="s">
        <v>172</v>
      </c>
      <c r="D1603" s="52" t="n">
        <v>2</v>
      </c>
      <c r="E1603" s="53" t="n">
        <v>50</v>
      </c>
      <c r="F1603" s="54" t="n">
        <f aca="false">IFERROR(D1603*E1603,0)</f>
        <v>100</v>
      </c>
      <c r="G1603" s="51" t="str">
        <f aca="false">INDEX(SETORES!$B:$B,MATCH(A1603,SETORES!$A:$A,0))</f>
        <v>Clientes</v>
      </c>
      <c r="H1603" s="51" t="s">
        <v>11</v>
      </c>
    </row>
    <row r="1604" customFormat="false" ht="14.25" hidden="false" customHeight="true" outlineLevel="0" collapsed="false">
      <c r="A1604" s="16" t="s">
        <v>84</v>
      </c>
      <c r="B1604" s="42" t="s">
        <v>155</v>
      </c>
      <c r="C1604" s="42" t="s">
        <v>173</v>
      </c>
      <c r="D1604" s="43" t="n">
        <v>21</v>
      </c>
      <c r="E1604" s="44" t="n">
        <v>2.04</v>
      </c>
      <c r="F1604" s="45" t="n">
        <f aca="false">IFERROR(D1604*E1604,0)</f>
        <v>42.84</v>
      </c>
      <c r="G1604" s="42" t="str">
        <f aca="false">INDEX(SETORES!$B:$B,MATCH(A1604,SETORES!$A:$A,0))</f>
        <v>Clientes</v>
      </c>
      <c r="H1604" s="42" t="s">
        <v>11</v>
      </c>
    </row>
    <row r="1605" customFormat="false" ht="14.25" hidden="false" customHeight="true" outlineLevel="0" collapsed="false">
      <c r="A1605" s="50" t="s">
        <v>48</v>
      </c>
      <c r="B1605" s="51" t="s">
        <v>155</v>
      </c>
      <c r="C1605" s="51" t="s">
        <v>162</v>
      </c>
      <c r="D1605" s="52" t="n">
        <v>14</v>
      </c>
      <c r="E1605" s="53" t="n">
        <v>2.1332</v>
      </c>
      <c r="F1605" s="54" t="n">
        <v>4.3736</v>
      </c>
      <c r="G1605" s="51" t="str">
        <f aca="false">INDEX(SETORES!$B:$B,MATCH(A1605,SETORES!$A:$A,0))</f>
        <v>Clientes</v>
      </c>
      <c r="H1605" s="51" t="s">
        <v>11</v>
      </c>
    </row>
    <row r="1606" customFormat="false" ht="14.25" hidden="false" customHeight="true" outlineLevel="0" collapsed="false">
      <c r="A1606" s="50" t="s">
        <v>48</v>
      </c>
      <c r="B1606" s="51" t="s">
        <v>155</v>
      </c>
      <c r="C1606" s="51" t="s">
        <v>163</v>
      </c>
      <c r="D1606" s="52" t="n">
        <v>7</v>
      </c>
      <c r="E1606" s="53" t="n">
        <v>30</v>
      </c>
      <c r="F1606" s="54" t="n">
        <f aca="false">IFERROR(D1606*E1606,0)</f>
        <v>210</v>
      </c>
      <c r="G1606" s="51" t="str">
        <f aca="false">INDEX(SETORES!$B:$B,MATCH(A1606,SETORES!$A:$A,0))</f>
        <v>Clientes</v>
      </c>
      <c r="H1606" s="51" t="s">
        <v>11</v>
      </c>
    </row>
    <row r="1607" customFormat="false" ht="14.25" hidden="false" customHeight="true" outlineLevel="0" collapsed="false">
      <c r="A1607" s="50" t="s">
        <v>48</v>
      </c>
      <c r="B1607" s="51" t="s">
        <v>157</v>
      </c>
      <c r="C1607" s="51" t="s">
        <v>199</v>
      </c>
      <c r="D1607" s="52" t="n">
        <v>1</v>
      </c>
      <c r="E1607" s="53" t="n">
        <v>41144.77</v>
      </c>
      <c r="F1607" s="54" t="n">
        <f aca="false">IFERROR(D1607*E1607,0)</f>
        <v>41144.77</v>
      </c>
      <c r="G1607" s="51" t="str">
        <f aca="false">INDEX(SETORES!$B:$B,MATCH(A1607,SETORES!$A:$A,0))</f>
        <v>Clientes</v>
      </c>
      <c r="H1607" s="51" t="s">
        <v>11</v>
      </c>
    </row>
    <row r="1608" customFormat="false" ht="14.25" hidden="false" customHeight="true" outlineLevel="0" collapsed="false">
      <c r="A1608" s="16" t="s">
        <v>48</v>
      </c>
      <c r="B1608" s="42" t="s">
        <v>155</v>
      </c>
      <c r="C1608" s="42" t="s">
        <v>220</v>
      </c>
      <c r="D1608" s="43" t="n">
        <v>1</v>
      </c>
      <c r="E1608" s="44" t="n">
        <v>13318.46125</v>
      </c>
      <c r="F1608" s="45" t="n">
        <v>13318.46125</v>
      </c>
      <c r="G1608" s="42" t="s">
        <v>97</v>
      </c>
      <c r="H1608" s="42" t="s">
        <v>11</v>
      </c>
    </row>
    <row r="1609" customFormat="false" ht="14.25" hidden="false" customHeight="true" outlineLevel="0" collapsed="false">
      <c r="A1609" s="16" t="s">
        <v>48</v>
      </c>
      <c r="B1609" s="42" t="s">
        <v>155</v>
      </c>
      <c r="C1609" s="42" t="s">
        <v>168</v>
      </c>
      <c r="D1609" s="43" t="n">
        <v>14</v>
      </c>
      <c r="E1609" s="44" t="n">
        <v>162.5079</v>
      </c>
      <c r="F1609" s="45" t="n">
        <v>331.6278</v>
      </c>
      <c r="G1609" s="42" t="str">
        <f aca="false">INDEX(SETORES!$B:$B,MATCH(A1609,SETORES!$A:$A,0))</f>
        <v>Clientes</v>
      </c>
      <c r="H1609" s="42" t="s">
        <v>11</v>
      </c>
    </row>
    <row r="1610" customFormat="false" ht="14.25" hidden="false" customHeight="true" outlineLevel="0" collapsed="false">
      <c r="A1610" s="50" t="s">
        <v>48</v>
      </c>
      <c r="B1610" s="51" t="s">
        <v>157</v>
      </c>
      <c r="C1610" s="51" t="s">
        <v>217</v>
      </c>
      <c r="D1610" s="52"/>
      <c r="E1610" s="53"/>
      <c r="F1610" s="54" t="n">
        <f aca="false">IFERROR(D1610*E1610,0)</f>
        <v>0</v>
      </c>
      <c r="G1610" s="51" t="str">
        <f aca="false">INDEX(SETORES!$B:$B,MATCH(A1610,SETORES!$A:$A,0))</f>
        <v>Clientes</v>
      </c>
      <c r="H1610" s="51" t="s">
        <v>11</v>
      </c>
    </row>
    <row r="1611" customFormat="false" ht="14.25" hidden="false" customHeight="true" outlineLevel="0" collapsed="false">
      <c r="A1611" s="50" t="s">
        <v>48</v>
      </c>
      <c r="B1611" s="51" t="s">
        <v>157</v>
      </c>
      <c r="C1611" s="51" t="s">
        <v>175</v>
      </c>
      <c r="D1611" s="52" t="n">
        <v>1</v>
      </c>
      <c r="E1611" s="53" t="n">
        <v>136</v>
      </c>
      <c r="F1611" s="54" t="n">
        <f aca="false">IFERROR(D1611*E1611,0)</f>
        <v>136</v>
      </c>
      <c r="G1611" s="51" t="str">
        <f aca="false">INDEX(SETORES!$B:$B,MATCH(A1611,SETORES!$A:$A,0))</f>
        <v>Clientes</v>
      </c>
      <c r="H1611" s="51" t="s">
        <v>11</v>
      </c>
    </row>
    <row r="1612" customFormat="false" ht="14.25" hidden="false" customHeight="true" outlineLevel="0" collapsed="false">
      <c r="A1612" s="16" t="s">
        <v>48</v>
      </c>
      <c r="B1612" s="42" t="s">
        <v>157</v>
      </c>
      <c r="C1612" s="42" t="s">
        <v>176</v>
      </c>
      <c r="D1612" s="43"/>
      <c r="E1612" s="44"/>
      <c r="F1612" s="45" t="n">
        <f aca="false">IFERROR(D1612*E1612,0)</f>
        <v>0</v>
      </c>
      <c r="G1612" s="42" t="str">
        <f aca="false">INDEX(SETORES!$B:$B,MATCH(A1612,SETORES!$A:$A,0))</f>
        <v>Clientes</v>
      </c>
      <c r="H1612" s="42" t="s">
        <v>11</v>
      </c>
    </row>
    <row r="1613" customFormat="false" ht="14.25" hidden="false" customHeight="true" outlineLevel="0" collapsed="false">
      <c r="A1613" s="16" t="s">
        <v>48</v>
      </c>
      <c r="B1613" s="42" t="s">
        <v>155</v>
      </c>
      <c r="C1613" s="42" t="s">
        <v>169</v>
      </c>
      <c r="D1613" s="43" t="n">
        <v>1</v>
      </c>
      <c r="E1613" s="44" t="n">
        <v>72779.044107</v>
      </c>
      <c r="F1613" s="45" t="n">
        <v>72779.044107</v>
      </c>
      <c r="G1613" s="42" t="str">
        <f aca="false">INDEX(SETORES!$B:$B,MATCH(A1613,SETORES!$A:$A,0))</f>
        <v>Clientes</v>
      </c>
      <c r="H1613" s="42" t="s">
        <v>11</v>
      </c>
    </row>
    <row r="1614" customFormat="false" ht="14.25" hidden="false" customHeight="true" outlineLevel="0" collapsed="false">
      <c r="A1614" s="50" t="s">
        <v>48</v>
      </c>
      <c r="B1614" s="51" t="s">
        <v>155</v>
      </c>
      <c r="C1614" s="51" t="s">
        <v>170</v>
      </c>
      <c r="D1614" s="52" t="n">
        <v>14</v>
      </c>
      <c r="E1614" s="53" t="n">
        <v>9.85</v>
      </c>
      <c r="F1614" s="54" t="n">
        <v>137.9</v>
      </c>
      <c r="G1614" s="51" t="str">
        <f aca="false">INDEX(SETORES!$B:$B,MATCH(A1614,SETORES!$A:$A,0))</f>
        <v>Clientes</v>
      </c>
      <c r="H1614" s="51" t="s">
        <v>11</v>
      </c>
    </row>
    <row r="1615" customFormat="false" ht="14.25" hidden="false" customHeight="true" outlineLevel="0" collapsed="false">
      <c r="A1615" s="16" t="s">
        <v>48</v>
      </c>
      <c r="B1615" s="42" t="s">
        <v>155</v>
      </c>
      <c r="C1615" s="42" t="s">
        <v>183</v>
      </c>
      <c r="D1615" s="43" t="n">
        <v>1</v>
      </c>
      <c r="E1615" s="44" t="n">
        <v>153.58</v>
      </c>
      <c r="F1615" s="45" t="n">
        <f aca="false">IFERROR(D1615*E1615,0)</f>
        <v>153.58</v>
      </c>
      <c r="G1615" s="42" t="str">
        <f aca="false">INDEX(SETORES!$B:$B,MATCH(A1615,SETORES!$A:$A,0))</f>
        <v>Clientes</v>
      </c>
      <c r="H1615" s="42" t="s">
        <v>11</v>
      </c>
    </row>
    <row r="1616" customFormat="false" ht="14.25" hidden="false" customHeight="true" outlineLevel="0" collapsed="false">
      <c r="A1616" s="50" t="s">
        <v>48</v>
      </c>
      <c r="B1616" s="51" t="s">
        <v>155</v>
      </c>
      <c r="C1616" s="51" t="s">
        <v>172</v>
      </c>
      <c r="D1616" s="52" t="n">
        <v>4</v>
      </c>
      <c r="E1616" s="53" t="n">
        <v>50</v>
      </c>
      <c r="F1616" s="54" t="n">
        <f aca="false">IFERROR(D1616*E1616,0)</f>
        <v>200</v>
      </c>
      <c r="G1616" s="51" t="str">
        <f aca="false">INDEX(SETORES!$B:$B,MATCH(A1616,SETORES!$A:$A,0))</f>
        <v>Clientes</v>
      </c>
      <c r="H1616" s="51" t="s">
        <v>11</v>
      </c>
    </row>
    <row r="1617" customFormat="false" ht="14.25" hidden="false" customHeight="true" outlineLevel="0" collapsed="false">
      <c r="A1617" s="16" t="s">
        <v>48</v>
      </c>
      <c r="B1617" s="42" t="s">
        <v>157</v>
      </c>
      <c r="C1617" s="42" t="s">
        <v>221</v>
      </c>
      <c r="D1617" s="43"/>
      <c r="E1617" s="44"/>
      <c r="F1617" s="45" t="n">
        <f aca="false">IFERROR(D1617*E1617,0)</f>
        <v>0</v>
      </c>
      <c r="G1617" s="42" t="str">
        <f aca="false">INDEX(SETORES!$B:$B,MATCH(A1617,SETORES!$A:$A,0))</f>
        <v>Clientes</v>
      </c>
      <c r="H1617" s="42" t="s">
        <v>11</v>
      </c>
    </row>
    <row r="1618" customFormat="false" ht="14.25" hidden="false" customHeight="true" outlineLevel="0" collapsed="false">
      <c r="A1618" s="16" t="s">
        <v>48</v>
      </c>
      <c r="B1618" s="42" t="s">
        <v>155</v>
      </c>
      <c r="C1618" s="42" t="s">
        <v>177</v>
      </c>
      <c r="D1618" s="43"/>
      <c r="E1618" s="44"/>
      <c r="F1618" s="45" t="n">
        <v>0</v>
      </c>
      <c r="G1618" s="42" t="str">
        <f aca="false">INDEX(SETORES!$B:$B,MATCH(A1618,SETORES!$A:$A,0))</f>
        <v>Clientes</v>
      </c>
      <c r="H1618" s="42" t="s">
        <v>11</v>
      </c>
    </row>
    <row r="1619" customFormat="false" ht="14.25" hidden="false" customHeight="true" outlineLevel="0" collapsed="false">
      <c r="A1619" s="50" t="s">
        <v>48</v>
      </c>
      <c r="B1619" s="51" t="s">
        <v>155</v>
      </c>
      <c r="C1619" s="51" t="s">
        <v>178</v>
      </c>
      <c r="D1619" s="52"/>
      <c r="E1619" s="53"/>
      <c r="F1619" s="54" t="n">
        <v>0</v>
      </c>
      <c r="G1619" s="51" t="str">
        <f aca="false">INDEX(SETORES!$B:$B,MATCH(A1619,SETORES!$A:$A,0))</f>
        <v>Clientes</v>
      </c>
      <c r="H1619" s="51" t="s">
        <v>11</v>
      </c>
    </row>
    <row r="1620" customFormat="false" ht="14.25" hidden="false" customHeight="true" outlineLevel="0" collapsed="false">
      <c r="A1620" s="16" t="s">
        <v>48</v>
      </c>
      <c r="B1620" s="42" t="s">
        <v>157</v>
      </c>
      <c r="C1620" s="42" t="s">
        <v>184</v>
      </c>
      <c r="D1620" s="43" t="n">
        <v>15</v>
      </c>
      <c r="E1620" s="44" t="n">
        <v>67.41</v>
      </c>
      <c r="F1620" s="45" t="n">
        <v>1199.94</v>
      </c>
      <c r="G1620" s="42" t="str">
        <f aca="false">INDEX(SETORES!$B:$B,MATCH(A1620,SETORES!$A:$A,0))</f>
        <v>Clientes</v>
      </c>
      <c r="H1620" s="42" t="s">
        <v>11</v>
      </c>
    </row>
    <row r="1621" customFormat="false" ht="14.25" hidden="false" customHeight="true" outlineLevel="0" collapsed="false">
      <c r="A1621" s="50" t="s">
        <v>48</v>
      </c>
      <c r="B1621" s="51" t="s">
        <v>157</v>
      </c>
      <c r="C1621" s="51" t="s">
        <v>158</v>
      </c>
      <c r="D1621" s="52"/>
      <c r="E1621" s="53"/>
      <c r="F1621" s="54" t="n">
        <f aca="false">IFERROR(D1621*E1621,0)</f>
        <v>0</v>
      </c>
      <c r="G1621" s="51" t="str">
        <f aca="false">INDEX(SETORES!$B:$B,MATCH(A1621,SETORES!$A:$A,0))</f>
        <v>Clientes</v>
      </c>
      <c r="H1621" s="51" t="s">
        <v>11</v>
      </c>
    </row>
    <row r="1622" customFormat="false" ht="14.25" hidden="false" customHeight="true" outlineLevel="0" collapsed="false">
      <c r="A1622" s="16" t="s">
        <v>48</v>
      </c>
      <c r="B1622" s="42" t="s">
        <v>155</v>
      </c>
      <c r="C1622" s="42" t="s">
        <v>222</v>
      </c>
      <c r="D1622" s="43" t="n">
        <v>1</v>
      </c>
      <c r="E1622" s="44" t="n">
        <v>2638.1</v>
      </c>
      <c r="F1622" s="45" t="n">
        <f aca="false">IFERROR(D1622*E1622,0)</f>
        <v>2638.1</v>
      </c>
      <c r="G1622" s="42" t="str">
        <f aca="false">INDEX(SETORES!$B:$B,MATCH(A1622,SETORES!$A:$A,0))</f>
        <v>Clientes</v>
      </c>
      <c r="H1622" s="42" t="s">
        <v>11</v>
      </c>
    </row>
    <row r="1623" customFormat="false" ht="14.25" hidden="false" customHeight="true" outlineLevel="0" collapsed="false">
      <c r="A1623" s="16" t="s">
        <v>48</v>
      </c>
      <c r="B1623" s="42" t="s">
        <v>155</v>
      </c>
      <c r="C1623" s="42" t="s">
        <v>173</v>
      </c>
      <c r="D1623" s="43" t="n">
        <v>14</v>
      </c>
      <c r="E1623" s="44" t="n">
        <v>2.04</v>
      </c>
      <c r="F1623" s="45" t="n">
        <v>28.56</v>
      </c>
      <c r="G1623" s="42" t="str">
        <f aca="false">INDEX(SETORES!$B:$B,MATCH(A1623,SETORES!$A:$A,0))</f>
        <v>Clientes</v>
      </c>
      <c r="H1623" s="42" t="s">
        <v>11</v>
      </c>
    </row>
    <row r="1624" customFormat="false" ht="14.25" hidden="false" customHeight="true" outlineLevel="0" collapsed="false">
      <c r="A1624" s="50" t="s">
        <v>48</v>
      </c>
      <c r="B1624" s="51" t="s">
        <v>155</v>
      </c>
      <c r="C1624" s="51" t="s">
        <v>179</v>
      </c>
      <c r="D1624" s="52"/>
      <c r="E1624" s="53"/>
      <c r="F1624" s="54" t="n">
        <f aca="false">IFERROR(D1624*E1624,0)</f>
        <v>0</v>
      </c>
      <c r="G1624" s="51" t="str">
        <f aca="false">INDEX(SETORES!$B:$B,MATCH(A1624,SETORES!$A:$A,0))</f>
        <v>Clientes</v>
      </c>
      <c r="H1624" s="51" t="s">
        <v>11</v>
      </c>
    </row>
    <row r="1625" customFormat="false" ht="14.25" hidden="false" customHeight="true" outlineLevel="0" collapsed="false">
      <c r="A1625" s="16" t="s">
        <v>47</v>
      </c>
      <c r="B1625" s="42" t="s">
        <v>155</v>
      </c>
      <c r="C1625" s="42" t="s">
        <v>163</v>
      </c>
      <c r="D1625" s="43" t="n">
        <v>7</v>
      </c>
      <c r="E1625" s="44" t="n">
        <v>30</v>
      </c>
      <c r="F1625" s="45" t="n">
        <f aca="false">IFERROR(D1625*E1625,0)</f>
        <v>210</v>
      </c>
      <c r="G1625" s="42" t="str">
        <f aca="false">INDEX(SETORES!$B:$B,MATCH(A1625,SETORES!$A:$A,0))</f>
        <v>Clientes</v>
      </c>
      <c r="H1625" s="42" t="s">
        <v>11</v>
      </c>
    </row>
    <row r="1626" customFormat="false" ht="14.25" hidden="false" customHeight="true" outlineLevel="0" collapsed="false">
      <c r="A1626" s="16" t="s">
        <v>47</v>
      </c>
      <c r="B1626" s="42" t="s">
        <v>157</v>
      </c>
      <c r="C1626" s="42" t="s">
        <v>199</v>
      </c>
      <c r="D1626" s="43" t="n">
        <v>1</v>
      </c>
      <c r="E1626" s="44" t="n">
        <v>11996.86</v>
      </c>
      <c r="F1626" s="45" t="n">
        <f aca="false">IFERROR(D1626*E1626,0)</f>
        <v>11996.86</v>
      </c>
      <c r="G1626" s="42" t="str">
        <f aca="false">INDEX(SETORES!$B:$B,MATCH(A1626,SETORES!$A:$A,0))</f>
        <v>Clientes</v>
      </c>
      <c r="H1626" s="42" t="s">
        <v>11</v>
      </c>
    </row>
    <row r="1627" customFormat="false" ht="14.25" hidden="false" customHeight="true" outlineLevel="0" collapsed="false">
      <c r="A1627" s="16" t="s">
        <v>47</v>
      </c>
      <c r="B1627" s="42" t="s">
        <v>155</v>
      </c>
      <c r="C1627" s="42" t="s">
        <v>205</v>
      </c>
      <c r="D1627" s="43" t="n">
        <v>1</v>
      </c>
      <c r="E1627" s="44" t="n">
        <v>2150.76</v>
      </c>
      <c r="F1627" s="45" t="n">
        <f aca="false">IFERROR(D1627*E1627,0)</f>
        <v>2150.76</v>
      </c>
      <c r="G1627" s="42" t="str">
        <f aca="false">INDEX(SETORES!$B:$B,MATCH(A1627,SETORES!$A:$A,0))</f>
        <v>Clientes</v>
      </c>
      <c r="H1627" s="42" t="s">
        <v>11</v>
      </c>
    </row>
    <row r="1628" customFormat="false" ht="14.25" hidden="false" customHeight="true" outlineLevel="0" collapsed="false">
      <c r="A1628" s="16" t="s">
        <v>47</v>
      </c>
      <c r="B1628" s="42" t="s">
        <v>155</v>
      </c>
      <c r="C1628" s="42" t="s">
        <v>165</v>
      </c>
      <c r="D1628" s="52" t="n">
        <v>13</v>
      </c>
      <c r="E1628" s="44" t="n">
        <v>51.12</v>
      </c>
      <c r="F1628" s="54" t="n">
        <f aca="false">IFERROR(D1628*E1628,0)</f>
        <v>664.56</v>
      </c>
      <c r="G1628" s="51" t="s">
        <v>99</v>
      </c>
      <c r="H1628" s="51" t="s">
        <v>11</v>
      </c>
    </row>
    <row r="1629" customFormat="false" ht="14.25" hidden="false" customHeight="true" outlineLevel="0" collapsed="false">
      <c r="A1629" s="50" t="s">
        <v>47</v>
      </c>
      <c r="B1629" s="51" t="s">
        <v>155</v>
      </c>
      <c r="C1629" s="51" t="s">
        <v>166</v>
      </c>
      <c r="D1629" s="52" t="n">
        <v>13</v>
      </c>
      <c r="E1629" s="44" t="n">
        <v>31.33</v>
      </c>
      <c r="F1629" s="45" t="n">
        <f aca="false">IFERROR(D1629*E1629,0)</f>
        <v>407.29</v>
      </c>
      <c r="G1629" s="51" t="s">
        <v>99</v>
      </c>
      <c r="H1629" s="51" t="s">
        <v>11</v>
      </c>
    </row>
    <row r="1630" customFormat="false" ht="14.25" hidden="false" customHeight="true" outlineLevel="0" collapsed="false">
      <c r="A1630" s="50" t="s">
        <v>47</v>
      </c>
      <c r="B1630" s="51" t="s">
        <v>155</v>
      </c>
      <c r="C1630" s="51" t="s">
        <v>167</v>
      </c>
      <c r="D1630" s="52" t="n">
        <v>13</v>
      </c>
      <c r="E1630" s="44" t="n">
        <v>63.75</v>
      </c>
      <c r="F1630" s="54" t="n">
        <f aca="false">IFERROR(D1630*E1630,0)</f>
        <v>828.75</v>
      </c>
      <c r="G1630" s="51" t="s">
        <v>99</v>
      </c>
      <c r="H1630" s="51" t="s">
        <v>11</v>
      </c>
    </row>
    <row r="1631" customFormat="false" ht="14.25" hidden="false" customHeight="true" outlineLevel="0" collapsed="false">
      <c r="A1631" s="16" t="s">
        <v>47</v>
      </c>
      <c r="B1631" s="42" t="s">
        <v>157</v>
      </c>
      <c r="C1631" s="42" t="s">
        <v>217</v>
      </c>
      <c r="D1631" s="43" t="n">
        <v>1</v>
      </c>
      <c r="E1631" s="44" t="n">
        <v>250</v>
      </c>
      <c r="F1631" s="45" t="n">
        <f aca="false">IFERROR(D1631*E1631,0)</f>
        <v>250</v>
      </c>
      <c r="G1631" s="42" t="str">
        <f aca="false">INDEX(SETORES!$B:$B,MATCH(A1631,SETORES!$A:$A,0))</f>
        <v>Clientes</v>
      </c>
      <c r="H1631" s="42" t="s">
        <v>11</v>
      </c>
    </row>
    <row r="1632" customFormat="false" ht="14.25" hidden="false" customHeight="true" outlineLevel="0" collapsed="false">
      <c r="A1632" s="16" t="s">
        <v>47</v>
      </c>
      <c r="B1632" s="42" t="s">
        <v>155</v>
      </c>
      <c r="C1632" s="42" t="s">
        <v>169</v>
      </c>
      <c r="D1632" s="43" t="n">
        <v>1</v>
      </c>
      <c r="E1632" s="44" t="n">
        <v>112868.09</v>
      </c>
      <c r="F1632" s="45" t="n">
        <f aca="false">IFERROR(E1632,0)</f>
        <v>112868.09</v>
      </c>
      <c r="G1632" s="42" t="str">
        <f aca="false">INDEX(SETORES!$B:$B,MATCH(A1632,SETORES!$A:$A,0))</f>
        <v>Clientes</v>
      </c>
      <c r="H1632" s="42" t="s">
        <v>11</v>
      </c>
    </row>
    <row r="1633" customFormat="false" ht="14.25" hidden="false" customHeight="true" outlineLevel="0" collapsed="false">
      <c r="A1633" s="50" t="s">
        <v>47</v>
      </c>
      <c r="B1633" s="51" t="s">
        <v>155</v>
      </c>
      <c r="C1633" s="51" t="s">
        <v>170</v>
      </c>
      <c r="D1633" s="52" t="n">
        <v>12</v>
      </c>
      <c r="E1633" s="53" t="n">
        <v>9.85</v>
      </c>
      <c r="F1633" s="54" t="n">
        <f aca="false">IFERROR(D1633*E1633,0)</f>
        <v>118.2</v>
      </c>
      <c r="G1633" s="51" t="str">
        <f aca="false">INDEX(SETORES!$B:$B,MATCH(A1633,SETORES!$A:$A,0))</f>
        <v>Clientes</v>
      </c>
      <c r="H1633" s="51" t="s">
        <v>11</v>
      </c>
    </row>
    <row r="1634" customFormat="false" ht="14.25" hidden="false" customHeight="true" outlineLevel="0" collapsed="false">
      <c r="A1634" s="50" t="s">
        <v>47</v>
      </c>
      <c r="B1634" s="51" t="s">
        <v>157</v>
      </c>
      <c r="C1634" s="51" t="s">
        <v>223</v>
      </c>
      <c r="D1634" s="52"/>
      <c r="E1634" s="53"/>
      <c r="F1634" s="54" t="n">
        <f aca="false">IFERROR(D1634*E1634,0)</f>
        <v>0</v>
      </c>
      <c r="G1634" s="51" t="str">
        <f aca="false">INDEX(SETORES!$B:$B,MATCH(A1634,SETORES!$A:$A,0))</f>
        <v>Clientes</v>
      </c>
      <c r="H1634" s="51" t="s">
        <v>11</v>
      </c>
    </row>
    <row r="1635" customFormat="false" ht="14.25" hidden="false" customHeight="true" outlineLevel="0" collapsed="false">
      <c r="A1635" s="50" t="s">
        <v>47</v>
      </c>
      <c r="B1635" s="51" t="s">
        <v>155</v>
      </c>
      <c r="C1635" s="51" t="s">
        <v>172</v>
      </c>
      <c r="D1635" s="52" t="n">
        <v>1</v>
      </c>
      <c r="E1635" s="53" t="n">
        <v>50</v>
      </c>
      <c r="F1635" s="54" t="n">
        <f aca="false">IFERROR(D1635*E1635,0)</f>
        <v>50</v>
      </c>
      <c r="G1635" s="51" t="str">
        <f aca="false">INDEX(SETORES!$B:$B,MATCH(A1635,SETORES!$A:$A,0))</f>
        <v>Clientes</v>
      </c>
      <c r="H1635" s="51" t="s">
        <v>11</v>
      </c>
    </row>
    <row r="1636" customFormat="false" ht="14.25" hidden="false" customHeight="true" outlineLevel="0" collapsed="false">
      <c r="A1636" s="50" t="s">
        <v>47</v>
      </c>
      <c r="B1636" s="51" t="s">
        <v>155</v>
      </c>
      <c r="C1636" s="51" t="s">
        <v>177</v>
      </c>
      <c r="D1636" s="52"/>
      <c r="E1636" s="53"/>
      <c r="F1636" s="54" t="n">
        <v>0</v>
      </c>
      <c r="G1636" s="51" t="str">
        <f aca="false">INDEX(SETORES!$B:$B,MATCH(A1636,SETORES!$A:$A,0))</f>
        <v>Clientes</v>
      </c>
      <c r="H1636" s="51" t="s">
        <v>11</v>
      </c>
    </row>
    <row r="1637" customFormat="false" ht="14.25" hidden="false" customHeight="true" outlineLevel="0" collapsed="false">
      <c r="A1637" s="16" t="s">
        <v>47</v>
      </c>
      <c r="B1637" s="42" t="s">
        <v>155</v>
      </c>
      <c r="C1637" s="42" t="s">
        <v>178</v>
      </c>
      <c r="D1637" s="43"/>
      <c r="E1637" s="44"/>
      <c r="F1637" s="45" t="n">
        <v>0</v>
      </c>
      <c r="G1637" s="42" t="str">
        <f aca="false">INDEX(SETORES!$B:$B,MATCH(A1637,SETORES!$A:$A,0))</f>
        <v>Clientes</v>
      </c>
      <c r="H1637" s="42" t="s">
        <v>11</v>
      </c>
    </row>
    <row r="1638" customFormat="false" ht="14.25" hidden="false" customHeight="true" outlineLevel="0" collapsed="false">
      <c r="A1638" s="16" t="s">
        <v>47</v>
      </c>
      <c r="B1638" s="42" t="s">
        <v>155</v>
      </c>
      <c r="C1638" s="42" t="s">
        <v>173</v>
      </c>
      <c r="D1638" s="43" t="n">
        <v>12</v>
      </c>
      <c r="E1638" s="44" t="n">
        <v>2.04</v>
      </c>
      <c r="F1638" s="45" t="n">
        <f aca="false">IFERROR(D1638*E1638,0)</f>
        <v>24.48</v>
      </c>
      <c r="G1638" s="42" t="str">
        <f aca="false">INDEX(SETORES!$B:$B,MATCH(A1638,SETORES!$A:$A,0))</f>
        <v>Clientes</v>
      </c>
      <c r="H1638" s="42" t="s">
        <v>11</v>
      </c>
    </row>
    <row r="1639" customFormat="false" ht="14.25" hidden="false" customHeight="true" outlineLevel="0" collapsed="false">
      <c r="A1639" s="50" t="s">
        <v>47</v>
      </c>
      <c r="B1639" s="51" t="s">
        <v>155</v>
      </c>
      <c r="C1639" s="51" t="s">
        <v>179</v>
      </c>
      <c r="D1639" s="52"/>
      <c r="E1639" s="53"/>
      <c r="F1639" s="54" t="n">
        <f aca="false">IFERROR(D1639*E1639,0)</f>
        <v>0</v>
      </c>
      <c r="G1639" s="51" t="str">
        <f aca="false">INDEX(SETORES!$B:$B,MATCH(A1639,SETORES!$A:$A,0))</f>
        <v>Clientes</v>
      </c>
      <c r="H1639" s="51" t="s">
        <v>11</v>
      </c>
    </row>
    <row r="1640" customFormat="false" ht="14.25" hidden="false" customHeight="true" outlineLevel="0" collapsed="false">
      <c r="A1640" s="50" t="s">
        <v>85</v>
      </c>
      <c r="B1640" s="51" t="s">
        <v>155</v>
      </c>
      <c r="C1640" s="51" t="s">
        <v>162</v>
      </c>
      <c r="D1640" s="52" t="n">
        <v>1</v>
      </c>
      <c r="E1640" s="53" t="n">
        <v>0.3</v>
      </c>
      <c r="F1640" s="54" t="n">
        <v>0.3</v>
      </c>
      <c r="G1640" s="51" t="s">
        <v>97</v>
      </c>
      <c r="H1640" s="51" t="s">
        <v>11</v>
      </c>
    </row>
    <row r="1641" customFormat="false" ht="14.25" hidden="false" customHeight="true" outlineLevel="0" collapsed="false">
      <c r="A1641" s="50" t="s">
        <v>85</v>
      </c>
      <c r="B1641" s="51" t="s">
        <v>155</v>
      </c>
      <c r="C1641" s="51" t="s">
        <v>163</v>
      </c>
      <c r="D1641" s="52" t="n">
        <v>10</v>
      </c>
      <c r="E1641" s="53" t="n">
        <v>30</v>
      </c>
      <c r="F1641" s="54" t="n">
        <f aca="false">IFERROR(D1641*E1641,0)</f>
        <v>300</v>
      </c>
      <c r="G1641" s="51" t="str">
        <f aca="false">INDEX(SETORES!$B:$B,MATCH(A1641,SETORES!$A:$A,0))</f>
        <v>Clientes</v>
      </c>
      <c r="H1641" s="51" t="s">
        <v>11</v>
      </c>
    </row>
    <row r="1642" customFormat="false" ht="14.25" hidden="false" customHeight="true" outlineLevel="0" collapsed="false">
      <c r="A1642" s="50" t="s">
        <v>85</v>
      </c>
      <c r="B1642" s="51" t="s">
        <v>157</v>
      </c>
      <c r="C1642" s="51" t="s">
        <v>199</v>
      </c>
      <c r="D1642" s="52" t="n">
        <v>1</v>
      </c>
      <c r="E1642" s="53" t="n">
        <v>1306.39</v>
      </c>
      <c r="F1642" s="54" t="n">
        <f aca="false">IFERROR(D1642*E1642,0)</f>
        <v>1306.39</v>
      </c>
      <c r="G1642" s="51" t="str">
        <f aca="false">INDEX(SETORES!$B:$B,MATCH(A1642,SETORES!$A:$A,0))</f>
        <v>Clientes</v>
      </c>
      <c r="H1642" s="51" t="s">
        <v>11</v>
      </c>
    </row>
    <row r="1643" customFormat="false" ht="14.25" hidden="false" customHeight="true" outlineLevel="0" collapsed="false">
      <c r="A1643" s="50" t="s">
        <v>85</v>
      </c>
      <c r="B1643" s="51" t="s">
        <v>155</v>
      </c>
      <c r="C1643" s="51" t="s">
        <v>165</v>
      </c>
      <c r="D1643" s="52" t="n">
        <v>12</v>
      </c>
      <c r="E1643" s="44" t="n">
        <v>51.12</v>
      </c>
      <c r="F1643" s="54" t="n">
        <f aca="false">IFERROR(D1643*E1643,0)</f>
        <v>613.44</v>
      </c>
      <c r="G1643" s="51" t="s">
        <v>99</v>
      </c>
      <c r="H1643" s="51" t="s">
        <v>11</v>
      </c>
    </row>
    <row r="1644" customFormat="false" ht="14.25" hidden="false" customHeight="true" outlineLevel="0" collapsed="false">
      <c r="A1644" s="16" t="s">
        <v>85</v>
      </c>
      <c r="B1644" s="42" t="s">
        <v>155</v>
      </c>
      <c r="C1644" s="42" t="s">
        <v>166</v>
      </c>
      <c r="D1644" s="43" t="n">
        <v>12</v>
      </c>
      <c r="E1644" s="44" t="n">
        <v>31.33</v>
      </c>
      <c r="F1644" s="45" t="n">
        <f aca="false">IFERROR(D1644*E1644,0)</f>
        <v>375.96</v>
      </c>
      <c r="G1644" s="51" t="s">
        <v>99</v>
      </c>
      <c r="H1644" s="42" t="s">
        <v>11</v>
      </c>
    </row>
    <row r="1645" customFormat="false" ht="14.25" hidden="false" customHeight="true" outlineLevel="0" collapsed="false">
      <c r="A1645" s="16" t="s">
        <v>85</v>
      </c>
      <c r="B1645" s="42" t="s">
        <v>155</v>
      </c>
      <c r="C1645" s="42" t="s">
        <v>167</v>
      </c>
      <c r="D1645" s="43" t="n">
        <v>12</v>
      </c>
      <c r="E1645" s="44" t="n">
        <v>63.75</v>
      </c>
      <c r="F1645" s="45" t="n">
        <f aca="false">IFERROR(D1645*E1645,0)</f>
        <v>765</v>
      </c>
      <c r="G1645" s="51" t="s">
        <v>99</v>
      </c>
      <c r="H1645" s="42" t="s">
        <v>11</v>
      </c>
    </row>
    <row r="1646" customFormat="false" ht="14.25" hidden="false" customHeight="true" outlineLevel="0" collapsed="false">
      <c r="A1646" s="16" t="s">
        <v>85</v>
      </c>
      <c r="B1646" s="42" t="s">
        <v>155</v>
      </c>
      <c r="C1646" s="42" t="s">
        <v>168</v>
      </c>
      <c r="D1646" s="43" t="n">
        <v>1</v>
      </c>
      <c r="E1646" s="44" t="n">
        <v>105.0866</v>
      </c>
      <c r="F1646" s="45" t="n">
        <v>105.0866</v>
      </c>
      <c r="G1646" s="42" t="s">
        <v>97</v>
      </c>
      <c r="H1646" s="42" t="s">
        <v>11</v>
      </c>
    </row>
    <row r="1647" customFormat="false" ht="14.25" hidden="false" customHeight="true" outlineLevel="0" collapsed="false">
      <c r="A1647" s="50" t="s">
        <v>85</v>
      </c>
      <c r="B1647" s="51" t="s">
        <v>155</v>
      </c>
      <c r="C1647" s="51" t="s">
        <v>169</v>
      </c>
      <c r="D1647" s="52" t="n">
        <v>1</v>
      </c>
      <c r="E1647" s="53" t="n">
        <v>52829.79</v>
      </c>
      <c r="F1647" s="54" t="n">
        <f aca="false">IFERROR(E1647,0)</f>
        <v>52829.79</v>
      </c>
      <c r="G1647" s="51" t="str">
        <f aca="false">INDEX(SETORES!$B:$B,MATCH(A1647,SETORES!$A:$A,0))</f>
        <v>Clientes</v>
      </c>
      <c r="H1647" s="51" t="s">
        <v>11</v>
      </c>
    </row>
    <row r="1648" customFormat="false" ht="14.25" hidden="false" customHeight="true" outlineLevel="0" collapsed="false">
      <c r="A1648" s="50" t="s">
        <v>85</v>
      </c>
      <c r="B1648" s="51" t="s">
        <v>155</v>
      </c>
      <c r="C1648" s="51" t="s">
        <v>170</v>
      </c>
      <c r="D1648" s="52" t="n">
        <v>12</v>
      </c>
      <c r="E1648" s="53" t="n">
        <v>9.85</v>
      </c>
      <c r="F1648" s="54" t="n">
        <f aca="false">IFERROR(D1648*E1648,0)</f>
        <v>118.2</v>
      </c>
      <c r="G1648" s="51" t="str">
        <f aca="false">INDEX(SETORES!$B:$B,MATCH(A1648,SETORES!$A:$A,0))</f>
        <v>Clientes</v>
      </c>
      <c r="H1648" s="51" t="s">
        <v>11</v>
      </c>
    </row>
    <row r="1649" customFormat="false" ht="14.25" hidden="false" customHeight="true" outlineLevel="0" collapsed="false">
      <c r="A1649" s="50" t="s">
        <v>85</v>
      </c>
      <c r="B1649" s="51" t="s">
        <v>155</v>
      </c>
      <c r="C1649" s="51" t="s">
        <v>172</v>
      </c>
      <c r="D1649" s="52" t="n">
        <v>12</v>
      </c>
      <c r="E1649" s="53" t="n">
        <v>50</v>
      </c>
      <c r="F1649" s="54" t="n">
        <f aca="false">IFERROR(D1649*E1649,0)</f>
        <v>600</v>
      </c>
      <c r="G1649" s="51" t="str">
        <f aca="false">INDEX(SETORES!$B:$B,MATCH(A1649,SETORES!$A:$A,0))</f>
        <v>Clientes</v>
      </c>
      <c r="H1649" s="51" t="s">
        <v>11</v>
      </c>
    </row>
    <row r="1650" customFormat="false" ht="14.25" hidden="false" customHeight="true" outlineLevel="0" collapsed="false">
      <c r="A1650" s="16" t="s">
        <v>85</v>
      </c>
      <c r="B1650" s="42" t="s">
        <v>155</v>
      </c>
      <c r="C1650" s="42" t="s">
        <v>178</v>
      </c>
      <c r="D1650" s="43" t="n">
        <v>1</v>
      </c>
      <c r="E1650" s="44" t="n">
        <v>136.5</v>
      </c>
      <c r="F1650" s="45" t="n">
        <v>136.5</v>
      </c>
      <c r="G1650" s="42" t="str">
        <f aca="false">INDEX(SETORES!$B:$B,MATCH(A1650,SETORES!$A:$A,0))</f>
        <v>Clientes</v>
      </c>
      <c r="H1650" s="42" t="s">
        <v>11</v>
      </c>
    </row>
    <row r="1651" customFormat="false" ht="14.25" hidden="false" customHeight="true" outlineLevel="0" collapsed="false">
      <c r="A1651" s="16" t="s">
        <v>85</v>
      </c>
      <c r="B1651" s="42" t="s">
        <v>157</v>
      </c>
      <c r="C1651" s="42" t="s">
        <v>158</v>
      </c>
      <c r="D1651" s="43"/>
      <c r="E1651" s="44"/>
      <c r="F1651" s="45" t="n">
        <f aca="false">IFERROR(D1651*E1651,0)</f>
        <v>0</v>
      </c>
      <c r="G1651" s="42" t="str">
        <f aca="false">INDEX(SETORES!$B:$B,MATCH(A1651,SETORES!$A:$A,0))</f>
        <v>Clientes</v>
      </c>
      <c r="H1651" s="42" t="s">
        <v>11</v>
      </c>
    </row>
    <row r="1652" customFormat="false" ht="14.25" hidden="false" customHeight="true" outlineLevel="0" collapsed="false">
      <c r="A1652" s="16" t="s">
        <v>85</v>
      </c>
      <c r="B1652" s="42" t="s">
        <v>155</v>
      </c>
      <c r="C1652" s="42" t="s">
        <v>173</v>
      </c>
      <c r="D1652" s="43" t="n">
        <v>12</v>
      </c>
      <c r="E1652" s="44" t="n">
        <v>2.04</v>
      </c>
      <c r="F1652" s="45" t="n">
        <f aca="false">IFERROR(D1652*E1652,0)</f>
        <v>24.48</v>
      </c>
      <c r="G1652" s="42" t="str">
        <f aca="false">INDEX(SETORES!$B:$B,MATCH(A1652,SETORES!$A:$A,0))</f>
        <v>Clientes</v>
      </c>
      <c r="H1652" s="42" t="s">
        <v>11</v>
      </c>
    </row>
    <row r="1653" customFormat="false" ht="14.25" hidden="false" customHeight="true" outlineLevel="0" collapsed="false">
      <c r="A1653" s="16" t="s">
        <v>31</v>
      </c>
      <c r="B1653" s="42" t="s">
        <v>155</v>
      </c>
      <c r="C1653" s="42" t="s">
        <v>162</v>
      </c>
      <c r="D1653" s="43" t="n">
        <v>1</v>
      </c>
      <c r="E1653" s="44" t="n">
        <v>0.125</v>
      </c>
      <c r="F1653" s="45" t="n">
        <v>0.125</v>
      </c>
      <c r="G1653" s="42" t="str">
        <f aca="false">INDEX(SETORES!$B:$B,MATCH(A1653,SETORES!$A:$A,0))</f>
        <v>Clientes</v>
      </c>
      <c r="H1653" s="42" t="s">
        <v>11</v>
      </c>
    </row>
    <row r="1654" customFormat="false" ht="14.25" hidden="false" customHeight="true" outlineLevel="0" collapsed="false">
      <c r="A1654" s="16" t="s">
        <v>31</v>
      </c>
      <c r="B1654" s="42" t="s">
        <v>155</v>
      </c>
      <c r="C1654" s="42" t="s">
        <v>163</v>
      </c>
      <c r="D1654" s="43" t="n">
        <v>3</v>
      </c>
      <c r="E1654" s="44" t="n">
        <v>30</v>
      </c>
      <c r="F1654" s="45" t="n">
        <f aca="false">IFERROR(D1654*E1654,0)</f>
        <v>90</v>
      </c>
      <c r="G1654" s="42" t="str">
        <f aca="false">INDEX(SETORES!$B:$B,MATCH(A1654,SETORES!$A:$A,0))</f>
        <v>Clientes</v>
      </c>
      <c r="H1654" s="42" t="s">
        <v>11</v>
      </c>
    </row>
    <row r="1655" customFormat="false" ht="14.25" hidden="false" customHeight="true" outlineLevel="0" collapsed="false">
      <c r="A1655" s="16" t="s">
        <v>31</v>
      </c>
      <c r="B1655" s="42" t="s">
        <v>157</v>
      </c>
      <c r="C1655" s="42" t="s">
        <v>199</v>
      </c>
      <c r="D1655" s="43" t="n">
        <v>1</v>
      </c>
      <c r="E1655" s="44" t="n">
        <v>1905.53</v>
      </c>
      <c r="F1655" s="45" t="n">
        <f aca="false">IFERROR(D1655*E1655,0)</f>
        <v>1905.53</v>
      </c>
      <c r="G1655" s="42" t="str">
        <f aca="false">INDEX(SETORES!$B:$B,MATCH(A1655,SETORES!$A:$A,0))</f>
        <v>Clientes</v>
      </c>
      <c r="H1655" s="42" t="s">
        <v>11</v>
      </c>
    </row>
    <row r="1656" customFormat="false" ht="14.25" hidden="false" customHeight="true" outlineLevel="0" collapsed="false">
      <c r="A1656" s="50" t="s">
        <v>31</v>
      </c>
      <c r="B1656" s="51" t="s">
        <v>155</v>
      </c>
      <c r="C1656" s="51" t="s">
        <v>168</v>
      </c>
      <c r="D1656" s="52" t="n">
        <v>1</v>
      </c>
      <c r="E1656" s="53" t="n">
        <v>43.7861</v>
      </c>
      <c r="F1656" s="54" t="n">
        <v>43.7861</v>
      </c>
      <c r="G1656" s="51" t="str">
        <f aca="false">INDEX(SETORES!$B:$B,MATCH(A1656,SETORES!$A:$A,0))</f>
        <v>Clientes</v>
      </c>
      <c r="H1656" s="51" t="s">
        <v>11</v>
      </c>
    </row>
    <row r="1657" customFormat="false" ht="14.25" hidden="false" customHeight="true" outlineLevel="0" collapsed="false">
      <c r="A1657" s="16" t="s">
        <v>31</v>
      </c>
      <c r="B1657" s="42" t="s">
        <v>155</v>
      </c>
      <c r="C1657" s="42" t="s">
        <v>169</v>
      </c>
      <c r="D1657" s="43" t="n">
        <v>1</v>
      </c>
      <c r="E1657" s="44" t="n">
        <v>61181.18</v>
      </c>
      <c r="F1657" s="45" t="n">
        <f aca="false">IFERROR(E1657,0)</f>
        <v>61181.18</v>
      </c>
      <c r="G1657" s="42" t="str">
        <f aca="false">INDEX(SETORES!$B:$B,MATCH(A1657,SETORES!$A:$A,0))</f>
        <v>Clientes</v>
      </c>
      <c r="H1657" s="42" t="s">
        <v>11</v>
      </c>
    </row>
    <row r="1658" customFormat="false" ht="14.25" hidden="false" customHeight="true" outlineLevel="0" collapsed="false">
      <c r="A1658" s="50" t="s">
        <v>31</v>
      </c>
      <c r="B1658" s="51" t="s">
        <v>155</v>
      </c>
      <c r="C1658" s="51" t="s">
        <v>170</v>
      </c>
      <c r="D1658" s="52" t="n">
        <v>5</v>
      </c>
      <c r="E1658" s="53" t="n">
        <v>9.85</v>
      </c>
      <c r="F1658" s="54" t="n">
        <f aca="false">IFERROR(D1658*E1658,0)</f>
        <v>49.25</v>
      </c>
      <c r="G1658" s="51" t="str">
        <f aca="false">INDEX(SETORES!$B:$B,MATCH(A1658,SETORES!$A:$A,0))</f>
        <v>Clientes</v>
      </c>
      <c r="H1658" s="51" t="s">
        <v>11</v>
      </c>
    </row>
    <row r="1659" customFormat="false" ht="14.25" hidden="false" customHeight="true" outlineLevel="0" collapsed="false">
      <c r="A1659" s="50" t="s">
        <v>31</v>
      </c>
      <c r="B1659" s="51" t="s">
        <v>155</v>
      </c>
      <c r="C1659" s="51" t="s">
        <v>172</v>
      </c>
      <c r="D1659" s="52" t="n">
        <v>5</v>
      </c>
      <c r="E1659" s="53" t="n">
        <v>50</v>
      </c>
      <c r="F1659" s="54" t="n">
        <f aca="false">IFERROR(D1659*E1659,0)</f>
        <v>250</v>
      </c>
      <c r="G1659" s="51" t="str">
        <f aca="false">INDEX(SETORES!$B:$B,MATCH(A1659,SETORES!$A:$A,0))</f>
        <v>Clientes</v>
      </c>
      <c r="H1659" s="51" t="s">
        <v>11</v>
      </c>
    </row>
    <row r="1660" customFormat="false" ht="14.25" hidden="false" customHeight="true" outlineLevel="0" collapsed="false">
      <c r="A1660" s="50" t="s">
        <v>31</v>
      </c>
      <c r="B1660" s="51" t="s">
        <v>155</v>
      </c>
      <c r="C1660" s="51" t="s">
        <v>246</v>
      </c>
      <c r="D1660" s="52"/>
      <c r="E1660" s="53"/>
      <c r="F1660" s="54" t="n">
        <f aca="false">IFERROR(D1660*E1660,0)</f>
        <v>0</v>
      </c>
      <c r="G1660" s="51" t="str">
        <f aca="false">INDEX(SETORES!$B:$B,MATCH(A1660,SETORES!$A:$A,0))</f>
        <v>Clientes</v>
      </c>
      <c r="H1660" s="51" t="s">
        <v>11</v>
      </c>
    </row>
    <row r="1661" customFormat="false" ht="14.25" hidden="false" customHeight="true" outlineLevel="0" collapsed="false">
      <c r="A1661" s="50" t="s">
        <v>31</v>
      </c>
      <c r="B1661" s="51" t="s">
        <v>155</v>
      </c>
      <c r="C1661" s="51" t="s">
        <v>177</v>
      </c>
      <c r="D1661" s="52" t="n">
        <v>1</v>
      </c>
      <c r="E1661" s="53" t="n">
        <v>14</v>
      </c>
      <c r="F1661" s="54" t="n">
        <v>14</v>
      </c>
      <c r="G1661" s="51" t="str">
        <f aca="false">INDEX(SETORES!$B:$B,MATCH(A1661,SETORES!$A:$A,0))</f>
        <v>Clientes</v>
      </c>
      <c r="H1661" s="51" t="s">
        <v>11</v>
      </c>
    </row>
    <row r="1662" customFormat="false" ht="14.25" hidden="false" customHeight="true" outlineLevel="0" collapsed="false">
      <c r="A1662" s="16" t="s">
        <v>31</v>
      </c>
      <c r="B1662" s="42" t="s">
        <v>155</v>
      </c>
      <c r="C1662" s="42" t="s">
        <v>178</v>
      </c>
      <c r="D1662" s="43" t="n">
        <v>1</v>
      </c>
      <c r="E1662" s="44" t="n">
        <v>190.78</v>
      </c>
      <c r="F1662" s="45" t="n">
        <v>190.78</v>
      </c>
      <c r="G1662" s="42" t="str">
        <f aca="false">INDEX(SETORES!$B:$B,MATCH(A1662,SETORES!$A:$A,0))</f>
        <v>Clientes</v>
      </c>
      <c r="H1662" s="42" t="s">
        <v>11</v>
      </c>
    </row>
    <row r="1663" customFormat="false" ht="14.25" hidden="false" customHeight="true" outlineLevel="0" collapsed="false">
      <c r="A1663" s="50" t="s">
        <v>31</v>
      </c>
      <c r="B1663" s="51" t="s">
        <v>157</v>
      </c>
      <c r="C1663" s="51" t="s">
        <v>158</v>
      </c>
      <c r="D1663" s="52" t="n">
        <v>1</v>
      </c>
      <c r="E1663" s="53" t="n">
        <v>6209</v>
      </c>
      <c r="F1663" s="54" t="n">
        <f aca="false">IFERROR(D1663*E1663,0)</f>
        <v>6209</v>
      </c>
      <c r="G1663" s="51" t="str">
        <f aca="false">INDEX(SETORES!$B:$B,MATCH(A1663,SETORES!$A:$A,0))</f>
        <v>Clientes</v>
      </c>
      <c r="H1663" s="51" t="s">
        <v>11</v>
      </c>
    </row>
    <row r="1664" customFormat="false" ht="14.25" hidden="false" customHeight="true" outlineLevel="0" collapsed="false">
      <c r="A1664" s="16" t="s">
        <v>31</v>
      </c>
      <c r="B1664" s="42" t="s">
        <v>155</v>
      </c>
      <c r="C1664" s="42" t="s">
        <v>173</v>
      </c>
      <c r="D1664" s="43" t="n">
        <v>5</v>
      </c>
      <c r="E1664" s="44" t="n">
        <v>2.04</v>
      </c>
      <c r="F1664" s="45" t="n">
        <f aca="false">IFERROR(D1664*E1664,0)</f>
        <v>10.2</v>
      </c>
      <c r="G1664" s="42" t="str">
        <f aca="false">INDEX(SETORES!$B:$B,MATCH(A1664,SETORES!$A:$A,0))</f>
        <v>Clientes</v>
      </c>
      <c r="H1664" s="42" t="s">
        <v>11</v>
      </c>
    </row>
    <row r="1665" customFormat="false" ht="14.25" hidden="false" customHeight="true" outlineLevel="0" collapsed="false">
      <c r="A1665" s="50" t="s">
        <v>31</v>
      </c>
      <c r="B1665" s="51" t="s">
        <v>155</v>
      </c>
      <c r="C1665" s="51" t="s">
        <v>179</v>
      </c>
      <c r="D1665" s="52"/>
      <c r="E1665" s="53"/>
      <c r="F1665" s="54" t="n">
        <f aca="false">IFERROR(D1665*E1665,0)</f>
        <v>0</v>
      </c>
      <c r="G1665" s="51" t="str">
        <f aca="false">INDEX(SETORES!$B:$B,MATCH(A1665,SETORES!$A:$A,0))</f>
        <v>Clientes</v>
      </c>
      <c r="H1665" s="51" t="s">
        <v>11</v>
      </c>
    </row>
    <row r="1666" customFormat="false" ht="14.25" hidden="false" customHeight="true" outlineLevel="0" collapsed="false">
      <c r="A1666" s="16" t="s">
        <v>37</v>
      </c>
      <c r="B1666" s="42" t="s">
        <v>155</v>
      </c>
      <c r="C1666" s="42" t="s">
        <v>162</v>
      </c>
      <c r="D1666" s="43" t="n">
        <v>1</v>
      </c>
      <c r="E1666" s="44" t="n">
        <v>1.1</v>
      </c>
      <c r="F1666" s="45" t="n">
        <v>1.1</v>
      </c>
      <c r="G1666" s="42" t="str">
        <f aca="false">INDEX(SETORES!$B:$B,MATCH(A1666,SETORES!$A:$A,0))</f>
        <v>Clientes</v>
      </c>
      <c r="H1666" s="42" t="s">
        <v>11</v>
      </c>
    </row>
    <row r="1667" customFormat="false" ht="14.25" hidden="false" customHeight="true" outlineLevel="0" collapsed="false">
      <c r="A1667" s="16" t="s">
        <v>37</v>
      </c>
      <c r="B1667" s="42" t="s">
        <v>155</v>
      </c>
      <c r="C1667" s="42" t="s">
        <v>180</v>
      </c>
      <c r="D1667" s="43" t="n">
        <v>1</v>
      </c>
      <c r="E1667" s="44" t="n">
        <v>3064.6</v>
      </c>
      <c r="F1667" s="45" t="n">
        <f aca="false">IFERROR(D1667*E1667,0)</f>
        <v>3064.6</v>
      </c>
      <c r="G1667" s="42" t="str">
        <f aca="false">INDEX(SETORES!$B:$B,MATCH(A1667,SETORES!$A:$A,0))</f>
        <v>Clientes</v>
      </c>
      <c r="H1667" s="42" t="s">
        <v>11</v>
      </c>
    </row>
    <row r="1668" customFormat="false" ht="14.25" hidden="false" customHeight="true" outlineLevel="0" collapsed="false">
      <c r="A1668" s="50" t="s">
        <v>37</v>
      </c>
      <c r="B1668" s="51" t="s">
        <v>155</v>
      </c>
      <c r="C1668" s="51" t="s">
        <v>168</v>
      </c>
      <c r="D1668" s="52" t="n">
        <v>1</v>
      </c>
      <c r="E1668" s="53" t="n">
        <v>385.3175</v>
      </c>
      <c r="F1668" s="54" t="n">
        <v>385.3175</v>
      </c>
      <c r="G1668" s="51" t="str">
        <f aca="false">INDEX(SETORES!$B:$B,MATCH(A1668,SETORES!$A:$A,0))</f>
        <v>Clientes</v>
      </c>
      <c r="H1668" s="51" t="s">
        <v>11</v>
      </c>
    </row>
    <row r="1669" customFormat="false" ht="14.25" hidden="false" customHeight="true" outlineLevel="0" collapsed="false">
      <c r="A1669" s="16" t="s">
        <v>37</v>
      </c>
      <c r="B1669" s="42" t="s">
        <v>157</v>
      </c>
      <c r="C1669" s="42" t="s">
        <v>175</v>
      </c>
      <c r="D1669" s="43" t="n">
        <v>1</v>
      </c>
      <c r="E1669" s="44" t="n">
        <v>496</v>
      </c>
      <c r="F1669" s="45" t="n">
        <f aca="false">IFERROR(D1669*E1669,0)</f>
        <v>496</v>
      </c>
      <c r="G1669" s="42" t="str">
        <f aca="false">INDEX(SETORES!$B:$B,MATCH(A1669,SETORES!$A:$A,0))</f>
        <v>Clientes</v>
      </c>
      <c r="H1669" s="42" t="s">
        <v>11</v>
      </c>
    </row>
    <row r="1670" customFormat="false" ht="14.25" hidden="false" customHeight="true" outlineLevel="0" collapsed="false">
      <c r="A1670" s="50" t="s">
        <v>37</v>
      </c>
      <c r="B1670" s="51" t="s">
        <v>157</v>
      </c>
      <c r="C1670" s="51" t="s">
        <v>176</v>
      </c>
      <c r="D1670" s="52" t="n">
        <v>1</v>
      </c>
      <c r="E1670" s="53" t="n">
        <v>65.33</v>
      </c>
      <c r="F1670" s="54" t="n">
        <f aca="false">IFERROR(D1670*E1670,0)</f>
        <v>65.33</v>
      </c>
      <c r="G1670" s="51" t="str">
        <f aca="false">INDEX(SETORES!$B:$B,MATCH(A1670,SETORES!$A:$A,0))</f>
        <v>Clientes</v>
      </c>
      <c r="H1670" s="51" t="s">
        <v>11</v>
      </c>
    </row>
    <row r="1671" customFormat="false" ht="14.25" hidden="false" customHeight="true" outlineLevel="0" collapsed="false">
      <c r="A1671" s="16" t="s">
        <v>37</v>
      </c>
      <c r="B1671" s="42" t="s">
        <v>155</v>
      </c>
      <c r="C1671" s="42" t="s">
        <v>169</v>
      </c>
      <c r="D1671" s="43" t="n">
        <v>1</v>
      </c>
      <c r="E1671" s="44" t="n">
        <v>151070.37</v>
      </c>
      <c r="F1671" s="45" t="n">
        <f aca="false">IFERROR(E1671,0)</f>
        <v>151070.37</v>
      </c>
      <c r="G1671" s="42" t="str">
        <f aca="false">INDEX(SETORES!$B:$B,MATCH(A1671,SETORES!$A:$A,0))</f>
        <v>Clientes</v>
      </c>
      <c r="H1671" s="42" t="s">
        <v>11</v>
      </c>
    </row>
    <row r="1672" customFormat="false" ht="14.25" hidden="false" customHeight="true" outlineLevel="0" collapsed="false">
      <c r="A1672" s="16" t="s">
        <v>37</v>
      </c>
      <c r="B1672" s="42" t="s">
        <v>155</v>
      </c>
      <c r="C1672" s="42" t="s">
        <v>170</v>
      </c>
      <c r="D1672" s="43" t="n">
        <v>44</v>
      </c>
      <c r="E1672" s="44" t="n">
        <v>9.85</v>
      </c>
      <c r="F1672" s="45" t="n">
        <f aca="false">IFERROR(D1672*E1672,0)</f>
        <v>433.4</v>
      </c>
      <c r="G1672" s="42" t="str">
        <f aca="false">INDEX(SETORES!$B:$B,MATCH(A1672,SETORES!$A:$A,0))</f>
        <v>Clientes</v>
      </c>
      <c r="H1672" s="42" t="s">
        <v>11</v>
      </c>
    </row>
    <row r="1673" customFormat="false" ht="14.25" hidden="false" customHeight="true" outlineLevel="0" collapsed="false">
      <c r="A1673" s="50" t="s">
        <v>37</v>
      </c>
      <c r="B1673" s="51" t="s">
        <v>155</v>
      </c>
      <c r="C1673" s="51" t="s">
        <v>181</v>
      </c>
      <c r="D1673" s="52" t="n">
        <v>1</v>
      </c>
      <c r="E1673" s="53" t="n">
        <v>9.232784</v>
      </c>
      <c r="F1673" s="54" t="n">
        <f aca="false">IFERROR(D1673*E1673,0)</f>
        <v>9.232784</v>
      </c>
      <c r="G1673" s="51" t="str">
        <f aca="false">INDEX(SETORES!$B:$B,MATCH(A1673,SETORES!$A:$A,0))</f>
        <v>Clientes</v>
      </c>
      <c r="H1673" s="51" t="s">
        <v>11</v>
      </c>
    </row>
    <row r="1674" customFormat="false" ht="14.25" hidden="false" customHeight="true" outlineLevel="0" collapsed="false">
      <c r="A1674" s="50" t="s">
        <v>37</v>
      </c>
      <c r="B1674" s="51" t="s">
        <v>155</v>
      </c>
      <c r="C1674" s="51" t="s">
        <v>172</v>
      </c>
      <c r="D1674" s="52" t="n">
        <v>47</v>
      </c>
      <c r="E1674" s="53" t="n">
        <v>50</v>
      </c>
      <c r="F1674" s="54" t="n">
        <f aca="false">IFERROR(D1674*E1674,0)</f>
        <v>2350</v>
      </c>
      <c r="G1674" s="51" t="str">
        <f aca="false">INDEX(SETORES!$B:$B,MATCH(A1674,SETORES!$A:$A,0))</f>
        <v>Clientes</v>
      </c>
      <c r="H1674" s="51" t="s">
        <v>11</v>
      </c>
    </row>
    <row r="1675" customFormat="false" ht="14.25" hidden="false" customHeight="true" outlineLevel="0" collapsed="false">
      <c r="A1675" s="50" t="s">
        <v>37</v>
      </c>
      <c r="B1675" s="51" t="s">
        <v>155</v>
      </c>
      <c r="C1675" s="51" t="s">
        <v>224</v>
      </c>
      <c r="D1675" s="52"/>
      <c r="E1675" s="53"/>
      <c r="F1675" s="54" t="n">
        <f aca="false">IFERROR(D1675*E1675,0)</f>
        <v>0</v>
      </c>
      <c r="G1675" s="51" t="str">
        <f aca="false">INDEX(SETORES!$B:$B,MATCH(A1675,SETORES!$A:$A,0))</f>
        <v>Clientes</v>
      </c>
      <c r="H1675" s="51" t="s">
        <v>11</v>
      </c>
    </row>
    <row r="1676" customFormat="false" ht="14.25" hidden="false" customHeight="true" outlineLevel="0" collapsed="false">
      <c r="A1676" s="50" t="s">
        <v>37</v>
      </c>
      <c r="B1676" s="51" t="s">
        <v>155</v>
      </c>
      <c r="C1676" s="51" t="s">
        <v>177</v>
      </c>
      <c r="D1676" s="52" t="n">
        <v>44</v>
      </c>
      <c r="E1676" s="53" t="n">
        <v>0.2641</v>
      </c>
      <c r="F1676" s="54" t="n">
        <v>11.6204</v>
      </c>
      <c r="G1676" s="51" t="str">
        <f aca="false">INDEX(SETORES!$B:$B,MATCH(A1676,SETORES!$A:$A,0))</f>
        <v>Clientes</v>
      </c>
      <c r="H1676" s="51" t="s">
        <v>11</v>
      </c>
    </row>
    <row r="1677" customFormat="false" ht="14.25" hidden="false" customHeight="true" outlineLevel="0" collapsed="false">
      <c r="A1677" s="16" t="s">
        <v>37</v>
      </c>
      <c r="B1677" s="42" t="s">
        <v>155</v>
      </c>
      <c r="C1677" s="42" t="s">
        <v>178</v>
      </c>
      <c r="D1677" s="43" t="n">
        <v>1</v>
      </c>
      <c r="E1677" s="44" t="n">
        <v>2708.935738</v>
      </c>
      <c r="F1677" s="45" t="n">
        <v>2708.935738</v>
      </c>
      <c r="G1677" s="42" t="str">
        <f aca="false">INDEX(SETORES!$B:$B,MATCH(A1677,SETORES!$A:$A,0))</f>
        <v>Clientes</v>
      </c>
      <c r="H1677" s="42" t="s">
        <v>11</v>
      </c>
    </row>
    <row r="1678" customFormat="false" ht="14.25" hidden="false" customHeight="true" outlineLevel="0" collapsed="false">
      <c r="A1678" s="16" t="s">
        <v>37</v>
      </c>
      <c r="B1678" s="42" t="s">
        <v>157</v>
      </c>
      <c r="C1678" s="42" t="s">
        <v>158</v>
      </c>
      <c r="D1678" s="43" t="n">
        <v>1</v>
      </c>
      <c r="E1678" s="44" t="n">
        <v>3112.37</v>
      </c>
      <c r="F1678" s="45" t="n">
        <f aca="false">IFERROR(D1678*E1678,0)</f>
        <v>3112.37</v>
      </c>
      <c r="G1678" s="42" t="str">
        <f aca="false">INDEX(SETORES!$B:$B,MATCH(A1678,SETORES!$A:$A,0))</f>
        <v>Clientes</v>
      </c>
      <c r="H1678" s="42" t="s">
        <v>11</v>
      </c>
    </row>
    <row r="1679" customFormat="false" ht="14.25" hidden="false" customHeight="true" outlineLevel="0" collapsed="false">
      <c r="A1679" s="50" t="s">
        <v>37</v>
      </c>
      <c r="B1679" s="51" t="s">
        <v>155</v>
      </c>
      <c r="C1679" s="51" t="s">
        <v>238</v>
      </c>
      <c r="D1679" s="52" t="n">
        <v>1</v>
      </c>
      <c r="E1679" s="53" t="n">
        <v>5049.180312</v>
      </c>
      <c r="F1679" s="54" t="n">
        <f aca="false">IFERROR(D1679*E1679,0)</f>
        <v>5049.180312</v>
      </c>
      <c r="G1679" s="51" t="str">
        <f aca="false">INDEX(SETORES!$B:$B,MATCH(A1679,SETORES!$A:$A,0))</f>
        <v>Clientes</v>
      </c>
      <c r="H1679" s="51" t="s">
        <v>11</v>
      </c>
    </row>
    <row r="1680" customFormat="false" ht="14.25" hidden="false" customHeight="true" outlineLevel="0" collapsed="false">
      <c r="A1680" s="50" t="s">
        <v>37</v>
      </c>
      <c r="B1680" s="51" t="s">
        <v>155</v>
      </c>
      <c r="C1680" s="51" t="s">
        <v>239</v>
      </c>
      <c r="D1680" s="52" t="n">
        <v>1</v>
      </c>
      <c r="E1680" s="53" t="n">
        <v>1999.114744</v>
      </c>
      <c r="F1680" s="54" t="n">
        <f aca="false">IFERROR(D1680*E1680,0)</f>
        <v>1999.114744</v>
      </c>
      <c r="G1680" s="51" t="str">
        <f aca="false">INDEX(SETORES!$B:$B,MATCH(A1680,SETORES!$A:$A,0))</f>
        <v>Clientes</v>
      </c>
      <c r="H1680" s="51" t="s">
        <v>11</v>
      </c>
    </row>
    <row r="1681" customFormat="false" ht="14.25" hidden="false" customHeight="true" outlineLevel="0" collapsed="false">
      <c r="A1681" s="16" t="s">
        <v>37</v>
      </c>
      <c r="B1681" s="42" t="s">
        <v>155</v>
      </c>
      <c r="C1681" s="42" t="s">
        <v>182</v>
      </c>
      <c r="D1681" s="43" t="n">
        <v>1</v>
      </c>
      <c r="E1681" s="44" t="n">
        <v>2435.082628</v>
      </c>
      <c r="F1681" s="45" t="n">
        <f aca="false">IFERROR(D1681*E1681,0)</f>
        <v>2435.082628</v>
      </c>
      <c r="G1681" s="42" t="str">
        <f aca="false">INDEX(SETORES!$B:$B,MATCH(A1681,SETORES!$A:$A,0))</f>
        <v>Clientes</v>
      </c>
      <c r="H1681" s="42" t="s">
        <v>11</v>
      </c>
    </row>
    <row r="1682" customFormat="false" ht="14.25" hidden="false" customHeight="true" outlineLevel="0" collapsed="false">
      <c r="A1682" s="50" t="s">
        <v>37</v>
      </c>
      <c r="B1682" s="51" t="s">
        <v>155</v>
      </c>
      <c r="C1682" s="51" t="s">
        <v>173</v>
      </c>
      <c r="D1682" s="52" t="n">
        <v>44</v>
      </c>
      <c r="E1682" s="53" t="n">
        <v>2.04</v>
      </c>
      <c r="F1682" s="54" t="n">
        <f aca="false">IFERROR(D1682*E1682,0)</f>
        <v>89.76</v>
      </c>
      <c r="G1682" s="51" t="str">
        <f aca="false">INDEX(SETORES!$B:$B,MATCH(A1682,SETORES!$A:$A,0))</f>
        <v>Clientes</v>
      </c>
      <c r="H1682" s="51" t="s">
        <v>11</v>
      </c>
    </row>
    <row r="1683" customFormat="false" ht="14.25" hidden="false" customHeight="true" outlineLevel="0" collapsed="false">
      <c r="A1683" s="50" t="s">
        <v>37</v>
      </c>
      <c r="B1683" s="51" t="s">
        <v>155</v>
      </c>
      <c r="C1683" s="51" t="s">
        <v>179</v>
      </c>
      <c r="D1683" s="52"/>
      <c r="E1683" s="53"/>
      <c r="F1683" s="54" t="n">
        <f aca="false">IFERROR(D1683*E1683,0)</f>
        <v>0</v>
      </c>
      <c r="G1683" s="51" t="str">
        <f aca="false">INDEX(SETORES!$B:$B,MATCH(A1683,SETORES!$A:$A,0))</f>
        <v>Clientes</v>
      </c>
      <c r="H1683" s="51" t="s">
        <v>11</v>
      </c>
    </row>
    <row r="1684" customFormat="false" ht="14.25" hidden="false" customHeight="true" outlineLevel="0" collapsed="false">
      <c r="A1684" s="50" t="s">
        <v>46</v>
      </c>
      <c r="B1684" s="51" t="s">
        <v>155</v>
      </c>
      <c r="C1684" s="51" t="s">
        <v>163</v>
      </c>
      <c r="D1684" s="52" t="n">
        <v>5</v>
      </c>
      <c r="E1684" s="53" t="n">
        <v>30</v>
      </c>
      <c r="F1684" s="54" t="n">
        <f aca="false">IFERROR(D1684*E1684,0)</f>
        <v>150</v>
      </c>
      <c r="G1684" s="51" t="str">
        <f aca="false">INDEX(SETORES!$B:$B,MATCH(A1684,SETORES!$A:$A,0))</f>
        <v>Clientes</v>
      </c>
      <c r="H1684" s="51" t="s">
        <v>11</v>
      </c>
    </row>
    <row r="1685" customFormat="false" ht="14.25" hidden="false" customHeight="true" outlineLevel="0" collapsed="false">
      <c r="A1685" s="16" t="s">
        <v>46</v>
      </c>
      <c r="B1685" s="42" t="s">
        <v>157</v>
      </c>
      <c r="C1685" s="42" t="s">
        <v>199</v>
      </c>
      <c r="D1685" s="43" t="n">
        <v>1</v>
      </c>
      <c r="E1685" s="44" t="n">
        <v>10448.85</v>
      </c>
      <c r="F1685" s="45" t="n">
        <f aca="false">IFERROR(D1685*E1685,0)</f>
        <v>10448.85</v>
      </c>
      <c r="G1685" s="42" t="str">
        <f aca="false">INDEX(SETORES!$B:$B,MATCH(A1685,SETORES!$A:$A,0))</f>
        <v>Clientes</v>
      </c>
      <c r="H1685" s="42" t="s">
        <v>11</v>
      </c>
    </row>
    <row r="1686" customFormat="false" ht="14.25" hidden="false" customHeight="true" outlineLevel="0" collapsed="false">
      <c r="A1686" s="50" t="s">
        <v>46</v>
      </c>
      <c r="B1686" s="51" t="s">
        <v>155</v>
      </c>
      <c r="C1686" s="51" t="s">
        <v>205</v>
      </c>
      <c r="D1686" s="52" t="n">
        <v>1</v>
      </c>
      <c r="E1686" s="53" t="n">
        <v>4301.51</v>
      </c>
      <c r="F1686" s="54" t="n">
        <f aca="false">IFERROR(D1686*E1686,0)</f>
        <v>4301.51</v>
      </c>
      <c r="G1686" s="51" t="str">
        <f aca="false">INDEX(SETORES!$B:$B,MATCH(A1686,SETORES!$A:$A,0))</f>
        <v>Clientes</v>
      </c>
      <c r="H1686" s="51" t="s">
        <v>11</v>
      </c>
    </row>
    <row r="1687" customFormat="false" ht="14.25" hidden="false" customHeight="true" outlineLevel="0" collapsed="false">
      <c r="A1687" s="50" t="s">
        <v>46</v>
      </c>
      <c r="B1687" s="51" t="s">
        <v>155</v>
      </c>
      <c r="C1687" s="51" t="s">
        <v>165</v>
      </c>
      <c r="D1687" s="52" t="n">
        <v>23</v>
      </c>
      <c r="E1687" s="44" t="n">
        <v>51.12</v>
      </c>
      <c r="F1687" s="54" t="n">
        <f aca="false">IFERROR(D1687*E1687,0)</f>
        <v>1175.76</v>
      </c>
      <c r="G1687" s="51" t="s">
        <v>99</v>
      </c>
      <c r="H1687" s="51" t="s">
        <v>11</v>
      </c>
    </row>
    <row r="1688" customFormat="false" ht="14.25" hidden="false" customHeight="true" outlineLevel="0" collapsed="false">
      <c r="A1688" s="16" t="s">
        <v>46</v>
      </c>
      <c r="B1688" s="42" t="s">
        <v>155</v>
      </c>
      <c r="C1688" s="42" t="s">
        <v>166</v>
      </c>
      <c r="D1688" s="52" t="n">
        <v>23</v>
      </c>
      <c r="E1688" s="44" t="n">
        <v>31.33</v>
      </c>
      <c r="F1688" s="45" t="n">
        <f aca="false">IFERROR(D1688*E1688,0)</f>
        <v>720.59</v>
      </c>
      <c r="G1688" s="51" t="s">
        <v>99</v>
      </c>
      <c r="H1688" s="51" t="s">
        <v>11</v>
      </c>
    </row>
    <row r="1689" customFormat="false" ht="14.25" hidden="false" customHeight="true" outlineLevel="0" collapsed="false">
      <c r="A1689" s="16" t="s">
        <v>46</v>
      </c>
      <c r="B1689" s="42" t="s">
        <v>155</v>
      </c>
      <c r="C1689" s="42" t="s">
        <v>167</v>
      </c>
      <c r="D1689" s="52" t="n">
        <v>23</v>
      </c>
      <c r="E1689" s="44" t="n">
        <v>63.75</v>
      </c>
      <c r="F1689" s="54" t="n">
        <f aca="false">IFERROR(D1689*E1689,0)</f>
        <v>1466.25</v>
      </c>
      <c r="G1689" s="51" t="s">
        <v>99</v>
      </c>
      <c r="H1689" s="51" t="s">
        <v>11</v>
      </c>
    </row>
    <row r="1690" customFormat="false" ht="14.25" hidden="false" customHeight="true" outlineLevel="0" collapsed="false">
      <c r="A1690" s="50" t="s">
        <v>46</v>
      </c>
      <c r="B1690" s="51" t="s">
        <v>157</v>
      </c>
      <c r="C1690" s="51" t="s">
        <v>217</v>
      </c>
      <c r="D1690" s="52" t="n">
        <v>1</v>
      </c>
      <c r="E1690" s="53" t="n">
        <v>160</v>
      </c>
      <c r="F1690" s="54" t="n">
        <f aca="false">IFERROR(D1690*E1690,0)</f>
        <v>160</v>
      </c>
      <c r="G1690" s="51" t="str">
        <f aca="false">INDEX(SETORES!$B:$B,MATCH(A1690,SETORES!$A:$A,0))</f>
        <v>Clientes</v>
      </c>
      <c r="H1690" s="51" t="s">
        <v>11</v>
      </c>
    </row>
    <row r="1691" customFormat="false" ht="14.25" hidden="false" customHeight="true" outlineLevel="0" collapsed="false">
      <c r="A1691" s="50" t="s">
        <v>46</v>
      </c>
      <c r="B1691" s="51" t="s">
        <v>155</v>
      </c>
      <c r="C1691" s="51" t="s">
        <v>169</v>
      </c>
      <c r="D1691" s="52" t="n">
        <v>1</v>
      </c>
      <c r="E1691" s="53" t="n">
        <v>162051.25</v>
      </c>
      <c r="F1691" s="54" t="n">
        <f aca="false">IFERROR(E1691,0)</f>
        <v>162051.25</v>
      </c>
      <c r="G1691" s="51" t="str">
        <f aca="false">INDEX(SETORES!$B:$B,MATCH(A1691,SETORES!$A:$A,0))</f>
        <v>Clientes</v>
      </c>
      <c r="H1691" s="51" t="s">
        <v>11</v>
      </c>
    </row>
    <row r="1692" customFormat="false" ht="14.25" hidden="false" customHeight="true" outlineLevel="0" collapsed="false">
      <c r="A1692" s="50" t="s">
        <v>46</v>
      </c>
      <c r="B1692" s="51" t="s">
        <v>155</v>
      </c>
      <c r="C1692" s="51" t="s">
        <v>170</v>
      </c>
      <c r="D1692" s="52" t="n">
        <v>24</v>
      </c>
      <c r="E1692" s="53" t="n">
        <v>9.85</v>
      </c>
      <c r="F1692" s="54" t="n">
        <f aca="false">IFERROR(D1692*E1692,0)</f>
        <v>236.4</v>
      </c>
      <c r="G1692" s="51" t="str">
        <f aca="false">INDEX(SETORES!$B:$B,MATCH(A1692,SETORES!$A:$A,0))</f>
        <v>Clientes</v>
      </c>
      <c r="H1692" s="51" t="s">
        <v>11</v>
      </c>
    </row>
    <row r="1693" customFormat="false" ht="14.25" hidden="false" customHeight="true" outlineLevel="0" collapsed="false">
      <c r="A1693" s="16" t="s">
        <v>46</v>
      </c>
      <c r="B1693" s="42" t="s">
        <v>157</v>
      </c>
      <c r="C1693" s="42" t="s">
        <v>223</v>
      </c>
      <c r="D1693" s="43"/>
      <c r="E1693" s="44"/>
      <c r="F1693" s="45" t="n">
        <f aca="false">IFERROR(D1693*E1693,0)</f>
        <v>0</v>
      </c>
      <c r="G1693" s="42" t="str">
        <f aca="false">INDEX(SETORES!$B:$B,MATCH(A1693,SETORES!$A:$A,0))</f>
        <v>Clientes</v>
      </c>
      <c r="H1693" s="42" t="s">
        <v>11</v>
      </c>
    </row>
    <row r="1694" customFormat="false" ht="14.25" hidden="false" customHeight="true" outlineLevel="0" collapsed="false">
      <c r="A1694" s="50" t="s">
        <v>46</v>
      </c>
      <c r="B1694" s="51" t="s">
        <v>155</v>
      </c>
      <c r="C1694" s="51" t="s">
        <v>172</v>
      </c>
      <c r="D1694" s="52"/>
      <c r="E1694" s="53"/>
      <c r="F1694" s="54" t="n">
        <f aca="false">IFERROR(D1694*E1694,0)</f>
        <v>0</v>
      </c>
      <c r="G1694" s="51" t="str">
        <f aca="false">INDEX(SETORES!$B:$B,MATCH(A1694,SETORES!$A:$A,0))</f>
        <v>Clientes</v>
      </c>
      <c r="H1694" s="51" t="s">
        <v>11</v>
      </c>
    </row>
    <row r="1695" customFormat="false" ht="14.25" hidden="false" customHeight="true" outlineLevel="0" collapsed="false">
      <c r="A1695" s="16" t="s">
        <v>46</v>
      </c>
      <c r="B1695" s="42" t="s">
        <v>155</v>
      </c>
      <c r="C1695" s="42" t="s">
        <v>177</v>
      </c>
      <c r="D1695" s="43"/>
      <c r="E1695" s="44"/>
      <c r="F1695" s="45" t="n">
        <v>0</v>
      </c>
      <c r="G1695" s="42" t="str">
        <f aca="false">INDEX(SETORES!$B:$B,MATCH(A1695,SETORES!$A:$A,0))</f>
        <v>Clientes</v>
      </c>
      <c r="H1695" s="42" t="s">
        <v>11</v>
      </c>
    </row>
    <row r="1696" customFormat="false" ht="14.25" hidden="false" customHeight="true" outlineLevel="0" collapsed="false">
      <c r="A1696" s="50" t="s">
        <v>46</v>
      </c>
      <c r="B1696" s="51" t="s">
        <v>155</v>
      </c>
      <c r="C1696" s="51" t="s">
        <v>178</v>
      </c>
      <c r="D1696" s="52"/>
      <c r="E1696" s="53"/>
      <c r="F1696" s="54" t="n">
        <v>0</v>
      </c>
      <c r="G1696" s="51" t="str">
        <f aca="false">INDEX(SETORES!$B:$B,MATCH(A1696,SETORES!$A:$A,0))</f>
        <v>Clientes</v>
      </c>
      <c r="H1696" s="51" t="s">
        <v>11</v>
      </c>
    </row>
    <row r="1697" customFormat="false" ht="14.25" hidden="false" customHeight="true" outlineLevel="0" collapsed="false">
      <c r="A1697" s="16" t="s">
        <v>46</v>
      </c>
      <c r="B1697" s="42" t="s">
        <v>157</v>
      </c>
      <c r="C1697" s="42" t="s">
        <v>158</v>
      </c>
      <c r="D1697" s="43" t="n">
        <v>1</v>
      </c>
      <c r="E1697" s="44" t="n">
        <v>7468.78</v>
      </c>
      <c r="F1697" s="45" t="n">
        <f aca="false">IFERROR(D1697*E1697,0)</f>
        <v>7468.78</v>
      </c>
      <c r="G1697" s="42" t="str">
        <f aca="false">INDEX(SETORES!$B:$B,MATCH(A1697,SETORES!$A:$A,0))</f>
        <v>Clientes</v>
      </c>
      <c r="H1697" s="42" t="s">
        <v>11</v>
      </c>
    </row>
    <row r="1698" customFormat="false" ht="14.25" hidden="false" customHeight="true" outlineLevel="0" collapsed="false">
      <c r="A1698" s="16" t="s">
        <v>46</v>
      </c>
      <c r="B1698" s="42" t="s">
        <v>155</v>
      </c>
      <c r="C1698" s="42" t="s">
        <v>173</v>
      </c>
      <c r="D1698" s="43" t="n">
        <v>24</v>
      </c>
      <c r="E1698" s="44" t="n">
        <v>2.04</v>
      </c>
      <c r="F1698" s="45" t="n">
        <f aca="false">IFERROR(D1698*E1698,0)</f>
        <v>48.96</v>
      </c>
      <c r="G1698" s="42" t="str">
        <f aca="false">INDEX(SETORES!$B:$B,MATCH(A1698,SETORES!$A:$A,0))</f>
        <v>Clientes</v>
      </c>
      <c r="H1698" s="42" t="s">
        <v>11</v>
      </c>
    </row>
    <row r="1699" customFormat="false" ht="14.25" hidden="false" customHeight="true" outlineLevel="0" collapsed="false">
      <c r="A1699" s="16" t="s">
        <v>46</v>
      </c>
      <c r="B1699" s="42" t="s">
        <v>155</v>
      </c>
      <c r="C1699" s="42" t="s">
        <v>179</v>
      </c>
      <c r="D1699" s="43"/>
      <c r="E1699" s="44"/>
      <c r="F1699" s="45" t="n">
        <f aca="false">IFERROR(D1699*E1699,0)</f>
        <v>0</v>
      </c>
      <c r="G1699" s="42" t="str">
        <f aca="false">INDEX(SETORES!$B:$B,MATCH(A1699,SETORES!$A:$A,0))</f>
        <v>Clientes</v>
      </c>
      <c r="H1699" s="42" t="s">
        <v>11</v>
      </c>
    </row>
    <row r="1700" customFormat="false" ht="14.25" hidden="false" customHeight="true" outlineLevel="0" collapsed="false">
      <c r="A1700" s="50" t="s">
        <v>49</v>
      </c>
      <c r="B1700" s="51" t="s">
        <v>155</v>
      </c>
      <c r="C1700" s="51" t="s">
        <v>162</v>
      </c>
      <c r="D1700" s="52" t="n">
        <v>4</v>
      </c>
      <c r="E1700" s="53" t="n">
        <v>2.1332</v>
      </c>
      <c r="F1700" s="54" t="n">
        <v>1.2496</v>
      </c>
      <c r="G1700" s="51" t="str">
        <f aca="false">INDEX(SETORES!$B:$B,MATCH(A1700,SETORES!$A:$A,0))</f>
        <v>Clientes</v>
      </c>
      <c r="H1700" s="51" t="s">
        <v>11</v>
      </c>
    </row>
    <row r="1701" customFormat="false" ht="14.25" hidden="false" customHeight="true" outlineLevel="0" collapsed="false">
      <c r="A1701" s="50" t="s">
        <v>49</v>
      </c>
      <c r="B1701" s="51" t="s">
        <v>157</v>
      </c>
      <c r="C1701" s="51" t="s">
        <v>199</v>
      </c>
      <c r="D1701" s="52"/>
      <c r="E1701" s="53"/>
      <c r="F1701" s="54" t="n">
        <f aca="false">IFERROR(D1701*E1701,0)</f>
        <v>0</v>
      </c>
      <c r="G1701" s="51" t="str">
        <f aca="false">INDEX(SETORES!$B:$B,MATCH(A1701,SETORES!$A:$A,0))</f>
        <v>Clientes</v>
      </c>
      <c r="H1701" s="51" t="s">
        <v>11</v>
      </c>
    </row>
    <row r="1702" customFormat="false" ht="14.25" hidden="false" customHeight="true" outlineLevel="0" collapsed="false">
      <c r="A1702" s="16" t="s">
        <v>49</v>
      </c>
      <c r="B1702" s="42" t="s">
        <v>155</v>
      </c>
      <c r="C1702" s="42" t="s">
        <v>220</v>
      </c>
      <c r="D1702" s="43" t="n">
        <v>1</v>
      </c>
      <c r="E1702" s="44" t="n">
        <v>3805.274643</v>
      </c>
      <c r="F1702" s="45" t="n">
        <v>3805.274643</v>
      </c>
      <c r="G1702" s="42" t="s">
        <v>97</v>
      </c>
      <c r="H1702" s="42" t="s">
        <v>11</v>
      </c>
    </row>
    <row r="1703" customFormat="false" ht="14.25" hidden="false" customHeight="true" outlineLevel="0" collapsed="false">
      <c r="A1703" s="16" t="s">
        <v>49</v>
      </c>
      <c r="B1703" s="42" t="s">
        <v>155</v>
      </c>
      <c r="C1703" s="42" t="s">
        <v>168</v>
      </c>
      <c r="D1703" s="43" t="n">
        <v>4</v>
      </c>
      <c r="E1703" s="44" t="n">
        <v>162.5079</v>
      </c>
      <c r="F1703" s="45" t="n">
        <v>94.7508</v>
      </c>
      <c r="G1703" s="42" t="str">
        <f aca="false">INDEX(SETORES!$B:$B,MATCH(A1703,SETORES!$A:$A,0))</f>
        <v>Clientes</v>
      </c>
      <c r="H1703" s="42" t="s">
        <v>11</v>
      </c>
    </row>
    <row r="1704" customFormat="false" ht="14.25" hidden="false" customHeight="true" outlineLevel="0" collapsed="false">
      <c r="A1704" s="16" t="s">
        <v>49</v>
      </c>
      <c r="B1704" s="42" t="s">
        <v>155</v>
      </c>
      <c r="C1704" s="42" t="s">
        <v>169</v>
      </c>
      <c r="D1704" s="43" t="n">
        <v>1</v>
      </c>
      <c r="E1704" s="44" t="n">
        <v>26444.83</v>
      </c>
      <c r="F1704" s="45" t="n">
        <f aca="false">IFERROR(E1704,0)</f>
        <v>26444.83</v>
      </c>
      <c r="G1704" s="42" t="str">
        <f aca="false">INDEX(SETORES!$B:$B,MATCH(A1704,SETORES!$A:$A,0))</f>
        <v>Clientes</v>
      </c>
      <c r="H1704" s="42" t="s">
        <v>11</v>
      </c>
    </row>
    <row r="1705" customFormat="false" ht="14.25" hidden="false" customHeight="true" outlineLevel="0" collapsed="false">
      <c r="A1705" s="16" t="s">
        <v>49</v>
      </c>
      <c r="B1705" s="42" t="s">
        <v>155</v>
      </c>
      <c r="C1705" s="42" t="s">
        <v>170</v>
      </c>
      <c r="D1705" s="43" t="n">
        <v>4</v>
      </c>
      <c r="E1705" s="44" t="n">
        <v>9.85</v>
      </c>
      <c r="F1705" s="45" t="n">
        <f aca="false">IFERROR(D1705*E1705,0)</f>
        <v>39.4</v>
      </c>
      <c r="G1705" s="42" t="str">
        <f aca="false">INDEX(SETORES!$B:$B,MATCH(A1705,SETORES!$A:$A,0))</f>
        <v>Clientes</v>
      </c>
      <c r="H1705" s="42" t="s">
        <v>11</v>
      </c>
    </row>
    <row r="1706" customFormat="false" ht="14.25" hidden="false" customHeight="true" outlineLevel="0" collapsed="false">
      <c r="A1706" s="16" t="s">
        <v>49</v>
      </c>
      <c r="B1706" s="42" t="s">
        <v>157</v>
      </c>
      <c r="C1706" s="42" t="s">
        <v>221</v>
      </c>
      <c r="D1706" s="43"/>
      <c r="E1706" s="44"/>
      <c r="F1706" s="45" t="n">
        <f aca="false">IFERROR(D1706*E1706,0)</f>
        <v>0</v>
      </c>
      <c r="G1706" s="42" t="str">
        <f aca="false">INDEX(SETORES!$B:$B,MATCH(A1706,SETORES!$A:$A,0))</f>
        <v>Clientes</v>
      </c>
      <c r="H1706" s="42" t="s">
        <v>11</v>
      </c>
    </row>
    <row r="1707" customFormat="false" ht="14.25" hidden="false" customHeight="true" outlineLevel="0" collapsed="false">
      <c r="A1707" s="50" t="s">
        <v>49</v>
      </c>
      <c r="B1707" s="51" t="s">
        <v>155</v>
      </c>
      <c r="C1707" s="51" t="s">
        <v>177</v>
      </c>
      <c r="D1707" s="52"/>
      <c r="E1707" s="53"/>
      <c r="F1707" s="54" t="n">
        <v>0</v>
      </c>
      <c r="G1707" s="51" t="str">
        <f aca="false">INDEX(SETORES!$B:$B,MATCH(A1707,SETORES!$A:$A,0))</f>
        <v>Clientes</v>
      </c>
      <c r="H1707" s="51" t="s">
        <v>11</v>
      </c>
    </row>
    <row r="1708" customFormat="false" ht="14.25" hidden="false" customHeight="true" outlineLevel="0" collapsed="false">
      <c r="A1708" s="16" t="s">
        <v>49</v>
      </c>
      <c r="B1708" s="42" t="s">
        <v>155</v>
      </c>
      <c r="C1708" s="42" t="s">
        <v>178</v>
      </c>
      <c r="D1708" s="43" t="n">
        <v>1</v>
      </c>
      <c r="E1708" s="44" t="n">
        <v>710.95</v>
      </c>
      <c r="F1708" s="45" t="n">
        <v>710.95</v>
      </c>
      <c r="G1708" s="42" t="str">
        <f aca="false">INDEX(SETORES!$B:$B,MATCH(A1708,SETORES!$A:$A,0))</f>
        <v>Clientes</v>
      </c>
      <c r="H1708" s="42" t="s">
        <v>11</v>
      </c>
    </row>
    <row r="1709" customFormat="false" ht="14.25" hidden="false" customHeight="true" outlineLevel="0" collapsed="false">
      <c r="A1709" s="50" t="s">
        <v>49</v>
      </c>
      <c r="B1709" s="51" t="s">
        <v>157</v>
      </c>
      <c r="C1709" s="51" t="s">
        <v>184</v>
      </c>
      <c r="D1709" s="52" t="n">
        <v>4</v>
      </c>
      <c r="E1709" s="44" t="n">
        <v>67.41</v>
      </c>
      <c r="F1709" s="54" t="n">
        <f aca="false">IFERROR(D1709*E1709,0)</f>
        <v>269.64</v>
      </c>
      <c r="G1709" s="51" t="str">
        <f aca="false">INDEX(SETORES!$B:$B,MATCH(A1709,SETORES!$A:$A,0))</f>
        <v>Clientes</v>
      </c>
      <c r="H1709" s="51" t="s">
        <v>11</v>
      </c>
    </row>
    <row r="1710" customFormat="false" ht="14.25" hidden="false" customHeight="true" outlineLevel="0" collapsed="false">
      <c r="A1710" s="50" t="s">
        <v>49</v>
      </c>
      <c r="B1710" s="51" t="s">
        <v>157</v>
      </c>
      <c r="C1710" s="51" t="s">
        <v>158</v>
      </c>
      <c r="D1710" s="52"/>
      <c r="E1710" s="53"/>
      <c r="F1710" s="54" t="n">
        <f aca="false">IFERROR(D1710*E1710,0)</f>
        <v>0</v>
      </c>
      <c r="G1710" s="51" t="str">
        <f aca="false">INDEX(SETORES!$B:$B,MATCH(A1710,SETORES!$A:$A,0))</f>
        <v>Clientes</v>
      </c>
      <c r="H1710" s="51" t="s">
        <v>11</v>
      </c>
    </row>
    <row r="1711" customFormat="false" ht="14.25" hidden="false" customHeight="true" outlineLevel="0" collapsed="false">
      <c r="A1711" s="50" t="s">
        <v>49</v>
      </c>
      <c r="B1711" s="51" t="s">
        <v>155</v>
      </c>
      <c r="C1711" s="51" t="s">
        <v>225</v>
      </c>
      <c r="D1711" s="52" t="n">
        <v>1</v>
      </c>
      <c r="E1711" s="53" t="n">
        <v>1800</v>
      </c>
      <c r="F1711" s="54" t="n">
        <f aca="false">IFERROR(D1711*E1711,0)</f>
        <v>1800</v>
      </c>
      <c r="G1711" s="51" t="str">
        <f aca="false">INDEX(SETORES!$B:$B,MATCH(A1711,SETORES!$A:$A,0))</f>
        <v>Clientes</v>
      </c>
      <c r="H1711" s="51" t="s">
        <v>11</v>
      </c>
    </row>
    <row r="1712" customFormat="false" ht="14.25" hidden="false" customHeight="true" outlineLevel="0" collapsed="false">
      <c r="A1712" s="50" t="s">
        <v>49</v>
      </c>
      <c r="B1712" s="51" t="s">
        <v>155</v>
      </c>
      <c r="C1712" s="51" t="s">
        <v>173</v>
      </c>
      <c r="D1712" s="52" t="n">
        <v>4</v>
      </c>
      <c r="E1712" s="53" t="n">
        <v>2.04</v>
      </c>
      <c r="F1712" s="54" t="n">
        <f aca="false">IFERROR(D1712*E1712,0)</f>
        <v>8.16</v>
      </c>
      <c r="G1712" s="51" t="str">
        <f aca="false">INDEX(SETORES!$B:$B,MATCH(A1712,SETORES!$A:$A,0))</f>
        <v>Clientes</v>
      </c>
      <c r="H1712" s="51" t="s">
        <v>11</v>
      </c>
    </row>
    <row r="1713" customFormat="false" ht="14.25" hidden="false" customHeight="true" outlineLevel="0" collapsed="false">
      <c r="A1713" s="50" t="s">
        <v>49</v>
      </c>
      <c r="B1713" s="51" t="s">
        <v>155</v>
      </c>
      <c r="C1713" s="51" t="s">
        <v>179</v>
      </c>
      <c r="D1713" s="52"/>
      <c r="E1713" s="53"/>
      <c r="F1713" s="54" t="n">
        <f aca="false">IFERROR(D1713*E1713,0)</f>
        <v>0</v>
      </c>
      <c r="G1713" s="51" t="str">
        <f aca="false">INDEX(SETORES!$B:$B,MATCH(A1713,SETORES!$A:$A,0))</f>
        <v>Clientes</v>
      </c>
      <c r="H1713" s="51" t="s">
        <v>11</v>
      </c>
    </row>
    <row r="1714" customFormat="false" ht="14.25" hidden="false" customHeight="true" outlineLevel="0" collapsed="false">
      <c r="A1714" s="46" t="s">
        <v>146</v>
      </c>
      <c r="B1714" s="47" t="s">
        <v>155</v>
      </c>
      <c r="C1714" s="47" t="s">
        <v>169</v>
      </c>
      <c r="D1714" s="47" t="n">
        <v>1</v>
      </c>
      <c r="E1714" s="48" t="n">
        <v>23431.15</v>
      </c>
      <c r="F1714" s="48" t="n">
        <f aca="false">IFERROR(D1714*E1714,0)</f>
        <v>23431.15</v>
      </c>
      <c r="G1714" s="47" t="str">
        <f aca="false">INDEX(SETORES!$B:$B,MATCH(A1714,SETORES!$A:$A,0))</f>
        <v>Clientes</v>
      </c>
      <c r="H1714" s="42" t="s">
        <v>11</v>
      </c>
    </row>
    <row r="1715" customFormat="false" ht="14.25" hidden="false" customHeight="true" outlineLevel="0" collapsed="false">
      <c r="A1715" s="1" t="s">
        <v>146</v>
      </c>
      <c r="B1715" s="36" t="s">
        <v>155</v>
      </c>
      <c r="C1715" s="36" t="s">
        <v>170</v>
      </c>
      <c r="D1715" s="36" t="n">
        <v>3</v>
      </c>
      <c r="E1715" s="37" t="n">
        <v>9.85</v>
      </c>
      <c r="F1715" s="48" t="n">
        <f aca="false">IFERROR(D1715*E1715,0)</f>
        <v>29.55</v>
      </c>
      <c r="G1715" s="47" t="str">
        <f aca="false">INDEX(SETORES!$B:$B,MATCH(A1715,SETORES!$A:$A,0))</f>
        <v>Clientes</v>
      </c>
      <c r="H1715" s="42" t="s">
        <v>11</v>
      </c>
    </row>
    <row r="1716" customFormat="false" ht="14.25" hidden="false" customHeight="true" outlineLevel="0" collapsed="false">
      <c r="A1716" s="1" t="s">
        <v>146</v>
      </c>
      <c r="B1716" s="36" t="s">
        <v>155</v>
      </c>
      <c r="C1716" s="36" t="s">
        <v>172</v>
      </c>
      <c r="D1716" s="36" t="n">
        <v>3</v>
      </c>
      <c r="E1716" s="37" t="n">
        <v>50</v>
      </c>
      <c r="F1716" s="48" t="n">
        <f aca="false">IFERROR(D1716*E1716,0)</f>
        <v>150</v>
      </c>
      <c r="G1716" s="47" t="str">
        <f aca="false">INDEX(SETORES!$B:$B,MATCH(A1716,SETORES!$A:$A,0))</f>
        <v>Clientes</v>
      </c>
      <c r="H1716" s="42" t="s">
        <v>11</v>
      </c>
    </row>
    <row r="1717" customFormat="false" ht="14.25" hidden="false" customHeight="true" outlineLevel="0" collapsed="false">
      <c r="A1717" s="1" t="s">
        <v>146</v>
      </c>
      <c r="B1717" s="36" t="s">
        <v>155</v>
      </c>
      <c r="C1717" s="36" t="s">
        <v>226</v>
      </c>
      <c r="D1717" s="36" t="n">
        <v>0</v>
      </c>
      <c r="E1717" s="37" t="n">
        <v>0</v>
      </c>
      <c r="F1717" s="48" t="n">
        <f aca="false">IFERROR(D1717*E1717,0)</f>
        <v>0</v>
      </c>
      <c r="G1717" s="47" t="str">
        <f aca="false">INDEX(SETORES!$B:$B,MATCH(A1717,SETORES!$A:$A,0))</f>
        <v>Clientes</v>
      </c>
      <c r="H1717" s="42" t="s">
        <v>11</v>
      </c>
    </row>
    <row r="1718" customFormat="false" ht="14.25" hidden="false" customHeight="true" outlineLevel="0" collapsed="false">
      <c r="A1718" s="1" t="s">
        <v>146</v>
      </c>
      <c r="B1718" s="36" t="s">
        <v>155</v>
      </c>
      <c r="C1718" s="36" t="s">
        <v>177</v>
      </c>
      <c r="F1718" s="48" t="n">
        <f aca="false">IFERROR(D1718*E1718,0)</f>
        <v>0</v>
      </c>
      <c r="G1718" s="47" t="str">
        <f aca="false">INDEX(SETORES!$B:$B,MATCH(A1718,SETORES!$A:$A,0))</f>
        <v>Clientes</v>
      </c>
      <c r="H1718" s="42" t="s">
        <v>11</v>
      </c>
    </row>
    <row r="1719" customFormat="false" ht="14.25" hidden="false" customHeight="true" outlineLevel="0" collapsed="false">
      <c r="A1719" s="1" t="s">
        <v>146</v>
      </c>
      <c r="B1719" s="36" t="s">
        <v>155</v>
      </c>
      <c r="C1719" s="36" t="s">
        <v>178</v>
      </c>
      <c r="F1719" s="48" t="n">
        <f aca="false">IFERROR(D1719*E1719,0)</f>
        <v>0</v>
      </c>
      <c r="G1719" s="47" t="str">
        <f aca="false">INDEX(SETORES!$B:$B,MATCH(A1719,SETORES!$A:$A,0))</f>
        <v>Clientes</v>
      </c>
      <c r="H1719" s="42" t="s">
        <v>11</v>
      </c>
    </row>
    <row r="1720" customFormat="false" ht="14.25" hidden="false" customHeight="true" outlineLevel="0" collapsed="false">
      <c r="A1720" s="1" t="s">
        <v>146</v>
      </c>
      <c r="B1720" s="36" t="s">
        <v>157</v>
      </c>
      <c r="C1720" s="36" t="s">
        <v>184</v>
      </c>
      <c r="D1720" s="36" t="n">
        <v>3</v>
      </c>
      <c r="E1720" s="44" t="n">
        <v>67.41</v>
      </c>
      <c r="F1720" s="48" t="n">
        <f aca="false">IFERROR(D1720*E1720,0)</f>
        <v>202.23</v>
      </c>
      <c r="G1720" s="47" t="str">
        <f aca="false">INDEX(SETORES!$B:$B,MATCH(A1720,SETORES!$A:$A,0))</f>
        <v>Clientes</v>
      </c>
      <c r="H1720" s="42" t="s">
        <v>11</v>
      </c>
    </row>
    <row r="1721" customFormat="false" ht="14.25" hidden="false" customHeight="true" outlineLevel="0" collapsed="false">
      <c r="A1721" s="1" t="s">
        <v>146</v>
      </c>
      <c r="B1721" s="36" t="s">
        <v>155</v>
      </c>
      <c r="C1721" s="36" t="s">
        <v>173</v>
      </c>
      <c r="D1721" s="36" t="n">
        <v>3</v>
      </c>
      <c r="E1721" s="37" t="n">
        <v>2.04</v>
      </c>
      <c r="F1721" s="48" t="n">
        <f aca="false">IFERROR(D1721*E1721,0)</f>
        <v>6.12</v>
      </c>
      <c r="G1721" s="47" t="str">
        <f aca="false">INDEX(SETORES!$B:$B,MATCH(A1721,SETORES!$A:$A,0))</f>
        <v>Clientes</v>
      </c>
      <c r="H1721" s="42" t="s">
        <v>11</v>
      </c>
    </row>
    <row r="1722" customFormat="false" ht="14.25" hidden="false" customHeight="true" outlineLevel="0" collapsed="false">
      <c r="A1722" s="1" t="s">
        <v>146</v>
      </c>
      <c r="B1722" s="36" t="s">
        <v>155</v>
      </c>
      <c r="C1722" s="42" t="s">
        <v>163</v>
      </c>
      <c r="D1722" s="36" t="n">
        <v>3</v>
      </c>
      <c r="F1722" s="48" t="n">
        <f aca="false">IFERROR(D1722*E1722,0)</f>
        <v>0</v>
      </c>
      <c r="G1722" s="47" t="str">
        <f aca="false">INDEX(SETORES!$B:$B,MATCH(A1722,SETORES!$A:$A,0))</f>
        <v>Clientes</v>
      </c>
      <c r="H1722" s="42" t="s">
        <v>11</v>
      </c>
    </row>
    <row r="1723" customFormat="false" ht="14.25" hidden="false" customHeight="true" outlineLevel="0" collapsed="false">
      <c r="A1723" s="16" t="s">
        <v>86</v>
      </c>
      <c r="B1723" s="42" t="s">
        <v>155</v>
      </c>
      <c r="C1723" s="42" t="s">
        <v>163</v>
      </c>
      <c r="D1723" s="43" t="n">
        <v>4</v>
      </c>
      <c r="E1723" s="44" t="n">
        <v>30</v>
      </c>
      <c r="F1723" s="45" t="n">
        <f aca="false">IFERROR(D1723*E1723,0)</f>
        <v>120</v>
      </c>
      <c r="G1723" s="42" t="str">
        <f aca="false">INDEX(SETORES!$B:$B,MATCH(A1723,SETORES!$A:$A,0))</f>
        <v>Clientes</v>
      </c>
      <c r="H1723" s="42" t="s">
        <v>11</v>
      </c>
    </row>
    <row r="1724" customFormat="false" ht="14.25" hidden="false" customHeight="true" outlineLevel="0" collapsed="false">
      <c r="A1724" s="50" t="s">
        <v>86</v>
      </c>
      <c r="B1724" s="51" t="s">
        <v>155</v>
      </c>
      <c r="C1724" s="51" t="s">
        <v>165</v>
      </c>
      <c r="D1724" s="52" t="n">
        <v>8</v>
      </c>
      <c r="E1724" s="44" t="n">
        <v>51.12</v>
      </c>
      <c r="F1724" s="54" t="n">
        <f aca="false">IFERROR(D1724*E1724,0)</f>
        <v>408.96</v>
      </c>
      <c r="G1724" s="51" t="s">
        <v>99</v>
      </c>
      <c r="H1724" s="51" t="s">
        <v>11</v>
      </c>
    </row>
    <row r="1725" customFormat="false" ht="14.25" hidden="false" customHeight="true" outlineLevel="0" collapsed="false">
      <c r="A1725" s="16" t="s">
        <v>86</v>
      </c>
      <c r="B1725" s="42" t="s">
        <v>155</v>
      </c>
      <c r="C1725" s="42" t="s">
        <v>166</v>
      </c>
      <c r="D1725" s="43" t="n">
        <v>8</v>
      </c>
      <c r="E1725" s="44" t="n">
        <v>31.33</v>
      </c>
      <c r="F1725" s="45" t="n">
        <f aca="false">IFERROR(D1725*E1725,0)</f>
        <v>250.64</v>
      </c>
      <c r="G1725" s="51" t="s">
        <v>99</v>
      </c>
      <c r="H1725" s="42" t="s">
        <v>11</v>
      </c>
    </row>
    <row r="1726" customFormat="false" ht="14.25" hidden="false" customHeight="true" outlineLevel="0" collapsed="false">
      <c r="A1726" s="16" t="s">
        <v>86</v>
      </c>
      <c r="B1726" s="42" t="s">
        <v>155</v>
      </c>
      <c r="C1726" s="42" t="s">
        <v>167</v>
      </c>
      <c r="D1726" s="43" t="n">
        <v>8</v>
      </c>
      <c r="E1726" s="44" t="n">
        <v>63.75</v>
      </c>
      <c r="F1726" s="45" t="n">
        <f aca="false">IFERROR(D1726*E1726,0)</f>
        <v>510</v>
      </c>
      <c r="G1726" s="51" t="s">
        <v>99</v>
      </c>
      <c r="H1726" s="42" t="s">
        <v>11</v>
      </c>
    </row>
    <row r="1727" customFormat="false" ht="14.25" hidden="false" customHeight="true" outlineLevel="0" collapsed="false">
      <c r="A1727" s="16" t="s">
        <v>86</v>
      </c>
      <c r="B1727" s="42" t="s">
        <v>155</v>
      </c>
      <c r="C1727" s="42" t="s">
        <v>169</v>
      </c>
      <c r="D1727" s="43" t="n">
        <v>1</v>
      </c>
      <c r="E1727" s="44" t="n">
        <v>33078.39</v>
      </c>
      <c r="F1727" s="45" t="n">
        <f aca="false">IFERROR(E1727,0)</f>
        <v>33078.39</v>
      </c>
      <c r="G1727" s="42" t="str">
        <f aca="false">INDEX(SETORES!$B:$B,MATCH(A1727,SETORES!$A:$A,0))</f>
        <v>Clientes</v>
      </c>
      <c r="H1727" s="42" t="s">
        <v>11</v>
      </c>
    </row>
    <row r="1728" customFormat="false" ht="14.25" hidden="false" customHeight="true" outlineLevel="0" collapsed="false">
      <c r="A1728" s="50" t="s">
        <v>86</v>
      </c>
      <c r="B1728" s="51" t="s">
        <v>155</v>
      </c>
      <c r="C1728" s="51" t="s">
        <v>170</v>
      </c>
      <c r="D1728" s="52" t="n">
        <v>8</v>
      </c>
      <c r="E1728" s="53" t="n">
        <v>9.85</v>
      </c>
      <c r="F1728" s="54" t="n">
        <f aca="false">IFERROR(D1728*E1728,0)</f>
        <v>78.8</v>
      </c>
      <c r="G1728" s="51" t="str">
        <f aca="false">INDEX(SETORES!$B:$B,MATCH(A1728,SETORES!$A:$A,0))</f>
        <v>Clientes</v>
      </c>
      <c r="H1728" s="51" t="s">
        <v>11</v>
      </c>
    </row>
    <row r="1729" customFormat="false" ht="14.25" hidden="false" customHeight="true" outlineLevel="0" collapsed="false">
      <c r="A1729" s="16" t="s">
        <v>86</v>
      </c>
      <c r="B1729" s="42" t="s">
        <v>155</v>
      </c>
      <c r="C1729" s="42" t="s">
        <v>183</v>
      </c>
      <c r="D1729" s="43" t="n">
        <v>1</v>
      </c>
      <c r="E1729" s="44" t="n">
        <v>9.090912</v>
      </c>
      <c r="F1729" s="45" t="n">
        <f aca="false">IFERROR(D1729*E1729,0)</f>
        <v>9.090912</v>
      </c>
      <c r="G1729" s="42" t="str">
        <f aca="false">INDEX(SETORES!$B:$B,MATCH(A1729,SETORES!$A:$A,0))</f>
        <v>Clientes</v>
      </c>
      <c r="H1729" s="42" t="s">
        <v>11</v>
      </c>
    </row>
    <row r="1730" customFormat="false" ht="14.25" hidden="false" customHeight="true" outlineLevel="0" collapsed="false">
      <c r="A1730" s="50" t="s">
        <v>86</v>
      </c>
      <c r="B1730" s="51" t="s">
        <v>155</v>
      </c>
      <c r="C1730" s="51" t="s">
        <v>172</v>
      </c>
      <c r="D1730" s="52" t="n">
        <v>9</v>
      </c>
      <c r="E1730" s="53" t="n">
        <v>50</v>
      </c>
      <c r="F1730" s="54" t="n">
        <f aca="false">IFERROR(D1730*E1730,0)</f>
        <v>450</v>
      </c>
      <c r="G1730" s="51" t="str">
        <f aca="false">INDEX(SETORES!$B:$B,MATCH(A1730,SETORES!$A:$A,0))</f>
        <v>Clientes</v>
      </c>
      <c r="H1730" s="51" t="s">
        <v>11</v>
      </c>
    </row>
    <row r="1731" customFormat="false" ht="14.25" hidden="false" customHeight="true" outlineLevel="0" collapsed="false">
      <c r="A1731" s="50" t="s">
        <v>86</v>
      </c>
      <c r="B1731" s="51" t="s">
        <v>155</v>
      </c>
      <c r="C1731" s="51" t="s">
        <v>178</v>
      </c>
      <c r="D1731" s="52" t="n">
        <v>1</v>
      </c>
      <c r="E1731" s="53" t="n">
        <v>114.65</v>
      </c>
      <c r="F1731" s="54" t="n">
        <v>114.65</v>
      </c>
      <c r="G1731" s="51" t="str">
        <f aca="false">INDEX(SETORES!$B:$B,MATCH(A1731,SETORES!$A:$A,0))</f>
        <v>Clientes</v>
      </c>
      <c r="H1731" s="51" t="s">
        <v>11</v>
      </c>
    </row>
    <row r="1732" customFormat="false" ht="14.25" hidden="false" customHeight="true" outlineLevel="0" collapsed="false">
      <c r="A1732" s="16" t="s">
        <v>86</v>
      </c>
      <c r="B1732" s="42" t="s">
        <v>157</v>
      </c>
      <c r="C1732" s="42" t="s">
        <v>158</v>
      </c>
      <c r="D1732" s="43"/>
      <c r="E1732" s="44"/>
      <c r="F1732" s="45" t="n">
        <f aca="false">IFERROR(D1732*E1732,0)</f>
        <v>0</v>
      </c>
      <c r="G1732" s="42" t="str">
        <f aca="false">INDEX(SETORES!$B:$B,MATCH(A1732,SETORES!$A:$A,0))</f>
        <v>Clientes</v>
      </c>
      <c r="H1732" s="42" t="s">
        <v>11</v>
      </c>
    </row>
    <row r="1733" customFormat="false" ht="14.25" hidden="false" customHeight="true" outlineLevel="0" collapsed="false">
      <c r="A1733" s="16" t="s">
        <v>86</v>
      </c>
      <c r="B1733" s="42" t="s">
        <v>155</v>
      </c>
      <c r="C1733" s="42" t="s">
        <v>173</v>
      </c>
      <c r="D1733" s="43" t="n">
        <v>8</v>
      </c>
      <c r="E1733" s="44" t="n">
        <v>2.04</v>
      </c>
      <c r="F1733" s="45" t="n">
        <f aca="false">IFERROR(D1733*E1733,0)</f>
        <v>16.32</v>
      </c>
      <c r="G1733" s="42" t="str">
        <f aca="false">INDEX(SETORES!$B:$B,MATCH(A1733,SETORES!$A:$A,0))</f>
        <v>Clientes</v>
      </c>
      <c r="H1733" s="42" t="s">
        <v>11</v>
      </c>
    </row>
    <row r="1734" customFormat="false" ht="14.25" hidden="false" customHeight="true" outlineLevel="0" collapsed="false">
      <c r="A1734" s="50" t="s">
        <v>39</v>
      </c>
      <c r="B1734" s="51" t="s">
        <v>155</v>
      </c>
      <c r="C1734" s="51" t="s">
        <v>162</v>
      </c>
      <c r="D1734" s="52" t="n">
        <v>1</v>
      </c>
      <c r="E1734" s="53" t="n">
        <v>0.35</v>
      </c>
      <c r="F1734" s="54" t="n">
        <v>0.35</v>
      </c>
      <c r="G1734" s="51" t="str">
        <f aca="false">INDEX(SETORES!$B:$B,MATCH(A1734,SETORES!$A:$A,0))</f>
        <v>Clientes</v>
      </c>
      <c r="H1734" s="51" t="s">
        <v>11</v>
      </c>
    </row>
    <row r="1735" customFormat="false" ht="14.25" hidden="false" customHeight="true" outlineLevel="0" collapsed="false">
      <c r="A1735" s="16" t="s">
        <v>39</v>
      </c>
      <c r="B1735" s="42" t="s">
        <v>155</v>
      </c>
      <c r="C1735" s="42" t="s">
        <v>180</v>
      </c>
      <c r="D1735" s="43" t="n">
        <v>1</v>
      </c>
      <c r="E1735" s="44" t="n">
        <v>975.1</v>
      </c>
      <c r="F1735" s="45" t="n">
        <f aca="false">IFERROR(D1735*E1735,0)</f>
        <v>975.1</v>
      </c>
      <c r="G1735" s="42" t="str">
        <f aca="false">INDEX(SETORES!$B:$B,MATCH(A1735,SETORES!$A:$A,0))</f>
        <v>Clientes</v>
      </c>
      <c r="H1735" s="42" t="s">
        <v>11</v>
      </c>
    </row>
    <row r="1736" customFormat="false" ht="14.25" hidden="false" customHeight="true" outlineLevel="0" collapsed="false">
      <c r="A1736" s="16" t="s">
        <v>39</v>
      </c>
      <c r="B1736" s="42" t="s">
        <v>155</v>
      </c>
      <c r="C1736" s="42" t="s">
        <v>168</v>
      </c>
      <c r="D1736" s="43" t="n">
        <v>1</v>
      </c>
      <c r="E1736" s="44" t="n">
        <v>122.601</v>
      </c>
      <c r="F1736" s="45" t="n">
        <v>122.601</v>
      </c>
      <c r="G1736" s="42" t="str">
        <f aca="false">INDEX(SETORES!$B:$B,MATCH(A1736,SETORES!$A:$A,0))</f>
        <v>Clientes</v>
      </c>
      <c r="H1736" s="42" t="s">
        <v>11</v>
      </c>
    </row>
    <row r="1737" customFormat="false" ht="14.25" hidden="false" customHeight="true" outlineLevel="0" collapsed="false">
      <c r="A1737" s="16" t="s">
        <v>39</v>
      </c>
      <c r="B1737" s="42" t="s">
        <v>157</v>
      </c>
      <c r="C1737" s="42" t="s">
        <v>175</v>
      </c>
      <c r="D1737" s="43" t="n">
        <v>1</v>
      </c>
      <c r="E1737" s="44" t="n">
        <v>496</v>
      </c>
      <c r="F1737" s="45" t="n">
        <f aca="false">IFERROR(D1737*E1737,0)</f>
        <v>496</v>
      </c>
      <c r="G1737" s="42" t="str">
        <f aca="false">INDEX(SETORES!$B:$B,MATCH(A1737,SETORES!$A:$A,0))</f>
        <v>Clientes</v>
      </c>
      <c r="H1737" s="42" t="s">
        <v>11</v>
      </c>
    </row>
    <row r="1738" customFormat="false" ht="14.25" hidden="false" customHeight="true" outlineLevel="0" collapsed="false">
      <c r="A1738" s="50" t="s">
        <v>39</v>
      </c>
      <c r="B1738" s="51" t="s">
        <v>157</v>
      </c>
      <c r="C1738" s="51" t="s">
        <v>176</v>
      </c>
      <c r="D1738" s="52" t="n">
        <v>1</v>
      </c>
      <c r="E1738" s="53" t="n">
        <v>65.33</v>
      </c>
      <c r="F1738" s="54" t="n">
        <f aca="false">IFERROR(D1738*E1738,0)</f>
        <v>65.33</v>
      </c>
      <c r="G1738" s="51" t="str">
        <f aca="false">INDEX(SETORES!$B:$B,MATCH(A1738,SETORES!$A:$A,0))</f>
        <v>Clientes</v>
      </c>
      <c r="H1738" s="51" t="s">
        <v>11</v>
      </c>
    </row>
    <row r="1739" customFormat="false" ht="14.25" hidden="false" customHeight="true" outlineLevel="0" collapsed="false">
      <c r="A1739" s="50" t="s">
        <v>39</v>
      </c>
      <c r="B1739" s="51" t="s">
        <v>155</v>
      </c>
      <c r="C1739" s="51" t="s">
        <v>169</v>
      </c>
      <c r="D1739" s="52" t="n">
        <v>1</v>
      </c>
      <c r="E1739" s="53" t="n">
        <v>44761.3</v>
      </c>
      <c r="F1739" s="54" t="n">
        <f aca="false">IFERROR(E1739,0)</f>
        <v>44761.3</v>
      </c>
      <c r="G1739" s="51" t="str">
        <f aca="false">INDEX(SETORES!$B:$B,MATCH(A1739,SETORES!$A:$A,0))</f>
        <v>Clientes</v>
      </c>
      <c r="H1739" s="51" t="s">
        <v>11</v>
      </c>
    </row>
    <row r="1740" customFormat="false" ht="14.25" hidden="false" customHeight="true" outlineLevel="0" collapsed="false">
      <c r="A1740" s="16" t="s">
        <v>39</v>
      </c>
      <c r="B1740" s="42" t="s">
        <v>155</v>
      </c>
      <c r="C1740" s="42" t="s">
        <v>170</v>
      </c>
      <c r="D1740" s="43" t="n">
        <v>14</v>
      </c>
      <c r="E1740" s="44" t="n">
        <v>9.85</v>
      </c>
      <c r="F1740" s="45" t="n">
        <f aca="false">IFERROR(D1740*E1740,0)</f>
        <v>137.9</v>
      </c>
      <c r="G1740" s="42" t="str">
        <f aca="false">INDEX(SETORES!$B:$B,MATCH(A1740,SETORES!$A:$A,0))</f>
        <v>Clientes</v>
      </c>
      <c r="H1740" s="42" t="s">
        <v>11</v>
      </c>
    </row>
    <row r="1741" customFormat="false" ht="14.25" hidden="false" customHeight="true" outlineLevel="0" collapsed="false">
      <c r="A1741" s="50" t="s">
        <v>39</v>
      </c>
      <c r="B1741" s="51" t="s">
        <v>155</v>
      </c>
      <c r="C1741" s="51" t="s">
        <v>181</v>
      </c>
      <c r="D1741" s="52" t="n">
        <v>1</v>
      </c>
      <c r="E1741" s="53" t="n">
        <v>2.937704</v>
      </c>
      <c r="F1741" s="54" t="n">
        <f aca="false">IFERROR(D1741*E1741,0)</f>
        <v>2.937704</v>
      </c>
      <c r="G1741" s="51" t="str">
        <f aca="false">INDEX(SETORES!$B:$B,MATCH(A1741,SETORES!$A:$A,0))</f>
        <v>Clientes</v>
      </c>
      <c r="H1741" s="51" t="s">
        <v>11</v>
      </c>
    </row>
    <row r="1742" customFormat="false" ht="14.25" hidden="false" customHeight="true" outlineLevel="0" collapsed="false">
      <c r="A1742" s="50" t="s">
        <v>39</v>
      </c>
      <c r="B1742" s="51" t="s">
        <v>155</v>
      </c>
      <c r="C1742" s="51" t="s">
        <v>172</v>
      </c>
      <c r="D1742" s="52" t="n">
        <v>11</v>
      </c>
      <c r="E1742" s="53" t="n">
        <v>50</v>
      </c>
      <c r="F1742" s="54" t="n">
        <f aca="false">IFERROR(D1742*E1742,0)</f>
        <v>550</v>
      </c>
      <c r="G1742" s="51" t="str">
        <f aca="false">INDEX(SETORES!$B:$B,MATCH(A1742,SETORES!$A:$A,0))</f>
        <v>Clientes</v>
      </c>
      <c r="H1742" s="51" t="s">
        <v>11</v>
      </c>
    </row>
    <row r="1743" customFormat="false" ht="14.25" hidden="false" customHeight="true" outlineLevel="0" collapsed="false">
      <c r="A1743" s="16" t="s">
        <v>39</v>
      </c>
      <c r="B1743" s="42" t="s">
        <v>155</v>
      </c>
      <c r="C1743" s="42" t="s">
        <v>177</v>
      </c>
      <c r="D1743" s="43" t="n">
        <v>14</v>
      </c>
      <c r="E1743" s="44" t="n">
        <v>0.2641</v>
      </c>
      <c r="F1743" s="45" t="n">
        <v>3.6974</v>
      </c>
      <c r="G1743" s="42" t="str">
        <f aca="false">INDEX(SETORES!$B:$B,MATCH(A1743,SETORES!$A:$A,0))</f>
        <v>Clientes</v>
      </c>
      <c r="H1743" s="42" t="s">
        <v>11</v>
      </c>
    </row>
    <row r="1744" customFormat="false" ht="14.25" hidden="false" customHeight="true" outlineLevel="0" collapsed="false">
      <c r="A1744" s="50" t="s">
        <v>39</v>
      </c>
      <c r="B1744" s="51" t="s">
        <v>155</v>
      </c>
      <c r="C1744" s="51" t="s">
        <v>178</v>
      </c>
      <c r="D1744" s="52" t="n">
        <v>1</v>
      </c>
      <c r="E1744" s="53" t="n">
        <v>861.934098</v>
      </c>
      <c r="F1744" s="54" t="n">
        <v>861.934098</v>
      </c>
      <c r="G1744" s="51" t="str">
        <f aca="false">INDEX(SETORES!$B:$B,MATCH(A1744,SETORES!$A:$A,0))</f>
        <v>Clientes</v>
      </c>
      <c r="H1744" s="51" t="s">
        <v>11</v>
      </c>
    </row>
    <row r="1745" customFormat="false" ht="14.25" hidden="false" customHeight="true" outlineLevel="0" collapsed="false">
      <c r="A1745" s="16" t="s">
        <v>39</v>
      </c>
      <c r="B1745" s="42" t="s">
        <v>157</v>
      </c>
      <c r="C1745" s="42" t="s">
        <v>158</v>
      </c>
      <c r="D1745" s="43"/>
      <c r="E1745" s="44"/>
      <c r="F1745" s="45" t="n">
        <f aca="false">IFERROR(D1745*E1745,0)</f>
        <v>0</v>
      </c>
      <c r="G1745" s="42" t="str">
        <f aca="false">INDEX(SETORES!$B:$B,MATCH(A1745,SETORES!$A:$A,0))</f>
        <v>Clientes</v>
      </c>
      <c r="H1745" s="42" t="s">
        <v>11</v>
      </c>
    </row>
    <row r="1746" customFormat="false" ht="14.25" hidden="false" customHeight="true" outlineLevel="0" collapsed="false">
      <c r="A1746" s="16" t="s">
        <v>39</v>
      </c>
      <c r="B1746" s="42" t="s">
        <v>155</v>
      </c>
      <c r="C1746" s="42" t="s">
        <v>238</v>
      </c>
      <c r="D1746" s="43" t="n">
        <v>1</v>
      </c>
      <c r="E1746" s="44" t="n">
        <v>1606.557372</v>
      </c>
      <c r="F1746" s="45" t="n">
        <f aca="false">IFERROR(D1746*E1746,0)</f>
        <v>1606.557372</v>
      </c>
      <c r="G1746" s="42" t="str">
        <f aca="false">INDEX(SETORES!$B:$B,MATCH(A1746,SETORES!$A:$A,0))</f>
        <v>Clientes</v>
      </c>
      <c r="H1746" s="42" t="s">
        <v>11</v>
      </c>
    </row>
    <row r="1747" customFormat="false" ht="14.25" hidden="false" customHeight="true" outlineLevel="0" collapsed="false">
      <c r="A1747" s="16" t="s">
        <v>39</v>
      </c>
      <c r="B1747" s="42" t="s">
        <v>155</v>
      </c>
      <c r="C1747" s="42" t="s">
        <v>239</v>
      </c>
      <c r="D1747" s="43" t="n">
        <v>1</v>
      </c>
      <c r="E1747" s="44" t="n">
        <v>636.081964</v>
      </c>
      <c r="F1747" s="45" t="n">
        <f aca="false">IFERROR(D1747*E1747,0)</f>
        <v>636.081964</v>
      </c>
      <c r="G1747" s="42" t="str">
        <f aca="false">INDEX(SETORES!$B:$B,MATCH(A1747,SETORES!$A:$A,0))</f>
        <v>Clientes</v>
      </c>
      <c r="H1747" s="42" t="s">
        <v>11</v>
      </c>
    </row>
    <row r="1748" customFormat="false" ht="14.25" hidden="false" customHeight="true" outlineLevel="0" collapsed="false">
      <c r="A1748" s="16" t="s">
        <v>39</v>
      </c>
      <c r="B1748" s="42" t="s">
        <v>155</v>
      </c>
      <c r="C1748" s="42" t="s">
        <v>182</v>
      </c>
      <c r="D1748" s="43" t="n">
        <v>1</v>
      </c>
      <c r="E1748" s="44" t="n">
        <v>774.799018</v>
      </c>
      <c r="F1748" s="45" t="n">
        <f aca="false">IFERROR(D1748*E1748,0)</f>
        <v>774.799018</v>
      </c>
      <c r="G1748" s="42" t="str">
        <f aca="false">INDEX(SETORES!$B:$B,MATCH(A1748,SETORES!$A:$A,0))</f>
        <v>Clientes</v>
      </c>
      <c r="H1748" s="42" t="s">
        <v>11</v>
      </c>
    </row>
    <row r="1749" customFormat="false" ht="14.25" hidden="false" customHeight="true" outlineLevel="0" collapsed="false">
      <c r="A1749" s="50" t="s">
        <v>39</v>
      </c>
      <c r="B1749" s="51" t="s">
        <v>155</v>
      </c>
      <c r="C1749" s="51" t="s">
        <v>173</v>
      </c>
      <c r="D1749" s="52" t="n">
        <v>14</v>
      </c>
      <c r="E1749" s="53" t="n">
        <v>2.04</v>
      </c>
      <c r="F1749" s="54" t="n">
        <f aca="false">IFERROR(D1749*E1749,0)</f>
        <v>28.56</v>
      </c>
      <c r="G1749" s="51" t="str">
        <f aca="false">INDEX(SETORES!$B:$B,MATCH(A1749,SETORES!$A:$A,0))</f>
        <v>Clientes</v>
      </c>
      <c r="H1749" s="51" t="s">
        <v>11</v>
      </c>
    </row>
    <row r="1750" customFormat="false" ht="14.25" hidden="false" customHeight="true" outlineLevel="0" collapsed="false">
      <c r="A1750" s="16" t="s">
        <v>39</v>
      </c>
      <c r="B1750" s="42" t="s">
        <v>155</v>
      </c>
      <c r="C1750" s="42" t="s">
        <v>179</v>
      </c>
      <c r="D1750" s="43"/>
      <c r="E1750" s="44"/>
      <c r="F1750" s="45" t="n">
        <f aca="false">IFERROR(D1750*E1750,0)</f>
        <v>0</v>
      </c>
      <c r="G1750" s="42" t="str">
        <f aca="false">INDEX(SETORES!$B:$B,MATCH(A1750,SETORES!$A:$A,0))</f>
        <v>Clientes</v>
      </c>
      <c r="H1750" s="42" t="s">
        <v>11</v>
      </c>
    </row>
    <row r="1751" customFormat="false" ht="14.25" hidden="false" customHeight="true" outlineLevel="0" collapsed="false">
      <c r="A1751" s="16" t="s">
        <v>32</v>
      </c>
      <c r="B1751" s="42" t="s">
        <v>155</v>
      </c>
      <c r="C1751" s="42" t="s">
        <v>227</v>
      </c>
      <c r="D1751" s="43"/>
      <c r="E1751" s="44"/>
      <c r="F1751" s="45" t="n">
        <f aca="false">IFERROR(D1751*E1751,0)</f>
        <v>0</v>
      </c>
      <c r="G1751" s="42" t="str">
        <f aca="false">INDEX(SETORES!$B:$B,MATCH(A1751,SETORES!$A:$A,0))</f>
        <v>Funcionários</v>
      </c>
      <c r="H1751" s="42" t="s">
        <v>11</v>
      </c>
    </row>
    <row r="1752" customFormat="false" ht="14.25" hidden="false" customHeight="true" outlineLevel="0" collapsed="false">
      <c r="A1752" s="50" t="s">
        <v>32</v>
      </c>
      <c r="B1752" s="51" t="s">
        <v>155</v>
      </c>
      <c r="C1752" s="51" t="s">
        <v>162</v>
      </c>
      <c r="D1752" s="52" t="n">
        <v>1</v>
      </c>
      <c r="E1752" s="53" t="n">
        <v>0.1</v>
      </c>
      <c r="F1752" s="54" t="n">
        <v>0.1</v>
      </c>
      <c r="G1752" s="51" t="str">
        <f aca="false">INDEX(SETORES!$B:$B,MATCH(A1752,SETORES!$A:$A,0))</f>
        <v>Funcionários</v>
      </c>
      <c r="H1752" s="51" t="s">
        <v>11</v>
      </c>
    </row>
    <row r="1753" customFormat="false" ht="14.25" hidden="false" customHeight="true" outlineLevel="0" collapsed="false">
      <c r="A1753" s="50" t="s">
        <v>32</v>
      </c>
      <c r="B1753" s="51" t="s">
        <v>155</v>
      </c>
      <c r="C1753" s="51" t="s">
        <v>163</v>
      </c>
      <c r="D1753" s="52" t="n">
        <v>3</v>
      </c>
      <c r="E1753" s="53" t="n">
        <v>30</v>
      </c>
      <c r="F1753" s="54" t="n">
        <f aca="false">IFERROR(D1753*E1753,0)</f>
        <v>90</v>
      </c>
      <c r="G1753" s="51" t="str">
        <f aca="false">INDEX(SETORES!$B:$B,MATCH(A1753,SETORES!$A:$A,0))</f>
        <v>Funcionários</v>
      </c>
      <c r="H1753" s="51" t="s">
        <v>11</v>
      </c>
    </row>
    <row r="1754" customFormat="false" ht="14.25" hidden="false" customHeight="true" outlineLevel="0" collapsed="false">
      <c r="A1754" s="16" t="s">
        <v>32</v>
      </c>
      <c r="B1754" s="42" t="s">
        <v>155</v>
      </c>
      <c r="C1754" s="42" t="s">
        <v>168</v>
      </c>
      <c r="D1754" s="43" t="n">
        <v>1</v>
      </c>
      <c r="E1754" s="44" t="n">
        <v>35.0289</v>
      </c>
      <c r="F1754" s="45" t="n">
        <v>35.0289</v>
      </c>
      <c r="G1754" s="42" t="str">
        <f aca="false">INDEX(SETORES!$B:$B,MATCH(A1754,SETORES!$A:$A,0))</f>
        <v>Funcionários</v>
      </c>
      <c r="H1754" s="42" t="s">
        <v>11</v>
      </c>
    </row>
    <row r="1755" customFormat="false" ht="14.25" hidden="false" customHeight="true" outlineLevel="0" collapsed="false">
      <c r="A1755" s="16" t="s">
        <v>32</v>
      </c>
      <c r="B1755" s="42" t="s">
        <v>157</v>
      </c>
      <c r="C1755" s="42" t="s">
        <v>228</v>
      </c>
      <c r="D1755" s="43"/>
      <c r="E1755" s="44"/>
      <c r="F1755" s="45" t="n">
        <f aca="false">IFERROR(D1755*E1755,0)</f>
        <v>0</v>
      </c>
      <c r="G1755" s="42" t="str">
        <f aca="false">INDEX(SETORES!$B:$B,MATCH(A1755,SETORES!$A:$A,0))</f>
        <v>Funcionários</v>
      </c>
      <c r="H1755" s="42" t="s">
        <v>11</v>
      </c>
    </row>
    <row r="1756" customFormat="false" ht="14.25" hidden="false" customHeight="true" outlineLevel="0" collapsed="false">
      <c r="A1756" s="50" t="s">
        <v>32</v>
      </c>
      <c r="B1756" s="51" t="s">
        <v>157</v>
      </c>
      <c r="C1756" s="51" t="s">
        <v>229</v>
      </c>
      <c r="D1756" s="52"/>
      <c r="E1756" s="53"/>
      <c r="F1756" s="54" t="n">
        <f aca="false">IFERROR(D1756*E1756,0)</f>
        <v>0</v>
      </c>
      <c r="G1756" s="51" t="str">
        <f aca="false">INDEX(SETORES!$B:$B,MATCH(A1756,SETORES!$A:$A,0))</f>
        <v>Funcionários</v>
      </c>
      <c r="H1756" s="51" t="s">
        <v>11</v>
      </c>
    </row>
    <row r="1757" customFormat="false" ht="14.25" hidden="false" customHeight="true" outlineLevel="0" collapsed="false">
      <c r="A1757" s="50" t="s">
        <v>32</v>
      </c>
      <c r="B1757" s="51" t="s">
        <v>155</v>
      </c>
      <c r="C1757" s="51" t="s">
        <v>169</v>
      </c>
      <c r="D1757" s="52" t="n">
        <v>1</v>
      </c>
      <c r="E1757" s="53" t="n">
        <v>26729.08</v>
      </c>
      <c r="F1757" s="54" t="n">
        <f aca="false">IFERROR(E1757,0)</f>
        <v>26729.08</v>
      </c>
      <c r="G1757" s="51" t="str">
        <f aca="false">INDEX(SETORES!$B:$B,MATCH(A1757,SETORES!$A:$A,0))</f>
        <v>Funcionários</v>
      </c>
      <c r="H1757" s="51" t="s">
        <v>11</v>
      </c>
    </row>
    <row r="1758" customFormat="false" ht="14.25" hidden="false" customHeight="true" outlineLevel="0" collapsed="false">
      <c r="A1758" s="16" t="s">
        <v>32</v>
      </c>
      <c r="B1758" s="42" t="s">
        <v>155</v>
      </c>
      <c r="C1758" s="42" t="s">
        <v>170</v>
      </c>
      <c r="D1758" s="43" t="n">
        <v>4</v>
      </c>
      <c r="E1758" s="44" t="n">
        <v>9.85</v>
      </c>
      <c r="F1758" s="45" t="n">
        <f aca="false">IFERROR(D1758*E1758,0)</f>
        <v>39.4</v>
      </c>
      <c r="G1758" s="42" t="str">
        <f aca="false">INDEX(SETORES!$B:$B,MATCH(A1758,SETORES!$A:$A,0))</f>
        <v>Funcionários</v>
      </c>
      <c r="H1758" s="42" t="s">
        <v>11</v>
      </c>
    </row>
    <row r="1759" customFormat="false" ht="14.25" hidden="false" customHeight="true" outlineLevel="0" collapsed="false">
      <c r="A1759" s="50" t="s">
        <v>32</v>
      </c>
      <c r="B1759" s="51" t="s">
        <v>155</v>
      </c>
      <c r="C1759" s="51" t="s">
        <v>183</v>
      </c>
      <c r="D1759" s="52" t="n">
        <v>1</v>
      </c>
      <c r="E1759" s="53" t="n">
        <v>4.545456</v>
      </c>
      <c r="F1759" s="54" t="n">
        <f aca="false">IFERROR(D1759*E1759,0)</f>
        <v>4.545456</v>
      </c>
      <c r="G1759" s="51" t="str">
        <f aca="false">INDEX(SETORES!$B:$B,MATCH(A1759,SETORES!$A:$A,0))</f>
        <v>Funcionários</v>
      </c>
      <c r="H1759" s="51" t="s">
        <v>11</v>
      </c>
    </row>
    <row r="1760" customFormat="false" ht="14.25" hidden="false" customHeight="true" outlineLevel="0" collapsed="false">
      <c r="A1760" s="16" t="s">
        <v>32</v>
      </c>
      <c r="B1760" s="42" t="s">
        <v>155</v>
      </c>
      <c r="C1760" s="42" t="s">
        <v>172</v>
      </c>
      <c r="D1760" s="43" t="n">
        <v>4</v>
      </c>
      <c r="E1760" s="44" t="n">
        <v>50</v>
      </c>
      <c r="F1760" s="45" t="n">
        <f aca="false">IFERROR(D1760*E1760,0)</f>
        <v>200</v>
      </c>
      <c r="G1760" s="42" t="str">
        <f aca="false">INDEX(SETORES!$B:$B,MATCH(A1760,SETORES!$A:$A,0))</f>
        <v>Funcionários</v>
      </c>
      <c r="H1760" s="42" t="s">
        <v>11</v>
      </c>
    </row>
    <row r="1761" customFormat="false" ht="14.25" hidden="false" customHeight="true" outlineLevel="0" collapsed="false">
      <c r="A1761" s="16" t="s">
        <v>32</v>
      </c>
      <c r="B1761" s="42" t="s">
        <v>155</v>
      </c>
      <c r="C1761" s="42" t="s">
        <v>177</v>
      </c>
      <c r="D1761" s="43"/>
      <c r="E1761" s="44"/>
      <c r="F1761" s="45" t="n">
        <v>0</v>
      </c>
      <c r="G1761" s="42" t="str">
        <f aca="false">INDEX(SETORES!$B:$B,MATCH(A1761,SETORES!$A:$A,0))</f>
        <v>Funcionários</v>
      </c>
      <c r="H1761" s="42" t="s">
        <v>11</v>
      </c>
    </row>
    <row r="1762" customFormat="false" ht="14.25" hidden="false" customHeight="true" outlineLevel="0" collapsed="false">
      <c r="A1762" s="50" t="s">
        <v>32</v>
      </c>
      <c r="B1762" s="51" t="s">
        <v>155</v>
      </c>
      <c r="C1762" s="51" t="s">
        <v>178</v>
      </c>
      <c r="D1762" s="52" t="n">
        <v>1</v>
      </c>
      <c r="E1762" s="53" t="n">
        <v>52.2</v>
      </c>
      <c r="F1762" s="54" t="n">
        <v>52.2</v>
      </c>
      <c r="G1762" s="51" t="str">
        <f aca="false">INDEX(SETORES!$B:$B,MATCH(A1762,SETORES!$A:$A,0))</f>
        <v>Funcionários</v>
      </c>
      <c r="H1762" s="51" t="s">
        <v>11</v>
      </c>
    </row>
    <row r="1763" customFormat="false" ht="14.25" hidden="false" customHeight="true" outlineLevel="0" collapsed="false">
      <c r="A1763" s="50" t="s">
        <v>32</v>
      </c>
      <c r="B1763" s="51" t="s">
        <v>155</v>
      </c>
      <c r="C1763" s="51" t="s">
        <v>230</v>
      </c>
      <c r="D1763" s="52"/>
      <c r="E1763" s="53"/>
      <c r="F1763" s="54" t="n">
        <f aca="false">IFERROR(D1763*E1763,0)</f>
        <v>0</v>
      </c>
      <c r="G1763" s="51" t="str">
        <f aca="false">INDEX(SETORES!$B:$B,MATCH(A1763,SETORES!$A:$A,0))</f>
        <v>Funcionários</v>
      </c>
      <c r="H1763" s="51" t="s">
        <v>11</v>
      </c>
    </row>
    <row r="1764" customFormat="false" ht="14.25" hidden="false" customHeight="true" outlineLevel="0" collapsed="false">
      <c r="A1764" s="16" t="s">
        <v>32</v>
      </c>
      <c r="B1764" s="42" t="s">
        <v>155</v>
      </c>
      <c r="C1764" s="42" t="s">
        <v>231</v>
      </c>
      <c r="D1764" s="43" t="n">
        <v>1</v>
      </c>
      <c r="E1764" s="44" t="n">
        <v>2000</v>
      </c>
      <c r="F1764" s="45" t="n">
        <f aca="false">IFERROR(D1764*E1764,0)</f>
        <v>2000</v>
      </c>
      <c r="G1764" s="51" t="s">
        <v>99</v>
      </c>
      <c r="H1764" s="42" t="s">
        <v>11</v>
      </c>
    </row>
    <row r="1765" customFormat="false" ht="14.25" hidden="false" customHeight="true" outlineLevel="0" collapsed="false">
      <c r="A1765" s="50" t="s">
        <v>32</v>
      </c>
      <c r="B1765" s="51" t="s">
        <v>157</v>
      </c>
      <c r="C1765" s="51" t="s">
        <v>232</v>
      </c>
      <c r="D1765" s="52"/>
      <c r="E1765" s="53"/>
      <c r="F1765" s="54" t="n">
        <f aca="false">IFERROR(D1765*E1765,0)</f>
        <v>0</v>
      </c>
      <c r="G1765" s="51" t="str">
        <f aca="false">INDEX(SETORES!$B:$B,MATCH(A1765,SETORES!$A:$A,0))</f>
        <v>Funcionários</v>
      </c>
      <c r="H1765" s="51" t="s">
        <v>11</v>
      </c>
    </row>
    <row r="1766" customFormat="false" ht="14.25" hidden="false" customHeight="true" outlineLevel="0" collapsed="false">
      <c r="A1766" s="50" t="s">
        <v>32</v>
      </c>
      <c r="B1766" s="51" t="s">
        <v>157</v>
      </c>
      <c r="C1766" s="51" t="s">
        <v>158</v>
      </c>
      <c r="D1766" s="52"/>
      <c r="E1766" s="53"/>
      <c r="F1766" s="54" t="n">
        <f aca="false">IFERROR(D1766*E1766,0)</f>
        <v>0</v>
      </c>
      <c r="G1766" s="51" t="str">
        <f aca="false">INDEX(SETORES!$B:$B,MATCH(A1766,SETORES!$A:$A,0))</f>
        <v>Funcionários</v>
      </c>
      <c r="H1766" s="51" t="s">
        <v>11</v>
      </c>
    </row>
    <row r="1767" customFormat="false" ht="14.25" hidden="false" customHeight="true" outlineLevel="0" collapsed="false">
      <c r="A1767" s="16" t="s">
        <v>32</v>
      </c>
      <c r="B1767" s="42" t="s">
        <v>155</v>
      </c>
      <c r="C1767" s="42" t="s">
        <v>233</v>
      </c>
      <c r="D1767" s="43" t="n">
        <v>1</v>
      </c>
      <c r="E1767" s="44" t="n">
        <v>2500</v>
      </c>
      <c r="F1767" s="45" t="n">
        <f aca="false">IFERROR(D1767*E1767,0)</f>
        <v>2500</v>
      </c>
      <c r="G1767" s="51" t="s">
        <v>99</v>
      </c>
      <c r="H1767" s="42" t="s">
        <v>11</v>
      </c>
    </row>
    <row r="1768" customFormat="false" ht="14.25" hidden="false" customHeight="true" outlineLevel="0" collapsed="false">
      <c r="A1768" s="50" t="s">
        <v>32</v>
      </c>
      <c r="B1768" s="51" t="s">
        <v>155</v>
      </c>
      <c r="C1768" s="51" t="s">
        <v>234</v>
      </c>
      <c r="D1768" s="52" t="n">
        <v>1</v>
      </c>
      <c r="E1768" s="53" t="n">
        <v>2612.9</v>
      </c>
      <c r="F1768" s="45" t="n">
        <f aca="false">IFERROR(D1768*E1768,0)</f>
        <v>2612.9</v>
      </c>
      <c r="G1768" s="51" t="s">
        <v>99</v>
      </c>
      <c r="H1768" s="51" t="s">
        <v>11</v>
      </c>
    </row>
    <row r="1769" customFormat="false" ht="14.25" hidden="false" customHeight="true" outlineLevel="0" collapsed="false">
      <c r="A1769" s="50" t="s">
        <v>32</v>
      </c>
      <c r="B1769" s="51" t="s">
        <v>155</v>
      </c>
      <c r="C1769" s="51" t="s">
        <v>173</v>
      </c>
      <c r="D1769" s="52" t="n">
        <v>4</v>
      </c>
      <c r="E1769" s="53" t="n">
        <v>2.04</v>
      </c>
      <c r="F1769" s="54" t="n">
        <f aca="false">IFERROR(D1769*E1769,0)</f>
        <v>8.16</v>
      </c>
      <c r="G1769" s="51" t="str">
        <f aca="false">INDEX(SETORES!$B:$B,MATCH(A1769,SETORES!$A:$A,0))</f>
        <v>Funcionários</v>
      </c>
      <c r="H1769" s="51" t="s">
        <v>11</v>
      </c>
    </row>
    <row r="1770" customFormat="false" ht="14.25" hidden="false" customHeight="true" outlineLevel="0" collapsed="false">
      <c r="A1770" s="16" t="s">
        <v>32</v>
      </c>
      <c r="B1770" s="42" t="s">
        <v>155</v>
      </c>
      <c r="C1770" s="42" t="s">
        <v>179</v>
      </c>
      <c r="D1770" s="43"/>
      <c r="E1770" s="44"/>
      <c r="F1770" s="45" t="n">
        <f aca="false">IFERROR(D1770*E1770,0)</f>
        <v>0</v>
      </c>
      <c r="G1770" s="42" t="str">
        <f aca="false">INDEX(SETORES!$B:$B,MATCH(A1770,SETORES!$A:$A,0))</f>
        <v>Funcionários</v>
      </c>
      <c r="H1770" s="42" t="s">
        <v>11</v>
      </c>
    </row>
    <row r="1771" customFormat="false" ht="14.25" hidden="false" customHeight="true" outlineLevel="0" collapsed="false">
      <c r="A1771" s="16" t="s">
        <v>32</v>
      </c>
      <c r="B1771" s="42" t="s">
        <v>155</v>
      </c>
      <c r="C1771" s="42" t="s">
        <v>235</v>
      </c>
      <c r="D1771" s="43" t="n">
        <v>1</v>
      </c>
      <c r="E1771" s="44" t="n">
        <v>1776.46</v>
      </c>
      <c r="F1771" s="45" t="n">
        <f aca="false">IFERROR(D1771*E1771,0)</f>
        <v>1776.46</v>
      </c>
      <c r="G1771" s="42" t="str">
        <f aca="false">INDEX(SETORES!$B:$B,MATCH(A1771,SETORES!$A:$A,0))</f>
        <v>Funcionários</v>
      </c>
      <c r="H1771" s="42" t="s">
        <v>11</v>
      </c>
    </row>
    <row r="1772" customFormat="false" ht="14.25" hidden="false" customHeight="true" outlineLevel="0" collapsed="false">
      <c r="A1772" s="16" t="s">
        <v>44</v>
      </c>
      <c r="B1772" s="42" t="s">
        <v>155</v>
      </c>
      <c r="C1772" s="42" t="s">
        <v>162</v>
      </c>
      <c r="D1772" s="43" t="n">
        <v>6</v>
      </c>
      <c r="E1772" s="44" t="n">
        <v>2.1332</v>
      </c>
      <c r="F1772" s="45" t="n">
        <v>1.8744</v>
      </c>
      <c r="G1772" s="42" t="str">
        <f aca="false">INDEX(SETORES!$B:$B,MATCH(A1772,SETORES!$A:$A,0))</f>
        <v>Funcionários</v>
      </c>
      <c r="H1772" s="42" t="s">
        <v>11</v>
      </c>
    </row>
    <row r="1773" customFormat="false" ht="14.25" hidden="false" customHeight="true" outlineLevel="0" collapsed="false">
      <c r="A1773" s="16" t="s">
        <v>44</v>
      </c>
      <c r="B1773" s="42" t="s">
        <v>155</v>
      </c>
      <c r="C1773" s="42" t="s">
        <v>163</v>
      </c>
      <c r="D1773" s="43" t="n">
        <v>4</v>
      </c>
      <c r="E1773" s="44" t="n">
        <v>30</v>
      </c>
      <c r="F1773" s="45" t="n">
        <v>120</v>
      </c>
      <c r="G1773" s="42" t="str">
        <f aca="false">INDEX(SETORES!$B:$B,MATCH(A1773,SETORES!$A:$A,0))</f>
        <v>Funcionários</v>
      </c>
      <c r="H1773" s="42" t="s">
        <v>11</v>
      </c>
    </row>
    <row r="1774" customFormat="false" ht="14.25" hidden="false" customHeight="true" outlineLevel="0" collapsed="false">
      <c r="A1774" s="16" t="s">
        <v>44</v>
      </c>
      <c r="B1774" s="42" t="s">
        <v>157</v>
      </c>
      <c r="C1774" s="42" t="s">
        <v>199</v>
      </c>
      <c r="D1774" s="43" t="n">
        <v>1</v>
      </c>
      <c r="E1774" s="44" t="n">
        <v>3191.63</v>
      </c>
      <c r="F1774" s="45" t="n">
        <v>3191.63</v>
      </c>
      <c r="G1774" s="42" t="str">
        <f aca="false">INDEX(SETORES!$B:$B,MATCH(A1774,SETORES!$A:$A,0))</f>
        <v>Funcionários</v>
      </c>
      <c r="H1774" s="42" t="s">
        <v>11</v>
      </c>
    </row>
    <row r="1775" customFormat="false" ht="14.25" hidden="false" customHeight="true" outlineLevel="0" collapsed="false">
      <c r="A1775" s="16" t="s">
        <v>44</v>
      </c>
      <c r="B1775" s="42" t="s">
        <v>155</v>
      </c>
      <c r="C1775" s="42" t="s">
        <v>168</v>
      </c>
      <c r="D1775" s="43" t="n">
        <v>6</v>
      </c>
      <c r="E1775" s="44" t="n">
        <v>162.5079</v>
      </c>
      <c r="F1775" s="45" t="n">
        <v>142.1262</v>
      </c>
      <c r="G1775" s="42" t="str">
        <f aca="false">INDEX(SETORES!$B:$B,MATCH(A1775,SETORES!$A:$A,0))</f>
        <v>Funcionários</v>
      </c>
      <c r="H1775" s="42" t="s">
        <v>11</v>
      </c>
    </row>
    <row r="1776" customFormat="false" ht="14.25" hidden="false" customHeight="true" outlineLevel="0" collapsed="false">
      <c r="A1776" s="50" t="s">
        <v>44</v>
      </c>
      <c r="B1776" s="51" t="s">
        <v>157</v>
      </c>
      <c r="C1776" s="51" t="s">
        <v>217</v>
      </c>
      <c r="D1776" s="52"/>
      <c r="E1776" s="53"/>
      <c r="F1776" s="54" t="n">
        <f aca="false">IFERROR(D1776*E1776,0)</f>
        <v>0</v>
      </c>
      <c r="G1776" s="51" t="str">
        <f aca="false">INDEX(SETORES!$B:$B,MATCH(A1776,SETORES!$A:$A,0))</f>
        <v>Funcionários</v>
      </c>
      <c r="H1776" s="51" t="s">
        <v>11</v>
      </c>
    </row>
    <row r="1777" customFormat="false" ht="14.25" hidden="false" customHeight="true" outlineLevel="0" collapsed="false">
      <c r="A1777" s="16" t="s">
        <v>44</v>
      </c>
      <c r="B1777" s="42" t="s">
        <v>157</v>
      </c>
      <c r="C1777" s="42" t="s">
        <v>174</v>
      </c>
      <c r="D1777" s="43"/>
      <c r="E1777" s="44"/>
      <c r="F1777" s="45" t="n">
        <v>0</v>
      </c>
      <c r="G1777" s="42" t="str">
        <f aca="false">INDEX(SETORES!$B:$B,MATCH(A1777,SETORES!$A:$A,0))</f>
        <v>Funcionários</v>
      </c>
      <c r="H1777" s="42" t="s">
        <v>11</v>
      </c>
    </row>
    <row r="1778" customFormat="false" ht="14.25" hidden="false" customHeight="true" outlineLevel="0" collapsed="false">
      <c r="A1778" s="50" t="s">
        <v>44</v>
      </c>
      <c r="B1778" s="51" t="s">
        <v>157</v>
      </c>
      <c r="C1778" s="51" t="s">
        <v>175</v>
      </c>
      <c r="D1778" s="52" t="n">
        <v>1</v>
      </c>
      <c r="E1778" s="53" t="n">
        <v>328</v>
      </c>
      <c r="F1778" s="54" t="n">
        <f aca="false">IFERROR(D1778*E1778,0)</f>
        <v>328</v>
      </c>
      <c r="G1778" s="51" t="str">
        <f aca="false">INDEX(SETORES!$B:$B,MATCH(A1778,SETORES!$A:$A,0))</f>
        <v>Funcionários</v>
      </c>
      <c r="H1778" s="51" t="s">
        <v>11</v>
      </c>
    </row>
    <row r="1779" customFormat="false" ht="14.25" hidden="false" customHeight="true" outlineLevel="0" collapsed="false">
      <c r="A1779" s="16" t="s">
        <v>44</v>
      </c>
      <c r="B1779" s="42" t="s">
        <v>157</v>
      </c>
      <c r="C1779" s="42" t="s">
        <v>176</v>
      </c>
      <c r="D1779" s="43"/>
      <c r="E1779" s="44"/>
      <c r="F1779" s="45" t="n">
        <f aca="false">IFERROR(D1779*E1779,0)</f>
        <v>0</v>
      </c>
      <c r="G1779" s="42" t="str">
        <f aca="false">INDEX(SETORES!$B:$B,MATCH(A1779,SETORES!$A:$A,0))</f>
        <v>Funcionários</v>
      </c>
      <c r="H1779" s="42" t="s">
        <v>11</v>
      </c>
    </row>
    <row r="1780" customFormat="false" ht="14.25" hidden="false" customHeight="true" outlineLevel="0" collapsed="false">
      <c r="A1780" s="16" t="s">
        <v>44</v>
      </c>
      <c r="B1780" s="42" t="s">
        <v>155</v>
      </c>
      <c r="C1780" s="42" t="s">
        <v>169</v>
      </c>
      <c r="D1780" s="43" t="n">
        <v>1</v>
      </c>
      <c r="E1780" s="44" t="n">
        <v>37889.97</v>
      </c>
      <c r="F1780" s="45" t="n">
        <f aca="false">IFERROR(E1780,0)</f>
        <v>37889.97</v>
      </c>
      <c r="G1780" s="42" t="str">
        <f aca="false">INDEX(SETORES!$B:$B,MATCH(A1780,SETORES!$A:$A,0))</f>
        <v>Funcionários</v>
      </c>
      <c r="H1780" s="42" t="s">
        <v>11</v>
      </c>
    </row>
    <row r="1781" customFormat="false" ht="14.25" hidden="false" customHeight="true" outlineLevel="0" collapsed="false">
      <c r="A1781" s="16" t="s">
        <v>44</v>
      </c>
      <c r="B1781" s="42" t="s">
        <v>155</v>
      </c>
      <c r="C1781" s="42" t="s">
        <v>170</v>
      </c>
      <c r="D1781" s="43" t="n">
        <v>6</v>
      </c>
      <c r="E1781" s="44" t="n">
        <v>9.85</v>
      </c>
      <c r="F1781" s="45" t="n">
        <f aca="false">IFERROR(D1781*E1781,0)</f>
        <v>59.1</v>
      </c>
      <c r="G1781" s="42" t="str">
        <f aca="false">INDEX(SETORES!$B:$B,MATCH(A1781,SETORES!$A:$A,0))</f>
        <v>Funcionários</v>
      </c>
      <c r="H1781" s="42" t="s">
        <v>11</v>
      </c>
    </row>
    <row r="1782" customFormat="false" ht="14.25" hidden="false" customHeight="true" outlineLevel="0" collapsed="false">
      <c r="A1782" s="50" t="s">
        <v>44</v>
      </c>
      <c r="B1782" s="51" t="s">
        <v>155</v>
      </c>
      <c r="C1782" s="51" t="s">
        <v>183</v>
      </c>
      <c r="D1782" s="52" t="n">
        <v>1</v>
      </c>
      <c r="E1782" s="53" t="n">
        <v>76.79</v>
      </c>
      <c r="F1782" s="54" t="n">
        <f aca="false">IFERROR(D1782*E1782,0)</f>
        <v>76.79</v>
      </c>
      <c r="G1782" s="51" t="str">
        <f aca="false">INDEX(SETORES!$B:$B,MATCH(A1782,SETORES!$A:$A,0))</f>
        <v>Funcionários</v>
      </c>
      <c r="H1782" s="51" t="s">
        <v>11</v>
      </c>
    </row>
    <row r="1783" customFormat="false" ht="14.25" hidden="false" customHeight="true" outlineLevel="0" collapsed="false">
      <c r="A1783" s="50" t="s">
        <v>44</v>
      </c>
      <c r="B1783" s="51" t="s">
        <v>155</v>
      </c>
      <c r="C1783" s="51" t="s">
        <v>172</v>
      </c>
      <c r="D1783" s="52" t="n">
        <v>9</v>
      </c>
      <c r="E1783" s="53" t="n">
        <v>50</v>
      </c>
      <c r="F1783" s="54" t="n">
        <f aca="false">IFERROR(D1783*E1783,0)</f>
        <v>450</v>
      </c>
      <c r="G1783" s="51" t="str">
        <f aca="false">INDEX(SETORES!$B:$B,MATCH(A1783,SETORES!$A:$A,0))</f>
        <v>Funcionários</v>
      </c>
      <c r="H1783" s="51" t="s">
        <v>11</v>
      </c>
    </row>
    <row r="1784" customFormat="false" ht="14.25" hidden="false" customHeight="true" outlineLevel="0" collapsed="false">
      <c r="A1784" s="16" t="s">
        <v>44</v>
      </c>
      <c r="B1784" s="42" t="s">
        <v>155</v>
      </c>
      <c r="C1784" s="42" t="s">
        <v>177</v>
      </c>
      <c r="D1784" s="43"/>
      <c r="E1784" s="44"/>
      <c r="F1784" s="45" t="n">
        <v>0</v>
      </c>
      <c r="G1784" s="42" t="str">
        <f aca="false">INDEX(SETORES!$B:$B,MATCH(A1784,SETORES!$A:$A,0))</f>
        <v>Funcionários</v>
      </c>
      <c r="H1784" s="42" t="s">
        <v>11</v>
      </c>
    </row>
    <row r="1785" customFormat="false" ht="14.25" hidden="false" customHeight="true" outlineLevel="0" collapsed="false">
      <c r="A1785" s="50" t="s">
        <v>44</v>
      </c>
      <c r="B1785" s="51" t="s">
        <v>155</v>
      </c>
      <c r="C1785" s="51" t="s">
        <v>178</v>
      </c>
      <c r="D1785" s="52"/>
      <c r="E1785" s="53"/>
      <c r="F1785" s="54" t="n">
        <v>0</v>
      </c>
      <c r="G1785" s="51" t="str">
        <f aca="false">INDEX(SETORES!$B:$B,MATCH(A1785,SETORES!$A:$A,0))</f>
        <v>Funcionários</v>
      </c>
      <c r="H1785" s="51" t="s">
        <v>11</v>
      </c>
    </row>
    <row r="1786" customFormat="false" ht="14.25" hidden="false" customHeight="true" outlineLevel="0" collapsed="false">
      <c r="A1786" s="16" t="s">
        <v>44</v>
      </c>
      <c r="B1786" s="42" t="s">
        <v>157</v>
      </c>
      <c r="C1786" s="42" t="s">
        <v>236</v>
      </c>
      <c r="D1786" s="43" t="n">
        <v>1</v>
      </c>
      <c r="E1786" s="44" t="n">
        <v>7689.5</v>
      </c>
      <c r="F1786" s="45" t="n">
        <f aca="false">IFERROR(D1786*E1786,0)</f>
        <v>7689.5</v>
      </c>
      <c r="G1786" s="42" t="str">
        <f aca="false">INDEX(SETORES!$B:$B,MATCH(A1786,SETORES!$A:$A,0))</f>
        <v>Funcionários</v>
      </c>
      <c r="H1786" s="42" t="s">
        <v>11</v>
      </c>
    </row>
    <row r="1787" customFormat="false" ht="14.25" hidden="false" customHeight="true" outlineLevel="0" collapsed="false">
      <c r="A1787" s="50" t="s">
        <v>44</v>
      </c>
      <c r="B1787" s="51" t="s">
        <v>157</v>
      </c>
      <c r="C1787" s="51" t="s">
        <v>184</v>
      </c>
      <c r="D1787" s="52" t="n">
        <v>8</v>
      </c>
      <c r="E1787" s="44" t="n">
        <v>67.41</v>
      </c>
      <c r="F1787" s="54" t="n">
        <f aca="false">IFERROR(D1787*E1787,0)</f>
        <v>539.28</v>
      </c>
      <c r="G1787" s="51" t="str">
        <f aca="false">INDEX(SETORES!$B:$B,MATCH(A1787,SETORES!$A:$A,0))</f>
        <v>Funcionários</v>
      </c>
      <c r="H1787" s="51" t="s">
        <v>11</v>
      </c>
    </row>
    <row r="1788" customFormat="false" ht="14.25" hidden="false" customHeight="true" outlineLevel="0" collapsed="false">
      <c r="A1788" s="50" t="s">
        <v>44</v>
      </c>
      <c r="B1788" s="51" t="s">
        <v>155</v>
      </c>
      <c r="C1788" s="51" t="s">
        <v>173</v>
      </c>
      <c r="D1788" s="52" t="n">
        <v>6</v>
      </c>
      <c r="E1788" s="53" t="n">
        <v>2.04</v>
      </c>
      <c r="F1788" s="54" t="n">
        <f aca="false">IFERROR(D1788*E1788,0)</f>
        <v>12.24</v>
      </c>
      <c r="G1788" s="51" t="str">
        <f aca="false">INDEX(SETORES!$B:$B,MATCH(A1788,SETORES!$A:$A,0))</f>
        <v>Funcionários</v>
      </c>
      <c r="H1788" s="51" t="s">
        <v>11</v>
      </c>
    </row>
    <row r="1789" customFormat="false" ht="14.25" hidden="false" customHeight="true" outlineLevel="0" collapsed="false">
      <c r="A1789" s="50" t="s">
        <v>44</v>
      </c>
      <c r="B1789" s="51" t="s">
        <v>155</v>
      </c>
      <c r="C1789" s="51" t="s">
        <v>179</v>
      </c>
      <c r="D1789" s="52"/>
      <c r="E1789" s="53"/>
      <c r="F1789" s="54" t="n">
        <f aca="false">IFERROR(D1789*E1789,0)</f>
        <v>0</v>
      </c>
      <c r="G1789" s="51" t="str">
        <f aca="false">INDEX(SETORES!$B:$B,MATCH(A1789,SETORES!$A:$A,0))</f>
        <v>Funcionários</v>
      </c>
      <c r="H1789" s="51" t="s">
        <v>11</v>
      </c>
    </row>
    <row r="1790" customFormat="false" ht="14.25" hidden="false" customHeight="true" outlineLevel="0" collapsed="false">
      <c r="A1790" s="50" t="s">
        <v>139</v>
      </c>
      <c r="B1790" s="51" t="s">
        <v>155</v>
      </c>
      <c r="C1790" s="51" t="s">
        <v>205</v>
      </c>
      <c r="D1790" s="52" t="n">
        <v>1</v>
      </c>
      <c r="E1790" s="53" t="n">
        <v>1075.38</v>
      </c>
      <c r="F1790" s="54" t="n">
        <f aca="false">IFERROR(D1790*E1790,0)</f>
        <v>1075.38</v>
      </c>
      <c r="G1790" s="51" t="str">
        <f aca="false">INDEX(SETORES!$B:$B,MATCH(A1790,SETORES!$A:$A,0))</f>
        <v>Funcionários</v>
      </c>
      <c r="H1790" s="51" t="s">
        <v>11</v>
      </c>
    </row>
    <row r="1791" customFormat="false" ht="14.25" hidden="false" customHeight="true" outlineLevel="0" collapsed="false">
      <c r="A1791" s="50" t="s">
        <v>139</v>
      </c>
      <c r="B1791" s="51" t="s">
        <v>155</v>
      </c>
      <c r="C1791" s="51" t="s">
        <v>165</v>
      </c>
      <c r="D1791" s="52" t="n">
        <v>6</v>
      </c>
      <c r="E1791" s="44" t="n">
        <v>51.12</v>
      </c>
      <c r="F1791" s="54" t="n">
        <f aca="false">IFERROR(D1791*E1791,0)</f>
        <v>306.72</v>
      </c>
      <c r="G1791" s="51" t="s">
        <v>99</v>
      </c>
      <c r="H1791" s="42" t="s">
        <v>11</v>
      </c>
    </row>
    <row r="1792" customFormat="false" ht="14.25" hidden="false" customHeight="true" outlineLevel="0" collapsed="false">
      <c r="A1792" s="50" t="s">
        <v>139</v>
      </c>
      <c r="B1792" s="51" t="s">
        <v>155</v>
      </c>
      <c r="C1792" s="51" t="s">
        <v>166</v>
      </c>
      <c r="D1792" s="52" t="n">
        <v>6</v>
      </c>
      <c r="E1792" s="53" t="n">
        <v>31.33</v>
      </c>
      <c r="F1792" s="45" t="n">
        <f aca="false">IFERROR(D1792*E1792,0)</f>
        <v>187.98</v>
      </c>
      <c r="G1792" s="51" t="s">
        <v>99</v>
      </c>
      <c r="H1792" s="42" t="s">
        <v>11</v>
      </c>
    </row>
    <row r="1793" customFormat="false" ht="14.25" hidden="false" customHeight="true" outlineLevel="0" collapsed="false">
      <c r="A1793" s="50" t="s">
        <v>139</v>
      </c>
      <c r="B1793" s="51" t="s">
        <v>155</v>
      </c>
      <c r="C1793" s="51" t="s">
        <v>167</v>
      </c>
      <c r="D1793" s="52" t="n">
        <v>6</v>
      </c>
      <c r="E1793" s="44" t="n">
        <v>63.75</v>
      </c>
      <c r="F1793" s="54" t="n">
        <f aca="false">IFERROR(D1793*E1793,0)</f>
        <v>382.5</v>
      </c>
      <c r="G1793" s="51" t="s">
        <v>99</v>
      </c>
      <c r="H1793" s="42" t="s">
        <v>11</v>
      </c>
    </row>
    <row r="1794" customFormat="false" ht="14.25" hidden="false" customHeight="true" outlineLevel="0" collapsed="false">
      <c r="A1794" s="16" t="s">
        <v>139</v>
      </c>
      <c r="B1794" s="42" t="s">
        <v>155</v>
      </c>
      <c r="C1794" s="42" t="s">
        <v>169</v>
      </c>
      <c r="D1794" s="43" t="n">
        <v>1</v>
      </c>
      <c r="E1794" s="44" t="n">
        <v>22017.33</v>
      </c>
      <c r="F1794" s="45" t="n">
        <v>22017.33</v>
      </c>
      <c r="G1794" s="42" t="str">
        <f aca="false">INDEX(SETORES!$B:$B,MATCH(A1794,SETORES!$A:$A,0))</f>
        <v>Funcionários</v>
      </c>
      <c r="H1794" s="42" t="s">
        <v>11</v>
      </c>
    </row>
    <row r="1795" customFormat="false" ht="14.25" hidden="false" customHeight="true" outlineLevel="0" collapsed="false">
      <c r="A1795" s="50" t="s">
        <v>139</v>
      </c>
      <c r="B1795" s="51" t="s">
        <v>155</v>
      </c>
      <c r="C1795" s="51" t="s">
        <v>170</v>
      </c>
      <c r="D1795" s="52" t="n">
        <v>6</v>
      </c>
      <c r="E1795" s="53" t="n">
        <v>9.85</v>
      </c>
      <c r="F1795" s="54" t="n">
        <f aca="false">IFERROR(D1795*E1795,0)</f>
        <v>59.1</v>
      </c>
      <c r="G1795" s="51" t="str">
        <f aca="false">INDEX(SETORES!$B:$B,MATCH(A1795,SETORES!$A:$A,0))</f>
        <v>Funcionários</v>
      </c>
      <c r="H1795" s="51" t="s">
        <v>11</v>
      </c>
    </row>
    <row r="1796" customFormat="false" ht="14.25" hidden="false" customHeight="true" outlineLevel="0" collapsed="false">
      <c r="A1796" s="16" t="s">
        <v>139</v>
      </c>
      <c r="B1796" s="42" t="s">
        <v>155</v>
      </c>
      <c r="C1796" s="42" t="s">
        <v>173</v>
      </c>
      <c r="D1796" s="43" t="n">
        <v>6</v>
      </c>
      <c r="E1796" s="44" t="n">
        <v>2.04</v>
      </c>
      <c r="F1796" s="45" t="n">
        <f aca="false">IFERROR(D1796*E1796,0)</f>
        <v>12.24</v>
      </c>
      <c r="G1796" s="42" t="str">
        <f aca="false">INDEX(SETORES!$B:$B,MATCH(A1796,SETORES!$A:$A,0))</f>
        <v>Funcionários</v>
      </c>
      <c r="H1796" s="42" t="s">
        <v>11</v>
      </c>
    </row>
    <row r="1797" customFormat="false" ht="14.25" hidden="false" customHeight="true" outlineLevel="0" collapsed="false">
      <c r="A1797" s="16" t="s">
        <v>53</v>
      </c>
      <c r="B1797" s="42" t="s">
        <v>155</v>
      </c>
      <c r="C1797" s="42" t="s">
        <v>162</v>
      </c>
      <c r="D1797" s="43" t="n">
        <v>1</v>
      </c>
      <c r="E1797" s="44" t="n">
        <v>0.8</v>
      </c>
      <c r="F1797" s="45" t="n">
        <v>0.8</v>
      </c>
      <c r="G1797" s="42" t="str">
        <f aca="false">INDEX(SETORES!$B:$B,MATCH(A1797,SETORES!$A:$A,0))</f>
        <v>Clientes</v>
      </c>
      <c r="H1797" s="42" t="s">
        <v>11</v>
      </c>
    </row>
    <row r="1798" customFormat="false" ht="14.25" hidden="false" customHeight="true" outlineLevel="0" collapsed="false">
      <c r="A1798" s="50" t="s">
        <v>53</v>
      </c>
      <c r="B1798" s="51" t="s">
        <v>157</v>
      </c>
      <c r="C1798" s="51" t="s">
        <v>199</v>
      </c>
      <c r="D1798" s="52"/>
      <c r="E1798" s="53"/>
      <c r="F1798" s="54" t="n">
        <f aca="false">IFERROR(D1798*E1798,0)</f>
        <v>0</v>
      </c>
      <c r="G1798" s="51" t="str">
        <f aca="false">INDEX(SETORES!$B:$B,MATCH(A1798,SETORES!$A:$A,0))</f>
        <v>Clientes</v>
      </c>
      <c r="H1798" s="51" t="s">
        <v>11</v>
      </c>
    </row>
    <row r="1799" customFormat="false" ht="14.25" hidden="false" customHeight="true" outlineLevel="0" collapsed="false">
      <c r="A1799" s="16" t="s">
        <v>53</v>
      </c>
      <c r="B1799" s="42" t="s">
        <v>155</v>
      </c>
      <c r="C1799" s="42" t="s">
        <v>180</v>
      </c>
      <c r="D1799" s="43" t="n">
        <v>1</v>
      </c>
      <c r="E1799" s="44" t="n">
        <v>2228.8</v>
      </c>
      <c r="F1799" s="45" t="n">
        <f aca="false">IFERROR(D1799*E1799,0)</f>
        <v>2228.8</v>
      </c>
      <c r="G1799" s="42" t="str">
        <f aca="false">INDEX(SETORES!$B:$B,MATCH(A1799,SETORES!$A:$A,0))</f>
        <v>Clientes</v>
      </c>
      <c r="H1799" s="42" t="s">
        <v>11</v>
      </c>
    </row>
    <row r="1800" customFormat="false" ht="14.25" hidden="false" customHeight="true" outlineLevel="0" collapsed="false">
      <c r="A1800" s="55" t="s">
        <v>53</v>
      </c>
      <c r="B1800" s="56" t="s">
        <v>155</v>
      </c>
      <c r="C1800" s="56" t="s">
        <v>168</v>
      </c>
      <c r="D1800" s="57" t="n">
        <v>1</v>
      </c>
      <c r="E1800" s="58" t="n">
        <v>280.2309</v>
      </c>
      <c r="F1800" s="59" t="n">
        <v>280.2309</v>
      </c>
      <c r="G1800" s="56" t="str">
        <f aca="false">INDEX(SETORES!$B:$B,MATCH(A1800,SETORES!$A:$A,0))</f>
        <v>Clientes</v>
      </c>
      <c r="H1800" s="56" t="s">
        <v>11</v>
      </c>
    </row>
    <row r="1801" customFormat="false" ht="14.25" hidden="false" customHeight="true" outlineLevel="0" collapsed="false">
      <c r="A1801" s="60" t="s">
        <v>53</v>
      </c>
      <c r="B1801" s="61" t="s">
        <v>157</v>
      </c>
      <c r="C1801" s="61" t="s">
        <v>174</v>
      </c>
      <c r="D1801" s="62" t="n">
        <v>1</v>
      </c>
      <c r="E1801" s="63" t="n">
        <v>6245.8</v>
      </c>
      <c r="F1801" s="64" t="n">
        <f aca="false">IFERROR(D1801*E1801,0)</f>
        <v>6245.8</v>
      </c>
      <c r="G1801" s="61" t="str">
        <f aca="false">INDEX(SETORES!$B:$B,MATCH(A1801,SETORES!$A:$A,0))</f>
        <v>Clientes</v>
      </c>
      <c r="H1801" s="42" t="s">
        <v>11</v>
      </c>
    </row>
    <row r="1802" customFormat="false" ht="14.25" hidden="false" customHeight="true" outlineLevel="0" collapsed="false">
      <c r="A1802" s="60" t="s">
        <v>53</v>
      </c>
      <c r="B1802" s="61" t="s">
        <v>155</v>
      </c>
      <c r="C1802" s="61" t="s">
        <v>169</v>
      </c>
      <c r="D1802" s="62" t="n">
        <v>1</v>
      </c>
      <c r="E1802" s="63" t="n">
        <v>101577.79</v>
      </c>
      <c r="F1802" s="64" t="n">
        <f aca="false">IFERROR(E1802,0)</f>
        <v>101577.79</v>
      </c>
      <c r="G1802" s="61" t="str">
        <f aca="false">INDEX(SETORES!$B:$B,MATCH(A1802,SETORES!$A:$A,0))</f>
        <v>Clientes</v>
      </c>
      <c r="H1802" s="61" t="s">
        <v>11</v>
      </c>
    </row>
    <row r="1803" customFormat="false" ht="14.25" hidden="false" customHeight="true" outlineLevel="0" collapsed="false">
      <c r="A1803" s="60" t="s">
        <v>53</v>
      </c>
      <c r="B1803" s="61" t="s">
        <v>155</v>
      </c>
      <c r="C1803" s="61" t="s">
        <v>170</v>
      </c>
      <c r="D1803" s="62" t="n">
        <v>32</v>
      </c>
      <c r="E1803" s="63" t="n">
        <v>9.85</v>
      </c>
      <c r="F1803" s="64" t="n">
        <f aca="false">IFERROR(D1803*E1803,0)</f>
        <v>315.2</v>
      </c>
      <c r="G1803" s="61" t="str">
        <f aca="false">INDEX(SETORES!$B:$B,MATCH(A1803,SETORES!$A:$A,0))</f>
        <v>Clientes</v>
      </c>
      <c r="H1803" s="61" t="s">
        <v>11</v>
      </c>
    </row>
    <row r="1804" customFormat="false" ht="14.25" hidden="false" customHeight="true" outlineLevel="0" collapsed="false">
      <c r="A1804" s="55" t="s">
        <v>53</v>
      </c>
      <c r="B1804" s="56" t="s">
        <v>155</v>
      </c>
      <c r="C1804" s="56" t="s">
        <v>181</v>
      </c>
      <c r="D1804" s="57" t="n">
        <v>1</v>
      </c>
      <c r="E1804" s="58" t="n">
        <v>6.714752</v>
      </c>
      <c r="F1804" s="59" t="n">
        <f aca="false">IFERROR(D1804*E1804,0)</f>
        <v>6.714752</v>
      </c>
      <c r="G1804" s="56" t="str">
        <f aca="false">INDEX(SETORES!$B:$B,MATCH(A1804,SETORES!$A:$A,0))</f>
        <v>Clientes</v>
      </c>
      <c r="H1804" s="56" t="s">
        <v>11</v>
      </c>
    </row>
    <row r="1805" customFormat="false" ht="14.25" hidden="false" customHeight="true" outlineLevel="0" collapsed="false">
      <c r="A1805" s="55" t="s">
        <v>53</v>
      </c>
      <c r="B1805" s="56" t="s">
        <v>155</v>
      </c>
      <c r="C1805" s="56" t="s">
        <v>172</v>
      </c>
      <c r="D1805" s="57" t="n">
        <v>33</v>
      </c>
      <c r="E1805" s="58" t="n">
        <v>50</v>
      </c>
      <c r="F1805" s="59" t="n">
        <f aca="false">IFERROR(D1805*E1805,0)</f>
        <v>1650</v>
      </c>
      <c r="G1805" s="56" t="str">
        <f aca="false">INDEX(SETORES!$B:$B,MATCH(A1805,SETORES!$A:$A,0))</f>
        <v>Clientes</v>
      </c>
      <c r="H1805" s="56" t="s">
        <v>11</v>
      </c>
    </row>
    <row r="1806" customFormat="false" ht="14.25" hidden="false" customHeight="true" outlineLevel="0" collapsed="false">
      <c r="A1806" s="55" t="s">
        <v>53</v>
      </c>
      <c r="B1806" s="56" t="s">
        <v>155</v>
      </c>
      <c r="C1806" s="56" t="s">
        <v>177</v>
      </c>
      <c r="D1806" s="57" t="n">
        <v>32</v>
      </c>
      <c r="E1806" s="58" t="n">
        <v>0.2641</v>
      </c>
      <c r="F1806" s="59" t="n">
        <v>8.4512</v>
      </c>
      <c r="G1806" s="56" t="str">
        <f aca="false">INDEX(SETORES!$B:$B,MATCH(A1806,SETORES!$A:$A,0))</f>
        <v>Clientes</v>
      </c>
      <c r="H1806" s="56" t="s">
        <v>11</v>
      </c>
    </row>
    <row r="1807" customFormat="false" ht="14.25" hidden="false" customHeight="true" outlineLevel="0" collapsed="false">
      <c r="A1807" s="60" t="s">
        <v>53</v>
      </c>
      <c r="B1807" s="61" t="s">
        <v>155</v>
      </c>
      <c r="C1807" s="61" t="s">
        <v>178</v>
      </c>
      <c r="D1807" s="62" t="n">
        <v>1</v>
      </c>
      <c r="E1807" s="63" t="n">
        <v>1970.135082</v>
      </c>
      <c r="F1807" s="64" t="n">
        <v>1970.135082</v>
      </c>
      <c r="G1807" s="61" t="str">
        <f aca="false">INDEX(SETORES!$B:$B,MATCH(A1807,SETORES!$A:$A,0))</f>
        <v>Clientes</v>
      </c>
      <c r="H1807" s="42" t="s">
        <v>11</v>
      </c>
    </row>
    <row r="1808" customFormat="false" ht="14.25" hidden="false" customHeight="true" outlineLevel="0" collapsed="false">
      <c r="A1808" s="16" t="s">
        <v>53</v>
      </c>
      <c r="B1808" s="42" t="s">
        <v>157</v>
      </c>
      <c r="C1808" s="42" t="s">
        <v>158</v>
      </c>
      <c r="D1808" s="43" t="n">
        <v>1</v>
      </c>
      <c r="E1808" s="44" t="n">
        <v>5707.48</v>
      </c>
      <c r="F1808" s="45" t="n">
        <f aca="false">IFERROR(D1808*E1808,0)</f>
        <v>5707.48</v>
      </c>
      <c r="G1808" s="42" t="str">
        <f aca="false">INDEX(SETORES!$B:$B,MATCH(A1808,SETORES!$A:$A,0))</f>
        <v>Clientes</v>
      </c>
      <c r="H1808" s="42" t="s">
        <v>11</v>
      </c>
    </row>
    <row r="1809" customFormat="false" ht="14.25" hidden="false" customHeight="true" outlineLevel="0" collapsed="false">
      <c r="A1809" s="16" t="s">
        <v>53</v>
      </c>
      <c r="B1809" s="42" t="s">
        <v>155</v>
      </c>
      <c r="C1809" s="42" t="s">
        <v>238</v>
      </c>
      <c r="D1809" s="43" t="n">
        <v>1</v>
      </c>
      <c r="E1809" s="44" t="n">
        <v>3672.131136</v>
      </c>
      <c r="F1809" s="45" t="n">
        <f aca="false">IFERROR(D1809*E1809,0)</f>
        <v>3672.131136</v>
      </c>
      <c r="G1809" s="42" t="str">
        <f aca="false">INDEX(SETORES!$B:$B,MATCH(A1809,SETORES!$A:$A,0))</f>
        <v>Clientes</v>
      </c>
      <c r="H1809" s="42" t="s">
        <v>11</v>
      </c>
    </row>
    <row r="1810" customFormat="false" ht="14.25" hidden="false" customHeight="true" outlineLevel="0" collapsed="false">
      <c r="A1810" s="16" t="s">
        <v>53</v>
      </c>
      <c r="B1810" s="42" t="s">
        <v>155</v>
      </c>
      <c r="C1810" s="42" t="s">
        <v>239</v>
      </c>
      <c r="D1810" s="43" t="n">
        <v>1</v>
      </c>
      <c r="E1810" s="44" t="n">
        <v>1453.901632</v>
      </c>
      <c r="F1810" s="45" t="n">
        <f aca="false">IFERROR(D1810*E1810,0)</f>
        <v>1453.901632</v>
      </c>
      <c r="G1810" s="42" t="str">
        <f aca="false">INDEX(SETORES!$B:$B,MATCH(A1810,SETORES!$A:$A,0))</f>
        <v>Clientes</v>
      </c>
      <c r="H1810" s="42" t="s">
        <v>11</v>
      </c>
    </row>
    <row r="1811" customFormat="false" ht="14.25" hidden="false" customHeight="true" outlineLevel="0" collapsed="false">
      <c r="A1811" s="16" t="s">
        <v>53</v>
      </c>
      <c r="B1811" s="42" t="s">
        <v>155</v>
      </c>
      <c r="C1811" s="42" t="s">
        <v>182</v>
      </c>
      <c r="D1811" s="43" t="n">
        <v>1</v>
      </c>
      <c r="E1811" s="44" t="n">
        <v>1770.969184</v>
      </c>
      <c r="F1811" s="45" t="n">
        <f aca="false">IFERROR(D1811*E1811,0)</f>
        <v>1770.969184</v>
      </c>
      <c r="G1811" s="42" t="str">
        <f aca="false">INDEX(SETORES!$B:$B,MATCH(A1811,SETORES!$A:$A,0))</f>
        <v>Clientes</v>
      </c>
      <c r="H1811" s="42" t="s">
        <v>11</v>
      </c>
    </row>
    <row r="1812" customFormat="false" ht="14.25" hidden="false" customHeight="true" outlineLevel="0" collapsed="false">
      <c r="A1812" s="50" t="s">
        <v>53</v>
      </c>
      <c r="B1812" s="51" t="s">
        <v>155</v>
      </c>
      <c r="C1812" s="51" t="s">
        <v>173</v>
      </c>
      <c r="D1812" s="52" t="n">
        <v>32</v>
      </c>
      <c r="E1812" s="53" t="n">
        <v>2.04</v>
      </c>
      <c r="F1812" s="54" t="n">
        <f aca="false">IFERROR(D1812*E1812,0)</f>
        <v>65.28</v>
      </c>
      <c r="G1812" s="51" t="str">
        <f aca="false">INDEX(SETORES!$B:$B,MATCH(A1812,SETORES!$A:$A,0))</f>
        <v>Clientes</v>
      </c>
      <c r="H1812" s="51" t="s">
        <v>11</v>
      </c>
    </row>
    <row r="1813" customFormat="false" ht="14.25" hidden="false" customHeight="true" outlineLevel="0" collapsed="false">
      <c r="A1813" s="50" t="s">
        <v>53</v>
      </c>
      <c r="B1813" s="51" t="s">
        <v>155</v>
      </c>
      <c r="C1813" s="51" t="s">
        <v>179</v>
      </c>
      <c r="D1813" s="52"/>
      <c r="E1813" s="53"/>
      <c r="F1813" s="54" t="n">
        <f aca="false">IFERROR(D1813*E1813,0)</f>
        <v>0</v>
      </c>
      <c r="G1813" s="51" t="str">
        <f aca="false">INDEX(SETORES!$B:$B,MATCH(A1813,SETORES!$A:$A,0))</f>
        <v>Clientes</v>
      </c>
      <c r="H1813" s="51" t="s">
        <v>11</v>
      </c>
    </row>
    <row r="1814" customFormat="false" ht="14.25" hidden="false" customHeight="true" outlineLevel="0" collapsed="false">
      <c r="A1814" s="50" t="s">
        <v>52</v>
      </c>
      <c r="B1814" s="51" t="s">
        <v>155</v>
      </c>
      <c r="C1814" s="51" t="s">
        <v>162</v>
      </c>
      <c r="D1814" s="52" t="n">
        <v>1</v>
      </c>
      <c r="E1814" s="53" t="n">
        <v>0.2</v>
      </c>
      <c r="F1814" s="54" t="n">
        <v>0.2</v>
      </c>
      <c r="G1814" s="51" t="str">
        <f aca="false">INDEX(SETORES!$B:$B,MATCH(A1814,SETORES!$A:$A,0))</f>
        <v>Clientes</v>
      </c>
      <c r="H1814" s="51" t="s">
        <v>11</v>
      </c>
    </row>
    <row r="1815" customFormat="false" ht="14.25" hidden="false" customHeight="true" outlineLevel="0" collapsed="false">
      <c r="A1815" s="50" t="s">
        <v>52</v>
      </c>
      <c r="B1815" s="51" t="s">
        <v>155</v>
      </c>
      <c r="C1815" s="51" t="s">
        <v>180</v>
      </c>
      <c r="D1815" s="52" t="n">
        <v>1</v>
      </c>
      <c r="E1815" s="53" t="n">
        <v>557.2</v>
      </c>
      <c r="F1815" s="54" t="n">
        <f aca="false">IFERROR(D1815*E1815,0)</f>
        <v>557.2</v>
      </c>
      <c r="G1815" s="51" t="str">
        <f aca="false">INDEX(SETORES!$B:$B,MATCH(A1815,SETORES!$A:$A,0))</f>
        <v>Clientes</v>
      </c>
      <c r="H1815" s="51" t="s">
        <v>11</v>
      </c>
    </row>
    <row r="1816" customFormat="false" ht="14.25" hidden="false" customHeight="true" outlineLevel="0" collapsed="false">
      <c r="A1816" s="16" t="s">
        <v>52</v>
      </c>
      <c r="B1816" s="42" t="s">
        <v>155</v>
      </c>
      <c r="C1816" s="42" t="s">
        <v>168</v>
      </c>
      <c r="D1816" s="43" t="n">
        <v>1</v>
      </c>
      <c r="E1816" s="44" t="n">
        <v>70.0577</v>
      </c>
      <c r="F1816" s="45" t="n">
        <v>70.0577</v>
      </c>
      <c r="G1816" s="42" t="str">
        <f aca="false">INDEX(SETORES!$B:$B,MATCH(A1816,SETORES!$A:$A,0))</f>
        <v>Clientes</v>
      </c>
      <c r="H1816" s="42" t="s">
        <v>11</v>
      </c>
    </row>
    <row r="1817" customFormat="false" ht="14.25" hidden="false" customHeight="true" outlineLevel="0" collapsed="false">
      <c r="A1817" s="50" t="s">
        <v>52</v>
      </c>
      <c r="B1817" s="51" t="s">
        <v>155</v>
      </c>
      <c r="C1817" s="51" t="s">
        <v>169</v>
      </c>
      <c r="D1817" s="52" t="n">
        <v>1</v>
      </c>
      <c r="E1817" s="53" t="n">
        <v>31846.16</v>
      </c>
      <c r="F1817" s="54" t="n">
        <f aca="false">IFERROR(E1817,0)</f>
        <v>31846.16</v>
      </c>
      <c r="G1817" s="51" t="str">
        <f aca="false">INDEX(SETORES!$B:$B,MATCH(A1817,SETORES!$A:$A,0))</f>
        <v>Clientes</v>
      </c>
      <c r="H1817" s="51" t="s">
        <v>11</v>
      </c>
    </row>
    <row r="1818" customFormat="false" ht="14.25" hidden="false" customHeight="true" outlineLevel="0" collapsed="false">
      <c r="A1818" s="50" t="s">
        <v>52</v>
      </c>
      <c r="B1818" s="51" t="s">
        <v>155</v>
      </c>
      <c r="C1818" s="51" t="s">
        <v>170</v>
      </c>
      <c r="D1818" s="52" t="n">
        <v>8</v>
      </c>
      <c r="E1818" s="53" t="n">
        <v>9.85</v>
      </c>
      <c r="F1818" s="54" t="n">
        <f aca="false">IFERROR(D1818*E1818,0)</f>
        <v>78.8</v>
      </c>
      <c r="G1818" s="51" t="str">
        <f aca="false">INDEX(SETORES!$B:$B,MATCH(A1818,SETORES!$A:$A,0))</f>
        <v>Clientes</v>
      </c>
      <c r="H1818" s="51" t="s">
        <v>11</v>
      </c>
    </row>
    <row r="1819" customFormat="false" ht="14.25" hidden="false" customHeight="true" outlineLevel="0" collapsed="false">
      <c r="A1819" s="16" t="s">
        <v>52</v>
      </c>
      <c r="B1819" s="42" t="s">
        <v>155</v>
      </c>
      <c r="C1819" s="42" t="s">
        <v>181</v>
      </c>
      <c r="D1819" s="43" t="n">
        <v>1</v>
      </c>
      <c r="E1819" s="44" t="n">
        <v>1.678688</v>
      </c>
      <c r="F1819" s="45" t="n">
        <f aca="false">IFERROR(D1819*E1819,0)</f>
        <v>1.678688</v>
      </c>
      <c r="G1819" s="42" t="str">
        <f aca="false">INDEX(SETORES!$B:$B,MATCH(A1819,SETORES!$A:$A,0))</f>
        <v>Clientes</v>
      </c>
      <c r="H1819" s="42" t="s">
        <v>11</v>
      </c>
    </row>
    <row r="1820" customFormat="false" ht="14.25" hidden="false" customHeight="true" outlineLevel="0" collapsed="false">
      <c r="A1820" s="16" t="s">
        <v>52</v>
      </c>
      <c r="B1820" s="42" t="s">
        <v>155</v>
      </c>
      <c r="C1820" s="42" t="s">
        <v>172</v>
      </c>
      <c r="D1820" s="43" t="n">
        <v>8</v>
      </c>
      <c r="E1820" s="44" t="n">
        <v>50</v>
      </c>
      <c r="F1820" s="45" t="n">
        <f aca="false">IFERROR(D1820*E1820,0)</f>
        <v>400</v>
      </c>
      <c r="G1820" s="42" t="str">
        <f aca="false">INDEX(SETORES!$B:$B,MATCH(A1820,SETORES!$A:$A,0))</f>
        <v>Clientes</v>
      </c>
      <c r="H1820" s="42" t="s">
        <v>11</v>
      </c>
    </row>
    <row r="1821" customFormat="false" ht="14.25" hidden="false" customHeight="true" outlineLevel="0" collapsed="false">
      <c r="A1821" s="16" t="s">
        <v>52</v>
      </c>
      <c r="B1821" s="42" t="s">
        <v>155</v>
      </c>
      <c r="C1821" s="42" t="s">
        <v>177</v>
      </c>
      <c r="D1821" s="43" t="n">
        <v>8</v>
      </c>
      <c r="E1821" s="44" t="n">
        <v>0.2641</v>
      </c>
      <c r="F1821" s="45" t="n">
        <v>2.1128</v>
      </c>
      <c r="G1821" s="42" t="str">
        <f aca="false">INDEX(SETORES!$B:$B,MATCH(A1821,SETORES!$A:$A,0))</f>
        <v>Clientes</v>
      </c>
      <c r="H1821" s="42" t="s">
        <v>11</v>
      </c>
    </row>
    <row r="1822" customFormat="false" ht="14.25" hidden="false" customHeight="true" outlineLevel="0" collapsed="false">
      <c r="A1822" s="50" t="s">
        <v>52</v>
      </c>
      <c r="B1822" s="51" t="s">
        <v>155</v>
      </c>
      <c r="C1822" s="51" t="s">
        <v>178</v>
      </c>
      <c r="D1822" s="52" t="n">
        <v>1</v>
      </c>
      <c r="E1822" s="53" t="n">
        <v>492.53377</v>
      </c>
      <c r="F1822" s="54" t="n">
        <v>492.53377</v>
      </c>
      <c r="G1822" s="51" t="str">
        <f aca="false">INDEX(SETORES!$B:$B,MATCH(A1822,SETORES!$A:$A,0))</f>
        <v>Clientes</v>
      </c>
      <c r="H1822" s="51" t="s">
        <v>11</v>
      </c>
    </row>
    <row r="1823" customFormat="false" ht="14.25" hidden="false" customHeight="true" outlineLevel="0" collapsed="false">
      <c r="A1823" s="50" t="s">
        <v>52</v>
      </c>
      <c r="B1823" s="51" t="s">
        <v>157</v>
      </c>
      <c r="C1823" s="51" t="s">
        <v>158</v>
      </c>
      <c r="D1823" s="52"/>
      <c r="E1823" s="53"/>
      <c r="F1823" s="54" t="n">
        <f aca="false">IFERROR(D1823*E1823,0)</f>
        <v>0</v>
      </c>
      <c r="G1823" s="51" t="str">
        <f aca="false">INDEX(SETORES!$B:$B,MATCH(A1823,SETORES!$A:$A,0))</f>
        <v>Clientes</v>
      </c>
      <c r="H1823" s="51" t="s">
        <v>11</v>
      </c>
    </row>
    <row r="1824" customFormat="false" ht="14.25" hidden="false" customHeight="true" outlineLevel="0" collapsed="false">
      <c r="A1824" s="50" t="s">
        <v>52</v>
      </c>
      <c r="B1824" s="51" t="s">
        <v>155</v>
      </c>
      <c r="C1824" s="51" t="s">
        <v>238</v>
      </c>
      <c r="D1824" s="52" t="n">
        <v>1</v>
      </c>
      <c r="E1824" s="53" t="n">
        <v>918.032784</v>
      </c>
      <c r="F1824" s="54" t="n">
        <f aca="false">IFERROR(D1824*E1824,0)</f>
        <v>918.032784</v>
      </c>
      <c r="G1824" s="51" t="str">
        <f aca="false">INDEX(SETORES!$B:$B,MATCH(A1824,SETORES!$A:$A,0))</f>
        <v>Clientes</v>
      </c>
      <c r="H1824" s="51" t="s">
        <v>11</v>
      </c>
    </row>
    <row r="1825" customFormat="false" ht="14.25" hidden="false" customHeight="true" outlineLevel="0" collapsed="false">
      <c r="A1825" s="50" t="s">
        <v>52</v>
      </c>
      <c r="B1825" s="51" t="s">
        <v>155</v>
      </c>
      <c r="C1825" s="51" t="s">
        <v>239</v>
      </c>
      <c r="D1825" s="52" t="n">
        <v>1</v>
      </c>
      <c r="E1825" s="53" t="n">
        <v>363.475408</v>
      </c>
      <c r="F1825" s="54" t="n">
        <f aca="false">IFERROR(D1825*E1825,0)</f>
        <v>363.475408</v>
      </c>
      <c r="G1825" s="51" t="str">
        <f aca="false">INDEX(SETORES!$B:$B,MATCH(A1825,SETORES!$A:$A,0))</f>
        <v>Clientes</v>
      </c>
      <c r="H1825" s="51" t="s">
        <v>11</v>
      </c>
    </row>
    <row r="1826" customFormat="false" ht="14.25" hidden="false" customHeight="true" outlineLevel="0" collapsed="false">
      <c r="A1826" s="50" t="s">
        <v>52</v>
      </c>
      <c r="B1826" s="51" t="s">
        <v>155</v>
      </c>
      <c r="C1826" s="51" t="s">
        <v>182</v>
      </c>
      <c r="D1826" s="52" t="n">
        <v>1</v>
      </c>
      <c r="E1826" s="53" t="n">
        <v>442.742296</v>
      </c>
      <c r="F1826" s="54" t="n">
        <f aca="false">IFERROR(D1826*E1826,0)</f>
        <v>442.742296</v>
      </c>
      <c r="G1826" s="51" t="str">
        <f aca="false">INDEX(SETORES!$B:$B,MATCH(A1826,SETORES!$A:$A,0))</f>
        <v>Clientes</v>
      </c>
      <c r="H1826" s="51" t="s">
        <v>11</v>
      </c>
    </row>
    <row r="1827" customFormat="false" ht="14.25" hidden="false" customHeight="true" outlineLevel="0" collapsed="false">
      <c r="A1827" s="16" t="s">
        <v>52</v>
      </c>
      <c r="B1827" s="42" t="s">
        <v>155</v>
      </c>
      <c r="C1827" s="42" t="s">
        <v>173</v>
      </c>
      <c r="D1827" s="43" t="n">
        <v>8</v>
      </c>
      <c r="E1827" s="44" t="n">
        <v>2.04</v>
      </c>
      <c r="F1827" s="45" t="n">
        <f aca="false">IFERROR(D1827*E1827,0)</f>
        <v>16.32</v>
      </c>
      <c r="G1827" s="42" t="str">
        <f aca="false">INDEX(SETORES!$B:$B,MATCH(A1827,SETORES!$A:$A,0))</f>
        <v>Clientes</v>
      </c>
      <c r="H1827" s="42" t="s">
        <v>11</v>
      </c>
    </row>
    <row r="1828" customFormat="false" ht="14.25" hidden="false" customHeight="true" outlineLevel="0" collapsed="false">
      <c r="A1828" s="16" t="s">
        <v>52</v>
      </c>
      <c r="B1828" s="42" t="s">
        <v>155</v>
      </c>
      <c r="C1828" s="42" t="s">
        <v>179</v>
      </c>
      <c r="D1828" s="43"/>
      <c r="E1828" s="44"/>
      <c r="F1828" s="45" t="n">
        <f aca="false">IFERROR(D1828*E1828,0)</f>
        <v>0</v>
      </c>
      <c r="G1828" s="42" t="str">
        <f aca="false">INDEX(SETORES!$B:$B,MATCH(A1828,SETORES!$A:$A,0))</f>
        <v>Clientes</v>
      </c>
      <c r="H1828" s="42" t="s">
        <v>11</v>
      </c>
    </row>
    <row r="1829" customFormat="false" ht="14.25" hidden="false" customHeight="true" outlineLevel="0" collapsed="false">
      <c r="A1829" s="50" t="s">
        <v>51</v>
      </c>
      <c r="B1829" s="51" t="s">
        <v>155</v>
      </c>
      <c r="C1829" s="51" t="s">
        <v>162</v>
      </c>
      <c r="D1829" s="52" t="n">
        <v>1</v>
      </c>
      <c r="E1829" s="53" t="n">
        <v>0.325</v>
      </c>
      <c r="F1829" s="54" t="n">
        <v>0.325</v>
      </c>
      <c r="G1829" s="51" t="str">
        <f aca="false">INDEX(SETORES!$B:$B,MATCH(A1829,SETORES!$A:$A,0))</f>
        <v>Clientes</v>
      </c>
      <c r="H1829" s="51" t="s">
        <v>11</v>
      </c>
    </row>
    <row r="1830" customFormat="false" ht="14.25" hidden="false" customHeight="true" outlineLevel="0" collapsed="false">
      <c r="A1830" s="16" t="s">
        <v>51</v>
      </c>
      <c r="B1830" s="42" t="s">
        <v>157</v>
      </c>
      <c r="C1830" s="42" t="s">
        <v>199</v>
      </c>
      <c r="D1830" s="43"/>
      <c r="E1830" s="44"/>
      <c r="F1830" s="45" t="n">
        <f aca="false">IFERROR(D1830*E1830,0)</f>
        <v>0</v>
      </c>
      <c r="G1830" s="42" t="str">
        <f aca="false">INDEX(SETORES!$B:$B,MATCH(A1830,SETORES!$A:$A,0))</f>
        <v>Clientes</v>
      </c>
      <c r="H1830" s="42" t="s">
        <v>11</v>
      </c>
    </row>
    <row r="1831" customFormat="false" ht="14.25" hidden="false" customHeight="true" outlineLevel="0" collapsed="false">
      <c r="A1831" s="50" t="s">
        <v>51</v>
      </c>
      <c r="B1831" s="51" t="s">
        <v>155</v>
      </c>
      <c r="C1831" s="51" t="s">
        <v>180</v>
      </c>
      <c r="D1831" s="52" t="n">
        <v>1</v>
      </c>
      <c r="E1831" s="53" t="n">
        <v>696.5</v>
      </c>
      <c r="F1831" s="54" t="n">
        <f aca="false">IFERROR(D1831*E1831,0)</f>
        <v>696.5</v>
      </c>
      <c r="G1831" s="51" t="str">
        <f aca="false">INDEX(SETORES!$B:$B,MATCH(A1831,SETORES!$A:$A,0))</f>
        <v>Clientes</v>
      </c>
      <c r="H1831" s="51" t="s">
        <v>11</v>
      </c>
    </row>
    <row r="1832" customFormat="false" ht="14.25" hidden="false" customHeight="true" outlineLevel="0" collapsed="false">
      <c r="A1832" s="16" t="s">
        <v>51</v>
      </c>
      <c r="B1832" s="42" t="s">
        <v>155</v>
      </c>
      <c r="C1832" s="42" t="s">
        <v>168</v>
      </c>
      <c r="D1832" s="43" t="n">
        <v>1</v>
      </c>
      <c r="E1832" s="44" t="n">
        <v>113.8438</v>
      </c>
      <c r="F1832" s="45" t="n">
        <v>113.8438</v>
      </c>
      <c r="G1832" s="42" t="str">
        <f aca="false">INDEX(SETORES!$B:$B,MATCH(A1832,SETORES!$A:$A,0))</f>
        <v>Clientes</v>
      </c>
      <c r="H1832" s="42" t="s">
        <v>11</v>
      </c>
    </row>
    <row r="1833" customFormat="false" ht="14.25" hidden="false" customHeight="true" outlineLevel="0" collapsed="false">
      <c r="A1833" s="50" t="s">
        <v>51</v>
      </c>
      <c r="B1833" s="51" t="s">
        <v>155</v>
      </c>
      <c r="C1833" s="51" t="s">
        <v>169</v>
      </c>
      <c r="D1833" s="52" t="n">
        <v>1</v>
      </c>
      <c r="E1833" s="53" t="n">
        <v>150112.883730445</v>
      </c>
      <c r="F1833" s="54" t="n">
        <v>150112.883730445</v>
      </c>
      <c r="G1833" s="51" t="str">
        <f aca="false">INDEX(SETORES!$B:$B,MATCH(A1833,SETORES!$A:$A,0))</f>
        <v>Clientes</v>
      </c>
      <c r="H1833" s="51" t="s">
        <v>11</v>
      </c>
    </row>
    <row r="1834" customFormat="false" ht="14.25" hidden="false" customHeight="true" outlineLevel="0" collapsed="false">
      <c r="A1834" s="50" t="s">
        <v>51</v>
      </c>
      <c r="B1834" s="51" t="s">
        <v>155</v>
      </c>
      <c r="C1834" s="51" t="s">
        <v>170</v>
      </c>
      <c r="D1834" s="52" t="n">
        <v>13</v>
      </c>
      <c r="E1834" s="53" t="n">
        <v>9.85</v>
      </c>
      <c r="F1834" s="54" t="n">
        <v>128.05</v>
      </c>
      <c r="G1834" s="51" t="str">
        <f aca="false">INDEX(SETORES!$B:$B,MATCH(A1834,SETORES!$A:$A,0))</f>
        <v>Clientes</v>
      </c>
      <c r="H1834" s="51" t="s">
        <v>11</v>
      </c>
    </row>
    <row r="1835" customFormat="false" ht="14.25" hidden="false" customHeight="true" outlineLevel="0" collapsed="false">
      <c r="A1835" s="50" t="s">
        <v>51</v>
      </c>
      <c r="B1835" s="51" t="s">
        <v>155</v>
      </c>
      <c r="C1835" s="51" t="s">
        <v>181</v>
      </c>
      <c r="D1835" s="52" t="n">
        <v>1</v>
      </c>
      <c r="E1835" s="53" t="n">
        <v>2.727868</v>
      </c>
      <c r="F1835" s="54" t="n">
        <f aca="false">IFERROR(D1835*E1835,0)</f>
        <v>2.727868</v>
      </c>
      <c r="G1835" s="51" t="str">
        <f aca="false">INDEX(SETORES!$B:$B,MATCH(A1835,SETORES!$A:$A,0))</f>
        <v>Clientes</v>
      </c>
      <c r="H1835" s="51" t="s">
        <v>11</v>
      </c>
    </row>
    <row r="1836" customFormat="false" ht="14.25" hidden="false" customHeight="true" outlineLevel="0" collapsed="false">
      <c r="A1836" s="16" t="s">
        <v>51</v>
      </c>
      <c r="B1836" s="42" t="s">
        <v>155</v>
      </c>
      <c r="C1836" s="42" t="s">
        <v>172</v>
      </c>
      <c r="D1836" s="43" t="n">
        <v>14</v>
      </c>
      <c r="E1836" s="44" t="n">
        <v>50</v>
      </c>
      <c r="F1836" s="45" t="n">
        <f aca="false">IFERROR(D1836*E1836,0)</f>
        <v>700</v>
      </c>
      <c r="G1836" s="42" t="str">
        <f aca="false">INDEX(SETORES!$B:$B,MATCH(A1836,SETORES!$A:$A,0))</f>
        <v>Clientes</v>
      </c>
      <c r="H1836" s="42" t="s">
        <v>11</v>
      </c>
    </row>
    <row r="1837" customFormat="false" ht="14.25" hidden="false" customHeight="true" outlineLevel="0" collapsed="false">
      <c r="A1837" s="16" t="s">
        <v>51</v>
      </c>
      <c r="B1837" s="42" t="s">
        <v>155</v>
      </c>
      <c r="C1837" s="42" t="s">
        <v>177</v>
      </c>
      <c r="D1837" s="43" t="n">
        <v>13</v>
      </c>
      <c r="E1837" s="44" t="n">
        <v>0.2641</v>
      </c>
      <c r="F1837" s="45" t="n">
        <v>3.4333</v>
      </c>
      <c r="G1837" s="42" t="str">
        <f aca="false">INDEX(SETORES!$B:$B,MATCH(A1837,SETORES!$A:$A,0))</f>
        <v>Clientes</v>
      </c>
      <c r="H1837" s="42" t="s">
        <v>11</v>
      </c>
    </row>
    <row r="1838" customFormat="false" ht="14.25" hidden="false" customHeight="true" outlineLevel="0" collapsed="false">
      <c r="A1838" s="50" t="s">
        <v>51</v>
      </c>
      <c r="B1838" s="51" t="s">
        <v>155</v>
      </c>
      <c r="C1838" s="51" t="s">
        <v>178</v>
      </c>
      <c r="D1838" s="52" t="n">
        <v>1</v>
      </c>
      <c r="E1838" s="53" t="n">
        <v>800.367377</v>
      </c>
      <c r="F1838" s="54" t="n">
        <v>800.367377</v>
      </c>
      <c r="G1838" s="51" t="str">
        <f aca="false">INDEX(SETORES!$B:$B,MATCH(A1838,SETORES!$A:$A,0))</f>
        <v>Clientes</v>
      </c>
      <c r="H1838" s="51" t="s">
        <v>11</v>
      </c>
    </row>
    <row r="1839" customFormat="false" ht="14.25" hidden="false" customHeight="true" outlineLevel="0" collapsed="false">
      <c r="A1839" s="50" t="s">
        <v>51</v>
      </c>
      <c r="B1839" s="51" t="s">
        <v>157</v>
      </c>
      <c r="C1839" s="51" t="s">
        <v>158</v>
      </c>
      <c r="D1839" s="52"/>
      <c r="E1839" s="53"/>
      <c r="F1839" s="54" t="n">
        <f aca="false">IFERROR(D1839*E1839,0)</f>
        <v>0</v>
      </c>
      <c r="G1839" s="51" t="str">
        <f aca="false">INDEX(SETORES!$B:$B,MATCH(A1839,SETORES!$A:$A,0))</f>
        <v>Clientes</v>
      </c>
      <c r="H1839" s="51" t="s">
        <v>11</v>
      </c>
    </row>
    <row r="1840" customFormat="false" ht="14.25" hidden="false" customHeight="true" outlineLevel="0" collapsed="false">
      <c r="A1840" s="50" t="s">
        <v>51</v>
      </c>
      <c r="B1840" s="51" t="s">
        <v>155</v>
      </c>
      <c r="C1840" s="51" t="s">
        <v>238</v>
      </c>
      <c r="D1840" s="52" t="n">
        <v>1</v>
      </c>
      <c r="E1840" s="53" t="n">
        <v>1491.803274</v>
      </c>
      <c r="F1840" s="54" t="n">
        <f aca="false">IFERROR(D1840*E1840,0)</f>
        <v>1491.803274</v>
      </c>
      <c r="G1840" s="51" t="str">
        <f aca="false">INDEX(SETORES!$B:$B,MATCH(A1840,SETORES!$A:$A,0))</f>
        <v>Clientes</v>
      </c>
      <c r="H1840" s="51" t="s">
        <v>11</v>
      </c>
    </row>
    <row r="1841" customFormat="false" ht="14.25" hidden="false" customHeight="true" outlineLevel="0" collapsed="false">
      <c r="A1841" s="50" t="s">
        <v>51</v>
      </c>
      <c r="B1841" s="51" t="s">
        <v>155</v>
      </c>
      <c r="C1841" s="51" t="s">
        <v>239</v>
      </c>
      <c r="D1841" s="52" t="n">
        <v>1</v>
      </c>
      <c r="E1841" s="53" t="n">
        <v>590.647538</v>
      </c>
      <c r="F1841" s="54" t="n">
        <f aca="false">IFERROR(D1841*E1841,0)</f>
        <v>590.647538</v>
      </c>
      <c r="G1841" s="51" t="str">
        <f aca="false">INDEX(SETORES!$B:$B,MATCH(A1841,SETORES!$A:$A,0))</f>
        <v>Clientes</v>
      </c>
      <c r="H1841" s="51" t="s">
        <v>11</v>
      </c>
    </row>
    <row r="1842" customFormat="false" ht="14.25" hidden="false" customHeight="true" outlineLevel="0" collapsed="false">
      <c r="A1842" s="16" t="s">
        <v>51</v>
      </c>
      <c r="B1842" s="42" t="s">
        <v>155</v>
      </c>
      <c r="C1842" s="42" t="s">
        <v>182</v>
      </c>
      <c r="D1842" s="43" t="n">
        <v>1</v>
      </c>
      <c r="E1842" s="44" t="n">
        <v>719.456231</v>
      </c>
      <c r="F1842" s="45" t="n">
        <f aca="false">IFERROR(D1842*E1842,0)</f>
        <v>719.456231</v>
      </c>
      <c r="G1842" s="42" t="str">
        <f aca="false">INDEX(SETORES!$B:$B,MATCH(A1842,SETORES!$A:$A,0))</f>
        <v>Clientes</v>
      </c>
      <c r="H1842" s="42" t="s">
        <v>11</v>
      </c>
    </row>
    <row r="1843" customFormat="false" ht="14.25" hidden="false" customHeight="true" outlineLevel="0" collapsed="false">
      <c r="A1843" s="16" t="s">
        <v>51</v>
      </c>
      <c r="B1843" s="42" t="s">
        <v>155</v>
      </c>
      <c r="C1843" s="42" t="s">
        <v>173</v>
      </c>
      <c r="D1843" s="43" t="n">
        <v>13</v>
      </c>
      <c r="E1843" s="44" t="n">
        <v>2.04</v>
      </c>
      <c r="F1843" s="45" t="n">
        <v>26.52</v>
      </c>
      <c r="G1843" s="42" t="str">
        <f aca="false">INDEX(SETORES!$B:$B,MATCH(A1843,SETORES!$A:$A,0))</f>
        <v>Clientes</v>
      </c>
      <c r="H1843" s="42" t="s">
        <v>11</v>
      </c>
    </row>
    <row r="1844" customFormat="false" ht="14.25" hidden="false" customHeight="true" outlineLevel="0" collapsed="false">
      <c r="A1844" s="16" t="s">
        <v>51</v>
      </c>
      <c r="B1844" s="42" t="s">
        <v>155</v>
      </c>
      <c r="C1844" s="42" t="s">
        <v>179</v>
      </c>
      <c r="D1844" s="43"/>
      <c r="E1844" s="44"/>
      <c r="F1844" s="45" t="n">
        <f aca="false">IFERROR(D1844*E1844,0)</f>
        <v>0</v>
      </c>
      <c r="G1844" s="42" t="str">
        <f aca="false">INDEX(SETORES!$B:$B,MATCH(A1844,SETORES!$A:$A,0))</f>
        <v>Clientes</v>
      </c>
      <c r="H1844" s="42" t="s">
        <v>11</v>
      </c>
    </row>
    <row r="1845" customFormat="false" ht="14.25" hidden="false" customHeight="true" outlineLevel="0" collapsed="false">
      <c r="A1845" s="50" t="s">
        <v>87</v>
      </c>
      <c r="B1845" s="51" t="s">
        <v>155</v>
      </c>
      <c r="C1845" s="51" t="s">
        <v>162</v>
      </c>
      <c r="D1845" s="52" t="n">
        <v>1</v>
      </c>
      <c r="E1845" s="53" t="n">
        <v>0.125</v>
      </c>
      <c r="F1845" s="54" t="n">
        <v>0.125</v>
      </c>
      <c r="G1845" s="51" t="s">
        <v>97</v>
      </c>
      <c r="H1845" s="51" t="s">
        <v>11</v>
      </c>
    </row>
    <row r="1846" customFormat="false" ht="14.25" hidden="false" customHeight="true" outlineLevel="0" collapsed="false">
      <c r="A1846" s="50" t="s">
        <v>87</v>
      </c>
      <c r="B1846" s="51" t="s">
        <v>155</v>
      </c>
      <c r="C1846" s="51" t="s">
        <v>163</v>
      </c>
      <c r="D1846" s="52" t="n">
        <v>5</v>
      </c>
      <c r="E1846" s="53" t="n">
        <v>30</v>
      </c>
      <c r="F1846" s="54" t="n">
        <f aca="false">IFERROR(D1846*E1846,0)</f>
        <v>150</v>
      </c>
      <c r="G1846" s="51" t="str">
        <f aca="false">INDEX(SETORES!$B:$B,MATCH(A1846,SETORES!$A:$A,0))</f>
        <v>Clientes</v>
      </c>
      <c r="H1846" s="51" t="s">
        <v>11</v>
      </c>
    </row>
    <row r="1847" customFormat="false" ht="14.25" hidden="false" customHeight="true" outlineLevel="0" collapsed="false">
      <c r="A1847" s="50" t="s">
        <v>87</v>
      </c>
      <c r="B1847" s="51" t="s">
        <v>155</v>
      </c>
      <c r="C1847" s="51" t="s">
        <v>165</v>
      </c>
      <c r="D1847" s="52" t="n">
        <v>5</v>
      </c>
      <c r="E1847" s="44" t="n">
        <v>51.12</v>
      </c>
      <c r="F1847" s="54" t="n">
        <f aca="false">IFERROR(D1847*E1847,0)</f>
        <v>255.6</v>
      </c>
      <c r="G1847" s="51" t="s">
        <v>99</v>
      </c>
      <c r="H1847" s="51" t="s">
        <v>11</v>
      </c>
    </row>
    <row r="1848" customFormat="false" ht="14.25" hidden="false" customHeight="true" outlineLevel="0" collapsed="false">
      <c r="A1848" s="16" t="s">
        <v>87</v>
      </c>
      <c r="B1848" s="42" t="s">
        <v>155</v>
      </c>
      <c r="C1848" s="42" t="s">
        <v>166</v>
      </c>
      <c r="D1848" s="43" t="n">
        <v>5</v>
      </c>
      <c r="E1848" s="44" t="n">
        <v>31.33</v>
      </c>
      <c r="F1848" s="45" t="n">
        <f aca="false">IFERROR(D1848*E1848,0)</f>
        <v>156.65</v>
      </c>
      <c r="G1848" s="51" t="s">
        <v>99</v>
      </c>
      <c r="H1848" s="42" t="s">
        <v>11</v>
      </c>
    </row>
    <row r="1849" customFormat="false" ht="14.25" hidden="false" customHeight="true" outlineLevel="0" collapsed="false">
      <c r="A1849" s="16" t="s">
        <v>87</v>
      </c>
      <c r="B1849" s="42" t="s">
        <v>155</v>
      </c>
      <c r="C1849" s="42" t="s">
        <v>167</v>
      </c>
      <c r="D1849" s="43" t="n">
        <v>5</v>
      </c>
      <c r="E1849" s="44" t="n">
        <v>63.75</v>
      </c>
      <c r="F1849" s="45" t="n">
        <f aca="false">IFERROR(D1849*E1849,0)</f>
        <v>318.75</v>
      </c>
      <c r="G1849" s="51" t="s">
        <v>99</v>
      </c>
      <c r="H1849" s="42" t="s">
        <v>11</v>
      </c>
    </row>
    <row r="1850" customFormat="false" ht="14.25" hidden="false" customHeight="true" outlineLevel="0" collapsed="false">
      <c r="A1850" s="16" t="s">
        <v>87</v>
      </c>
      <c r="B1850" s="42" t="s">
        <v>155</v>
      </c>
      <c r="C1850" s="42" t="s">
        <v>168</v>
      </c>
      <c r="D1850" s="43" t="n">
        <v>1</v>
      </c>
      <c r="E1850" s="44" t="n">
        <v>43.7861</v>
      </c>
      <c r="F1850" s="45" t="n">
        <v>43.7861</v>
      </c>
      <c r="G1850" s="42" t="s">
        <v>97</v>
      </c>
      <c r="H1850" s="42" t="s">
        <v>11</v>
      </c>
    </row>
    <row r="1851" customFormat="false" ht="14.25" hidden="false" customHeight="true" outlineLevel="0" collapsed="false">
      <c r="A1851" s="16" t="s">
        <v>87</v>
      </c>
      <c r="B1851" s="42" t="s">
        <v>155</v>
      </c>
      <c r="C1851" s="42" t="s">
        <v>169</v>
      </c>
      <c r="D1851" s="43" t="n">
        <v>1</v>
      </c>
      <c r="E1851" s="44" t="n">
        <v>24319.74</v>
      </c>
      <c r="F1851" s="45" t="n">
        <f aca="false">IFERROR(E1851,0)</f>
        <v>24319.74</v>
      </c>
      <c r="G1851" s="42" t="str">
        <f aca="false">INDEX(SETORES!$B:$B,MATCH(A1851,SETORES!$A:$A,0))</f>
        <v>Clientes</v>
      </c>
      <c r="H1851" s="42" t="s">
        <v>11</v>
      </c>
    </row>
    <row r="1852" customFormat="false" ht="14.25" hidden="false" customHeight="true" outlineLevel="0" collapsed="false">
      <c r="A1852" s="50" t="s">
        <v>87</v>
      </c>
      <c r="B1852" s="51" t="s">
        <v>155</v>
      </c>
      <c r="C1852" s="51" t="s">
        <v>170</v>
      </c>
      <c r="D1852" s="52" t="n">
        <v>5</v>
      </c>
      <c r="E1852" s="53" t="n">
        <v>9.85</v>
      </c>
      <c r="F1852" s="54" t="n">
        <f aca="false">IFERROR(D1852*E1852,0)</f>
        <v>49.25</v>
      </c>
      <c r="G1852" s="51" t="str">
        <f aca="false">INDEX(SETORES!$B:$B,MATCH(A1852,SETORES!$A:$A,0))</f>
        <v>Clientes</v>
      </c>
      <c r="H1852" s="51" t="s">
        <v>11</v>
      </c>
    </row>
    <row r="1853" customFormat="false" ht="14.25" hidden="false" customHeight="true" outlineLevel="0" collapsed="false">
      <c r="A1853" s="50" t="s">
        <v>87</v>
      </c>
      <c r="B1853" s="51" t="s">
        <v>155</v>
      </c>
      <c r="C1853" s="51" t="s">
        <v>183</v>
      </c>
      <c r="D1853" s="52" t="n">
        <v>1</v>
      </c>
      <c r="E1853" s="53" t="n">
        <v>5.68182</v>
      </c>
      <c r="F1853" s="54" t="n">
        <f aca="false">IFERROR(D1853*E1853,0)</f>
        <v>5.68182</v>
      </c>
      <c r="G1853" s="51" t="str">
        <f aca="false">INDEX(SETORES!$B:$B,MATCH(A1853,SETORES!$A:$A,0))</f>
        <v>Clientes</v>
      </c>
      <c r="H1853" s="51" t="s">
        <v>11</v>
      </c>
    </row>
    <row r="1854" customFormat="false" ht="14.25" hidden="false" customHeight="true" outlineLevel="0" collapsed="false">
      <c r="A1854" s="50" t="s">
        <v>87</v>
      </c>
      <c r="B1854" s="51" t="s">
        <v>155</v>
      </c>
      <c r="C1854" s="51" t="s">
        <v>172</v>
      </c>
      <c r="D1854" s="52" t="n">
        <v>7</v>
      </c>
      <c r="E1854" s="53" t="n">
        <v>92.857143</v>
      </c>
      <c r="F1854" s="54" t="n">
        <f aca="false">IFERROR(D1854*E1854,0)</f>
        <v>650.000001</v>
      </c>
      <c r="G1854" s="51" t="str">
        <f aca="false">INDEX(SETORES!$B:$B,MATCH(A1854,SETORES!$A:$A,0))</f>
        <v>Clientes</v>
      </c>
      <c r="H1854" s="51" t="s">
        <v>11</v>
      </c>
    </row>
    <row r="1855" customFormat="false" ht="14.25" hidden="false" customHeight="true" outlineLevel="0" collapsed="false">
      <c r="A1855" s="50" t="s">
        <v>87</v>
      </c>
      <c r="B1855" s="51" t="s">
        <v>155</v>
      </c>
      <c r="C1855" s="51" t="s">
        <v>178</v>
      </c>
      <c r="D1855" s="52" t="n">
        <v>1</v>
      </c>
      <c r="E1855" s="53" t="n">
        <v>106.53</v>
      </c>
      <c r="F1855" s="54" t="n">
        <v>106.53</v>
      </c>
      <c r="G1855" s="51" t="str">
        <f aca="false">INDEX(SETORES!$B:$B,MATCH(A1855,SETORES!$A:$A,0))</f>
        <v>Clientes</v>
      </c>
      <c r="H1855" s="51" t="s">
        <v>11</v>
      </c>
    </row>
    <row r="1856" customFormat="false" ht="14.25" hidden="false" customHeight="true" outlineLevel="0" collapsed="false">
      <c r="A1856" s="16" t="s">
        <v>87</v>
      </c>
      <c r="B1856" s="42" t="s">
        <v>157</v>
      </c>
      <c r="C1856" s="42" t="s">
        <v>158</v>
      </c>
      <c r="D1856" s="43" t="n">
        <v>1</v>
      </c>
      <c r="E1856" s="44" t="n">
        <v>6209</v>
      </c>
      <c r="F1856" s="45" t="n">
        <f aca="false">IFERROR(D1856*E1856,0)</f>
        <v>6209</v>
      </c>
      <c r="G1856" s="42" t="str">
        <f aca="false">INDEX(SETORES!$B:$B,MATCH(A1856,SETORES!$A:$A,0))</f>
        <v>Clientes</v>
      </c>
      <c r="H1856" s="42" t="s">
        <v>11</v>
      </c>
    </row>
    <row r="1857" customFormat="false" ht="14.25" hidden="false" customHeight="true" outlineLevel="0" collapsed="false">
      <c r="A1857" s="16" t="s">
        <v>87</v>
      </c>
      <c r="B1857" s="42" t="s">
        <v>155</v>
      </c>
      <c r="C1857" s="42" t="s">
        <v>173</v>
      </c>
      <c r="D1857" s="43" t="n">
        <v>5</v>
      </c>
      <c r="E1857" s="44" t="n">
        <v>2.04</v>
      </c>
      <c r="F1857" s="45" t="n">
        <f aca="false">IFERROR(D1857*E1857,0)</f>
        <v>10.2</v>
      </c>
      <c r="G1857" s="42" t="str">
        <f aca="false">INDEX(SETORES!$B:$B,MATCH(A1857,SETORES!$A:$A,0))</f>
        <v>Clientes</v>
      </c>
      <c r="H1857" s="42" t="s">
        <v>11</v>
      </c>
    </row>
    <row r="1858" customFormat="false" ht="14.25" hidden="false" customHeight="true" outlineLevel="0" collapsed="false">
      <c r="A1858" s="16" t="s">
        <v>55</v>
      </c>
      <c r="B1858" s="42" t="s">
        <v>155</v>
      </c>
      <c r="C1858" s="42" t="s">
        <v>156</v>
      </c>
      <c r="D1858" s="43" t="n">
        <v>1</v>
      </c>
      <c r="E1858" s="44" t="n">
        <v>21454</v>
      </c>
      <c r="F1858" s="45" t="n">
        <f aca="false">IFERROR(D1858*E1858,0)</f>
        <v>21454</v>
      </c>
      <c r="G1858" s="42" t="str">
        <f aca="false">INDEX(SETORES!$B:$B,MATCH(A1858,SETORES!$A:$A,0))</f>
        <v>Funcionários</v>
      </c>
      <c r="H1858" s="42" t="s">
        <v>20</v>
      </c>
    </row>
    <row r="1859" customFormat="false" ht="14.25" hidden="false" customHeight="true" outlineLevel="0" collapsed="false">
      <c r="A1859" s="16" t="s">
        <v>55</v>
      </c>
      <c r="B1859" s="42" t="s">
        <v>155</v>
      </c>
      <c r="C1859" s="42" t="s">
        <v>159</v>
      </c>
      <c r="D1859" s="43" t="n">
        <v>1</v>
      </c>
      <c r="E1859" s="44" t="n">
        <v>99</v>
      </c>
      <c r="F1859" s="45" t="n">
        <f aca="false">IFERROR(D1859*E1859,0)</f>
        <v>99</v>
      </c>
      <c r="G1859" s="42" t="str">
        <f aca="false">INDEX(SETORES!$B:$B,MATCH(A1859,SETORES!$A:$A,0))</f>
        <v>Funcionários</v>
      </c>
      <c r="H1859" s="42" t="s">
        <v>20</v>
      </c>
    </row>
    <row r="1860" customFormat="false" ht="14.25" hidden="false" customHeight="true" outlineLevel="0" collapsed="false">
      <c r="A1860" s="46" t="s">
        <v>55</v>
      </c>
      <c r="B1860" s="47" t="s">
        <v>155</v>
      </c>
      <c r="C1860" s="47" t="s">
        <v>237</v>
      </c>
      <c r="D1860" s="47" t="n">
        <v>1</v>
      </c>
      <c r="E1860" s="48" t="n">
        <v>436</v>
      </c>
      <c r="F1860" s="48" t="n">
        <f aca="false">D1860*E1860</f>
        <v>436</v>
      </c>
      <c r="G1860" s="47" t="s">
        <v>99</v>
      </c>
      <c r="H1860" s="47" t="s">
        <v>20</v>
      </c>
    </row>
    <row r="1861" customFormat="false" ht="14.25" hidden="false" customHeight="true" outlineLevel="0" collapsed="false">
      <c r="A1861" s="16" t="s">
        <v>55</v>
      </c>
      <c r="B1861" s="42" t="s">
        <v>155</v>
      </c>
      <c r="C1861" s="42" t="s">
        <v>161</v>
      </c>
      <c r="D1861" s="43" t="n">
        <v>1</v>
      </c>
      <c r="E1861" s="44" t="n">
        <v>1787.15</v>
      </c>
      <c r="F1861" s="45" t="n">
        <f aca="false">IFERROR(D1861*E1861,0)</f>
        <v>1787.15</v>
      </c>
      <c r="G1861" s="42" t="str">
        <f aca="false">INDEX(SETORES!$B:$B,MATCH(A1861,SETORES!$A:$A,0))</f>
        <v>Funcionários</v>
      </c>
      <c r="H1861" s="42" t="s">
        <v>20</v>
      </c>
    </row>
    <row r="1862" customFormat="false" ht="14.25" hidden="false" customHeight="true" outlineLevel="0" collapsed="false">
      <c r="A1862" s="50" t="s">
        <v>89</v>
      </c>
      <c r="B1862" s="51" t="s">
        <v>155</v>
      </c>
      <c r="C1862" s="51" t="s">
        <v>163</v>
      </c>
      <c r="D1862" s="52" t="n">
        <v>1</v>
      </c>
      <c r="E1862" s="53" t="n">
        <v>30</v>
      </c>
      <c r="F1862" s="54" t="n">
        <f aca="false">IFERROR(D1862*E1862,0)</f>
        <v>30</v>
      </c>
      <c r="G1862" s="51" t="str">
        <f aca="false">INDEX(SETORES!$B:$B,MATCH(A1862,SETORES!$A:$A,0))</f>
        <v>Clientes</v>
      </c>
      <c r="H1862" s="51" t="s">
        <v>20</v>
      </c>
    </row>
    <row r="1863" customFormat="false" ht="14.25" hidden="false" customHeight="true" outlineLevel="0" collapsed="false">
      <c r="A1863" s="16" t="s">
        <v>89</v>
      </c>
      <c r="B1863" s="42" t="s">
        <v>155</v>
      </c>
      <c r="C1863" s="42" t="s">
        <v>164</v>
      </c>
      <c r="D1863" s="43" t="n">
        <v>1</v>
      </c>
      <c r="E1863" s="44" t="n">
        <v>1128.64</v>
      </c>
      <c r="F1863" s="45" t="n">
        <f aca="false">IFERROR(D1863*E1863,0)</f>
        <v>1128.64</v>
      </c>
      <c r="G1863" s="42" t="str">
        <f aca="false">INDEX(SETORES!$B:$B,MATCH(A1863,SETORES!$A:$A,0))</f>
        <v>Clientes</v>
      </c>
      <c r="H1863" s="42" t="s">
        <v>20</v>
      </c>
    </row>
    <row r="1864" customFormat="false" ht="14.25" hidden="false" customHeight="true" outlineLevel="0" collapsed="false">
      <c r="A1864" s="16" t="s">
        <v>89</v>
      </c>
      <c r="B1864" s="42" t="s">
        <v>155</v>
      </c>
      <c r="C1864" s="42" t="s">
        <v>165</v>
      </c>
      <c r="D1864" s="43" t="n">
        <v>2</v>
      </c>
      <c r="E1864" s="44" t="n">
        <v>47.79</v>
      </c>
      <c r="F1864" s="45" t="n">
        <f aca="false">IFERROR(D1864*E1864,0)</f>
        <v>95.58</v>
      </c>
      <c r="G1864" s="42" t="s">
        <v>99</v>
      </c>
      <c r="H1864" s="42" t="s">
        <v>20</v>
      </c>
    </row>
    <row r="1865" customFormat="false" ht="14.25" hidden="false" customHeight="true" outlineLevel="0" collapsed="false">
      <c r="A1865" s="16" t="s">
        <v>89</v>
      </c>
      <c r="B1865" s="42" t="s">
        <v>155</v>
      </c>
      <c r="C1865" s="42" t="s">
        <v>166</v>
      </c>
      <c r="D1865" s="43" t="n">
        <v>2</v>
      </c>
      <c r="E1865" s="44" t="n">
        <v>28.31</v>
      </c>
      <c r="F1865" s="45" t="n">
        <f aca="false">IFERROR(D1865*E1865,0)</f>
        <v>56.62</v>
      </c>
      <c r="G1865" s="51" t="s">
        <v>99</v>
      </c>
      <c r="H1865" s="42" t="s">
        <v>20</v>
      </c>
    </row>
    <row r="1866" customFormat="false" ht="14.25" hidden="false" customHeight="true" outlineLevel="0" collapsed="false">
      <c r="A1866" s="16" t="s">
        <v>89</v>
      </c>
      <c r="B1866" s="42" t="s">
        <v>155</v>
      </c>
      <c r="C1866" s="42" t="s">
        <v>167</v>
      </c>
      <c r="D1866" s="43" t="n">
        <v>2</v>
      </c>
      <c r="E1866" s="44" t="n">
        <v>64.57</v>
      </c>
      <c r="F1866" s="45" t="n">
        <f aca="false">IFERROR(D1866*E1866,0)</f>
        <v>129.14</v>
      </c>
      <c r="G1866" s="51" t="s">
        <v>99</v>
      </c>
      <c r="H1866" s="42" t="s">
        <v>20</v>
      </c>
    </row>
    <row r="1867" customFormat="false" ht="14.25" hidden="false" customHeight="true" outlineLevel="0" collapsed="false">
      <c r="A1867" s="50" t="s">
        <v>89</v>
      </c>
      <c r="B1867" s="51" t="s">
        <v>155</v>
      </c>
      <c r="C1867" s="51" t="s">
        <v>168</v>
      </c>
      <c r="D1867" s="52" t="n">
        <v>1</v>
      </c>
      <c r="E1867" s="53" t="n">
        <v>17.0216</v>
      </c>
      <c r="F1867" s="54" t="n">
        <v>17.0216</v>
      </c>
      <c r="G1867" s="51" t="s">
        <v>97</v>
      </c>
      <c r="H1867" s="51" t="s">
        <v>20</v>
      </c>
    </row>
    <row r="1868" customFormat="false" ht="14.25" hidden="false" customHeight="true" outlineLevel="0" collapsed="false">
      <c r="A1868" s="16" t="s">
        <v>89</v>
      </c>
      <c r="B1868" s="42" t="s">
        <v>155</v>
      </c>
      <c r="C1868" s="42" t="s">
        <v>169</v>
      </c>
      <c r="D1868" s="43" t="n">
        <v>1</v>
      </c>
      <c r="E1868" s="44" t="n">
        <v>6292.45</v>
      </c>
      <c r="F1868" s="45" t="n">
        <f aca="false">IFERROR(E1868,0)</f>
        <v>6292.45</v>
      </c>
      <c r="G1868" s="42" t="str">
        <f aca="false">INDEX(SETORES!$B:$B,MATCH(A1868,SETORES!$A:$A,0))</f>
        <v>Clientes</v>
      </c>
      <c r="H1868" s="42" t="s">
        <v>20</v>
      </c>
    </row>
    <row r="1869" customFormat="false" ht="14.25" hidden="false" customHeight="true" outlineLevel="0" collapsed="false">
      <c r="A1869" s="16" t="s">
        <v>89</v>
      </c>
      <c r="B1869" s="42" t="s">
        <v>155</v>
      </c>
      <c r="C1869" s="42" t="s">
        <v>170</v>
      </c>
      <c r="D1869" s="43" t="n">
        <v>2</v>
      </c>
      <c r="E1869" s="44" t="n">
        <v>10.05</v>
      </c>
      <c r="F1869" s="45" t="n">
        <f aca="false">IFERROR(D1869*E1869,0)</f>
        <v>20.1</v>
      </c>
      <c r="G1869" s="42" t="str">
        <f aca="false">INDEX(SETORES!$B:$B,MATCH(A1869,SETORES!$A:$A,0))</f>
        <v>Clientes</v>
      </c>
      <c r="H1869" s="42" t="s">
        <v>20</v>
      </c>
    </row>
    <row r="1870" customFormat="false" ht="14.25" hidden="false" customHeight="true" outlineLevel="0" collapsed="false">
      <c r="A1870" s="50" t="s">
        <v>89</v>
      </c>
      <c r="B1870" s="51" t="s">
        <v>155</v>
      </c>
      <c r="C1870" s="51" t="s">
        <v>173</v>
      </c>
      <c r="D1870" s="52" t="n">
        <v>2</v>
      </c>
      <c r="E1870" s="53" t="n">
        <v>2.07</v>
      </c>
      <c r="F1870" s="54" t="n">
        <f aca="false">IFERROR(D1870*E1870,0)</f>
        <v>4.14</v>
      </c>
      <c r="G1870" s="51" t="str">
        <f aca="false">INDEX(SETORES!$B:$B,MATCH(A1870,SETORES!$A:$A,0))</f>
        <v>Clientes</v>
      </c>
      <c r="H1870" s="51" t="s">
        <v>20</v>
      </c>
    </row>
    <row r="1871" customFormat="false" ht="14.25" hidden="false" customHeight="true" outlineLevel="0" collapsed="false">
      <c r="A1871" s="50" t="s">
        <v>35</v>
      </c>
      <c r="B1871" s="51" t="s">
        <v>155</v>
      </c>
      <c r="C1871" s="51" t="s">
        <v>162</v>
      </c>
      <c r="D1871" s="52" t="n">
        <v>1</v>
      </c>
      <c r="E1871" s="53" t="n">
        <v>0</v>
      </c>
      <c r="F1871" s="54" t="n">
        <v>0</v>
      </c>
      <c r="G1871" s="51" t="str">
        <f aca="false">INDEX(SETORES!$B:$B,MATCH(A1871,SETORES!$A:$A,0))</f>
        <v>Clientes</v>
      </c>
      <c r="H1871" s="51" t="s">
        <v>20</v>
      </c>
    </row>
    <row r="1872" customFormat="false" ht="14.25" hidden="false" customHeight="true" outlineLevel="0" collapsed="false">
      <c r="A1872" s="50" t="s">
        <v>35</v>
      </c>
      <c r="B1872" s="51" t="s">
        <v>155</v>
      </c>
      <c r="C1872" s="51" t="s">
        <v>163</v>
      </c>
      <c r="D1872" s="52" t="n">
        <v>1</v>
      </c>
      <c r="E1872" s="53" t="n">
        <v>30</v>
      </c>
      <c r="F1872" s="54" t="n">
        <f aca="false">IFERROR(D1872*E1872,0)</f>
        <v>30</v>
      </c>
      <c r="G1872" s="51" t="str">
        <f aca="false">INDEX(SETORES!$B:$B,MATCH(A1872,SETORES!$A:$A,0))</f>
        <v>Clientes</v>
      </c>
      <c r="H1872" s="51" t="s">
        <v>20</v>
      </c>
    </row>
    <row r="1873" customFormat="false" ht="14.25" hidden="false" customHeight="true" outlineLevel="0" collapsed="false">
      <c r="A1873" s="50" t="s">
        <v>35</v>
      </c>
      <c r="B1873" s="51" t="s">
        <v>155</v>
      </c>
      <c r="C1873" s="51" t="s">
        <v>164</v>
      </c>
      <c r="D1873" s="52" t="n">
        <v>1</v>
      </c>
      <c r="E1873" s="53" t="n">
        <v>2257.28</v>
      </c>
      <c r="F1873" s="54" t="n">
        <f aca="false">IFERROR(D1873*E1873,0)</f>
        <v>2257.28</v>
      </c>
      <c r="G1873" s="51" t="str">
        <f aca="false">INDEX(SETORES!$B:$B,MATCH(A1873,SETORES!$A:$A,0))</f>
        <v>Clientes</v>
      </c>
      <c r="H1873" s="51" t="s">
        <v>20</v>
      </c>
    </row>
    <row r="1874" customFormat="false" ht="14.25" hidden="false" customHeight="true" outlineLevel="0" collapsed="false">
      <c r="A1874" s="16" t="s">
        <v>35</v>
      </c>
      <c r="B1874" s="42" t="s">
        <v>155</v>
      </c>
      <c r="C1874" s="42" t="s">
        <v>165</v>
      </c>
      <c r="D1874" s="43" t="n">
        <v>4</v>
      </c>
      <c r="E1874" s="44" t="n">
        <v>47.79</v>
      </c>
      <c r="F1874" s="45" t="n">
        <f aca="false">IFERROR(D1874*E1874,0)</f>
        <v>191.16</v>
      </c>
      <c r="G1874" s="42" t="s">
        <v>99</v>
      </c>
      <c r="H1874" s="42" t="s">
        <v>20</v>
      </c>
    </row>
    <row r="1875" customFormat="false" ht="14.25" hidden="false" customHeight="true" outlineLevel="0" collapsed="false">
      <c r="A1875" s="50" t="s">
        <v>35</v>
      </c>
      <c r="B1875" s="51" t="s">
        <v>155</v>
      </c>
      <c r="C1875" s="51" t="s">
        <v>166</v>
      </c>
      <c r="D1875" s="52" t="n">
        <v>4</v>
      </c>
      <c r="E1875" s="53" t="n">
        <v>28.31</v>
      </c>
      <c r="F1875" s="54" t="n">
        <f aca="false">IFERROR(D1875*E1875,0)</f>
        <v>113.24</v>
      </c>
      <c r="G1875" s="51" t="s">
        <v>99</v>
      </c>
      <c r="H1875" s="51" t="s">
        <v>20</v>
      </c>
    </row>
    <row r="1876" customFormat="false" ht="14.25" hidden="false" customHeight="true" outlineLevel="0" collapsed="false">
      <c r="A1876" s="16" t="s">
        <v>35</v>
      </c>
      <c r="B1876" s="42" t="s">
        <v>155</v>
      </c>
      <c r="C1876" s="42" t="s">
        <v>167</v>
      </c>
      <c r="D1876" s="43" t="n">
        <v>4</v>
      </c>
      <c r="E1876" s="44" t="n">
        <v>64.57</v>
      </c>
      <c r="F1876" s="45" t="n">
        <f aca="false">IFERROR(D1876*E1876,0)</f>
        <v>258.28</v>
      </c>
      <c r="G1876" s="51" t="s">
        <v>99</v>
      </c>
      <c r="H1876" s="42" t="s">
        <v>20</v>
      </c>
    </row>
    <row r="1877" customFormat="false" ht="14.25" hidden="false" customHeight="true" outlineLevel="0" collapsed="false">
      <c r="A1877" s="16" t="s">
        <v>35</v>
      </c>
      <c r="B1877" s="42" t="s">
        <v>155</v>
      </c>
      <c r="C1877" s="42" t="s">
        <v>168</v>
      </c>
      <c r="D1877" s="43" t="n">
        <v>1</v>
      </c>
      <c r="E1877" s="44" t="n">
        <v>34.0432</v>
      </c>
      <c r="F1877" s="45" t="n">
        <v>34.0432</v>
      </c>
      <c r="G1877" s="42" t="str">
        <f aca="false">INDEX(SETORES!$B:$B,MATCH(A1877,SETORES!$A:$A,0))</f>
        <v>Clientes</v>
      </c>
      <c r="H1877" s="42" t="s">
        <v>20</v>
      </c>
    </row>
    <row r="1878" customFormat="false" ht="14.25" hidden="false" customHeight="true" outlineLevel="0" collapsed="false">
      <c r="A1878" s="16" t="s">
        <v>35</v>
      </c>
      <c r="B1878" s="42" t="s">
        <v>157</v>
      </c>
      <c r="C1878" s="42" t="s">
        <v>174</v>
      </c>
      <c r="D1878" s="43" t="n">
        <v>1</v>
      </c>
      <c r="E1878" s="44" t="n">
        <v>950</v>
      </c>
      <c r="F1878" s="45" t="n">
        <f aca="false">IFERROR(D1878*E1878,0)</f>
        <v>950</v>
      </c>
      <c r="G1878" s="42" t="str">
        <f aca="false">INDEX(SETORES!$B:$B,MATCH(A1878,SETORES!$A:$A,0))</f>
        <v>Clientes</v>
      </c>
      <c r="H1878" s="42" t="s">
        <v>20</v>
      </c>
    </row>
    <row r="1879" customFormat="false" ht="14.25" hidden="false" customHeight="true" outlineLevel="0" collapsed="false">
      <c r="A1879" s="16" t="s">
        <v>35</v>
      </c>
      <c r="B1879" s="42" t="s">
        <v>157</v>
      </c>
      <c r="C1879" s="42" t="s">
        <v>175</v>
      </c>
      <c r="D1879" s="43" t="n">
        <v>1</v>
      </c>
      <c r="E1879" s="44" t="n">
        <v>174</v>
      </c>
      <c r="F1879" s="45" t="n">
        <f aca="false">IFERROR(D1879*E1879,0)</f>
        <v>174</v>
      </c>
      <c r="G1879" s="42" t="str">
        <f aca="false">INDEX(SETORES!$B:$B,MATCH(A1879,SETORES!$A:$A,0))</f>
        <v>Clientes</v>
      </c>
      <c r="H1879" s="42" t="s">
        <v>20</v>
      </c>
    </row>
    <row r="1880" customFormat="false" ht="14.25" hidden="false" customHeight="true" outlineLevel="0" collapsed="false">
      <c r="A1880" s="50" t="s">
        <v>35</v>
      </c>
      <c r="B1880" s="51" t="s">
        <v>157</v>
      </c>
      <c r="C1880" s="51" t="s">
        <v>176</v>
      </c>
      <c r="D1880" s="52" t="n">
        <v>1</v>
      </c>
      <c r="E1880" s="53" t="n">
        <v>38</v>
      </c>
      <c r="F1880" s="54" t="n">
        <f aca="false">IFERROR(D1880*E1880,0)</f>
        <v>38</v>
      </c>
      <c r="G1880" s="51" t="str">
        <f aca="false">INDEX(SETORES!$B:$B,MATCH(A1880,SETORES!$A:$A,0))</f>
        <v>Clientes</v>
      </c>
      <c r="H1880" s="51" t="s">
        <v>20</v>
      </c>
    </row>
    <row r="1881" customFormat="false" ht="14.25" hidden="false" customHeight="true" outlineLevel="0" collapsed="false">
      <c r="A1881" s="50" t="s">
        <v>35</v>
      </c>
      <c r="B1881" s="51" t="s">
        <v>155</v>
      </c>
      <c r="C1881" s="51" t="s">
        <v>169</v>
      </c>
      <c r="D1881" s="52" t="n">
        <v>1</v>
      </c>
      <c r="E1881" s="53" t="n">
        <v>12057.21</v>
      </c>
      <c r="F1881" s="54" t="n">
        <f aca="false">IFERROR(E1881,0)</f>
        <v>12057.21</v>
      </c>
      <c r="G1881" s="51" t="str">
        <f aca="false">INDEX(SETORES!$B:$B,MATCH(A1881,SETORES!$A:$A,0))</f>
        <v>Clientes</v>
      </c>
      <c r="H1881" s="51" t="s">
        <v>20</v>
      </c>
    </row>
    <row r="1882" customFormat="false" ht="14.25" hidden="false" customHeight="true" outlineLevel="0" collapsed="false">
      <c r="A1882" s="16" t="s">
        <v>35</v>
      </c>
      <c r="B1882" s="42" t="s">
        <v>155</v>
      </c>
      <c r="C1882" s="42" t="s">
        <v>170</v>
      </c>
      <c r="D1882" s="43" t="n">
        <v>4</v>
      </c>
      <c r="E1882" s="44" t="n">
        <v>10.05</v>
      </c>
      <c r="F1882" s="45" t="n">
        <f aca="false">IFERROR(D1882*E1882,0)</f>
        <v>40.2</v>
      </c>
      <c r="G1882" s="42" t="str">
        <f aca="false">INDEX(SETORES!$B:$B,MATCH(A1882,SETORES!$A:$A,0))</f>
        <v>Clientes</v>
      </c>
      <c r="H1882" s="42" t="s">
        <v>20</v>
      </c>
    </row>
    <row r="1883" customFormat="false" ht="14.25" hidden="false" customHeight="true" outlineLevel="0" collapsed="false">
      <c r="A1883" s="50" t="s">
        <v>35</v>
      </c>
      <c r="B1883" s="51" t="s">
        <v>155</v>
      </c>
      <c r="C1883" s="51" t="s">
        <v>172</v>
      </c>
      <c r="D1883" s="52" t="n">
        <v>3</v>
      </c>
      <c r="E1883" s="53" t="n">
        <v>50</v>
      </c>
      <c r="F1883" s="54" t="n">
        <f aca="false">IFERROR(D1883*E1883,0)</f>
        <v>150</v>
      </c>
      <c r="G1883" s="51" t="str">
        <f aca="false">INDEX(SETORES!$B:$B,MATCH(A1883,SETORES!$A:$A,0))</f>
        <v>Clientes</v>
      </c>
      <c r="H1883" s="51" t="s">
        <v>20</v>
      </c>
    </row>
    <row r="1884" customFormat="false" ht="14.25" hidden="false" customHeight="true" outlineLevel="0" collapsed="false">
      <c r="A1884" s="16" t="s">
        <v>35</v>
      </c>
      <c r="B1884" s="42" t="s">
        <v>155</v>
      </c>
      <c r="C1884" s="42" t="s">
        <v>177</v>
      </c>
      <c r="D1884" s="43"/>
      <c r="E1884" s="44"/>
      <c r="F1884" s="45" t="n">
        <v>0</v>
      </c>
      <c r="G1884" s="42" t="str">
        <f aca="false">INDEX(SETORES!$B:$B,MATCH(A1884,SETORES!$A:$A,0))</f>
        <v>Clientes</v>
      </c>
      <c r="H1884" s="42" t="s">
        <v>20</v>
      </c>
    </row>
    <row r="1885" customFormat="false" ht="14.25" hidden="false" customHeight="true" outlineLevel="0" collapsed="false">
      <c r="A1885" s="50" t="s">
        <v>35</v>
      </c>
      <c r="B1885" s="51" t="s">
        <v>155</v>
      </c>
      <c r="C1885" s="51" t="s">
        <v>178</v>
      </c>
      <c r="D1885" s="52" t="n">
        <v>1</v>
      </c>
      <c r="E1885" s="53" t="n">
        <v>65.2</v>
      </c>
      <c r="F1885" s="54" t="n">
        <v>65.2</v>
      </c>
      <c r="G1885" s="51" t="str">
        <f aca="false">INDEX(SETORES!$B:$B,MATCH(A1885,SETORES!$A:$A,0))</f>
        <v>Clientes</v>
      </c>
      <c r="H1885" s="51" t="s">
        <v>20</v>
      </c>
    </row>
    <row r="1886" customFormat="false" ht="14.25" hidden="false" customHeight="true" outlineLevel="0" collapsed="false">
      <c r="A1886" s="50" t="s">
        <v>35</v>
      </c>
      <c r="B1886" s="51" t="s">
        <v>155</v>
      </c>
      <c r="C1886" s="51" t="s">
        <v>173</v>
      </c>
      <c r="D1886" s="52" t="n">
        <v>4</v>
      </c>
      <c r="E1886" s="53" t="n">
        <v>2.07</v>
      </c>
      <c r="F1886" s="54" t="n">
        <f aca="false">IFERROR(D1886*E1886,0)</f>
        <v>8.28</v>
      </c>
      <c r="G1886" s="51" t="str">
        <f aca="false">INDEX(SETORES!$B:$B,MATCH(A1886,SETORES!$A:$A,0))</f>
        <v>Clientes</v>
      </c>
      <c r="H1886" s="51" t="s">
        <v>20</v>
      </c>
    </row>
    <row r="1887" customFormat="false" ht="14.25" hidden="false" customHeight="true" outlineLevel="0" collapsed="false">
      <c r="A1887" s="16" t="s">
        <v>35</v>
      </c>
      <c r="B1887" s="42" t="s">
        <v>155</v>
      </c>
      <c r="C1887" s="42" t="s">
        <v>179</v>
      </c>
      <c r="D1887" s="43"/>
      <c r="E1887" s="44"/>
      <c r="F1887" s="45" t="n">
        <f aca="false">IFERROR(D1887*E1887,0)</f>
        <v>0</v>
      </c>
      <c r="G1887" s="42" t="str">
        <f aca="false">INDEX(SETORES!$B:$B,MATCH(A1887,SETORES!$A:$A,0))</f>
        <v>Clientes</v>
      </c>
      <c r="H1887" s="42" t="s">
        <v>20</v>
      </c>
    </row>
    <row r="1888" customFormat="false" ht="14.25" hidden="false" customHeight="true" outlineLevel="0" collapsed="false">
      <c r="A1888" s="16" t="s">
        <v>38</v>
      </c>
      <c r="B1888" s="42" t="s">
        <v>155</v>
      </c>
      <c r="C1888" s="42" t="s">
        <v>162</v>
      </c>
      <c r="D1888" s="43" t="n">
        <v>1</v>
      </c>
      <c r="E1888" s="44" t="n">
        <v>0</v>
      </c>
      <c r="F1888" s="45" t="n">
        <v>0</v>
      </c>
      <c r="G1888" s="42" t="str">
        <f aca="false">INDEX(SETORES!$B:$B,MATCH(A1888,SETORES!$A:$A,0))</f>
        <v>Clientes</v>
      </c>
      <c r="H1888" s="42" t="s">
        <v>20</v>
      </c>
    </row>
    <row r="1889" customFormat="false" ht="14.25" hidden="false" customHeight="true" outlineLevel="0" collapsed="false">
      <c r="A1889" s="16" t="s">
        <v>38</v>
      </c>
      <c r="B1889" s="42" t="s">
        <v>155</v>
      </c>
      <c r="C1889" s="42" t="s">
        <v>180</v>
      </c>
      <c r="D1889" s="43" t="n">
        <v>1</v>
      </c>
      <c r="E1889" s="44" t="n">
        <v>1459.1</v>
      </c>
      <c r="F1889" s="45" t="n">
        <f aca="false">IFERROR(D1889*E1889,0)</f>
        <v>1459.1</v>
      </c>
      <c r="G1889" s="42" t="str">
        <f aca="false">INDEX(SETORES!$B:$B,MATCH(A1889,SETORES!$A:$A,0))</f>
        <v>Clientes</v>
      </c>
      <c r="H1889" s="42" t="s">
        <v>20</v>
      </c>
    </row>
    <row r="1890" customFormat="false" ht="14.25" hidden="false" customHeight="true" outlineLevel="0" collapsed="false">
      <c r="A1890" s="50" t="s">
        <v>38</v>
      </c>
      <c r="B1890" s="51" t="s">
        <v>155</v>
      </c>
      <c r="C1890" s="51" t="s">
        <v>165</v>
      </c>
      <c r="D1890" s="52" t="n">
        <v>12</v>
      </c>
      <c r="E1890" s="53" t="n">
        <v>47.79</v>
      </c>
      <c r="F1890" s="54" t="n">
        <f aca="false">IFERROR(D1890*E1890,0)</f>
        <v>573.48</v>
      </c>
      <c r="G1890" s="42" t="s">
        <v>99</v>
      </c>
      <c r="H1890" s="51" t="s">
        <v>20</v>
      </c>
    </row>
    <row r="1891" customFormat="false" ht="14.25" hidden="false" customHeight="true" outlineLevel="0" collapsed="false">
      <c r="A1891" s="16" t="s">
        <v>38</v>
      </c>
      <c r="B1891" s="42" t="s">
        <v>155</v>
      </c>
      <c r="C1891" s="42" t="s">
        <v>166</v>
      </c>
      <c r="D1891" s="43" t="n">
        <v>12</v>
      </c>
      <c r="E1891" s="44" t="n">
        <v>28.31</v>
      </c>
      <c r="F1891" s="45" t="n">
        <f aca="false">IFERROR(D1891*E1891,0)</f>
        <v>339.72</v>
      </c>
      <c r="G1891" s="51" t="s">
        <v>99</v>
      </c>
      <c r="H1891" s="42" t="s">
        <v>20</v>
      </c>
    </row>
    <row r="1892" customFormat="false" ht="14.25" hidden="false" customHeight="true" outlineLevel="0" collapsed="false">
      <c r="A1892" s="50" t="s">
        <v>38</v>
      </c>
      <c r="B1892" s="51" t="s">
        <v>155</v>
      </c>
      <c r="C1892" s="51" t="s">
        <v>167</v>
      </c>
      <c r="D1892" s="52" t="n">
        <v>12</v>
      </c>
      <c r="E1892" s="53" t="n">
        <v>64.57</v>
      </c>
      <c r="F1892" s="54" t="n">
        <f aca="false">IFERROR(D1892*E1892,0)</f>
        <v>774.84</v>
      </c>
      <c r="G1892" s="51" t="s">
        <v>99</v>
      </c>
      <c r="H1892" s="51" t="s">
        <v>20</v>
      </c>
    </row>
    <row r="1893" customFormat="false" ht="14.25" hidden="false" customHeight="true" outlineLevel="0" collapsed="false">
      <c r="A1893" s="16" t="s">
        <v>38</v>
      </c>
      <c r="B1893" s="42" t="s">
        <v>157</v>
      </c>
      <c r="C1893" s="42" t="s">
        <v>247</v>
      </c>
      <c r="D1893" s="43" t="n">
        <v>1</v>
      </c>
      <c r="E1893" s="44" t="n">
        <v>242.73</v>
      </c>
      <c r="F1893" s="45" t="n">
        <f aca="false">IFERROR(D1893*E1893,0)</f>
        <v>242.73</v>
      </c>
      <c r="G1893" s="42" t="str">
        <f aca="false">INDEX(SETORES!$B:$B,MATCH(A1893,SETORES!$A:$A,0))</f>
        <v>Clientes</v>
      </c>
      <c r="H1893" s="42" t="s">
        <v>20</v>
      </c>
    </row>
    <row r="1894" customFormat="false" ht="14.25" hidden="false" customHeight="true" outlineLevel="0" collapsed="false">
      <c r="A1894" s="16" t="s">
        <v>38</v>
      </c>
      <c r="B1894" s="42" t="s">
        <v>157</v>
      </c>
      <c r="C1894" s="42" t="s">
        <v>191</v>
      </c>
      <c r="D1894" s="43" t="n">
        <v>1</v>
      </c>
      <c r="E1894" s="44" t="n">
        <v>23.5</v>
      </c>
      <c r="F1894" s="45" t="n">
        <f aca="false">IFERROR(D1894*E1894,0)</f>
        <v>23.5</v>
      </c>
      <c r="G1894" s="42" t="str">
        <f aca="false">INDEX(SETORES!$B:$B,MATCH(A1894,SETORES!$A:$A,0))</f>
        <v>Clientes</v>
      </c>
      <c r="H1894" s="42" t="s">
        <v>20</v>
      </c>
    </row>
    <row r="1895" customFormat="false" ht="14.25" hidden="false" customHeight="true" outlineLevel="0" collapsed="false">
      <c r="A1895" s="50" t="s">
        <v>38</v>
      </c>
      <c r="B1895" s="51" t="s">
        <v>155</v>
      </c>
      <c r="C1895" s="51" t="s">
        <v>168</v>
      </c>
      <c r="D1895" s="52" t="n">
        <v>1</v>
      </c>
      <c r="E1895" s="53" t="n">
        <v>102.1295</v>
      </c>
      <c r="F1895" s="54" t="n">
        <v>102.1295</v>
      </c>
      <c r="G1895" s="51" t="str">
        <f aca="false">INDEX(SETORES!$B:$B,MATCH(A1895,SETORES!$A:$A,0))</f>
        <v>Clientes</v>
      </c>
      <c r="H1895" s="51" t="s">
        <v>20</v>
      </c>
    </row>
    <row r="1896" customFormat="false" ht="14.25" hidden="false" customHeight="true" outlineLevel="0" collapsed="false">
      <c r="A1896" s="50" t="s">
        <v>38</v>
      </c>
      <c r="B1896" s="51" t="s">
        <v>157</v>
      </c>
      <c r="C1896" s="51" t="s">
        <v>174</v>
      </c>
      <c r="D1896" s="52" t="n">
        <v>1</v>
      </c>
      <c r="E1896" s="53" t="n">
        <v>316.67</v>
      </c>
      <c r="F1896" s="54" t="n">
        <f aca="false">IFERROR(D1896*E1896,0)</f>
        <v>316.67</v>
      </c>
      <c r="G1896" s="51" t="str">
        <f aca="false">INDEX(SETORES!$B:$B,MATCH(A1896,SETORES!$A:$A,0))</f>
        <v>Clientes</v>
      </c>
      <c r="H1896" s="51" t="s">
        <v>20</v>
      </c>
    </row>
    <row r="1897" customFormat="false" ht="14.25" hidden="false" customHeight="true" outlineLevel="0" collapsed="false">
      <c r="A1897" s="50" t="s">
        <v>38</v>
      </c>
      <c r="B1897" s="51" t="s">
        <v>157</v>
      </c>
      <c r="C1897" s="51" t="s">
        <v>175</v>
      </c>
      <c r="D1897" s="52" t="n">
        <v>1</v>
      </c>
      <c r="E1897" s="53" t="n">
        <v>340</v>
      </c>
      <c r="F1897" s="54" t="n">
        <f aca="false">IFERROR(D1897*E1897,0)</f>
        <v>340</v>
      </c>
      <c r="G1897" s="51" t="str">
        <f aca="false">INDEX(SETORES!$B:$B,MATCH(A1897,SETORES!$A:$A,0))</f>
        <v>Clientes</v>
      </c>
      <c r="H1897" s="51" t="s">
        <v>20</v>
      </c>
    </row>
    <row r="1898" customFormat="false" ht="14.25" hidden="false" customHeight="true" outlineLevel="0" collapsed="false">
      <c r="A1898" s="16" t="s">
        <v>38</v>
      </c>
      <c r="B1898" s="42" t="s">
        <v>157</v>
      </c>
      <c r="C1898" s="42" t="s">
        <v>176</v>
      </c>
      <c r="D1898" s="43" t="n">
        <v>1</v>
      </c>
      <c r="E1898" s="44" t="n">
        <v>181.33</v>
      </c>
      <c r="F1898" s="45" t="n">
        <f aca="false">IFERROR(D1898*E1898,0)</f>
        <v>181.33</v>
      </c>
      <c r="G1898" s="42" t="str">
        <f aca="false">INDEX(SETORES!$B:$B,MATCH(A1898,SETORES!$A:$A,0))</f>
        <v>Clientes</v>
      </c>
      <c r="H1898" s="42" t="s">
        <v>20</v>
      </c>
    </row>
    <row r="1899" customFormat="false" ht="14.25" hidden="false" customHeight="true" outlineLevel="0" collapsed="false">
      <c r="A1899" s="16" t="s">
        <v>38</v>
      </c>
      <c r="B1899" s="42" t="s">
        <v>155</v>
      </c>
      <c r="C1899" s="42" t="s">
        <v>169</v>
      </c>
      <c r="D1899" s="43" t="n">
        <v>1</v>
      </c>
      <c r="E1899" s="44" t="n">
        <v>35259.81</v>
      </c>
      <c r="F1899" s="45" t="n">
        <f aca="false">IFERROR(E1899,0)</f>
        <v>35259.81</v>
      </c>
      <c r="G1899" s="42" t="str">
        <f aca="false">INDEX(SETORES!$B:$B,MATCH(A1899,SETORES!$A:$A,0))</f>
        <v>Clientes</v>
      </c>
      <c r="H1899" s="42" t="s">
        <v>20</v>
      </c>
    </row>
    <row r="1900" customFormat="false" ht="14.25" hidden="false" customHeight="true" outlineLevel="0" collapsed="false">
      <c r="A1900" s="50" t="s">
        <v>38</v>
      </c>
      <c r="B1900" s="51" t="s">
        <v>155</v>
      </c>
      <c r="C1900" s="51" t="s">
        <v>170</v>
      </c>
      <c r="D1900" s="52" t="n">
        <v>12</v>
      </c>
      <c r="E1900" s="53" t="n">
        <v>10.05</v>
      </c>
      <c r="F1900" s="54" t="n">
        <f aca="false">IFERROR(D1900*E1900,0)</f>
        <v>120.6</v>
      </c>
      <c r="G1900" s="51" t="str">
        <f aca="false">INDEX(SETORES!$B:$B,MATCH(A1900,SETORES!$A:$A,0))</f>
        <v>Clientes</v>
      </c>
      <c r="H1900" s="51" t="s">
        <v>20</v>
      </c>
    </row>
    <row r="1901" customFormat="false" ht="14.25" hidden="false" customHeight="true" outlineLevel="0" collapsed="false">
      <c r="A1901" s="16" t="s">
        <v>38</v>
      </c>
      <c r="B1901" s="42" t="s">
        <v>155</v>
      </c>
      <c r="C1901" s="42" t="s">
        <v>172</v>
      </c>
      <c r="D1901" s="43" t="n">
        <v>13</v>
      </c>
      <c r="E1901" s="44" t="n">
        <v>50</v>
      </c>
      <c r="F1901" s="45" t="n">
        <f aca="false">IFERROR(D1901*E1901,0)</f>
        <v>650</v>
      </c>
      <c r="G1901" s="42" t="str">
        <f aca="false">INDEX(SETORES!$B:$B,MATCH(A1901,SETORES!$A:$A,0))</f>
        <v>Clientes</v>
      </c>
      <c r="H1901" s="42" t="s">
        <v>20</v>
      </c>
    </row>
    <row r="1902" customFormat="false" ht="14.25" hidden="false" customHeight="true" outlineLevel="0" collapsed="false">
      <c r="A1902" s="50" t="s">
        <v>38</v>
      </c>
      <c r="B1902" s="51" t="s">
        <v>155</v>
      </c>
      <c r="C1902" s="51" t="s">
        <v>177</v>
      </c>
      <c r="D1902" s="52" t="n">
        <v>12</v>
      </c>
      <c r="E1902" s="53" t="n">
        <v>0.3648</v>
      </c>
      <c r="F1902" s="54" t="n">
        <v>4.3776</v>
      </c>
      <c r="G1902" s="51" t="str">
        <f aca="false">INDEX(SETORES!$B:$B,MATCH(A1902,SETORES!$A:$A,0))</f>
        <v>Clientes</v>
      </c>
      <c r="H1902" s="51" t="s">
        <v>20</v>
      </c>
    </row>
    <row r="1903" customFormat="false" ht="14.25" hidden="false" customHeight="true" outlineLevel="0" collapsed="false">
      <c r="A1903" s="16" t="s">
        <v>38</v>
      </c>
      <c r="B1903" s="42" t="s">
        <v>155</v>
      </c>
      <c r="C1903" s="42" t="s">
        <v>178</v>
      </c>
      <c r="D1903" s="43" t="n">
        <v>1</v>
      </c>
      <c r="E1903" s="44" t="n">
        <v>339.577241</v>
      </c>
      <c r="F1903" s="45" t="n">
        <v>339.577241</v>
      </c>
      <c r="G1903" s="42" t="str">
        <f aca="false">INDEX(SETORES!$B:$B,MATCH(A1903,SETORES!$A:$A,0))</f>
        <v>Clientes</v>
      </c>
      <c r="H1903" s="42" t="s">
        <v>20</v>
      </c>
    </row>
    <row r="1904" customFormat="false" ht="14.25" hidden="false" customHeight="true" outlineLevel="0" collapsed="false">
      <c r="A1904" s="50" t="s">
        <v>38</v>
      </c>
      <c r="B1904" s="51" t="s">
        <v>155</v>
      </c>
      <c r="C1904" s="51" t="s">
        <v>238</v>
      </c>
      <c r="D1904" s="52" t="n">
        <v>1</v>
      </c>
      <c r="E1904" s="53" t="n">
        <v>258.620688</v>
      </c>
      <c r="F1904" s="54" t="n">
        <f aca="false">IFERROR(D1904*E1904,0)</f>
        <v>258.620688</v>
      </c>
      <c r="G1904" s="51" t="str">
        <f aca="false">INDEX(SETORES!$B:$B,MATCH(A1904,SETORES!$A:$A,0))</f>
        <v>Clientes</v>
      </c>
      <c r="H1904" s="51" t="s">
        <v>20</v>
      </c>
    </row>
    <row r="1905" customFormat="false" ht="14.25" hidden="false" customHeight="true" outlineLevel="0" collapsed="false">
      <c r="A1905" s="16" t="s">
        <v>38</v>
      </c>
      <c r="B1905" s="42" t="s">
        <v>155</v>
      </c>
      <c r="C1905" s="42" t="s">
        <v>248</v>
      </c>
      <c r="D1905" s="43" t="n">
        <v>1</v>
      </c>
      <c r="E1905" s="44" t="n">
        <v>34.482408</v>
      </c>
      <c r="F1905" s="45" t="n">
        <f aca="false">IFERROR(D1905*E1905,0)</f>
        <v>34.482408</v>
      </c>
      <c r="G1905" s="42" t="str">
        <f aca="false">INDEX(SETORES!$B:$B,MATCH(A1905,SETORES!$A:$A,0))</f>
        <v>Clientes</v>
      </c>
      <c r="H1905" s="42" t="s">
        <v>20</v>
      </c>
    </row>
    <row r="1906" customFormat="false" ht="14.25" hidden="false" customHeight="true" outlineLevel="0" collapsed="false">
      <c r="A1906" s="50" t="s">
        <v>38</v>
      </c>
      <c r="B1906" s="51" t="s">
        <v>157</v>
      </c>
      <c r="C1906" s="51" t="s">
        <v>239</v>
      </c>
      <c r="D1906" s="52" t="n">
        <v>1</v>
      </c>
      <c r="E1906" s="53" t="n">
        <v>95.568624</v>
      </c>
      <c r="F1906" s="54" t="n">
        <f aca="false">IFERROR(D1906*E1906,0)</f>
        <v>95.568624</v>
      </c>
      <c r="G1906" s="51" t="str">
        <f aca="false">INDEX(SETORES!$B:$B,MATCH(A1906,SETORES!$A:$A,0))</f>
        <v>Clientes</v>
      </c>
      <c r="H1906" s="51" t="s">
        <v>20</v>
      </c>
    </row>
    <row r="1907" customFormat="false" ht="14.25" hidden="false" customHeight="true" outlineLevel="0" collapsed="false">
      <c r="A1907" s="50" t="s">
        <v>38</v>
      </c>
      <c r="B1907" s="51" t="s">
        <v>155</v>
      </c>
      <c r="C1907" s="51" t="s">
        <v>182</v>
      </c>
      <c r="D1907" s="52" t="n">
        <v>1</v>
      </c>
      <c r="E1907" s="53" t="n">
        <v>550.095516</v>
      </c>
      <c r="F1907" s="54" t="n">
        <f aca="false">IFERROR(D1907*E1907,0)</f>
        <v>550.095516</v>
      </c>
      <c r="G1907" s="51" t="str">
        <f aca="false">INDEX(SETORES!$B:$B,MATCH(A1907,SETORES!$A:$A,0))</f>
        <v>Clientes</v>
      </c>
      <c r="H1907" s="51" t="s">
        <v>20</v>
      </c>
    </row>
    <row r="1908" customFormat="false" ht="14.25" hidden="false" customHeight="true" outlineLevel="0" collapsed="false">
      <c r="A1908" s="16" t="s">
        <v>38</v>
      </c>
      <c r="B1908" s="42" t="s">
        <v>155</v>
      </c>
      <c r="C1908" s="42" t="s">
        <v>173</v>
      </c>
      <c r="D1908" s="43" t="n">
        <v>12</v>
      </c>
      <c r="E1908" s="44" t="n">
        <v>2.07</v>
      </c>
      <c r="F1908" s="45" t="n">
        <f aca="false">IFERROR(D1908*E1908,0)</f>
        <v>24.84</v>
      </c>
      <c r="G1908" s="42" t="str">
        <f aca="false">INDEX(SETORES!$B:$B,MATCH(A1908,SETORES!$A:$A,0))</f>
        <v>Clientes</v>
      </c>
      <c r="H1908" s="42" t="s">
        <v>20</v>
      </c>
    </row>
    <row r="1909" customFormat="false" ht="14.25" hidden="false" customHeight="true" outlineLevel="0" collapsed="false">
      <c r="A1909" s="16" t="s">
        <v>38</v>
      </c>
      <c r="B1909" s="42" t="s">
        <v>155</v>
      </c>
      <c r="C1909" s="42" t="s">
        <v>249</v>
      </c>
      <c r="D1909" s="43" t="n">
        <v>1</v>
      </c>
      <c r="E1909" s="44" t="n">
        <v>1641.85</v>
      </c>
      <c r="F1909" s="45" t="n">
        <f aca="false">IFERROR(D1909*E1909,0)</f>
        <v>1641.85</v>
      </c>
      <c r="G1909" s="42" t="str">
        <f aca="false">INDEX(SETORES!$B:$B,MATCH(A1909,SETORES!$A:$A,0))</f>
        <v>Clientes</v>
      </c>
      <c r="H1909" s="42" t="s">
        <v>20</v>
      </c>
    </row>
    <row r="1910" customFormat="false" ht="14.25" hidden="false" customHeight="true" outlineLevel="0" collapsed="false">
      <c r="A1910" s="50" t="s">
        <v>38</v>
      </c>
      <c r="B1910" s="51" t="s">
        <v>155</v>
      </c>
      <c r="C1910" s="51" t="s">
        <v>179</v>
      </c>
      <c r="D1910" s="52"/>
      <c r="E1910" s="53"/>
      <c r="F1910" s="54" t="n">
        <f aca="false">IFERROR(D1910*E1910,0)</f>
        <v>0</v>
      </c>
      <c r="G1910" s="51" t="str">
        <f aca="false">INDEX(SETORES!$B:$B,MATCH(A1910,SETORES!$A:$A,0))</f>
        <v>Clientes</v>
      </c>
      <c r="H1910" s="51" t="s">
        <v>20</v>
      </c>
    </row>
    <row r="1911" customFormat="false" ht="14.25" hidden="false" customHeight="true" outlineLevel="0" collapsed="false">
      <c r="A1911" s="50" t="s">
        <v>38</v>
      </c>
      <c r="B1911" s="51" t="s">
        <v>155</v>
      </c>
      <c r="C1911" s="51" t="s">
        <v>250</v>
      </c>
      <c r="D1911" s="52" t="n">
        <v>1</v>
      </c>
      <c r="E1911" s="53" t="n">
        <v>52</v>
      </c>
      <c r="F1911" s="54" t="n">
        <f aca="false">IFERROR(D1911*E1911,0)</f>
        <v>52</v>
      </c>
      <c r="G1911" s="51" t="str">
        <f aca="false">INDEX(SETORES!$B:$B,MATCH(A1911,SETORES!$A:$A,0))</f>
        <v>Clientes</v>
      </c>
      <c r="H1911" s="51" t="s">
        <v>20</v>
      </c>
    </row>
    <row r="1912" customFormat="false" ht="14.25" hidden="false" customHeight="true" outlineLevel="0" collapsed="false">
      <c r="A1912" s="16" t="s">
        <v>78</v>
      </c>
      <c r="B1912" s="42" t="s">
        <v>155</v>
      </c>
      <c r="C1912" s="42" t="s">
        <v>162</v>
      </c>
      <c r="D1912" s="43" t="n">
        <v>15</v>
      </c>
      <c r="E1912" s="44" t="n">
        <v>3.69</v>
      </c>
      <c r="F1912" s="54" t="n">
        <f aca="false">IFERROR(D1912*E1912,0)</f>
        <v>55.35</v>
      </c>
      <c r="G1912" s="42" t="str">
        <f aca="false">INDEX(SETORES!$B:$B,MATCH(A1912,SETORES!$A:$A,0))</f>
        <v>Clientes</v>
      </c>
      <c r="H1912" s="42" t="s">
        <v>20</v>
      </c>
    </row>
    <row r="1913" customFormat="false" ht="14.25" hidden="false" customHeight="true" outlineLevel="0" collapsed="false">
      <c r="A1913" s="16" t="s">
        <v>78</v>
      </c>
      <c r="B1913" s="42" t="s">
        <v>155</v>
      </c>
      <c r="C1913" s="42" t="s">
        <v>163</v>
      </c>
      <c r="D1913" s="43" t="n">
        <v>12</v>
      </c>
      <c r="E1913" s="44" t="n">
        <v>30</v>
      </c>
      <c r="F1913" s="45" t="n">
        <f aca="false">IFERROR(D1913*E1913,0)</f>
        <v>360</v>
      </c>
      <c r="G1913" s="42" t="str">
        <f aca="false">INDEX(SETORES!$B:$B,MATCH(A1913,SETORES!$A:$A,0))</f>
        <v>Clientes</v>
      </c>
      <c r="H1913" s="42" t="s">
        <v>20</v>
      </c>
    </row>
    <row r="1914" customFormat="false" ht="14.25" hidden="false" customHeight="true" outlineLevel="0" collapsed="false">
      <c r="A1914" s="50" t="s">
        <v>78</v>
      </c>
      <c r="B1914" s="51" t="s">
        <v>155</v>
      </c>
      <c r="C1914" s="51" t="s">
        <v>165</v>
      </c>
      <c r="D1914" s="52" t="n">
        <v>15</v>
      </c>
      <c r="E1914" s="53" t="n">
        <v>47.79</v>
      </c>
      <c r="F1914" s="54" t="n">
        <f aca="false">IFERROR(D1914*E1914,0)</f>
        <v>716.85</v>
      </c>
      <c r="G1914" s="42" t="s">
        <v>99</v>
      </c>
      <c r="H1914" s="51" t="s">
        <v>20</v>
      </c>
    </row>
    <row r="1915" customFormat="false" ht="14.25" hidden="false" customHeight="true" outlineLevel="0" collapsed="false">
      <c r="A1915" s="16" t="s">
        <v>78</v>
      </c>
      <c r="B1915" s="42" t="s">
        <v>155</v>
      </c>
      <c r="C1915" s="42" t="s">
        <v>166</v>
      </c>
      <c r="D1915" s="43" t="n">
        <v>15</v>
      </c>
      <c r="E1915" s="44" t="n">
        <v>28.31</v>
      </c>
      <c r="F1915" s="45" t="n">
        <f aca="false">IFERROR(D1915*E1915,0)</f>
        <v>424.65</v>
      </c>
      <c r="G1915" s="51" t="s">
        <v>99</v>
      </c>
      <c r="H1915" s="42" t="s">
        <v>20</v>
      </c>
    </row>
    <row r="1916" customFormat="false" ht="14.25" hidden="false" customHeight="true" outlineLevel="0" collapsed="false">
      <c r="A1916" s="16" t="s">
        <v>78</v>
      </c>
      <c r="B1916" s="42" t="s">
        <v>155</v>
      </c>
      <c r="C1916" s="42" t="s">
        <v>167</v>
      </c>
      <c r="D1916" s="43" t="n">
        <v>15</v>
      </c>
      <c r="E1916" s="44" t="n">
        <v>64.57</v>
      </c>
      <c r="F1916" s="45" t="n">
        <f aca="false">IFERROR(D1916*E1916,0)</f>
        <v>968.55</v>
      </c>
      <c r="G1916" s="51" t="s">
        <v>99</v>
      </c>
      <c r="H1916" s="42" t="s">
        <v>20</v>
      </c>
    </row>
    <row r="1917" customFormat="false" ht="14.25" hidden="false" customHeight="true" outlineLevel="0" collapsed="false">
      <c r="A1917" s="50" t="s">
        <v>78</v>
      </c>
      <c r="B1917" s="51" t="s">
        <v>155</v>
      </c>
      <c r="C1917" s="51" t="s">
        <v>168</v>
      </c>
      <c r="D1917" s="52" t="n">
        <v>15</v>
      </c>
      <c r="E1917" s="53" t="n">
        <v>185.92</v>
      </c>
      <c r="F1917" s="54" t="n">
        <f aca="false">IFERROR(D1917*E1917,0)</f>
        <v>2788.8</v>
      </c>
      <c r="G1917" s="51" t="str">
        <f aca="false">INDEX(SETORES!$B:$B,MATCH(A1917,SETORES!$A:$A,0))</f>
        <v>Clientes</v>
      </c>
      <c r="H1917" s="51" t="s">
        <v>20</v>
      </c>
    </row>
    <row r="1918" customFormat="false" ht="14.25" hidden="false" customHeight="true" outlineLevel="0" collapsed="false">
      <c r="A1918" s="50" t="s">
        <v>78</v>
      </c>
      <c r="B1918" s="51" t="s">
        <v>155</v>
      </c>
      <c r="C1918" s="51" t="s">
        <v>169</v>
      </c>
      <c r="D1918" s="52" t="n">
        <v>1</v>
      </c>
      <c r="E1918" s="53" t="n">
        <v>78365.15</v>
      </c>
      <c r="F1918" s="54" t="n">
        <f aca="false">IFERROR(E1918,0)</f>
        <v>78365.15</v>
      </c>
      <c r="G1918" s="51" t="str">
        <f aca="false">INDEX(SETORES!$B:$B,MATCH(A1918,SETORES!$A:$A,0))</f>
        <v>Clientes</v>
      </c>
      <c r="H1918" s="51" t="s">
        <v>20</v>
      </c>
    </row>
    <row r="1919" customFormat="false" ht="14.25" hidden="false" customHeight="true" outlineLevel="0" collapsed="false">
      <c r="A1919" s="50" t="s">
        <v>78</v>
      </c>
      <c r="B1919" s="51" t="s">
        <v>155</v>
      </c>
      <c r="C1919" s="51" t="s">
        <v>170</v>
      </c>
      <c r="D1919" s="52" t="n">
        <v>15</v>
      </c>
      <c r="E1919" s="53" t="n">
        <v>10.05</v>
      </c>
      <c r="F1919" s="54" t="n">
        <f aca="false">IFERROR(D1919*E1919,0)</f>
        <v>150.75</v>
      </c>
      <c r="G1919" s="51" t="str">
        <f aca="false">INDEX(SETORES!$B:$B,MATCH(A1919,SETORES!$A:$A,0))</f>
        <v>Clientes</v>
      </c>
      <c r="H1919" s="51" t="s">
        <v>20</v>
      </c>
    </row>
    <row r="1920" customFormat="false" ht="14.25" hidden="false" customHeight="true" outlineLevel="0" collapsed="false">
      <c r="A1920" s="50" t="s">
        <v>78</v>
      </c>
      <c r="B1920" s="51" t="s">
        <v>155</v>
      </c>
      <c r="C1920" s="51" t="s">
        <v>172</v>
      </c>
      <c r="D1920" s="52" t="n">
        <v>15</v>
      </c>
      <c r="E1920" s="53" t="n">
        <v>50</v>
      </c>
      <c r="F1920" s="54" t="n">
        <f aca="false">IFERROR(D1920*E1920,0)</f>
        <v>750</v>
      </c>
      <c r="G1920" s="51" t="str">
        <f aca="false">INDEX(SETORES!$B:$B,MATCH(A1920,SETORES!$A:$A,0))</f>
        <v>Clientes</v>
      </c>
      <c r="H1920" s="51" t="s">
        <v>20</v>
      </c>
    </row>
    <row r="1921" customFormat="false" ht="14.25" hidden="false" customHeight="true" outlineLevel="0" collapsed="false">
      <c r="A1921" s="50" t="s">
        <v>78</v>
      </c>
      <c r="B1921" s="51" t="s">
        <v>157</v>
      </c>
      <c r="C1921" s="51" t="s">
        <v>184</v>
      </c>
      <c r="D1921" s="52" t="n">
        <v>15</v>
      </c>
      <c r="E1921" s="53" t="n">
        <v>65.21</v>
      </c>
      <c r="F1921" s="54" t="n">
        <f aca="false">IFERROR(D1921*E1921,0)</f>
        <v>978.15</v>
      </c>
      <c r="G1921" s="51" t="str">
        <f aca="false">INDEX(SETORES!$B:$B,MATCH(A1921,SETORES!$A:$A,0))</f>
        <v>Clientes</v>
      </c>
      <c r="H1921" s="51" t="s">
        <v>20</v>
      </c>
    </row>
    <row r="1922" customFormat="false" ht="14.25" hidden="false" customHeight="true" outlineLevel="0" collapsed="false">
      <c r="A1922" s="50" t="s">
        <v>78</v>
      </c>
      <c r="B1922" s="51" t="s">
        <v>157</v>
      </c>
      <c r="C1922" s="51" t="s">
        <v>158</v>
      </c>
      <c r="D1922" s="52"/>
      <c r="E1922" s="53"/>
      <c r="F1922" s="54" t="n">
        <f aca="false">IFERROR(D1922*E1922,0)</f>
        <v>0</v>
      </c>
      <c r="G1922" s="51" t="str">
        <f aca="false">INDEX(SETORES!$B:$B,MATCH(A1922,SETORES!$A:$A,0))</f>
        <v>Clientes</v>
      </c>
      <c r="H1922" s="51" t="s">
        <v>20</v>
      </c>
    </row>
    <row r="1923" customFormat="false" ht="14.25" hidden="false" customHeight="true" outlineLevel="0" collapsed="false">
      <c r="A1923" s="16" t="s">
        <v>78</v>
      </c>
      <c r="B1923" s="42" t="s">
        <v>155</v>
      </c>
      <c r="C1923" s="42" t="s">
        <v>173</v>
      </c>
      <c r="D1923" s="43" t="n">
        <v>15</v>
      </c>
      <c r="E1923" s="44" t="n">
        <v>2.07</v>
      </c>
      <c r="F1923" s="45" t="n">
        <f aca="false">IFERROR(D1923*E1923,0)</f>
        <v>31.05</v>
      </c>
      <c r="G1923" s="42" t="str">
        <f aca="false">INDEX(SETORES!$B:$B,MATCH(A1923,SETORES!$A:$A,0))</f>
        <v>Clientes</v>
      </c>
      <c r="H1923" s="42" t="s">
        <v>20</v>
      </c>
    </row>
    <row r="1924" customFormat="false" ht="14.25" hidden="false" customHeight="true" outlineLevel="0" collapsed="false">
      <c r="A1924" s="50" t="s">
        <v>54</v>
      </c>
      <c r="B1924" s="51" t="s">
        <v>155</v>
      </c>
      <c r="C1924" s="51" t="s">
        <v>185</v>
      </c>
      <c r="D1924" s="52" t="n">
        <v>1</v>
      </c>
      <c r="E1924" s="53" t="n">
        <v>545.99</v>
      </c>
      <c r="F1924" s="54" t="n">
        <f aca="false">IFERROR(D1924*E1924,0)</f>
        <v>545.99</v>
      </c>
      <c r="G1924" s="51" t="str">
        <f aca="false">INDEX(SETORES!$B:$B,MATCH(A1924,SETORES!$A:$A,0))</f>
        <v>Clientes</v>
      </c>
      <c r="H1924" s="51" t="s">
        <v>20</v>
      </c>
    </row>
    <row r="1925" customFormat="false" ht="14.25" hidden="false" customHeight="true" outlineLevel="0" collapsed="false">
      <c r="A1925" s="16" t="s">
        <v>54</v>
      </c>
      <c r="B1925" s="42" t="s">
        <v>157</v>
      </c>
      <c r="C1925" s="42" t="s">
        <v>199</v>
      </c>
      <c r="D1925" s="43"/>
      <c r="E1925" s="44"/>
      <c r="F1925" s="45" t="n">
        <f aca="false">IFERROR(D1925*E1925,0)</f>
        <v>0</v>
      </c>
      <c r="G1925" s="42" t="str">
        <f aca="false">INDEX(SETORES!$B:$B,MATCH(A1925,SETORES!$A:$A,0))</f>
        <v>Clientes</v>
      </c>
      <c r="H1925" s="42" t="s">
        <v>20</v>
      </c>
    </row>
    <row r="1926" customFormat="false" ht="14.25" hidden="false" customHeight="true" outlineLevel="0" collapsed="false">
      <c r="A1926" s="16" t="s">
        <v>54</v>
      </c>
      <c r="B1926" s="42" t="s">
        <v>157</v>
      </c>
      <c r="C1926" s="42" t="s">
        <v>186</v>
      </c>
      <c r="D1926" s="43" t="n">
        <v>1</v>
      </c>
      <c r="E1926" s="44" t="n">
        <v>3504.09</v>
      </c>
      <c r="F1926" s="45" t="n">
        <f aca="false">IFERROR(D1926*E1926,0)</f>
        <v>3504.09</v>
      </c>
      <c r="G1926" s="42" t="str">
        <f aca="false">INDEX(SETORES!$B:$B,MATCH(A1926,SETORES!$A:$A,0))</f>
        <v>Clientes</v>
      </c>
      <c r="H1926" s="42" t="s">
        <v>20</v>
      </c>
    </row>
    <row r="1927" customFormat="false" ht="14.25" hidden="false" customHeight="true" outlineLevel="0" collapsed="false">
      <c r="A1927" s="16" t="s">
        <v>54</v>
      </c>
      <c r="B1927" s="42" t="s">
        <v>155</v>
      </c>
      <c r="C1927" s="42" t="s">
        <v>187</v>
      </c>
      <c r="D1927" s="43" t="n">
        <v>1</v>
      </c>
      <c r="E1927" s="44" t="n">
        <v>2997</v>
      </c>
      <c r="F1927" s="45" t="n">
        <f aca="false">IFERROR(D1927*E1927,0)</f>
        <v>2997</v>
      </c>
      <c r="G1927" s="42" t="str">
        <f aca="false">INDEX(SETORES!$B:$B,MATCH(A1927,SETORES!$A:$A,0))</f>
        <v>Clientes</v>
      </c>
      <c r="H1927" s="42" t="s">
        <v>20</v>
      </c>
    </row>
    <row r="1928" customFormat="false" ht="14.25" hidden="false" customHeight="true" outlineLevel="0" collapsed="false">
      <c r="A1928" s="16" t="s">
        <v>54</v>
      </c>
      <c r="B1928" s="42" t="s">
        <v>155</v>
      </c>
      <c r="C1928" s="42" t="s">
        <v>165</v>
      </c>
      <c r="D1928" s="43" t="n">
        <v>10</v>
      </c>
      <c r="E1928" s="44" t="n">
        <v>47.79</v>
      </c>
      <c r="F1928" s="45" t="n">
        <f aca="false">IFERROR(D1928*E1928,0)</f>
        <v>477.9</v>
      </c>
      <c r="G1928" s="42" t="s">
        <v>99</v>
      </c>
      <c r="H1928" s="42" t="s">
        <v>20</v>
      </c>
    </row>
    <row r="1929" customFormat="false" ht="14.25" hidden="false" customHeight="true" outlineLevel="0" collapsed="false">
      <c r="A1929" s="50" t="s">
        <v>54</v>
      </c>
      <c r="B1929" s="51" t="s">
        <v>155</v>
      </c>
      <c r="C1929" s="51" t="s">
        <v>166</v>
      </c>
      <c r="D1929" s="52" t="n">
        <v>10</v>
      </c>
      <c r="E1929" s="53" t="n">
        <v>28.31</v>
      </c>
      <c r="F1929" s="54" t="n">
        <f aca="false">IFERROR(D1929*E1929,0)</f>
        <v>283.1</v>
      </c>
      <c r="G1929" s="51" t="s">
        <v>99</v>
      </c>
      <c r="H1929" s="51" t="s">
        <v>20</v>
      </c>
    </row>
    <row r="1930" customFormat="false" ht="14.25" hidden="false" customHeight="true" outlineLevel="0" collapsed="false">
      <c r="A1930" s="50" t="s">
        <v>54</v>
      </c>
      <c r="B1930" s="51" t="s">
        <v>155</v>
      </c>
      <c r="C1930" s="51" t="s">
        <v>167</v>
      </c>
      <c r="D1930" s="52" t="n">
        <v>9</v>
      </c>
      <c r="E1930" s="53" t="n">
        <v>64.57</v>
      </c>
      <c r="F1930" s="54" t="n">
        <f aca="false">IFERROR(D1930*E1930,0)</f>
        <v>581.13</v>
      </c>
      <c r="G1930" s="51" t="s">
        <v>99</v>
      </c>
      <c r="H1930" s="51" t="s">
        <v>20</v>
      </c>
    </row>
    <row r="1931" customFormat="false" ht="14.25" hidden="false" customHeight="true" outlineLevel="0" collapsed="false">
      <c r="A1931" s="16" t="s">
        <v>54</v>
      </c>
      <c r="B1931" s="42" t="s">
        <v>157</v>
      </c>
      <c r="C1931" s="42" t="s">
        <v>240</v>
      </c>
      <c r="D1931" s="43"/>
      <c r="E1931" s="44"/>
      <c r="F1931" s="45" t="n">
        <f aca="false">IFERROR(D1931*E1931,0)</f>
        <v>0</v>
      </c>
      <c r="G1931" s="51" t="s">
        <v>99</v>
      </c>
      <c r="H1931" s="42" t="s">
        <v>20</v>
      </c>
    </row>
    <row r="1932" customFormat="false" ht="14.25" hidden="false" customHeight="true" outlineLevel="0" collapsed="false">
      <c r="A1932" s="16" t="s">
        <v>54</v>
      </c>
      <c r="B1932" s="42" t="s">
        <v>157</v>
      </c>
      <c r="C1932" s="42" t="s">
        <v>188</v>
      </c>
      <c r="D1932" s="43"/>
      <c r="E1932" s="44"/>
      <c r="F1932" s="45" t="n">
        <f aca="false">IFERROR(D1932*E1932,0)</f>
        <v>0</v>
      </c>
      <c r="G1932" s="42" t="str">
        <f aca="false">INDEX(SETORES!$B:$B,MATCH(A1932,SETORES!$A:$A,0))</f>
        <v>Clientes</v>
      </c>
      <c r="H1932" s="42" t="s">
        <v>20</v>
      </c>
    </row>
    <row r="1933" customFormat="false" ht="14.25" hidden="false" customHeight="true" outlineLevel="0" collapsed="false">
      <c r="A1933" s="16" t="s">
        <v>54</v>
      </c>
      <c r="B1933" s="42" t="s">
        <v>155</v>
      </c>
      <c r="C1933" s="42" t="s">
        <v>189</v>
      </c>
      <c r="D1933" s="43"/>
      <c r="E1933" s="44"/>
      <c r="F1933" s="45" t="n">
        <f aca="false">IFERROR(D1933*E1933,0)</f>
        <v>0</v>
      </c>
      <c r="G1933" s="42" t="str">
        <f aca="false">INDEX(SETORES!$B:$B,MATCH(A1933,SETORES!$A:$A,0))</f>
        <v>Clientes</v>
      </c>
      <c r="H1933" s="42" t="s">
        <v>20</v>
      </c>
    </row>
    <row r="1934" customFormat="false" ht="14.25" hidden="false" customHeight="true" outlineLevel="0" collapsed="false">
      <c r="A1934" s="16" t="s">
        <v>54</v>
      </c>
      <c r="B1934" s="42" t="s">
        <v>155</v>
      </c>
      <c r="C1934" s="42" t="s">
        <v>190</v>
      </c>
      <c r="D1934" s="43" t="n">
        <v>10</v>
      </c>
      <c r="E1934" s="44" t="n">
        <v>50</v>
      </c>
      <c r="F1934" s="45" t="n">
        <f aca="false">IFERROR(D1934*E1934,0)</f>
        <v>500</v>
      </c>
      <c r="G1934" s="42" t="str">
        <f aca="false">INDEX(SETORES!$B:$B,MATCH(A1934,SETORES!$A:$A,0))</f>
        <v>Clientes</v>
      </c>
      <c r="H1934" s="42" t="s">
        <v>20</v>
      </c>
    </row>
    <row r="1935" customFormat="false" ht="14.25" hidden="false" customHeight="true" outlineLevel="0" collapsed="false">
      <c r="A1935" s="16" t="s">
        <v>54</v>
      </c>
      <c r="B1935" s="42" t="s">
        <v>157</v>
      </c>
      <c r="C1935" s="42" t="s">
        <v>191</v>
      </c>
      <c r="D1935" s="43"/>
      <c r="E1935" s="44"/>
      <c r="F1935" s="45" t="n">
        <f aca="false">IFERROR(D1935*E1935,0)</f>
        <v>0</v>
      </c>
      <c r="G1935" s="42" t="str">
        <f aca="false">INDEX(SETORES!$B:$B,MATCH(A1935,SETORES!$A:$A,0))</f>
        <v>Clientes</v>
      </c>
      <c r="H1935" s="42" t="s">
        <v>20</v>
      </c>
    </row>
    <row r="1936" customFormat="false" ht="14.25" hidden="false" customHeight="true" outlineLevel="0" collapsed="false">
      <c r="A1936" s="50" t="s">
        <v>54</v>
      </c>
      <c r="B1936" s="51" t="s">
        <v>155</v>
      </c>
      <c r="C1936" s="51" t="s">
        <v>168</v>
      </c>
      <c r="D1936" s="52" t="n">
        <v>1</v>
      </c>
      <c r="E1936" s="53" t="n">
        <v>93.6187</v>
      </c>
      <c r="F1936" s="54" t="n">
        <v>93.6187</v>
      </c>
      <c r="G1936" s="51" t="s">
        <v>97</v>
      </c>
      <c r="H1936" s="51" t="s">
        <v>20</v>
      </c>
    </row>
    <row r="1937" customFormat="false" ht="14.25" hidden="false" customHeight="true" outlineLevel="0" collapsed="false">
      <c r="A1937" s="50" t="s">
        <v>54</v>
      </c>
      <c r="B1937" s="51" t="s">
        <v>155</v>
      </c>
      <c r="C1937" s="51" t="s">
        <v>241</v>
      </c>
      <c r="D1937" s="52" t="n">
        <v>10</v>
      </c>
      <c r="E1937" s="53" t="n">
        <v>102601.16</v>
      </c>
      <c r="F1937" s="54" t="n">
        <f aca="false">IFERROR(E1937,0)</f>
        <v>102601.16</v>
      </c>
      <c r="G1937" s="51" t="str">
        <f aca="false">INDEX(SETORES!$B:$B,MATCH(A1937,SETORES!$A:$A,0))</f>
        <v>Clientes</v>
      </c>
      <c r="H1937" s="51" t="s">
        <v>20</v>
      </c>
    </row>
    <row r="1938" customFormat="false" ht="14.25" hidden="false" customHeight="true" outlineLevel="0" collapsed="false">
      <c r="A1938" s="50" t="s">
        <v>54</v>
      </c>
      <c r="B1938" s="51" t="s">
        <v>155</v>
      </c>
      <c r="C1938" s="51" t="s">
        <v>170</v>
      </c>
      <c r="D1938" s="52" t="n">
        <v>10</v>
      </c>
      <c r="E1938" s="53" t="n">
        <v>10.05</v>
      </c>
      <c r="F1938" s="54" t="n">
        <f aca="false">IFERROR(D1938*E1938,0)</f>
        <v>100.5</v>
      </c>
      <c r="G1938" s="51" t="str">
        <f aca="false">INDEX(SETORES!$B:$B,MATCH(A1938,SETORES!$A:$A,0))</f>
        <v>Clientes</v>
      </c>
      <c r="H1938" s="51" t="s">
        <v>20</v>
      </c>
    </row>
    <row r="1939" customFormat="false" ht="14.25" hidden="false" customHeight="true" outlineLevel="0" collapsed="false">
      <c r="A1939" s="50" t="s">
        <v>54</v>
      </c>
      <c r="B1939" s="51" t="s">
        <v>155</v>
      </c>
      <c r="C1939" s="51" t="s">
        <v>183</v>
      </c>
      <c r="D1939" s="52" t="n">
        <v>1</v>
      </c>
      <c r="E1939" s="53" t="n">
        <v>11.11111</v>
      </c>
      <c r="F1939" s="54" t="n">
        <f aca="false">IFERROR(D1939*E1939,0)</f>
        <v>11.11111</v>
      </c>
      <c r="G1939" s="51" t="str">
        <f aca="false">INDEX(SETORES!$B:$B,MATCH(A1939,SETORES!$A:$A,0))</f>
        <v>Clientes</v>
      </c>
      <c r="H1939" s="51" t="s">
        <v>20</v>
      </c>
    </row>
    <row r="1940" customFormat="false" ht="14.25" hidden="false" customHeight="true" outlineLevel="0" collapsed="false">
      <c r="A1940" s="16" t="s">
        <v>54</v>
      </c>
      <c r="B1940" s="42" t="s">
        <v>155</v>
      </c>
      <c r="C1940" s="42" t="s">
        <v>192</v>
      </c>
      <c r="D1940" s="43" t="n">
        <v>7</v>
      </c>
      <c r="E1940" s="44" t="n">
        <v>30</v>
      </c>
      <c r="F1940" s="45" t="n">
        <f aca="false">IFERROR(D1940*E1940,0)</f>
        <v>210</v>
      </c>
      <c r="G1940" s="42" t="str">
        <f aca="false">INDEX(SETORES!$B:$B,MATCH(A1940,SETORES!$A:$A,0))</f>
        <v>Clientes</v>
      </c>
      <c r="H1940" s="42" t="s">
        <v>20</v>
      </c>
    </row>
    <row r="1941" customFormat="false" ht="14.25" hidden="false" customHeight="true" outlineLevel="0" collapsed="false">
      <c r="A1941" s="50" t="s">
        <v>54</v>
      </c>
      <c r="B1941" s="51" t="s">
        <v>157</v>
      </c>
      <c r="C1941" s="51" t="s">
        <v>193</v>
      </c>
      <c r="D1941" s="52"/>
      <c r="E1941" s="53"/>
      <c r="F1941" s="54" t="n">
        <f aca="false">IFERROR(D1941*E1941,0)</f>
        <v>0</v>
      </c>
      <c r="G1941" s="51" t="str">
        <f aca="false">INDEX(SETORES!$B:$B,MATCH(A1941,SETORES!$A:$A,0))</f>
        <v>Clientes</v>
      </c>
      <c r="H1941" s="51" t="s">
        <v>20</v>
      </c>
    </row>
    <row r="1942" customFormat="false" ht="14.25" hidden="false" customHeight="true" outlineLevel="0" collapsed="false">
      <c r="A1942" s="50" t="s">
        <v>54</v>
      </c>
      <c r="B1942" s="51" t="s">
        <v>157</v>
      </c>
      <c r="C1942" s="51" t="s">
        <v>194</v>
      </c>
      <c r="D1942" s="52" t="n">
        <v>2</v>
      </c>
      <c r="E1942" s="53" t="n">
        <v>68</v>
      </c>
      <c r="F1942" s="54" t="n">
        <f aca="false">IFERROR(D1942*E1942,0)</f>
        <v>136</v>
      </c>
      <c r="G1942" s="51" t="str">
        <f aca="false">INDEX(SETORES!$B:$B,MATCH(A1942,SETORES!$A:$A,0))</f>
        <v>Clientes</v>
      </c>
      <c r="H1942" s="51" t="s">
        <v>20</v>
      </c>
    </row>
    <row r="1943" customFormat="false" ht="14.25" hidden="false" customHeight="true" outlineLevel="0" collapsed="false">
      <c r="A1943" s="50" t="s">
        <v>54</v>
      </c>
      <c r="B1943" s="51" t="s">
        <v>157</v>
      </c>
      <c r="C1943" s="51" t="s">
        <v>196</v>
      </c>
      <c r="D1943" s="52"/>
      <c r="E1943" s="53"/>
      <c r="F1943" s="54" t="n">
        <f aca="false">IFERROR(D1943*E1943,0)</f>
        <v>0</v>
      </c>
      <c r="G1943" s="51" t="str">
        <f aca="false">INDEX(SETORES!$B:$B,MATCH(A1943,SETORES!$A:$A,0))</f>
        <v>Clientes</v>
      </c>
      <c r="H1943" s="51" t="s">
        <v>20</v>
      </c>
    </row>
    <row r="1944" customFormat="false" ht="14.25" hidden="false" customHeight="true" outlineLevel="0" collapsed="false">
      <c r="A1944" s="50" t="s">
        <v>54</v>
      </c>
      <c r="B1944" s="51" t="s">
        <v>155</v>
      </c>
      <c r="C1944" s="51" t="s">
        <v>197</v>
      </c>
      <c r="D1944" s="52" t="n">
        <v>1</v>
      </c>
      <c r="E1944" s="53" t="n">
        <v>3042.34</v>
      </c>
      <c r="F1944" s="54" t="n">
        <f aca="false">IFERROR(D1944*E1944,0)</f>
        <v>3042.34</v>
      </c>
      <c r="G1944" s="51" t="str">
        <f aca="false">INDEX(SETORES!$B:$B,MATCH(A1944,SETORES!$A:$A,0))</f>
        <v>Clientes</v>
      </c>
      <c r="H1944" s="51" t="s">
        <v>20</v>
      </c>
    </row>
    <row r="1945" customFormat="false" ht="14.25" hidden="false" customHeight="true" outlineLevel="0" collapsed="false">
      <c r="A1945" s="16" t="s">
        <v>54</v>
      </c>
      <c r="B1945" s="42" t="s">
        <v>155</v>
      </c>
      <c r="C1945" s="42" t="s">
        <v>173</v>
      </c>
      <c r="D1945" s="43" t="n">
        <v>10</v>
      </c>
      <c r="E1945" s="44" t="n">
        <v>2.07</v>
      </c>
      <c r="F1945" s="45" t="n">
        <f aca="false">IFERROR(D1945*E1945,0)</f>
        <v>20.7</v>
      </c>
      <c r="G1945" s="42" t="str">
        <f aca="false">INDEX(SETORES!$B:$B,MATCH(A1945,SETORES!$A:$A,0))</f>
        <v>Clientes</v>
      </c>
      <c r="H1945" s="42" t="s">
        <v>20</v>
      </c>
    </row>
    <row r="1946" customFormat="false" ht="14.25" hidden="false" customHeight="true" outlineLevel="0" collapsed="false">
      <c r="A1946" s="50" t="s">
        <v>54</v>
      </c>
      <c r="B1946" s="51" t="s">
        <v>157</v>
      </c>
      <c r="C1946" s="51" t="s">
        <v>198</v>
      </c>
      <c r="D1946" s="52"/>
      <c r="E1946" s="53"/>
      <c r="F1946" s="54" t="n">
        <f aca="false">IFERROR(D1946*E1946,0)</f>
        <v>0</v>
      </c>
      <c r="G1946" s="51" t="str">
        <f aca="false">INDEX(SETORES!$B:$B,MATCH(A1946,SETORES!$A:$A,0))</f>
        <v>Clientes</v>
      </c>
      <c r="H1946" s="51" t="s">
        <v>20</v>
      </c>
    </row>
    <row r="1947" customFormat="false" ht="14.25" hidden="false" customHeight="true" outlineLevel="0" collapsed="false">
      <c r="A1947" s="50" t="s">
        <v>43</v>
      </c>
      <c r="B1947" s="51" t="s">
        <v>155</v>
      </c>
      <c r="C1947" s="51" t="s">
        <v>162</v>
      </c>
      <c r="D1947" s="52" t="n">
        <v>4</v>
      </c>
      <c r="E1947" s="44" t="n">
        <v>3.69</v>
      </c>
      <c r="F1947" s="54" t="n">
        <f aca="false">IFERROR(D1947*E1947,0)</f>
        <v>14.76</v>
      </c>
      <c r="G1947" s="51" t="str">
        <f aca="false">INDEX(SETORES!$B:$B,MATCH(A1947,SETORES!$A:$A,0))</f>
        <v>Clientes</v>
      </c>
      <c r="H1947" s="51" t="s">
        <v>20</v>
      </c>
    </row>
    <row r="1948" customFormat="false" ht="14.25" hidden="false" customHeight="true" outlineLevel="0" collapsed="false">
      <c r="A1948" s="50" t="s">
        <v>43</v>
      </c>
      <c r="B1948" s="51" t="s">
        <v>155</v>
      </c>
      <c r="C1948" s="51" t="s">
        <v>163</v>
      </c>
      <c r="D1948" s="52" t="n">
        <v>2</v>
      </c>
      <c r="E1948" s="53" t="n">
        <v>30</v>
      </c>
      <c r="F1948" s="54" t="n">
        <f aca="false">IFERROR(D1948*E1948,0)</f>
        <v>60</v>
      </c>
      <c r="G1948" s="51" t="str">
        <f aca="false">INDEX(SETORES!$B:$B,MATCH(A1948,SETORES!$A:$A,0))</f>
        <v>Clientes</v>
      </c>
      <c r="H1948" s="51" t="s">
        <v>20</v>
      </c>
    </row>
    <row r="1949" customFormat="false" ht="14.25" hidden="false" customHeight="true" outlineLevel="0" collapsed="false">
      <c r="A1949" s="16" t="s">
        <v>43</v>
      </c>
      <c r="B1949" s="42" t="s">
        <v>155</v>
      </c>
      <c r="C1949" s="42" t="s">
        <v>165</v>
      </c>
      <c r="D1949" s="43" t="n">
        <v>4</v>
      </c>
      <c r="E1949" s="44" t="n">
        <v>47.79</v>
      </c>
      <c r="F1949" s="54" t="n">
        <f aca="false">IFERROR(D1949*E1949,0)</f>
        <v>191.16</v>
      </c>
      <c r="G1949" s="42" t="s">
        <v>99</v>
      </c>
      <c r="H1949" s="42" t="s">
        <v>20</v>
      </c>
    </row>
    <row r="1950" customFormat="false" ht="14.25" hidden="false" customHeight="true" outlineLevel="0" collapsed="false">
      <c r="A1950" s="50" t="s">
        <v>43</v>
      </c>
      <c r="B1950" s="51" t="s">
        <v>155</v>
      </c>
      <c r="C1950" s="51" t="s">
        <v>166</v>
      </c>
      <c r="D1950" s="52" t="n">
        <v>4</v>
      </c>
      <c r="E1950" s="53" t="n">
        <v>28.31</v>
      </c>
      <c r="F1950" s="54" t="n">
        <f aca="false">IFERROR(D1950*E1950,0)</f>
        <v>113.24</v>
      </c>
      <c r="G1950" s="51" t="s">
        <v>99</v>
      </c>
      <c r="H1950" s="51" t="s">
        <v>20</v>
      </c>
    </row>
    <row r="1951" customFormat="false" ht="14.25" hidden="false" customHeight="true" outlineLevel="0" collapsed="false">
      <c r="A1951" s="16" t="s">
        <v>43</v>
      </c>
      <c r="B1951" s="42" t="s">
        <v>155</v>
      </c>
      <c r="C1951" s="42" t="s">
        <v>167</v>
      </c>
      <c r="D1951" s="43" t="n">
        <v>4</v>
      </c>
      <c r="E1951" s="44" t="n">
        <v>64.57</v>
      </c>
      <c r="F1951" s="45" t="n">
        <f aca="false">IFERROR(D1951*E1951,0)</f>
        <v>258.28</v>
      </c>
      <c r="G1951" s="51" t="s">
        <v>99</v>
      </c>
      <c r="H1951" s="42" t="s">
        <v>20</v>
      </c>
    </row>
    <row r="1952" customFormat="false" ht="14.25" hidden="false" customHeight="true" outlineLevel="0" collapsed="false">
      <c r="A1952" s="16" t="s">
        <v>43</v>
      </c>
      <c r="B1952" s="42" t="s">
        <v>155</v>
      </c>
      <c r="C1952" s="42" t="s">
        <v>168</v>
      </c>
      <c r="D1952" s="43" t="n">
        <v>4</v>
      </c>
      <c r="E1952" s="53" t="n">
        <v>185.92</v>
      </c>
      <c r="F1952" s="54" t="n">
        <f aca="false">IFERROR(D1952*E1952,0)</f>
        <v>743.68</v>
      </c>
      <c r="G1952" s="42" t="str">
        <f aca="false">INDEX(SETORES!$B:$B,MATCH(A1952,SETORES!$A:$A,0))</f>
        <v>Clientes</v>
      </c>
      <c r="H1952" s="42" t="s">
        <v>20</v>
      </c>
    </row>
    <row r="1953" customFormat="false" ht="14.25" hidden="false" customHeight="true" outlineLevel="0" collapsed="false">
      <c r="A1953" s="16" t="s">
        <v>43</v>
      </c>
      <c r="B1953" s="42" t="s">
        <v>157</v>
      </c>
      <c r="C1953" s="42" t="s">
        <v>174</v>
      </c>
      <c r="D1953" s="43" t="n">
        <v>1</v>
      </c>
      <c r="E1953" s="44" t="n">
        <v>38</v>
      </c>
      <c r="F1953" s="45" t="n">
        <f aca="false">IFERROR(D1953*E1953,0)</f>
        <v>38</v>
      </c>
      <c r="G1953" s="42" t="str">
        <f aca="false">INDEX(SETORES!$B:$B,MATCH(A1953,SETORES!$A:$A,0))</f>
        <v>Clientes</v>
      </c>
      <c r="H1953" s="42" t="s">
        <v>20</v>
      </c>
    </row>
    <row r="1954" customFormat="false" ht="14.25" hidden="false" customHeight="true" outlineLevel="0" collapsed="false">
      <c r="A1954" s="16" t="s">
        <v>43</v>
      </c>
      <c r="B1954" s="42" t="s">
        <v>155</v>
      </c>
      <c r="C1954" s="42" t="s">
        <v>169</v>
      </c>
      <c r="D1954" s="43" t="n">
        <v>1</v>
      </c>
      <c r="E1954" s="44" t="n">
        <v>20620.48</v>
      </c>
      <c r="F1954" s="45" t="n">
        <f aca="false">IFERROR(E1954,0)</f>
        <v>20620.48</v>
      </c>
      <c r="G1954" s="42" t="str">
        <f aca="false">INDEX(SETORES!$B:$B,MATCH(A1954,SETORES!$A:$A,0))</f>
        <v>Clientes</v>
      </c>
      <c r="H1954" s="42" t="s">
        <v>20</v>
      </c>
    </row>
    <row r="1955" customFormat="false" ht="14.25" hidden="false" customHeight="true" outlineLevel="0" collapsed="false">
      <c r="A1955" s="16" t="s">
        <v>43</v>
      </c>
      <c r="B1955" s="42" t="s">
        <v>155</v>
      </c>
      <c r="C1955" s="42" t="s">
        <v>170</v>
      </c>
      <c r="D1955" s="43" t="n">
        <v>4</v>
      </c>
      <c r="E1955" s="44" t="n">
        <v>10.05</v>
      </c>
      <c r="F1955" s="45" t="n">
        <f aca="false">IFERROR(D1955*E1955,0)</f>
        <v>40.2</v>
      </c>
      <c r="G1955" s="42" t="str">
        <f aca="false">INDEX(SETORES!$B:$B,MATCH(A1955,SETORES!$A:$A,0))</f>
        <v>Clientes</v>
      </c>
      <c r="H1955" s="42" t="s">
        <v>20</v>
      </c>
    </row>
    <row r="1956" customFormat="false" ht="14.25" hidden="false" customHeight="true" outlineLevel="0" collapsed="false">
      <c r="A1956" s="50" t="s">
        <v>43</v>
      </c>
      <c r="B1956" s="51" t="s">
        <v>155</v>
      </c>
      <c r="C1956" s="51" t="s">
        <v>172</v>
      </c>
      <c r="D1956" s="52" t="n">
        <v>4</v>
      </c>
      <c r="E1956" s="53" t="n">
        <v>50</v>
      </c>
      <c r="F1956" s="54" t="n">
        <f aca="false">IFERROR(D1956*E1956,0)</f>
        <v>200</v>
      </c>
      <c r="G1956" s="51" t="str">
        <f aca="false">INDEX(SETORES!$B:$B,MATCH(A1956,SETORES!$A:$A,0))</f>
        <v>Clientes</v>
      </c>
      <c r="H1956" s="51" t="s">
        <v>20</v>
      </c>
    </row>
    <row r="1957" customFormat="false" ht="14.25" hidden="false" customHeight="true" outlineLevel="0" collapsed="false">
      <c r="A1957" s="16" t="s">
        <v>43</v>
      </c>
      <c r="B1957" s="42" t="s">
        <v>155</v>
      </c>
      <c r="C1957" s="42" t="s">
        <v>177</v>
      </c>
      <c r="D1957" s="43"/>
      <c r="E1957" s="44"/>
      <c r="F1957" s="45" t="n">
        <v>0</v>
      </c>
      <c r="G1957" s="42" t="str">
        <f aca="false">INDEX(SETORES!$B:$B,MATCH(A1957,SETORES!$A:$A,0))</f>
        <v>Clientes</v>
      </c>
      <c r="H1957" s="42" t="s">
        <v>20</v>
      </c>
    </row>
    <row r="1958" customFormat="false" ht="14.25" hidden="false" customHeight="true" outlineLevel="0" collapsed="false">
      <c r="A1958" s="50" t="s">
        <v>43</v>
      </c>
      <c r="B1958" s="51" t="s">
        <v>155</v>
      </c>
      <c r="C1958" s="51" t="s">
        <v>178</v>
      </c>
      <c r="D1958" s="52"/>
      <c r="E1958" s="53"/>
      <c r="F1958" s="54" t="n">
        <v>0</v>
      </c>
      <c r="G1958" s="51" t="str">
        <f aca="false">INDEX(SETORES!$B:$B,MATCH(A1958,SETORES!$A:$A,0))</f>
        <v>Clientes</v>
      </c>
      <c r="H1958" s="51" t="s">
        <v>20</v>
      </c>
    </row>
    <row r="1959" customFormat="false" ht="14.25" hidden="false" customHeight="true" outlineLevel="0" collapsed="false">
      <c r="A1959" s="50" t="s">
        <v>43</v>
      </c>
      <c r="B1959" s="51" t="s">
        <v>157</v>
      </c>
      <c r="C1959" s="51" t="s">
        <v>184</v>
      </c>
      <c r="D1959" s="52" t="n">
        <v>4</v>
      </c>
      <c r="E1959" s="53" t="n">
        <v>65.21</v>
      </c>
      <c r="F1959" s="54" t="n">
        <f aca="false">IFERROR(D1959*E1959,0)</f>
        <v>260.84</v>
      </c>
      <c r="G1959" s="51" t="str">
        <f aca="false">INDEX(SETORES!$B:$B,MATCH(A1959,SETORES!$A:$A,0))</f>
        <v>Clientes</v>
      </c>
      <c r="H1959" s="51" t="s">
        <v>20</v>
      </c>
    </row>
    <row r="1960" customFormat="false" ht="14.25" hidden="false" customHeight="true" outlineLevel="0" collapsed="false">
      <c r="A1960" s="16" t="s">
        <v>43</v>
      </c>
      <c r="B1960" s="42" t="s">
        <v>157</v>
      </c>
      <c r="C1960" s="42" t="s">
        <v>158</v>
      </c>
      <c r="D1960" s="43"/>
      <c r="E1960" s="44"/>
      <c r="F1960" s="45" t="n">
        <f aca="false">IFERROR(D1960*E1960,0)</f>
        <v>0</v>
      </c>
      <c r="G1960" s="42" t="str">
        <f aca="false">INDEX(SETORES!$B:$B,MATCH(A1960,SETORES!$A:$A,0))</f>
        <v>Clientes</v>
      </c>
      <c r="H1960" s="42" t="s">
        <v>20</v>
      </c>
    </row>
    <row r="1961" customFormat="false" ht="14.25" hidden="false" customHeight="true" outlineLevel="0" collapsed="false">
      <c r="A1961" s="50" t="s">
        <v>43</v>
      </c>
      <c r="B1961" s="51" t="s">
        <v>155</v>
      </c>
      <c r="C1961" s="51" t="s">
        <v>173</v>
      </c>
      <c r="D1961" s="52" t="n">
        <v>4</v>
      </c>
      <c r="E1961" s="53" t="n">
        <v>2.07</v>
      </c>
      <c r="F1961" s="54" t="n">
        <f aca="false">IFERROR(D1961*E1961,0)</f>
        <v>8.28</v>
      </c>
      <c r="G1961" s="51" t="str">
        <f aca="false">INDEX(SETORES!$B:$B,MATCH(A1961,SETORES!$A:$A,0))</f>
        <v>Clientes</v>
      </c>
      <c r="H1961" s="51" t="s">
        <v>20</v>
      </c>
    </row>
    <row r="1962" customFormat="false" ht="14.25" hidden="false" customHeight="true" outlineLevel="0" collapsed="false">
      <c r="A1962" s="50" t="s">
        <v>43</v>
      </c>
      <c r="B1962" s="51" t="s">
        <v>155</v>
      </c>
      <c r="C1962" s="51" t="s">
        <v>179</v>
      </c>
      <c r="D1962" s="52"/>
      <c r="E1962" s="53"/>
      <c r="F1962" s="54" t="n">
        <f aca="false">IFERROR(D1962*E1962,0)</f>
        <v>0</v>
      </c>
      <c r="G1962" s="51" t="str">
        <f aca="false">INDEX(SETORES!$B:$B,MATCH(A1962,SETORES!$A:$A,0))</f>
        <v>Clientes</v>
      </c>
      <c r="H1962" s="51" t="s">
        <v>20</v>
      </c>
    </row>
    <row r="1963" customFormat="false" ht="14.25" hidden="false" customHeight="true" outlineLevel="0" collapsed="false">
      <c r="A1963" s="46" t="s">
        <v>143</v>
      </c>
      <c r="B1963" s="47" t="s">
        <v>155</v>
      </c>
      <c r="C1963" s="47" t="s">
        <v>169</v>
      </c>
      <c r="D1963" s="47" t="n">
        <v>1</v>
      </c>
      <c r="E1963" s="48" t="n">
        <v>35280.97</v>
      </c>
      <c r="F1963" s="45" t="n">
        <f aca="false">IFERROR(D1963*E1963,0)</f>
        <v>35280.97</v>
      </c>
      <c r="G1963" s="47" t="s">
        <v>97</v>
      </c>
      <c r="H1963" s="47" t="s">
        <v>20</v>
      </c>
    </row>
    <row r="1964" customFormat="false" ht="14.25" hidden="false" customHeight="true" outlineLevel="0" collapsed="false">
      <c r="A1964" s="51" t="s">
        <v>143</v>
      </c>
      <c r="B1964" s="47" t="s">
        <v>155</v>
      </c>
      <c r="C1964" s="51" t="s">
        <v>166</v>
      </c>
      <c r="D1964" s="52" t="n">
        <v>10</v>
      </c>
      <c r="E1964" s="53" t="n">
        <v>28.31</v>
      </c>
      <c r="F1964" s="45" t="n">
        <f aca="false">IFERROR(D1964*E1964,0)</f>
        <v>283.1</v>
      </c>
      <c r="G1964" s="47" t="s">
        <v>97</v>
      </c>
      <c r="H1964" s="47" t="s">
        <v>20</v>
      </c>
    </row>
    <row r="1965" customFormat="false" ht="14.25" hidden="false" customHeight="true" outlineLevel="0" collapsed="false">
      <c r="A1965" s="51" t="s">
        <v>143</v>
      </c>
      <c r="B1965" s="47" t="s">
        <v>155</v>
      </c>
      <c r="C1965" s="51" t="s">
        <v>165</v>
      </c>
      <c r="D1965" s="52" t="n">
        <v>10</v>
      </c>
      <c r="E1965" s="53" t="n">
        <v>47.79</v>
      </c>
      <c r="F1965" s="54" t="n">
        <f aca="false">IFERROR(D1965*E1965,0)</f>
        <v>477.9</v>
      </c>
      <c r="G1965" s="47" t="s">
        <v>97</v>
      </c>
      <c r="H1965" s="47" t="s">
        <v>20</v>
      </c>
    </row>
    <row r="1966" customFormat="false" ht="14.25" hidden="false" customHeight="true" outlineLevel="0" collapsed="false">
      <c r="A1966" s="51" t="s">
        <v>143</v>
      </c>
      <c r="B1966" s="47" t="s">
        <v>155</v>
      </c>
      <c r="C1966" s="51" t="s">
        <v>167</v>
      </c>
      <c r="D1966" s="52" t="n">
        <v>10</v>
      </c>
      <c r="E1966" s="53" t="n">
        <v>64.57</v>
      </c>
      <c r="F1966" s="45" t="n">
        <f aca="false">IFERROR(D1966*E1966,0)</f>
        <v>645.7</v>
      </c>
      <c r="G1966" s="47" t="s">
        <v>97</v>
      </c>
      <c r="H1966" s="47" t="s">
        <v>20</v>
      </c>
    </row>
    <row r="1967" customFormat="false" ht="14.25" hidden="false" customHeight="true" outlineLevel="0" collapsed="false">
      <c r="A1967" s="51" t="s">
        <v>143</v>
      </c>
      <c r="B1967" s="51" t="s">
        <v>155</v>
      </c>
      <c r="C1967" s="51" t="s">
        <v>172</v>
      </c>
      <c r="D1967" s="52" t="n">
        <v>10</v>
      </c>
      <c r="E1967" s="53" t="n">
        <v>50</v>
      </c>
      <c r="F1967" s="45" t="n">
        <f aca="false">IFERROR(D1967*E1967,0)</f>
        <v>500</v>
      </c>
      <c r="G1967" s="47" t="s">
        <v>97</v>
      </c>
      <c r="H1967" s="47" t="s">
        <v>20</v>
      </c>
    </row>
    <row r="1968" customFormat="false" ht="14.25" hidden="false" customHeight="true" outlineLevel="0" collapsed="false">
      <c r="A1968" s="51" t="s">
        <v>143</v>
      </c>
      <c r="B1968" s="51" t="s">
        <v>155</v>
      </c>
      <c r="C1968" s="51" t="s">
        <v>173</v>
      </c>
      <c r="D1968" s="52" t="n">
        <v>10</v>
      </c>
      <c r="E1968" s="53" t="n">
        <v>2.07</v>
      </c>
      <c r="F1968" s="45" t="n">
        <f aca="false">IFERROR(D1968*E1968,0)</f>
        <v>20.7</v>
      </c>
      <c r="G1968" s="47" t="s">
        <v>97</v>
      </c>
      <c r="H1968" s="47" t="s">
        <v>20</v>
      </c>
    </row>
    <row r="1969" customFormat="false" ht="14.25" hidden="false" customHeight="true" outlineLevel="0" collapsed="false">
      <c r="A1969" s="51" t="s">
        <v>143</v>
      </c>
      <c r="B1969" s="51" t="s">
        <v>155</v>
      </c>
      <c r="C1969" s="51" t="s">
        <v>170</v>
      </c>
      <c r="D1969" s="52" t="n">
        <v>10</v>
      </c>
      <c r="E1969" s="53" t="n">
        <v>10.05</v>
      </c>
      <c r="F1969" s="45" t="n">
        <f aca="false">IFERROR(D1969*E1969,0)</f>
        <v>100.5</v>
      </c>
      <c r="G1969" s="47" t="s">
        <v>97</v>
      </c>
      <c r="H1969" s="47" t="s">
        <v>20</v>
      </c>
    </row>
    <row r="1970" customFormat="false" ht="14.25" hidden="false" customHeight="true" outlineLevel="0" collapsed="false">
      <c r="A1970" s="51" t="s">
        <v>143</v>
      </c>
      <c r="B1970" s="51" t="s">
        <v>155</v>
      </c>
      <c r="C1970" s="51" t="s">
        <v>163</v>
      </c>
      <c r="D1970" s="52" t="n">
        <v>7</v>
      </c>
      <c r="E1970" s="53" t="n">
        <v>30</v>
      </c>
      <c r="F1970" s="45" t="n">
        <f aca="false">IFERROR(D1970*E1970,0)</f>
        <v>210</v>
      </c>
      <c r="G1970" s="47" t="s">
        <v>97</v>
      </c>
      <c r="H1970" s="47" t="s">
        <v>20</v>
      </c>
    </row>
    <row r="1971" customFormat="false" ht="14.25" hidden="false" customHeight="true" outlineLevel="0" collapsed="false">
      <c r="A1971" s="51" t="s">
        <v>143</v>
      </c>
      <c r="B1971" s="51" t="s">
        <v>155</v>
      </c>
      <c r="C1971" s="51" t="s">
        <v>168</v>
      </c>
      <c r="D1971" s="52" t="n">
        <v>10</v>
      </c>
      <c r="E1971" s="53" t="n">
        <v>185.92</v>
      </c>
      <c r="F1971" s="54" t="n">
        <f aca="false">IFERROR(D1971*E1971,0)</f>
        <v>1859.2</v>
      </c>
      <c r="G1971" s="42" t="str">
        <f aca="false">INDEX(SETORES!$B:$B,MATCH(A1971,SETORES!$A:$A,0))</f>
        <v>Clientes</v>
      </c>
      <c r="H1971" s="47" t="s">
        <v>20</v>
      </c>
    </row>
    <row r="1972" customFormat="false" ht="14.25" hidden="false" customHeight="true" outlineLevel="0" collapsed="false">
      <c r="A1972" s="51" t="s">
        <v>143</v>
      </c>
      <c r="B1972" s="42" t="s">
        <v>157</v>
      </c>
      <c r="C1972" s="42" t="s">
        <v>175</v>
      </c>
      <c r="D1972" s="52" t="n">
        <v>0</v>
      </c>
      <c r="E1972" s="53" t="n">
        <v>0</v>
      </c>
      <c r="F1972" s="45" t="n">
        <f aca="false">IFERROR(D1972*E1972,0)</f>
        <v>0</v>
      </c>
      <c r="G1972" s="47" t="s">
        <v>97</v>
      </c>
      <c r="H1972" s="47" t="s">
        <v>20</v>
      </c>
    </row>
    <row r="1973" customFormat="false" ht="14.25" hidden="false" customHeight="true" outlineLevel="0" collapsed="false">
      <c r="A1973" s="51" t="s">
        <v>143</v>
      </c>
      <c r="B1973" s="51" t="s">
        <v>157</v>
      </c>
      <c r="C1973" s="51" t="s">
        <v>176</v>
      </c>
      <c r="D1973" s="52" t="n">
        <v>0</v>
      </c>
      <c r="E1973" s="53" t="n">
        <v>0</v>
      </c>
      <c r="F1973" s="45" t="n">
        <f aca="false">IFERROR(D1973*E1973,0)</f>
        <v>0</v>
      </c>
      <c r="G1973" s="47" t="s">
        <v>97</v>
      </c>
      <c r="H1973" s="47" t="s">
        <v>20</v>
      </c>
    </row>
    <row r="1974" customFormat="false" ht="14.25" hidden="false" customHeight="true" outlineLevel="0" collapsed="false">
      <c r="A1974" s="51" t="s">
        <v>143</v>
      </c>
      <c r="B1974" s="51" t="s">
        <v>155</v>
      </c>
      <c r="C1974" s="51" t="s">
        <v>177</v>
      </c>
      <c r="D1974" s="52" t="n">
        <v>0</v>
      </c>
      <c r="E1974" s="53" t="n">
        <v>0</v>
      </c>
      <c r="F1974" s="45" t="n">
        <f aca="false">IFERROR(D1974*E1974,0)</f>
        <v>0</v>
      </c>
      <c r="G1974" s="47" t="s">
        <v>97</v>
      </c>
      <c r="H1974" s="47" t="s">
        <v>20</v>
      </c>
    </row>
    <row r="1975" customFormat="false" ht="14.25" hidden="false" customHeight="true" outlineLevel="0" collapsed="false">
      <c r="A1975" s="51" t="s">
        <v>143</v>
      </c>
      <c r="B1975" s="51" t="s">
        <v>155</v>
      </c>
      <c r="C1975" s="51" t="s">
        <v>178</v>
      </c>
      <c r="D1975" s="52" t="n">
        <v>0</v>
      </c>
      <c r="E1975" s="53" t="n">
        <v>0</v>
      </c>
      <c r="F1975" s="45" t="n">
        <f aca="false">IFERROR(D1975*E1975,0)</f>
        <v>0</v>
      </c>
      <c r="G1975" s="47" t="s">
        <v>97</v>
      </c>
      <c r="H1975" s="47" t="s">
        <v>20</v>
      </c>
    </row>
    <row r="1976" customFormat="false" ht="14.25" hidden="false" customHeight="true" outlineLevel="0" collapsed="false">
      <c r="A1976" s="51" t="s">
        <v>143</v>
      </c>
      <c r="B1976" s="51" t="s">
        <v>157</v>
      </c>
      <c r="C1976" s="51" t="s">
        <v>184</v>
      </c>
      <c r="D1976" s="52" t="n">
        <v>10</v>
      </c>
      <c r="E1976" s="53" t="n">
        <v>65.21</v>
      </c>
      <c r="F1976" s="45" t="n">
        <f aca="false">IFERROR(D1976*E1976,0)</f>
        <v>652.1</v>
      </c>
      <c r="G1976" s="47" t="s">
        <v>97</v>
      </c>
      <c r="H1976" s="47" t="s">
        <v>20</v>
      </c>
    </row>
    <row r="1977" customFormat="false" ht="14.25" hidden="false" customHeight="true" outlineLevel="0" collapsed="false">
      <c r="A1977" s="51" t="s">
        <v>143</v>
      </c>
      <c r="B1977" s="51" t="s">
        <v>155</v>
      </c>
      <c r="C1977" s="51" t="s">
        <v>174</v>
      </c>
      <c r="D1977" s="52" t="n">
        <v>0</v>
      </c>
      <c r="E1977" s="53" t="n">
        <v>0</v>
      </c>
      <c r="F1977" s="45" t="n">
        <f aca="false">IFERROR(D1977*E1977,0)</f>
        <v>0</v>
      </c>
      <c r="G1977" s="47" t="s">
        <v>97</v>
      </c>
      <c r="H1977" s="47" t="s">
        <v>20</v>
      </c>
    </row>
    <row r="1979" customFormat="false" ht="14.25" hidden="false" customHeight="true" outlineLevel="0" collapsed="false">
      <c r="A1979" s="16" t="s">
        <v>40</v>
      </c>
      <c r="B1979" s="42" t="s">
        <v>155</v>
      </c>
      <c r="C1979" s="42" t="s">
        <v>162</v>
      </c>
      <c r="D1979" s="43" t="n">
        <v>1</v>
      </c>
      <c r="E1979" s="44" t="n">
        <v>0</v>
      </c>
      <c r="F1979" s="45" t="n">
        <v>0</v>
      </c>
      <c r="G1979" s="42" t="str">
        <f aca="false">INDEX(SETORES!$B:$B,MATCH(A1979,SETORES!$A:$A,0))</f>
        <v>Clientes</v>
      </c>
      <c r="H1979" s="42" t="s">
        <v>20</v>
      </c>
    </row>
    <row r="1980" customFormat="false" ht="14.25" hidden="false" customHeight="true" outlineLevel="0" collapsed="false">
      <c r="A1980" s="50" t="s">
        <v>40</v>
      </c>
      <c r="B1980" s="51" t="s">
        <v>157</v>
      </c>
      <c r="C1980" s="51" t="s">
        <v>251</v>
      </c>
      <c r="D1980" s="52"/>
      <c r="E1980" s="53"/>
      <c r="F1980" s="54" t="n">
        <f aca="false">IFERROR(D1980*E1980,0)</f>
        <v>0</v>
      </c>
      <c r="G1980" s="51" t="str">
        <f aca="false">INDEX(SETORES!$B:$B,MATCH(A1980,SETORES!$A:$A,0))</f>
        <v>Clientes</v>
      </c>
      <c r="H1980" s="51" t="s">
        <v>20</v>
      </c>
    </row>
    <row r="1981" customFormat="false" ht="14.25" hidden="false" customHeight="true" outlineLevel="0" collapsed="false">
      <c r="A1981" s="16" t="s">
        <v>40</v>
      </c>
      <c r="B1981" s="42" t="s">
        <v>155</v>
      </c>
      <c r="C1981" s="42" t="s">
        <v>163</v>
      </c>
      <c r="D1981" s="43" t="n">
        <v>2</v>
      </c>
      <c r="E1981" s="44" t="n">
        <v>30</v>
      </c>
      <c r="F1981" s="45" t="n">
        <f aca="false">IFERROR(D1981*E1981,0)</f>
        <v>60</v>
      </c>
      <c r="G1981" s="42" t="str">
        <f aca="false">INDEX(SETORES!$B:$B,MATCH(A1981,SETORES!$A:$A,0))</f>
        <v>Clientes</v>
      </c>
      <c r="H1981" s="42" t="s">
        <v>20</v>
      </c>
    </row>
    <row r="1982" customFormat="false" ht="14.25" hidden="false" customHeight="true" outlineLevel="0" collapsed="false">
      <c r="A1982" s="16" t="s">
        <v>40</v>
      </c>
      <c r="B1982" s="42" t="s">
        <v>157</v>
      </c>
      <c r="C1982" s="42" t="s">
        <v>201</v>
      </c>
      <c r="D1982" s="43" t="n">
        <v>1</v>
      </c>
      <c r="E1982" s="44" t="n">
        <v>9468</v>
      </c>
      <c r="F1982" s="45" t="n">
        <f aca="false">IFERROR(D1982*E1982,0)</f>
        <v>9468</v>
      </c>
      <c r="G1982" s="42" t="str">
        <f aca="false">INDEX(SETORES!$B:$B,MATCH(A1982,SETORES!$A:$A,0))</f>
        <v>Clientes</v>
      </c>
      <c r="H1982" s="42" t="s">
        <v>20</v>
      </c>
    </row>
    <row r="1983" customFormat="false" ht="14.25" hidden="false" customHeight="true" outlineLevel="0" collapsed="false">
      <c r="A1983" s="50" t="s">
        <v>40</v>
      </c>
      <c r="B1983" s="51" t="s">
        <v>155</v>
      </c>
      <c r="C1983" s="51" t="s">
        <v>165</v>
      </c>
      <c r="D1983" s="52" t="n">
        <v>5</v>
      </c>
      <c r="E1983" s="53" t="n">
        <v>47.79</v>
      </c>
      <c r="F1983" s="54" t="n">
        <f aca="false">IFERROR(D1983*E1983,0)</f>
        <v>238.95</v>
      </c>
      <c r="G1983" s="42" t="s">
        <v>99</v>
      </c>
      <c r="H1983" s="51" t="s">
        <v>20</v>
      </c>
    </row>
    <row r="1984" customFormat="false" ht="14.25" hidden="false" customHeight="true" outlineLevel="0" collapsed="false">
      <c r="A1984" s="16" t="s">
        <v>40</v>
      </c>
      <c r="B1984" s="42" t="s">
        <v>155</v>
      </c>
      <c r="C1984" s="42" t="s">
        <v>166</v>
      </c>
      <c r="D1984" s="43" t="n">
        <v>5</v>
      </c>
      <c r="E1984" s="44" t="n">
        <v>28.31</v>
      </c>
      <c r="F1984" s="45" t="n">
        <f aca="false">IFERROR(D1984*E1984,0)</f>
        <v>141.55</v>
      </c>
      <c r="G1984" s="51" t="s">
        <v>99</v>
      </c>
      <c r="H1984" s="42" t="s">
        <v>20</v>
      </c>
    </row>
    <row r="1985" customFormat="false" ht="14.25" hidden="false" customHeight="true" outlineLevel="0" collapsed="false">
      <c r="A1985" s="50" t="s">
        <v>40</v>
      </c>
      <c r="B1985" s="51" t="s">
        <v>155</v>
      </c>
      <c r="C1985" s="51" t="s">
        <v>167</v>
      </c>
      <c r="D1985" s="52" t="n">
        <v>5</v>
      </c>
      <c r="E1985" s="53" t="n">
        <v>64.57</v>
      </c>
      <c r="F1985" s="54" t="n">
        <f aca="false">IFERROR(D1985*E1985,0)</f>
        <v>322.85</v>
      </c>
      <c r="G1985" s="51" t="s">
        <v>99</v>
      </c>
      <c r="H1985" s="51" t="s">
        <v>20</v>
      </c>
    </row>
    <row r="1986" customFormat="false" ht="14.25" hidden="false" customHeight="true" outlineLevel="0" collapsed="false">
      <c r="A1986" s="50" t="s">
        <v>40</v>
      </c>
      <c r="B1986" s="51" t="s">
        <v>155</v>
      </c>
      <c r="C1986" s="51" t="s">
        <v>168</v>
      </c>
      <c r="D1986" s="52" t="n">
        <v>1</v>
      </c>
      <c r="E1986" s="53" t="n">
        <v>42.554</v>
      </c>
      <c r="F1986" s="54" t="n">
        <v>42.554</v>
      </c>
      <c r="G1986" s="51" t="str">
        <f aca="false">INDEX(SETORES!$B:$B,MATCH(A1986,SETORES!$A:$A,0))</f>
        <v>Clientes</v>
      </c>
      <c r="H1986" s="51" t="s">
        <v>20</v>
      </c>
    </row>
    <row r="1987" customFormat="false" ht="14.25" hidden="false" customHeight="true" outlineLevel="0" collapsed="false">
      <c r="A1987" s="16" t="s">
        <v>40</v>
      </c>
      <c r="B1987" s="42" t="s">
        <v>157</v>
      </c>
      <c r="C1987" s="42" t="s">
        <v>175</v>
      </c>
      <c r="D1987" s="43"/>
      <c r="E1987" s="44"/>
      <c r="F1987" s="45" t="n">
        <f aca="false">IFERROR(D1987*E1987,0)</f>
        <v>0</v>
      </c>
      <c r="G1987" s="42" t="str">
        <f aca="false">INDEX(SETORES!$B:$B,MATCH(A1987,SETORES!$A:$A,0))</f>
        <v>Clientes</v>
      </c>
      <c r="H1987" s="42" t="s">
        <v>20</v>
      </c>
    </row>
    <row r="1988" customFormat="false" ht="14.25" hidden="false" customHeight="true" outlineLevel="0" collapsed="false">
      <c r="A1988" s="50" t="s">
        <v>40</v>
      </c>
      <c r="B1988" s="51" t="s">
        <v>157</v>
      </c>
      <c r="C1988" s="51" t="s">
        <v>176</v>
      </c>
      <c r="D1988" s="52" t="n">
        <v>1</v>
      </c>
      <c r="E1988" s="53" t="n">
        <v>68</v>
      </c>
      <c r="F1988" s="54" t="n">
        <f aca="false">IFERROR(D1988*E1988,0)</f>
        <v>68</v>
      </c>
      <c r="G1988" s="51" t="str">
        <f aca="false">INDEX(SETORES!$B:$B,MATCH(A1988,SETORES!$A:$A,0))</f>
        <v>Clientes</v>
      </c>
      <c r="H1988" s="51" t="s">
        <v>20</v>
      </c>
    </row>
    <row r="1989" customFormat="false" ht="14.25" hidden="false" customHeight="true" outlineLevel="0" collapsed="false">
      <c r="A1989" s="16" t="s">
        <v>40</v>
      </c>
      <c r="B1989" s="42" t="s">
        <v>155</v>
      </c>
      <c r="C1989" s="42" t="s">
        <v>169</v>
      </c>
      <c r="D1989" s="43" t="n">
        <v>1</v>
      </c>
      <c r="E1989" s="44" t="n">
        <v>14135.77</v>
      </c>
      <c r="F1989" s="45" t="n">
        <f aca="false">IFERROR(E1989,0)</f>
        <v>14135.77</v>
      </c>
      <c r="G1989" s="42" t="str">
        <f aca="false">INDEX(SETORES!$B:$B,MATCH(A1989,SETORES!$A:$A,0))</f>
        <v>Clientes</v>
      </c>
      <c r="H1989" s="42" t="s">
        <v>20</v>
      </c>
    </row>
    <row r="1990" customFormat="false" ht="14.25" hidden="false" customHeight="true" outlineLevel="0" collapsed="false">
      <c r="A1990" s="50" t="s">
        <v>40</v>
      </c>
      <c r="B1990" s="51" t="s">
        <v>155</v>
      </c>
      <c r="C1990" s="51" t="s">
        <v>170</v>
      </c>
      <c r="D1990" s="52" t="n">
        <v>5</v>
      </c>
      <c r="E1990" s="53" t="n">
        <v>10.05</v>
      </c>
      <c r="F1990" s="54" t="n">
        <f aca="false">IFERROR(D1990*E1990,0)</f>
        <v>50.25</v>
      </c>
      <c r="G1990" s="51" t="str">
        <f aca="false">INDEX(SETORES!$B:$B,MATCH(A1990,SETORES!$A:$A,0))</f>
        <v>Clientes</v>
      </c>
      <c r="H1990" s="51" t="s">
        <v>20</v>
      </c>
    </row>
    <row r="1991" customFormat="false" ht="14.25" hidden="false" customHeight="true" outlineLevel="0" collapsed="false">
      <c r="A1991" s="16" t="s">
        <v>40</v>
      </c>
      <c r="B1991" s="42" t="s">
        <v>155</v>
      </c>
      <c r="C1991" s="42" t="s">
        <v>183</v>
      </c>
      <c r="D1991" s="43" t="n">
        <v>1</v>
      </c>
      <c r="E1991" s="44" t="n">
        <v>5.555555</v>
      </c>
      <c r="F1991" s="45" t="n">
        <f aca="false">IFERROR(D1991*E1991,0)</f>
        <v>5.555555</v>
      </c>
      <c r="G1991" s="42" t="str">
        <f aca="false">INDEX(SETORES!$B:$B,MATCH(A1991,SETORES!$A:$A,0))</f>
        <v>Clientes</v>
      </c>
      <c r="H1991" s="42" t="s">
        <v>20</v>
      </c>
    </row>
    <row r="1992" customFormat="false" ht="14.25" hidden="false" customHeight="true" outlineLevel="0" collapsed="false">
      <c r="A1992" s="16" t="s">
        <v>40</v>
      </c>
      <c r="B1992" s="42" t="s">
        <v>155</v>
      </c>
      <c r="C1992" s="42" t="s">
        <v>172</v>
      </c>
      <c r="D1992" s="43" t="n">
        <v>5</v>
      </c>
      <c r="E1992" s="44" t="n">
        <v>50</v>
      </c>
      <c r="F1992" s="45" t="n">
        <f aca="false">IFERROR(D1992*E1992,0)</f>
        <v>250</v>
      </c>
      <c r="G1992" s="42" t="str">
        <f aca="false">INDEX(SETORES!$B:$B,MATCH(A1992,SETORES!$A:$A,0))</f>
        <v>Clientes</v>
      </c>
      <c r="H1992" s="42" t="s">
        <v>20</v>
      </c>
    </row>
    <row r="1993" customFormat="false" ht="14.25" hidden="false" customHeight="true" outlineLevel="0" collapsed="false">
      <c r="A1993" s="16" t="s">
        <v>40</v>
      </c>
      <c r="B1993" s="42" t="s">
        <v>155</v>
      </c>
      <c r="C1993" s="42" t="s">
        <v>202</v>
      </c>
      <c r="D1993" s="43" t="n">
        <v>1</v>
      </c>
      <c r="E1993" s="44" t="n">
        <v>2559.45</v>
      </c>
      <c r="F1993" s="45" t="n">
        <f aca="false">IFERROR(D1993*E1993,0)</f>
        <v>2559.45</v>
      </c>
      <c r="G1993" s="42" t="str">
        <f aca="false">INDEX(SETORES!$B:$B,MATCH(A1993,SETORES!$A:$A,0))</f>
        <v>Clientes</v>
      </c>
      <c r="H1993" s="42" t="s">
        <v>20</v>
      </c>
    </row>
    <row r="1994" customFormat="false" ht="14.25" hidden="false" customHeight="true" outlineLevel="0" collapsed="false">
      <c r="A1994" s="50" t="s">
        <v>40</v>
      </c>
      <c r="B1994" s="51" t="s">
        <v>155</v>
      </c>
      <c r="C1994" s="51" t="s">
        <v>177</v>
      </c>
      <c r="D1994" s="52"/>
      <c r="E1994" s="53"/>
      <c r="F1994" s="54" t="n">
        <v>0</v>
      </c>
      <c r="G1994" s="51" t="str">
        <f aca="false">INDEX(SETORES!$B:$B,MATCH(A1994,SETORES!$A:$A,0))</f>
        <v>Clientes</v>
      </c>
      <c r="H1994" s="51" t="s">
        <v>20</v>
      </c>
    </row>
    <row r="1995" customFormat="false" ht="14.25" hidden="false" customHeight="true" outlineLevel="0" collapsed="false">
      <c r="A1995" s="16" t="s">
        <v>40</v>
      </c>
      <c r="B1995" s="42" t="s">
        <v>155</v>
      </c>
      <c r="C1995" s="42" t="s">
        <v>178</v>
      </c>
      <c r="D1995" s="43"/>
      <c r="E1995" s="44"/>
      <c r="F1995" s="45" t="n">
        <v>0</v>
      </c>
      <c r="G1995" s="42" t="str">
        <f aca="false">INDEX(SETORES!$B:$B,MATCH(A1995,SETORES!$A:$A,0))</f>
        <v>Clientes</v>
      </c>
      <c r="H1995" s="42" t="s">
        <v>20</v>
      </c>
    </row>
    <row r="1996" customFormat="false" ht="14.25" hidden="false" customHeight="true" outlineLevel="0" collapsed="false">
      <c r="A1996" s="50" t="s">
        <v>40</v>
      </c>
      <c r="B1996" s="51" t="s">
        <v>155</v>
      </c>
      <c r="C1996" s="51" t="s">
        <v>242</v>
      </c>
      <c r="D1996" s="52"/>
      <c r="E1996" s="53"/>
      <c r="F1996" s="54" t="n">
        <f aca="false">IFERROR(D1996*E1996,0)</f>
        <v>0</v>
      </c>
      <c r="G1996" s="51" t="str">
        <f aca="false">INDEX(SETORES!$B:$B,MATCH(A1996,SETORES!$A:$A,0))</f>
        <v>Clientes</v>
      </c>
      <c r="H1996" s="51" t="s">
        <v>20</v>
      </c>
    </row>
    <row r="1997" customFormat="false" ht="14.25" hidden="false" customHeight="true" outlineLevel="0" collapsed="false">
      <c r="A1997" s="16" t="s">
        <v>40</v>
      </c>
      <c r="B1997" s="42" t="s">
        <v>155</v>
      </c>
      <c r="C1997" s="42" t="s">
        <v>173</v>
      </c>
      <c r="D1997" s="43" t="n">
        <v>5</v>
      </c>
      <c r="E1997" s="44" t="n">
        <v>2.07</v>
      </c>
      <c r="F1997" s="45" t="n">
        <f aca="false">IFERROR(D1997*E1997,0)</f>
        <v>10.35</v>
      </c>
      <c r="G1997" s="42" t="str">
        <f aca="false">INDEX(SETORES!$B:$B,MATCH(A1997,SETORES!$A:$A,0))</f>
        <v>Clientes</v>
      </c>
      <c r="H1997" s="42" t="s">
        <v>20</v>
      </c>
    </row>
    <row r="1998" customFormat="false" ht="14.25" hidden="false" customHeight="true" outlineLevel="0" collapsed="false">
      <c r="A1998" s="50" t="s">
        <v>40</v>
      </c>
      <c r="B1998" s="51" t="s">
        <v>155</v>
      </c>
      <c r="C1998" s="51" t="s">
        <v>179</v>
      </c>
      <c r="D1998" s="52"/>
      <c r="E1998" s="53"/>
      <c r="F1998" s="54" t="n">
        <f aca="false">IFERROR(D1998*E1998,0)</f>
        <v>0</v>
      </c>
      <c r="G1998" s="51" t="str">
        <f aca="false">INDEX(SETORES!$B:$B,MATCH(A1998,SETORES!$A:$A,0))</f>
        <v>Clientes</v>
      </c>
      <c r="H1998" s="51" t="s">
        <v>20</v>
      </c>
    </row>
    <row r="1999" customFormat="false" ht="14.25" hidden="false" customHeight="true" outlineLevel="0" collapsed="false">
      <c r="A1999" s="16" t="s">
        <v>41</v>
      </c>
      <c r="B1999" s="42" t="s">
        <v>155</v>
      </c>
      <c r="C1999" s="42" t="s">
        <v>162</v>
      </c>
      <c r="D1999" s="43" t="n">
        <v>1</v>
      </c>
      <c r="E1999" s="44" t="n">
        <v>0</v>
      </c>
      <c r="F1999" s="45" t="n">
        <v>0</v>
      </c>
      <c r="G1999" s="42" t="str">
        <f aca="false">INDEX(SETORES!$B:$B,MATCH(A1999,SETORES!$A:$A,0))</f>
        <v>Clientes</v>
      </c>
      <c r="H1999" s="42" t="s">
        <v>20</v>
      </c>
    </row>
    <row r="2000" customFormat="false" ht="14.25" hidden="false" customHeight="true" outlineLevel="0" collapsed="false">
      <c r="A2000" s="50" t="s">
        <v>41</v>
      </c>
      <c r="B2000" s="51" t="s">
        <v>155</v>
      </c>
      <c r="C2000" s="51" t="s">
        <v>163</v>
      </c>
      <c r="D2000" s="52" t="n">
        <v>1</v>
      </c>
      <c r="E2000" s="53" t="n">
        <v>30</v>
      </c>
      <c r="F2000" s="54" t="n">
        <f aca="false">IFERROR(D2000*E2000,0)</f>
        <v>30</v>
      </c>
      <c r="G2000" s="51" t="str">
        <f aca="false">INDEX(SETORES!$B:$B,MATCH(A2000,SETORES!$A:$A,0))</f>
        <v>Clientes</v>
      </c>
      <c r="H2000" s="51" t="s">
        <v>20</v>
      </c>
    </row>
    <row r="2001" customFormat="false" ht="14.25" hidden="false" customHeight="true" outlineLevel="0" collapsed="false">
      <c r="A2001" s="50" t="s">
        <v>41</v>
      </c>
      <c r="B2001" s="51" t="s">
        <v>155</v>
      </c>
      <c r="C2001" s="51" t="s">
        <v>165</v>
      </c>
      <c r="D2001" s="52" t="n">
        <v>1</v>
      </c>
      <c r="E2001" s="53" t="n">
        <v>47.79</v>
      </c>
      <c r="F2001" s="54" t="n">
        <f aca="false">IFERROR(D2001*E2001,0)</f>
        <v>47.79</v>
      </c>
      <c r="G2001" s="42" t="s">
        <v>99</v>
      </c>
      <c r="H2001" s="51" t="s">
        <v>20</v>
      </c>
    </row>
    <row r="2002" customFormat="false" ht="14.25" hidden="false" customHeight="true" outlineLevel="0" collapsed="false">
      <c r="A2002" s="16" t="s">
        <v>41</v>
      </c>
      <c r="B2002" s="42" t="s">
        <v>155</v>
      </c>
      <c r="C2002" s="42" t="s">
        <v>166</v>
      </c>
      <c r="D2002" s="43" t="n">
        <v>1</v>
      </c>
      <c r="E2002" s="44" t="n">
        <v>28.31</v>
      </c>
      <c r="F2002" s="45" t="n">
        <f aca="false">IFERROR(D2002*E2002,0)</f>
        <v>28.31</v>
      </c>
      <c r="G2002" s="51" t="s">
        <v>99</v>
      </c>
      <c r="H2002" s="42" t="s">
        <v>20</v>
      </c>
    </row>
    <row r="2003" customFormat="false" ht="14.25" hidden="false" customHeight="true" outlineLevel="0" collapsed="false">
      <c r="A2003" s="50" t="s">
        <v>41</v>
      </c>
      <c r="B2003" s="51" t="s">
        <v>155</v>
      </c>
      <c r="C2003" s="51" t="s">
        <v>167</v>
      </c>
      <c r="D2003" s="52" t="n">
        <v>1</v>
      </c>
      <c r="E2003" s="53" t="n">
        <v>64.57</v>
      </c>
      <c r="F2003" s="54" t="n">
        <f aca="false">IFERROR(D2003*E2003,0)</f>
        <v>64.57</v>
      </c>
      <c r="G2003" s="51" t="s">
        <v>99</v>
      </c>
      <c r="H2003" s="51" t="s">
        <v>20</v>
      </c>
    </row>
    <row r="2004" customFormat="false" ht="14.25" hidden="false" customHeight="true" outlineLevel="0" collapsed="false">
      <c r="A2004" s="50" t="s">
        <v>41</v>
      </c>
      <c r="B2004" s="51" t="s">
        <v>155</v>
      </c>
      <c r="C2004" s="51" t="s">
        <v>168</v>
      </c>
      <c r="D2004" s="52" t="n">
        <v>1</v>
      </c>
      <c r="E2004" s="53" t="n">
        <v>8.5108</v>
      </c>
      <c r="F2004" s="54" t="n">
        <v>8.5108</v>
      </c>
      <c r="G2004" s="51" t="str">
        <f aca="false">INDEX(SETORES!$B:$B,MATCH(A2004,SETORES!$A:$A,0))</f>
        <v>Clientes</v>
      </c>
      <c r="H2004" s="51" t="s">
        <v>20</v>
      </c>
    </row>
    <row r="2005" customFormat="false" ht="14.25" hidden="false" customHeight="true" outlineLevel="0" collapsed="false">
      <c r="A2005" s="16" t="s">
        <v>41</v>
      </c>
      <c r="B2005" s="42" t="s">
        <v>155</v>
      </c>
      <c r="C2005" s="42" t="s">
        <v>169</v>
      </c>
      <c r="D2005" s="43" t="n">
        <v>1</v>
      </c>
      <c r="E2005" s="44" t="n">
        <v>18000</v>
      </c>
      <c r="F2005" s="45" t="n">
        <f aca="false">IFERROR(E2005,0)</f>
        <v>18000</v>
      </c>
      <c r="G2005" s="42" t="str">
        <f aca="false">INDEX(SETORES!$B:$B,MATCH(A2005,SETORES!$A:$A,0))</f>
        <v>Clientes</v>
      </c>
      <c r="H2005" s="42" t="s">
        <v>20</v>
      </c>
    </row>
    <row r="2006" customFormat="false" ht="14.25" hidden="false" customHeight="true" outlineLevel="0" collapsed="false">
      <c r="A2006" s="50" t="s">
        <v>41</v>
      </c>
      <c r="B2006" s="51" t="s">
        <v>155</v>
      </c>
      <c r="C2006" s="51" t="s">
        <v>170</v>
      </c>
      <c r="D2006" s="52" t="n">
        <f aca="false">D2796</f>
        <v>0</v>
      </c>
      <c r="E2006" s="53" t="n">
        <v>10.05</v>
      </c>
      <c r="F2006" s="54" t="n">
        <f aca="false">IFERROR(D2006*E2006,0)</f>
        <v>0</v>
      </c>
      <c r="G2006" s="51" t="str">
        <f aca="false">INDEX(SETORES!$B:$B,MATCH(A2006,SETORES!$A:$A,0))</f>
        <v>Clientes</v>
      </c>
      <c r="H2006" s="51" t="s">
        <v>20</v>
      </c>
    </row>
    <row r="2007" customFormat="false" ht="14.25" hidden="false" customHeight="true" outlineLevel="0" collapsed="false">
      <c r="A2007" s="16" t="s">
        <v>41</v>
      </c>
      <c r="B2007" s="42" t="s">
        <v>155</v>
      </c>
      <c r="C2007" s="42" t="s">
        <v>183</v>
      </c>
      <c r="D2007" s="43" t="n">
        <v>1</v>
      </c>
      <c r="E2007" s="44" t="n">
        <v>1.111111</v>
      </c>
      <c r="F2007" s="45" t="n">
        <f aca="false">IFERROR(D2007*E2007,0)</f>
        <v>1.111111</v>
      </c>
      <c r="G2007" s="42" t="str">
        <f aca="false">INDEX(SETORES!$B:$B,MATCH(A2007,SETORES!$A:$A,0))</f>
        <v>Clientes</v>
      </c>
      <c r="H2007" s="42" t="s">
        <v>20</v>
      </c>
    </row>
    <row r="2008" customFormat="false" ht="14.25" hidden="false" customHeight="true" outlineLevel="0" collapsed="false">
      <c r="A2008" s="50" t="s">
        <v>41</v>
      </c>
      <c r="B2008" s="51" t="s">
        <v>155</v>
      </c>
      <c r="C2008" s="51" t="s">
        <v>177</v>
      </c>
      <c r="D2008" s="52"/>
      <c r="E2008" s="53"/>
      <c r="F2008" s="54" t="n">
        <v>0</v>
      </c>
      <c r="G2008" s="51" t="str">
        <f aca="false">INDEX(SETORES!$B:$B,MATCH(A2008,SETORES!$A:$A,0))</f>
        <v>Clientes</v>
      </c>
      <c r="H2008" s="51" t="s">
        <v>20</v>
      </c>
    </row>
    <row r="2009" customFormat="false" ht="14.25" hidden="false" customHeight="true" outlineLevel="0" collapsed="false">
      <c r="A2009" s="16" t="s">
        <v>41</v>
      </c>
      <c r="B2009" s="42" t="s">
        <v>155</v>
      </c>
      <c r="C2009" s="42" t="s">
        <v>178</v>
      </c>
      <c r="D2009" s="43"/>
      <c r="E2009" s="44"/>
      <c r="F2009" s="45" t="n">
        <v>0</v>
      </c>
      <c r="G2009" s="42" t="str">
        <f aca="false">INDEX(SETORES!$B:$B,MATCH(A2009,SETORES!$A:$A,0))</f>
        <v>Clientes</v>
      </c>
      <c r="H2009" s="42" t="s">
        <v>20</v>
      </c>
    </row>
    <row r="2010" customFormat="false" ht="14.25" hidden="false" customHeight="true" outlineLevel="0" collapsed="false">
      <c r="A2010" s="50" t="s">
        <v>41</v>
      </c>
      <c r="B2010" s="51" t="s">
        <v>157</v>
      </c>
      <c r="C2010" s="51" t="s">
        <v>158</v>
      </c>
      <c r="D2010" s="52"/>
      <c r="E2010" s="53"/>
      <c r="F2010" s="54" t="n">
        <f aca="false">IFERROR(D2010*E2010,0)</f>
        <v>0</v>
      </c>
      <c r="G2010" s="51" t="str">
        <f aca="false">INDEX(SETORES!$B:$B,MATCH(A2010,SETORES!$A:$A,0))</f>
        <v>Clientes</v>
      </c>
      <c r="H2010" s="51" t="s">
        <v>20</v>
      </c>
    </row>
    <row r="2011" customFormat="false" ht="14.25" hidden="false" customHeight="true" outlineLevel="0" collapsed="false">
      <c r="A2011" s="16" t="s">
        <v>41</v>
      </c>
      <c r="B2011" s="42" t="s">
        <v>155</v>
      </c>
      <c r="C2011" s="42" t="s">
        <v>173</v>
      </c>
      <c r="D2011" s="43" t="n">
        <f aca="false">D2800</f>
        <v>0</v>
      </c>
      <c r="E2011" s="44" t="n">
        <v>2.07</v>
      </c>
      <c r="F2011" s="45" t="n">
        <f aca="false">IFERROR(D2011*E2011,0)</f>
        <v>0</v>
      </c>
      <c r="G2011" s="42" t="str">
        <f aca="false">INDEX(SETORES!$B:$B,MATCH(A2011,SETORES!$A:$A,0))</f>
        <v>Clientes</v>
      </c>
      <c r="H2011" s="42" t="s">
        <v>20</v>
      </c>
    </row>
    <row r="2012" customFormat="false" ht="14.25" hidden="false" customHeight="true" outlineLevel="0" collapsed="false">
      <c r="A2012" s="16" t="s">
        <v>143</v>
      </c>
      <c r="B2012" s="42" t="s">
        <v>155</v>
      </c>
      <c r="C2012" s="42" t="s">
        <v>162</v>
      </c>
      <c r="D2012" s="43" t="n">
        <v>10</v>
      </c>
      <c r="E2012" s="44" t="n">
        <v>3.69</v>
      </c>
      <c r="F2012" s="54" t="n">
        <f aca="false">IFERROR(D2012*E2012,0)</f>
        <v>36.9</v>
      </c>
      <c r="G2012" s="51" t="str">
        <f aca="false">INDEX(SETORES!$B:$B,MATCH(A2012,SETORES!$A:$A,0))</f>
        <v>Clientes</v>
      </c>
      <c r="H2012" s="51" t="s">
        <v>20</v>
      </c>
    </row>
    <row r="2013" customFormat="false" ht="14.25" hidden="false" customHeight="true" outlineLevel="0" collapsed="false">
      <c r="A2013" s="16" t="s">
        <v>79</v>
      </c>
      <c r="B2013" s="42" t="s">
        <v>155</v>
      </c>
      <c r="C2013" s="42" t="s">
        <v>162</v>
      </c>
      <c r="D2013" s="43" t="n">
        <v>8</v>
      </c>
      <c r="E2013" s="44" t="n">
        <v>3.69</v>
      </c>
      <c r="F2013" s="54" t="n">
        <f aca="false">IFERROR(D2013*E2013,0)</f>
        <v>29.52</v>
      </c>
      <c r="G2013" s="42" t="str">
        <f aca="false">INDEX(SETORES!$B:$B,MATCH(A2013,SETORES!$A:$A,0))</f>
        <v>Funcionários</v>
      </c>
      <c r="H2013" s="51" t="s">
        <v>20</v>
      </c>
    </row>
    <row r="2014" customFormat="false" ht="14.25" hidden="false" customHeight="true" outlineLevel="0" collapsed="false">
      <c r="A2014" s="16" t="s">
        <v>79</v>
      </c>
      <c r="B2014" s="42" t="s">
        <v>155</v>
      </c>
      <c r="C2014" s="42" t="s">
        <v>205</v>
      </c>
      <c r="D2014" s="43" t="n">
        <v>1</v>
      </c>
      <c r="E2014" s="44" t="n">
        <v>1269.37</v>
      </c>
      <c r="F2014" s="45" t="n">
        <f aca="false">IFERROR(D2014*E2014,0)</f>
        <v>1269.37</v>
      </c>
      <c r="G2014" s="42" t="s">
        <v>99</v>
      </c>
      <c r="H2014" s="42" t="s">
        <v>20</v>
      </c>
    </row>
    <row r="2015" customFormat="false" ht="14.25" hidden="false" customHeight="true" outlineLevel="0" collapsed="false">
      <c r="A2015" s="16" t="s">
        <v>79</v>
      </c>
      <c r="B2015" s="42" t="s">
        <v>155</v>
      </c>
      <c r="C2015" s="42" t="s">
        <v>165</v>
      </c>
      <c r="D2015" s="43" t="n">
        <v>8</v>
      </c>
      <c r="E2015" s="44" t="n">
        <v>47.79</v>
      </c>
      <c r="F2015" s="54" t="n">
        <f aca="false">IFERROR(D2015*E2015,0)</f>
        <v>382.32</v>
      </c>
      <c r="G2015" s="42" t="s">
        <v>99</v>
      </c>
      <c r="H2015" s="42" t="s">
        <v>20</v>
      </c>
    </row>
    <row r="2016" customFormat="false" ht="14.25" hidden="false" customHeight="true" outlineLevel="0" collapsed="false">
      <c r="A2016" s="50" t="s">
        <v>79</v>
      </c>
      <c r="B2016" s="51" t="s">
        <v>155</v>
      </c>
      <c r="C2016" s="51" t="s">
        <v>166</v>
      </c>
      <c r="D2016" s="52" t="n">
        <v>8</v>
      </c>
      <c r="E2016" s="53" t="n">
        <v>28.31</v>
      </c>
      <c r="F2016" s="54" t="n">
        <f aca="false">IFERROR(D2016*E2016,0)</f>
        <v>226.48</v>
      </c>
      <c r="G2016" s="51" t="s">
        <v>99</v>
      </c>
      <c r="H2016" s="51" t="s">
        <v>20</v>
      </c>
    </row>
    <row r="2017" customFormat="false" ht="14.25" hidden="false" customHeight="true" outlineLevel="0" collapsed="false">
      <c r="A2017" s="50" t="s">
        <v>79</v>
      </c>
      <c r="B2017" s="51" t="s">
        <v>155</v>
      </c>
      <c r="C2017" s="51" t="s">
        <v>167</v>
      </c>
      <c r="D2017" s="52" t="n">
        <v>8</v>
      </c>
      <c r="E2017" s="53" t="n">
        <v>64.57</v>
      </c>
      <c r="F2017" s="54" t="n">
        <f aca="false">IFERROR(D2017*E2017,0)</f>
        <v>516.56</v>
      </c>
      <c r="G2017" s="51" t="s">
        <v>99</v>
      </c>
      <c r="H2017" s="51" t="s">
        <v>20</v>
      </c>
    </row>
    <row r="2018" customFormat="false" ht="14.25" hidden="false" customHeight="true" outlineLevel="0" collapsed="false">
      <c r="A2018" s="50" t="s">
        <v>79</v>
      </c>
      <c r="B2018" s="51" t="s">
        <v>155</v>
      </c>
      <c r="C2018" s="51" t="s">
        <v>168</v>
      </c>
      <c r="D2018" s="52" t="n">
        <v>8</v>
      </c>
      <c r="E2018" s="53" t="n">
        <v>185.92</v>
      </c>
      <c r="F2018" s="54" t="n">
        <f aca="false">IFERROR(D2018*E2018,0)</f>
        <v>1487.36</v>
      </c>
      <c r="G2018" s="51" t="str">
        <f aca="false">INDEX(SETORES!$B:$B,MATCH(A2018,SETORES!$A:$A,0))</f>
        <v>Funcionários</v>
      </c>
      <c r="H2018" s="51" t="s">
        <v>20</v>
      </c>
    </row>
    <row r="2019" customFormat="false" ht="14.25" hidden="false" customHeight="true" outlineLevel="0" collapsed="false">
      <c r="A2019" s="16" t="s">
        <v>79</v>
      </c>
      <c r="B2019" s="42" t="s">
        <v>155</v>
      </c>
      <c r="C2019" s="42" t="s">
        <v>169</v>
      </c>
      <c r="D2019" s="43" t="n">
        <v>1</v>
      </c>
      <c r="E2019" s="44" t="n">
        <v>25113.77</v>
      </c>
      <c r="F2019" s="45" t="n">
        <v>25113.77</v>
      </c>
      <c r="G2019" s="42" t="str">
        <f aca="false">INDEX(SETORES!$B:$B,MATCH(A2019,SETORES!$A:$A,0))</f>
        <v>Funcionários</v>
      </c>
      <c r="H2019" s="42" t="s">
        <v>20</v>
      </c>
    </row>
    <row r="2020" customFormat="false" ht="14.25" hidden="false" customHeight="true" outlineLevel="0" collapsed="false">
      <c r="A2020" s="50" t="s">
        <v>79</v>
      </c>
      <c r="B2020" s="51" t="s">
        <v>155</v>
      </c>
      <c r="C2020" s="51" t="s">
        <v>170</v>
      </c>
      <c r="D2020" s="52" t="n">
        <v>8</v>
      </c>
      <c r="E2020" s="53" t="n">
        <v>10.05</v>
      </c>
      <c r="F2020" s="54" t="n">
        <f aca="false">IFERROR(D2020*E2020,0)</f>
        <v>80.4</v>
      </c>
      <c r="G2020" s="51" t="s">
        <v>99</v>
      </c>
      <c r="H2020" s="51" t="s">
        <v>20</v>
      </c>
    </row>
    <row r="2021" customFormat="false" ht="14.25" hidden="false" customHeight="true" outlineLevel="0" collapsed="false">
      <c r="A2021" s="50" t="s">
        <v>79</v>
      </c>
      <c r="B2021" s="51" t="s">
        <v>155</v>
      </c>
      <c r="C2021" s="51" t="s">
        <v>172</v>
      </c>
      <c r="D2021" s="52" t="n">
        <v>3</v>
      </c>
      <c r="E2021" s="44" t="n">
        <v>50</v>
      </c>
      <c r="F2021" s="54" t="n">
        <f aca="false">IFERROR(D2021*E2021,0)</f>
        <v>150</v>
      </c>
      <c r="G2021" s="51" t="str">
        <f aca="false">INDEX(SETORES!$B:$B,MATCH(A2021,SETORES!$A:$A,0))</f>
        <v>Funcionários</v>
      </c>
      <c r="H2021" s="65" t="s">
        <v>20</v>
      </c>
    </row>
    <row r="2022" customFormat="false" ht="14.25" hidden="false" customHeight="true" outlineLevel="0" collapsed="false">
      <c r="A2022" s="16" t="s">
        <v>79</v>
      </c>
      <c r="B2022" s="42" t="s">
        <v>157</v>
      </c>
      <c r="C2022" s="42" t="s">
        <v>184</v>
      </c>
      <c r="D2022" s="43" t="n">
        <v>7</v>
      </c>
      <c r="E2022" s="53" t="n">
        <v>65.21</v>
      </c>
      <c r="F2022" s="45" t="n">
        <f aca="false">IFERROR(D2022*E2022,0)</f>
        <v>456.47</v>
      </c>
      <c r="G2022" s="42" t="str">
        <f aca="false">INDEX(SETORES!$B:$B,MATCH(A2022,SETORES!$A:$A,0))</f>
        <v>Funcionários</v>
      </c>
      <c r="H2022" s="42" t="s">
        <v>20</v>
      </c>
    </row>
    <row r="2023" customFormat="false" ht="14.25" hidden="false" customHeight="true" outlineLevel="0" collapsed="false">
      <c r="A2023" s="16" t="s">
        <v>79</v>
      </c>
      <c r="B2023" s="42" t="s">
        <v>157</v>
      </c>
      <c r="C2023" s="42" t="s">
        <v>158</v>
      </c>
      <c r="D2023" s="43"/>
      <c r="E2023" s="44"/>
      <c r="F2023" s="45" t="n">
        <f aca="false">IFERROR(D2023*E2023,0)</f>
        <v>0</v>
      </c>
      <c r="G2023" s="42" t="str">
        <f aca="false">INDEX(SETORES!$B:$B,MATCH(A2023,SETORES!$A:$A,0))</f>
        <v>Funcionários</v>
      </c>
      <c r="H2023" s="42" t="s">
        <v>20</v>
      </c>
    </row>
    <row r="2024" customFormat="false" ht="14.25" hidden="false" customHeight="true" outlineLevel="0" collapsed="false">
      <c r="A2024" s="16" t="s">
        <v>79</v>
      </c>
      <c r="B2024" s="42" t="s">
        <v>155</v>
      </c>
      <c r="C2024" s="42" t="s">
        <v>173</v>
      </c>
      <c r="D2024" s="43" t="n">
        <v>8</v>
      </c>
      <c r="E2024" s="44" t="n">
        <v>2.07</v>
      </c>
      <c r="F2024" s="45" t="n">
        <f aca="false">IFERROR(D2024*E2024,0)</f>
        <v>16.56</v>
      </c>
      <c r="G2024" s="42" t="s">
        <v>99</v>
      </c>
      <c r="H2024" s="42" t="s">
        <v>20</v>
      </c>
    </row>
    <row r="2025" customFormat="false" ht="14.25" hidden="false" customHeight="true" outlineLevel="0" collapsed="false">
      <c r="A2025" s="50" t="s">
        <v>141</v>
      </c>
      <c r="B2025" s="51" t="s">
        <v>155</v>
      </c>
      <c r="C2025" s="51" t="s">
        <v>169</v>
      </c>
      <c r="D2025" s="52" t="n">
        <v>1</v>
      </c>
      <c r="E2025" s="53" t="n">
        <v>18352.58</v>
      </c>
      <c r="F2025" s="54" t="n">
        <f aca="false">D2025*E2025</f>
        <v>18352.58</v>
      </c>
      <c r="G2025" s="51"/>
      <c r="H2025" s="51" t="s">
        <v>20</v>
      </c>
    </row>
    <row r="2026" customFormat="false" ht="14.25" hidden="false" customHeight="true" outlineLevel="0" collapsed="false">
      <c r="A2026" s="50" t="s">
        <v>80</v>
      </c>
      <c r="B2026" s="51" t="s">
        <v>155</v>
      </c>
      <c r="C2026" s="51" t="s">
        <v>165</v>
      </c>
      <c r="D2026" s="52" t="n">
        <v>3</v>
      </c>
      <c r="E2026" s="53" t="n">
        <v>47.79</v>
      </c>
      <c r="F2026" s="54" t="n">
        <f aca="false">IFERROR(D2026*E2026,0)</f>
        <v>143.37</v>
      </c>
      <c r="G2026" s="42" t="s">
        <v>99</v>
      </c>
      <c r="H2026" s="51" t="s">
        <v>20</v>
      </c>
    </row>
    <row r="2027" customFormat="false" ht="14.25" hidden="false" customHeight="true" outlineLevel="0" collapsed="false">
      <c r="A2027" s="16" t="s">
        <v>80</v>
      </c>
      <c r="B2027" s="42" t="s">
        <v>155</v>
      </c>
      <c r="C2027" s="42" t="s">
        <v>166</v>
      </c>
      <c r="D2027" s="43" t="n">
        <v>3</v>
      </c>
      <c r="E2027" s="44" t="n">
        <v>28.31</v>
      </c>
      <c r="F2027" s="45" t="n">
        <f aca="false">IFERROR(D2027*E2027,0)</f>
        <v>84.93</v>
      </c>
      <c r="G2027" s="51" t="s">
        <v>99</v>
      </c>
      <c r="H2027" s="42" t="s">
        <v>20</v>
      </c>
    </row>
    <row r="2028" customFormat="false" ht="14.25" hidden="false" customHeight="true" outlineLevel="0" collapsed="false">
      <c r="A2028" s="16" t="s">
        <v>80</v>
      </c>
      <c r="B2028" s="42" t="s">
        <v>155</v>
      </c>
      <c r="C2028" s="42" t="s">
        <v>167</v>
      </c>
      <c r="D2028" s="43" t="n">
        <v>3</v>
      </c>
      <c r="E2028" s="44" t="n">
        <v>64.57</v>
      </c>
      <c r="F2028" s="45" t="n">
        <f aca="false">IFERROR(D2028*E2028,0)</f>
        <v>193.71</v>
      </c>
      <c r="G2028" s="51" t="s">
        <v>99</v>
      </c>
      <c r="H2028" s="42" t="s">
        <v>20</v>
      </c>
    </row>
    <row r="2029" customFormat="false" ht="14.25" hidden="false" customHeight="true" outlineLevel="0" collapsed="false">
      <c r="A2029" s="50" t="s">
        <v>80</v>
      </c>
      <c r="B2029" s="51" t="s">
        <v>155</v>
      </c>
      <c r="C2029" s="51" t="s">
        <v>168</v>
      </c>
      <c r="D2029" s="52" t="n">
        <v>1</v>
      </c>
      <c r="E2029" s="53" t="n">
        <v>25.5324</v>
      </c>
      <c r="F2029" s="54" t="n">
        <v>25.5324</v>
      </c>
      <c r="G2029" s="51" t="s">
        <v>97</v>
      </c>
      <c r="H2029" s="51" t="s">
        <v>20</v>
      </c>
    </row>
    <row r="2030" customFormat="false" ht="14.25" hidden="false" customHeight="true" outlineLevel="0" collapsed="false">
      <c r="A2030" s="16" t="s">
        <v>80</v>
      </c>
      <c r="B2030" s="42" t="s">
        <v>155</v>
      </c>
      <c r="C2030" s="42" t="s">
        <v>169</v>
      </c>
      <c r="D2030" s="43" t="n">
        <v>1</v>
      </c>
      <c r="E2030" s="44" t="n">
        <v>28931.13</v>
      </c>
      <c r="F2030" s="45" t="n">
        <f aca="false">IFERROR(E2030,0)</f>
        <v>28931.13</v>
      </c>
      <c r="G2030" s="42" t="str">
        <f aca="false">INDEX(SETORES!$B:$B,MATCH(A2030,SETORES!$A:$A,0))</f>
        <v>Clientes</v>
      </c>
      <c r="H2030" s="42" t="s">
        <v>20</v>
      </c>
    </row>
    <row r="2031" customFormat="false" ht="14.25" hidden="false" customHeight="true" outlineLevel="0" collapsed="false">
      <c r="A2031" s="50" t="s">
        <v>80</v>
      </c>
      <c r="B2031" s="51" t="s">
        <v>155</v>
      </c>
      <c r="C2031" s="51" t="s">
        <v>170</v>
      </c>
      <c r="D2031" s="52" t="n">
        <v>3</v>
      </c>
      <c r="E2031" s="53" t="n">
        <v>10.05</v>
      </c>
      <c r="F2031" s="54" t="n">
        <f aca="false">IFERROR(D2031*E2031,0)</f>
        <v>30.15</v>
      </c>
      <c r="G2031" s="51" t="str">
        <f aca="false">INDEX(SETORES!$B:$B,MATCH(A2031,SETORES!$A:$A,0))</f>
        <v>Clientes</v>
      </c>
      <c r="H2031" s="51" t="s">
        <v>20</v>
      </c>
    </row>
    <row r="2032" customFormat="false" ht="14.25" hidden="false" customHeight="true" outlineLevel="0" collapsed="false">
      <c r="A2032" s="50" t="s">
        <v>80</v>
      </c>
      <c r="B2032" s="51" t="s">
        <v>155</v>
      </c>
      <c r="C2032" s="51" t="s">
        <v>183</v>
      </c>
      <c r="D2032" s="52" t="n">
        <v>1</v>
      </c>
      <c r="E2032" s="53" t="n">
        <v>3.333333</v>
      </c>
      <c r="F2032" s="54" t="n">
        <f aca="false">IFERROR(D2032*E2032,0)</f>
        <v>3.333333</v>
      </c>
      <c r="G2032" s="51" t="str">
        <f aca="false">INDEX(SETORES!$B:$B,MATCH(A2032,SETORES!$A:$A,0))</f>
        <v>Clientes</v>
      </c>
      <c r="H2032" s="51" t="s">
        <v>20</v>
      </c>
    </row>
    <row r="2033" customFormat="false" ht="14.25" hidden="false" customHeight="true" outlineLevel="0" collapsed="false">
      <c r="A2033" s="50" t="s">
        <v>80</v>
      </c>
      <c r="B2033" s="51" t="s">
        <v>155</v>
      </c>
      <c r="C2033" s="51" t="s">
        <v>172</v>
      </c>
      <c r="D2033" s="52" t="n">
        <v>3</v>
      </c>
      <c r="E2033" s="53" t="n">
        <v>50</v>
      </c>
      <c r="F2033" s="54" t="n">
        <f aca="false">IFERROR(D2033*E2033,0)</f>
        <v>150</v>
      </c>
      <c r="G2033" s="51" t="str">
        <f aca="false">INDEX(SETORES!$B:$B,MATCH(A2033,SETORES!$A:$A,0))</f>
        <v>Clientes</v>
      </c>
      <c r="H2033" s="51" t="s">
        <v>20</v>
      </c>
    </row>
    <row r="2034" customFormat="false" ht="14.25" hidden="false" customHeight="true" outlineLevel="0" collapsed="false">
      <c r="A2034" s="50" t="s">
        <v>80</v>
      </c>
      <c r="B2034" s="51" t="s">
        <v>157</v>
      </c>
      <c r="C2034" s="51" t="s">
        <v>158</v>
      </c>
      <c r="D2034" s="52"/>
      <c r="E2034" s="53"/>
      <c r="F2034" s="54" t="n">
        <f aca="false">IFERROR(D2034*E2034,0)</f>
        <v>0</v>
      </c>
      <c r="G2034" s="51" t="str">
        <f aca="false">INDEX(SETORES!$B:$B,MATCH(A2034,SETORES!$A:$A,0))</f>
        <v>Clientes</v>
      </c>
      <c r="H2034" s="51" t="s">
        <v>20</v>
      </c>
    </row>
    <row r="2035" customFormat="false" ht="14.25" hidden="false" customHeight="true" outlineLevel="0" collapsed="false">
      <c r="A2035" s="16" t="s">
        <v>80</v>
      </c>
      <c r="B2035" s="42" t="s">
        <v>155</v>
      </c>
      <c r="C2035" s="42" t="s">
        <v>173</v>
      </c>
      <c r="D2035" s="43" t="n">
        <v>3</v>
      </c>
      <c r="E2035" s="44" t="n">
        <v>2.07</v>
      </c>
      <c r="F2035" s="45" t="n">
        <f aca="false">IFERROR(D2035*E2035,0)</f>
        <v>6.21</v>
      </c>
      <c r="G2035" s="42" t="str">
        <f aca="false">INDEX(SETORES!$B:$B,MATCH(A2035,SETORES!$A:$A,0))</f>
        <v>Clientes</v>
      </c>
      <c r="H2035" s="42" t="s">
        <v>20</v>
      </c>
    </row>
    <row r="2036" customFormat="false" ht="14.25" hidden="false" customHeight="true" outlineLevel="0" collapsed="false">
      <c r="A2036" s="50" t="s">
        <v>42</v>
      </c>
      <c r="B2036" s="51" t="s">
        <v>155</v>
      </c>
      <c r="C2036" s="51" t="s">
        <v>162</v>
      </c>
      <c r="D2036" s="52" t="n">
        <v>1</v>
      </c>
      <c r="E2036" s="53" t="n">
        <v>0</v>
      </c>
      <c r="F2036" s="54" t="n">
        <v>0</v>
      </c>
      <c r="G2036" s="51" t="str">
        <f aca="false">INDEX(SETORES!$B:$B,MATCH(A2036,SETORES!$A:$A,0))</f>
        <v>Clientes</v>
      </c>
      <c r="H2036" s="51" t="s">
        <v>20</v>
      </c>
    </row>
    <row r="2037" customFormat="false" ht="14.25" hidden="false" customHeight="true" outlineLevel="0" collapsed="false">
      <c r="A2037" s="16" t="s">
        <v>42</v>
      </c>
      <c r="B2037" s="42" t="s">
        <v>155</v>
      </c>
      <c r="C2037" s="42" t="s">
        <v>165</v>
      </c>
      <c r="D2037" s="43" t="n">
        <v>2</v>
      </c>
      <c r="E2037" s="44" t="n">
        <v>47.79</v>
      </c>
      <c r="F2037" s="45" t="n">
        <f aca="false">IFERROR(D2037*E2037,0)</f>
        <v>95.58</v>
      </c>
      <c r="G2037" s="42" t="s">
        <v>99</v>
      </c>
      <c r="H2037" s="42" t="s">
        <v>20</v>
      </c>
    </row>
    <row r="2038" customFormat="false" ht="14.25" hidden="false" customHeight="true" outlineLevel="0" collapsed="false">
      <c r="A2038" s="50" t="s">
        <v>42</v>
      </c>
      <c r="B2038" s="51" t="s">
        <v>155</v>
      </c>
      <c r="C2038" s="51" t="s">
        <v>166</v>
      </c>
      <c r="D2038" s="52" t="n">
        <v>2</v>
      </c>
      <c r="E2038" s="53" t="n">
        <v>28.31</v>
      </c>
      <c r="F2038" s="54" t="n">
        <f aca="false">IFERROR(D2038*E2038,0)</f>
        <v>56.62</v>
      </c>
      <c r="G2038" s="51" t="s">
        <v>99</v>
      </c>
      <c r="H2038" s="51" t="s">
        <v>20</v>
      </c>
    </row>
    <row r="2039" customFormat="false" ht="14.25" hidden="false" customHeight="true" outlineLevel="0" collapsed="false">
      <c r="A2039" s="16" t="s">
        <v>42</v>
      </c>
      <c r="B2039" s="42" t="s">
        <v>155</v>
      </c>
      <c r="C2039" s="42" t="s">
        <v>167</v>
      </c>
      <c r="D2039" s="43" t="n">
        <v>2</v>
      </c>
      <c r="E2039" s="44" t="n">
        <v>64.57</v>
      </c>
      <c r="F2039" s="45" t="n">
        <f aca="false">IFERROR(D2039*E2039,0)</f>
        <v>129.14</v>
      </c>
      <c r="G2039" s="51" t="s">
        <v>99</v>
      </c>
      <c r="H2039" s="42" t="s">
        <v>20</v>
      </c>
    </row>
    <row r="2040" customFormat="false" ht="14.25" hidden="false" customHeight="true" outlineLevel="0" collapsed="false">
      <c r="A2040" s="16" t="s">
        <v>42</v>
      </c>
      <c r="B2040" s="42" t="s">
        <v>155</v>
      </c>
      <c r="C2040" s="42" t="s">
        <v>168</v>
      </c>
      <c r="D2040" s="43" t="n">
        <v>1</v>
      </c>
      <c r="E2040" s="44" t="n">
        <v>17.0216</v>
      </c>
      <c r="F2040" s="45" t="n">
        <v>17.0216</v>
      </c>
      <c r="G2040" s="42" t="str">
        <f aca="false">INDEX(SETORES!$B:$B,MATCH(A2040,SETORES!$A:$A,0))</f>
        <v>Clientes</v>
      </c>
      <c r="H2040" s="42" t="s">
        <v>20</v>
      </c>
    </row>
    <row r="2041" customFormat="false" ht="14.25" hidden="false" customHeight="true" outlineLevel="0" collapsed="false">
      <c r="A2041" s="50" t="s">
        <v>42</v>
      </c>
      <c r="B2041" s="51" t="s">
        <v>157</v>
      </c>
      <c r="C2041" s="51" t="s">
        <v>175</v>
      </c>
      <c r="D2041" s="52"/>
      <c r="E2041" s="53"/>
      <c r="F2041" s="54" t="n">
        <f aca="false">IFERROR(D2041*E2041,0)</f>
        <v>0</v>
      </c>
      <c r="G2041" s="51" t="str">
        <f aca="false">INDEX(SETORES!$B:$B,MATCH(A2041,SETORES!$A:$A,0))</f>
        <v>Clientes</v>
      </c>
      <c r="H2041" s="51" t="s">
        <v>20</v>
      </c>
    </row>
    <row r="2042" customFormat="false" ht="14.25" hidden="false" customHeight="true" outlineLevel="0" collapsed="false">
      <c r="A2042" s="16" t="s">
        <v>42</v>
      </c>
      <c r="B2042" s="42" t="s">
        <v>157</v>
      </c>
      <c r="C2042" s="42" t="s">
        <v>176</v>
      </c>
      <c r="D2042" s="43" t="n">
        <v>1</v>
      </c>
      <c r="E2042" s="44" t="n">
        <v>144</v>
      </c>
      <c r="F2042" s="45" t="n">
        <f aca="false">IFERROR(D2042*E2042,0)</f>
        <v>144</v>
      </c>
      <c r="G2042" s="42" t="str">
        <f aca="false">INDEX(SETORES!$B:$B,MATCH(A2042,SETORES!$A:$A,0))</f>
        <v>Clientes</v>
      </c>
      <c r="H2042" s="42" t="s">
        <v>20</v>
      </c>
    </row>
    <row r="2043" customFormat="false" ht="14.25" hidden="false" customHeight="true" outlineLevel="0" collapsed="false">
      <c r="A2043" s="50" t="s">
        <v>42</v>
      </c>
      <c r="B2043" s="51" t="s">
        <v>155</v>
      </c>
      <c r="C2043" s="51" t="s">
        <v>169</v>
      </c>
      <c r="D2043" s="52" t="n">
        <v>1</v>
      </c>
      <c r="E2043" s="53" t="n">
        <v>27129.8033777778</v>
      </c>
      <c r="F2043" s="54" t="n">
        <f aca="false">IFERROR(E2043,0)</f>
        <v>27129.8033777778</v>
      </c>
      <c r="G2043" s="51" t="str">
        <f aca="false">INDEX(SETORES!$B:$B,MATCH(A2043,SETORES!$A:$A,0))</f>
        <v>Clientes</v>
      </c>
      <c r="H2043" s="51" t="s">
        <v>20</v>
      </c>
    </row>
    <row r="2044" customFormat="false" ht="14.25" hidden="false" customHeight="true" outlineLevel="0" collapsed="false">
      <c r="A2044" s="16" t="s">
        <v>42</v>
      </c>
      <c r="B2044" s="42" t="s">
        <v>155</v>
      </c>
      <c r="C2044" s="42" t="s">
        <v>170</v>
      </c>
      <c r="D2044" s="43" t="n">
        <v>2</v>
      </c>
      <c r="E2044" s="44" t="n">
        <v>10.05</v>
      </c>
      <c r="F2044" s="45" t="n">
        <f aca="false">IFERROR(D2044*E2044,0)</f>
        <v>20.1</v>
      </c>
      <c r="G2044" s="42" t="str">
        <f aca="false">INDEX(SETORES!$B:$B,MATCH(A2044,SETORES!$A:$A,0))</f>
        <v>Clientes</v>
      </c>
      <c r="H2044" s="42" t="s">
        <v>20</v>
      </c>
    </row>
    <row r="2045" customFormat="false" ht="14.25" hidden="false" customHeight="true" outlineLevel="0" collapsed="false">
      <c r="A2045" s="16" t="s">
        <v>42</v>
      </c>
      <c r="B2045" s="42" t="s">
        <v>155</v>
      </c>
      <c r="C2045" s="42" t="s">
        <v>183</v>
      </c>
      <c r="D2045" s="43" t="n">
        <v>1</v>
      </c>
      <c r="E2045" s="44" t="n">
        <v>2.222222</v>
      </c>
      <c r="F2045" s="45" t="n">
        <f aca="false">IFERROR(D2045*E2045,0)</f>
        <v>2.222222</v>
      </c>
      <c r="G2045" s="42" t="str">
        <f aca="false">INDEX(SETORES!$B:$B,MATCH(A2045,SETORES!$A:$A,0))</f>
        <v>Clientes</v>
      </c>
      <c r="H2045" s="42" t="s">
        <v>20</v>
      </c>
    </row>
    <row r="2046" customFormat="false" ht="14.25" hidden="false" customHeight="true" outlineLevel="0" collapsed="false">
      <c r="A2046" s="50" t="s">
        <v>42</v>
      </c>
      <c r="B2046" s="51" t="s">
        <v>155</v>
      </c>
      <c r="C2046" s="51" t="s">
        <v>172</v>
      </c>
      <c r="D2046" s="52" t="n">
        <v>2</v>
      </c>
      <c r="E2046" s="53" t="n">
        <v>50</v>
      </c>
      <c r="F2046" s="54" t="n">
        <f aca="false">IFERROR(D2046*E2046,0)</f>
        <v>100</v>
      </c>
      <c r="G2046" s="51" t="str">
        <f aca="false">INDEX(SETORES!$B:$B,MATCH(A2046,SETORES!$A:$A,0))</f>
        <v>Clientes</v>
      </c>
      <c r="H2046" s="51" t="s">
        <v>20</v>
      </c>
    </row>
    <row r="2047" customFormat="false" ht="14.25" hidden="false" customHeight="true" outlineLevel="0" collapsed="false">
      <c r="A2047" s="16" t="s">
        <v>42</v>
      </c>
      <c r="B2047" s="42" t="s">
        <v>155</v>
      </c>
      <c r="C2047" s="42" t="s">
        <v>177</v>
      </c>
      <c r="D2047" s="43"/>
      <c r="E2047" s="44"/>
      <c r="F2047" s="45" t="n">
        <v>0</v>
      </c>
      <c r="G2047" s="42" t="str">
        <f aca="false">INDEX(SETORES!$B:$B,MATCH(A2047,SETORES!$A:$A,0))</f>
        <v>Clientes</v>
      </c>
      <c r="H2047" s="42" t="s">
        <v>20</v>
      </c>
    </row>
    <row r="2048" customFormat="false" ht="14.25" hidden="false" customHeight="true" outlineLevel="0" collapsed="false">
      <c r="A2048" s="50" t="s">
        <v>42</v>
      </c>
      <c r="B2048" s="51" t="s">
        <v>155</v>
      </c>
      <c r="C2048" s="51" t="s">
        <v>178</v>
      </c>
      <c r="D2048" s="52"/>
      <c r="E2048" s="53"/>
      <c r="F2048" s="54" t="n">
        <v>0</v>
      </c>
      <c r="G2048" s="51" t="str">
        <f aca="false">INDEX(SETORES!$B:$B,MATCH(A2048,SETORES!$A:$A,0))</f>
        <v>Clientes</v>
      </c>
      <c r="H2048" s="51" t="s">
        <v>20</v>
      </c>
    </row>
    <row r="2049" customFormat="false" ht="14.25" hidden="false" customHeight="true" outlineLevel="0" collapsed="false">
      <c r="A2049" s="16" t="s">
        <v>42</v>
      </c>
      <c r="B2049" s="42" t="s">
        <v>157</v>
      </c>
      <c r="C2049" s="42" t="s">
        <v>158</v>
      </c>
      <c r="D2049" s="43"/>
      <c r="E2049" s="44"/>
      <c r="F2049" s="45" t="n">
        <f aca="false">IFERROR(D2049*E2049,0)</f>
        <v>0</v>
      </c>
      <c r="G2049" s="42" t="str">
        <f aca="false">INDEX(SETORES!$B:$B,MATCH(A2049,SETORES!$A:$A,0))</f>
        <v>Clientes</v>
      </c>
      <c r="H2049" s="42" t="s">
        <v>20</v>
      </c>
    </row>
    <row r="2050" customFormat="false" ht="14.25" hidden="false" customHeight="true" outlineLevel="0" collapsed="false">
      <c r="A2050" s="50" t="s">
        <v>42</v>
      </c>
      <c r="B2050" s="51" t="s">
        <v>155</v>
      </c>
      <c r="C2050" s="51" t="s">
        <v>173</v>
      </c>
      <c r="D2050" s="52" t="n">
        <v>2</v>
      </c>
      <c r="E2050" s="53" t="n">
        <v>2.07</v>
      </c>
      <c r="F2050" s="54" t="n">
        <f aca="false">IFERROR(D2050*E2050,0)</f>
        <v>4.14</v>
      </c>
      <c r="G2050" s="51" t="str">
        <f aca="false">INDEX(SETORES!$B:$B,MATCH(A2050,SETORES!$A:$A,0))</f>
        <v>Clientes</v>
      </c>
      <c r="H2050" s="51" t="s">
        <v>20</v>
      </c>
    </row>
    <row r="2051" customFormat="false" ht="14.25" hidden="false" customHeight="true" outlineLevel="0" collapsed="false">
      <c r="A2051" s="16" t="s">
        <v>42</v>
      </c>
      <c r="B2051" s="42" t="s">
        <v>155</v>
      </c>
      <c r="C2051" s="42" t="s">
        <v>179</v>
      </c>
      <c r="D2051" s="43"/>
      <c r="E2051" s="44"/>
      <c r="F2051" s="45" t="n">
        <f aca="false">IFERROR(D2051*E2051,0)</f>
        <v>0</v>
      </c>
      <c r="G2051" s="42" t="str">
        <f aca="false">INDEX(SETORES!$B:$B,MATCH(A2051,SETORES!$A:$A,0))</f>
        <v>Clientes</v>
      </c>
      <c r="H2051" s="42" t="s">
        <v>20</v>
      </c>
    </row>
    <row r="2052" customFormat="false" ht="14.25" hidden="false" customHeight="true" outlineLevel="0" collapsed="false">
      <c r="A2052" s="16" t="s">
        <v>42</v>
      </c>
      <c r="B2052" s="42" t="s">
        <v>157</v>
      </c>
      <c r="C2052" s="42" t="s">
        <v>208</v>
      </c>
      <c r="D2052" s="43"/>
      <c r="E2052" s="44"/>
      <c r="F2052" s="45" t="n">
        <f aca="false">IFERROR(D2052*E2052,0)</f>
        <v>0</v>
      </c>
      <c r="G2052" s="42" t="str">
        <f aca="false">INDEX(SETORES!$B:$B,MATCH(A2052,SETORES!$A:$A,0))</f>
        <v>Clientes</v>
      </c>
      <c r="H2052" s="42" t="s">
        <v>20</v>
      </c>
    </row>
    <row r="2053" customFormat="false" ht="14.25" hidden="false" customHeight="true" outlineLevel="0" collapsed="false">
      <c r="A2053" s="50" t="s">
        <v>33</v>
      </c>
      <c r="B2053" s="51" t="s">
        <v>155</v>
      </c>
      <c r="C2053" s="51" t="s">
        <v>162</v>
      </c>
      <c r="D2053" s="52" t="n">
        <v>1</v>
      </c>
      <c r="E2053" s="53" t="n">
        <v>0</v>
      </c>
      <c r="F2053" s="54" t="n">
        <v>0</v>
      </c>
      <c r="G2053" s="51" t="str">
        <f aca="false">INDEX(SETORES!$B:$B,MATCH(A2053,SETORES!$A:$A,0))</f>
        <v>Funcionários</v>
      </c>
      <c r="H2053" s="51" t="s">
        <v>20</v>
      </c>
    </row>
    <row r="2054" customFormat="false" ht="14.25" hidden="false" customHeight="true" outlineLevel="0" collapsed="false">
      <c r="A2054" s="50" t="s">
        <v>33</v>
      </c>
      <c r="B2054" s="51" t="s">
        <v>155</v>
      </c>
      <c r="C2054" s="51" t="s">
        <v>163</v>
      </c>
      <c r="D2054" s="52" t="n">
        <v>2</v>
      </c>
      <c r="E2054" s="53" t="n">
        <v>30</v>
      </c>
      <c r="F2054" s="54" t="n">
        <f aca="false">IFERROR(D2054*E2054,0)</f>
        <v>60</v>
      </c>
      <c r="G2054" s="51" t="str">
        <f aca="false">INDEX(SETORES!$B:$B,MATCH(A2054,SETORES!$A:$A,0))</f>
        <v>Funcionários</v>
      </c>
      <c r="H2054" s="51" t="s">
        <v>20</v>
      </c>
    </row>
    <row r="2055" customFormat="false" ht="14.25" hidden="false" customHeight="true" outlineLevel="0" collapsed="false">
      <c r="A2055" s="50" t="s">
        <v>33</v>
      </c>
      <c r="B2055" s="51" t="s">
        <v>155</v>
      </c>
      <c r="C2055" s="51" t="s">
        <v>165</v>
      </c>
      <c r="D2055" s="52" t="n">
        <v>7</v>
      </c>
      <c r="E2055" s="53" t="n">
        <v>47.79</v>
      </c>
      <c r="F2055" s="54" t="n">
        <f aca="false">IFERROR(D2055*E2055,0)</f>
        <v>334.53</v>
      </c>
      <c r="G2055" s="42" t="s">
        <v>99</v>
      </c>
      <c r="H2055" s="51" t="s">
        <v>20</v>
      </c>
    </row>
    <row r="2056" customFormat="false" ht="14.25" hidden="false" customHeight="true" outlineLevel="0" collapsed="false">
      <c r="A2056" s="16" t="s">
        <v>33</v>
      </c>
      <c r="B2056" s="42" t="s">
        <v>155</v>
      </c>
      <c r="C2056" s="42" t="s">
        <v>166</v>
      </c>
      <c r="D2056" s="43" t="n">
        <v>7</v>
      </c>
      <c r="E2056" s="44" t="n">
        <v>28.31</v>
      </c>
      <c r="F2056" s="45" t="n">
        <f aca="false">IFERROR(D2056*E2056,0)</f>
        <v>198.17</v>
      </c>
      <c r="G2056" s="51" t="s">
        <v>99</v>
      </c>
      <c r="H2056" s="42" t="s">
        <v>20</v>
      </c>
    </row>
    <row r="2057" customFormat="false" ht="14.25" hidden="false" customHeight="true" outlineLevel="0" collapsed="false">
      <c r="A2057" s="50" t="s">
        <v>33</v>
      </c>
      <c r="B2057" s="51" t="s">
        <v>155</v>
      </c>
      <c r="C2057" s="51" t="s">
        <v>167</v>
      </c>
      <c r="D2057" s="52" t="n">
        <v>7</v>
      </c>
      <c r="E2057" s="53" t="n">
        <v>64.57</v>
      </c>
      <c r="F2057" s="54" t="n">
        <f aca="false">IFERROR(D2057*E2057,0)</f>
        <v>451.99</v>
      </c>
      <c r="G2057" s="51" t="s">
        <v>99</v>
      </c>
      <c r="H2057" s="51" t="s">
        <v>20</v>
      </c>
    </row>
    <row r="2058" customFormat="false" ht="14.25" hidden="false" customHeight="true" outlineLevel="0" collapsed="false">
      <c r="A2058" s="16" t="s">
        <v>33</v>
      </c>
      <c r="B2058" s="42" t="s">
        <v>155</v>
      </c>
      <c r="C2058" s="42" t="s">
        <v>168</v>
      </c>
      <c r="D2058" s="43" t="n">
        <v>1</v>
      </c>
      <c r="E2058" s="44" t="n">
        <v>59.5756</v>
      </c>
      <c r="F2058" s="45" t="n">
        <v>59.5756</v>
      </c>
      <c r="G2058" s="42" t="str">
        <f aca="false">INDEX(SETORES!$B:$B,MATCH(A2058,SETORES!$A:$A,0))</f>
        <v>Funcionários</v>
      </c>
      <c r="H2058" s="42" t="s">
        <v>20</v>
      </c>
    </row>
    <row r="2059" customFormat="false" ht="14.25" hidden="false" customHeight="true" outlineLevel="0" collapsed="false">
      <c r="A2059" s="16" t="s">
        <v>33</v>
      </c>
      <c r="B2059" s="42" t="s">
        <v>157</v>
      </c>
      <c r="C2059" s="42" t="s">
        <v>243</v>
      </c>
      <c r="D2059" s="43"/>
      <c r="E2059" s="44"/>
      <c r="F2059" s="45" t="n">
        <f aca="false">IFERROR(D2059*E2059,0)</f>
        <v>0</v>
      </c>
      <c r="G2059" s="42" t="str">
        <f aca="false">INDEX(SETORES!$B:$B,MATCH(A2059,SETORES!$A:$A,0))</f>
        <v>Funcionários</v>
      </c>
      <c r="H2059" s="42" t="s">
        <v>20</v>
      </c>
    </row>
    <row r="2060" customFormat="false" ht="14.25" hidden="false" customHeight="true" outlineLevel="0" collapsed="false">
      <c r="A2060" s="16" t="s">
        <v>33</v>
      </c>
      <c r="B2060" s="42" t="s">
        <v>157</v>
      </c>
      <c r="C2060" s="42" t="s">
        <v>175</v>
      </c>
      <c r="D2060" s="43"/>
      <c r="E2060" s="44"/>
      <c r="F2060" s="45" t="n">
        <f aca="false">IFERROR(D2060*E2060,0)</f>
        <v>0</v>
      </c>
      <c r="G2060" s="42" t="str">
        <f aca="false">INDEX(SETORES!$B:$B,MATCH(A2060,SETORES!$A:$A,0))</f>
        <v>Funcionários</v>
      </c>
      <c r="H2060" s="42" t="s">
        <v>20</v>
      </c>
    </row>
    <row r="2061" customFormat="false" ht="14.25" hidden="false" customHeight="true" outlineLevel="0" collapsed="false">
      <c r="A2061" s="50" t="s">
        <v>33</v>
      </c>
      <c r="B2061" s="51" t="s">
        <v>157</v>
      </c>
      <c r="C2061" s="51" t="s">
        <v>176</v>
      </c>
      <c r="D2061" s="52" t="n">
        <v>1</v>
      </c>
      <c r="E2061" s="53" t="n">
        <v>68</v>
      </c>
      <c r="F2061" s="54" t="n">
        <f aca="false">IFERROR(D2061*E2061,0)</f>
        <v>68</v>
      </c>
      <c r="G2061" s="51" t="str">
        <f aca="false">INDEX(SETORES!$B:$B,MATCH(A2061,SETORES!$A:$A,0))</f>
        <v>Funcionários</v>
      </c>
      <c r="H2061" s="51" t="s">
        <v>20</v>
      </c>
    </row>
    <row r="2062" customFormat="false" ht="14.25" hidden="false" customHeight="true" outlineLevel="0" collapsed="false">
      <c r="A2062" s="50" t="s">
        <v>33</v>
      </c>
      <c r="B2062" s="51" t="s">
        <v>155</v>
      </c>
      <c r="C2062" s="51" t="s">
        <v>169</v>
      </c>
      <c r="D2062" s="52" t="n">
        <v>1</v>
      </c>
      <c r="E2062" s="53" t="n">
        <v>36796.53</v>
      </c>
      <c r="F2062" s="54" t="n">
        <f aca="false">IFERROR(E2062,0)</f>
        <v>36796.53</v>
      </c>
      <c r="G2062" s="51" t="str">
        <f aca="false">INDEX(SETORES!$B:$B,MATCH(A2062,SETORES!$A:$A,0))</f>
        <v>Funcionários</v>
      </c>
      <c r="H2062" s="51" t="s">
        <v>20</v>
      </c>
    </row>
    <row r="2063" customFormat="false" ht="14.25" hidden="false" customHeight="true" outlineLevel="0" collapsed="false">
      <c r="A2063" s="50" t="s">
        <v>33</v>
      </c>
      <c r="B2063" s="51" t="s">
        <v>155</v>
      </c>
      <c r="C2063" s="51" t="s">
        <v>170</v>
      </c>
      <c r="D2063" s="52" t="n">
        <v>7</v>
      </c>
      <c r="E2063" s="53" t="n">
        <v>10.05</v>
      </c>
      <c r="F2063" s="54" t="n">
        <f aca="false">IFERROR(D2063*E2063,0)</f>
        <v>70.35</v>
      </c>
      <c r="G2063" s="51" t="str">
        <f aca="false">INDEX(SETORES!$B:$B,MATCH(A2063,SETORES!$A:$A,0))</f>
        <v>Funcionários</v>
      </c>
      <c r="H2063" s="51" t="s">
        <v>20</v>
      </c>
    </row>
    <row r="2064" customFormat="false" ht="14.25" hidden="false" customHeight="true" outlineLevel="0" collapsed="false">
      <c r="A2064" s="50" t="s">
        <v>33</v>
      </c>
      <c r="B2064" s="51" t="s">
        <v>157</v>
      </c>
      <c r="C2064" s="51" t="s">
        <v>209</v>
      </c>
      <c r="D2064" s="52"/>
      <c r="E2064" s="53"/>
      <c r="F2064" s="54" t="n">
        <f aca="false">IFERROR(D2064*E2064,0)</f>
        <v>0</v>
      </c>
      <c r="G2064" s="51" t="str">
        <f aca="false">INDEX(SETORES!$B:$B,MATCH(A2064,SETORES!$A:$A,0))</f>
        <v>Funcionários</v>
      </c>
      <c r="H2064" s="51" t="s">
        <v>20</v>
      </c>
    </row>
    <row r="2065" customFormat="false" ht="14.25" hidden="false" customHeight="true" outlineLevel="0" collapsed="false">
      <c r="A2065" s="16" t="s">
        <v>33</v>
      </c>
      <c r="B2065" s="42" t="s">
        <v>155</v>
      </c>
      <c r="C2065" s="42" t="s">
        <v>172</v>
      </c>
      <c r="D2065" s="43" t="n">
        <v>7</v>
      </c>
      <c r="E2065" s="44" t="n">
        <v>50</v>
      </c>
      <c r="F2065" s="45" t="n">
        <f aca="false">IFERROR(D2065*E2065,0)</f>
        <v>350</v>
      </c>
      <c r="G2065" s="42" t="str">
        <f aca="false">INDEX(SETORES!$B:$B,MATCH(A2065,SETORES!$A:$A,0))</f>
        <v>Funcionários</v>
      </c>
      <c r="H2065" s="42" t="s">
        <v>20</v>
      </c>
    </row>
    <row r="2066" customFormat="false" ht="14.25" hidden="false" customHeight="true" outlineLevel="0" collapsed="false">
      <c r="A2066" s="16" t="s">
        <v>33</v>
      </c>
      <c r="B2066" s="42" t="s">
        <v>155</v>
      </c>
      <c r="C2066" s="42" t="s">
        <v>210</v>
      </c>
      <c r="D2066" s="43" t="n">
        <v>1</v>
      </c>
      <c r="E2066" s="44" t="n">
        <v>2559.44</v>
      </c>
      <c r="F2066" s="45" t="n">
        <f aca="false">IFERROR(D2066*E2066,0)</f>
        <v>2559.44</v>
      </c>
      <c r="G2066" s="42" t="s">
        <v>99</v>
      </c>
      <c r="H2066" s="42" t="s">
        <v>20</v>
      </c>
    </row>
    <row r="2067" customFormat="false" ht="14.25" hidden="false" customHeight="true" outlineLevel="0" collapsed="false">
      <c r="A2067" s="16" t="s">
        <v>33</v>
      </c>
      <c r="B2067" s="42" t="s">
        <v>155</v>
      </c>
      <c r="C2067" s="42" t="s">
        <v>177</v>
      </c>
      <c r="D2067" s="43" t="n">
        <v>1</v>
      </c>
      <c r="E2067" s="44" t="n">
        <v>28.5</v>
      </c>
      <c r="F2067" s="45" t="n">
        <v>57.0003</v>
      </c>
      <c r="G2067" s="42" t="str">
        <f aca="false">INDEX(SETORES!$B:$B,MATCH(A2067,SETORES!$A:$A,0))</f>
        <v>Funcionários</v>
      </c>
      <c r="H2067" s="42" t="s">
        <v>20</v>
      </c>
    </row>
    <row r="2068" customFormat="false" ht="14.25" hidden="false" customHeight="true" outlineLevel="0" collapsed="false">
      <c r="A2068" s="50" t="s">
        <v>33</v>
      </c>
      <c r="B2068" s="51" t="s">
        <v>155</v>
      </c>
      <c r="C2068" s="51" t="s">
        <v>178</v>
      </c>
      <c r="D2068" s="52" t="n">
        <v>1</v>
      </c>
      <c r="E2068" s="53" t="n">
        <v>28.5</v>
      </c>
      <c r="F2068" s="54" t="n">
        <v>28.5</v>
      </c>
      <c r="G2068" s="51" t="str">
        <f aca="false">INDEX(SETORES!$B:$B,MATCH(A2068,SETORES!$A:$A,0))</f>
        <v>Funcionários</v>
      </c>
      <c r="H2068" s="51" t="s">
        <v>20</v>
      </c>
    </row>
    <row r="2069" customFormat="false" ht="14.25" hidden="false" customHeight="true" outlineLevel="0" collapsed="false">
      <c r="A2069" s="50" t="s">
        <v>33</v>
      </c>
      <c r="B2069" s="51" t="s">
        <v>155</v>
      </c>
      <c r="C2069" s="51" t="s">
        <v>252</v>
      </c>
      <c r="D2069" s="52" t="n">
        <v>1</v>
      </c>
      <c r="E2069" s="53" t="n">
        <v>4226.8</v>
      </c>
      <c r="F2069" s="54" t="n">
        <f aca="false">IFERROR(D2069*E2069,0)</f>
        <v>4226.8</v>
      </c>
      <c r="G2069" s="42" t="s">
        <v>99</v>
      </c>
      <c r="H2069" s="51" t="s">
        <v>20</v>
      </c>
    </row>
    <row r="2070" customFormat="false" ht="14.25" hidden="false" customHeight="true" outlineLevel="0" collapsed="false">
      <c r="A2070" s="50" t="s">
        <v>33</v>
      </c>
      <c r="B2070" s="51" t="s">
        <v>155</v>
      </c>
      <c r="C2070" s="51" t="s">
        <v>212</v>
      </c>
      <c r="D2070" s="52" t="n">
        <v>1</v>
      </c>
      <c r="E2070" s="53" t="n">
        <v>3714.01</v>
      </c>
      <c r="F2070" s="54" t="n">
        <f aca="false">IFERROR(D2070*E2070,0)</f>
        <v>3714.01</v>
      </c>
      <c r="G2070" s="42" t="s">
        <v>99</v>
      </c>
      <c r="H2070" s="51" t="s">
        <v>20</v>
      </c>
    </row>
    <row r="2071" customFormat="false" ht="14.25" hidden="false" customHeight="true" outlineLevel="0" collapsed="false">
      <c r="A2071" s="16" t="s">
        <v>33</v>
      </c>
      <c r="B2071" s="42" t="s">
        <v>155</v>
      </c>
      <c r="C2071" s="42" t="s">
        <v>213</v>
      </c>
      <c r="D2071" s="43" t="n">
        <v>1</v>
      </c>
      <c r="E2071" s="44" t="n">
        <v>837.06</v>
      </c>
      <c r="F2071" s="45" t="n">
        <f aca="false">IFERROR(D2071*E2071,0)</f>
        <v>837.06</v>
      </c>
      <c r="G2071" s="42" t="s">
        <v>99</v>
      </c>
      <c r="H2071" s="42" t="s">
        <v>20</v>
      </c>
    </row>
    <row r="2072" customFormat="false" ht="14.25" hidden="false" customHeight="true" outlineLevel="0" collapsed="false">
      <c r="A2072" s="16" t="s">
        <v>33</v>
      </c>
      <c r="B2072" s="42" t="s">
        <v>155</v>
      </c>
      <c r="C2072" s="42" t="s">
        <v>173</v>
      </c>
      <c r="D2072" s="43" t="n">
        <v>7</v>
      </c>
      <c r="E2072" s="44" t="n">
        <v>2.07</v>
      </c>
      <c r="F2072" s="45" t="n">
        <f aca="false">IFERROR(D2072*E2072,0)</f>
        <v>14.49</v>
      </c>
      <c r="G2072" s="42" t="str">
        <f aca="false">INDEX(SETORES!$B:$B,MATCH(A2072,SETORES!$A:$A,0))</f>
        <v>Funcionários</v>
      </c>
      <c r="H2072" s="42" t="s">
        <v>20</v>
      </c>
    </row>
    <row r="2073" customFormat="false" ht="14.25" hidden="false" customHeight="true" outlineLevel="0" collapsed="false">
      <c r="A2073" s="16" t="s">
        <v>33</v>
      </c>
      <c r="B2073" s="42" t="s">
        <v>155</v>
      </c>
      <c r="C2073" s="42" t="s">
        <v>179</v>
      </c>
      <c r="D2073" s="43"/>
      <c r="E2073" s="44"/>
      <c r="F2073" s="45" t="n">
        <f aca="false">IFERROR(D2073*E2073,0)</f>
        <v>0</v>
      </c>
      <c r="G2073" s="42" t="str">
        <f aca="false">INDEX(SETORES!$B:$B,MATCH(A2073,SETORES!$A:$A,0))</f>
        <v>Funcionários</v>
      </c>
      <c r="H2073" s="42" t="s">
        <v>20</v>
      </c>
    </row>
    <row r="2074" customFormat="false" ht="14.25" hidden="false" customHeight="true" outlineLevel="0" collapsed="false">
      <c r="A2074" s="50" t="s">
        <v>45</v>
      </c>
      <c r="B2074" s="51" t="s">
        <v>155</v>
      </c>
      <c r="C2074" s="51" t="s">
        <v>162</v>
      </c>
      <c r="D2074" s="52" t="n">
        <v>7</v>
      </c>
      <c r="E2074" s="44" t="n">
        <v>3.69</v>
      </c>
      <c r="F2074" s="54" t="n">
        <f aca="false">IFERROR(D2074*E2074,0)</f>
        <v>25.83</v>
      </c>
      <c r="G2074" s="51" t="str">
        <f aca="false">INDEX(SETORES!$B:$B,MATCH(A2074,SETORES!$A:$A,0))</f>
        <v>Clientes</v>
      </c>
      <c r="H2074" s="51" t="s">
        <v>20</v>
      </c>
    </row>
    <row r="2075" customFormat="false" ht="14.25" hidden="false" customHeight="true" outlineLevel="0" collapsed="false">
      <c r="A2075" s="16" t="s">
        <v>45</v>
      </c>
      <c r="B2075" s="42" t="s">
        <v>155</v>
      </c>
      <c r="C2075" s="42" t="s">
        <v>163</v>
      </c>
      <c r="D2075" s="43" t="n">
        <v>8</v>
      </c>
      <c r="E2075" s="44" t="n">
        <v>30</v>
      </c>
      <c r="F2075" s="45" t="n">
        <f aca="false">IFERROR(D2075*E2075,0)</f>
        <v>240</v>
      </c>
      <c r="G2075" s="42" t="str">
        <f aca="false">INDEX(SETORES!$B:$B,MATCH(A2075,SETORES!$A:$A,0))</f>
        <v>Clientes</v>
      </c>
      <c r="H2075" s="42" t="s">
        <v>20</v>
      </c>
    </row>
    <row r="2076" customFormat="false" ht="14.25" hidden="false" customHeight="true" outlineLevel="0" collapsed="false">
      <c r="A2076" s="16" t="s">
        <v>45</v>
      </c>
      <c r="B2076" s="42" t="s">
        <v>157</v>
      </c>
      <c r="C2076" s="42" t="s">
        <v>199</v>
      </c>
      <c r="D2076" s="43" t="n">
        <v>1</v>
      </c>
      <c r="E2076" s="44" t="n">
        <v>8424.47</v>
      </c>
      <c r="F2076" s="45" t="n">
        <f aca="false">IFERROR(D2076*E2076,0)</f>
        <v>8424.47</v>
      </c>
      <c r="G2076" s="42" t="str">
        <f aca="false">INDEX(SETORES!$B:$B,MATCH(A2076,SETORES!$A:$A,0))</f>
        <v>Clientes</v>
      </c>
      <c r="H2076" s="42" t="s">
        <v>20</v>
      </c>
    </row>
    <row r="2077" customFormat="false" ht="14.25" hidden="false" customHeight="true" outlineLevel="0" collapsed="false">
      <c r="A2077" s="50" t="s">
        <v>45</v>
      </c>
      <c r="B2077" s="51" t="s">
        <v>157</v>
      </c>
      <c r="C2077" s="51" t="s">
        <v>253</v>
      </c>
      <c r="D2077" s="52"/>
      <c r="E2077" s="53"/>
      <c r="F2077" s="54" t="n">
        <f aca="false">IFERROR(D2077*E2077,0)</f>
        <v>0</v>
      </c>
      <c r="G2077" s="51" t="str">
        <f aca="false">INDEX(SETORES!$B:$B,MATCH(A2077,SETORES!$A:$A,0))</f>
        <v>Clientes</v>
      </c>
      <c r="H2077" s="51" t="s">
        <v>20</v>
      </c>
    </row>
    <row r="2078" customFormat="false" ht="14.25" hidden="false" customHeight="true" outlineLevel="0" collapsed="false">
      <c r="A2078" s="50" t="s">
        <v>45</v>
      </c>
      <c r="B2078" s="51" t="s">
        <v>155</v>
      </c>
      <c r="C2078" s="51" t="s">
        <v>205</v>
      </c>
      <c r="D2078" s="52" t="n">
        <v>1</v>
      </c>
      <c r="E2078" s="53" t="n">
        <v>1269.37</v>
      </c>
      <c r="F2078" s="54" t="n">
        <f aca="false">IFERROR(D2078*E2078,0)</f>
        <v>1269.37</v>
      </c>
      <c r="G2078" s="51" t="str">
        <f aca="false">INDEX(SETORES!$B:$B,MATCH(A2078,SETORES!$A:$A,0))</f>
        <v>Clientes</v>
      </c>
      <c r="H2078" s="51" t="s">
        <v>20</v>
      </c>
    </row>
    <row r="2079" customFormat="false" ht="14.25" hidden="false" customHeight="true" outlineLevel="0" collapsed="false">
      <c r="A2079" s="50" t="s">
        <v>146</v>
      </c>
      <c r="B2079" s="51" t="s">
        <v>155</v>
      </c>
      <c r="C2079" s="51" t="s">
        <v>170</v>
      </c>
      <c r="D2079" s="52" t="n">
        <v>3</v>
      </c>
      <c r="E2079" s="53" t="n">
        <v>10.05</v>
      </c>
      <c r="F2079" s="54" t="n">
        <f aca="false">IFERROR(D2079*E2079,0)</f>
        <v>30.15</v>
      </c>
      <c r="G2079" s="51" t="s">
        <v>97</v>
      </c>
      <c r="H2079" s="51" t="s">
        <v>20</v>
      </c>
    </row>
    <row r="2080" customFormat="false" ht="14.25" hidden="false" customHeight="true" outlineLevel="0" collapsed="false">
      <c r="A2080" s="50" t="s">
        <v>146</v>
      </c>
      <c r="B2080" s="51" t="s">
        <v>155</v>
      </c>
      <c r="C2080" s="51" t="s">
        <v>165</v>
      </c>
      <c r="D2080" s="52" t="n">
        <v>3</v>
      </c>
      <c r="E2080" s="53" t="n">
        <v>47.79</v>
      </c>
      <c r="F2080" s="54" t="n">
        <f aca="false">IFERROR(D2080*E2080,0)</f>
        <v>143.37</v>
      </c>
      <c r="G2080" s="51" t="s">
        <v>97</v>
      </c>
      <c r="H2080" s="51" t="s">
        <v>20</v>
      </c>
    </row>
    <row r="2081" customFormat="false" ht="14.25" hidden="false" customHeight="true" outlineLevel="0" collapsed="false">
      <c r="A2081" s="50" t="s">
        <v>45</v>
      </c>
      <c r="B2081" s="51" t="s">
        <v>155</v>
      </c>
      <c r="C2081" s="51" t="s">
        <v>165</v>
      </c>
      <c r="D2081" s="52" t="n">
        <v>7</v>
      </c>
      <c r="E2081" s="53" t="n">
        <v>47.79</v>
      </c>
      <c r="F2081" s="54" t="n">
        <f aca="false">IFERROR(D2081*E2081,0)</f>
        <v>334.53</v>
      </c>
      <c r="G2081" s="42" t="s">
        <v>99</v>
      </c>
      <c r="H2081" s="51" t="s">
        <v>20</v>
      </c>
    </row>
    <row r="2082" customFormat="false" ht="14.25" hidden="false" customHeight="true" outlineLevel="0" collapsed="false">
      <c r="A2082" s="50" t="s">
        <v>146</v>
      </c>
      <c r="B2082" s="51" t="s">
        <v>155</v>
      </c>
      <c r="C2082" s="51" t="s">
        <v>170</v>
      </c>
      <c r="D2082" s="52" t="n">
        <v>3</v>
      </c>
      <c r="E2082" s="53" t="n">
        <v>10.05</v>
      </c>
      <c r="F2082" s="54" t="n">
        <f aca="false">IFERROR(D2082*E2082,0)</f>
        <v>30.15</v>
      </c>
      <c r="G2082" s="42" t="s">
        <v>97</v>
      </c>
      <c r="H2082" s="51" t="s">
        <v>20</v>
      </c>
    </row>
    <row r="2083" customFormat="false" ht="14.25" hidden="false" customHeight="true" outlineLevel="0" collapsed="false">
      <c r="A2083" s="50" t="s">
        <v>146</v>
      </c>
      <c r="B2083" s="51" t="s">
        <v>155</v>
      </c>
      <c r="C2083" s="42" t="s">
        <v>166</v>
      </c>
      <c r="D2083" s="52" t="n">
        <v>3</v>
      </c>
      <c r="E2083" s="53" t="n">
        <v>28.31</v>
      </c>
      <c r="F2083" s="54" t="n">
        <f aca="false">IFERROR(D2083*E2083,0)</f>
        <v>84.93</v>
      </c>
      <c r="G2083" s="42" t="s">
        <v>97</v>
      </c>
      <c r="H2083" s="51" t="s">
        <v>20</v>
      </c>
    </row>
    <row r="2084" customFormat="false" ht="14.25" hidden="false" customHeight="true" outlineLevel="0" collapsed="false">
      <c r="A2084" s="16" t="s">
        <v>45</v>
      </c>
      <c r="B2084" s="42" t="s">
        <v>155</v>
      </c>
      <c r="C2084" s="42" t="s">
        <v>166</v>
      </c>
      <c r="D2084" s="43" t="n">
        <v>7</v>
      </c>
      <c r="E2084" s="44" t="n">
        <v>28.31</v>
      </c>
      <c r="F2084" s="45" t="n">
        <f aca="false">IFERROR(D2084*E2084,0)</f>
        <v>198.17</v>
      </c>
      <c r="G2084" s="51" t="s">
        <v>99</v>
      </c>
      <c r="H2084" s="42" t="s">
        <v>20</v>
      </c>
    </row>
    <row r="2085" customFormat="false" ht="14.25" hidden="false" customHeight="true" outlineLevel="0" collapsed="false">
      <c r="A2085" s="50" t="s">
        <v>45</v>
      </c>
      <c r="B2085" s="51" t="s">
        <v>155</v>
      </c>
      <c r="C2085" s="51" t="s">
        <v>167</v>
      </c>
      <c r="D2085" s="52" t="n">
        <v>7</v>
      </c>
      <c r="E2085" s="53" t="n">
        <v>64.57</v>
      </c>
      <c r="F2085" s="54" t="n">
        <f aca="false">IFERROR(D2085*E2085,0)</f>
        <v>451.99</v>
      </c>
      <c r="G2085" s="51" t="s">
        <v>99</v>
      </c>
      <c r="H2085" s="51" t="s">
        <v>20</v>
      </c>
    </row>
    <row r="2086" customFormat="false" ht="14.25" hidden="false" customHeight="true" outlineLevel="0" collapsed="false">
      <c r="A2086" s="50" t="s">
        <v>146</v>
      </c>
      <c r="B2086" s="51" t="s">
        <v>155</v>
      </c>
      <c r="C2086" s="51" t="s">
        <v>168</v>
      </c>
      <c r="D2086" s="52" t="n">
        <v>3</v>
      </c>
      <c r="E2086" s="53" t="n">
        <v>185.92</v>
      </c>
      <c r="F2086" s="54" t="n">
        <f aca="false">IFERROR(D2086*E2086,0)</f>
        <v>557.76</v>
      </c>
      <c r="G2086" s="42" t="str">
        <f aca="false">INDEX(SETORES!$B:$B,MATCH(A2086,SETORES!$A:$A,0))</f>
        <v>Clientes</v>
      </c>
      <c r="H2086" s="51" t="s">
        <v>20</v>
      </c>
    </row>
    <row r="2087" customFormat="false" ht="14.25" hidden="false" customHeight="true" outlineLevel="0" collapsed="false">
      <c r="A2087" s="16" t="s">
        <v>45</v>
      </c>
      <c r="B2087" s="42" t="s">
        <v>155</v>
      </c>
      <c r="C2087" s="42" t="s">
        <v>168</v>
      </c>
      <c r="D2087" s="43" t="n">
        <v>7</v>
      </c>
      <c r="E2087" s="53" t="n">
        <v>185.92</v>
      </c>
      <c r="F2087" s="54" t="n">
        <f aca="false">IFERROR(D2087*E2087,0)</f>
        <v>1301.44</v>
      </c>
      <c r="G2087" s="42" t="str">
        <f aca="false">INDEX(SETORES!$B:$B,MATCH(A2087,SETORES!$A:$A,0))</f>
        <v>Clientes</v>
      </c>
      <c r="H2087" s="42" t="s">
        <v>20</v>
      </c>
    </row>
    <row r="2088" customFormat="false" ht="14.25" hidden="false" customHeight="true" outlineLevel="0" collapsed="false">
      <c r="A2088" s="16" t="s">
        <v>45</v>
      </c>
      <c r="B2088" s="42" t="s">
        <v>157</v>
      </c>
      <c r="C2088" s="42" t="s">
        <v>175</v>
      </c>
      <c r="D2088" s="43" t="n">
        <v>1</v>
      </c>
      <c r="E2088" s="44" t="n">
        <v>132</v>
      </c>
      <c r="F2088" s="45" t="n">
        <f aca="false">IFERROR(D2088*E2088,0)</f>
        <v>132</v>
      </c>
      <c r="G2088" s="42" t="str">
        <f aca="false">INDEX(SETORES!$B:$B,MATCH(A2088,SETORES!$A:$A,0))</f>
        <v>Clientes</v>
      </c>
      <c r="H2088" s="42" t="s">
        <v>20</v>
      </c>
    </row>
    <row r="2089" customFormat="false" ht="14.25" hidden="false" customHeight="true" outlineLevel="0" collapsed="false">
      <c r="A2089" s="50" t="s">
        <v>45</v>
      </c>
      <c r="B2089" s="51" t="s">
        <v>157</v>
      </c>
      <c r="C2089" s="51" t="s">
        <v>176</v>
      </c>
      <c r="D2089" s="52"/>
      <c r="E2089" s="53"/>
      <c r="F2089" s="54" t="n">
        <f aca="false">IFERROR(D2089*E2089,0)</f>
        <v>0</v>
      </c>
      <c r="G2089" s="51" t="str">
        <f aca="false">INDEX(SETORES!$B:$B,MATCH(A2089,SETORES!$A:$A,0))</f>
        <v>Clientes</v>
      </c>
      <c r="H2089" s="51" t="s">
        <v>20</v>
      </c>
    </row>
    <row r="2090" customFormat="false" ht="14.25" hidden="false" customHeight="true" outlineLevel="0" collapsed="false">
      <c r="A2090" s="16" t="s">
        <v>45</v>
      </c>
      <c r="B2090" s="42" t="s">
        <v>155</v>
      </c>
      <c r="C2090" s="42" t="s">
        <v>169</v>
      </c>
      <c r="D2090" s="43" t="n">
        <v>1</v>
      </c>
      <c r="E2090" s="44" t="n">
        <v>58274.98</v>
      </c>
      <c r="F2090" s="45" t="n">
        <f aca="false">IFERROR(E2090,0)</f>
        <v>58274.98</v>
      </c>
      <c r="G2090" s="42" t="str">
        <f aca="false">INDEX(SETORES!$B:$B,MATCH(A2090,SETORES!$A:$A,0))</f>
        <v>Clientes</v>
      </c>
      <c r="H2090" s="42" t="s">
        <v>20</v>
      </c>
    </row>
    <row r="2091" customFormat="false" ht="14.25" hidden="false" customHeight="true" outlineLevel="0" collapsed="false">
      <c r="A2091" s="50" t="s">
        <v>45</v>
      </c>
      <c r="B2091" s="51" t="s">
        <v>155</v>
      </c>
      <c r="C2091" s="51" t="s">
        <v>170</v>
      </c>
      <c r="D2091" s="52" t="n">
        <v>7</v>
      </c>
      <c r="E2091" s="53" t="n">
        <v>10.05</v>
      </c>
      <c r="F2091" s="54" t="n">
        <f aca="false">IFERROR(D2091*E2091,0)</f>
        <v>70.35</v>
      </c>
      <c r="G2091" s="51" t="str">
        <f aca="false">INDEX(SETORES!$B:$B,MATCH(A2091,SETORES!$A:$A,0))</f>
        <v>Clientes</v>
      </c>
      <c r="H2091" s="51" t="s">
        <v>20</v>
      </c>
    </row>
    <row r="2092" customFormat="false" ht="14.25" hidden="false" customHeight="true" outlineLevel="0" collapsed="false">
      <c r="A2092" s="50" t="s">
        <v>146</v>
      </c>
      <c r="B2092" s="51" t="s">
        <v>155</v>
      </c>
      <c r="C2092" s="51" t="s">
        <v>172</v>
      </c>
      <c r="D2092" s="52" t="n">
        <v>3</v>
      </c>
      <c r="E2092" s="53" t="n">
        <v>50</v>
      </c>
      <c r="F2092" s="54" t="n">
        <f aca="false">IFERROR(D2092*E2092,0)</f>
        <v>150</v>
      </c>
      <c r="G2092" s="51" t="str">
        <f aca="false">INDEX(SETORES!$B:$B,MATCH(A2092,SETORES!$A:$A,0))</f>
        <v>Clientes</v>
      </c>
      <c r="H2092" s="65" t="s">
        <v>20</v>
      </c>
    </row>
    <row r="2093" customFormat="false" ht="14.25" hidden="false" customHeight="true" outlineLevel="0" collapsed="false">
      <c r="A2093" s="50" t="s">
        <v>45</v>
      </c>
      <c r="B2093" s="51" t="s">
        <v>155</v>
      </c>
      <c r="C2093" s="51" t="s">
        <v>172</v>
      </c>
      <c r="D2093" s="52" t="n">
        <v>10</v>
      </c>
      <c r="E2093" s="53" t="n">
        <v>50</v>
      </c>
      <c r="F2093" s="54" t="n">
        <f aca="false">IFERROR(D2093*E2093,0)</f>
        <v>500</v>
      </c>
      <c r="G2093" s="51" t="str">
        <f aca="false">INDEX(SETORES!$B:$B,MATCH(A2093,SETORES!$A:$A,0))</f>
        <v>Clientes</v>
      </c>
      <c r="H2093" s="51" t="s">
        <v>20</v>
      </c>
    </row>
    <row r="2094" customFormat="false" ht="14.25" hidden="false" customHeight="true" outlineLevel="0" collapsed="false">
      <c r="A2094" s="16" t="s">
        <v>45</v>
      </c>
      <c r="B2094" s="42" t="s">
        <v>155</v>
      </c>
      <c r="C2094" s="42" t="s">
        <v>226</v>
      </c>
      <c r="D2094" s="43" t="n">
        <v>1</v>
      </c>
      <c r="E2094" s="44" t="n">
        <v>666.2</v>
      </c>
      <c r="F2094" s="45" t="n">
        <f aca="false">IFERROR(D2094*E2094,0)</f>
        <v>666.2</v>
      </c>
      <c r="G2094" s="42" t="str">
        <f aca="false">INDEX(SETORES!$B:$B,MATCH(A2094,SETORES!$A:$A,0))</f>
        <v>Clientes</v>
      </c>
      <c r="H2094" s="42" t="s">
        <v>20</v>
      </c>
    </row>
    <row r="2095" customFormat="false" ht="14.25" hidden="false" customHeight="true" outlineLevel="0" collapsed="false">
      <c r="A2095" s="50" t="s">
        <v>45</v>
      </c>
      <c r="B2095" s="51" t="s">
        <v>155</v>
      </c>
      <c r="C2095" s="51" t="s">
        <v>177</v>
      </c>
      <c r="D2095" s="52"/>
      <c r="E2095" s="53"/>
      <c r="F2095" s="54" t="n">
        <v>0</v>
      </c>
      <c r="G2095" s="51" t="str">
        <f aca="false">INDEX(SETORES!$B:$B,MATCH(A2095,SETORES!$A:$A,0))</f>
        <v>Clientes</v>
      </c>
      <c r="H2095" s="51" t="s">
        <v>20</v>
      </c>
    </row>
    <row r="2096" customFormat="false" ht="14.25" hidden="false" customHeight="true" outlineLevel="0" collapsed="false">
      <c r="A2096" s="16" t="s">
        <v>45</v>
      </c>
      <c r="B2096" s="42" t="s">
        <v>155</v>
      </c>
      <c r="C2096" s="42" t="s">
        <v>178</v>
      </c>
      <c r="D2096" s="43"/>
      <c r="E2096" s="44"/>
      <c r="F2096" s="45" t="n">
        <v>0</v>
      </c>
      <c r="G2096" s="42" t="str">
        <f aca="false">INDEX(SETORES!$B:$B,MATCH(A2096,SETORES!$A:$A,0))</f>
        <v>Clientes</v>
      </c>
      <c r="H2096" s="42" t="s">
        <v>20</v>
      </c>
    </row>
    <row r="2097" customFormat="false" ht="14.25" hidden="false" customHeight="true" outlineLevel="0" collapsed="false">
      <c r="A2097" s="16" t="s">
        <v>45</v>
      </c>
      <c r="B2097" s="42" t="s">
        <v>157</v>
      </c>
      <c r="C2097" s="42" t="s">
        <v>184</v>
      </c>
      <c r="D2097" s="43" t="n">
        <v>7</v>
      </c>
      <c r="E2097" s="53" t="n">
        <v>65.21</v>
      </c>
      <c r="F2097" s="45" t="n">
        <f aca="false">IFERROR(D2097*E2097,0)</f>
        <v>456.47</v>
      </c>
      <c r="G2097" s="42" t="str">
        <f aca="false">INDEX(SETORES!$B:$B,MATCH(A2097,SETORES!$A:$A,0))</f>
        <v>Clientes</v>
      </c>
      <c r="H2097" s="42" t="s">
        <v>20</v>
      </c>
    </row>
    <row r="2098" customFormat="false" ht="14.25" hidden="false" customHeight="true" outlineLevel="0" collapsed="false">
      <c r="A2098" s="50" t="s">
        <v>45</v>
      </c>
      <c r="B2098" s="51" t="s">
        <v>155</v>
      </c>
      <c r="C2098" s="51" t="s">
        <v>254</v>
      </c>
      <c r="D2098" s="52" t="n">
        <v>1</v>
      </c>
      <c r="E2098" s="53" t="n">
        <v>470</v>
      </c>
      <c r="F2098" s="54" t="n">
        <f aca="false">IFERROR(D2098*E2098,0)</f>
        <v>470</v>
      </c>
      <c r="G2098" s="51" t="str">
        <f aca="false">INDEX(SETORES!$B:$B,MATCH(A2098,SETORES!$A:$A,0))</f>
        <v>Clientes</v>
      </c>
      <c r="H2098" s="51" t="s">
        <v>20</v>
      </c>
    </row>
    <row r="2099" customFormat="false" ht="14.25" hidden="false" customHeight="true" outlineLevel="0" collapsed="false">
      <c r="A2099" s="16" t="s">
        <v>45</v>
      </c>
      <c r="B2099" s="42" t="s">
        <v>155</v>
      </c>
      <c r="C2099" s="42" t="s">
        <v>173</v>
      </c>
      <c r="D2099" s="43" t="n">
        <v>7</v>
      </c>
      <c r="E2099" s="44" t="n">
        <v>2.07</v>
      </c>
      <c r="F2099" s="45" t="n">
        <f aca="false">IFERROR(D2099*E2099,0)</f>
        <v>14.49</v>
      </c>
      <c r="G2099" s="42" t="str">
        <f aca="false">INDEX(SETORES!$B:$B,MATCH(A2099,SETORES!$A:$A,0))</f>
        <v>Clientes</v>
      </c>
      <c r="H2099" s="42" t="s">
        <v>20</v>
      </c>
    </row>
    <row r="2100" customFormat="false" ht="14.25" hidden="false" customHeight="true" outlineLevel="0" collapsed="false">
      <c r="A2100" s="50" t="s">
        <v>45</v>
      </c>
      <c r="B2100" s="51" t="s">
        <v>155</v>
      </c>
      <c r="C2100" s="51" t="s">
        <v>250</v>
      </c>
      <c r="D2100" s="52" t="n">
        <v>1</v>
      </c>
      <c r="E2100" s="53" t="n">
        <v>513.44</v>
      </c>
      <c r="F2100" s="54" t="n">
        <f aca="false">IFERROR(D2100*E2100,0)</f>
        <v>513.44</v>
      </c>
      <c r="G2100" s="51" t="str">
        <f aca="false">INDEX(SETORES!$B:$B,MATCH(A2100,SETORES!$A:$A,0))</f>
        <v>Clientes</v>
      </c>
      <c r="H2100" s="51" t="s">
        <v>20</v>
      </c>
    </row>
    <row r="2101" customFormat="false" ht="14.25" hidden="false" customHeight="true" outlineLevel="0" collapsed="false">
      <c r="A2101" s="50" t="s">
        <v>146</v>
      </c>
      <c r="B2101" s="51" t="s">
        <v>155</v>
      </c>
      <c r="C2101" s="42" t="s">
        <v>162</v>
      </c>
      <c r="D2101" s="52" t="n">
        <v>3</v>
      </c>
      <c r="E2101" s="44" t="n">
        <v>3.69</v>
      </c>
      <c r="F2101" s="54" t="n">
        <f aca="false">IFERROR(D2101*E2101,0)</f>
        <v>11.07</v>
      </c>
      <c r="G2101" s="51" t="str">
        <f aca="false">INDEX(SETORES!$B:$B,MATCH(A2101,SETORES!$A:$A,0))</f>
        <v>Clientes</v>
      </c>
      <c r="H2101" s="51" t="s">
        <v>20</v>
      </c>
    </row>
    <row r="2102" customFormat="false" ht="14.25" hidden="false" customHeight="true" outlineLevel="0" collapsed="false">
      <c r="A2102" s="50" t="s">
        <v>146</v>
      </c>
      <c r="B2102" s="42" t="s">
        <v>155</v>
      </c>
      <c r="C2102" s="42" t="s">
        <v>173</v>
      </c>
      <c r="D2102" s="52" t="n">
        <v>3</v>
      </c>
      <c r="E2102" s="44" t="n">
        <v>2.07</v>
      </c>
      <c r="F2102" s="45" t="n">
        <f aca="false">IFERROR(D2102*E2102,0)</f>
        <v>6.21</v>
      </c>
      <c r="G2102" s="42" t="str">
        <f aca="false">INDEX(SETORES!$B:$B,MATCH(A2102,SETORES!$A:$A,0))</f>
        <v>Clientes</v>
      </c>
      <c r="H2102" s="42" t="s">
        <v>20</v>
      </c>
    </row>
    <row r="2103" customFormat="false" ht="14.25" hidden="false" customHeight="true" outlineLevel="0" collapsed="false">
      <c r="A2103" s="50" t="s">
        <v>146</v>
      </c>
      <c r="B2103" s="42" t="s">
        <v>155</v>
      </c>
      <c r="C2103" s="42" t="s">
        <v>173</v>
      </c>
      <c r="D2103" s="52" t="n">
        <v>3</v>
      </c>
      <c r="E2103" s="44" t="n">
        <v>2.07</v>
      </c>
      <c r="F2103" s="45" t="n">
        <f aca="false">IFERROR(D2103*E2103,0)</f>
        <v>6.21</v>
      </c>
      <c r="G2103" s="42" t="str">
        <f aca="false">INDEX(SETORES!$B:$B,MATCH(A2103,SETORES!$A:$A,0))</f>
        <v>Clientes</v>
      </c>
      <c r="H2103" s="42" t="s">
        <v>20</v>
      </c>
    </row>
    <row r="2104" customFormat="false" ht="14.25" hidden="false" customHeight="true" outlineLevel="0" collapsed="false">
      <c r="A2104" s="16" t="s">
        <v>50</v>
      </c>
      <c r="B2104" s="42" t="s">
        <v>155</v>
      </c>
      <c r="C2104" s="42" t="s">
        <v>162</v>
      </c>
      <c r="D2104" s="43" t="n">
        <v>18</v>
      </c>
      <c r="E2104" s="44" t="n">
        <v>3.69</v>
      </c>
      <c r="F2104" s="54" t="n">
        <f aca="false">IFERROR(D2104*E2104,0)</f>
        <v>66.42</v>
      </c>
      <c r="G2104" s="42" t="str">
        <f aca="false">INDEX(SETORES!$B:$B,MATCH(A2104,SETORES!$A:$A,0))</f>
        <v>Clientes</v>
      </c>
      <c r="H2104" s="42" t="s">
        <v>20</v>
      </c>
    </row>
    <row r="2105" customFormat="false" ht="14.25" hidden="false" customHeight="true" outlineLevel="0" collapsed="false">
      <c r="A2105" s="50" t="s">
        <v>50</v>
      </c>
      <c r="B2105" s="51" t="s">
        <v>155</v>
      </c>
      <c r="C2105" s="51" t="s">
        <v>165</v>
      </c>
      <c r="D2105" s="52" t="n">
        <v>18</v>
      </c>
      <c r="E2105" s="53" t="n">
        <v>47.79</v>
      </c>
      <c r="F2105" s="54" t="n">
        <f aca="false">IFERROR(D2105*E2105,0)</f>
        <v>860.22</v>
      </c>
      <c r="G2105" s="42" t="s">
        <v>99</v>
      </c>
      <c r="H2105" s="51" t="s">
        <v>20</v>
      </c>
    </row>
    <row r="2106" customFormat="false" ht="14.25" hidden="false" customHeight="true" outlineLevel="0" collapsed="false">
      <c r="A2106" s="16" t="s">
        <v>50</v>
      </c>
      <c r="B2106" s="42" t="s">
        <v>155</v>
      </c>
      <c r="C2106" s="42" t="s">
        <v>166</v>
      </c>
      <c r="D2106" s="43" t="n">
        <v>18</v>
      </c>
      <c r="E2106" s="44" t="n">
        <v>28.31</v>
      </c>
      <c r="F2106" s="45" t="n">
        <f aca="false">IFERROR(D2106*E2106,0)</f>
        <v>509.58</v>
      </c>
      <c r="G2106" s="51" t="s">
        <v>99</v>
      </c>
      <c r="H2106" s="42" t="s">
        <v>20</v>
      </c>
    </row>
    <row r="2107" customFormat="false" ht="14.25" hidden="false" customHeight="true" outlineLevel="0" collapsed="false">
      <c r="A2107" s="16" t="s">
        <v>146</v>
      </c>
      <c r="B2107" s="51" t="s">
        <v>155</v>
      </c>
      <c r="C2107" s="51" t="s">
        <v>170</v>
      </c>
      <c r="D2107" s="43" t="n">
        <v>3</v>
      </c>
      <c r="E2107" s="44" t="n">
        <v>10.05</v>
      </c>
      <c r="F2107" s="54" t="n">
        <f aca="false">IFERROR(D2107*E2107,0)</f>
        <v>30.15</v>
      </c>
      <c r="G2107" s="51" t="str">
        <f aca="false">INDEX(SETORES!$B:$B,MATCH(A2107,SETORES!$A:$A,0))</f>
        <v>Clientes</v>
      </c>
      <c r="H2107" s="51" t="s">
        <v>20</v>
      </c>
    </row>
    <row r="2108" customFormat="false" ht="14.25" hidden="false" customHeight="true" outlineLevel="0" collapsed="false">
      <c r="A2108" s="16" t="s">
        <v>146</v>
      </c>
      <c r="B2108" s="51" t="s">
        <v>155</v>
      </c>
      <c r="C2108" s="51" t="s">
        <v>167</v>
      </c>
      <c r="D2108" s="43" t="n">
        <v>3</v>
      </c>
      <c r="E2108" s="44" t="n">
        <v>64.57</v>
      </c>
      <c r="F2108" s="54" t="n">
        <f aca="false">IFERROR(D2108*E2108,0)</f>
        <v>193.71</v>
      </c>
      <c r="G2108" s="51" t="str">
        <f aca="false">INDEX(SETORES!$B:$B,MATCH(A2108,SETORES!$A:$A,0))</f>
        <v>Clientes</v>
      </c>
      <c r="H2108" s="51" t="s">
        <v>20</v>
      </c>
    </row>
    <row r="2109" customFormat="false" ht="14.25" hidden="false" customHeight="true" outlineLevel="0" collapsed="false">
      <c r="A2109" s="50" t="s">
        <v>50</v>
      </c>
      <c r="B2109" s="51" t="s">
        <v>155</v>
      </c>
      <c r="C2109" s="51" t="s">
        <v>167</v>
      </c>
      <c r="D2109" s="52" t="n">
        <v>18</v>
      </c>
      <c r="E2109" s="53" t="n">
        <v>64.57</v>
      </c>
      <c r="F2109" s="54" t="n">
        <f aca="false">IFERROR(D2109*E2109,0)</f>
        <v>1162.26</v>
      </c>
      <c r="G2109" s="51" t="s">
        <v>99</v>
      </c>
      <c r="H2109" s="51" t="s">
        <v>20</v>
      </c>
    </row>
    <row r="2110" customFormat="false" ht="14.25" hidden="false" customHeight="true" outlineLevel="0" collapsed="false">
      <c r="A2110" s="16" t="s">
        <v>50</v>
      </c>
      <c r="B2110" s="42" t="s">
        <v>155</v>
      </c>
      <c r="C2110" s="42" t="s">
        <v>168</v>
      </c>
      <c r="D2110" s="43" t="n">
        <v>18</v>
      </c>
      <c r="E2110" s="53" t="n">
        <v>185.92</v>
      </c>
      <c r="F2110" s="54" t="n">
        <f aca="false">IFERROR(D2110*E2110,0)</f>
        <v>3346.56</v>
      </c>
      <c r="G2110" s="42" t="str">
        <f aca="false">INDEX(SETORES!$B:$B,MATCH(A2110,SETORES!$A:$A,0))</f>
        <v>Clientes</v>
      </c>
      <c r="H2110" s="42" t="s">
        <v>20</v>
      </c>
    </row>
    <row r="2111" customFormat="false" ht="14.25" hidden="false" customHeight="true" outlineLevel="0" collapsed="false">
      <c r="A2111" s="50" t="s">
        <v>50</v>
      </c>
      <c r="B2111" s="51" t="s">
        <v>157</v>
      </c>
      <c r="C2111" s="51" t="s">
        <v>174</v>
      </c>
      <c r="D2111" s="52" t="n">
        <v>1</v>
      </c>
      <c r="E2111" s="53" t="n">
        <v>176</v>
      </c>
      <c r="F2111" s="54" t="n">
        <f aca="false">IFERROR(D2111*E2111,0)</f>
        <v>176</v>
      </c>
      <c r="G2111" s="51" t="str">
        <f aca="false">INDEX(SETORES!$B:$B,MATCH(A2111,SETORES!$A:$A,0))</f>
        <v>Clientes</v>
      </c>
      <c r="H2111" s="51" t="s">
        <v>20</v>
      </c>
    </row>
    <row r="2112" customFormat="false" ht="14.25" hidden="false" customHeight="true" outlineLevel="0" collapsed="false">
      <c r="A2112" s="16" t="s">
        <v>50</v>
      </c>
      <c r="B2112" s="42" t="s">
        <v>157</v>
      </c>
      <c r="C2112" s="42" t="s">
        <v>175</v>
      </c>
      <c r="D2112" s="43" t="n">
        <v>1</v>
      </c>
      <c r="E2112" s="44" t="n">
        <v>135</v>
      </c>
      <c r="F2112" s="54" t="n">
        <f aca="false">IFERROR(D2112*E2112,0)</f>
        <v>135</v>
      </c>
      <c r="G2112" s="42" t="str">
        <f aca="false">INDEX(SETORES!$B:$B,MATCH(A2112,SETORES!$A:$A,0))</f>
        <v>Clientes</v>
      </c>
      <c r="H2112" s="42" t="s">
        <v>20</v>
      </c>
    </row>
    <row r="2113" customFormat="false" ht="14.25" hidden="false" customHeight="true" outlineLevel="0" collapsed="false">
      <c r="A2113" s="50" t="s">
        <v>50</v>
      </c>
      <c r="B2113" s="51" t="s">
        <v>157</v>
      </c>
      <c r="C2113" s="51" t="s">
        <v>176</v>
      </c>
      <c r="D2113" s="52"/>
      <c r="E2113" s="53"/>
      <c r="F2113" s="54" t="n">
        <f aca="false">IFERROR(D2113*E2113,0)</f>
        <v>0</v>
      </c>
      <c r="G2113" s="51" t="str">
        <f aca="false">INDEX(SETORES!$B:$B,MATCH(A2113,SETORES!$A:$A,0))</f>
        <v>Clientes</v>
      </c>
      <c r="H2113" s="51" t="s">
        <v>20</v>
      </c>
    </row>
    <row r="2114" customFormat="false" ht="14.25" hidden="false" customHeight="true" outlineLevel="0" collapsed="false">
      <c r="A2114" s="16" t="s">
        <v>50</v>
      </c>
      <c r="B2114" s="42" t="s">
        <v>155</v>
      </c>
      <c r="C2114" s="42" t="s">
        <v>169</v>
      </c>
      <c r="D2114" s="43" t="n">
        <v>1</v>
      </c>
      <c r="E2114" s="44" t="n">
        <v>71159.6</v>
      </c>
      <c r="F2114" s="54" t="n">
        <f aca="false">IFERROR(D2114*E2114,0)</f>
        <v>71159.6</v>
      </c>
      <c r="G2114" s="42" t="str">
        <f aca="false">INDEX(SETORES!$B:$B,MATCH(A2114,SETORES!$A:$A,0))</f>
        <v>Clientes</v>
      </c>
      <c r="H2114" s="42" t="s">
        <v>20</v>
      </c>
    </row>
    <row r="2115" customFormat="false" ht="14.25" hidden="false" customHeight="true" outlineLevel="0" collapsed="false">
      <c r="A2115" s="50" t="s">
        <v>50</v>
      </c>
      <c r="B2115" s="51" t="s">
        <v>155</v>
      </c>
      <c r="C2115" s="51" t="s">
        <v>170</v>
      </c>
      <c r="D2115" s="52" t="n">
        <v>18</v>
      </c>
      <c r="E2115" s="53" t="n">
        <v>10.05</v>
      </c>
      <c r="F2115" s="54" t="n">
        <f aca="false">IFERROR(D2115*E2115,0)</f>
        <v>180.9</v>
      </c>
      <c r="G2115" s="51" t="str">
        <f aca="false">INDEX(SETORES!$B:$B,MATCH(A2115,SETORES!$A:$A,0))</f>
        <v>Clientes</v>
      </c>
      <c r="H2115" s="51" t="s">
        <v>20</v>
      </c>
    </row>
    <row r="2116" customFormat="false" ht="14.25" hidden="false" customHeight="true" outlineLevel="0" collapsed="false">
      <c r="A2116" s="50" t="s">
        <v>50</v>
      </c>
      <c r="B2116" s="51" t="s">
        <v>157</v>
      </c>
      <c r="C2116" s="51" t="s">
        <v>223</v>
      </c>
      <c r="D2116" s="52"/>
      <c r="E2116" s="53"/>
      <c r="F2116" s="54" t="n">
        <f aca="false">IFERROR(D2116*E2116,0)</f>
        <v>0</v>
      </c>
      <c r="G2116" s="51" t="str">
        <f aca="false">INDEX(SETORES!$B:$B,MATCH(A2116,SETORES!$A:$A,0))</f>
        <v>Clientes</v>
      </c>
      <c r="H2116" s="51" t="s">
        <v>20</v>
      </c>
    </row>
    <row r="2117" customFormat="false" ht="14.25" hidden="false" customHeight="true" outlineLevel="0" collapsed="false">
      <c r="A2117" s="50" t="s">
        <v>49</v>
      </c>
      <c r="B2117" s="51" t="s">
        <v>155</v>
      </c>
      <c r="C2117" s="51" t="s">
        <v>172</v>
      </c>
      <c r="D2117" s="52" t="n">
        <v>1</v>
      </c>
      <c r="E2117" s="53" t="n">
        <v>50</v>
      </c>
      <c r="F2117" s="54" t="n">
        <f aca="false">IFERROR(D2117*E2117,0)</f>
        <v>50</v>
      </c>
      <c r="G2117" s="51" t="str">
        <f aca="false">INDEX(SETORES!$B:$B,MATCH(A2117,SETORES!$A:$A,0))</f>
        <v>Clientes</v>
      </c>
      <c r="H2117" s="51" t="s">
        <v>20</v>
      </c>
    </row>
    <row r="2118" customFormat="false" ht="14.25" hidden="false" customHeight="true" outlineLevel="0" collapsed="false">
      <c r="A2118" s="16" t="s">
        <v>50</v>
      </c>
      <c r="B2118" s="42" t="s">
        <v>155</v>
      </c>
      <c r="C2118" s="42" t="s">
        <v>172</v>
      </c>
      <c r="D2118" s="43" t="n">
        <v>14</v>
      </c>
      <c r="E2118" s="44" t="n">
        <v>50</v>
      </c>
      <c r="F2118" s="54" t="n">
        <f aca="false">IFERROR(D2118*E2118,0)</f>
        <v>700</v>
      </c>
      <c r="G2118" s="42" t="str">
        <f aca="false">INDEX(SETORES!$B:$B,MATCH(A2118,SETORES!$A:$A,0))</f>
        <v>Clientes</v>
      </c>
      <c r="H2118" s="42" t="s">
        <v>20</v>
      </c>
    </row>
    <row r="2119" customFormat="false" ht="14.25" hidden="false" customHeight="true" outlineLevel="0" collapsed="false">
      <c r="A2119" s="16" t="s">
        <v>50</v>
      </c>
      <c r="B2119" s="42" t="s">
        <v>155</v>
      </c>
      <c r="C2119" s="42" t="s">
        <v>177</v>
      </c>
      <c r="D2119" s="43"/>
      <c r="E2119" s="44"/>
      <c r="F2119" s="54" t="n">
        <f aca="false">IFERROR(D2119*E2119,0)</f>
        <v>0</v>
      </c>
      <c r="G2119" s="42" t="str">
        <f aca="false">INDEX(SETORES!$B:$B,MATCH(A2119,SETORES!$A:$A,0))</f>
        <v>Clientes</v>
      </c>
      <c r="H2119" s="42" t="s">
        <v>20</v>
      </c>
    </row>
    <row r="2120" customFormat="false" ht="14.25" hidden="false" customHeight="true" outlineLevel="0" collapsed="false">
      <c r="A2120" s="50" t="s">
        <v>50</v>
      </c>
      <c r="B2120" s="51" t="s">
        <v>155</v>
      </c>
      <c r="C2120" s="51" t="s">
        <v>178</v>
      </c>
      <c r="D2120" s="52"/>
      <c r="E2120" s="53"/>
      <c r="F2120" s="54" t="n">
        <f aca="false">IFERROR(D2120*E2120,0)</f>
        <v>0</v>
      </c>
      <c r="G2120" s="51" t="str">
        <f aca="false">INDEX(SETORES!$B:$B,MATCH(A2120,SETORES!$A:$A,0))</f>
        <v>Clientes</v>
      </c>
      <c r="H2120" s="51" t="s">
        <v>20</v>
      </c>
    </row>
    <row r="2121" customFormat="false" ht="14.25" hidden="false" customHeight="true" outlineLevel="0" collapsed="false">
      <c r="A2121" s="16" t="s">
        <v>50</v>
      </c>
      <c r="B2121" s="42" t="s">
        <v>157</v>
      </c>
      <c r="C2121" s="42" t="s">
        <v>184</v>
      </c>
      <c r="D2121" s="43" t="n">
        <v>16</v>
      </c>
      <c r="E2121" s="53" t="n">
        <v>65.21</v>
      </c>
      <c r="F2121" s="54" t="n">
        <f aca="false">IFERROR(D2121*E2121,0)</f>
        <v>1043.36</v>
      </c>
      <c r="G2121" s="42" t="str">
        <f aca="false">INDEX(SETORES!$B:$B,MATCH(A2121,SETORES!$A:$A,0))</f>
        <v>Clientes</v>
      </c>
      <c r="H2121" s="42" t="s">
        <v>20</v>
      </c>
    </row>
    <row r="2122" customFormat="false" ht="14.25" hidden="false" customHeight="true" outlineLevel="0" collapsed="false">
      <c r="A2122" s="16" t="s">
        <v>50</v>
      </c>
      <c r="B2122" s="42" t="s">
        <v>155</v>
      </c>
      <c r="C2122" s="42" t="s">
        <v>173</v>
      </c>
      <c r="D2122" s="43" t="n">
        <v>18</v>
      </c>
      <c r="E2122" s="44" t="n">
        <v>2.07</v>
      </c>
      <c r="F2122" s="54" t="n">
        <f aca="false">IFERROR(D2122*E2122,0)</f>
        <v>37.26</v>
      </c>
      <c r="G2122" s="42" t="str">
        <f aca="false">INDEX(SETORES!$B:$B,MATCH(A2122,SETORES!$A:$A,0))</f>
        <v>Clientes</v>
      </c>
      <c r="H2122" s="42" t="s">
        <v>20</v>
      </c>
    </row>
    <row r="2123" customFormat="false" ht="14.25" hidden="false" customHeight="true" outlineLevel="0" collapsed="false">
      <c r="A2123" s="50" t="s">
        <v>50</v>
      </c>
      <c r="B2123" s="51" t="s">
        <v>155</v>
      </c>
      <c r="C2123" s="51" t="s">
        <v>179</v>
      </c>
      <c r="D2123" s="52"/>
      <c r="E2123" s="53"/>
      <c r="F2123" s="54" t="n">
        <f aca="false">IFERROR(D2123*E2123,0)</f>
        <v>0</v>
      </c>
      <c r="G2123" s="51" t="str">
        <f aca="false">INDEX(SETORES!$B:$B,MATCH(A2123,SETORES!$A:$A,0))</f>
        <v>Clientes</v>
      </c>
      <c r="H2123" s="51" t="s">
        <v>20</v>
      </c>
    </row>
    <row r="2124" customFormat="false" ht="14.25" hidden="false" customHeight="true" outlineLevel="0" collapsed="false">
      <c r="A2124" s="50" t="s">
        <v>36</v>
      </c>
      <c r="B2124" s="51" t="s">
        <v>155</v>
      </c>
      <c r="C2124" s="51" t="s">
        <v>162</v>
      </c>
      <c r="D2124" s="52" t="n">
        <v>1</v>
      </c>
      <c r="E2124" s="53" t="n">
        <v>0</v>
      </c>
      <c r="F2124" s="54" t="n">
        <v>0</v>
      </c>
      <c r="G2124" s="51" t="str">
        <f aca="false">INDEX(SETORES!$B:$B,MATCH(A2124,SETORES!$A:$A,0))</f>
        <v>Clientes</v>
      </c>
      <c r="H2124" s="51" t="s">
        <v>20</v>
      </c>
    </row>
    <row r="2125" customFormat="false" ht="14.25" hidden="false" customHeight="true" outlineLevel="0" collapsed="false">
      <c r="A2125" s="50" t="s">
        <v>36</v>
      </c>
      <c r="B2125" s="51" t="s">
        <v>155</v>
      </c>
      <c r="C2125" s="51" t="s">
        <v>163</v>
      </c>
      <c r="D2125" s="52" t="n">
        <v>2</v>
      </c>
      <c r="E2125" s="53" t="n">
        <v>30</v>
      </c>
      <c r="F2125" s="54" t="n">
        <f aca="false">IFERROR(D2125*E2125,0)</f>
        <v>60</v>
      </c>
      <c r="G2125" s="51" t="str">
        <f aca="false">INDEX(SETORES!$B:$B,MATCH(A2125,SETORES!$A:$A,0))</f>
        <v>Clientes</v>
      </c>
      <c r="H2125" s="51" t="s">
        <v>20</v>
      </c>
    </row>
    <row r="2126" customFormat="false" ht="14.25" hidden="false" customHeight="true" outlineLevel="0" collapsed="false">
      <c r="A2126" s="16" t="s">
        <v>36</v>
      </c>
      <c r="B2126" s="42" t="s">
        <v>155</v>
      </c>
      <c r="C2126" s="42" t="s">
        <v>165</v>
      </c>
      <c r="D2126" s="43" t="n">
        <v>8</v>
      </c>
      <c r="E2126" s="44" t="n">
        <v>47.79</v>
      </c>
      <c r="F2126" s="45" t="n">
        <f aca="false">IFERROR(D2126*E2126,0)</f>
        <v>382.32</v>
      </c>
      <c r="G2126" s="42" t="s">
        <v>99</v>
      </c>
      <c r="H2126" s="42" t="s">
        <v>20</v>
      </c>
    </row>
    <row r="2127" customFormat="false" ht="14.25" hidden="false" customHeight="true" outlineLevel="0" collapsed="false">
      <c r="A2127" s="50" t="s">
        <v>36</v>
      </c>
      <c r="B2127" s="51" t="s">
        <v>155</v>
      </c>
      <c r="C2127" s="51" t="s">
        <v>166</v>
      </c>
      <c r="D2127" s="52" t="n">
        <v>8</v>
      </c>
      <c r="E2127" s="53" t="n">
        <v>28.31</v>
      </c>
      <c r="F2127" s="54" t="n">
        <f aca="false">IFERROR(D2127*E2127,0)</f>
        <v>226.48</v>
      </c>
      <c r="G2127" s="51" t="s">
        <v>99</v>
      </c>
      <c r="H2127" s="51" t="s">
        <v>20</v>
      </c>
    </row>
    <row r="2128" customFormat="false" ht="14.25" hidden="false" customHeight="true" outlineLevel="0" collapsed="false">
      <c r="A2128" s="16" t="s">
        <v>36</v>
      </c>
      <c r="B2128" s="42" t="s">
        <v>155</v>
      </c>
      <c r="C2128" s="42" t="s">
        <v>167</v>
      </c>
      <c r="D2128" s="43" t="n">
        <v>8</v>
      </c>
      <c r="E2128" s="44" t="n">
        <v>64.57</v>
      </c>
      <c r="F2128" s="45" t="n">
        <f aca="false">IFERROR(D2128*E2128,0)</f>
        <v>516.56</v>
      </c>
      <c r="G2128" s="51" t="s">
        <v>99</v>
      </c>
      <c r="H2128" s="42" t="s">
        <v>20</v>
      </c>
    </row>
    <row r="2129" customFormat="false" ht="14.25" hidden="false" customHeight="true" outlineLevel="0" collapsed="false">
      <c r="A2129" s="16" t="s">
        <v>36</v>
      </c>
      <c r="B2129" s="42" t="s">
        <v>155</v>
      </c>
      <c r="C2129" s="42" t="s">
        <v>168</v>
      </c>
      <c r="D2129" s="43" t="n">
        <v>1</v>
      </c>
      <c r="E2129" s="44" t="n">
        <v>59.5756</v>
      </c>
      <c r="F2129" s="45" t="n">
        <v>59.5756</v>
      </c>
      <c r="G2129" s="42" t="str">
        <f aca="false">INDEX(SETORES!$B:$B,MATCH(A2129,SETORES!$A:$A,0))</f>
        <v>Clientes</v>
      </c>
      <c r="H2129" s="42" t="s">
        <v>20</v>
      </c>
    </row>
    <row r="2130" customFormat="false" ht="14.25" hidden="false" customHeight="true" outlineLevel="0" collapsed="false">
      <c r="A2130" s="50" t="s">
        <v>36</v>
      </c>
      <c r="B2130" s="51" t="s">
        <v>157</v>
      </c>
      <c r="C2130" s="51" t="s">
        <v>175</v>
      </c>
      <c r="D2130" s="52"/>
      <c r="E2130" s="53"/>
      <c r="F2130" s="54" t="n">
        <f aca="false">IFERROR(D2130*E2130,0)</f>
        <v>0</v>
      </c>
      <c r="G2130" s="51" t="str">
        <f aca="false">INDEX(SETORES!$B:$B,MATCH(A2130,SETORES!$A:$A,0))</f>
        <v>Clientes</v>
      </c>
      <c r="H2130" s="51" t="s">
        <v>20</v>
      </c>
    </row>
    <row r="2131" customFormat="false" ht="14.25" hidden="false" customHeight="true" outlineLevel="0" collapsed="false">
      <c r="A2131" s="16" t="s">
        <v>36</v>
      </c>
      <c r="B2131" s="42" t="s">
        <v>157</v>
      </c>
      <c r="C2131" s="42" t="s">
        <v>176</v>
      </c>
      <c r="D2131" s="43" t="n">
        <v>1</v>
      </c>
      <c r="E2131" s="44" t="n">
        <v>68</v>
      </c>
      <c r="F2131" s="45" t="n">
        <f aca="false">IFERROR(D2131*E2131,0)</f>
        <v>68</v>
      </c>
      <c r="G2131" s="42" t="str">
        <f aca="false">INDEX(SETORES!$B:$B,MATCH(A2131,SETORES!$A:$A,0))</f>
        <v>Clientes</v>
      </c>
      <c r="H2131" s="42" t="s">
        <v>20</v>
      </c>
    </row>
    <row r="2132" customFormat="false" ht="14.25" hidden="false" customHeight="true" outlineLevel="0" collapsed="false">
      <c r="A2132" s="50" t="s">
        <v>36</v>
      </c>
      <c r="B2132" s="51" t="s">
        <v>155</v>
      </c>
      <c r="C2132" s="51" t="s">
        <v>169</v>
      </c>
      <c r="D2132" s="52" t="n">
        <v>1</v>
      </c>
      <c r="E2132" s="53" t="n">
        <v>38547.99</v>
      </c>
      <c r="F2132" s="54" t="n">
        <f aca="false">IFERROR(E2132,0)</f>
        <v>38547.99</v>
      </c>
      <c r="G2132" s="51" t="str">
        <f aca="false">INDEX(SETORES!$B:$B,MATCH(A2132,SETORES!$A:$A,0))</f>
        <v>Clientes</v>
      </c>
      <c r="H2132" s="51" t="s">
        <v>20</v>
      </c>
    </row>
    <row r="2133" customFormat="false" ht="14.25" hidden="false" customHeight="true" outlineLevel="0" collapsed="false">
      <c r="A2133" s="16" t="s">
        <v>36</v>
      </c>
      <c r="B2133" s="42" t="s">
        <v>155</v>
      </c>
      <c r="C2133" s="42" t="s">
        <v>170</v>
      </c>
      <c r="D2133" s="43" t="n">
        <v>8</v>
      </c>
      <c r="E2133" s="44" t="n">
        <v>10.05</v>
      </c>
      <c r="F2133" s="45" t="n">
        <f aca="false">IFERROR(D2133*E2133,0)</f>
        <v>80.4</v>
      </c>
      <c r="G2133" s="42" t="str">
        <f aca="false">INDEX(SETORES!$B:$B,MATCH(A2133,SETORES!$A:$A,0))</f>
        <v>Clientes</v>
      </c>
      <c r="H2133" s="42" t="s">
        <v>20</v>
      </c>
    </row>
    <row r="2134" customFormat="false" ht="14.25" hidden="false" customHeight="true" outlineLevel="0" collapsed="false">
      <c r="A2134" s="50" t="s">
        <v>36</v>
      </c>
      <c r="B2134" s="51" t="s">
        <v>155</v>
      </c>
      <c r="C2134" s="51" t="s">
        <v>172</v>
      </c>
      <c r="D2134" s="52" t="n">
        <v>8</v>
      </c>
      <c r="E2134" s="53" t="n">
        <v>50</v>
      </c>
      <c r="F2134" s="54" t="n">
        <f aca="false">IFERROR(D2134*E2134,0)</f>
        <v>400</v>
      </c>
      <c r="G2134" s="51" t="str">
        <f aca="false">INDEX(SETORES!$B:$B,MATCH(A2134,SETORES!$A:$A,0))</f>
        <v>Clientes</v>
      </c>
      <c r="H2134" s="51" t="s">
        <v>20</v>
      </c>
    </row>
    <row r="2135" customFormat="false" ht="14.25" hidden="false" customHeight="true" outlineLevel="0" collapsed="false">
      <c r="A2135" s="16" t="s">
        <v>36</v>
      </c>
      <c r="B2135" s="42" t="s">
        <v>155</v>
      </c>
      <c r="C2135" s="42" t="s">
        <v>215</v>
      </c>
      <c r="D2135" s="43" t="n">
        <v>1</v>
      </c>
      <c r="E2135" s="44" t="n">
        <v>29494.72</v>
      </c>
      <c r="F2135" s="45" t="n">
        <f aca="false">IFERROR(D2135*E2135,0)</f>
        <v>29494.72</v>
      </c>
      <c r="G2135" s="42" t="str">
        <f aca="false">INDEX(SETORES!$B:$B,MATCH(A2135,SETORES!$A:$A,0))</f>
        <v>Clientes</v>
      </c>
      <c r="H2135" s="42" t="s">
        <v>20</v>
      </c>
    </row>
    <row r="2136" customFormat="false" ht="14.25" hidden="false" customHeight="true" outlineLevel="0" collapsed="false">
      <c r="A2136" s="16" t="s">
        <v>36</v>
      </c>
      <c r="B2136" s="42" t="s">
        <v>155</v>
      </c>
      <c r="C2136" s="42" t="s">
        <v>177</v>
      </c>
      <c r="D2136" s="43"/>
      <c r="E2136" s="44"/>
      <c r="F2136" s="45" t="n">
        <v>0</v>
      </c>
      <c r="G2136" s="42" t="str">
        <f aca="false">INDEX(SETORES!$B:$B,MATCH(A2136,SETORES!$A:$A,0))</f>
        <v>Clientes</v>
      </c>
      <c r="H2136" s="42" t="s">
        <v>20</v>
      </c>
    </row>
    <row r="2137" customFormat="false" ht="14.25" hidden="false" customHeight="true" outlineLevel="0" collapsed="false">
      <c r="A2137" s="50" t="s">
        <v>36</v>
      </c>
      <c r="B2137" s="51" t="s">
        <v>155</v>
      </c>
      <c r="C2137" s="51" t="s">
        <v>178</v>
      </c>
      <c r="D2137" s="52"/>
      <c r="E2137" s="53"/>
      <c r="F2137" s="54" t="n">
        <v>0</v>
      </c>
      <c r="G2137" s="51" t="str">
        <f aca="false">INDEX(SETORES!$B:$B,MATCH(A2137,SETORES!$A:$A,0))</f>
        <v>Clientes</v>
      </c>
      <c r="H2137" s="51" t="s">
        <v>20</v>
      </c>
    </row>
    <row r="2138" customFormat="false" ht="14.25" hidden="false" customHeight="true" outlineLevel="0" collapsed="false">
      <c r="A2138" s="16" t="s">
        <v>36</v>
      </c>
      <c r="B2138" s="42" t="s">
        <v>155</v>
      </c>
      <c r="C2138" s="42" t="s">
        <v>244</v>
      </c>
      <c r="D2138" s="43" t="n">
        <v>1</v>
      </c>
      <c r="E2138" s="44" t="n">
        <v>1614.4</v>
      </c>
      <c r="F2138" s="45" t="n">
        <f aca="false">IFERROR(D2138*E2138,0)</f>
        <v>1614.4</v>
      </c>
      <c r="G2138" s="42" t="str">
        <f aca="false">INDEX(SETORES!$B:$B,MATCH(A2138,SETORES!$A:$A,0))</f>
        <v>Clientes</v>
      </c>
      <c r="H2138" s="42" t="s">
        <v>20</v>
      </c>
    </row>
    <row r="2139" customFormat="false" ht="14.25" hidden="false" customHeight="true" outlineLevel="0" collapsed="false">
      <c r="A2139" s="50" t="s">
        <v>36</v>
      </c>
      <c r="B2139" s="51" t="s">
        <v>157</v>
      </c>
      <c r="C2139" s="51" t="s">
        <v>158</v>
      </c>
      <c r="D2139" s="52"/>
      <c r="E2139" s="53"/>
      <c r="F2139" s="54" t="n">
        <f aca="false">IFERROR(D2139*E2139,0)</f>
        <v>0</v>
      </c>
      <c r="G2139" s="51" t="str">
        <f aca="false">INDEX(SETORES!$B:$B,MATCH(A2139,SETORES!$A:$A,0))</f>
        <v>Clientes</v>
      </c>
      <c r="H2139" s="51" t="s">
        <v>20</v>
      </c>
    </row>
    <row r="2140" customFormat="false" ht="14.25" hidden="false" customHeight="true" outlineLevel="0" collapsed="false">
      <c r="A2140" s="50" t="s">
        <v>36</v>
      </c>
      <c r="B2140" s="51" t="s">
        <v>155</v>
      </c>
      <c r="C2140" s="51" t="s">
        <v>173</v>
      </c>
      <c r="D2140" s="52" t="n">
        <v>8</v>
      </c>
      <c r="E2140" s="53" t="n">
        <v>2.07</v>
      </c>
      <c r="F2140" s="54" t="n">
        <f aca="false">IFERROR(D2140*E2140,0)</f>
        <v>16.56</v>
      </c>
      <c r="G2140" s="51" t="str">
        <f aca="false">INDEX(SETORES!$B:$B,MATCH(A2140,SETORES!$A:$A,0))</f>
        <v>Clientes</v>
      </c>
      <c r="H2140" s="51" t="s">
        <v>20</v>
      </c>
    </row>
    <row r="2141" customFormat="false" ht="14.25" hidden="false" customHeight="true" outlineLevel="0" collapsed="false">
      <c r="A2141" s="16" t="s">
        <v>36</v>
      </c>
      <c r="B2141" s="42" t="s">
        <v>155</v>
      </c>
      <c r="C2141" s="42" t="s">
        <v>179</v>
      </c>
      <c r="D2141" s="43"/>
      <c r="E2141" s="44"/>
      <c r="F2141" s="45" t="n">
        <f aca="false">IFERROR(D2141*E2141,0)</f>
        <v>0</v>
      </c>
      <c r="G2141" s="42" t="str">
        <f aca="false">INDEX(SETORES!$B:$B,MATCH(A2141,SETORES!$A:$A,0))</f>
        <v>Clientes</v>
      </c>
      <c r="H2141" s="42" t="s">
        <v>20</v>
      </c>
    </row>
    <row r="2142" customFormat="false" ht="14.25" hidden="false" customHeight="true" outlineLevel="0" collapsed="false">
      <c r="A2142" s="16" t="s">
        <v>81</v>
      </c>
      <c r="B2142" s="42" t="s">
        <v>155</v>
      </c>
      <c r="C2142" s="42" t="s">
        <v>163</v>
      </c>
      <c r="D2142" s="43" t="n">
        <v>2</v>
      </c>
      <c r="E2142" s="44" t="n">
        <v>30</v>
      </c>
      <c r="F2142" s="45" t="n">
        <f aca="false">IFERROR(D2142*E2142,0)</f>
        <v>60</v>
      </c>
      <c r="G2142" s="42" t="str">
        <f aca="false">INDEX(SETORES!$B:$B,MATCH(A2142,SETORES!$A:$A,0))</f>
        <v>Clientes</v>
      </c>
      <c r="H2142" s="42" t="s">
        <v>20</v>
      </c>
    </row>
    <row r="2143" customFormat="false" ht="14.25" hidden="false" customHeight="true" outlineLevel="0" collapsed="false">
      <c r="A2143" s="50" t="s">
        <v>81</v>
      </c>
      <c r="B2143" s="51" t="s">
        <v>155</v>
      </c>
      <c r="C2143" s="51" t="s">
        <v>165</v>
      </c>
      <c r="D2143" s="52" t="n">
        <v>2</v>
      </c>
      <c r="E2143" s="53" t="n">
        <v>47.79</v>
      </c>
      <c r="F2143" s="54" t="n">
        <f aca="false">IFERROR(D2143*E2143,0)</f>
        <v>95.58</v>
      </c>
      <c r="G2143" s="42" t="s">
        <v>99</v>
      </c>
      <c r="H2143" s="51" t="s">
        <v>20</v>
      </c>
    </row>
    <row r="2144" customFormat="false" ht="14.25" hidden="false" customHeight="true" outlineLevel="0" collapsed="false">
      <c r="A2144" s="16" t="s">
        <v>81</v>
      </c>
      <c r="B2144" s="42" t="s">
        <v>155</v>
      </c>
      <c r="C2144" s="42" t="s">
        <v>166</v>
      </c>
      <c r="D2144" s="43" t="n">
        <v>2</v>
      </c>
      <c r="E2144" s="44" t="n">
        <v>28.31</v>
      </c>
      <c r="F2144" s="45" t="n">
        <f aca="false">IFERROR(D2144*E2144,0)</f>
        <v>56.62</v>
      </c>
      <c r="G2144" s="51" t="s">
        <v>99</v>
      </c>
      <c r="H2144" s="42" t="s">
        <v>20</v>
      </c>
    </row>
    <row r="2145" customFormat="false" ht="14.25" hidden="false" customHeight="true" outlineLevel="0" collapsed="false">
      <c r="A2145" s="16" t="s">
        <v>81</v>
      </c>
      <c r="B2145" s="42" t="s">
        <v>155</v>
      </c>
      <c r="C2145" s="42" t="s">
        <v>167</v>
      </c>
      <c r="D2145" s="43" t="n">
        <v>2</v>
      </c>
      <c r="E2145" s="44" t="n">
        <v>64.57</v>
      </c>
      <c r="F2145" s="45" t="n">
        <f aca="false">IFERROR(D2145*E2145,0)</f>
        <v>129.14</v>
      </c>
      <c r="G2145" s="51" t="s">
        <v>99</v>
      </c>
      <c r="H2145" s="42" t="s">
        <v>20</v>
      </c>
    </row>
    <row r="2146" customFormat="false" ht="14.25" hidden="false" customHeight="true" outlineLevel="0" collapsed="false">
      <c r="A2146" s="16" t="s">
        <v>81</v>
      </c>
      <c r="B2146" s="42" t="s">
        <v>155</v>
      </c>
      <c r="C2146" s="42" t="s">
        <v>169</v>
      </c>
      <c r="D2146" s="43" t="n">
        <v>1</v>
      </c>
      <c r="E2146" s="44" t="n">
        <v>9414.74</v>
      </c>
      <c r="F2146" s="45" t="n">
        <f aca="false">IFERROR(E2146,0)</f>
        <v>9414.74</v>
      </c>
      <c r="G2146" s="42" t="str">
        <f aca="false">INDEX(SETORES!$B:$B,MATCH(A2146,SETORES!$A:$A,0))</f>
        <v>Clientes</v>
      </c>
      <c r="H2146" s="42" t="s">
        <v>20</v>
      </c>
    </row>
    <row r="2147" customFormat="false" ht="14.25" hidden="false" customHeight="true" outlineLevel="0" collapsed="false">
      <c r="A2147" s="50" t="s">
        <v>81</v>
      </c>
      <c r="B2147" s="51" t="s">
        <v>155</v>
      </c>
      <c r="C2147" s="51" t="s">
        <v>170</v>
      </c>
      <c r="D2147" s="52" t="n">
        <v>2</v>
      </c>
      <c r="E2147" s="53" t="n">
        <v>10.05</v>
      </c>
      <c r="F2147" s="54" t="n">
        <f aca="false">IFERROR(D2147*E2147,0)</f>
        <v>20.1</v>
      </c>
      <c r="G2147" s="51" t="str">
        <f aca="false">INDEX(SETORES!$B:$B,MATCH(A2147,SETORES!$A:$A,0))</f>
        <v>Clientes</v>
      </c>
      <c r="H2147" s="51" t="s">
        <v>20</v>
      </c>
    </row>
    <row r="2148" customFormat="false" ht="14.25" hidden="false" customHeight="true" outlineLevel="0" collapsed="false">
      <c r="A2148" s="50" t="s">
        <v>81</v>
      </c>
      <c r="B2148" s="51" t="s">
        <v>155</v>
      </c>
      <c r="C2148" s="51" t="s">
        <v>183</v>
      </c>
      <c r="D2148" s="52" t="n">
        <v>1</v>
      </c>
      <c r="E2148" s="53" t="n">
        <v>2.222222</v>
      </c>
      <c r="F2148" s="54" t="n">
        <f aca="false">IFERROR(D2148*E2148,0)</f>
        <v>2.222222</v>
      </c>
      <c r="G2148" s="51" t="str">
        <f aca="false">INDEX(SETORES!$B:$B,MATCH(A2148,SETORES!$A:$A,0))</f>
        <v>Clientes</v>
      </c>
      <c r="H2148" s="51" t="s">
        <v>20</v>
      </c>
    </row>
    <row r="2149" customFormat="false" ht="14.25" hidden="false" customHeight="true" outlineLevel="0" collapsed="false">
      <c r="A2149" s="50" t="s">
        <v>81</v>
      </c>
      <c r="B2149" s="51" t="s">
        <v>155</v>
      </c>
      <c r="C2149" s="51" t="s">
        <v>172</v>
      </c>
      <c r="D2149" s="52" t="n">
        <v>2</v>
      </c>
      <c r="E2149" s="53" t="n">
        <v>50</v>
      </c>
      <c r="F2149" s="54" t="n">
        <f aca="false">IFERROR(D2149*E2149,0)</f>
        <v>100</v>
      </c>
      <c r="G2149" s="51" t="str">
        <f aca="false">INDEX(SETORES!$B:$B,MATCH(A2149,SETORES!$A:$A,0))</f>
        <v>Clientes</v>
      </c>
      <c r="H2149" s="51" t="s">
        <v>20</v>
      </c>
    </row>
    <row r="2150" customFormat="false" ht="14.25" hidden="false" customHeight="true" outlineLevel="0" collapsed="false">
      <c r="A2150" s="16" t="s">
        <v>81</v>
      </c>
      <c r="B2150" s="42" t="s">
        <v>157</v>
      </c>
      <c r="C2150" s="42" t="s">
        <v>158</v>
      </c>
      <c r="D2150" s="43"/>
      <c r="E2150" s="44"/>
      <c r="F2150" s="45" t="n">
        <f aca="false">IFERROR(D2150*E2150,0)</f>
        <v>0</v>
      </c>
      <c r="G2150" s="42" t="str">
        <f aca="false">INDEX(SETORES!$B:$B,MATCH(A2150,SETORES!$A:$A,0))</f>
        <v>Clientes</v>
      </c>
      <c r="H2150" s="42" t="s">
        <v>20</v>
      </c>
    </row>
    <row r="2151" customFormat="false" ht="14.25" hidden="false" customHeight="true" outlineLevel="0" collapsed="false">
      <c r="A2151" s="16" t="s">
        <v>81</v>
      </c>
      <c r="B2151" s="42" t="s">
        <v>155</v>
      </c>
      <c r="C2151" s="42" t="s">
        <v>173</v>
      </c>
      <c r="D2151" s="43" t="n">
        <v>2</v>
      </c>
      <c r="E2151" s="44" t="n">
        <v>2.07</v>
      </c>
      <c r="F2151" s="45" t="n">
        <f aca="false">IFERROR(D2151*E2151,0)</f>
        <v>4.14</v>
      </c>
      <c r="G2151" s="42" t="str">
        <f aca="false">INDEX(SETORES!$B:$B,MATCH(A2151,SETORES!$A:$A,0))</f>
        <v>Clientes</v>
      </c>
      <c r="H2151" s="42" t="s">
        <v>20</v>
      </c>
    </row>
    <row r="2152" customFormat="false" ht="14.25" hidden="false" customHeight="true" outlineLevel="0" collapsed="false">
      <c r="A2152" s="16" t="s">
        <v>82</v>
      </c>
      <c r="B2152" s="42" t="s">
        <v>157</v>
      </c>
      <c r="C2152" s="42" t="s">
        <v>199</v>
      </c>
      <c r="D2152" s="43" t="n">
        <v>1</v>
      </c>
      <c r="E2152" s="44" t="n">
        <v>14428.61</v>
      </c>
      <c r="F2152" s="45" t="n">
        <f aca="false">IFERROR(D2152*E2152,0)</f>
        <v>14428.61</v>
      </c>
      <c r="G2152" s="42" t="str">
        <f aca="false">INDEX(SETORES!$B:$B,MATCH(A2152,SETORES!$A:$A,0))</f>
        <v>Clientes</v>
      </c>
      <c r="H2152" s="42" t="s">
        <v>20</v>
      </c>
    </row>
    <row r="2153" customFormat="false" ht="14.25" hidden="false" customHeight="true" outlineLevel="0" collapsed="false">
      <c r="A2153" s="50" t="s">
        <v>82</v>
      </c>
      <c r="B2153" s="51" t="s">
        <v>155</v>
      </c>
      <c r="C2153" s="51" t="s">
        <v>205</v>
      </c>
      <c r="D2153" s="52" t="n">
        <v>1</v>
      </c>
      <c r="E2153" s="53" t="n">
        <v>1632.05</v>
      </c>
      <c r="F2153" s="54" t="n">
        <f aca="false">IFERROR(D2153*E2153,0)</f>
        <v>1632.05</v>
      </c>
      <c r="G2153" s="51" t="str">
        <f aca="false">INDEX(SETORES!$B:$B,MATCH(A2153,SETORES!$A:$A,0))</f>
        <v>Clientes</v>
      </c>
      <c r="H2153" s="51" t="s">
        <v>20</v>
      </c>
    </row>
    <row r="2154" customFormat="false" ht="14.25" hidden="false" customHeight="true" outlineLevel="0" collapsed="false">
      <c r="A2154" s="16" t="s">
        <v>82</v>
      </c>
      <c r="B2154" s="42" t="s">
        <v>155</v>
      </c>
      <c r="C2154" s="42" t="s">
        <v>245</v>
      </c>
      <c r="D2154" s="43" t="n">
        <v>1</v>
      </c>
      <c r="E2154" s="44" t="n">
        <v>3179.85</v>
      </c>
      <c r="F2154" s="45" t="n">
        <f aca="false">IFERROR(D2154*E2154,0)</f>
        <v>3179.85</v>
      </c>
      <c r="G2154" s="42" t="str">
        <f aca="false">INDEX(SETORES!$B:$B,MATCH(A2154,SETORES!$A:$A,0))</f>
        <v>Clientes</v>
      </c>
      <c r="H2154" s="42" t="s">
        <v>20</v>
      </c>
    </row>
    <row r="2155" customFormat="false" ht="14.25" hidden="false" customHeight="true" outlineLevel="0" collapsed="false">
      <c r="A2155" s="50" t="s">
        <v>82</v>
      </c>
      <c r="B2155" s="51" t="s">
        <v>155</v>
      </c>
      <c r="C2155" s="51" t="s">
        <v>165</v>
      </c>
      <c r="D2155" s="52" t="n">
        <v>9</v>
      </c>
      <c r="E2155" s="53" t="n">
        <v>47.79</v>
      </c>
      <c r="F2155" s="54" t="n">
        <f aca="false">IFERROR(D2155*E2155,0)</f>
        <v>430.11</v>
      </c>
      <c r="G2155" s="42" t="s">
        <v>99</v>
      </c>
      <c r="H2155" s="51" t="s">
        <v>20</v>
      </c>
    </row>
    <row r="2156" customFormat="false" ht="14.25" hidden="false" customHeight="true" outlineLevel="0" collapsed="false">
      <c r="A2156" s="16" t="s">
        <v>82</v>
      </c>
      <c r="B2156" s="42" t="s">
        <v>155</v>
      </c>
      <c r="C2156" s="42" t="s">
        <v>166</v>
      </c>
      <c r="D2156" s="43" t="n">
        <v>9</v>
      </c>
      <c r="E2156" s="44" t="n">
        <v>28.31</v>
      </c>
      <c r="F2156" s="45" t="n">
        <f aca="false">IFERROR(D2156*E2156,0)</f>
        <v>254.79</v>
      </c>
      <c r="G2156" s="51" t="s">
        <v>99</v>
      </c>
      <c r="H2156" s="42" t="s">
        <v>20</v>
      </c>
    </row>
    <row r="2157" customFormat="false" ht="14.25" hidden="false" customHeight="true" outlineLevel="0" collapsed="false">
      <c r="A2157" s="16" t="s">
        <v>82</v>
      </c>
      <c r="B2157" s="42" t="s">
        <v>155</v>
      </c>
      <c r="C2157" s="42" t="s">
        <v>167</v>
      </c>
      <c r="D2157" s="43" t="n">
        <v>9</v>
      </c>
      <c r="E2157" s="44" t="n">
        <v>64.57</v>
      </c>
      <c r="F2157" s="45" t="n">
        <f aca="false">IFERROR(D2157*E2157,0)</f>
        <v>581.13</v>
      </c>
      <c r="G2157" s="51" t="s">
        <v>99</v>
      </c>
      <c r="H2157" s="42" t="s">
        <v>20</v>
      </c>
    </row>
    <row r="2158" customFormat="false" ht="14.25" hidden="false" customHeight="true" outlineLevel="0" collapsed="false">
      <c r="A2158" s="50" t="s">
        <v>82</v>
      </c>
      <c r="B2158" s="51" t="s">
        <v>157</v>
      </c>
      <c r="C2158" s="51" t="s">
        <v>217</v>
      </c>
      <c r="D2158" s="52" t="n">
        <v>1</v>
      </c>
      <c r="E2158" s="53" t="n">
        <v>1397</v>
      </c>
      <c r="F2158" s="54" t="n">
        <f aca="false">IFERROR(D2158*E2158,0)</f>
        <v>1397</v>
      </c>
      <c r="G2158" s="51" t="str">
        <f aca="false">INDEX(SETORES!$B:$B,MATCH(A2158,SETORES!$A:$A,0))</f>
        <v>Clientes</v>
      </c>
      <c r="H2158" s="51" t="s">
        <v>20</v>
      </c>
    </row>
    <row r="2159" customFormat="false" ht="14.25" hidden="false" customHeight="true" outlineLevel="0" collapsed="false">
      <c r="A2159" s="50" t="s">
        <v>82</v>
      </c>
      <c r="B2159" s="51" t="s">
        <v>155</v>
      </c>
      <c r="C2159" s="51" t="s">
        <v>169</v>
      </c>
      <c r="D2159" s="52" t="n">
        <v>1</v>
      </c>
      <c r="E2159" s="53" t="n">
        <v>51299.35</v>
      </c>
      <c r="F2159" s="54" t="n">
        <f aca="false">IFERROR(E2159,0)</f>
        <v>51299.35</v>
      </c>
      <c r="G2159" s="51" t="str">
        <f aca="false">INDEX(SETORES!$B:$B,MATCH(A2159,SETORES!$A:$A,0))</f>
        <v>Clientes</v>
      </c>
      <c r="H2159" s="51" t="s">
        <v>20</v>
      </c>
    </row>
    <row r="2160" customFormat="false" ht="14.25" hidden="false" customHeight="true" outlineLevel="0" collapsed="false">
      <c r="A2160" s="50" t="s">
        <v>82</v>
      </c>
      <c r="B2160" s="51" t="s">
        <v>155</v>
      </c>
      <c r="C2160" s="51" t="s">
        <v>170</v>
      </c>
      <c r="D2160" s="52" t="n">
        <v>9</v>
      </c>
      <c r="E2160" s="53" t="n">
        <v>10.05</v>
      </c>
      <c r="F2160" s="54" t="n">
        <f aca="false">IFERROR(D2160*E2160,0)</f>
        <v>90.45</v>
      </c>
      <c r="G2160" s="51" t="str">
        <f aca="false">INDEX(SETORES!$B:$B,MATCH(A2160,SETORES!$A:$A,0))</f>
        <v>Clientes</v>
      </c>
      <c r="H2160" s="51" t="s">
        <v>20</v>
      </c>
    </row>
    <row r="2161" customFormat="false" ht="14.25" hidden="false" customHeight="true" outlineLevel="0" collapsed="false">
      <c r="A2161" s="50" t="s">
        <v>82</v>
      </c>
      <c r="B2161" s="51" t="s">
        <v>155</v>
      </c>
      <c r="C2161" s="51" t="s">
        <v>172</v>
      </c>
      <c r="D2161" s="52"/>
      <c r="E2161" s="53"/>
      <c r="F2161" s="54" t="n">
        <f aca="false">IFERROR(D2161*E2161,0)</f>
        <v>0</v>
      </c>
      <c r="G2161" s="51" t="str">
        <f aca="false">INDEX(SETORES!$B:$B,MATCH(A2161,SETORES!$A:$A,0))</f>
        <v>Clientes</v>
      </c>
      <c r="H2161" s="51" t="s">
        <v>20</v>
      </c>
    </row>
    <row r="2162" customFormat="false" ht="14.25" hidden="false" customHeight="true" outlineLevel="0" collapsed="false">
      <c r="A2162" s="50" t="s">
        <v>82</v>
      </c>
      <c r="B2162" s="51" t="s">
        <v>157</v>
      </c>
      <c r="C2162" s="51" t="s">
        <v>158</v>
      </c>
      <c r="D2162" s="52"/>
      <c r="E2162" s="53"/>
      <c r="F2162" s="54" t="n">
        <f aca="false">IFERROR(D2162*E2162,0)</f>
        <v>0</v>
      </c>
      <c r="G2162" s="51" t="str">
        <f aca="false">INDEX(SETORES!$B:$B,MATCH(A2162,SETORES!$A:$A,0))</f>
        <v>Clientes</v>
      </c>
      <c r="H2162" s="51" t="s">
        <v>20</v>
      </c>
    </row>
    <row r="2163" customFormat="false" ht="14.25" hidden="false" customHeight="true" outlineLevel="0" collapsed="false">
      <c r="A2163" s="16" t="s">
        <v>82</v>
      </c>
      <c r="B2163" s="42" t="s">
        <v>155</v>
      </c>
      <c r="C2163" s="42" t="s">
        <v>173</v>
      </c>
      <c r="D2163" s="43" t="n">
        <v>9</v>
      </c>
      <c r="E2163" s="44" t="n">
        <v>2.07</v>
      </c>
      <c r="F2163" s="45" t="n">
        <f aca="false">IFERROR(D2163*E2163,0)</f>
        <v>18.63</v>
      </c>
      <c r="G2163" s="42" t="str">
        <f aca="false">INDEX(SETORES!$B:$B,MATCH(A2163,SETORES!$A:$A,0))</f>
        <v>Clientes</v>
      </c>
      <c r="H2163" s="42" t="s">
        <v>20</v>
      </c>
    </row>
    <row r="2164" customFormat="false" ht="14.25" hidden="false" customHeight="true" outlineLevel="0" collapsed="false">
      <c r="A2164" s="50" t="s">
        <v>34</v>
      </c>
      <c r="B2164" s="51" t="s">
        <v>155</v>
      </c>
      <c r="C2164" s="51" t="s">
        <v>162</v>
      </c>
      <c r="D2164" s="52" t="n">
        <v>1</v>
      </c>
      <c r="E2164" s="53" t="n">
        <v>0</v>
      </c>
      <c r="F2164" s="54" t="n">
        <v>0</v>
      </c>
      <c r="G2164" s="51" t="str">
        <f aca="false">INDEX(SETORES!$B:$B,MATCH(A2164,SETORES!$A:$A,0))</f>
        <v>Clientes</v>
      </c>
      <c r="H2164" s="51" t="s">
        <v>20</v>
      </c>
    </row>
    <row r="2165" customFormat="false" ht="14.25" hidden="false" customHeight="true" outlineLevel="0" collapsed="false">
      <c r="A2165" s="50" t="s">
        <v>34</v>
      </c>
      <c r="B2165" s="51" t="s">
        <v>155</v>
      </c>
      <c r="C2165" s="51" t="s">
        <v>163</v>
      </c>
      <c r="D2165" s="52" t="n">
        <v>2</v>
      </c>
      <c r="E2165" s="53" t="n">
        <v>30</v>
      </c>
      <c r="F2165" s="54" t="n">
        <f aca="false">IFERROR(D2165*E2165,0)</f>
        <v>60</v>
      </c>
      <c r="G2165" s="51" t="str">
        <f aca="false">INDEX(SETORES!$B:$B,MATCH(A2165,SETORES!$A:$A,0))</f>
        <v>Clientes</v>
      </c>
      <c r="H2165" s="51" t="s">
        <v>20</v>
      </c>
    </row>
    <row r="2166" customFormat="false" ht="14.25" hidden="false" customHeight="true" outlineLevel="0" collapsed="false">
      <c r="A2166" s="16" t="s">
        <v>34</v>
      </c>
      <c r="B2166" s="42" t="s">
        <v>155</v>
      </c>
      <c r="C2166" s="42" t="s">
        <v>164</v>
      </c>
      <c r="D2166" s="43" t="n">
        <v>1</v>
      </c>
      <c r="E2166" s="44" t="n">
        <v>2821.6</v>
      </c>
      <c r="F2166" s="45" t="n">
        <f aca="false">IFERROR(D2166*E2166,0)</f>
        <v>2821.6</v>
      </c>
      <c r="G2166" s="42" t="str">
        <f aca="false">INDEX(SETORES!$B:$B,MATCH(A2166,SETORES!$A:$A,0))</f>
        <v>Clientes</v>
      </c>
      <c r="H2166" s="42" t="s">
        <v>20</v>
      </c>
    </row>
    <row r="2167" customFormat="false" ht="14.25" hidden="false" customHeight="true" outlineLevel="0" collapsed="false">
      <c r="A2167" s="16" t="s">
        <v>34</v>
      </c>
      <c r="B2167" s="42" t="s">
        <v>155</v>
      </c>
      <c r="C2167" s="42" t="s">
        <v>165</v>
      </c>
      <c r="D2167" s="43" t="n">
        <v>8</v>
      </c>
      <c r="E2167" s="44" t="n">
        <v>47.79</v>
      </c>
      <c r="F2167" s="45" t="n">
        <f aca="false">IFERROR(D2167*E2167,0)</f>
        <v>382.32</v>
      </c>
      <c r="G2167" s="42" t="s">
        <v>99</v>
      </c>
      <c r="H2167" s="42" t="s">
        <v>20</v>
      </c>
    </row>
    <row r="2168" customFormat="false" ht="14.25" hidden="false" customHeight="true" outlineLevel="0" collapsed="false">
      <c r="A2168" s="50" t="s">
        <v>34</v>
      </c>
      <c r="B2168" s="51" t="s">
        <v>155</v>
      </c>
      <c r="C2168" s="51" t="s">
        <v>166</v>
      </c>
      <c r="D2168" s="52" t="n">
        <v>8</v>
      </c>
      <c r="E2168" s="53" t="n">
        <v>28.31</v>
      </c>
      <c r="F2168" s="54" t="n">
        <f aca="false">IFERROR(D2168*E2168,0)</f>
        <v>226.48</v>
      </c>
      <c r="G2168" s="51" t="s">
        <v>99</v>
      </c>
      <c r="H2168" s="51" t="s">
        <v>20</v>
      </c>
    </row>
    <row r="2169" customFormat="false" ht="14.25" hidden="false" customHeight="true" outlineLevel="0" collapsed="false">
      <c r="A2169" s="16" t="s">
        <v>34</v>
      </c>
      <c r="B2169" s="42" t="s">
        <v>155</v>
      </c>
      <c r="C2169" s="42" t="s">
        <v>167</v>
      </c>
      <c r="D2169" s="43" t="n">
        <v>8</v>
      </c>
      <c r="E2169" s="44" t="n">
        <v>64.57</v>
      </c>
      <c r="F2169" s="45" t="n">
        <f aca="false">IFERROR(D2169*E2169,0)</f>
        <v>516.56</v>
      </c>
      <c r="G2169" s="51" t="s">
        <v>99</v>
      </c>
      <c r="H2169" s="42" t="s">
        <v>20</v>
      </c>
    </row>
    <row r="2170" customFormat="false" ht="14.25" hidden="false" customHeight="true" outlineLevel="0" collapsed="false">
      <c r="A2170" s="16" t="s">
        <v>34</v>
      </c>
      <c r="B2170" s="42" t="s">
        <v>155</v>
      </c>
      <c r="C2170" s="42" t="s">
        <v>168</v>
      </c>
      <c r="D2170" s="43" t="n">
        <v>1</v>
      </c>
      <c r="E2170" s="44" t="n">
        <v>42.554</v>
      </c>
      <c r="F2170" s="45" t="n">
        <v>42.554</v>
      </c>
      <c r="G2170" s="42" t="str">
        <f aca="false">INDEX(SETORES!$B:$B,MATCH(A2170,SETORES!$A:$A,0))</f>
        <v>Clientes</v>
      </c>
      <c r="H2170" s="42" t="s">
        <v>20</v>
      </c>
    </row>
    <row r="2171" customFormat="false" ht="14.25" hidden="false" customHeight="true" outlineLevel="0" collapsed="false">
      <c r="A2171" s="16" t="s">
        <v>34</v>
      </c>
      <c r="B2171" s="42" t="s">
        <v>157</v>
      </c>
      <c r="C2171" s="42" t="s">
        <v>174</v>
      </c>
      <c r="D2171" s="43"/>
      <c r="E2171" s="44"/>
      <c r="F2171" s="45" t="n">
        <f aca="false">IFERROR(D2171*E2171,0)</f>
        <v>0</v>
      </c>
      <c r="G2171" s="42" t="str">
        <f aca="false">INDEX(SETORES!$B:$B,MATCH(A2171,SETORES!$A:$A,0))</f>
        <v>Clientes</v>
      </c>
      <c r="H2171" s="42" t="s">
        <v>20</v>
      </c>
    </row>
    <row r="2172" customFormat="false" ht="14.25" hidden="false" customHeight="true" outlineLevel="0" collapsed="false">
      <c r="A2172" s="16" t="s">
        <v>34</v>
      </c>
      <c r="B2172" s="42" t="s">
        <v>157</v>
      </c>
      <c r="C2172" s="42" t="s">
        <v>175</v>
      </c>
      <c r="D2172" s="43" t="n">
        <v>1</v>
      </c>
      <c r="E2172" s="44" t="n">
        <v>174</v>
      </c>
      <c r="F2172" s="45" t="n">
        <f aca="false">IFERROR(D2172*E2172,0)</f>
        <v>174</v>
      </c>
      <c r="G2172" s="42" t="str">
        <f aca="false">INDEX(SETORES!$B:$B,MATCH(A2172,SETORES!$A:$A,0))</f>
        <v>Clientes</v>
      </c>
      <c r="H2172" s="42" t="s">
        <v>20</v>
      </c>
    </row>
    <row r="2173" customFormat="false" ht="14.25" hidden="false" customHeight="true" outlineLevel="0" collapsed="false">
      <c r="A2173" s="50" t="s">
        <v>34</v>
      </c>
      <c r="B2173" s="51" t="s">
        <v>157</v>
      </c>
      <c r="C2173" s="51" t="s">
        <v>176</v>
      </c>
      <c r="D2173" s="52" t="n">
        <v>1</v>
      </c>
      <c r="E2173" s="53" t="n">
        <v>38</v>
      </c>
      <c r="F2173" s="54" t="n">
        <f aca="false">IFERROR(D2173*E2173,0)</f>
        <v>38</v>
      </c>
      <c r="G2173" s="51" t="str">
        <f aca="false">INDEX(SETORES!$B:$B,MATCH(A2173,SETORES!$A:$A,0))</f>
        <v>Clientes</v>
      </c>
      <c r="H2173" s="51" t="s">
        <v>20</v>
      </c>
    </row>
    <row r="2174" customFormat="false" ht="14.25" hidden="false" customHeight="true" outlineLevel="0" collapsed="false">
      <c r="A2174" s="50" t="s">
        <v>34</v>
      </c>
      <c r="B2174" s="51" t="s">
        <v>155</v>
      </c>
      <c r="C2174" s="51" t="s">
        <v>169</v>
      </c>
      <c r="D2174" s="52" t="n">
        <v>1</v>
      </c>
      <c r="E2174" s="53" t="n">
        <v>30352.88</v>
      </c>
      <c r="F2174" s="54" t="n">
        <f aca="false">IFERROR(D2174*E2174,0)</f>
        <v>30352.88</v>
      </c>
      <c r="G2174" s="51" t="str">
        <f aca="false">INDEX(SETORES!$B:$B,MATCH(A2174,SETORES!$A:$A,0))</f>
        <v>Clientes</v>
      </c>
      <c r="H2174" s="51" t="s">
        <v>20</v>
      </c>
    </row>
    <row r="2175" customFormat="false" ht="14.25" hidden="false" customHeight="true" outlineLevel="0" collapsed="false">
      <c r="A2175" s="16" t="s">
        <v>34</v>
      </c>
      <c r="B2175" s="42" t="s">
        <v>155</v>
      </c>
      <c r="C2175" s="42" t="s">
        <v>170</v>
      </c>
      <c r="D2175" s="43" t="n">
        <v>8</v>
      </c>
      <c r="E2175" s="44" t="n">
        <v>10.05</v>
      </c>
      <c r="F2175" s="45" t="n">
        <f aca="false">IFERROR(D2175*E2175,0)</f>
        <v>80.4</v>
      </c>
      <c r="G2175" s="42" t="str">
        <f aca="false">INDEX(SETORES!$B:$B,MATCH(A2175,SETORES!$A:$A,0))</f>
        <v>Clientes</v>
      </c>
      <c r="H2175" s="42" t="s">
        <v>20</v>
      </c>
    </row>
    <row r="2176" customFormat="false" ht="14.25" hidden="false" customHeight="true" outlineLevel="0" collapsed="false">
      <c r="A2176" s="50" t="s">
        <v>34</v>
      </c>
      <c r="B2176" s="51" t="s">
        <v>155</v>
      </c>
      <c r="C2176" s="51" t="s">
        <v>183</v>
      </c>
      <c r="D2176" s="52" t="n">
        <v>1</v>
      </c>
      <c r="E2176" s="53" t="n">
        <v>5.555555</v>
      </c>
      <c r="F2176" s="54" t="n">
        <f aca="false">IFERROR(D2176*E2176,0)</f>
        <v>5.555555</v>
      </c>
      <c r="G2176" s="51" t="str">
        <f aca="false">INDEX(SETORES!$B:$B,MATCH(A2176,SETORES!$A:$A,0))</f>
        <v>Clientes</v>
      </c>
      <c r="H2176" s="51" t="s">
        <v>20</v>
      </c>
    </row>
    <row r="2177" customFormat="false" ht="14.25" hidden="false" customHeight="true" outlineLevel="0" collapsed="false">
      <c r="A2177" s="50" t="s">
        <v>34</v>
      </c>
      <c r="B2177" s="51" t="s">
        <v>155</v>
      </c>
      <c r="C2177" s="51" t="s">
        <v>172</v>
      </c>
      <c r="D2177" s="52" t="n">
        <v>8</v>
      </c>
      <c r="E2177" s="53" t="n">
        <v>50</v>
      </c>
      <c r="F2177" s="54" t="n">
        <f aca="false">IFERROR(D2177*E2177,0)</f>
        <v>400</v>
      </c>
      <c r="G2177" s="51" t="str">
        <f aca="false">INDEX(SETORES!$B:$B,MATCH(A2177,SETORES!$A:$A,0))</f>
        <v>Clientes</v>
      </c>
      <c r="H2177" s="51" t="s">
        <v>20</v>
      </c>
    </row>
    <row r="2178" customFormat="false" ht="14.25" hidden="false" customHeight="true" outlineLevel="0" collapsed="false">
      <c r="A2178" s="16" t="s">
        <v>34</v>
      </c>
      <c r="B2178" s="42" t="s">
        <v>155</v>
      </c>
      <c r="C2178" s="42" t="s">
        <v>177</v>
      </c>
      <c r="D2178" s="43"/>
      <c r="E2178" s="44"/>
      <c r="F2178" s="45" t="n">
        <v>0</v>
      </c>
      <c r="G2178" s="42" t="str">
        <f aca="false">INDEX(SETORES!$B:$B,MATCH(A2178,SETORES!$A:$A,0))</f>
        <v>Clientes</v>
      </c>
      <c r="H2178" s="42" t="s">
        <v>20</v>
      </c>
    </row>
    <row r="2179" customFormat="false" ht="14.25" hidden="false" customHeight="true" outlineLevel="0" collapsed="false">
      <c r="A2179" s="50" t="s">
        <v>34</v>
      </c>
      <c r="B2179" s="51" t="s">
        <v>155</v>
      </c>
      <c r="C2179" s="51" t="s">
        <v>178</v>
      </c>
      <c r="D2179" s="52" t="n">
        <v>1</v>
      </c>
      <c r="E2179" s="53" t="n">
        <v>130.4</v>
      </c>
      <c r="F2179" s="54" t="n">
        <v>130.4</v>
      </c>
      <c r="G2179" s="51" t="str">
        <f aca="false">INDEX(SETORES!$B:$B,MATCH(A2179,SETORES!$A:$A,0))</f>
        <v>Clientes</v>
      </c>
      <c r="H2179" s="51" t="s">
        <v>20</v>
      </c>
    </row>
    <row r="2180" customFormat="false" ht="14.25" hidden="false" customHeight="true" outlineLevel="0" collapsed="false">
      <c r="A2180" s="16" t="s">
        <v>34</v>
      </c>
      <c r="B2180" s="42" t="s">
        <v>157</v>
      </c>
      <c r="C2180" s="42" t="s">
        <v>158</v>
      </c>
      <c r="D2180" s="43"/>
      <c r="E2180" s="44"/>
      <c r="F2180" s="45" t="n">
        <f aca="false">IFERROR(D2180*E2180,0)</f>
        <v>0</v>
      </c>
      <c r="G2180" s="42" t="str">
        <f aca="false">INDEX(SETORES!$B:$B,MATCH(A2180,SETORES!$A:$A,0))</f>
        <v>Clientes</v>
      </c>
      <c r="H2180" s="42" t="s">
        <v>20</v>
      </c>
    </row>
    <row r="2181" customFormat="false" ht="14.25" hidden="false" customHeight="true" outlineLevel="0" collapsed="false">
      <c r="A2181" s="50" t="s">
        <v>34</v>
      </c>
      <c r="B2181" s="51" t="s">
        <v>155</v>
      </c>
      <c r="C2181" s="51" t="s">
        <v>173</v>
      </c>
      <c r="D2181" s="52" t="n">
        <v>8</v>
      </c>
      <c r="E2181" s="53" t="n">
        <v>2.07</v>
      </c>
      <c r="F2181" s="54" t="n">
        <f aca="false">IFERROR(D2181*E2181,0)</f>
        <v>16.56</v>
      </c>
      <c r="G2181" s="51" t="str">
        <f aca="false">INDEX(SETORES!$B:$B,MATCH(A2181,SETORES!$A:$A,0))</f>
        <v>Clientes</v>
      </c>
      <c r="H2181" s="51" t="s">
        <v>20</v>
      </c>
    </row>
    <row r="2182" customFormat="false" ht="14.25" hidden="false" customHeight="true" outlineLevel="0" collapsed="false">
      <c r="A2182" s="16" t="s">
        <v>34</v>
      </c>
      <c r="B2182" s="42" t="s">
        <v>155</v>
      </c>
      <c r="C2182" s="42" t="s">
        <v>179</v>
      </c>
      <c r="D2182" s="43"/>
      <c r="E2182" s="44"/>
      <c r="F2182" s="45" t="n">
        <f aca="false">IFERROR(D2182*E2182,0)</f>
        <v>0</v>
      </c>
      <c r="G2182" s="42" t="str">
        <f aca="false">INDEX(SETORES!$B:$B,MATCH(A2182,SETORES!$A:$A,0))</f>
        <v>Clientes</v>
      </c>
      <c r="H2182" s="42" t="s">
        <v>20</v>
      </c>
    </row>
    <row r="2183" customFormat="false" ht="14.25" hidden="false" customHeight="true" outlineLevel="0" collapsed="false">
      <c r="A2183" s="16" t="s">
        <v>83</v>
      </c>
      <c r="B2183" s="42" t="s">
        <v>155</v>
      </c>
      <c r="C2183" s="42" t="s">
        <v>163</v>
      </c>
      <c r="D2183" s="43" t="n">
        <v>2</v>
      </c>
      <c r="E2183" s="44" t="n">
        <v>30</v>
      </c>
      <c r="F2183" s="45" t="n">
        <f aca="false">IFERROR(D2183*E2183,0)</f>
        <v>60</v>
      </c>
      <c r="G2183" s="42" t="str">
        <f aca="false">INDEX(SETORES!$B:$B,MATCH(A2183,SETORES!$A:$A,0))</f>
        <v>Clientes</v>
      </c>
      <c r="H2183" s="42" t="s">
        <v>20</v>
      </c>
    </row>
    <row r="2184" customFormat="false" ht="14.25" hidden="false" customHeight="true" outlineLevel="0" collapsed="false">
      <c r="A2184" s="50" t="s">
        <v>83</v>
      </c>
      <c r="B2184" s="51" t="s">
        <v>155</v>
      </c>
      <c r="C2184" s="51" t="s">
        <v>218</v>
      </c>
      <c r="D2184" s="52" t="n">
        <v>1</v>
      </c>
      <c r="E2184" s="53" t="n">
        <v>7500</v>
      </c>
      <c r="F2184" s="54" t="n">
        <f aca="false">IFERROR(D2184*E2184,0)</f>
        <v>7500</v>
      </c>
      <c r="G2184" s="51" t="str">
        <f aca="false">INDEX(SETORES!$B:$B,MATCH(A2184,SETORES!$A:$A,0))</f>
        <v>Clientes</v>
      </c>
      <c r="H2184" s="51" t="s">
        <v>20</v>
      </c>
    </row>
    <row r="2185" customFormat="false" ht="14.25" hidden="false" customHeight="true" outlineLevel="0" collapsed="false">
      <c r="A2185" s="50" t="s">
        <v>83</v>
      </c>
      <c r="B2185" s="51" t="s">
        <v>155</v>
      </c>
      <c r="C2185" s="51" t="s">
        <v>165</v>
      </c>
      <c r="D2185" s="52" t="n">
        <v>2</v>
      </c>
      <c r="E2185" s="53" t="n">
        <v>47.79</v>
      </c>
      <c r="F2185" s="54" t="n">
        <f aca="false">IFERROR(D2185*E2185,0)</f>
        <v>95.58</v>
      </c>
      <c r="G2185" s="42" t="s">
        <v>99</v>
      </c>
      <c r="H2185" s="51" t="s">
        <v>20</v>
      </c>
    </row>
    <row r="2186" customFormat="false" ht="14.25" hidden="false" customHeight="true" outlineLevel="0" collapsed="false">
      <c r="A2186" s="16" t="s">
        <v>83</v>
      </c>
      <c r="B2186" s="42" t="s">
        <v>155</v>
      </c>
      <c r="C2186" s="42" t="s">
        <v>166</v>
      </c>
      <c r="D2186" s="43" t="n">
        <v>2</v>
      </c>
      <c r="E2186" s="44" t="n">
        <v>28.31</v>
      </c>
      <c r="F2186" s="45" t="n">
        <f aca="false">IFERROR(D2186*E2186,0)</f>
        <v>56.62</v>
      </c>
      <c r="G2186" s="51" t="s">
        <v>99</v>
      </c>
      <c r="H2186" s="42" t="s">
        <v>20</v>
      </c>
    </row>
    <row r="2187" customFormat="false" ht="14.25" hidden="false" customHeight="true" outlineLevel="0" collapsed="false">
      <c r="A2187" s="16" t="s">
        <v>83</v>
      </c>
      <c r="B2187" s="42" t="s">
        <v>155</v>
      </c>
      <c r="C2187" s="42" t="s">
        <v>167</v>
      </c>
      <c r="D2187" s="43" t="n">
        <v>2</v>
      </c>
      <c r="E2187" s="44" t="n">
        <v>64.57</v>
      </c>
      <c r="F2187" s="45" t="n">
        <f aca="false">IFERROR(D2187*E2187,0)</f>
        <v>129.14</v>
      </c>
      <c r="G2187" s="51" t="s">
        <v>99</v>
      </c>
      <c r="H2187" s="42" t="s">
        <v>20</v>
      </c>
    </row>
    <row r="2188" customFormat="false" ht="14.25" hidden="false" customHeight="true" outlineLevel="0" collapsed="false">
      <c r="A2188" s="50" t="s">
        <v>83</v>
      </c>
      <c r="B2188" s="51" t="s">
        <v>155</v>
      </c>
      <c r="C2188" s="51" t="s">
        <v>169</v>
      </c>
      <c r="D2188" s="52" t="n">
        <v>1</v>
      </c>
      <c r="E2188" s="53" t="n">
        <v>4665.95</v>
      </c>
      <c r="F2188" s="54" t="n">
        <f aca="false">IFERROR(E2188,0)</f>
        <v>4665.95</v>
      </c>
      <c r="G2188" s="51" t="str">
        <f aca="false">INDEX(SETORES!$B:$B,MATCH(A2188,SETORES!$A:$A,0))</f>
        <v>Clientes</v>
      </c>
      <c r="H2188" s="51" t="s">
        <v>20</v>
      </c>
    </row>
    <row r="2189" customFormat="false" ht="14.25" hidden="false" customHeight="true" outlineLevel="0" collapsed="false">
      <c r="A2189" s="50" t="s">
        <v>83</v>
      </c>
      <c r="B2189" s="51" t="s">
        <v>155</v>
      </c>
      <c r="C2189" s="51" t="s">
        <v>170</v>
      </c>
      <c r="D2189" s="52" t="n">
        <v>2</v>
      </c>
      <c r="E2189" s="53" t="n">
        <v>10.05</v>
      </c>
      <c r="F2189" s="54" t="n">
        <f aca="false">IFERROR(D2189*E2189,0)</f>
        <v>20.1</v>
      </c>
      <c r="G2189" s="51" t="str">
        <f aca="false">INDEX(SETORES!$B:$B,MATCH(A2189,SETORES!$A:$A,0))</f>
        <v>Clientes</v>
      </c>
      <c r="H2189" s="51" t="s">
        <v>20</v>
      </c>
    </row>
    <row r="2190" customFormat="false" ht="14.25" hidden="false" customHeight="true" outlineLevel="0" collapsed="false">
      <c r="A2190" s="50" t="s">
        <v>83</v>
      </c>
      <c r="B2190" s="51" t="s">
        <v>155</v>
      </c>
      <c r="C2190" s="51" t="s">
        <v>172</v>
      </c>
      <c r="D2190" s="52" t="n">
        <v>3</v>
      </c>
      <c r="E2190" s="53" t="n">
        <v>50</v>
      </c>
      <c r="F2190" s="54" t="n">
        <f aca="false">IFERROR(D2190*E2190,0)</f>
        <v>150</v>
      </c>
      <c r="G2190" s="51" t="str">
        <f aca="false">INDEX(SETORES!$B:$B,MATCH(A2190,SETORES!$A:$A,0))</f>
        <v>Clientes</v>
      </c>
      <c r="H2190" s="51" t="s">
        <v>20</v>
      </c>
    </row>
    <row r="2191" customFormat="false" ht="14.25" hidden="false" customHeight="true" outlineLevel="0" collapsed="false">
      <c r="A2191" s="50" t="s">
        <v>83</v>
      </c>
      <c r="B2191" s="51" t="s">
        <v>157</v>
      </c>
      <c r="C2191" s="51" t="s">
        <v>158</v>
      </c>
      <c r="D2191" s="52"/>
      <c r="E2191" s="53"/>
      <c r="F2191" s="54" t="n">
        <f aca="false">IFERROR(D2191*E2191,0)</f>
        <v>0</v>
      </c>
      <c r="G2191" s="51" t="str">
        <f aca="false">INDEX(SETORES!$B:$B,MATCH(A2191,SETORES!$A:$A,0))</f>
        <v>Clientes</v>
      </c>
      <c r="H2191" s="51" t="s">
        <v>20</v>
      </c>
    </row>
    <row r="2192" customFormat="false" ht="14.25" hidden="false" customHeight="true" outlineLevel="0" collapsed="false">
      <c r="A2192" s="16" t="s">
        <v>83</v>
      </c>
      <c r="B2192" s="42" t="s">
        <v>155</v>
      </c>
      <c r="C2192" s="42" t="s">
        <v>173</v>
      </c>
      <c r="D2192" s="43" t="n">
        <v>2</v>
      </c>
      <c r="E2192" s="44" t="n">
        <v>2.07</v>
      </c>
      <c r="F2192" s="45" t="n">
        <f aca="false">IFERROR(D2192*E2192,0)</f>
        <v>4.14</v>
      </c>
      <c r="G2192" s="42" t="str">
        <f aca="false">INDEX(SETORES!$B:$B,MATCH(A2192,SETORES!$A:$A,0))</f>
        <v>Clientes</v>
      </c>
      <c r="H2192" s="42" t="s">
        <v>20</v>
      </c>
    </row>
    <row r="2193" customFormat="false" ht="14.25" hidden="false" customHeight="true" outlineLevel="0" collapsed="false">
      <c r="A2193" s="16" t="s">
        <v>84</v>
      </c>
      <c r="B2193" s="42" t="s">
        <v>157</v>
      </c>
      <c r="C2193" s="42" t="s">
        <v>199</v>
      </c>
      <c r="D2193" s="43" t="n">
        <v>1</v>
      </c>
      <c r="E2193" s="44" t="n">
        <v>13697.37</v>
      </c>
      <c r="F2193" s="45" t="n">
        <f aca="false">IFERROR(D2193*E2193,0)</f>
        <v>13697.37</v>
      </c>
      <c r="G2193" s="42" t="str">
        <f aca="false">INDEX(SETORES!$B:$B,MATCH(A2193,SETORES!$A:$A,0))</f>
        <v>Clientes</v>
      </c>
      <c r="H2193" s="42" t="s">
        <v>20</v>
      </c>
    </row>
    <row r="2194" customFormat="false" ht="14.25" hidden="false" customHeight="true" outlineLevel="0" collapsed="false">
      <c r="A2194" s="16" t="s">
        <v>84</v>
      </c>
      <c r="B2194" s="42" t="s">
        <v>155</v>
      </c>
      <c r="C2194" s="42" t="s">
        <v>205</v>
      </c>
      <c r="D2194" s="43" t="n">
        <v>1</v>
      </c>
      <c r="E2194" s="44" t="n">
        <v>3989.44</v>
      </c>
      <c r="F2194" s="45" t="n">
        <f aca="false">IFERROR(D2194*E2194,0)</f>
        <v>3989.44</v>
      </c>
      <c r="G2194" s="42" t="str">
        <f aca="false">INDEX(SETORES!$B:$B,MATCH(A2194,SETORES!$A:$A,0))</f>
        <v>Clientes</v>
      </c>
      <c r="H2194" s="42" t="s">
        <v>20</v>
      </c>
    </row>
    <row r="2195" customFormat="false" ht="14.25" hidden="false" customHeight="true" outlineLevel="0" collapsed="false">
      <c r="A2195" s="50" t="s">
        <v>84</v>
      </c>
      <c r="B2195" s="51" t="s">
        <v>155</v>
      </c>
      <c r="C2195" s="51" t="s">
        <v>245</v>
      </c>
      <c r="D2195" s="52" t="n">
        <v>1</v>
      </c>
      <c r="E2195" s="53" t="n">
        <v>7772.95</v>
      </c>
      <c r="F2195" s="54" t="n">
        <f aca="false">IFERROR(D2195*E2195,0)</f>
        <v>7772.95</v>
      </c>
      <c r="G2195" s="51" t="str">
        <f aca="false">INDEX(SETORES!$B:$B,MATCH(A2195,SETORES!$A:$A,0))</f>
        <v>Clientes</v>
      </c>
      <c r="H2195" s="51" t="s">
        <v>20</v>
      </c>
    </row>
    <row r="2196" customFormat="false" ht="14.25" hidden="false" customHeight="true" outlineLevel="0" collapsed="false">
      <c r="A2196" s="50" t="s">
        <v>84</v>
      </c>
      <c r="B2196" s="51" t="s">
        <v>155</v>
      </c>
      <c r="C2196" s="51" t="s">
        <v>165</v>
      </c>
      <c r="D2196" s="52" t="n">
        <v>22</v>
      </c>
      <c r="E2196" s="53" t="n">
        <v>47.79</v>
      </c>
      <c r="F2196" s="54" t="n">
        <f aca="false">IFERROR(D2196*E2196,0)</f>
        <v>1051.38</v>
      </c>
      <c r="G2196" s="42" t="s">
        <v>99</v>
      </c>
      <c r="H2196" s="51" t="s">
        <v>20</v>
      </c>
    </row>
    <row r="2197" customFormat="false" ht="14.25" hidden="false" customHeight="true" outlineLevel="0" collapsed="false">
      <c r="A2197" s="16" t="s">
        <v>84</v>
      </c>
      <c r="B2197" s="42" t="s">
        <v>155</v>
      </c>
      <c r="C2197" s="42" t="s">
        <v>166</v>
      </c>
      <c r="D2197" s="43" t="n">
        <v>22</v>
      </c>
      <c r="E2197" s="44" t="n">
        <v>28.31</v>
      </c>
      <c r="F2197" s="45" t="n">
        <f aca="false">IFERROR(D2197*E2197,0)</f>
        <v>622.82</v>
      </c>
      <c r="G2197" s="51" t="s">
        <v>99</v>
      </c>
      <c r="H2197" s="42" t="s">
        <v>20</v>
      </c>
    </row>
    <row r="2198" customFormat="false" ht="14.25" hidden="false" customHeight="true" outlineLevel="0" collapsed="false">
      <c r="A2198" s="16" t="s">
        <v>84</v>
      </c>
      <c r="B2198" s="42" t="s">
        <v>155</v>
      </c>
      <c r="C2198" s="42" t="s">
        <v>167</v>
      </c>
      <c r="D2198" s="43" t="n">
        <v>22</v>
      </c>
      <c r="E2198" s="44" t="n">
        <v>64.57</v>
      </c>
      <c r="F2198" s="45" t="n">
        <f aca="false">IFERROR(D2198*E2198,0)</f>
        <v>1420.54</v>
      </c>
      <c r="G2198" s="51" t="s">
        <v>99</v>
      </c>
      <c r="H2198" s="42" t="s">
        <v>20</v>
      </c>
    </row>
    <row r="2199" customFormat="false" ht="14.25" hidden="false" customHeight="true" outlineLevel="0" collapsed="false">
      <c r="A2199" s="50" t="s">
        <v>84</v>
      </c>
      <c r="B2199" s="51" t="s">
        <v>157</v>
      </c>
      <c r="C2199" s="51" t="s">
        <v>217</v>
      </c>
      <c r="D2199" s="52" t="n">
        <v>1</v>
      </c>
      <c r="E2199" s="53" t="n">
        <v>7221.35</v>
      </c>
      <c r="F2199" s="54" t="n">
        <f aca="false">IFERROR(D2199*E2199,0)</f>
        <v>7221.35</v>
      </c>
      <c r="G2199" s="51" t="str">
        <f aca="false">INDEX(SETORES!$B:$B,MATCH(A2199,SETORES!$A:$A,0))</f>
        <v>Clientes</v>
      </c>
      <c r="H2199" s="51" t="s">
        <v>20</v>
      </c>
    </row>
    <row r="2200" customFormat="false" ht="14.25" hidden="false" customHeight="true" outlineLevel="0" collapsed="false">
      <c r="A2200" s="50" t="s">
        <v>84</v>
      </c>
      <c r="B2200" s="51" t="s">
        <v>155</v>
      </c>
      <c r="C2200" s="51" t="s">
        <v>169</v>
      </c>
      <c r="D2200" s="52" t="n">
        <v>1</v>
      </c>
      <c r="E2200" s="53" t="n">
        <v>107136.79</v>
      </c>
      <c r="F2200" s="54" t="n">
        <f aca="false">IFERROR(E2200,0)</f>
        <v>107136.79</v>
      </c>
      <c r="G2200" s="51" t="str">
        <f aca="false">INDEX(SETORES!$B:$B,MATCH(A2200,SETORES!$A:$A,0))</f>
        <v>Clientes</v>
      </c>
      <c r="H2200" s="51" t="s">
        <v>20</v>
      </c>
    </row>
    <row r="2201" customFormat="false" ht="14.25" hidden="false" customHeight="true" outlineLevel="0" collapsed="false">
      <c r="A2201" s="50" t="s">
        <v>84</v>
      </c>
      <c r="B2201" s="51" t="s">
        <v>155</v>
      </c>
      <c r="C2201" s="51" t="s">
        <v>170</v>
      </c>
      <c r="D2201" s="52" t="n">
        <v>22</v>
      </c>
      <c r="E2201" s="53" t="n">
        <v>10.05</v>
      </c>
      <c r="F2201" s="54" t="n">
        <f aca="false">IFERROR(D2201*E2201,0)</f>
        <v>221.1</v>
      </c>
      <c r="G2201" s="51" t="str">
        <f aca="false">INDEX(SETORES!$B:$B,MATCH(A2201,SETORES!$A:$A,0))</f>
        <v>Clientes</v>
      </c>
      <c r="H2201" s="51" t="s">
        <v>20</v>
      </c>
    </row>
    <row r="2202" customFormat="false" ht="14.25" hidden="false" customHeight="true" outlineLevel="0" collapsed="false">
      <c r="A2202" s="50" t="s">
        <v>84</v>
      </c>
      <c r="B2202" s="51" t="s">
        <v>155</v>
      </c>
      <c r="C2202" s="51" t="s">
        <v>172</v>
      </c>
      <c r="D2202" s="52" t="n">
        <v>2</v>
      </c>
      <c r="E2202" s="53" t="n">
        <v>50</v>
      </c>
      <c r="F2202" s="54" t="n">
        <f aca="false">IFERROR(D2202*E2202,0)</f>
        <v>100</v>
      </c>
      <c r="G2202" s="51" t="str">
        <f aca="false">INDEX(SETORES!$B:$B,MATCH(A2202,SETORES!$A:$A,0))</f>
        <v>Clientes</v>
      </c>
      <c r="H2202" s="51" t="s">
        <v>20</v>
      </c>
    </row>
    <row r="2203" customFormat="false" ht="14.25" hidden="false" customHeight="true" outlineLevel="0" collapsed="false">
      <c r="A2203" s="16" t="s">
        <v>84</v>
      </c>
      <c r="B2203" s="42" t="s">
        <v>157</v>
      </c>
      <c r="C2203" s="42" t="s">
        <v>158</v>
      </c>
      <c r="D2203" s="43" t="n">
        <v>1</v>
      </c>
      <c r="E2203" s="44" t="n">
        <v>1746.63</v>
      </c>
      <c r="F2203" s="45" t="n">
        <f aca="false">IFERROR(D2203*E2203,0)</f>
        <v>1746.63</v>
      </c>
      <c r="G2203" s="42" t="str">
        <f aca="false">INDEX(SETORES!$B:$B,MATCH(A2203,SETORES!$A:$A,0))</f>
        <v>Clientes</v>
      </c>
      <c r="H2203" s="42" t="s">
        <v>20</v>
      </c>
    </row>
    <row r="2204" customFormat="false" ht="14.25" hidden="false" customHeight="true" outlineLevel="0" collapsed="false">
      <c r="A2204" s="16" t="s">
        <v>84</v>
      </c>
      <c r="B2204" s="42" t="s">
        <v>155</v>
      </c>
      <c r="C2204" s="42" t="s">
        <v>173</v>
      </c>
      <c r="D2204" s="43" t="n">
        <v>22</v>
      </c>
      <c r="E2204" s="44" t="n">
        <v>2.07</v>
      </c>
      <c r="F2204" s="45" t="n">
        <f aca="false">IFERROR(D2204*E2204,0)</f>
        <v>45.54</v>
      </c>
      <c r="G2204" s="42" t="str">
        <f aca="false">INDEX(SETORES!$B:$B,MATCH(A2204,SETORES!$A:$A,0))</f>
        <v>Clientes</v>
      </c>
      <c r="H2204" s="42" t="s">
        <v>20</v>
      </c>
    </row>
    <row r="2205" customFormat="false" ht="14.25" hidden="false" customHeight="true" outlineLevel="0" collapsed="false">
      <c r="A2205" s="16" t="s">
        <v>48</v>
      </c>
      <c r="B2205" s="42" t="s">
        <v>155</v>
      </c>
      <c r="C2205" s="42" t="s">
        <v>162</v>
      </c>
      <c r="D2205" s="43" t="n">
        <v>15</v>
      </c>
      <c r="E2205" s="44" t="n">
        <v>3.69</v>
      </c>
      <c r="F2205" s="54" t="n">
        <f aca="false">IFERROR(D2205*E2205,0)</f>
        <v>55.35</v>
      </c>
      <c r="G2205" s="42" t="str">
        <f aca="false">INDEX(SETORES!$B:$B,MATCH(A2205,SETORES!$A:$A,0))</f>
        <v>Clientes</v>
      </c>
      <c r="H2205" s="42" t="s">
        <v>20</v>
      </c>
    </row>
    <row r="2206" customFormat="false" ht="14.25" hidden="false" customHeight="true" outlineLevel="0" collapsed="false">
      <c r="A2206" s="50" t="s">
        <v>48</v>
      </c>
      <c r="B2206" s="51" t="s">
        <v>155</v>
      </c>
      <c r="C2206" s="51" t="s">
        <v>163</v>
      </c>
      <c r="D2206" s="52" t="n">
        <v>7</v>
      </c>
      <c r="E2206" s="53" t="n">
        <v>30</v>
      </c>
      <c r="F2206" s="54" t="n">
        <f aca="false">IFERROR(D2206*E2206,0)</f>
        <v>210</v>
      </c>
      <c r="G2206" s="51" t="str">
        <f aca="false">INDEX(SETORES!$B:$B,MATCH(A2206,SETORES!$A:$A,0))</f>
        <v>Clientes</v>
      </c>
      <c r="H2206" s="51" t="s">
        <v>20</v>
      </c>
    </row>
    <row r="2207" customFormat="false" ht="14.25" hidden="false" customHeight="true" outlineLevel="0" collapsed="false">
      <c r="A2207" s="16" t="s">
        <v>48</v>
      </c>
      <c r="B2207" s="42" t="s">
        <v>157</v>
      </c>
      <c r="C2207" s="42" t="s">
        <v>199</v>
      </c>
      <c r="D2207" s="43" t="n">
        <v>1</v>
      </c>
      <c r="E2207" s="44" t="n">
        <v>53498.33</v>
      </c>
      <c r="F2207" s="45" t="n">
        <f aca="false">IFERROR(D2207*E2207,0)</f>
        <v>53498.33</v>
      </c>
      <c r="G2207" s="42" t="str">
        <f aca="false">INDEX(SETORES!$B:$B,MATCH(A2207,SETORES!$A:$A,0))</f>
        <v>Clientes</v>
      </c>
      <c r="H2207" s="42" t="s">
        <v>20</v>
      </c>
    </row>
    <row r="2208" customFormat="false" ht="14.25" hidden="false" customHeight="true" outlineLevel="0" collapsed="false">
      <c r="A2208" s="16" t="s">
        <v>48</v>
      </c>
      <c r="B2208" s="42" t="s">
        <v>155</v>
      </c>
      <c r="C2208" s="42" t="s">
        <v>220</v>
      </c>
      <c r="D2208" s="43" t="n">
        <v>1</v>
      </c>
      <c r="E2208" s="44" t="n">
        <v>9389.277632</v>
      </c>
      <c r="F2208" s="45" t="n">
        <v>9389.277632</v>
      </c>
      <c r="G2208" s="42" t="s">
        <v>97</v>
      </c>
      <c r="H2208" s="42" t="s">
        <v>20</v>
      </c>
    </row>
    <row r="2209" customFormat="false" ht="14.25" hidden="false" customHeight="true" outlineLevel="0" collapsed="false">
      <c r="A2209" s="50" t="s">
        <v>48</v>
      </c>
      <c r="B2209" s="51" t="s">
        <v>155</v>
      </c>
      <c r="C2209" s="51" t="s">
        <v>165</v>
      </c>
      <c r="D2209" s="52" t="n">
        <v>15</v>
      </c>
      <c r="E2209" s="53" t="n">
        <v>47.79</v>
      </c>
      <c r="F2209" s="54" t="n">
        <f aca="false">IFERROR(D2209*E2209,0)</f>
        <v>716.85</v>
      </c>
      <c r="G2209" s="42" t="s">
        <v>99</v>
      </c>
      <c r="H2209" s="51" t="s">
        <v>20</v>
      </c>
    </row>
    <row r="2210" customFormat="false" ht="14.25" hidden="false" customHeight="true" outlineLevel="0" collapsed="false">
      <c r="A2210" s="16" t="s">
        <v>48</v>
      </c>
      <c r="B2210" s="42" t="s">
        <v>155</v>
      </c>
      <c r="C2210" s="42" t="s">
        <v>166</v>
      </c>
      <c r="D2210" s="43" t="n">
        <v>15</v>
      </c>
      <c r="E2210" s="44" t="n">
        <v>28.31</v>
      </c>
      <c r="F2210" s="45" t="n">
        <v>339.72</v>
      </c>
      <c r="G2210" s="51" t="s">
        <v>99</v>
      </c>
      <c r="H2210" s="42" t="s">
        <v>20</v>
      </c>
    </row>
    <row r="2211" customFormat="false" ht="14.25" hidden="false" customHeight="true" outlineLevel="0" collapsed="false">
      <c r="A2211" s="50" t="s">
        <v>48</v>
      </c>
      <c r="B2211" s="51" t="s">
        <v>155</v>
      </c>
      <c r="C2211" s="51" t="s">
        <v>167</v>
      </c>
      <c r="D2211" s="52" t="n">
        <v>15</v>
      </c>
      <c r="E2211" s="53" t="n">
        <v>64.57</v>
      </c>
      <c r="F2211" s="54" t="n">
        <v>774.84</v>
      </c>
      <c r="G2211" s="51" t="s">
        <v>99</v>
      </c>
      <c r="H2211" s="51" t="s">
        <v>20</v>
      </c>
    </row>
    <row r="2212" customFormat="false" ht="14.25" hidden="false" customHeight="true" outlineLevel="0" collapsed="false">
      <c r="A2212" s="16" t="s">
        <v>48</v>
      </c>
      <c r="B2212" s="42" t="s">
        <v>155</v>
      </c>
      <c r="C2212" s="42" t="s">
        <v>168</v>
      </c>
      <c r="D2212" s="43" t="n">
        <v>15</v>
      </c>
      <c r="E2212" s="53" t="n">
        <v>185.92</v>
      </c>
      <c r="F2212" s="54" t="n">
        <f aca="false">IFERROR(D2212*E2212,0)</f>
        <v>2788.8</v>
      </c>
      <c r="G2212" s="42" t="str">
        <f aca="false">INDEX(SETORES!$B:$B,MATCH(A2212,SETORES!$A:$A,0))</f>
        <v>Clientes</v>
      </c>
      <c r="H2212" s="42" t="s">
        <v>20</v>
      </c>
    </row>
    <row r="2213" customFormat="false" ht="14.25" hidden="false" customHeight="true" outlineLevel="0" collapsed="false">
      <c r="A2213" s="16" t="s">
        <v>48</v>
      </c>
      <c r="B2213" s="42" t="s">
        <v>157</v>
      </c>
      <c r="C2213" s="42" t="s">
        <v>217</v>
      </c>
      <c r="D2213" s="43" t="n">
        <v>1</v>
      </c>
      <c r="E2213" s="44" t="n">
        <v>56</v>
      </c>
      <c r="F2213" s="45" t="n">
        <f aca="false">IFERROR(D2213*E2213,0)</f>
        <v>56</v>
      </c>
      <c r="G2213" s="42" t="str">
        <f aca="false">INDEX(SETORES!$B:$B,MATCH(A2213,SETORES!$A:$A,0))</f>
        <v>Clientes</v>
      </c>
      <c r="H2213" s="42" t="s">
        <v>20</v>
      </c>
    </row>
    <row r="2214" customFormat="false" ht="14.25" hidden="false" customHeight="true" outlineLevel="0" collapsed="false">
      <c r="A2214" s="16" t="s">
        <v>48</v>
      </c>
      <c r="B2214" s="42" t="s">
        <v>157</v>
      </c>
      <c r="C2214" s="42" t="s">
        <v>175</v>
      </c>
      <c r="D2214" s="43" t="n">
        <v>1</v>
      </c>
      <c r="E2214" s="44" t="n">
        <v>272</v>
      </c>
      <c r="F2214" s="45" t="n">
        <f aca="false">IFERROR(D2214*E2214,0)</f>
        <v>272</v>
      </c>
      <c r="G2214" s="42" t="str">
        <f aca="false">INDEX(SETORES!$B:$B,MATCH(A2214,SETORES!$A:$A,0))</f>
        <v>Clientes</v>
      </c>
      <c r="H2214" s="42" t="s">
        <v>20</v>
      </c>
    </row>
    <row r="2215" customFormat="false" ht="14.25" hidden="false" customHeight="true" outlineLevel="0" collapsed="false">
      <c r="A2215" s="50" t="s">
        <v>48</v>
      </c>
      <c r="B2215" s="51" t="s">
        <v>157</v>
      </c>
      <c r="C2215" s="51" t="s">
        <v>176</v>
      </c>
      <c r="D2215" s="52"/>
      <c r="E2215" s="53"/>
      <c r="F2215" s="54" t="n">
        <f aca="false">IFERROR(D2215*E2215,0)</f>
        <v>0</v>
      </c>
      <c r="G2215" s="51" t="str">
        <f aca="false">INDEX(SETORES!$B:$B,MATCH(A2215,SETORES!$A:$A,0))</f>
        <v>Clientes</v>
      </c>
      <c r="H2215" s="51" t="s">
        <v>20</v>
      </c>
    </row>
    <row r="2216" customFormat="false" ht="14.25" hidden="false" customHeight="true" outlineLevel="0" collapsed="false">
      <c r="A2216" s="50" t="s">
        <v>48</v>
      </c>
      <c r="B2216" s="51" t="s">
        <v>155</v>
      </c>
      <c r="C2216" s="51" t="s">
        <v>169</v>
      </c>
      <c r="D2216" s="52" t="n">
        <v>1</v>
      </c>
      <c r="E2216" s="53" t="n">
        <v>49817.213157</v>
      </c>
      <c r="F2216" s="54" t="n">
        <v>49817.213157</v>
      </c>
      <c r="G2216" s="51" t="str">
        <f aca="false">INDEX(SETORES!$B:$B,MATCH(A2216,SETORES!$A:$A,0))</f>
        <v>Clientes</v>
      </c>
      <c r="H2216" s="51" t="s">
        <v>20</v>
      </c>
    </row>
    <row r="2217" customFormat="false" ht="14.25" hidden="false" customHeight="true" outlineLevel="0" collapsed="false">
      <c r="A2217" s="50" t="s">
        <v>48</v>
      </c>
      <c r="B2217" s="51" t="s">
        <v>155</v>
      </c>
      <c r="C2217" s="51" t="s">
        <v>170</v>
      </c>
      <c r="D2217" s="52" t="n">
        <v>15</v>
      </c>
      <c r="E2217" s="53" t="n">
        <v>10.05</v>
      </c>
      <c r="F2217" s="54" t="n">
        <v>120.6</v>
      </c>
      <c r="G2217" s="51" t="str">
        <f aca="false">INDEX(SETORES!$B:$B,MATCH(A2217,SETORES!$A:$A,0))</f>
        <v>Clientes</v>
      </c>
      <c r="H2217" s="51" t="s">
        <v>20</v>
      </c>
    </row>
    <row r="2218" customFormat="false" ht="14.25" hidden="false" customHeight="true" outlineLevel="0" collapsed="false">
      <c r="A2218" s="16" t="s">
        <v>48</v>
      </c>
      <c r="B2218" s="42" t="s">
        <v>155</v>
      </c>
      <c r="C2218" s="42" t="s">
        <v>172</v>
      </c>
      <c r="D2218" s="43" t="n">
        <v>4</v>
      </c>
      <c r="E2218" s="44" t="n">
        <v>50</v>
      </c>
      <c r="F2218" s="45" t="n">
        <f aca="false">IFERROR(D2218*E2218,0)</f>
        <v>200</v>
      </c>
      <c r="G2218" s="42" t="str">
        <f aca="false">INDEX(SETORES!$B:$B,MATCH(A2218,SETORES!$A:$A,0))</f>
        <v>Clientes</v>
      </c>
      <c r="H2218" s="42" t="s">
        <v>20</v>
      </c>
    </row>
    <row r="2219" customFormat="false" ht="14.25" hidden="false" customHeight="true" outlineLevel="0" collapsed="false">
      <c r="A2219" s="50" t="s">
        <v>48</v>
      </c>
      <c r="B2219" s="51" t="s">
        <v>157</v>
      </c>
      <c r="C2219" s="51" t="s">
        <v>221</v>
      </c>
      <c r="D2219" s="52"/>
      <c r="E2219" s="53"/>
      <c r="F2219" s="54" t="n">
        <f aca="false">IFERROR(D2219*E2219,0)</f>
        <v>0</v>
      </c>
      <c r="G2219" s="51" t="str">
        <f aca="false">INDEX(SETORES!$B:$B,MATCH(A2219,SETORES!$A:$A,0))</f>
        <v>Clientes</v>
      </c>
      <c r="H2219" s="51" t="s">
        <v>20</v>
      </c>
    </row>
    <row r="2220" customFormat="false" ht="14.25" hidden="false" customHeight="true" outlineLevel="0" collapsed="false">
      <c r="A2220" s="16" t="s">
        <v>48</v>
      </c>
      <c r="B2220" s="42" t="s">
        <v>155</v>
      </c>
      <c r="C2220" s="42" t="s">
        <v>177</v>
      </c>
      <c r="D2220" s="43"/>
      <c r="E2220" s="44"/>
      <c r="F2220" s="45" t="n">
        <v>0</v>
      </c>
      <c r="G2220" s="42" t="str">
        <f aca="false">INDEX(SETORES!$B:$B,MATCH(A2220,SETORES!$A:$A,0))</f>
        <v>Clientes</v>
      </c>
      <c r="H2220" s="42" t="s">
        <v>20</v>
      </c>
    </row>
    <row r="2221" customFormat="false" ht="14.25" hidden="false" customHeight="true" outlineLevel="0" collapsed="false">
      <c r="A2221" s="50" t="s">
        <v>48</v>
      </c>
      <c r="B2221" s="51" t="s">
        <v>155</v>
      </c>
      <c r="C2221" s="51" t="s">
        <v>178</v>
      </c>
      <c r="D2221" s="52"/>
      <c r="E2221" s="53"/>
      <c r="F2221" s="54" t="n">
        <v>0</v>
      </c>
      <c r="G2221" s="51" t="str">
        <f aca="false">INDEX(SETORES!$B:$B,MATCH(A2221,SETORES!$A:$A,0))</f>
        <v>Clientes</v>
      </c>
      <c r="H2221" s="51" t="s">
        <v>20</v>
      </c>
    </row>
    <row r="2222" customFormat="false" ht="14.25" hidden="false" customHeight="true" outlineLevel="0" collapsed="false">
      <c r="A2222" s="50" t="s">
        <v>48</v>
      </c>
      <c r="B2222" s="51" t="s">
        <v>157</v>
      </c>
      <c r="C2222" s="51" t="s">
        <v>184</v>
      </c>
      <c r="D2222" s="52" t="n">
        <v>15</v>
      </c>
      <c r="E2222" s="53" t="n">
        <v>65.21</v>
      </c>
      <c r="F2222" s="54" t="n">
        <v>1074.6</v>
      </c>
      <c r="G2222" s="51" t="str">
        <f aca="false">INDEX(SETORES!$B:$B,MATCH(A2222,SETORES!$A:$A,0))</f>
        <v>Clientes</v>
      </c>
      <c r="H2222" s="51" t="s">
        <v>20</v>
      </c>
    </row>
    <row r="2223" customFormat="false" ht="14.25" hidden="false" customHeight="true" outlineLevel="0" collapsed="false">
      <c r="A2223" s="16" t="s">
        <v>48</v>
      </c>
      <c r="B2223" s="42" t="s">
        <v>157</v>
      </c>
      <c r="C2223" s="42" t="s">
        <v>158</v>
      </c>
      <c r="D2223" s="43"/>
      <c r="E2223" s="44"/>
      <c r="F2223" s="45" t="n">
        <f aca="false">IFERROR(D2223*E2223,0)</f>
        <v>0</v>
      </c>
      <c r="G2223" s="42" t="str">
        <f aca="false">INDEX(SETORES!$B:$B,MATCH(A2223,SETORES!$A:$A,0))</f>
        <v>Clientes</v>
      </c>
      <c r="H2223" s="42" t="s">
        <v>20</v>
      </c>
    </row>
    <row r="2224" customFormat="false" ht="14.25" hidden="false" customHeight="true" outlineLevel="0" collapsed="false">
      <c r="A2224" s="50" t="s">
        <v>48</v>
      </c>
      <c r="B2224" s="51" t="s">
        <v>155</v>
      </c>
      <c r="C2224" s="51" t="s">
        <v>222</v>
      </c>
      <c r="D2224" s="52" t="n">
        <v>1</v>
      </c>
      <c r="E2224" s="53" t="n">
        <v>2534</v>
      </c>
      <c r="F2224" s="54" t="n">
        <f aca="false">IFERROR(D2224*E2224,0)</f>
        <v>2534</v>
      </c>
      <c r="G2224" s="51" t="str">
        <f aca="false">INDEX(SETORES!$B:$B,MATCH(A2224,SETORES!$A:$A,0))</f>
        <v>Clientes</v>
      </c>
      <c r="H2224" s="51" t="s">
        <v>20</v>
      </c>
    </row>
    <row r="2225" customFormat="false" ht="14.25" hidden="false" customHeight="true" outlineLevel="0" collapsed="false">
      <c r="A2225" s="16" t="s">
        <v>48</v>
      </c>
      <c r="B2225" s="42" t="s">
        <v>155</v>
      </c>
      <c r="C2225" s="42" t="s">
        <v>173</v>
      </c>
      <c r="D2225" s="43" t="n">
        <v>15</v>
      </c>
      <c r="E2225" s="44" t="n">
        <v>2.07</v>
      </c>
      <c r="F2225" s="45" t="n">
        <v>24.84</v>
      </c>
      <c r="G2225" s="42" t="str">
        <f aca="false">INDEX(SETORES!$B:$B,MATCH(A2225,SETORES!$A:$A,0))</f>
        <v>Clientes</v>
      </c>
      <c r="H2225" s="42" t="s">
        <v>20</v>
      </c>
    </row>
    <row r="2226" customFormat="false" ht="14.25" hidden="false" customHeight="true" outlineLevel="0" collapsed="false">
      <c r="A2226" s="16" t="s">
        <v>48</v>
      </c>
      <c r="B2226" s="42" t="s">
        <v>155</v>
      </c>
      <c r="C2226" s="42" t="s">
        <v>179</v>
      </c>
      <c r="D2226" s="43"/>
      <c r="E2226" s="44"/>
      <c r="F2226" s="45" t="n">
        <f aca="false">IFERROR(D2226*E2226,0)</f>
        <v>0</v>
      </c>
      <c r="G2226" s="42" t="str">
        <f aca="false">INDEX(SETORES!$B:$B,MATCH(A2226,SETORES!$A:$A,0))</f>
        <v>Clientes</v>
      </c>
      <c r="H2226" s="42" t="s">
        <v>20</v>
      </c>
    </row>
    <row r="2227" customFormat="false" ht="14.25" hidden="false" customHeight="true" outlineLevel="0" collapsed="false">
      <c r="A2227" s="16" t="s">
        <v>47</v>
      </c>
      <c r="B2227" s="42" t="s">
        <v>155</v>
      </c>
      <c r="C2227" s="42" t="s">
        <v>162</v>
      </c>
      <c r="D2227" s="43"/>
      <c r="E2227" s="44"/>
      <c r="F2227" s="45" t="n">
        <f aca="false">IFERROR(D2227*E2227,0)</f>
        <v>0</v>
      </c>
      <c r="G2227" s="42" t="str">
        <f aca="false">INDEX(SETORES!$B:$B,MATCH(A2227,SETORES!$A:$A,0))</f>
        <v>Clientes</v>
      </c>
      <c r="H2227" s="42" t="s">
        <v>20</v>
      </c>
    </row>
    <row r="2228" customFormat="false" ht="14.25" hidden="false" customHeight="true" outlineLevel="0" collapsed="false">
      <c r="A2228" s="16" t="s">
        <v>47</v>
      </c>
      <c r="B2228" s="42" t="s">
        <v>155</v>
      </c>
      <c r="C2228" s="42" t="s">
        <v>163</v>
      </c>
      <c r="D2228" s="43" t="n">
        <v>7</v>
      </c>
      <c r="E2228" s="44" t="n">
        <v>30</v>
      </c>
      <c r="F2228" s="45" t="n">
        <f aca="false">IFERROR(D2228*E2228,0)</f>
        <v>210</v>
      </c>
      <c r="G2228" s="42" t="str">
        <f aca="false">INDEX(SETORES!$B:$B,MATCH(A2228,SETORES!$A:$A,0))</f>
        <v>Clientes</v>
      </c>
      <c r="H2228" s="42" t="s">
        <v>20</v>
      </c>
    </row>
    <row r="2229" customFormat="false" ht="14.25" hidden="false" customHeight="true" outlineLevel="0" collapsed="false">
      <c r="A2229" s="50" t="s">
        <v>47</v>
      </c>
      <c r="B2229" s="51" t="s">
        <v>157</v>
      </c>
      <c r="C2229" s="51" t="s">
        <v>199</v>
      </c>
      <c r="D2229" s="52" t="n">
        <v>1</v>
      </c>
      <c r="E2229" s="53" t="n">
        <v>14366.59</v>
      </c>
      <c r="F2229" s="54" t="n">
        <f aca="false">IFERROR(D2229*E2229,0)</f>
        <v>14366.59</v>
      </c>
      <c r="G2229" s="51" t="str">
        <f aca="false">INDEX(SETORES!$B:$B,MATCH(A2229,SETORES!$A:$A,0))</f>
        <v>Clientes</v>
      </c>
      <c r="H2229" s="51" t="s">
        <v>20</v>
      </c>
    </row>
    <row r="2230" customFormat="false" ht="14.25" hidden="false" customHeight="true" outlineLevel="0" collapsed="false">
      <c r="A2230" s="50" t="s">
        <v>47</v>
      </c>
      <c r="B2230" s="51" t="s">
        <v>155</v>
      </c>
      <c r="C2230" s="51" t="s">
        <v>205</v>
      </c>
      <c r="D2230" s="52" t="n">
        <v>1</v>
      </c>
      <c r="E2230" s="53" t="n">
        <v>2176.06</v>
      </c>
      <c r="F2230" s="54" t="n">
        <f aca="false">IFERROR(D2230*E2230,0)</f>
        <v>2176.06</v>
      </c>
      <c r="G2230" s="51" t="str">
        <f aca="false">INDEX(SETORES!$B:$B,MATCH(A2230,SETORES!$A:$A,0))</f>
        <v>Clientes</v>
      </c>
      <c r="H2230" s="51" t="s">
        <v>20</v>
      </c>
    </row>
    <row r="2231" customFormat="false" ht="14.25" hidden="false" customHeight="true" outlineLevel="0" collapsed="false">
      <c r="A2231" s="16" t="s">
        <v>47</v>
      </c>
      <c r="B2231" s="42" t="s">
        <v>155</v>
      </c>
      <c r="C2231" s="42" t="s">
        <v>165</v>
      </c>
      <c r="D2231" s="43" t="n">
        <v>12</v>
      </c>
      <c r="E2231" s="44" t="n">
        <v>47.79</v>
      </c>
      <c r="F2231" s="45" t="n">
        <f aca="false">IFERROR(D2231*E2231,0)</f>
        <v>573.48</v>
      </c>
      <c r="G2231" s="42" t="s">
        <v>99</v>
      </c>
      <c r="H2231" s="42" t="s">
        <v>20</v>
      </c>
    </row>
    <row r="2232" customFormat="false" ht="14.25" hidden="false" customHeight="true" outlineLevel="0" collapsed="false">
      <c r="A2232" s="50" t="s">
        <v>47</v>
      </c>
      <c r="B2232" s="51" t="s">
        <v>155</v>
      </c>
      <c r="C2232" s="51" t="s">
        <v>166</v>
      </c>
      <c r="D2232" s="52" t="n">
        <v>12</v>
      </c>
      <c r="E2232" s="53" t="n">
        <v>28.31</v>
      </c>
      <c r="F2232" s="54" t="n">
        <f aca="false">IFERROR(D2232*E2232,0)</f>
        <v>339.72</v>
      </c>
      <c r="G2232" s="51" t="s">
        <v>99</v>
      </c>
      <c r="H2232" s="51" t="s">
        <v>20</v>
      </c>
    </row>
    <row r="2233" customFormat="false" ht="14.25" hidden="false" customHeight="true" outlineLevel="0" collapsed="false">
      <c r="A2233" s="16" t="s">
        <v>47</v>
      </c>
      <c r="B2233" s="42" t="s">
        <v>155</v>
      </c>
      <c r="C2233" s="42" t="s">
        <v>167</v>
      </c>
      <c r="D2233" s="43" t="n">
        <v>12</v>
      </c>
      <c r="E2233" s="44" t="n">
        <v>64.57</v>
      </c>
      <c r="F2233" s="45" t="n">
        <f aca="false">IFERROR(D2233*E2233,0)</f>
        <v>774.84</v>
      </c>
      <c r="G2233" s="51" t="s">
        <v>99</v>
      </c>
      <c r="H2233" s="42" t="s">
        <v>20</v>
      </c>
    </row>
    <row r="2234" customFormat="false" ht="14.25" hidden="false" customHeight="true" outlineLevel="0" collapsed="false">
      <c r="A2234" s="16" t="s">
        <v>47</v>
      </c>
      <c r="B2234" s="42" t="s">
        <v>157</v>
      </c>
      <c r="C2234" s="42" t="s">
        <v>217</v>
      </c>
      <c r="D2234" s="43" t="n">
        <v>1</v>
      </c>
      <c r="E2234" s="44" t="n">
        <v>1478.5</v>
      </c>
      <c r="F2234" s="45" t="n">
        <f aca="false">IFERROR(D2234*E2234,0)</f>
        <v>1478.5</v>
      </c>
      <c r="G2234" s="42" t="str">
        <f aca="false">INDEX(SETORES!$B:$B,MATCH(A2234,SETORES!$A:$A,0))</f>
        <v>Clientes</v>
      </c>
      <c r="H2234" s="42" t="s">
        <v>20</v>
      </c>
    </row>
    <row r="2235" customFormat="false" ht="14.25" hidden="false" customHeight="true" outlineLevel="0" collapsed="false">
      <c r="A2235" s="16" t="s">
        <v>47</v>
      </c>
      <c r="B2235" s="42" t="s">
        <v>155</v>
      </c>
      <c r="C2235" s="42" t="s">
        <v>169</v>
      </c>
      <c r="D2235" s="43" t="n">
        <v>1</v>
      </c>
      <c r="E2235" s="44" t="n">
        <v>115351.05</v>
      </c>
      <c r="F2235" s="45" t="n">
        <f aca="false">IFERROR(E2235,0)</f>
        <v>115351.05</v>
      </c>
      <c r="G2235" s="42" t="str">
        <f aca="false">INDEX(SETORES!$B:$B,MATCH(A2235,SETORES!$A:$A,0))</f>
        <v>Clientes</v>
      </c>
      <c r="H2235" s="42" t="s">
        <v>20</v>
      </c>
    </row>
    <row r="2236" customFormat="false" ht="14.25" hidden="false" customHeight="true" outlineLevel="0" collapsed="false">
      <c r="A2236" s="16" t="s">
        <v>47</v>
      </c>
      <c r="B2236" s="42" t="s">
        <v>155</v>
      </c>
      <c r="C2236" s="42" t="s">
        <v>170</v>
      </c>
      <c r="D2236" s="43" t="n">
        <v>12</v>
      </c>
      <c r="E2236" s="44" t="n">
        <v>10.05</v>
      </c>
      <c r="F2236" s="45" t="n">
        <f aca="false">IFERROR(D2236*E2236,0)</f>
        <v>120.6</v>
      </c>
      <c r="G2236" s="42" t="str">
        <f aca="false">INDEX(SETORES!$B:$B,MATCH(A2236,SETORES!$A:$A,0))</f>
        <v>Clientes</v>
      </c>
      <c r="H2236" s="42" t="s">
        <v>20</v>
      </c>
    </row>
    <row r="2237" customFormat="false" ht="14.25" hidden="false" customHeight="true" outlineLevel="0" collapsed="false">
      <c r="A2237" s="50" t="s">
        <v>47</v>
      </c>
      <c r="B2237" s="51" t="s">
        <v>157</v>
      </c>
      <c r="C2237" s="51" t="s">
        <v>223</v>
      </c>
      <c r="D2237" s="52"/>
      <c r="E2237" s="53"/>
      <c r="F2237" s="54" t="n">
        <f aca="false">IFERROR(D2237*E2237,0)</f>
        <v>0</v>
      </c>
      <c r="G2237" s="51" t="str">
        <f aca="false">INDEX(SETORES!$B:$B,MATCH(A2237,SETORES!$A:$A,0))</f>
        <v>Clientes</v>
      </c>
      <c r="H2237" s="51" t="s">
        <v>20</v>
      </c>
    </row>
    <row r="2238" customFormat="false" ht="14.25" hidden="false" customHeight="true" outlineLevel="0" collapsed="false">
      <c r="A2238" s="16" t="s">
        <v>47</v>
      </c>
      <c r="B2238" s="42" t="s">
        <v>155</v>
      </c>
      <c r="C2238" s="42" t="s">
        <v>172</v>
      </c>
      <c r="D2238" s="43" t="n">
        <v>1</v>
      </c>
      <c r="E2238" s="44" t="n">
        <v>50</v>
      </c>
      <c r="F2238" s="45" t="n">
        <f aca="false">IFERROR(D2238*E2238,0)</f>
        <v>50</v>
      </c>
      <c r="G2238" s="42" t="str">
        <f aca="false">INDEX(SETORES!$B:$B,MATCH(A2238,SETORES!$A:$A,0))</f>
        <v>Clientes</v>
      </c>
      <c r="H2238" s="42" t="s">
        <v>20</v>
      </c>
    </row>
    <row r="2239" customFormat="false" ht="14.25" hidden="false" customHeight="true" outlineLevel="0" collapsed="false">
      <c r="A2239" s="16" t="s">
        <v>47</v>
      </c>
      <c r="B2239" s="42" t="s">
        <v>155</v>
      </c>
      <c r="C2239" s="42" t="s">
        <v>177</v>
      </c>
      <c r="D2239" s="43"/>
      <c r="E2239" s="44"/>
      <c r="F2239" s="45" t="n">
        <v>0</v>
      </c>
      <c r="G2239" s="42" t="str">
        <f aca="false">INDEX(SETORES!$B:$B,MATCH(A2239,SETORES!$A:$A,0))</f>
        <v>Clientes</v>
      </c>
      <c r="H2239" s="42" t="s">
        <v>20</v>
      </c>
    </row>
    <row r="2240" customFormat="false" ht="14.25" hidden="false" customHeight="true" outlineLevel="0" collapsed="false">
      <c r="A2240" s="50" t="s">
        <v>47</v>
      </c>
      <c r="B2240" s="51" t="s">
        <v>155</v>
      </c>
      <c r="C2240" s="51" t="s">
        <v>178</v>
      </c>
      <c r="D2240" s="52"/>
      <c r="E2240" s="53"/>
      <c r="F2240" s="54" t="n">
        <v>0</v>
      </c>
      <c r="G2240" s="51" t="str">
        <f aca="false">INDEX(SETORES!$B:$B,MATCH(A2240,SETORES!$A:$A,0))</f>
        <v>Clientes</v>
      </c>
      <c r="H2240" s="51" t="s">
        <v>20</v>
      </c>
    </row>
    <row r="2241" customFormat="false" ht="14.25" hidden="false" customHeight="true" outlineLevel="0" collapsed="false">
      <c r="A2241" s="50" t="s">
        <v>47</v>
      </c>
      <c r="B2241" s="51" t="s">
        <v>157</v>
      </c>
      <c r="C2241" s="51" t="s">
        <v>158</v>
      </c>
      <c r="D2241" s="52" t="n">
        <v>1</v>
      </c>
      <c r="E2241" s="53" t="n">
        <v>1954.84</v>
      </c>
      <c r="F2241" s="54" t="n">
        <f aca="false">IFERROR(D2241*E2241,0)</f>
        <v>1954.84</v>
      </c>
      <c r="G2241" s="51" t="str">
        <f aca="false">INDEX(SETORES!$B:$B,MATCH(A2241,SETORES!$A:$A,0))</f>
        <v>Clientes</v>
      </c>
      <c r="H2241" s="51" t="s">
        <v>20</v>
      </c>
    </row>
    <row r="2242" customFormat="false" ht="14.25" hidden="false" customHeight="true" outlineLevel="0" collapsed="false">
      <c r="A2242" s="50" t="s">
        <v>47</v>
      </c>
      <c r="B2242" s="51" t="s">
        <v>155</v>
      </c>
      <c r="C2242" s="51" t="s">
        <v>173</v>
      </c>
      <c r="D2242" s="52" t="n">
        <v>12</v>
      </c>
      <c r="E2242" s="53" t="n">
        <v>2.07</v>
      </c>
      <c r="F2242" s="54" t="n">
        <f aca="false">IFERROR(D2242*E2242,0)</f>
        <v>24.84</v>
      </c>
      <c r="G2242" s="51" t="str">
        <f aca="false">INDEX(SETORES!$B:$B,MATCH(A2242,SETORES!$A:$A,0))</f>
        <v>Clientes</v>
      </c>
      <c r="H2242" s="51" t="s">
        <v>20</v>
      </c>
    </row>
    <row r="2243" customFormat="false" ht="14.25" hidden="false" customHeight="true" outlineLevel="0" collapsed="false">
      <c r="A2243" s="50" t="s">
        <v>47</v>
      </c>
      <c r="B2243" s="51" t="s">
        <v>155</v>
      </c>
      <c r="C2243" s="51" t="s">
        <v>179</v>
      </c>
      <c r="D2243" s="52"/>
      <c r="E2243" s="53"/>
      <c r="F2243" s="54" t="n">
        <f aca="false">IFERROR(D2243*E2243,0)</f>
        <v>0</v>
      </c>
      <c r="G2243" s="51" t="str">
        <f aca="false">INDEX(SETORES!$B:$B,MATCH(A2243,SETORES!$A:$A,0))</f>
        <v>Clientes</v>
      </c>
      <c r="H2243" s="51" t="s">
        <v>20</v>
      </c>
    </row>
    <row r="2244" customFormat="false" ht="14.25" hidden="false" customHeight="true" outlineLevel="0" collapsed="false">
      <c r="A2244" s="50" t="s">
        <v>85</v>
      </c>
      <c r="B2244" s="51" t="s">
        <v>155</v>
      </c>
      <c r="C2244" s="51" t="s">
        <v>163</v>
      </c>
      <c r="D2244" s="52" t="n">
        <v>10</v>
      </c>
      <c r="E2244" s="53" t="n">
        <v>30</v>
      </c>
      <c r="F2244" s="54" t="n">
        <f aca="false">IFERROR(D2244*E2244,0)</f>
        <v>300</v>
      </c>
      <c r="G2244" s="51" t="str">
        <f aca="false">INDEX(SETORES!$B:$B,MATCH(A2244,SETORES!$A:$A,0))</f>
        <v>Clientes</v>
      </c>
      <c r="H2244" s="51" t="s">
        <v>20</v>
      </c>
    </row>
    <row r="2245" customFormat="false" ht="14.25" hidden="false" customHeight="true" outlineLevel="0" collapsed="false">
      <c r="A2245" s="50" t="s">
        <v>85</v>
      </c>
      <c r="B2245" s="51" t="s">
        <v>157</v>
      </c>
      <c r="C2245" s="51" t="s">
        <v>199</v>
      </c>
      <c r="D2245" s="52" t="n">
        <v>1</v>
      </c>
      <c r="E2245" s="53" t="n">
        <v>2716.71</v>
      </c>
      <c r="F2245" s="54" t="n">
        <f aca="false">IFERROR(D2245*E2245,0)</f>
        <v>2716.71</v>
      </c>
      <c r="G2245" s="51" t="str">
        <f aca="false">INDEX(SETORES!$B:$B,MATCH(A2245,SETORES!$A:$A,0))</f>
        <v>Clientes</v>
      </c>
      <c r="H2245" s="51" t="s">
        <v>20</v>
      </c>
    </row>
    <row r="2246" customFormat="false" ht="14.25" hidden="false" customHeight="true" outlineLevel="0" collapsed="false">
      <c r="A2246" s="50" t="s">
        <v>85</v>
      </c>
      <c r="B2246" s="51" t="s">
        <v>155</v>
      </c>
      <c r="C2246" s="51" t="s">
        <v>165</v>
      </c>
      <c r="D2246" s="52" t="n">
        <v>12</v>
      </c>
      <c r="E2246" s="53" t="n">
        <v>47.79</v>
      </c>
      <c r="F2246" s="54" t="n">
        <f aca="false">IFERROR(D2246*E2246,0)</f>
        <v>573.48</v>
      </c>
      <c r="G2246" s="42" t="s">
        <v>99</v>
      </c>
      <c r="H2246" s="51" t="s">
        <v>20</v>
      </c>
    </row>
    <row r="2247" customFormat="false" ht="14.25" hidden="false" customHeight="true" outlineLevel="0" collapsed="false">
      <c r="A2247" s="16" t="s">
        <v>85</v>
      </c>
      <c r="B2247" s="42" t="s">
        <v>155</v>
      </c>
      <c r="C2247" s="42" t="s">
        <v>166</v>
      </c>
      <c r="D2247" s="43" t="n">
        <v>12</v>
      </c>
      <c r="E2247" s="44" t="n">
        <v>28.31</v>
      </c>
      <c r="F2247" s="45" t="n">
        <f aca="false">IFERROR(D2247*E2247,0)</f>
        <v>339.72</v>
      </c>
      <c r="G2247" s="51" t="s">
        <v>99</v>
      </c>
      <c r="H2247" s="42" t="s">
        <v>20</v>
      </c>
    </row>
    <row r="2248" customFormat="false" ht="14.25" hidden="false" customHeight="true" outlineLevel="0" collapsed="false">
      <c r="A2248" s="16" t="s">
        <v>85</v>
      </c>
      <c r="B2248" s="42" t="s">
        <v>155</v>
      </c>
      <c r="C2248" s="42" t="s">
        <v>167</v>
      </c>
      <c r="D2248" s="43" t="n">
        <v>12</v>
      </c>
      <c r="E2248" s="44" t="n">
        <v>64.57</v>
      </c>
      <c r="F2248" s="45" t="n">
        <f aca="false">IFERROR(D2248*E2248,0)</f>
        <v>774.84</v>
      </c>
      <c r="G2248" s="51" t="s">
        <v>99</v>
      </c>
      <c r="H2248" s="42" t="s">
        <v>20</v>
      </c>
    </row>
    <row r="2249" customFormat="false" ht="14.25" hidden="false" customHeight="true" outlineLevel="0" collapsed="false">
      <c r="A2249" s="16" t="s">
        <v>85</v>
      </c>
      <c r="B2249" s="42" t="s">
        <v>155</v>
      </c>
      <c r="C2249" s="42" t="s">
        <v>168</v>
      </c>
      <c r="D2249" s="43" t="n">
        <v>1</v>
      </c>
      <c r="E2249" s="44" t="n">
        <v>102.1295</v>
      </c>
      <c r="F2249" s="45" t="n">
        <v>102.1295</v>
      </c>
      <c r="G2249" s="42" t="s">
        <v>97</v>
      </c>
      <c r="H2249" s="42" t="s">
        <v>20</v>
      </c>
    </row>
    <row r="2250" customFormat="false" ht="14.25" hidden="false" customHeight="true" outlineLevel="0" collapsed="false">
      <c r="A2250" s="16" t="s">
        <v>85</v>
      </c>
      <c r="B2250" s="42" t="s">
        <v>155</v>
      </c>
      <c r="C2250" s="42" t="s">
        <v>169</v>
      </c>
      <c r="D2250" s="43" t="n">
        <v>1</v>
      </c>
      <c r="E2250" s="44" t="n">
        <v>55569.77</v>
      </c>
      <c r="F2250" s="45" t="n">
        <f aca="false">IFERROR(E2250,0)</f>
        <v>55569.77</v>
      </c>
      <c r="G2250" s="42" t="str">
        <f aca="false">INDEX(SETORES!$B:$B,MATCH(A2250,SETORES!$A:$A,0))</f>
        <v>Clientes</v>
      </c>
      <c r="H2250" s="42" t="s">
        <v>20</v>
      </c>
    </row>
    <row r="2251" customFormat="false" ht="14.25" hidden="false" customHeight="true" outlineLevel="0" collapsed="false">
      <c r="A2251" s="50" t="s">
        <v>85</v>
      </c>
      <c r="B2251" s="51" t="s">
        <v>155</v>
      </c>
      <c r="C2251" s="51" t="s">
        <v>170</v>
      </c>
      <c r="D2251" s="52" t="n">
        <v>12</v>
      </c>
      <c r="E2251" s="53" t="n">
        <v>10.05</v>
      </c>
      <c r="F2251" s="54" t="n">
        <f aca="false">IFERROR(D2251*E2251,0)</f>
        <v>120.6</v>
      </c>
      <c r="G2251" s="51" t="str">
        <f aca="false">INDEX(SETORES!$B:$B,MATCH(A2251,SETORES!$A:$A,0))</f>
        <v>Clientes</v>
      </c>
      <c r="H2251" s="51" t="s">
        <v>20</v>
      </c>
    </row>
    <row r="2252" customFormat="false" ht="14.25" hidden="false" customHeight="true" outlineLevel="0" collapsed="false">
      <c r="A2252" s="50" t="s">
        <v>85</v>
      </c>
      <c r="B2252" s="51" t="s">
        <v>155</v>
      </c>
      <c r="C2252" s="51" t="s">
        <v>172</v>
      </c>
      <c r="D2252" s="52" t="n">
        <v>12</v>
      </c>
      <c r="E2252" s="53" t="n">
        <v>50</v>
      </c>
      <c r="F2252" s="54" t="n">
        <f aca="false">IFERROR(D2252*E2252,0)</f>
        <v>600</v>
      </c>
      <c r="G2252" s="51" t="str">
        <f aca="false">INDEX(SETORES!$B:$B,MATCH(A2252,SETORES!$A:$A,0))</f>
        <v>Clientes</v>
      </c>
      <c r="H2252" s="51" t="s">
        <v>20</v>
      </c>
    </row>
    <row r="2253" customFormat="false" ht="14.25" hidden="false" customHeight="true" outlineLevel="0" collapsed="false">
      <c r="A2253" s="50" t="s">
        <v>85</v>
      </c>
      <c r="B2253" s="51" t="s">
        <v>157</v>
      </c>
      <c r="C2253" s="51" t="s">
        <v>158</v>
      </c>
      <c r="D2253" s="52"/>
      <c r="E2253" s="53"/>
      <c r="F2253" s="54" t="n">
        <f aca="false">IFERROR(D2253*E2253,0)</f>
        <v>0</v>
      </c>
      <c r="G2253" s="51" t="str">
        <f aca="false">INDEX(SETORES!$B:$B,MATCH(A2253,SETORES!$A:$A,0))</f>
        <v>Clientes</v>
      </c>
      <c r="H2253" s="51" t="s">
        <v>20</v>
      </c>
    </row>
    <row r="2254" customFormat="false" ht="14.25" hidden="false" customHeight="true" outlineLevel="0" collapsed="false">
      <c r="A2254" s="16" t="s">
        <v>85</v>
      </c>
      <c r="B2254" s="42" t="s">
        <v>155</v>
      </c>
      <c r="C2254" s="42" t="s">
        <v>173</v>
      </c>
      <c r="D2254" s="43" t="n">
        <v>12</v>
      </c>
      <c r="E2254" s="44" t="n">
        <v>2.07</v>
      </c>
      <c r="F2254" s="45" t="n">
        <f aca="false">IFERROR(D2254*E2254,0)</f>
        <v>24.84</v>
      </c>
      <c r="G2254" s="42" t="str">
        <f aca="false">INDEX(SETORES!$B:$B,MATCH(A2254,SETORES!$A:$A,0))</f>
        <v>Clientes</v>
      </c>
      <c r="H2254" s="42" t="s">
        <v>20</v>
      </c>
    </row>
    <row r="2255" customFormat="false" ht="14.25" hidden="false" customHeight="true" outlineLevel="0" collapsed="false">
      <c r="A2255" s="16" t="s">
        <v>31</v>
      </c>
      <c r="B2255" s="42" t="s">
        <v>155</v>
      </c>
      <c r="C2255" s="42" t="s">
        <v>162</v>
      </c>
      <c r="D2255" s="43" t="n">
        <v>1</v>
      </c>
      <c r="E2255" s="44" t="n">
        <v>0</v>
      </c>
      <c r="F2255" s="45" t="n">
        <v>0</v>
      </c>
      <c r="G2255" s="42" t="str">
        <f aca="false">INDEX(SETORES!$B:$B,MATCH(A2255,SETORES!$A:$A,0))</f>
        <v>Clientes</v>
      </c>
      <c r="H2255" s="42" t="s">
        <v>20</v>
      </c>
    </row>
    <row r="2256" customFormat="false" ht="14.25" hidden="false" customHeight="true" outlineLevel="0" collapsed="false">
      <c r="A2256" s="16" t="s">
        <v>31</v>
      </c>
      <c r="B2256" s="42" t="s">
        <v>155</v>
      </c>
      <c r="C2256" s="42" t="s">
        <v>163</v>
      </c>
      <c r="D2256" s="43" t="n">
        <v>3</v>
      </c>
      <c r="E2256" s="44" t="n">
        <v>30</v>
      </c>
      <c r="F2256" s="45" t="n">
        <f aca="false">IFERROR(D2256*E2256,0)</f>
        <v>90</v>
      </c>
      <c r="G2256" s="42" t="str">
        <f aca="false">INDEX(SETORES!$B:$B,MATCH(A2256,SETORES!$A:$A,0))</f>
        <v>Clientes</v>
      </c>
      <c r="H2256" s="42" t="s">
        <v>20</v>
      </c>
    </row>
    <row r="2257" customFormat="false" ht="14.25" hidden="false" customHeight="true" outlineLevel="0" collapsed="false">
      <c r="A2257" s="16" t="s">
        <v>31</v>
      </c>
      <c r="B2257" s="42" t="s">
        <v>157</v>
      </c>
      <c r="C2257" s="42" t="s">
        <v>199</v>
      </c>
      <c r="D2257" s="43" t="n">
        <v>1</v>
      </c>
      <c r="E2257" s="44" t="n">
        <v>2859.16</v>
      </c>
      <c r="F2257" s="45" t="n">
        <f aca="false">IFERROR(D2257*E2257,0)</f>
        <v>2859.16</v>
      </c>
      <c r="G2257" s="42" t="str">
        <f aca="false">INDEX(SETORES!$B:$B,MATCH(A2257,SETORES!$A:$A,0))</f>
        <v>Clientes</v>
      </c>
      <c r="H2257" s="42" t="s">
        <v>20</v>
      </c>
    </row>
    <row r="2258" customFormat="false" ht="14.25" hidden="false" customHeight="true" outlineLevel="0" collapsed="false">
      <c r="A2258" s="50" t="s">
        <v>31</v>
      </c>
      <c r="B2258" s="51" t="s">
        <v>155</v>
      </c>
      <c r="C2258" s="51" t="s">
        <v>165</v>
      </c>
      <c r="D2258" s="52" t="n">
        <v>4</v>
      </c>
      <c r="E2258" s="53" t="n">
        <v>47.79</v>
      </c>
      <c r="F2258" s="54" t="n">
        <f aca="false">IFERROR(D2258*E2258,0)</f>
        <v>191.16</v>
      </c>
      <c r="G2258" s="42" t="s">
        <v>99</v>
      </c>
      <c r="H2258" s="51" t="s">
        <v>20</v>
      </c>
    </row>
    <row r="2259" customFormat="false" ht="14.25" hidden="false" customHeight="true" outlineLevel="0" collapsed="false">
      <c r="A2259" s="16" t="s">
        <v>31</v>
      </c>
      <c r="B2259" s="42" t="s">
        <v>155</v>
      </c>
      <c r="C2259" s="42" t="s">
        <v>166</v>
      </c>
      <c r="D2259" s="43" t="n">
        <v>4</v>
      </c>
      <c r="E2259" s="44" t="n">
        <v>28.31</v>
      </c>
      <c r="F2259" s="45" t="n">
        <f aca="false">IFERROR(D2259*E2259,0)</f>
        <v>113.24</v>
      </c>
      <c r="G2259" s="51" t="s">
        <v>99</v>
      </c>
      <c r="H2259" s="42" t="s">
        <v>20</v>
      </c>
    </row>
    <row r="2260" customFormat="false" ht="14.25" hidden="false" customHeight="true" outlineLevel="0" collapsed="false">
      <c r="A2260" s="50" t="s">
        <v>31</v>
      </c>
      <c r="B2260" s="51" t="s">
        <v>155</v>
      </c>
      <c r="C2260" s="51" t="s">
        <v>167</v>
      </c>
      <c r="D2260" s="52" t="n">
        <v>4</v>
      </c>
      <c r="E2260" s="53" t="n">
        <v>64.57</v>
      </c>
      <c r="F2260" s="54" t="n">
        <f aca="false">IFERROR(D2260*E2260,0)</f>
        <v>258.28</v>
      </c>
      <c r="G2260" s="51" t="s">
        <v>99</v>
      </c>
      <c r="H2260" s="51" t="s">
        <v>20</v>
      </c>
    </row>
    <row r="2261" customFormat="false" ht="14.25" hidden="false" customHeight="true" outlineLevel="0" collapsed="false">
      <c r="A2261" s="50" t="s">
        <v>31</v>
      </c>
      <c r="B2261" s="51" t="s">
        <v>155</v>
      </c>
      <c r="C2261" s="51" t="s">
        <v>168</v>
      </c>
      <c r="D2261" s="52" t="n">
        <v>1</v>
      </c>
      <c r="E2261" s="53" t="n">
        <v>34.0432</v>
      </c>
      <c r="F2261" s="54" t="n">
        <v>34.0432</v>
      </c>
      <c r="G2261" s="51" t="str">
        <f aca="false">INDEX(SETORES!$B:$B,MATCH(A2261,SETORES!$A:$A,0))</f>
        <v>Clientes</v>
      </c>
      <c r="H2261" s="51" t="s">
        <v>20</v>
      </c>
    </row>
    <row r="2262" customFormat="false" ht="14.25" hidden="false" customHeight="true" outlineLevel="0" collapsed="false">
      <c r="A2262" s="16" t="s">
        <v>31</v>
      </c>
      <c r="B2262" s="42" t="s">
        <v>155</v>
      </c>
      <c r="C2262" s="42" t="s">
        <v>169</v>
      </c>
      <c r="D2262" s="43" t="n">
        <v>1</v>
      </c>
      <c r="E2262" s="44" t="n">
        <v>44988.49</v>
      </c>
      <c r="F2262" s="45" t="n">
        <f aca="false">IFERROR(E2262,0)</f>
        <v>44988.49</v>
      </c>
      <c r="G2262" s="42" t="str">
        <f aca="false">INDEX(SETORES!$B:$B,MATCH(A2262,SETORES!$A:$A,0))</f>
        <v>Clientes</v>
      </c>
      <c r="H2262" s="42" t="s">
        <v>20</v>
      </c>
    </row>
    <row r="2263" customFormat="false" ht="14.25" hidden="false" customHeight="true" outlineLevel="0" collapsed="false">
      <c r="A2263" s="50" t="s">
        <v>31</v>
      </c>
      <c r="B2263" s="51" t="s">
        <v>155</v>
      </c>
      <c r="C2263" s="51" t="s">
        <v>170</v>
      </c>
      <c r="D2263" s="52" t="n">
        <v>4</v>
      </c>
      <c r="E2263" s="53" t="n">
        <v>10.05</v>
      </c>
      <c r="F2263" s="54" t="n">
        <f aca="false">IFERROR(D2263*E2263,0)</f>
        <v>40.2</v>
      </c>
      <c r="G2263" s="51" t="str">
        <f aca="false">INDEX(SETORES!$B:$B,MATCH(A2263,SETORES!$A:$A,0))</f>
        <v>Clientes</v>
      </c>
      <c r="H2263" s="51" t="s">
        <v>20</v>
      </c>
    </row>
    <row r="2264" customFormat="false" ht="14.25" hidden="false" customHeight="true" outlineLevel="0" collapsed="false">
      <c r="A2264" s="50" t="s">
        <v>31</v>
      </c>
      <c r="B2264" s="51" t="s">
        <v>155</v>
      </c>
      <c r="C2264" s="51" t="s">
        <v>172</v>
      </c>
      <c r="D2264" s="52" t="n">
        <v>4</v>
      </c>
      <c r="E2264" s="53" t="n">
        <v>50</v>
      </c>
      <c r="F2264" s="54" t="n">
        <f aca="false">IFERROR(D2264*E2264,0)</f>
        <v>200</v>
      </c>
      <c r="G2264" s="51" t="str">
        <f aca="false">INDEX(SETORES!$B:$B,MATCH(A2264,SETORES!$A:$A,0))</f>
        <v>Clientes</v>
      </c>
      <c r="H2264" s="51" t="s">
        <v>20</v>
      </c>
    </row>
    <row r="2265" customFormat="false" ht="14.25" hidden="false" customHeight="true" outlineLevel="0" collapsed="false">
      <c r="A2265" s="50" t="s">
        <v>31</v>
      </c>
      <c r="B2265" s="51" t="s">
        <v>155</v>
      </c>
      <c r="C2265" s="51" t="s">
        <v>246</v>
      </c>
      <c r="D2265" s="52"/>
      <c r="E2265" s="53"/>
      <c r="F2265" s="54" t="n">
        <f aca="false">IFERROR(D2265*E2265,0)</f>
        <v>0</v>
      </c>
      <c r="G2265" s="51" t="str">
        <f aca="false">INDEX(SETORES!$B:$B,MATCH(A2265,SETORES!$A:$A,0))</f>
        <v>Clientes</v>
      </c>
      <c r="H2265" s="51" t="s">
        <v>20</v>
      </c>
    </row>
    <row r="2266" customFormat="false" ht="14.25" hidden="false" customHeight="true" outlineLevel="0" collapsed="false">
      <c r="A2266" s="50" t="s">
        <v>31</v>
      </c>
      <c r="B2266" s="51" t="s">
        <v>155</v>
      </c>
      <c r="C2266" s="51" t="s">
        <v>177</v>
      </c>
      <c r="D2266" s="52"/>
      <c r="E2266" s="53"/>
      <c r="F2266" s="54" t="n">
        <v>0</v>
      </c>
      <c r="G2266" s="51" t="str">
        <f aca="false">INDEX(SETORES!$B:$B,MATCH(A2266,SETORES!$A:$A,0))</f>
        <v>Clientes</v>
      </c>
      <c r="H2266" s="51" t="s">
        <v>20</v>
      </c>
    </row>
    <row r="2267" customFormat="false" ht="14.25" hidden="false" customHeight="true" outlineLevel="0" collapsed="false">
      <c r="A2267" s="16" t="s">
        <v>31</v>
      </c>
      <c r="B2267" s="42" t="s">
        <v>155</v>
      </c>
      <c r="C2267" s="42" t="s">
        <v>178</v>
      </c>
      <c r="D2267" s="43"/>
      <c r="E2267" s="44"/>
      <c r="F2267" s="45" t="n">
        <v>0</v>
      </c>
      <c r="G2267" s="42" t="str">
        <f aca="false">INDEX(SETORES!$B:$B,MATCH(A2267,SETORES!$A:$A,0))</f>
        <v>Clientes</v>
      </c>
      <c r="H2267" s="42" t="s">
        <v>20</v>
      </c>
    </row>
    <row r="2268" customFormat="false" ht="14.25" hidden="false" customHeight="true" outlineLevel="0" collapsed="false">
      <c r="A2268" s="16" t="s">
        <v>31</v>
      </c>
      <c r="B2268" s="42" t="s">
        <v>155</v>
      </c>
      <c r="C2268" s="42" t="s">
        <v>173</v>
      </c>
      <c r="D2268" s="43" t="n">
        <v>4</v>
      </c>
      <c r="E2268" s="44" t="n">
        <v>2.07</v>
      </c>
      <c r="F2268" s="45" t="n">
        <f aca="false">IFERROR(D2268*E2268,0)</f>
        <v>8.28</v>
      </c>
      <c r="G2268" s="42" t="str">
        <f aca="false">INDEX(SETORES!$B:$B,MATCH(A2268,SETORES!$A:$A,0))</f>
        <v>Clientes</v>
      </c>
      <c r="H2268" s="42" t="s">
        <v>20</v>
      </c>
    </row>
    <row r="2269" customFormat="false" ht="14.25" hidden="false" customHeight="true" outlineLevel="0" collapsed="false">
      <c r="A2269" s="50" t="s">
        <v>31</v>
      </c>
      <c r="B2269" s="51" t="s">
        <v>155</v>
      </c>
      <c r="C2269" s="51" t="s">
        <v>179</v>
      </c>
      <c r="D2269" s="52"/>
      <c r="E2269" s="53"/>
      <c r="F2269" s="54" t="n">
        <f aca="false">IFERROR(D2269*E2269,0)</f>
        <v>0</v>
      </c>
      <c r="G2269" s="51" t="str">
        <f aca="false">INDEX(SETORES!$B:$B,MATCH(A2269,SETORES!$A:$A,0))</f>
        <v>Clientes</v>
      </c>
      <c r="H2269" s="51" t="s">
        <v>20</v>
      </c>
    </row>
    <row r="2270" customFormat="false" ht="14.25" hidden="false" customHeight="true" outlineLevel="0" collapsed="false">
      <c r="A2270" s="50" t="s">
        <v>37</v>
      </c>
      <c r="B2270" s="51" t="s">
        <v>155</v>
      </c>
      <c r="C2270" s="51" t="s">
        <v>162</v>
      </c>
      <c r="D2270" s="52" t="n">
        <v>1</v>
      </c>
      <c r="E2270" s="53" t="n">
        <v>0</v>
      </c>
      <c r="F2270" s="54" t="n">
        <v>0</v>
      </c>
      <c r="G2270" s="51" t="str">
        <f aca="false">INDEX(SETORES!$B:$B,MATCH(A2270,SETORES!$A:$A,0))</f>
        <v>Clientes</v>
      </c>
      <c r="H2270" s="51" t="s">
        <v>20</v>
      </c>
    </row>
    <row r="2271" customFormat="false" ht="14.25" hidden="false" customHeight="true" outlineLevel="0" collapsed="false">
      <c r="A2271" s="50" t="s">
        <v>37</v>
      </c>
      <c r="B2271" s="51" t="s">
        <v>155</v>
      </c>
      <c r="C2271" s="51" t="s">
        <v>180</v>
      </c>
      <c r="D2271" s="52" t="n">
        <v>1</v>
      </c>
      <c r="E2271" s="53" t="n">
        <v>4985.26</v>
      </c>
      <c r="F2271" s="54" t="n">
        <f aca="false">IFERROR(D2271*E2271,0)</f>
        <v>4985.26</v>
      </c>
      <c r="G2271" s="51" t="str">
        <f aca="false">INDEX(SETORES!$B:$B,MATCH(A2271,SETORES!$A:$A,0))</f>
        <v>Clientes</v>
      </c>
      <c r="H2271" s="51" t="s">
        <v>20</v>
      </c>
    </row>
    <row r="2272" customFormat="false" ht="14.25" hidden="false" customHeight="true" outlineLevel="0" collapsed="false">
      <c r="A2272" s="50" t="s">
        <v>37</v>
      </c>
      <c r="B2272" s="51" t="s">
        <v>155</v>
      </c>
      <c r="C2272" s="51" t="s">
        <v>165</v>
      </c>
      <c r="D2272" s="52" t="n">
        <v>41</v>
      </c>
      <c r="E2272" s="53" t="n">
        <v>47.79</v>
      </c>
      <c r="F2272" s="54" t="n">
        <f aca="false">IFERROR(D2272*E2272,0)</f>
        <v>1959.39</v>
      </c>
      <c r="G2272" s="42" t="s">
        <v>99</v>
      </c>
      <c r="H2272" s="51" t="s">
        <v>20</v>
      </c>
    </row>
    <row r="2273" customFormat="false" ht="14.25" hidden="false" customHeight="true" outlineLevel="0" collapsed="false">
      <c r="A2273" s="16" t="s">
        <v>37</v>
      </c>
      <c r="B2273" s="42" t="s">
        <v>155</v>
      </c>
      <c r="C2273" s="42" t="s">
        <v>166</v>
      </c>
      <c r="D2273" s="43" t="n">
        <v>41</v>
      </c>
      <c r="E2273" s="44" t="n">
        <v>28.31</v>
      </c>
      <c r="F2273" s="45" t="n">
        <f aca="false">IFERROR(D2273*E2273,0)</f>
        <v>1160.71</v>
      </c>
      <c r="G2273" s="51" t="s">
        <v>99</v>
      </c>
      <c r="H2273" s="42" t="s">
        <v>20</v>
      </c>
    </row>
    <row r="2274" customFormat="false" ht="14.25" hidden="false" customHeight="true" outlineLevel="0" collapsed="false">
      <c r="A2274" s="50" t="s">
        <v>37</v>
      </c>
      <c r="B2274" s="51" t="s">
        <v>155</v>
      </c>
      <c r="C2274" s="51" t="s">
        <v>167</v>
      </c>
      <c r="D2274" s="52" t="n">
        <v>41</v>
      </c>
      <c r="E2274" s="53" t="n">
        <v>64.57</v>
      </c>
      <c r="F2274" s="54" t="n">
        <f aca="false">IFERROR(D2274*E2274,0)</f>
        <v>2647.37</v>
      </c>
      <c r="G2274" s="51" t="s">
        <v>99</v>
      </c>
      <c r="H2274" s="51" t="s">
        <v>20</v>
      </c>
    </row>
    <row r="2275" customFormat="false" ht="14.25" hidden="false" customHeight="true" outlineLevel="0" collapsed="false">
      <c r="A2275" s="16" t="s">
        <v>37</v>
      </c>
      <c r="B2275" s="42" t="s">
        <v>157</v>
      </c>
      <c r="C2275" s="42" t="s">
        <v>247</v>
      </c>
      <c r="D2275" s="43" t="n">
        <v>1</v>
      </c>
      <c r="E2275" s="44" t="n">
        <v>242.73</v>
      </c>
      <c r="F2275" s="45" t="n">
        <f aca="false">IFERROR(D2275*E2275,0)</f>
        <v>242.73</v>
      </c>
      <c r="G2275" s="42" t="str">
        <f aca="false">INDEX(SETORES!$B:$B,MATCH(A2275,SETORES!$A:$A,0))</f>
        <v>Clientes</v>
      </c>
      <c r="H2275" s="42" t="s">
        <v>20</v>
      </c>
    </row>
    <row r="2276" customFormat="false" ht="14.25" hidden="false" customHeight="true" outlineLevel="0" collapsed="false">
      <c r="A2276" s="16" t="s">
        <v>37</v>
      </c>
      <c r="B2276" s="42" t="s">
        <v>157</v>
      </c>
      <c r="C2276" s="42" t="s">
        <v>191</v>
      </c>
      <c r="D2276" s="43" t="n">
        <v>1</v>
      </c>
      <c r="E2276" s="44" t="n">
        <v>23.5</v>
      </c>
      <c r="F2276" s="45" t="n">
        <f aca="false">IFERROR(D2276*E2276,0)</f>
        <v>23.5</v>
      </c>
      <c r="G2276" s="42" t="str">
        <f aca="false">INDEX(SETORES!$B:$B,MATCH(A2276,SETORES!$A:$A,0))</f>
        <v>Clientes</v>
      </c>
      <c r="H2276" s="42" t="s">
        <v>20</v>
      </c>
    </row>
    <row r="2277" customFormat="false" ht="14.25" hidden="false" customHeight="true" outlineLevel="0" collapsed="false">
      <c r="A2277" s="16" t="s">
        <v>37</v>
      </c>
      <c r="B2277" s="42" t="s">
        <v>155</v>
      </c>
      <c r="C2277" s="42" t="s">
        <v>168</v>
      </c>
      <c r="D2277" s="43" t="n">
        <v>1</v>
      </c>
      <c r="E2277" s="44" t="n">
        <v>348.9425</v>
      </c>
      <c r="F2277" s="45" t="n">
        <v>348.9425</v>
      </c>
      <c r="G2277" s="42" t="str">
        <f aca="false">INDEX(SETORES!$B:$B,MATCH(A2277,SETORES!$A:$A,0))</f>
        <v>Clientes</v>
      </c>
      <c r="H2277" s="42" t="s">
        <v>20</v>
      </c>
    </row>
    <row r="2278" customFormat="false" ht="14.25" hidden="false" customHeight="true" outlineLevel="0" collapsed="false">
      <c r="A2278" s="50" t="s">
        <v>37</v>
      </c>
      <c r="B2278" s="51" t="s">
        <v>157</v>
      </c>
      <c r="C2278" s="51" t="s">
        <v>174</v>
      </c>
      <c r="D2278" s="52" t="n">
        <v>1</v>
      </c>
      <c r="E2278" s="53" t="n">
        <v>316.67</v>
      </c>
      <c r="F2278" s="54" t="n">
        <f aca="false">IFERROR(D2278*E2278,0)</f>
        <v>316.67</v>
      </c>
      <c r="G2278" s="51" t="str">
        <f aca="false">INDEX(SETORES!$B:$B,MATCH(A2278,SETORES!$A:$A,0))</f>
        <v>Clientes</v>
      </c>
      <c r="H2278" s="51" t="s">
        <v>20</v>
      </c>
    </row>
    <row r="2279" customFormat="false" ht="14.25" hidden="false" customHeight="true" outlineLevel="0" collapsed="false">
      <c r="A2279" s="50" t="s">
        <v>37</v>
      </c>
      <c r="B2279" s="51" t="s">
        <v>157</v>
      </c>
      <c r="C2279" s="51" t="s">
        <v>175</v>
      </c>
      <c r="D2279" s="52" t="n">
        <v>1</v>
      </c>
      <c r="E2279" s="53" t="n">
        <v>340</v>
      </c>
      <c r="F2279" s="54" t="n">
        <f aca="false">IFERROR(D2279*E2279,0)</f>
        <v>340</v>
      </c>
      <c r="G2279" s="51" t="str">
        <f aca="false">INDEX(SETORES!$B:$B,MATCH(A2279,SETORES!$A:$A,0))</f>
        <v>Clientes</v>
      </c>
      <c r="H2279" s="51" t="s">
        <v>20</v>
      </c>
    </row>
    <row r="2280" customFormat="false" ht="14.25" hidden="false" customHeight="true" outlineLevel="0" collapsed="false">
      <c r="A2280" s="16" t="s">
        <v>37</v>
      </c>
      <c r="B2280" s="42" t="s">
        <v>157</v>
      </c>
      <c r="C2280" s="42" t="s">
        <v>176</v>
      </c>
      <c r="D2280" s="43" t="n">
        <v>1</v>
      </c>
      <c r="E2280" s="44" t="n">
        <v>181.33</v>
      </c>
      <c r="F2280" s="45" t="n">
        <f aca="false">IFERROR(D2280*E2280,0)</f>
        <v>181.33</v>
      </c>
      <c r="G2280" s="42" t="str">
        <f aca="false">INDEX(SETORES!$B:$B,MATCH(A2280,SETORES!$A:$A,0))</f>
        <v>Clientes</v>
      </c>
      <c r="H2280" s="42" t="s">
        <v>20</v>
      </c>
    </row>
    <row r="2281" customFormat="false" ht="14.25" hidden="false" customHeight="true" outlineLevel="0" collapsed="false">
      <c r="A2281" s="50" t="s">
        <v>37</v>
      </c>
      <c r="B2281" s="51" t="s">
        <v>155</v>
      </c>
      <c r="C2281" s="51" t="s">
        <v>169</v>
      </c>
      <c r="D2281" s="52" t="n">
        <v>1</v>
      </c>
      <c r="E2281" s="53" t="n">
        <v>132451.46</v>
      </c>
      <c r="F2281" s="54" t="n">
        <f aca="false">IFERROR(E2281,0)</f>
        <v>132451.46</v>
      </c>
      <c r="G2281" s="51" t="str">
        <f aca="false">INDEX(SETORES!$B:$B,MATCH(A2281,SETORES!$A:$A,0))</f>
        <v>Clientes</v>
      </c>
      <c r="H2281" s="51" t="s">
        <v>20</v>
      </c>
    </row>
    <row r="2282" customFormat="false" ht="14.25" hidden="false" customHeight="true" outlineLevel="0" collapsed="false">
      <c r="A2282" s="50" t="s">
        <v>37</v>
      </c>
      <c r="B2282" s="51" t="s">
        <v>155</v>
      </c>
      <c r="C2282" s="51" t="s">
        <v>170</v>
      </c>
      <c r="D2282" s="52" t="n">
        <v>41</v>
      </c>
      <c r="E2282" s="53" t="n">
        <v>10.05</v>
      </c>
      <c r="F2282" s="54" t="n">
        <f aca="false">IFERROR(D2282*E2282,0)</f>
        <v>412.05</v>
      </c>
      <c r="G2282" s="51" t="str">
        <f aca="false">INDEX(SETORES!$B:$B,MATCH(A2282,SETORES!$A:$A,0))</f>
        <v>Clientes</v>
      </c>
      <c r="H2282" s="51" t="s">
        <v>20</v>
      </c>
    </row>
    <row r="2283" customFormat="false" ht="14.25" hidden="false" customHeight="true" outlineLevel="0" collapsed="false">
      <c r="A2283" s="16" t="s">
        <v>37</v>
      </c>
      <c r="B2283" s="42" t="s">
        <v>155</v>
      </c>
      <c r="C2283" s="42" t="s">
        <v>172</v>
      </c>
      <c r="D2283" s="43" t="n">
        <v>43</v>
      </c>
      <c r="E2283" s="44" t="n">
        <v>50</v>
      </c>
      <c r="F2283" s="45" t="n">
        <f aca="false">IFERROR(D2283*E2283,0)</f>
        <v>2150</v>
      </c>
      <c r="G2283" s="42" t="str">
        <f aca="false">INDEX(SETORES!$B:$B,MATCH(A2283,SETORES!$A:$A,0))</f>
        <v>Clientes</v>
      </c>
      <c r="H2283" s="42" t="s">
        <v>20</v>
      </c>
    </row>
    <row r="2284" customFormat="false" ht="14.25" hidden="false" customHeight="true" outlineLevel="0" collapsed="false">
      <c r="A2284" s="16" t="s">
        <v>37</v>
      </c>
      <c r="B2284" s="42" t="s">
        <v>155</v>
      </c>
      <c r="C2284" s="42" t="s">
        <v>224</v>
      </c>
      <c r="D2284" s="43"/>
      <c r="E2284" s="44"/>
      <c r="F2284" s="45" t="n">
        <f aca="false">IFERROR(D2284*E2284,0)</f>
        <v>0</v>
      </c>
      <c r="G2284" s="42" t="str">
        <f aca="false">INDEX(SETORES!$B:$B,MATCH(A2284,SETORES!$A:$A,0))</f>
        <v>Clientes</v>
      </c>
      <c r="H2284" s="42" t="s">
        <v>20</v>
      </c>
    </row>
    <row r="2285" customFormat="false" ht="14.25" hidden="false" customHeight="true" outlineLevel="0" collapsed="false">
      <c r="A2285" s="16" t="s">
        <v>37</v>
      </c>
      <c r="B2285" s="42" t="s">
        <v>155</v>
      </c>
      <c r="C2285" s="42" t="s">
        <v>177</v>
      </c>
      <c r="D2285" s="43" t="n">
        <v>41</v>
      </c>
      <c r="E2285" s="44" t="n">
        <v>0.3648</v>
      </c>
      <c r="F2285" s="45" t="n">
        <v>14.9568</v>
      </c>
      <c r="G2285" s="42" t="str">
        <f aca="false">INDEX(SETORES!$B:$B,MATCH(A2285,SETORES!$A:$A,0))</f>
        <v>Clientes</v>
      </c>
      <c r="H2285" s="42" t="s">
        <v>20</v>
      </c>
    </row>
    <row r="2286" customFormat="false" ht="14.25" hidden="false" customHeight="true" outlineLevel="0" collapsed="false">
      <c r="A2286" s="50" t="s">
        <v>37</v>
      </c>
      <c r="B2286" s="51" t="s">
        <v>155</v>
      </c>
      <c r="C2286" s="51" t="s">
        <v>178</v>
      </c>
      <c r="D2286" s="52" t="n">
        <v>1</v>
      </c>
      <c r="E2286" s="53" t="n">
        <v>1160.222241</v>
      </c>
      <c r="F2286" s="54" t="n">
        <v>1160.222241</v>
      </c>
      <c r="G2286" s="51" t="str">
        <f aca="false">INDEX(SETORES!$B:$B,MATCH(A2286,SETORES!$A:$A,0))</f>
        <v>Clientes</v>
      </c>
      <c r="H2286" s="51" t="s">
        <v>20</v>
      </c>
    </row>
    <row r="2287" customFormat="false" ht="14.25" hidden="false" customHeight="true" outlineLevel="0" collapsed="false">
      <c r="A2287" s="50" t="s">
        <v>37</v>
      </c>
      <c r="B2287" s="51" t="s">
        <v>155</v>
      </c>
      <c r="C2287" s="51" t="s">
        <v>238</v>
      </c>
      <c r="D2287" s="52" t="n">
        <v>1</v>
      </c>
      <c r="E2287" s="53" t="n">
        <v>883.620684</v>
      </c>
      <c r="F2287" s="54" t="n">
        <f aca="false">IFERROR(D2287*E2287,0)</f>
        <v>883.620684</v>
      </c>
      <c r="G2287" s="51" t="str">
        <f aca="false">INDEX(SETORES!$B:$B,MATCH(A2287,SETORES!$A:$A,0))</f>
        <v>Clientes</v>
      </c>
      <c r="H2287" s="51" t="s">
        <v>20</v>
      </c>
    </row>
    <row r="2288" customFormat="false" ht="14.25" hidden="false" customHeight="true" outlineLevel="0" collapsed="false">
      <c r="A2288" s="16" t="s">
        <v>37</v>
      </c>
      <c r="B2288" s="42" t="s">
        <v>155</v>
      </c>
      <c r="C2288" s="42" t="s">
        <v>248</v>
      </c>
      <c r="D2288" s="43" t="n">
        <v>1</v>
      </c>
      <c r="E2288" s="44" t="n">
        <v>117.814894</v>
      </c>
      <c r="F2288" s="45" t="n">
        <f aca="false">IFERROR(D2288*E2288,0)</f>
        <v>117.814894</v>
      </c>
      <c r="G2288" s="42" t="str">
        <f aca="false">INDEX(SETORES!$B:$B,MATCH(A2288,SETORES!$A:$A,0))</f>
        <v>Clientes</v>
      </c>
      <c r="H2288" s="42" t="s">
        <v>20</v>
      </c>
    </row>
    <row r="2289" customFormat="false" ht="14.25" hidden="false" customHeight="true" outlineLevel="0" collapsed="false">
      <c r="A2289" s="50" t="s">
        <v>37</v>
      </c>
      <c r="B2289" s="51" t="s">
        <v>157</v>
      </c>
      <c r="C2289" s="51" t="s">
        <v>239</v>
      </c>
      <c r="D2289" s="52" t="n">
        <v>1</v>
      </c>
      <c r="E2289" s="53" t="n">
        <v>326.526132</v>
      </c>
      <c r="F2289" s="54" t="n">
        <f aca="false">IFERROR(D2289*E2289,0)</f>
        <v>326.526132</v>
      </c>
      <c r="G2289" s="51" t="str">
        <f aca="false">INDEX(SETORES!$B:$B,MATCH(A2289,SETORES!$A:$A,0))</f>
        <v>Clientes</v>
      </c>
      <c r="H2289" s="51" t="s">
        <v>20</v>
      </c>
    </row>
    <row r="2290" customFormat="false" ht="14.25" hidden="false" customHeight="true" outlineLevel="0" collapsed="false">
      <c r="A2290" s="50" t="s">
        <v>37</v>
      </c>
      <c r="B2290" s="51" t="s">
        <v>155</v>
      </c>
      <c r="C2290" s="51" t="s">
        <v>182</v>
      </c>
      <c r="D2290" s="52" t="n">
        <v>1</v>
      </c>
      <c r="E2290" s="53" t="n">
        <v>1879.493013</v>
      </c>
      <c r="F2290" s="54" t="n">
        <f aca="false">IFERROR(D2290*E2290,0)</f>
        <v>1879.493013</v>
      </c>
      <c r="G2290" s="51" t="str">
        <f aca="false">INDEX(SETORES!$B:$B,MATCH(A2290,SETORES!$A:$A,0))</f>
        <v>Clientes</v>
      </c>
      <c r="H2290" s="51" t="s">
        <v>20</v>
      </c>
    </row>
    <row r="2291" customFormat="false" ht="14.25" hidden="false" customHeight="true" outlineLevel="0" collapsed="false">
      <c r="A2291" s="16" t="s">
        <v>37</v>
      </c>
      <c r="B2291" s="42" t="s">
        <v>155</v>
      </c>
      <c r="C2291" s="42" t="s">
        <v>173</v>
      </c>
      <c r="D2291" s="43" t="n">
        <v>41</v>
      </c>
      <c r="E2291" s="44" t="n">
        <v>2.07</v>
      </c>
      <c r="F2291" s="45" t="n">
        <f aca="false">IFERROR(D2291*E2291,0)</f>
        <v>84.87</v>
      </c>
      <c r="G2291" s="42" t="str">
        <f aca="false">INDEX(SETORES!$B:$B,MATCH(A2291,SETORES!$A:$A,0))</f>
        <v>Clientes</v>
      </c>
      <c r="H2291" s="42" t="s">
        <v>20</v>
      </c>
    </row>
    <row r="2292" customFormat="false" ht="14.25" hidden="false" customHeight="true" outlineLevel="0" collapsed="false">
      <c r="A2292" s="16" t="s">
        <v>37</v>
      </c>
      <c r="B2292" s="42" t="s">
        <v>155</v>
      </c>
      <c r="C2292" s="42" t="s">
        <v>249</v>
      </c>
      <c r="D2292" s="43" t="n">
        <v>1</v>
      </c>
      <c r="E2292" s="44" t="n">
        <v>1641.88</v>
      </c>
      <c r="F2292" s="45" t="n">
        <f aca="false">IFERROR(D2292*E2292,0)</f>
        <v>1641.88</v>
      </c>
      <c r="G2292" s="42" t="str">
        <f aca="false">INDEX(SETORES!$B:$B,MATCH(A2292,SETORES!$A:$A,0))</f>
        <v>Clientes</v>
      </c>
      <c r="H2292" s="42" t="s">
        <v>20</v>
      </c>
    </row>
    <row r="2293" customFormat="false" ht="14.25" hidden="false" customHeight="true" outlineLevel="0" collapsed="false">
      <c r="A2293" s="16" t="s">
        <v>37</v>
      </c>
      <c r="B2293" s="42" t="s">
        <v>155</v>
      </c>
      <c r="C2293" s="42" t="s">
        <v>179</v>
      </c>
      <c r="D2293" s="43"/>
      <c r="E2293" s="44"/>
      <c r="F2293" s="45" t="n">
        <f aca="false">IFERROR(D2293*E2293,0)</f>
        <v>0</v>
      </c>
      <c r="G2293" s="42" t="str">
        <f aca="false">INDEX(SETORES!$B:$B,MATCH(A2293,SETORES!$A:$A,0))</f>
        <v>Clientes</v>
      </c>
      <c r="H2293" s="42" t="s">
        <v>20</v>
      </c>
    </row>
    <row r="2294" customFormat="false" ht="14.25" hidden="false" customHeight="true" outlineLevel="0" collapsed="false">
      <c r="A2294" s="50" t="s">
        <v>37</v>
      </c>
      <c r="B2294" s="51" t="s">
        <v>155</v>
      </c>
      <c r="C2294" s="51" t="s">
        <v>250</v>
      </c>
      <c r="D2294" s="52" t="n">
        <v>1</v>
      </c>
      <c r="E2294" s="53" t="n">
        <v>52</v>
      </c>
      <c r="F2294" s="54" t="n">
        <f aca="false">IFERROR(D2294*E2294,0)</f>
        <v>52</v>
      </c>
      <c r="G2294" s="51" t="str">
        <f aca="false">INDEX(SETORES!$B:$B,MATCH(A2294,SETORES!$A:$A,0))</f>
        <v>Clientes</v>
      </c>
      <c r="H2294" s="51" t="s">
        <v>20</v>
      </c>
    </row>
    <row r="2295" customFormat="false" ht="14.25" hidden="false" customHeight="true" outlineLevel="0" collapsed="false">
      <c r="A2295" s="16" t="s">
        <v>46</v>
      </c>
      <c r="B2295" s="42" t="s">
        <v>155</v>
      </c>
      <c r="C2295" s="42" t="s">
        <v>162</v>
      </c>
      <c r="D2295" s="43"/>
      <c r="E2295" s="44"/>
      <c r="F2295" s="45" t="n">
        <f aca="false">IFERROR(D2295*E2295,0)</f>
        <v>0</v>
      </c>
      <c r="G2295" s="42" t="str">
        <f aca="false">INDEX(SETORES!$B:$B,MATCH(A2295,SETORES!$A:$A,0))</f>
        <v>Clientes</v>
      </c>
      <c r="H2295" s="42" t="s">
        <v>20</v>
      </c>
    </row>
    <row r="2296" customFormat="false" ht="14.25" hidden="false" customHeight="true" outlineLevel="0" collapsed="false">
      <c r="A2296" s="50" t="s">
        <v>46</v>
      </c>
      <c r="B2296" s="51" t="s">
        <v>155</v>
      </c>
      <c r="C2296" s="51" t="s">
        <v>163</v>
      </c>
      <c r="D2296" s="52" t="n">
        <v>4</v>
      </c>
      <c r="E2296" s="53" t="n">
        <v>30</v>
      </c>
      <c r="F2296" s="54" t="n">
        <f aca="false">IFERROR(D2296*E2296,0)</f>
        <v>120</v>
      </c>
      <c r="G2296" s="51" t="str">
        <f aca="false">INDEX(SETORES!$B:$B,MATCH(A2296,SETORES!$A:$A,0))</f>
        <v>Clientes</v>
      </c>
      <c r="H2296" s="51" t="s">
        <v>20</v>
      </c>
    </row>
    <row r="2297" customFormat="false" ht="14.25" hidden="false" customHeight="true" outlineLevel="0" collapsed="false">
      <c r="A2297" s="16" t="s">
        <v>46</v>
      </c>
      <c r="B2297" s="42" t="s">
        <v>157</v>
      </c>
      <c r="C2297" s="42" t="s">
        <v>199</v>
      </c>
      <c r="D2297" s="43" t="n">
        <v>1</v>
      </c>
      <c r="E2297" s="44" t="n">
        <v>14279.2</v>
      </c>
      <c r="F2297" s="45" t="n">
        <f aca="false">IFERROR(D2297*E2297,0)</f>
        <v>14279.2</v>
      </c>
      <c r="G2297" s="42" t="str">
        <f aca="false">INDEX(SETORES!$B:$B,MATCH(A2297,SETORES!$A:$A,0))</f>
        <v>Clientes</v>
      </c>
      <c r="H2297" s="42" t="s">
        <v>20</v>
      </c>
    </row>
    <row r="2298" customFormat="false" ht="14.25" hidden="false" customHeight="true" outlineLevel="0" collapsed="false">
      <c r="A2298" s="16" t="s">
        <v>46</v>
      </c>
      <c r="B2298" s="42" t="s">
        <v>155</v>
      </c>
      <c r="C2298" s="42" t="s">
        <v>205</v>
      </c>
      <c r="D2298" s="43" t="n">
        <v>1</v>
      </c>
      <c r="E2298" s="44" t="n">
        <v>4170.78</v>
      </c>
      <c r="F2298" s="45" t="n">
        <f aca="false">IFERROR(D2298*E2298,0)</f>
        <v>4170.78</v>
      </c>
      <c r="G2298" s="42" t="str">
        <f aca="false">INDEX(SETORES!$B:$B,MATCH(A2298,SETORES!$A:$A,0))</f>
        <v>Clientes</v>
      </c>
      <c r="H2298" s="42" t="s">
        <v>20</v>
      </c>
    </row>
    <row r="2299" customFormat="false" ht="14.25" hidden="false" customHeight="true" outlineLevel="0" collapsed="false">
      <c r="A2299" s="50" t="s">
        <v>46</v>
      </c>
      <c r="B2299" s="51" t="s">
        <v>155</v>
      </c>
      <c r="C2299" s="51" t="s">
        <v>165</v>
      </c>
      <c r="D2299" s="52" t="n">
        <v>23</v>
      </c>
      <c r="E2299" s="53" t="n">
        <v>47.79</v>
      </c>
      <c r="F2299" s="54" t="n">
        <f aca="false">IFERROR(D2299*E2299,0)</f>
        <v>1099.17</v>
      </c>
      <c r="G2299" s="42" t="s">
        <v>99</v>
      </c>
      <c r="H2299" s="51" t="s">
        <v>20</v>
      </c>
    </row>
    <row r="2300" customFormat="false" ht="14.25" hidden="false" customHeight="true" outlineLevel="0" collapsed="false">
      <c r="A2300" s="16" t="s">
        <v>46</v>
      </c>
      <c r="B2300" s="42" t="s">
        <v>155</v>
      </c>
      <c r="C2300" s="42" t="s">
        <v>166</v>
      </c>
      <c r="D2300" s="43" t="n">
        <v>23</v>
      </c>
      <c r="E2300" s="44" t="n">
        <v>28.31</v>
      </c>
      <c r="F2300" s="45" t="n">
        <f aca="false">IFERROR(D2300*E2300,0)</f>
        <v>651.13</v>
      </c>
      <c r="G2300" s="51" t="s">
        <v>99</v>
      </c>
      <c r="H2300" s="42" t="s">
        <v>20</v>
      </c>
    </row>
    <row r="2301" customFormat="false" ht="14.25" hidden="false" customHeight="true" outlineLevel="0" collapsed="false">
      <c r="A2301" s="50" t="s">
        <v>46</v>
      </c>
      <c r="B2301" s="51" t="s">
        <v>155</v>
      </c>
      <c r="C2301" s="51" t="s">
        <v>167</v>
      </c>
      <c r="D2301" s="52" t="n">
        <v>23</v>
      </c>
      <c r="E2301" s="53" t="n">
        <v>64.57</v>
      </c>
      <c r="F2301" s="54" t="n">
        <f aca="false">IFERROR(D2301*E2301,0)</f>
        <v>1485.11</v>
      </c>
      <c r="G2301" s="51" t="s">
        <v>99</v>
      </c>
      <c r="H2301" s="51" t="s">
        <v>20</v>
      </c>
    </row>
    <row r="2302" customFormat="false" ht="14.25" hidden="false" customHeight="true" outlineLevel="0" collapsed="false">
      <c r="A2302" s="16" t="s">
        <v>46</v>
      </c>
      <c r="B2302" s="42" t="s">
        <v>157</v>
      </c>
      <c r="C2302" s="42" t="s">
        <v>217</v>
      </c>
      <c r="D2302" s="43" t="n">
        <v>1</v>
      </c>
      <c r="E2302" s="44" t="n">
        <v>4422.39</v>
      </c>
      <c r="F2302" s="45" t="n">
        <f aca="false">IFERROR(D2302*E2302,0)</f>
        <v>4422.39</v>
      </c>
      <c r="G2302" s="42" t="str">
        <f aca="false">INDEX(SETORES!$B:$B,MATCH(A2302,SETORES!$A:$A,0))</f>
        <v>Clientes</v>
      </c>
      <c r="H2302" s="42" t="s">
        <v>20</v>
      </c>
    </row>
    <row r="2303" customFormat="false" ht="14.25" hidden="false" customHeight="true" outlineLevel="0" collapsed="false">
      <c r="A2303" s="16" t="s">
        <v>46</v>
      </c>
      <c r="B2303" s="42" t="s">
        <v>155</v>
      </c>
      <c r="C2303" s="42" t="s">
        <v>169</v>
      </c>
      <c r="D2303" s="43" t="n">
        <v>1</v>
      </c>
      <c r="E2303" s="44" t="n">
        <v>158228.71</v>
      </c>
      <c r="F2303" s="45" t="n">
        <f aca="false">IFERROR(E2303,0)</f>
        <v>158228.71</v>
      </c>
      <c r="G2303" s="42" t="str">
        <f aca="false">INDEX(SETORES!$B:$B,MATCH(A2303,SETORES!$A:$A,0))</f>
        <v>Clientes</v>
      </c>
      <c r="H2303" s="42" t="s">
        <v>20</v>
      </c>
    </row>
    <row r="2304" customFormat="false" ht="14.25" hidden="false" customHeight="true" outlineLevel="0" collapsed="false">
      <c r="A2304" s="50" t="s">
        <v>46</v>
      </c>
      <c r="B2304" s="51" t="s">
        <v>155</v>
      </c>
      <c r="C2304" s="51" t="s">
        <v>170</v>
      </c>
      <c r="D2304" s="52" t="n">
        <v>23</v>
      </c>
      <c r="E2304" s="53" t="n">
        <v>10.05</v>
      </c>
      <c r="F2304" s="54" t="n">
        <f aca="false">IFERROR(D2304*E2304,0)</f>
        <v>231.15</v>
      </c>
      <c r="G2304" s="51" t="str">
        <f aca="false">INDEX(SETORES!$B:$B,MATCH(A2304,SETORES!$A:$A,0))</f>
        <v>Clientes</v>
      </c>
      <c r="H2304" s="51" t="s">
        <v>20</v>
      </c>
    </row>
    <row r="2305" customFormat="false" ht="14.25" hidden="false" customHeight="true" outlineLevel="0" collapsed="false">
      <c r="A2305" s="50" t="s">
        <v>46</v>
      </c>
      <c r="B2305" s="51" t="s">
        <v>157</v>
      </c>
      <c r="C2305" s="51" t="s">
        <v>223</v>
      </c>
      <c r="D2305" s="52"/>
      <c r="E2305" s="53"/>
      <c r="F2305" s="54" t="n">
        <f aca="false">IFERROR(D2305*E2305,0)</f>
        <v>0</v>
      </c>
      <c r="G2305" s="51" t="str">
        <f aca="false">INDEX(SETORES!$B:$B,MATCH(A2305,SETORES!$A:$A,0))</f>
        <v>Clientes</v>
      </c>
      <c r="H2305" s="51" t="s">
        <v>20</v>
      </c>
    </row>
    <row r="2306" customFormat="false" ht="14.25" hidden="false" customHeight="true" outlineLevel="0" collapsed="false">
      <c r="A2306" s="50" t="s">
        <v>46</v>
      </c>
      <c r="B2306" s="51" t="s">
        <v>155</v>
      </c>
      <c r="C2306" s="51" t="s">
        <v>172</v>
      </c>
      <c r="D2306" s="52"/>
      <c r="E2306" s="53"/>
      <c r="F2306" s="54" t="n">
        <f aca="false">IFERROR(D2306*E2306,0)</f>
        <v>0</v>
      </c>
      <c r="G2306" s="51" t="str">
        <f aca="false">INDEX(SETORES!$B:$B,MATCH(A2306,SETORES!$A:$A,0))</f>
        <v>Clientes</v>
      </c>
      <c r="H2306" s="51" t="s">
        <v>20</v>
      </c>
    </row>
    <row r="2307" customFormat="false" ht="14.25" hidden="false" customHeight="true" outlineLevel="0" collapsed="false">
      <c r="A2307" s="16" t="s">
        <v>46</v>
      </c>
      <c r="B2307" s="42" t="s">
        <v>155</v>
      </c>
      <c r="C2307" s="42" t="s">
        <v>177</v>
      </c>
      <c r="D2307" s="43"/>
      <c r="E2307" s="44"/>
      <c r="F2307" s="45" t="n">
        <v>0</v>
      </c>
      <c r="G2307" s="42" t="str">
        <f aca="false">INDEX(SETORES!$B:$B,MATCH(A2307,SETORES!$A:$A,0))</f>
        <v>Clientes</v>
      </c>
      <c r="H2307" s="42" t="s">
        <v>20</v>
      </c>
    </row>
    <row r="2308" customFormat="false" ht="14.25" hidden="false" customHeight="true" outlineLevel="0" collapsed="false">
      <c r="A2308" s="50" t="s">
        <v>46</v>
      </c>
      <c r="B2308" s="51" t="s">
        <v>155</v>
      </c>
      <c r="C2308" s="51" t="s">
        <v>178</v>
      </c>
      <c r="D2308" s="52"/>
      <c r="E2308" s="53"/>
      <c r="F2308" s="54" t="n">
        <v>0</v>
      </c>
      <c r="G2308" s="51" t="str">
        <f aca="false">INDEX(SETORES!$B:$B,MATCH(A2308,SETORES!$A:$A,0))</f>
        <v>Clientes</v>
      </c>
      <c r="H2308" s="51" t="s">
        <v>20</v>
      </c>
    </row>
    <row r="2309" customFormat="false" ht="14.25" hidden="false" customHeight="true" outlineLevel="0" collapsed="false">
      <c r="A2309" s="16" t="s">
        <v>46</v>
      </c>
      <c r="B2309" s="42" t="s">
        <v>155</v>
      </c>
      <c r="C2309" s="42" t="s">
        <v>173</v>
      </c>
      <c r="D2309" s="43" t="n">
        <v>23</v>
      </c>
      <c r="E2309" s="44" t="n">
        <v>2.07</v>
      </c>
      <c r="F2309" s="45" t="n">
        <f aca="false">IFERROR(D2309*E2309,0)</f>
        <v>47.61</v>
      </c>
      <c r="G2309" s="42" t="str">
        <f aca="false">INDEX(SETORES!$B:$B,MATCH(A2309,SETORES!$A:$A,0))</f>
        <v>Clientes</v>
      </c>
      <c r="H2309" s="42" t="s">
        <v>20</v>
      </c>
    </row>
    <row r="2310" customFormat="false" ht="14.25" hidden="false" customHeight="true" outlineLevel="0" collapsed="false">
      <c r="A2310" s="50" t="s">
        <v>46</v>
      </c>
      <c r="B2310" s="51" t="s">
        <v>155</v>
      </c>
      <c r="C2310" s="51" t="s">
        <v>179</v>
      </c>
      <c r="D2310" s="52"/>
      <c r="E2310" s="53"/>
      <c r="F2310" s="54" t="n">
        <f aca="false">IFERROR(D2310*E2310,0)</f>
        <v>0</v>
      </c>
      <c r="G2310" s="51" t="str">
        <f aca="false">INDEX(SETORES!$B:$B,MATCH(A2310,SETORES!$A:$A,0))</f>
        <v>Clientes</v>
      </c>
      <c r="H2310" s="51" t="s">
        <v>20</v>
      </c>
    </row>
    <row r="2311" customFormat="false" ht="14.25" hidden="false" customHeight="true" outlineLevel="0" collapsed="false">
      <c r="A2311" s="16" t="s">
        <v>49</v>
      </c>
      <c r="B2311" s="42" t="s">
        <v>155</v>
      </c>
      <c r="C2311" s="42" t="s">
        <v>162</v>
      </c>
      <c r="D2311" s="43" t="n">
        <v>4</v>
      </c>
      <c r="E2311" s="44" t="n">
        <v>3.69</v>
      </c>
      <c r="F2311" s="54" t="n">
        <f aca="false">IFERROR(D2311*E2311,0)</f>
        <v>14.76</v>
      </c>
      <c r="G2311" s="42" t="str">
        <f aca="false">INDEX(SETORES!$B:$B,MATCH(A2311,SETORES!$A:$A,0))</f>
        <v>Clientes</v>
      </c>
      <c r="H2311" s="42" t="s">
        <v>20</v>
      </c>
    </row>
    <row r="2312" customFormat="false" ht="14.25" hidden="false" customHeight="true" outlineLevel="0" collapsed="false">
      <c r="A2312" s="16" t="s">
        <v>49</v>
      </c>
      <c r="B2312" s="42" t="s">
        <v>157</v>
      </c>
      <c r="C2312" s="42" t="s">
        <v>199</v>
      </c>
      <c r="D2312" s="43"/>
      <c r="E2312" s="44"/>
      <c r="F2312" s="45" t="n">
        <f aca="false">IFERROR(D2312*E2312,0)</f>
        <v>0</v>
      </c>
      <c r="G2312" s="42" t="str">
        <f aca="false">INDEX(SETORES!$B:$B,MATCH(A2312,SETORES!$A:$A,0))</f>
        <v>Clientes</v>
      </c>
      <c r="H2312" s="42" t="s">
        <v>20</v>
      </c>
    </row>
    <row r="2313" customFormat="false" ht="14.25" hidden="false" customHeight="true" outlineLevel="0" collapsed="false">
      <c r="A2313" s="16" t="s">
        <v>49</v>
      </c>
      <c r="B2313" s="42" t="s">
        <v>155</v>
      </c>
      <c r="C2313" s="42" t="s">
        <v>220</v>
      </c>
      <c r="D2313" s="43" t="n">
        <v>1</v>
      </c>
      <c r="E2313" s="44" t="n">
        <v>3129.759211</v>
      </c>
      <c r="F2313" s="45" t="n">
        <v>3129.759211</v>
      </c>
      <c r="G2313" s="42" t="s">
        <v>97</v>
      </c>
      <c r="H2313" s="42" t="s">
        <v>20</v>
      </c>
    </row>
    <row r="2314" customFormat="false" ht="14.25" hidden="false" customHeight="true" outlineLevel="0" collapsed="false">
      <c r="A2314" s="16" t="s">
        <v>49</v>
      </c>
      <c r="B2314" s="42" t="s">
        <v>155</v>
      </c>
      <c r="C2314" s="42" t="s">
        <v>165</v>
      </c>
      <c r="D2314" s="43" t="n">
        <v>4</v>
      </c>
      <c r="E2314" s="44" t="n">
        <v>47.79</v>
      </c>
      <c r="F2314" s="54" t="n">
        <f aca="false">IFERROR(D2314*E2314,0)</f>
        <v>191.16</v>
      </c>
      <c r="G2314" s="42" t="s">
        <v>99</v>
      </c>
      <c r="H2314" s="42" t="s">
        <v>20</v>
      </c>
    </row>
    <row r="2315" customFormat="false" ht="14.25" hidden="false" customHeight="true" outlineLevel="0" collapsed="false">
      <c r="A2315" s="50" t="s">
        <v>49</v>
      </c>
      <c r="B2315" s="51" t="s">
        <v>155</v>
      </c>
      <c r="C2315" s="51" t="s">
        <v>166</v>
      </c>
      <c r="D2315" s="52" t="n">
        <v>4</v>
      </c>
      <c r="E2315" s="53" t="n">
        <v>28.31</v>
      </c>
      <c r="F2315" s="54" t="n">
        <f aca="false">IFERROR(D2315*E2315,0)</f>
        <v>113.24</v>
      </c>
      <c r="G2315" s="51" t="s">
        <v>99</v>
      </c>
      <c r="H2315" s="51" t="s">
        <v>20</v>
      </c>
    </row>
    <row r="2316" customFormat="false" ht="14.25" hidden="false" customHeight="true" outlineLevel="0" collapsed="false">
      <c r="A2316" s="16" t="s">
        <v>49</v>
      </c>
      <c r="B2316" s="42" t="s">
        <v>155</v>
      </c>
      <c r="C2316" s="42" t="s">
        <v>167</v>
      </c>
      <c r="D2316" s="43" t="n">
        <v>4</v>
      </c>
      <c r="E2316" s="44" t="n">
        <v>64.57</v>
      </c>
      <c r="F2316" s="45" t="n">
        <f aca="false">IFERROR(D2316*E2316,0)</f>
        <v>258.28</v>
      </c>
      <c r="G2316" s="51" t="s">
        <v>99</v>
      </c>
      <c r="H2316" s="42" t="s">
        <v>20</v>
      </c>
    </row>
    <row r="2317" customFormat="false" ht="14.25" hidden="false" customHeight="true" outlineLevel="0" collapsed="false">
      <c r="A2317" s="50" t="s">
        <v>49</v>
      </c>
      <c r="B2317" s="51" t="s">
        <v>155</v>
      </c>
      <c r="C2317" s="51" t="s">
        <v>168</v>
      </c>
      <c r="D2317" s="52" t="n">
        <v>4</v>
      </c>
      <c r="E2317" s="53" t="n">
        <v>185.92</v>
      </c>
      <c r="F2317" s="54" t="n">
        <f aca="false">IFERROR(D2317*E2317,0)</f>
        <v>743.68</v>
      </c>
      <c r="G2317" s="51" t="str">
        <f aca="false">INDEX(SETORES!$B:$B,MATCH(A2317,SETORES!$A:$A,0))</f>
        <v>Clientes</v>
      </c>
      <c r="H2317" s="51" t="s">
        <v>20</v>
      </c>
    </row>
    <row r="2318" customFormat="false" ht="14.25" hidden="false" customHeight="true" outlineLevel="0" collapsed="false">
      <c r="A2318" s="50" t="s">
        <v>49</v>
      </c>
      <c r="B2318" s="51" t="s">
        <v>157</v>
      </c>
      <c r="C2318" s="51" t="s">
        <v>174</v>
      </c>
      <c r="D2318" s="52" t="n">
        <v>1</v>
      </c>
      <c r="E2318" s="53" t="n">
        <v>184</v>
      </c>
      <c r="F2318" s="54" t="n">
        <f aca="false">IFERROR(D2318*E2318,0)</f>
        <v>184</v>
      </c>
      <c r="G2318" s="51" t="str">
        <f aca="false">INDEX(SETORES!$B:$B,MATCH(A2318,SETORES!$A:$A,0))</f>
        <v>Clientes</v>
      </c>
      <c r="H2318" s="51" t="s">
        <v>20</v>
      </c>
    </row>
    <row r="2319" customFormat="false" ht="14.25" hidden="false" customHeight="true" outlineLevel="0" collapsed="false">
      <c r="A2319" s="16" t="s">
        <v>49</v>
      </c>
      <c r="B2319" s="42" t="s">
        <v>155</v>
      </c>
      <c r="C2319" s="42" t="s">
        <v>169</v>
      </c>
      <c r="D2319" s="43" t="n">
        <v>1</v>
      </c>
      <c r="E2319" s="44" t="n">
        <v>23497.04</v>
      </c>
      <c r="F2319" s="45" t="n">
        <f aca="false">IFERROR(E2319,0)</f>
        <v>23497.04</v>
      </c>
      <c r="G2319" s="42" t="str">
        <f aca="false">INDEX(SETORES!$B:$B,MATCH(A2319,SETORES!$A:$A,0))</f>
        <v>Clientes</v>
      </c>
      <c r="H2319" s="42" t="s">
        <v>20</v>
      </c>
    </row>
    <row r="2320" customFormat="false" ht="14.25" hidden="false" customHeight="true" outlineLevel="0" collapsed="false">
      <c r="A2320" s="16" t="s">
        <v>49</v>
      </c>
      <c r="B2320" s="42" t="s">
        <v>155</v>
      </c>
      <c r="C2320" s="42" t="s">
        <v>170</v>
      </c>
      <c r="D2320" s="43" t="n">
        <v>4</v>
      </c>
      <c r="E2320" s="44" t="n">
        <v>10.05</v>
      </c>
      <c r="F2320" s="45" t="n">
        <f aca="false">IFERROR(D2320*E2320,0)</f>
        <v>40.2</v>
      </c>
      <c r="G2320" s="42" t="str">
        <f aca="false">INDEX(SETORES!$B:$B,MATCH(A2320,SETORES!$A:$A,0))</f>
        <v>Clientes</v>
      </c>
      <c r="H2320" s="42" t="s">
        <v>20</v>
      </c>
    </row>
    <row r="2321" customFormat="false" ht="14.25" hidden="false" customHeight="true" outlineLevel="0" collapsed="false">
      <c r="A2321" s="50" t="s">
        <v>49</v>
      </c>
      <c r="B2321" s="51" t="s">
        <v>157</v>
      </c>
      <c r="C2321" s="51" t="s">
        <v>221</v>
      </c>
      <c r="D2321" s="52"/>
      <c r="E2321" s="53"/>
      <c r="F2321" s="54" t="n">
        <f aca="false">IFERROR(D2321*E2321,0)</f>
        <v>0</v>
      </c>
      <c r="G2321" s="51" t="str">
        <f aca="false">INDEX(SETORES!$B:$B,MATCH(A2321,SETORES!$A:$A,0))</f>
        <v>Clientes</v>
      </c>
      <c r="H2321" s="51" t="s">
        <v>20</v>
      </c>
    </row>
    <row r="2322" customFormat="false" ht="14.25" hidden="false" customHeight="true" outlineLevel="0" collapsed="false">
      <c r="A2322" s="50" t="s">
        <v>49</v>
      </c>
      <c r="B2322" s="51" t="s">
        <v>155</v>
      </c>
      <c r="C2322" s="51" t="s">
        <v>177</v>
      </c>
      <c r="D2322" s="52"/>
      <c r="E2322" s="53"/>
      <c r="F2322" s="54" t="n">
        <v>0</v>
      </c>
      <c r="G2322" s="51" t="str">
        <f aca="false">INDEX(SETORES!$B:$B,MATCH(A2322,SETORES!$A:$A,0))</f>
        <v>Clientes</v>
      </c>
      <c r="H2322" s="51" t="s">
        <v>20</v>
      </c>
    </row>
    <row r="2323" customFormat="false" ht="14.25" hidden="false" customHeight="true" outlineLevel="0" collapsed="false">
      <c r="A2323" s="16" t="s">
        <v>49</v>
      </c>
      <c r="B2323" s="42" t="s">
        <v>155</v>
      </c>
      <c r="C2323" s="42" t="s">
        <v>178</v>
      </c>
      <c r="D2323" s="43"/>
      <c r="E2323" s="44"/>
      <c r="F2323" s="45" t="n">
        <v>0</v>
      </c>
      <c r="G2323" s="42" t="str">
        <f aca="false">INDEX(SETORES!$B:$B,MATCH(A2323,SETORES!$A:$A,0))</f>
        <v>Clientes</v>
      </c>
      <c r="H2323" s="42" t="s">
        <v>20</v>
      </c>
    </row>
    <row r="2324" customFormat="false" ht="14.25" hidden="false" customHeight="true" outlineLevel="0" collapsed="false">
      <c r="A2324" s="16" t="s">
        <v>49</v>
      </c>
      <c r="B2324" s="42" t="s">
        <v>157</v>
      </c>
      <c r="C2324" s="42" t="s">
        <v>184</v>
      </c>
      <c r="D2324" s="43" t="n">
        <v>4</v>
      </c>
      <c r="E2324" s="53" t="n">
        <v>65.21</v>
      </c>
      <c r="F2324" s="45" t="n">
        <f aca="false">IFERROR(D2324*E2324,0)</f>
        <v>260.84</v>
      </c>
      <c r="G2324" s="42" t="str">
        <f aca="false">INDEX(SETORES!$B:$B,MATCH(A2324,SETORES!$A:$A,0))</f>
        <v>Clientes</v>
      </c>
      <c r="H2324" s="42" t="s">
        <v>20</v>
      </c>
    </row>
    <row r="2325" customFormat="false" ht="14.25" hidden="false" customHeight="true" outlineLevel="0" collapsed="false">
      <c r="A2325" s="16" t="s">
        <v>49</v>
      </c>
      <c r="B2325" s="42" t="s">
        <v>157</v>
      </c>
      <c r="C2325" s="42" t="s">
        <v>158</v>
      </c>
      <c r="D2325" s="43"/>
      <c r="E2325" s="44"/>
      <c r="F2325" s="45" t="n">
        <f aca="false">IFERROR(D2325*E2325,0)</f>
        <v>0</v>
      </c>
      <c r="G2325" s="42" t="str">
        <f aca="false">INDEX(SETORES!$B:$B,MATCH(A2325,SETORES!$A:$A,0))</f>
        <v>Clientes</v>
      </c>
      <c r="H2325" s="42" t="s">
        <v>20</v>
      </c>
    </row>
    <row r="2326" customFormat="false" ht="14.25" hidden="false" customHeight="true" outlineLevel="0" collapsed="false">
      <c r="A2326" s="50" t="s">
        <v>49</v>
      </c>
      <c r="B2326" s="51" t="s">
        <v>155</v>
      </c>
      <c r="C2326" s="51" t="s">
        <v>225</v>
      </c>
      <c r="D2326" s="52" t="n">
        <v>1</v>
      </c>
      <c r="E2326" s="53" t="n">
        <v>1800</v>
      </c>
      <c r="F2326" s="54" t="n">
        <f aca="false">IFERROR(D2326*E2326,0)</f>
        <v>1800</v>
      </c>
      <c r="G2326" s="51" t="str">
        <f aca="false">INDEX(SETORES!$B:$B,MATCH(A2326,SETORES!$A:$A,0))</f>
        <v>Clientes</v>
      </c>
      <c r="H2326" s="51" t="s">
        <v>20</v>
      </c>
    </row>
    <row r="2327" customFormat="false" ht="14.25" hidden="false" customHeight="true" outlineLevel="0" collapsed="false">
      <c r="A2327" s="50" t="s">
        <v>49</v>
      </c>
      <c r="B2327" s="51" t="s">
        <v>155</v>
      </c>
      <c r="C2327" s="51" t="s">
        <v>173</v>
      </c>
      <c r="D2327" s="52" t="n">
        <v>4</v>
      </c>
      <c r="E2327" s="53" t="n">
        <v>2.07</v>
      </c>
      <c r="F2327" s="54" t="n">
        <f aca="false">IFERROR(D2327*E2327,0)</f>
        <v>8.28</v>
      </c>
      <c r="G2327" s="51" t="str">
        <f aca="false">INDEX(SETORES!$B:$B,MATCH(A2327,SETORES!$A:$A,0))</f>
        <v>Clientes</v>
      </c>
      <c r="H2327" s="51" t="s">
        <v>20</v>
      </c>
    </row>
    <row r="2328" customFormat="false" ht="14.25" hidden="false" customHeight="true" outlineLevel="0" collapsed="false">
      <c r="A2328" s="50" t="s">
        <v>49</v>
      </c>
      <c r="B2328" s="51" t="s">
        <v>155</v>
      </c>
      <c r="C2328" s="51" t="s">
        <v>179</v>
      </c>
      <c r="D2328" s="52"/>
      <c r="E2328" s="53"/>
      <c r="F2328" s="54" t="n">
        <f aca="false">IFERROR(D2328*E2328,0)</f>
        <v>0</v>
      </c>
      <c r="G2328" s="51" t="str">
        <f aca="false">INDEX(SETORES!$B:$B,MATCH(A2328,SETORES!$A:$A,0))</f>
        <v>Clientes</v>
      </c>
      <c r="H2328" s="51" t="s">
        <v>20</v>
      </c>
    </row>
    <row r="2329" customFormat="false" ht="14.25" hidden="false" customHeight="true" outlineLevel="0" collapsed="false">
      <c r="A2329" s="46" t="s">
        <v>146</v>
      </c>
      <c r="B2329" s="47" t="s">
        <v>155</v>
      </c>
      <c r="C2329" s="47" t="s">
        <v>169</v>
      </c>
      <c r="D2329" s="47" t="n">
        <v>1</v>
      </c>
      <c r="E2329" s="48" t="n">
        <v>15936.7</v>
      </c>
      <c r="F2329" s="48" t="n">
        <f aca="false">IFERROR(D2329*E2329,0)</f>
        <v>15936.7</v>
      </c>
      <c r="G2329" s="47" t="str">
        <f aca="false">INDEX(SETORES!$B:$B,MATCH(A2329,SETORES!$A:$A,0))</f>
        <v>Clientes</v>
      </c>
      <c r="H2329" s="47" t="s">
        <v>20</v>
      </c>
    </row>
    <row r="2330" customFormat="false" ht="14.25" hidden="false" customHeight="true" outlineLevel="0" collapsed="false">
      <c r="A2330" s="46" t="s">
        <v>146</v>
      </c>
      <c r="B2330" s="36" t="s">
        <v>155</v>
      </c>
      <c r="C2330" s="36" t="s">
        <v>170</v>
      </c>
      <c r="D2330" s="36" t="n">
        <v>3</v>
      </c>
      <c r="E2330" s="37" t="n">
        <v>10.05</v>
      </c>
      <c r="F2330" s="48" t="n">
        <f aca="false">IFERROR(D2330*E2330,0)</f>
        <v>30.15</v>
      </c>
      <c r="G2330" s="47" t="str">
        <f aca="false">INDEX(SETORES!$B:$B,MATCH(A2330,SETORES!$A:$A,0))</f>
        <v>Clientes</v>
      </c>
      <c r="H2330" s="47" t="s">
        <v>20</v>
      </c>
    </row>
    <row r="2331" customFormat="false" ht="14.25" hidden="false" customHeight="true" outlineLevel="0" collapsed="false">
      <c r="A2331" s="46" t="s">
        <v>146</v>
      </c>
      <c r="B2331" s="36" t="s">
        <v>155</v>
      </c>
      <c r="C2331" s="36" t="s">
        <v>172</v>
      </c>
      <c r="D2331" s="36" t="n">
        <v>3</v>
      </c>
      <c r="E2331" s="37" t="n">
        <v>50</v>
      </c>
      <c r="F2331" s="48" t="n">
        <f aca="false">IFERROR(D2331*E2331,0)</f>
        <v>150</v>
      </c>
      <c r="G2331" s="47" t="str">
        <f aca="false">INDEX(SETORES!$B:$B,MATCH(A2331,SETORES!$A:$A,0))</f>
        <v>Clientes</v>
      </c>
      <c r="H2331" s="47" t="s">
        <v>20</v>
      </c>
    </row>
    <row r="2332" customFormat="false" ht="14.25" hidden="false" customHeight="true" outlineLevel="0" collapsed="false">
      <c r="A2332" s="46" t="s">
        <v>146</v>
      </c>
      <c r="B2332" s="36" t="s">
        <v>155</v>
      </c>
      <c r="C2332" s="36" t="s">
        <v>226</v>
      </c>
      <c r="D2332" s="36" t="n">
        <v>0</v>
      </c>
      <c r="E2332" s="37" t="n">
        <v>0</v>
      </c>
      <c r="F2332" s="48" t="n">
        <f aca="false">IFERROR(D2332*E2332,0)</f>
        <v>0</v>
      </c>
      <c r="G2332" s="47" t="str">
        <f aca="false">INDEX(SETORES!$B:$B,MATCH(A2332,SETORES!$A:$A,0))</f>
        <v>Clientes</v>
      </c>
      <c r="H2332" s="47" t="s">
        <v>20</v>
      </c>
    </row>
    <row r="2333" customFormat="false" ht="14.25" hidden="false" customHeight="true" outlineLevel="0" collapsed="false">
      <c r="A2333" s="46" t="s">
        <v>146</v>
      </c>
      <c r="B2333" s="36" t="s">
        <v>155</v>
      </c>
      <c r="C2333" s="36" t="s">
        <v>177</v>
      </c>
      <c r="F2333" s="48" t="n">
        <f aca="false">IFERROR(D2333*E2333,0)</f>
        <v>0</v>
      </c>
      <c r="G2333" s="47" t="str">
        <f aca="false">INDEX(SETORES!$B:$B,MATCH(A2333,SETORES!$A:$A,0))</f>
        <v>Clientes</v>
      </c>
      <c r="H2333" s="47" t="s">
        <v>20</v>
      </c>
    </row>
    <row r="2334" customFormat="false" ht="14.25" hidden="false" customHeight="true" outlineLevel="0" collapsed="false">
      <c r="A2334" s="46" t="s">
        <v>146</v>
      </c>
      <c r="B2334" s="36" t="s">
        <v>155</v>
      </c>
      <c r="C2334" s="36" t="s">
        <v>178</v>
      </c>
      <c r="F2334" s="48" t="n">
        <f aca="false">IFERROR(D2334*E2334,0)</f>
        <v>0</v>
      </c>
      <c r="G2334" s="47" t="str">
        <f aca="false">INDEX(SETORES!$B:$B,MATCH(A2334,SETORES!$A:$A,0))</f>
        <v>Clientes</v>
      </c>
      <c r="H2334" s="47" t="s">
        <v>20</v>
      </c>
    </row>
    <row r="2335" customFormat="false" ht="14.25" hidden="false" customHeight="true" outlineLevel="0" collapsed="false">
      <c r="A2335" s="46" t="s">
        <v>146</v>
      </c>
      <c r="B2335" s="36" t="s">
        <v>157</v>
      </c>
      <c r="C2335" s="36" t="s">
        <v>184</v>
      </c>
      <c r="D2335" s="36" t="n">
        <v>3</v>
      </c>
      <c r="E2335" s="53" t="n">
        <v>65.21</v>
      </c>
      <c r="F2335" s="48" t="n">
        <f aca="false">IFERROR(D2335*E2335,0)</f>
        <v>195.63</v>
      </c>
      <c r="G2335" s="47" t="str">
        <f aca="false">INDEX(SETORES!$B:$B,MATCH(A2335,SETORES!$A:$A,0))</f>
        <v>Clientes</v>
      </c>
      <c r="H2335" s="47" t="s">
        <v>20</v>
      </c>
    </row>
    <row r="2336" customFormat="false" ht="14.25" hidden="false" customHeight="true" outlineLevel="0" collapsed="false">
      <c r="A2336" s="46" t="s">
        <v>146</v>
      </c>
      <c r="B2336" s="36" t="s">
        <v>155</v>
      </c>
      <c r="C2336" s="36" t="s">
        <v>173</v>
      </c>
      <c r="D2336" s="36" t="n">
        <v>3</v>
      </c>
      <c r="E2336" s="37" t="n">
        <v>2.07</v>
      </c>
      <c r="F2336" s="48" t="n">
        <f aca="false">IFERROR(D2336*E2336,0)</f>
        <v>6.21</v>
      </c>
      <c r="G2336" s="47" t="str">
        <f aca="false">INDEX(SETORES!$B:$B,MATCH(A2336,SETORES!$A:$A,0))</f>
        <v>Clientes</v>
      </c>
      <c r="H2336" s="47" t="s">
        <v>20</v>
      </c>
    </row>
    <row r="2337" customFormat="false" ht="14.25" hidden="false" customHeight="true" outlineLevel="0" collapsed="false">
      <c r="A2337" s="46" t="s">
        <v>146</v>
      </c>
      <c r="B2337" s="36" t="s">
        <v>155</v>
      </c>
      <c r="C2337" s="42" t="s">
        <v>163</v>
      </c>
      <c r="D2337" s="36" t="n">
        <v>3</v>
      </c>
      <c r="E2337" s="37" t="n">
        <v>30</v>
      </c>
      <c r="F2337" s="48" t="n">
        <f aca="false">IFERROR(D2337*E2337,0)</f>
        <v>90</v>
      </c>
      <c r="G2337" s="47" t="str">
        <f aca="false">INDEX(SETORES!$B:$B,MATCH(A2337,SETORES!$A:$A,0))</f>
        <v>Clientes</v>
      </c>
      <c r="H2337" s="47" t="s">
        <v>20</v>
      </c>
    </row>
    <row r="2338" customFormat="false" ht="14.25" hidden="false" customHeight="true" outlineLevel="0" collapsed="false">
      <c r="A2338" s="16" t="s">
        <v>86</v>
      </c>
      <c r="B2338" s="42" t="s">
        <v>155</v>
      </c>
      <c r="C2338" s="42" t="s">
        <v>250</v>
      </c>
      <c r="D2338" s="43" t="n">
        <v>4</v>
      </c>
      <c r="E2338" s="44" t="n">
        <v>30</v>
      </c>
      <c r="F2338" s="45" t="n">
        <f aca="false">IFERROR(D2338*E2338,0)</f>
        <v>120</v>
      </c>
      <c r="G2338" s="42" t="str">
        <f aca="false">INDEX(SETORES!$B:$B,MATCH(A2338,SETORES!$A:$A,0))</f>
        <v>Clientes</v>
      </c>
      <c r="H2338" s="42" t="s">
        <v>20</v>
      </c>
    </row>
    <row r="2339" customFormat="false" ht="14.25" hidden="false" customHeight="true" outlineLevel="0" collapsed="false">
      <c r="A2339" s="50" t="s">
        <v>86</v>
      </c>
      <c r="B2339" s="51" t="s">
        <v>155</v>
      </c>
      <c r="C2339" s="51" t="s">
        <v>165</v>
      </c>
      <c r="D2339" s="52" t="n">
        <v>7</v>
      </c>
      <c r="E2339" s="53" t="n">
        <v>47.79</v>
      </c>
      <c r="F2339" s="54" t="n">
        <f aca="false">IFERROR(D2339*E2339,0)</f>
        <v>334.53</v>
      </c>
      <c r="G2339" s="42" t="s">
        <v>99</v>
      </c>
      <c r="H2339" s="51" t="s">
        <v>20</v>
      </c>
    </row>
    <row r="2340" customFormat="false" ht="14.25" hidden="false" customHeight="true" outlineLevel="0" collapsed="false">
      <c r="A2340" s="16" t="s">
        <v>86</v>
      </c>
      <c r="B2340" s="42" t="s">
        <v>155</v>
      </c>
      <c r="C2340" s="42" t="s">
        <v>166</v>
      </c>
      <c r="D2340" s="43" t="n">
        <v>7</v>
      </c>
      <c r="E2340" s="44" t="n">
        <v>28.31</v>
      </c>
      <c r="F2340" s="45" t="n">
        <f aca="false">IFERROR(D2340*E2340,0)</f>
        <v>198.17</v>
      </c>
      <c r="G2340" s="51" t="s">
        <v>99</v>
      </c>
      <c r="H2340" s="42" t="s">
        <v>20</v>
      </c>
    </row>
    <row r="2341" customFormat="false" ht="14.25" hidden="false" customHeight="true" outlineLevel="0" collapsed="false">
      <c r="A2341" s="16" t="s">
        <v>86</v>
      </c>
      <c r="B2341" s="42" t="s">
        <v>155</v>
      </c>
      <c r="C2341" s="42" t="s">
        <v>167</v>
      </c>
      <c r="D2341" s="43" t="n">
        <v>7</v>
      </c>
      <c r="E2341" s="44" t="n">
        <v>64.57</v>
      </c>
      <c r="F2341" s="45" t="n">
        <f aca="false">IFERROR(D2341*E2341,0)</f>
        <v>451.99</v>
      </c>
      <c r="G2341" s="51" t="s">
        <v>99</v>
      </c>
      <c r="H2341" s="42" t="s">
        <v>20</v>
      </c>
    </row>
    <row r="2342" customFormat="false" ht="14.25" hidden="false" customHeight="true" outlineLevel="0" collapsed="false">
      <c r="A2342" s="50" t="s">
        <v>86</v>
      </c>
      <c r="B2342" s="51" t="s">
        <v>155</v>
      </c>
      <c r="C2342" s="51" t="s">
        <v>169</v>
      </c>
      <c r="D2342" s="52" t="n">
        <v>1</v>
      </c>
      <c r="E2342" s="53" t="n">
        <v>24142.91</v>
      </c>
      <c r="F2342" s="54" t="n">
        <f aca="false">IFERROR(E2342,0)</f>
        <v>24142.91</v>
      </c>
      <c r="G2342" s="51" t="str">
        <f aca="false">INDEX(SETORES!$B:$B,MATCH(A2342,SETORES!$A:$A,0))</f>
        <v>Clientes</v>
      </c>
      <c r="H2342" s="51" t="s">
        <v>20</v>
      </c>
    </row>
    <row r="2343" customFormat="false" ht="14.25" hidden="false" customHeight="true" outlineLevel="0" collapsed="false">
      <c r="A2343" s="50" t="s">
        <v>86</v>
      </c>
      <c r="B2343" s="51" t="s">
        <v>155</v>
      </c>
      <c r="C2343" s="51" t="s">
        <v>170</v>
      </c>
      <c r="D2343" s="52" t="n">
        <v>7</v>
      </c>
      <c r="E2343" s="53" t="n">
        <v>10.05</v>
      </c>
      <c r="F2343" s="54" t="n">
        <f aca="false">IFERROR(D2343*E2343,0)</f>
        <v>70.35</v>
      </c>
      <c r="G2343" s="51" t="str">
        <f aca="false">INDEX(SETORES!$B:$B,MATCH(A2343,SETORES!$A:$A,0))</f>
        <v>Clientes</v>
      </c>
      <c r="H2343" s="51" t="s">
        <v>20</v>
      </c>
    </row>
    <row r="2344" customFormat="false" ht="14.25" hidden="false" customHeight="true" outlineLevel="0" collapsed="false">
      <c r="A2344" s="50" t="s">
        <v>86</v>
      </c>
      <c r="B2344" s="51" t="s">
        <v>155</v>
      </c>
      <c r="C2344" s="51" t="s">
        <v>183</v>
      </c>
      <c r="D2344" s="52" t="n">
        <v>1</v>
      </c>
      <c r="E2344" s="53" t="n">
        <v>7.777777</v>
      </c>
      <c r="F2344" s="54" t="n">
        <f aca="false">IFERROR(D2344*E2344,0)</f>
        <v>7.777777</v>
      </c>
      <c r="G2344" s="51" t="str">
        <f aca="false">INDEX(SETORES!$B:$B,MATCH(A2344,SETORES!$A:$A,0))</f>
        <v>Clientes</v>
      </c>
      <c r="H2344" s="51" t="s">
        <v>20</v>
      </c>
    </row>
    <row r="2345" customFormat="false" ht="14.25" hidden="false" customHeight="true" outlineLevel="0" collapsed="false">
      <c r="A2345" s="50" t="s">
        <v>86</v>
      </c>
      <c r="B2345" s="51" t="s">
        <v>155</v>
      </c>
      <c r="C2345" s="51" t="s">
        <v>172</v>
      </c>
      <c r="D2345" s="52" t="n">
        <v>8</v>
      </c>
      <c r="E2345" s="53" t="n">
        <v>50</v>
      </c>
      <c r="F2345" s="54" t="n">
        <f aca="false">IFERROR(D2345*E2345,0)</f>
        <v>400</v>
      </c>
      <c r="G2345" s="51" t="str">
        <f aca="false">INDEX(SETORES!$B:$B,MATCH(A2345,SETORES!$A:$A,0))</f>
        <v>Clientes</v>
      </c>
      <c r="H2345" s="51" t="s">
        <v>20</v>
      </c>
    </row>
    <row r="2346" customFormat="false" ht="14.25" hidden="false" customHeight="true" outlineLevel="0" collapsed="false">
      <c r="A2346" s="16" t="s">
        <v>86</v>
      </c>
      <c r="B2346" s="42" t="s">
        <v>155</v>
      </c>
      <c r="C2346" s="42" t="s">
        <v>178</v>
      </c>
      <c r="D2346" s="43" t="n">
        <v>1</v>
      </c>
      <c r="E2346" s="44" t="n">
        <v>160.86</v>
      </c>
      <c r="F2346" s="45" t="n">
        <v>160.86</v>
      </c>
      <c r="G2346" s="42" t="str">
        <f aca="false">INDEX(SETORES!$B:$B,MATCH(A2346,SETORES!$A:$A,0))</f>
        <v>Clientes</v>
      </c>
      <c r="H2346" s="42" t="s">
        <v>20</v>
      </c>
    </row>
    <row r="2347" customFormat="false" ht="14.25" hidden="false" customHeight="true" outlineLevel="0" collapsed="false">
      <c r="A2347" s="50" t="s">
        <v>86</v>
      </c>
      <c r="B2347" s="51" t="s">
        <v>157</v>
      </c>
      <c r="C2347" s="51" t="s">
        <v>158</v>
      </c>
      <c r="D2347" s="52"/>
      <c r="E2347" s="53"/>
      <c r="F2347" s="54" t="n">
        <f aca="false">IFERROR(D2347*E2347,0)</f>
        <v>0</v>
      </c>
      <c r="G2347" s="51" t="str">
        <f aca="false">INDEX(SETORES!$B:$B,MATCH(A2347,SETORES!$A:$A,0))</f>
        <v>Clientes</v>
      </c>
      <c r="H2347" s="51" t="s">
        <v>20</v>
      </c>
    </row>
    <row r="2348" customFormat="false" ht="14.25" hidden="false" customHeight="true" outlineLevel="0" collapsed="false">
      <c r="A2348" s="16" t="s">
        <v>86</v>
      </c>
      <c r="B2348" s="42" t="s">
        <v>155</v>
      </c>
      <c r="C2348" s="42" t="s">
        <v>173</v>
      </c>
      <c r="D2348" s="43" t="n">
        <v>7</v>
      </c>
      <c r="E2348" s="44" t="n">
        <v>2.07</v>
      </c>
      <c r="F2348" s="45" t="n">
        <f aca="false">IFERROR(D2348*E2348,0)</f>
        <v>14.49</v>
      </c>
      <c r="G2348" s="42" t="str">
        <f aca="false">INDEX(SETORES!$B:$B,MATCH(A2348,SETORES!$A:$A,0))</f>
        <v>Clientes</v>
      </c>
      <c r="H2348" s="42" t="s">
        <v>20</v>
      </c>
    </row>
    <row r="2349" customFormat="false" ht="14.25" hidden="false" customHeight="true" outlineLevel="0" collapsed="false">
      <c r="A2349" s="16" t="s">
        <v>39</v>
      </c>
      <c r="B2349" s="42" t="s">
        <v>155</v>
      </c>
      <c r="C2349" s="42" t="s">
        <v>162</v>
      </c>
      <c r="D2349" s="43" t="n">
        <v>1</v>
      </c>
      <c r="E2349" s="44" t="n">
        <v>0</v>
      </c>
      <c r="F2349" s="45" t="n">
        <v>0</v>
      </c>
      <c r="G2349" s="42" t="str">
        <f aca="false">INDEX(SETORES!$B:$B,MATCH(A2349,SETORES!$A:$A,0))</f>
        <v>Clientes</v>
      </c>
      <c r="H2349" s="42" t="s">
        <v>20</v>
      </c>
    </row>
    <row r="2350" customFormat="false" ht="14.25" hidden="false" customHeight="true" outlineLevel="0" collapsed="false">
      <c r="A2350" s="50" t="s">
        <v>39</v>
      </c>
      <c r="B2350" s="51" t="s">
        <v>155</v>
      </c>
      <c r="C2350" s="51" t="s">
        <v>180</v>
      </c>
      <c r="D2350" s="52" t="n">
        <v>1</v>
      </c>
      <c r="E2350" s="53" t="n">
        <v>1215.92</v>
      </c>
      <c r="F2350" s="54" t="n">
        <f aca="false">IFERROR(D2350*E2350,0)</f>
        <v>1215.92</v>
      </c>
      <c r="G2350" s="51" t="str">
        <f aca="false">INDEX(SETORES!$B:$B,MATCH(A2350,SETORES!$A:$A,0))</f>
        <v>Clientes</v>
      </c>
      <c r="H2350" s="51" t="s">
        <v>20</v>
      </c>
    </row>
    <row r="2351" customFormat="false" ht="14.25" hidden="false" customHeight="true" outlineLevel="0" collapsed="false">
      <c r="A2351" s="50" t="s">
        <v>39</v>
      </c>
      <c r="B2351" s="51" t="s">
        <v>155</v>
      </c>
      <c r="C2351" s="51" t="s">
        <v>165</v>
      </c>
      <c r="D2351" s="52" t="n">
        <v>10</v>
      </c>
      <c r="E2351" s="53" t="n">
        <v>47.79</v>
      </c>
      <c r="F2351" s="54" t="n">
        <f aca="false">IFERROR(D2351*E2351,0)</f>
        <v>477.9</v>
      </c>
      <c r="G2351" s="42" t="s">
        <v>99</v>
      </c>
      <c r="H2351" s="51" t="s">
        <v>20</v>
      </c>
    </row>
    <row r="2352" customFormat="false" ht="14.25" hidden="false" customHeight="true" outlineLevel="0" collapsed="false">
      <c r="A2352" s="16" t="s">
        <v>39</v>
      </c>
      <c r="B2352" s="42" t="s">
        <v>155</v>
      </c>
      <c r="C2352" s="42" t="s">
        <v>166</v>
      </c>
      <c r="D2352" s="43" t="n">
        <v>10</v>
      </c>
      <c r="E2352" s="44" t="n">
        <v>28.31</v>
      </c>
      <c r="F2352" s="45" t="n">
        <f aca="false">IFERROR(D2352*E2352,0)</f>
        <v>283.1</v>
      </c>
      <c r="G2352" s="51" t="s">
        <v>99</v>
      </c>
      <c r="H2352" s="42" t="s">
        <v>20</v>
      </c>
    </row>
    <row r="2353" customFormat="false" ht="14.25" hidden="false" customHeight="true" outlineLevel="0" collapsed="false">
      <c r="A2353" s="50" t="s">
        <v>39</v>
      </c>
      <c r="B2353" s="51" t="s">
        <v>155</v>
      </c>
      <c r="C2353" s="51" t="s">
        <v>167</v>
      </c>
      <c r="D2353" s="52" t="n">
        <v>10</v>
      </c>
      <c r="E2353" s="53" t="n">
        <v>64.57</v>
      </c>
      <c r="F2353" s="54" t="n">
        <f aca="false">IFERROR(D2353*E2353,0)</f>
        <v>645.7</v>
      </c>
      <c r="G2353" s="51" t="s">
        <v>99</v>
      </c>
      <c r="H2353" s="51" t="s">
        <v>20</v>
      </c>
    </row>
    <row r="2354" customFormat="false" ht="14.25" hidden="false" customHeight="true" outlineLevel="0" collapsed="false">
      <c r="A2354" s="16" t="s">
        <v>39</v>
      </c>
      <c r="B2354" s="42" t="s">
        <v>157</v>
      </c>
      <c r="C2354" s="42" t="s">
        <v>247</v>
      </c>
      <c r="D2354" s="43" t="n">
        <v>1</v>
      </c>
      <c r="E2354" s="44" t="n">
        <v>242.73</v>
      </c>
      <c r="F2354" s="45" t="n">
        <f aca="false">IFERROR(D2354*E2354,0)</f>
        <v>242.73</v>
      </c>
      <c r="G2354" s="42" t="str">
        <f aca="false">INDEX(SETORES!$B:$B,MATCH(A2354,SETORES!$A:$A,0))</f>
        <v>Clientes</v>
      </c>
      <c r="H2354" s="42" t="s">
        <v>20</v>
      </c>
    </row>
    <row r="2355" customFormat="false" ht="14.25" hidden="false" customHeight="true" outlineLevel="0" collapsed="false">
      <c r="A2355" s="16" t="s">
        <v>39</v>
      </c>
      <c r="B2355" s="42" t="s">
        <v>157</v>
      </c>
      <c r="C2355" s="42" t="s">
        <v>191</v>
      </c>
      <c r="D2355" s="43" t="n">
        <v>1</v>
      </c>
      <c r="E2355" s="44" t="n">
        <v>23.5</v>
      </c>
      <c r="F2355" s="45" t="n">
        <f aca="false">IFERROR(D2355*E2355,0)</f>
        <v>23.5</v>
      </c>
      <c r="G2355" s="42" t="str">
        <f aca="false">INDEX(SETORES!$B:$B,MATCH(A2355,SETORES!$A:$A,0))</f>
        <v>Clientes</v>
      </c>
      <c r="H2355" s="42" t="s">
        <v>20</v>
      </c>
    </row>
    <row r="2356" customFormat="false" ht="14.25" hidden="false" customHeight="true" outlineLevel="0" collapsed="false">
      <c r="A2356" s="50" t="s">
        <v>39</v>
      </c>
      <c r="B2356" s="51" t="s">
        <v>155</v>
      </c>
      <c r="C2356" s="51" t="s">
        <v>168</v>
      </c>
      <c r="D2356" s="52" t="n">
        <v>1</v>
      </c>
      <c r="E2356" s="53" t="n">
        <v>85.1079</v>
      </c>
      <c r="F2356" s="54" t="n">
        <v>85.1079</v>
      </c>
      <c r="G2356" s="51" t="str">
        <f aca="false">INDEX(SETORES!$B:$B,MATCH(A2356,SETORES!$A:$A,0))</f>
        <v>Clientes</v>
      </c>
      <c r="H2356" s="51" t="s">
        <v>20</v>
      </c>
    </row>
    <row r="2357" customFormat="false" ht="14.25" hidden="false" customHeight="true" outlineLevel="0" collapsed="false">
      <c r="A2357" s="50" t="s">
        <v>39</v>
      </c>
      <c r="B2357" s="51" t="s">
        <v>157</v>
      </c>
      <c r="C2357" s="51" t="s">
        <v>174</v>
      </c>
      <c r="D2357" s="52" t="n">
        <v>1</v>
      </c>
      <c r="E2357" s="53" t="n">
        <v>316.67</v>
      </c>
      <c r="F2357" s="54" t="n">
        <f aca="false">IFERROR(D2357*E2357,0)</f>
        <v>316.67</v>
      </c>
      <c r="G2357" s="51" t="str">
        <f aca="false">INDEX(SETORES!$B:$B,MATCH(A2357,SETORES!$A:$A,0))</f>
        <v>Clientes</v>
      </c>
      <c r="H2357" s="51" t="s">
        <v>20</v>
      </c>
    </row>
    <row r="2358" customFormat="false" ht="14.25" hidden="false" customHeight="true" outlineLevel="0" collapsed="false">
      <c r="A2358" s="50" t="s">
        <v>39</v>
      </c>
      <c r="B2358" s="51" t="s">
        <v>157</v>
      </c>
      <c r="C2358" s="51" t="s">
        <v>175</v>
      </c>
      <c r="D2358" s="52" t="n">
        <v>1</v>
      </c>
      <c r="E2358" s="53" t="n">
        <v>340</v>
      </c>
      <c r="F2358" s="54" t="n">
        <f aca="false">IFERROR(D2358*E2358,0)</f>
        <v>340</v>
      </c>
      <c r="G2358" s="51" t="str">
        <f aca="false">INDEX(SETORES!$B:$B,MATCH(A2358,SETORES!$A:$A,0))</f>
        <v>Clientes</v>
      </c>
      <c r="H2358" s="51" t="s">
        <v>20</v>
      </c>
    </row>
    <row r="2359" customFormat="false" ht="14.25" hidden="false" customHeight="true" outlineLevel="0" collapsed="false">
      <c r="A2359" s="16" t="s">
        <v>39</v>
      </c>
      <c r="B2359" s="42" t="s">
        <v>157</v>
      </c>
      <c r="C2359" s="42" t="s">
        <v>176</v>
      </c>
      <c r="D2359" s="43" t="n">
        <v>1</v>
      </c>
      <c r="E2359" s="44" t="n">
        <v>181.33</v>
      </c>
      <c r="F2359" s="45" t="n">
        <f aca="false">IFERROR(D2359*E2359,0)</f>
        <v>181.33</v>
      </c>
      <c r="G2359" s="42" t="str">
        <f aca="false">INDEX(SETORES!$B:$B,MATCH(A2359,SETORES!$A:$A,0))</f>
        <v>Clientes</v>
      </c>
      <c r="H2359" s="42" t="s">
        <v>20</v>
      </c>
    </row>
    <row r="2360" customFormat="false" ht="14.25" hidden="false" customHeight="true" outlineLevel="0" collapsed="false">
      <c r="A2360" s="16" t="s">
        <v>39</v>
      </c>
      <c r="B2360" s="42" t="s">
        <v>155</v>
      </c>
      <c r="C2360" s="42" t="s">
        <v>169</v>
      </c>
      <c r="D2360" s="43" t="n">
        <v>1</v>
      </c>
      <c r="E2360" s="44" t="n">
        <v>30713.94</v>
      </c>
      <c r="F2360" s="45" t="n">
        <f aca="false">IFERROR(E2360,0)</f>
        <v>30713.94</v>
      </c>
      <c r="G2360" s="42" t="str">
        <f aca="false">INDEX(SETORES!$B:$B,MATCH(A2360,SETORES!$A:$A,0))</f>
        <v>Clientes</v>
      </c>
      <c r="H2360" s="42" t="s">
        <v>20</v>
      </c>
    </row>
    <row r="2361" customFormat="false" ht="14.25" hidden="false" customHeight="true" outlineLevel="0" collapsed="false">
      <c r="A2361" s="50" t="s">
        <v>39</v>
      </c>
      <c r="B2361" s="51" t="s">
        <v>155</v>
      </c>
      <c r="C2361" s="51" t="s">
        <v>170</v>
      </c>
      <c r="D2361" s="52" t="n">
        <v>10</v>
      </c>
      <c r="E2361" s="53" t="n">
        <v>10.05</v>
      </c>
      <c r="F2361" s="54" t="n">
        <f aca="false">IFERROR(D2361*E2361,0)</f>
        <v>100.5</v>
      </c>
      <c r="G2361" s="51" t="str">
        <f aca="false">INDEX(SETORES!$B:$B,MATCH(A2361,SETORES!$A:$A,0))</f>
        <v>Clientes</v>
      </c>
      <c r="H2361" s="51" t="s">
        <v>20</v>
      </c>
    </row>
    <row r="2362" customFormat="false" ht="14.25" hidden="false" customHeight="true" outlineLevel="0" collapsed="false">
      <c r="A2362" s="16" t="s">
        <v>39</v>
      </c>
      <c r="B2362" s="42" t="s">
        <v>155</v>
      </c>
      <c r="C2362" s="42" t="s">
        <v>172</v>
      </c>
      <c r="D2362" s="43" t="n">
        <v>11</v>
      </c>
      <c r="E2362" s="44" t="n">
        <v>50</v>
      </c>
      <c r="F2362" s="45" t="n">
        <f aca="false">IFERROR(D2362*E2362,0)</f>
        <v>550</v>
      </c>
      <c r="G2362" s="42" t="str">
        <f aca="false">INDEX(SETORES!$B:$B,MATCH(A2362,SETORES!$A:$A,0))</f>
        <v>Clientes</v>
      </c>
      <c r="H2362" s="42" t="s">
        <v>20</v>
      </c>
    </row>
    <row r="2363" customFormat="false" ht="14.25" hidden="false" customHeight="true" outlineLevel="0" collapsed="false">
      <c r="A2363" s="50" t="s">
        <v>39</v>
      </c>
      <c r="B2363" s="51" t="s">
        <v>155</v>
      </c>
      <c r="C2363" s="51" t="s">
        <v>224</v>
      </c>
      <c r="D2363" s="52"/>
      <c r="E2363" s="53"/>
      <c r="F2363" s="54" t="n">
        <f aca="false">IFERROR(D2363*E2363,0)</f>
        <v>0</v>
      </c>
      <c r="G2363" s="51" t="str">
        <f aca="false">INDEX(SETORES!$B:$B,MATCH(A2363,SETORES!$A:$A,0))</f>
        <v>Clientes</v>
      </c>
      <c r="H2363" s="51" t="s">
        <v>20</v>
      </c>
    </row>
    <row r="2364" customFormat="false" ht="14.25" hidden="false" customHeight="true" outlineLevel="0" collapsed="false">
      <c r="A2364" s="50" t="s">
        <v>39</v>
      </c>
      <c r="B2364" s="51" t="s">
        <v>155</v>
      </c>
      <c r="C2364" s="51" t="s">
        <v>177</v>
      </c>
      <c r="D2364" s="52" t="n">
        <v>10</v>
      </c>
      <c r="E2364" s="53" t="n">
        <v>0.3648</v>
      </c>
      <c r="F2364" s="54" t="n">
        <v>3.648</v>
      </c>
      <c r="G2364" s="51" t="str">
        <f aca="false">INDEX(SETORES!$B:$B,MATCH(A2364,SETORES!$A:$A,0))</f>
        <v>Clientes</v>
      </c>
      <c r="H2364" s="51" t="s">
        <v>20</v>
      </c>
    </row>
    <row r="2365" customFormat="false" ht="14.25" hidden="false" customHeight="true" outlineLevel="0" collapsed="false">
      <c r="A2365" s="16" t="s">
        <v>39</v>
      </c>
      <c r="B2365" s="42" t="s">
        <v>155</v>
      </c>
      <c r="C2365" s="42" t="s">
        <v>178</v>
      </c>
      <c r="D2365" s="43" t="n">
        <v>1</v>
      </c>
      <c r="E2365" s="44" t="n">
        <v>282.981034</v>
      </c>
      <c r="F2365" s="45" t="n">
        <v>282.981034</v>
      </c>
      <c r="G2365" s="42" t="str">
        <f aca="false">INDEX(SETORES!$B:$B,MATCH(A2365,SETORES!$A:$A,0))</f>
        <v>Clientes</v>
      </c>
      <c r="H2365" s="42" t="s">
        <v>20</v>
      </c>
    </row>
    <row r="2366" customFormat="false" ht="14.25" hidden="false" customHeight="true" outlineLevel="0" collapsed="false">
      <c r="A2366" s="16" t="s">
        <v>39</v>
      </c>
      <c r="B2366" s="42" t="s">
        <v>157</v>
      </c>
      <c r="C2366" s="42" t="s">
        <v>255</v>
      </c>
      <c r="D2366" s="43"/>
      <c r="E2366" s="44"/>
      <c r="F2366" s="45" t="n">
        <f aca="false">IFERROR(D2366*E2366,0)</f>
        <v>0</v>
      </c>
      <c r="G2366" s="42" t="str">
        <f aca="false">INDEX(SETORES!$B:$B,MATCH(A2366,SETORES!$A:$A,0))</f>
        <v>Clientes</v>
      </c>
      <c r="H2366" s="42" t="s">
        <v>20</v>
      </c>
    </row>
    <row r="2367" customFormat="false" ht="14.25" hidden="false" customHeight="true" outlineLevel="0" collapsed="false">
      <c r="A2367" s="50" t="s">
        <v>39</v>
      </c>
      <c r="B2367" s="51" t="s">
        <v>155</v>
      </c>
      <c r="C2367" s="51" t="s">
        <v>238</v>
      </c>
      <c r="D2367" s="52" t="n">
        <v>1</v>
      </c>
      <c r="E2367" s="53" t="n">
        <v>215.51724</v>
      </c>
      <c r="F2367" s="54" t="n">
        <f aca="false">IFERROR(D2367*E2367,0)</f>
        <v>215.51724</v>
      </c>
      <c r="G2367" s="51" t="str">
        <f aca="false">INDEX(SETORES!$B:$B,MATCH(A2367,SETORES!$A:$A,0))</f>
        <v>Clientes</v>
      </c>
      <c r="H2367" s="51" t="s">
        <v>20</v>
      </c>
    </row>
    <row r="2368" customFormat="false" ht="14.25" hidden="false" customHeight="true" outlineLevel="0" collapsed="false">
      <c r="A2368" s="16" t="s">
        <v>39</v>
      </c>
      <c r="B2368" s="42" t="s">
        <v>155</v>
      </c>
      <c r="C2368" s="42" t="s">
        <v>248</v>
      </c>
      <c r="D2368" s="43" t="n">
        <v>1</v>
      </c>
      <c r="E2368" s="44" t="n">
        <v>28.73534</v>
      </c>
      <c r="F2368" s="45" t="n">
        <f aca="false">IFERROR(D2368*E2368,0)</f>
        <v>28.73534</v>
      </c>
      <c r="G2368" s="42" t="str">
        <f aca="false">INDEX(SETORES!$B:$B,MATCH(A2368,SETORES!$A:$A,0))</f>
        <v>Clientes</v>
      </c>
      <c r="H2368" s="42" t="s">
        <v>20</v>
      </c>
    </row>
    <row r="2369" customFormat="false" ht="14.25" hidden="false" customHeight="true" outlineLevel="0" collapsed="false">
      <c r="A2369" s="50" t="s">
        <v>39</v>
      </c>
      <c r="B2369" s="51" t="s">
        <v>157</v>
      </c>
      <c r="C2369" s="51" t="s">
        <v>239</v>
      </c>
      <c r="D2369" s="52" t="n">
        <v>1</v>
      </c>
      <c r="E2369" s="53" t="n">
        <v>79.64052</v>
      </c>
      <c r="F2369" s="54" t="n">
        <f aca="false">IFERROR(D2369*E2369,0)</f>
        <v>79.64052</v>
      </c>
      <c r="G2369" s="51" t="str">
        <f aca="false">INDEX(SETORES!$B:$B,MATCH(A2369,SETORES!$A:$A,0))</f>
        <v>Clientes</v>
      </c>
      <c r="H2369" s="51" t="s">
        <v>20</v>
      </c>
    </row>
    <row r="2370" customFormat="false" ht="14.25" hidden="false" customHeight="true" outlineLevel="0" collapsed="false">
      <c r="A2370" s="50" t="s">
        <v>39</v>
      </c>
      <c r="B2370" s="51" t="s">
        <v>155</v>
      </c>
      <c r="C2370" s="51" t="s">
        <v>182</v>
      </c>
      <c r="D2370" s="52" t="n">
        <v>1</v>
      </c>
      <c r="E2370" s="53" t="n">
        <v>458.41293</v>
      </c>
      <c r="F2370" s="54" t="n">
        <f aca="false">IFERROR(D2370*E2370,0)</f>
        <v>458.41293</v>
      </c>
      <c r="G2370" s="51" t="str">
        <f aca="false">INDEX(SETORES!$B:$B,MATCH(A2370,SETORES!$A:$A,0))</f>
        <v>Clientes</v>
      </c>
      <c r="H2370" s="51" t="s">
        <v>20</v>
      </c>
    </row>
    <row r="2371" customFormat="false" ht="14.25" hidden="false" customHeight="true" outlineLevel="0" collapsed="false">
      <c r="A2371" s="16" t="s">
        <v>39</v>
      </c>
      <c r="B2371" s="42" t="s">
        <v>155</v>
      </c>
      <c r="C2371" s="42" t="s">
        <v>173</v>
      </c>
      <c r="D2371" s="43" t="n">
        <v>10</v>
      </c>
      <c r="E2371" s="44" t="n">
        <v>2.07</v>
      </c>
      <c r="F2371" s="45" t="n">
        <f aca="false">IFERROR(D2371*E2371,0)</f>
        <v>20.7</v>
      </c>
      <c r="G2371" s="42" t="str">
        <f aca="false">INDEX(SETORES!$B:$B,MATCH(A2371,SETORES!$A:$A,0))</f>
        <v>Clientes</v>
      </c>
      <c r="H2371" s="42" t="s">
        <v>20</v>
      </c>
    </row>
    <row r="2372" customFormat="false" ht="14.25" hidden="false" customHeight="true" outlineLevel="0" collapsed="false">
      <c r="A2372" s="16" t="s">
        <v>39</v>
      </c>
      <c r="B2372" s="42" t="s">
        <v>155</v>
      </c>
      <c r="C2372" s="42" t="s">
        <v>249</v>
      </c>
      <c r="D2372" s="43" t="n">
        <v>1</v>
      </c>
      <c r="E2372" s="44" t="n">
        <v>1641.85</v>
      </c>
      <c r="F2372" s="45" t="n">
        <f aca="false">IFERROR(D2372*E2372,0)</f>
        <v>1641.85</v>
      </c>
      <c r="G2372" s="42" t="str">
        <f aca="false">INDEX(SETORES!$B:$B,MATCH(A2372,SETORES!$A:$A,0))</f>
        <v>Clientes</v>
      </c>
      <c r="H2372" s="42" t="s">
        <v>20</v>
      </c>
    </row>
    <row r="2373" customFormat="false" ht="14.25" hidden="false" customHeight="true" outlineLevel="0" collapsed="false">
      <c r="A2373" s="50" t="s">
        <v>39</v>
      </c>
      <c r="B2373" s="51" t="s">
        <v>155</v>
      </c>
      <c r="C2373" s="51" t="s">
        <v>179</v>
      </c>
      <c r="D2373" s="52"/>
      <c r="E2373" s="53"/>
      <c r="F2373" s="54" t="n">
        <f aca="false">IFERROR(D2373*E2373,0)</f>
        <v>0</v>
      </c>
      <c r="G2373" s="51" t="str">
        <f aca="false">INDEX(SETORES!$B:$B,MATCH(A2373,SETORES!$A:$A,0))</f>
        <v>Clientes</v>
      </c>
      <c r="H2373" s="51" t="s">
        <v>20</v>
      </c>
    </row>
    <row r="2374" customFormat="false" ht="14.25" hidden="false" customHeight="true" outlineLevel="0" collapsed="false">
      <c r="A2374" s="50" t="s">
        <v>39</v>
      </c>
      <c r="B2374" s="51" t="s">
        <v>155</v>
      </c>
      <c r="C2374" s="51" t="s">
        <v>250</v>
      </c>
      <c r="D2374" s="52" t="n">
        <v>1</v>
      </c>
      <c r="E2374" s="53" t="n">
        <v>52</v>
      </c>
      <c r="F2374" s="54" t="n">
        <f aca="false">IFERROR(D2374*E2374,0)</f>
        <v>52</v>
      </c>
      <c r="G2374" s="51" t="str">
        <f aca="false">INDEX(SETORES!$B:$B,MATCH(A2374,SETORES!$A:$A,0))</f>
        <v>Clientes</v>
      </c>
      <c r="H2374" s="51" t="s">
        <v>20</v>
      </c>
    </row>
    <row r="2375" customFormat="false" ht="14.25" hidden="false" customHeight="true" outlineLevel="0" collapsed="false">
      <c r="A2375" s="50" t="s">
        <v>32</v>
      </c>
      <c r="B2375" s="51" t="s">
        <v>155</v>
      </c>
      <c r="C2375" s="51" t="s">
        <v>227</v>
      </c>
      <c r="D2375" s="52"/>
      <c r="E2375" s="53"/>
      <c r="F2375" s="54" t="n">
        <f aca="false">IFERROR(D2375*E2375,0)</f>
        <v>0</v>
      </c>
      <c r="G2375" s="51" t="str">
        <f aca="false">INDEX(SETORES!$B:$B,MATCH(A2375,SETORES!$A:$A,0))</f>
        <v>Funcionários</v>
      </c>
      <c r="H2375" s="51" t="s">
        <v>20</v>
      </c>
    </row>
    <row r="2376" customFormat="false" ht="14.25" hidden="false" customHeight="true" outlineLevel="0" collapsed="false">
      <c r="A2376" s="16" t="s">
        <v>32</v>
      </c>
      <c r="B2376" s="42" t="s">
        <v>155</v>
      </c>
      <c r="C2376" s="42" t="s">
        <v>162</v>
      </c>
      <c r="D2376" s="43" t="n">
        <v>1</v>
      </c>
      <c r="E2376" s="44" t="n">
        <v>0</v>
      </c>
      <c r="F2376" s="45" t="n">
        <v>0</v>
      </c>
      <c r="G2376" s="42" t="str">
        <f aca="false">INDEX(SETORES!$B:$B,MATCH(A2376,SETORES!$A:$A,0))</f>
        <v>Funcionários</v>
      </c>
      <c r="H2376" s="42" t="s">
        <v>20</v>
      </c>
    </row>
    <row r="2377" customFormat="false" ht="14.25" hidden="false" customHeight="true" outlineLevel="0" collapsed="false">
      <c r="A2377" s="50" t="s">
        <v>32</v>
      </c>
      <c r="B2377" s="51" t="s">
        <v>155</v>
      </c>
      <c r="C2377" s="51" t="s">
        <v>163</v>
      </c>
      <c r="D2377" s="52" t="n">
        <v>3</v>
      </c>
      <c r="E2377" s="53" t="n">
        <v>30</v>
      </c>
      <c r="F2377" s="54" t="n">
        <f aca="false">IFERROR(D2377*E2377,0)</f>
        <v>90</v>
      </c>
      <c r="G2377" s="51" t="str">
        <f aca="false">INDEX(SETORES!$B:$B,MATCH(A2377,SETORES!$A:$A,0))</f>
        <v>Funcionários</v>
      </c>
      <c r="H2377" s="51" t="s">
        <v>20</v>
      </c>
    </row>
    <row r="2378" customFormat="false" ht="14.25" hidden="false" customHeight="true" outlineLevel="0" collapsed="false">
      <c r="A2378" s="16" t="s">
        <v>32</v>
      </c>
      <c r="B2378" s="42" t="s">
        <v>155</v>
      </c>
      <c r="C2378" s="42" t="s">
        <v>165</v>
      </c>
      <c r="D2378" s="43" t="n">
        <v>4</v>
      </c>
      <c r="E2378" s="44" t="n">
        <v>47.79</v>
      </c>
      <c r="F2378" s="45" t="n">
        <f aca="false">IFERROR(D2378*E2378,0)</f>
        <v>191.16</v>
      </c>
      <c r="G2378" s="42" t="s">
        <v>99</v>
      </c>
      <c r="H2378" s="42" t="s">
        <v>20</v>
      </c>
    </row>
    <row r="2379" customFormat="false" ht="14.25" hidden="false" customHeight="true" outlineLevel="0" collapsed="false">
      <c r="A2379" s="50" t="s">
        <v>32</v>
      </c>
      <c r="B2379" s="51" t="s">
        <v>155</v>
      </c>
      <c r="C2379" s="51" t="s">
        <v>166</v>
      </c>
      <c r="D2379" s="52" t="n">
        <v>4</v>
      </c>
      <c r="E2379" s="53" t="n">
        <v>28.31</v>
      </c>
      <c r="F2379" s="54" t="n">
        <f aca="false">IFERROR(D2379*E2379,0)</f>
        <v>113.24</v>
      </c>
      <c r="G2379" s="51" t="s">
        <v>99</v>
      </c>
      <c r="H2379" s="51" t="s">
        <v>20</v>
      </c>
    </row>
    <row r="2380" customFormat="false" ht="14.25" hidden="false" customHeight="true" outlineLevel="0" collapsed="false">
      <c r="A2380" s="16" t="s">
        <v>32</v>
      </c>
      <c r="B2380" s="42" t="s">
        <v>155</v>
      </c>
      <c r="C2380" s="42" t="s">
        <v>167</v>
      </c>
      <c r="D2380" s="43" t="n">
        <f aca="false">D2085</f>
        <v>7</v>
      </c>
      <c r="E2380" s="44" t="n">
        <v>64.57</v>
      </c>
      <c r="F2380" s="45" t="n">
        <f aca="false">IFERROR(D2380*E2380,0)</f>
        <v>451.99</v>
      </c>
      <c r="G2380" s="51" t="s">
        <v>99</v>
      </c>
      <c r="H2380" s="42" t="s">
        <v>20</v>
      </c>
    </row>
    <row r="2381" customFormat="false" ht="14.25" hidden="false" customHeight="true" outlineLevel="0" collapsed="false">
      <c r="A2381" s="50" t="s">
        <v>32</v>
      </c>
      <c r="B2381" s="51" t="s">
        <v>155</v>
      </c>
      <c r="C2381" s="51" t="s">
        <v>168</v>
      </c>
      <c r="D2381" s="52" t="n">
        <v>1</v>
      </c>
      <c r="E2381" s="53" t="n">
        <v>34.0432</v>
      </c>
      <c r="F2381" s="54" t="n">
        <v>34.0432</v>
      </c>
      <c r="G2381" s="51" t="str">
        <f aca="false">INDEX(SETORES!$B:$B,MATCH(A2381,SETORES!$A:$A,0))</f>
        <v>Funcionários</v>
      </c>
      <c r="H2381" s="51" t="s">
        <v>20</v>
      </c>
    </row>
    <row r="2382" customFormat="false" ht="14.25" hidden="false" customHeight="true" outlineLevel="0" collapsed="false">
      <c r="A2382" s="50" t="s">
        <v>32</v>
      </c>
      <c r="B2382" s="51" t="s">
        <v>157</v>
      </c>
      <c r="C2382" s="51" t="s">
        <v>228</v>
      </c>
      <c r="D2382" s="52"/>
      <c r="E2382" s="53"/>
      <c r="F2382" s="54" t="n">
        <f aca="false">IFERROR(D2382*E2382,0)</f>
        <v>0</v>
      </c>
      <c r="G2382" s="51" t="str">
        <f aca="false">INDEX(SETORES!$B:$B,MATCH(A2382,SETORES!$A:$A,0))</f>
        <v>Funcionários</v>
      </c>
      <c r="H2382" s="51" t="s">
        <v>20</v>
      </c>
    </row>
    <row r="2383" customFormat="false" ht="14.25" hidden="false" customHeight="true" outlineLevel="0" collapsed="false">
      <c r="A2383" s="16" t="s">
        <v>32</v>
      </c>
      <c r="B2383" s="42" t="s">
        <v>157</v>
      </c>
      <c r="C2383" s="42" t="s">
        <v>229</v>
      </c>
      <c r="D2383" s="43"/>
      <c r="E2383" s="44"/>
      <c r="F2383" s="45" t="n">
        <f aca="false">IFERROR(D2383*E2383,0)</f>
        <v>0</v>
      </c>
      <c r="G2383" s="42" t="str">
        <f aca="false">INDEX(SETORES!$B:$B,MATCH(A2383,SETORES!$A:$A,0))</f>
        <v>Funcionários</v>
      </c>
      <c r="H2383" s="42" t="s">
        <v>20</v>
      </c>
    </row>
    <row r="2384" customFormat="false" ht="14.25" hidden="false" customHeight="true" outlineLevel="0" collapsed="false">
      <c r="A2384" s="16" t="s">
        <v>32</v>
      </c>
      <c r="B2384" s="42" t="s">
        <v>155</v>
      </c>
      <c r="C2384" s="42" t="s">
        <v>169</v>
      </c>
      <c r="D2384" s="43" t="n">
        <v>1</v>
      </c>
      <c r="E2384" s="44" t="n">
        <v>21711.44</v>
      </c>
      <c r="F2384" s="45" t="n">
        <f aca="false">IFERROR(E2384,0)</f>
        <v>21711.44</v>
      </c>
      <c r="G2384" s="42" t="str">
        <f aca="false">INDEX(SETORES!$B:$B,MATCH(A2384,SETORES!$A:$A,0))</f>
        <v>Funcionários</v>
      </c>
      <c r="H2384" s="42" t="s">
        <v>20</v>
      </c>
    </row>
    <row r="2385" customFormat="false" ht="14.25" hidden="false" customHeight="true" outlineLevel="0" collapsed="false">
      <c r="A2385" s="16" t="s">
        <v>32</v>
      </c>
      <c r="B2385" s="42" t="s">
        <v>155</v>
      </c>
      <c r="C2385" s="42" t="s">
        <v>170</v>
      </c>
      <c r="D2385" s="43" t="n">
        <v>4</v>
      </c>
      <c r="E2385" s="44" t="n">
        <v>10.05</v>
      </c>
      <c r="F2385" s="45" t="n">
        <f aca="false">IFERROR(D2385*E2385,0)</f>
        <v>40.2</v>
      </c>
      <c r="G2385" s="42" t="str">
        <f aca="false">INDEX(SETORES!$B:$B,MATCH(A2385,SETORES!$A:$A,0))</f>
        <v>Funcionários</v>
      </c>
      <c r="H2385" s="42" t="s">
        <v>20</v>
      </c>
    </row>
    <row r="2386" customFormat="false" ht="14.25" hidden="false" customHeight="true" outlineLevel="0" collapsed="false">
      <c r="A2386" s="16" t="s">
        <v>32</v>
      </c>
      <c r="B2386" s="42" t="s">
        <v>155</v>
      </c>
      <c r="C2386" s="42" t="s">
        <v>183</v>
      </c>
      <c r="D2386" s="43" t="n">
        <v>1</v>
      </c>
      <c r="E2386" s="44" t="n">
        <v>4.444444</v>
      </c>
      <c r="F2386" s="45" t="n">
        <f aca="false">IFERROR(D2386*E2386,0)</f>
        <v>4.444444</v>
      </c>
      <c r="G2386" s="42" t="str">
        <f aca="false">INDEX(SETORES!$B:$B,MATCH(A2386,SETORES!$A:$A,0))</f>
        <v>Funcionários</v>
      </c>
      <c r="H2386" s="42" t="s">
        <v>20</v>
      </c>
    </row>
    <row r="2387" customFormat="false" ht="14.25" hidden="false" customHeight="true" outlineLevel="0" collapsed="false">
      <c r="A2387" s="50" t="s">
        <v>32</v>
      </c>
      <c r="B2387" s="51" t="s">
        <v>155</v>
      </c>
      <c r="C2387" s="51" t="s">
        <v>172</v>
      </c>
      <c r="D2387" s="52" t="n">
        <v>4</v>
      </c>
      <c r="E2387" s="53" t="n">
        <v>50</v>
      </c>
      <c r="F2387" s="54" t="n">
        <f aca="false">IFERROR(D2387*E2387,0)</f>
        <v>200</v>
      </c>
      <c r="G2387" s="51" t="str">
        <f aca="false">INDEX(SETORES!$B:$B,MATCH(A2387,SETORES!$A:$A,0))</f>
        <v>Funcionários</v>
      </c>
      <c r="H2387" s="51" t="s">
        <v>20</v>
      </c>
    </row>
    <row r="2388" customFormat="false" ht="14.25" hidden="false" customHeight="true" outlineLevel="0" collapsed="false">
      <c r="A2388" s="50" t="s">
        <v>32</v>
      </c>
      <c r="B2388" s="51" t="s">
        <v>155</v>
      </c>
      <c r="C2388" s="51" t="s">
        <v>177</v>
      </c>
      <c r="D2388" s="52"/>
      <c r="E2388" s="53"/>
      <c r="F2388" s="54" t="n">
        <v>0</v>
      </c>
      <c r="G2388" s="51" t="str">
        <f aca="false">INDEX(SETORES!$B:$B,MATCH(A2388,SETORES!$A:$A,0))</f>
        <v>Funcionários</v>
      </c>
      <c r="H2388" s="51" t="s">
        <v>20</v>
      </c>
    </row>
    <row r="2389" customFormat="false" ht="14.25" hidden="false" customHeight="true" outlineLevel="0" collapsed="false">
      <c r="A2389" s="16" t="s">
        <v>32</v>
      </c>
      <c r="B2389" s="42" t="s">
        <v>155</v>
      </c>
      <c r="C2389" s="42" t="s">
        <v>178</v>
      </c>
      <c r="D2389" s="43" t="n">
        <v>1</v>
      </c>
      <c r="E2389" s="44" t="n">
        <v>65.7</v>
      </c>
      <c r="F2389" s="45" t="n">
        <v>65.7</v>
      </c>
      <c r="G2389" s="42" t="str">
        <f aca="false">INDEX(SETORES!$B:$B,MATCH(A2389,SETORES!$A:$A,0))</f>
        <v>Funcionários</v>
      </c>
      <c r="H2389" s="42" t="s">
        <v>20</v>
      </c>
    </row>
    <row r="2390" customFormat="false" ht="14.25" hidden="false" customHeight="true" outlineLevel="0" collapsed="false">
      <c r="A2390" s="16" t="s">
        <v>32</v>
      </c>
      <c r="B2390" s="42" t="s">
        <v>155</v>
      </c>
      <c r="C2390" s="42" t="s">
        <v>230</v>
      </c>
      <c r="D2390" s="43"/>
      <c r="E2390" s="44"/>
      <c r="F2390" s="45" t="n">
        <f aca="false">IFERROR(D2390*E2390,0)</f>
        <v>0</v>
      </c>
      <c r="G2390" s="42" t="str">
        <f aca="false">INDEX(SETORES!$B:$B,MATCH(A2390,SETORES!$A:$A,0))</f>
        <v>Funcionários</v>
      </c>
      <c r="H2390" s="42" t="s">
        <v>20</v>
      </c>
    </row>
    <row r="2391" customFormat="false" ht="14.25" hidden="false" customHeight="true" outlineLevel="0" collapsed="false">
      <c r="A2391" s="50" t="s">
        <v>32</v>
      </c>
      <c r="B2391" s="51" t="s">
        <v>155</v>
      </c>
      <c r="C2391" s="51" t="s">
        <v>231</v>
      </c>
      <c r="D2391" s="52" t="n">
        <v>1</v>
      </c>
      <c r="E2391" s="53" t="n">
        <v>2000</v>
      </c>
      <c r="F2391" s="54" t="n">
        <f aca="false">IFERROR(D2391*E2391,0)</f>
        <v>2000</v>
      </c>
      <c r="G2391" s="51" t="s">
        <v>99</v>
      </c>
      <c r="H2391" s="51" t="s">
        <v>20</v>
      </c>
    </row>
    <row r="2392" customFormat="false" ht="14.25" hidden="false" customHeight="true" outlineLevel="0" collapsed="false">
      <c r="A2392" s="16" t="s">
        <v>32</v>
      </c>
      <c r="B2392" s="42" t="s">
        <v>157</v>
      </c>
      <c r="C2392" s="42" t="s">
        <v>232</v>
      </c>
      <c r="D2392" s="43"/>
      <c r="E2392" s="44"/>
      <c r="F2392" s="45" t="n">
        <f aca="false">IFERROR(D2392*E2392,0)</f>
        <v>0</v>
      </c>
      <c r="G2392" s="42" t="str">
        <f aca="false">INDEX(SETORES!$B:$B,MATCH(A2392,SETORES!$A:$A,0))</f>
        <v>Funcionários</v>
      </c>
      <c r="H2392" s="42" t="s">
        <v>20</v>
      </c>
    </row>
    <row r="2393" customFormat="false" ht="14.25" hidden="false" customHeight="true" outlineLevel="0" collapsed="false">
      <c r="A2393" s="16" t="s">
        <v>32</v>
      </c>
      <c r="B2393" s="42" t="s">
        <v>157</v>
      </c>
      <c r="C2393" s="42" t="s">
        <v>158</v>
      </c>
      <c r="D2393" s="43"/>
      <c r="E2393" s="44"/>
      <c r="F2393" s="45" t="n">
        <f aca="false">IFERROR(D2393*E2393,0)</f>
        <v>0</v>
      </c>
      <c r="G2393" s="42" t="str">
        <f aca="false">INDEX(SETORES!$B:$B,MATCH(A2393,SETORES!$A:$A,0))</f>
        <v>Funcionários</v>
      </c>
      <c r="H2393" s="42" t="s">
        <v>20</v>
      </c>
    </row>
    <row r="2394" customFormat="false" ht="14.25" hidden="false" customHeight="true" outlineLevel="0" collapsed="false">
      <c r="A2394" s="16" t="s">
        <v>32</v>
      </c>
      <c r="B2394" s="42" t="s">
        <v>155</v>
      </c>
      <c r="C2394" s="42" t="s">
        <v>233</v>
      </c>
      <c r="D2394" s="43" t="n">
        <v>1</v>
      </c>
      <c r="E2394" s="44" t="n">
        <v>2500</v>
      </c>
      <c r="F2394" s="45" t="n">
        <f aca="false">IFERROR(D2394*E2394,0)</f>
        <v>2500</v>
      </c>
      <c r="G2394" s="51" t="s">
        <v>99</v>
      </c>
      <c r="H2394" s="42" t="s">
        <v>20</v>
      </c>
    </row>
    <row r="2395" customFormat="false" ht="14.25" hidden="false" customHeight="true" outlineLevel="0" collapsed="false">
      <c r="A2395" s="50" t="s">
        <v>32</v>
      </c>
      <c r="B2395" s="51" t="s">
        <v>155</v>
      </c>
      <c r="C2395" s="51" t="s">
        <v>234</v>
      </c>
      <c r="D2395" s="52" t="n">
        <v>1</v>
      </c>
      <c r="E2395" s="53" t="n">
        <v>2612.9</v>
      </c>
      <c r="F2395" s="54" t="n">
        <f aca="false">IFERROR(D2395*E2395,0)</f>
        <v>2612.9</v>
      </c>
      <c r="G2395" s="51" t="s">
        <v>99</v>
      </c>
      <c r="H2395" s="51" t="s">
        <v>20</v>
      </c>
    </row>
    <row r="2396" customFormat="false" ht="14.25" hidden="false" customHeight="true" outlineLevel="0" collapsed="false">
      <c r="A2396" s="50" t="s">
        <v>32</v>
      </c>
      <c r="B2396" s="51" t="s">
        <v>155</v>
      </c>
      <c r="C2396" s="51" t="s">
        <v>173</v>
      </c>
      <c r="D2396" s="52" t="n">
        <v>4</v>
      </c>
      <c r="E2396" s="53" t="n">
        <v>2.07</v>
      </c>
      <c r="F2396" s="54" t="n">
        <f aca="false">IFERROR(D2396*E2396,0)</f>
        <v>8.28</v>
      </c>
      <c r="G2396" s="51" t="str">
        <f aca="false">INDEX(SETORES!$B:$B,MATCH(A2396,SETORES!$A:$A,0))</f>
        <v>Funcionários</v>
      </c>
      <c r="H2396" s="51" t="s">
        <v>20</v>
      </c>
    </row>
    <row r="2397" customFormat="false" ht="14.25" hidden="false" customHeight="true" outlineLevel="0" collapsed="false">
      <c r="A2397" s="50" t="s">
        <v>32</v>
      </c>
      <c r="B2397" s="51" t="s">
        <v>155</v>
      </c>
      <c r="C2397" s="51" t="s">
        <v>179</v>
      </c>
      <c r="D2397" s="52"/>
      <c r="E2397" s="53"/>
      <c r="F2397" s="54" t="n">
        <f aca="false">IFERROR(D2397*E2397,0)</f>
        <v>0</v>
      </c>
      <c r="G2397" s="51" t="str">
        <f aca="false">INDEX(SETORES!$B:$B,MATCH(A2397,SETORES!$A:$A,0))</f>
        <v>Funcionários</v>
      </c>
      <c r="H2397" s="51" t="s">
        <v>20</v>
      </c>
    </row>
    <row r="2398" customFormat="false" ht="14.25" hidden="false" customHeight="true" outlineLevel="0" collapsed="false">
      <c r="A2398" s="50" t="s">
        <v>32</v>
      </c>
      <c r="B2398" s="51" t="s">
        <v>155</v>
      </c>
      <c r="C2398" s="51" t="s">
        <v>235</v>
      </c>
      <c r="D2398" s="52"/>
      <c r="E2398" s="53"/>
      <c r="F2398" s="54" t="n">
        <f aca="false">IFERROR(D2398*E2398,0)</f>
        <v>0</v>
      </c>
      <c r="G2398" s="51" t="str">
        <f aca="false">INDEX(SETORES!$B:$B,MATCH(A2398,SETORES!$A:$A,0))</f>
        <v>Funcionários</v>
      </c>
      <c r="H2398" s="51" t="s">
        <v>20</v>
      </c>
    </row>
    <row r="2399" customFormat="false" ht="14.25" hidden="false" customHeight="true" outlineLevel="0" collapsed="false">
      <c r="A2399" s="16" t="s">
        <v>44</v>
      </c>
      <c r="B2399" s="42" t="s">
        <v>155</v>
      </c>
      <c r="C2399" s="42" t="s">
        <v>162</v>
      </c>
      <c r="D2399" s="43" t="n">
        <v>8</v>
      </c>
      <c r="E2399" s="44" t="n">
        <v>3.69</v>
      </c>
      <c r="F2399" s="54" t="n">
        <f aca="false">IFERROR(D2399*E2399,0)</f>
        <v>29.52</v>
      </c>
      <c r="G2399" s="42" t="str">
        <f aca="false">INDEX(SETORES!$B:$B,MATCH(A2399,SETORES!$A:$A,0))</f>
        <v>Funcionários</v>
      </c>
      <c r="H2399" s="42" t="s">
        <v>20</v>
      </c>
    </row>
    <row r="2400" customFormat="false" ht="14.25" hidden="false" customHeight="true" outlineLevel="0" collapsed="false">
      <c r="A2400" s="16" t="s">
        <v>44</v>
      </c>
      <c r="B2400" s="42" t="s">
        <v>155</v>
      </c>
      <c r="C2400" s="42" t="s">
        <v>163</v>
      </c>
      <c r="D2400" s="43" t="n">
        <v>4</v>
      </c>
      <c r="E2400" s="44" t="n">
        <v>30</v>
      </c>
      <c r="F2400" s="45" t="n">
        <v>120</v>
      </c>
      <c r="G2400" s="42" t="str">
        <f aca="false">INDEX(SETORES!$B:$B,MATCH(A2400,SETORES!$A:$A,0))</f>
        <v>Funcionários</v>
      </c>
      <c r="H2400" s="42" t="s">
        <v>20</v>
      </c>
    </row>
    <row r="2401" customFormat="false" ht="14.25" hidden="false" customHeight="true" outlineLevel="0" collapsed="false">
      <c r="A2401" s="16" t="s">
        <v>44</v>
      </c>
      <c r="B2401" s="42" t="s">
        <v>157</v>
      </c>
      <c r="C2401" s="42" t="s">
        <v>199</v>
      </c>
      <c r="D2401" s="43" t="n">
        <v>1</v>
      </c>
      <c r="E2401" s="44" t="n">
        <v>4445.72</v>
      </c>
      <c r="F2401" s="45" t="n">
        <v>4445.72</v>
      </c>
      <c r="G2401" s="42" t="str">
        <f aca="false">INDEX(SETORES!$B:$B,MATCH(A2401,SETORES!$A:$A,0))</f>
        <v>Funcionários</v>
      </c>
      <c r="H2401" s="42" t="s">
        <v>20</v>
      </c>
    </row>
    <row r="2402" customFormat="false" ht="14.25" hidden="false" customHeight="true" outlineLevel="0" collapsed="false">
      <c r="A2402" s="50" t="s">
        <v>44</v>
      </c>
      <c r="B2402" s="51" t="s">
        <v>155</v>
      </c>
      <c r="C2402" s="51" t="s">
        <v>165</v>
      </c>
      <c r="D2402" s="52" t="n">
        <v>8</v>
      </c>
      <c r="E2402" s="53" t="n">
        <v>47.79</v>
      </c>
      <c r="F2402" s="54" t="n">
        <f aca="false">IFERROR(D2402*E2402,0)</f>
        <v>382.32</v>
      </c>
      <c r="G2402" s="42" t="s">
        <v>99</v>
      </c>
      <c r="H2402" s="51" t="s">
        <v>20</v>
      </c>
    </row>
    <row r="2403" customFormat="false" ht="14.25" hidden="false" customHeight="true" outlineLevel="0" collapsed="false">
      <c r="A2403" s="16" t="s">
        <v>44</v>
      </c>
      <c r="B2403" s="42" t="s">
        <v>155</v>
      </c>
      <c r="C2403" s="42" t="s">
        <v>166</v>
      </c>
      <c r="D2403" s="43" t="n">
        <v>8</v>
      </c>
      <c r="E2403" s="44" t="n">
        <v>28.31</v>
      </c>
      <c r="F2403" s="45" t="n">
        <f aca="false">IFERROR(D2403*E2403,0)</f>
        <v>226.48</v>
      </c>
      <c r="G2403" s="51" t="s">
        <v>99</v>
      </c>
      <c r="H2403" s="42" t="s">
        <v>20</v>
      </c>
    </row>
    <row r="2404" customFormat="false" ht="14.25" hidden="false" customHeight="true" outlineLevel="0" collapsed="false">
      <c r="A2404" s="50" t="s">
        <v>44</v>
      </c>
      <c r="B2404" s="51" t="s">
        <v>155</v>
      </c>
      <c r="C2404" s="51" t="s">
        <v>167</v>
      </c>
      <c r="D2404" s="52" t="n">
        <v>8</v>
      </c>
      <c r="E2404" s="53" t="n">
        <v>64.57</v>
      </c>
      <c r="F2404" s="54" t="n">
        <f aca="false">IFERROR(D2404*E2404,0)</f>
        <v>516.56</v>
      </c>
      <c r="G2404" s="51" t="s">
        <v>99</v>
      </c>
      <c r="H2404" s="51" t="s">
        <v>20</v>
      </c>
    </row>
    <row r="2405" customFormat="false" ht="14.25" hidden="false" customHeight="true" outlineLevel="0" collapsed="false">
      <c r="A2405" s="50" t="s">
        <v>44</v>
      </c>
      <c r="B2405" s="51" t="s">
        <v>155</v>
      </c>
      <c r="C2405" s="51" t="s">
        <v>168</v>
      </c>
      <c r="D2405" s="52" t="n">
        <v>8</v>
      </c>
      <c r="E2405" s="53" t="n">
        <v>185.92</v>
      </c>
      <c r="F2405" s="54" t="n">
        <f aca="false">IFERROR(D2405*E2405,0)</f>
        <v>1487.36</v>
      </c>
      <c r="G2405" s="51" t="str">
        <f aca="false">INDEX(SETORES!$B:$B,MATCH(A2405,SETORES!$A:$A,0))</f>
        <v>Funcionários</v>
      </c>
      <c r="H2405" s="51" t="s">
        <v>20</v>
      </c>
    </row>
    <row r="2406" customFormat="false" ht="14.25" hidden="false" customHeight="true" outlineLevel="0" collapsed="false">
      <c r="A2406" s="50" t="s">
        <v>44</v>
      </c>
      <c r="B2406" s="51" t="s">
        <v>157</v>
      </c>
      <c r="C2406" s="51" t="s">
        <v>217</v>
      </c>
      <c r="D2406" s="52"/>
      <c r="E2406" s="53"/>
      <c r="F2406" s="54" t="n">
        <f aca="false">IFERROR(D2406*E2406,0)</f>
        <v>0</v>
      </c>
      <c r="G2406" s="51" t="str">
        <f aca="false">INDEX(SETORES!$B:$B,MATCH(A2406,SETORES!$A:$A,0))</f>
        <v>Funcionários</v>
      </c>
      <c r="H2406" s="51" t="s">
        <v>20</v>
      </c>
    </row>
    <row r="2407" customFormat="false" ht="14.25" hidden="false" customHeight="true" outlineLevel="0" collapsed="false">
      <c r="A2407" s="16" t="s">
        <v>44</v>
      </c>
      <c r="B2407" s="42" t="s">
        <v>157</v>
      </c>
      <c r="C2407" s="42" t="s">
        <v>174</v>
      </c>
      <c r="D2407" s="43"/>
      <c r="E2407" s="44"/>
      <c r="F2407" s="45" t="n">
        <f aca="false">IFERROR(D2407*E2407,0)</f>
        <v>0</v>
      </c>
      <c r="G2407" s="42" t="str">
        <f aca="false">INDEX(SETORES!$B:$B,MATCH(A2407,SETORES!$A:$A,0))</f>
        <v>Funcionários</v>
      </c>
      <c r="H2407" s="42" t="s">
        <v>20</v>
      </c>
    </row>
    <row r="2408" customFormat="false" ht="14.25" hidden="false" customHeight="true" outlineLevel="0" collapsed="false">
      <c r="A2408" s="50" t="s">
        <v>44</v>
      </c>
      <c r="B2408" s="51" t="s">
        <v>157</v>
      </c>
      <c r="C2408" s="51" t="s">
        <v>175</v>
      </c>
      <c r="D2408" s="52"/>
      <c r="E2408" s="53"/>
      <c r="F2408" s="54" t="n">
        <f aca="false">IFERROR(D2408*E2408,0)</f>
        <v>0</v>
      </c>
      <c r="G2408" s="51" t="str">
        <f aca="false">INDEX(SETORES!$B:$B,MATCH(A2408,SETORES!$A:$A,0))</f>
        <v>Funcionários</v>
      </c>
      <c r="H2408" s="51" t="s">
        <v>20</v>
      </c>
    </row>
    <row r="2409" customFormat="false" ht="14.25" hidden="false" customHeight="true" outlineLevel="0" collapsed="false">
      <c r="A2409" s="16" t="s">
        <v>44</v>
      </c>
      <c r="B2409" s="42" t="s">
        <v>157</v>
      </c>
      <c r="C2409" s="42" t="s">
        <v>176</v>
      </c>
      <c r="D2409" s="43"/>
      <c r="E2409" s="44"/>
      <c r="F2409" s="45" t="n">
        <f aca="false">IFERROR(D2409*E2409,0)</f>
        <v>0</v>
      </c>
      <c r="G2409" s="42" t="str">
        <f aca="false">INDEX(SETORES!$B:$B,MATCH(A2409,SETORES!$A:$A,0))</f>
        <v>Funcionários</v>
      </c>
      <c r="H2409" s="42" t="s">
        <v>20</v>
      </c>
    </row>
    <row r="2410" customFormat="false" ht="14.25" hidden="false" customHeight="true" outlineLevel="0" collapsed="false">
      <c r="A2410" s="16" t="s">
        <v>44</v>
      </c>
      <c r="B2410" s="42" t="s">
        <v>155</v>
      </c>
      <c r="C2410" s="42" t="s">
        <v>169</v>
      </c>
      <c r="D2410" s="43" t="n">
        <v>1</v>
      </c>
      <c r="E2410" s="44" t="n">
        <v>38002.07</v>
      </c>
      <c r="F2410" s="45" t="n">
        <f aca="false">IFERROR(E2410,0)</f>
        <v>38002.07</v>
      </c>
      <c r="G2410" s="42" t="str">
        <f aca="false">INDEX(SETORES!$B:$B,MATCH(A2410,SETORES!$A:$A,0))</f>
        <v>Funcionários</v>
      </c>
      <c r="H2410" s="42" t="s">
        <v>20</v>
      </c>
    </row>
    <row r="2411" customFormat="false" ht="14.25" hidden="false" customHeight="true" outlineLevel="0" collapsed="false">
      <c r="A2411" s="50" t="s">
        <v>44</v>
      </c>
      <c r="B2411" s="51" t="s">
        <v>155</v>
      </c>
      <c r="C2411" s="51" t="s">
        <v>170</v>
      </c>
      <c r="D2411" s="52" t="n">
        <v>8</v>
      </c>
      <c r="E2411" s="53" t="n">
        <v>10.05</v>
      </c>
      <c r="F2411" s="54" t="n">
        <f aca="false">IFERROR(D2411*E2411,0)</f>
        <v>80.4</v>
      </c>
      <c r="G2411" s="51" t="str">
        <f aca="false">INDEX(SETORES!$B:$B,MATCH(A2411,SETORES!$A:$A,0))</f>
        <v>Funcionários</v>
      </c>
      <c r="H2411" s="51" t="s">
        <v>20</v>
      </c>
    </row>
    <row r="2412" customFormat="false" ht="14.25" hidden="false" customHeight="true" outlineLevel="0" collapsed="false">
      <c r="A2412" s="50" t="s">
        <v>44</v>
      </c>
      <c r="B2412" s="51" t="s">
        <v>155</v>
      </c>
      <c r="C2412" s="51" t="s">
        <v>172</v>
      </c>
      <c r="D2412" s="52" t="n">
        <v>9</v>
      </c>
      <c r="E2412" s="53" t="n">
        <v>50</v>
      </c>
      <c r="F2412" s="54" t="n">
        <f aca="false">IFERROR(D2412*E2412,0)</f>
        <v>450</v>
      </c>
      <c r="G2412" s="51" t="str">
        <f aca="false">INDEX(SETORES!$B:$B,MATCH(A2412,SETORES!$A:$A,0))</f>
        <v>Funcionários</v>
      </c>
      <c r="H2412" s="51" t="s">
        <v>20</v>
      </c>
    </row>
    <row r="2413" customFormat="false" ht="14.25" hidden="false" customHeight="true" outlineLevel="0" collapsed="false">
      <c r="A2413" s="50" t="s">
        <v>44</v>
      </c>
      <c r="B2413" s="51" t="s">
        <v>155</v>
      </c>
      <c r="C2413" s="51" t="s">
        <v>177</v>
      </c>
      <c r="D2413" s="52"/>
      <c r="E2413" s="53"/>
      <c r="F2413" s="54" t="n">
        <v>0</v>
      </c>
      <c r="G2413" s="51" t="str">
        <f aca="false">INDEX(SETORES!$B:$B,MATCH(A2413,SETORES!$A:$A,0))</f>
        <v>Funcionários</v>
      </c>
      <c r="H2413" s="51" t="s">
        <v>20</v>
      </c>
    </row>
    <row r="2414" customFormat="false" ht="14.25" hidden="false" customHeight="true" outlineLevel="0" collapsed="false">
      <c r="A2414" s="16" t="s">
        <v>44</v>
      </c>
      <c r="B2414" s="42" t="s">
        <v>155</v>
      </c>
      <c r="C2414" s="42" t="s">
        <v>178</v>
      </c>
      <c r="D2414" s="43"/>
      <c r="E2414" s="44"/>
      <c r="F2414" s="45" t="n">
        <v>0</v>
      </c>
      <c r="G2414" s="42" t="str">
        <f aca="false">INDEX(SETORES!$B:$B,MATCH(A2414,SETORES!$A:$A,0))</f>
        <v>Funcionários</v>
      </c>
      <c r="H2414" s="42" t="s">
        <v>20</v>
      </c>
    </row>
    <row r="2415" customFormat="false" ht="14.25" hidden="false" customHeight="true" outlineLevel="0" collapsed="false">
      <c r="A2415" s="16" t="s">
        <v>44</v>
      </c>
      <c r="B2415" s="42" t="s">
        <v>157</v>
      </c>
      <c r="C2415" s="42" t="s">
        <v>236</v>
      </c>
      <c r="D2415" s="43" t="n">
        <v>1</v>
      </c>
      <c r="E2415" s="44" t="n">
        <v>7689.8</v>
      </c>
      <c r="F2415" s="45" t="n">
        <f aca="false">IFERROR(D2415*E2415,0)</f>
        <v>7689.8</v>
      </c>
      <c r="G2415" s="42" t="str">
        <f aca="false">INDEX(SETORES!$B:$B,MATCH(A2415,SETORES!$A:$A,0))</f>
        <v>Funcionários</v>
      </c>
      <c r="H2415" s="42" t="s">
        <v>20</v>
      </c>
    </row>
    <row r="2416" customFormat="false" ht="14.25" hidden="false" customHeight="true" outlineLevel="0" collapsed="false">
      <c r="A2416" s="50" t="s">
        <v>44</v>
      </c>
      <c r="B2416" s="51" t="s">
        <v>157</v>
      </c>
      <c r="C2416" s="51" t="s">
        <v>184</v>
      </c>
      <c r="D2416" s="52" t="n">
        <v>8</v>
      </c>
      <c r="E2416" s="53" t="n">
        <v>65.21</v>
      </c>
      <c r="F2416" s="54" t="n">
        <f aca="false">IFERROR(D2416*E2416,0)</f>
        <v>521.68</v>
      </c>
      <c r="G2416" s="51" t="str">
        <f aca="false">INDEX(SETORES!$B:$B,MATCH(A2416,SETORES!$A:$A,0))</f>
        <v>Funcionários</v>
      </c>
      <c r="H2416" s="51" t="s">
        <v>20</v>
      </c>
    </row>
    <row r="2417" customFormat="false" ht="14.25" hidden="false" customHeight="true" outlineLevel="0" collapsed="false">
      <c r="A2417" s="16" t="s">
        <v>44</v>
      </c>
      <c r="B2417" s="42" t="s">
        <v>155</v>
      </c>
      <c r="C2417" s="42" t="s">
        <v>173</v>
      </c>
      <c r="D2417" s="43" t="n">
        <v>8</v>
      </c>
      <c r="E2417" s="44" t="n">
        <v>2.07</v>
      </c>
      <c r="F2417" s="45" t="n">
        <f aca="false">IFERROR(D2417*E2417,0)</f>
        <v>16.56</v>
      </c>
      <c r="G2417" s="42" t="str">
        <f aca="false">INDEX(SETORES!$B:$B,MATCH(A2417,SETORES!$A:$A,0))</f>
        <v>Funcionários</v>
      </c>
      <c r="H2417" s="42" t="s">
        <v>20</v>
      </c>
    </row>
    <row r="2418" customFormat="false" ht="14.25" hidden="false" customHeight="true" outlineLevel="0" collapsed="false">
      <c r="A2418" s="50" t="s">
        <v>44</v>
      </c>
      <c r="B2418" s="51" t="s">
        <v>155</v>
      </c>
      <c r="C2418" s="51" t="s">
        <v>179</v>
      </c>
      <c r="D2418" s="52"/>
      <c r="E2418" s="53"/>
      <c r="F2418" s="54" t="n">
        <f aca="false">IFERROR(D2418*E2418,0)</f>
        <v>0</v>
      </c>
      <c r="G2418" s="51" t="str">
        <f aca="false">INDEX(SETORES!$B:$B,MATCH(A2418,SETORES!$A:$A,0))</f>
        <v>Funcionários</v>
      </c>
      <c r="H2418" s="51" t="s">
        <v>20</v>
      </c>
    </row>
    <row r="2419" customFormat="false" ht="14.25" hidden="false" customHeight="true" outlineLevel="0" collapsed="false">
      <c r="A2419" s="16" t="s">
        <v>139</v>
      </c>
      <c r="B2419" s="42" t="s">
        <v>155</v>
      </c>
      <c r="C2419" s="42" t="s">
        <v>205</v>
      </c>
      <c r="D2419" s="43" t="n">
        <v>1</v>
      </c>
      <c r="E2419" s="44" t="n">
        <v>906.69</v>
      </c>
      <c r="F2419" s="45" t="n">
        <f aca="false">IFERROR(D2419*E2419,0)</f>
        <v>906.69</v>
      </c>
      <c r="G2419" s="42" t="str">
        <f aca="false">INDEX(SETORES!$B:$B,MATCH(A2419,SETORES!$A:$A,0))</f>
        <v>Funcionários</v>
      </c>
      <c r="H2419" s="42" t="s">
        <v>20</v>
      </c>
    </row>
    <row r="2420" customFormat="false" ht="14.25" hidden="false" customHeight="true" outlineLevel="0" collapsed="false">
      <c r="A2420" s="16" t="s">
        <v>139</v>
      </c>
      <c r="B2420" s="42" t="s">
        <v>155</v>
      </c>
      <c r="C2420" s="42" t="s">
        <v>165</v>
      </c>
      <c r="D2420" s="43" t="n">
        <v>5</v>
      </c>
      <c r="E2420" s="44" t="n">
        <v>47.79</v>
      </c>
      <c r="F2420" s="45" t="n">
        <f aca="false">IFERROR(D2420*E2420,0)</f>
        <v>238.95</v>
      </c>
      <c r="G2420" s="42" t="s">
        <v>99</v>
      </c>
      <c r="H2420" s="42" t="s">
        <v>20</v>
      </c>
    </row>
    <row r="2421" customFormat="false" ht="14.25" hidden="false" customHeight="true" outlineLevel="0" collapsed="false">
      <c r="A2421" s="16" t="s">
        <v>139</v>
      </c>
      <c r="B2421" s="42" t="s">
        <v>155</v>
      </c>
      <c r="C2421" s="42" t="s">
        <v>166</v>
      </c>
      <c r="D2421" s="43" t="n">
        <v>5</v>
      </c>
      <c r="E2421" s="44" t="n">
        <v>28.31</v>
      </c>
      <c r="F2421" s="45" t="n">
        <f aca="false">IFERROR(D2421*E2421,0)</f>
        <v>141.55</v>
      </c>
      <c r="G2421" s="51" t="s">
        <v>99</v>
      </c>
      <c r="H2421" s="42" t="s">
        <v>20</v>
      </c>
    </row>
    <row r="2422" customFormat="false" ht="14.25" hidden="false" customHeight="true" outlineLevel="0" collapsed="false">
      <c r="A2422" s="16" t="s">
        <v>139</v>
      </c>
      <c r="B2422" s="42" t="s">
        <v>155</v>
      </c>
      <c r="C2422" s="42" t="s">
        <v>167</v>
      </c>
      <c r="D2422" s="43" t="n">
        <v>5</v>
      </c>
      <c r="E2422" s="44" t="n">
        <v>64.57</v>
      </c>
      <c r="F2422" s="45" t="n">
        <f aca="false">IFERROR(D2422*E2422,0)</f>
        <v>322.85</v>
      </c>
      <c r="G2422" s="51" t="s">
        <v>99</v>
      </c>
      <c r="H2422" s="42" t="s">
        <v>20</v>
      </c>
    </row>
    <row r="2423" customFormat="false" ht="14.25" hidden="false" customHeight="true" outlineLevel="0" collapsed="false">
      <c r="A2423" s="50" t="s">
        <v>139</v>
      </c>
      <c r="B2423" s="51" t="s">
        <v>155</v>
      </c>
      <c r="C2423" s="51" t="s">
        <v>169</v>
      </c>
      <c r="D2423" s="52" t="n">
        <v>1</v>
      </c>
      <c r="E2423" s="53" t="n">
        <v>13579.53</v>
      </c>
      <c r="F2423" s="54" t="n">
        <v>13579.53</v>
      </c>
      <c r="G2423" s="51" t="str">
        <f aca="false">INDEX(SETORES!$B:$B,MATCH(A2423,SETORES!$A:$A,0))</f>
        <v>Funcionários</v>
      </c>
      <c r="H2423" s="51" t="s">
        <v>20</v>
      </c>
    </row>
    <row r="2424" customFormat="false" ht="14.25" hidden="false" customHeight="true" outlineLevel="0" collapsed="false">
      <c r="A2424" s="16" t="s">
        <v>139</v>
      </c>
      <c r="B2424" s="42" t="s">
        <v>155</v>
      </c>
      <c r="C2424" s="42" t="s">
        <v>170</v>
      </c>
      <c r="D2424" s="43" t="n">
        <v>5</v>
      </c>
      <c r="E2424" s="44" t="n">
        <v>10.05</v>
      </c>
      <c r="F2424" s="45" t="n">
        <f aca="false">IFERROR(D2424*E2424,0)</f>
        <v>50.25</v>
      </c>
      <c r="G2424" s="42" t="str">
        <f aca="false">INDEX(SETORES!$B:$B,MATCH(A2424,SETORES!$A:$A,0))</f>
        <v>Funcionários</v>
      </c>
      <c r="H2424" s="42" t="s">
        <v>20</v>
      </c>
    </row>
    <row r="2425" customFormat="false" ht="14.25" hidden="false" customHeight="true" outlineLevel="0" collapsed="false">
      <c r="A2425" s="50" t="s">
        <v>139</v>
      </c>
      <c r="B2425" s="51" t="s">
        <v>155</v>
      </c>
      <c r="C2425" s="51" t="s">
        <v>173</v>
      </c>
      <c r="D2425" s="52" t="n">
        <v>5</v>
      </c>
      <c r="E2425" s="53" t="n">
        <v>2.07</v>
      </c>
      <c r="F2425" s="54" t="n">
        <f aca="false">IFERROR(D2425*E2425,0)</f>
        <v>10.35</v>
      </c>
      <c r="G2425" s="51" t="str">
        <f aca="false">INDEX(SETORES!$B:$B,MATCH(A2425,SETORES!$A:$A,0))</f>
        <v>Funcionários</v>
      </c>
      <c r="H2425" s="51" t="s">
        <v>20</v>
      </c>
    </row>
    <row r="2426" customFormat="false" ht="14.25" hidden="false" customHeight="true" outlineLevel="0" collapsed="false">
      <c r="A2426" s="16" t="s">
        <v>53</v>
      </c>
      <c r="B2426" s="42" t="s">
        <v>155</v>
      </c>
      <c r="C2426" s="42" t="s">
        <v>162</v>
      </c>
      <c r="D2426" s="43" t="n">
        <v>1</v>
      </c>
      <c r="E2426" s="44" t="n">
        <v>0</v>
      </c>
      <c r="F2426" s="45" t="n">
        <v>0</v>
      </c>
      <c r="G2426" s="42" t="str">
        <f aca="false">INDEX(SETORES!$B:$B,MATCH(A2426,SETORES!$A:$A,0))</f>
        <v>Clientes</v>
      </c>
      <c r="H2426" s="42" t="s">
        <v>20</v>
      </c>
    </row>
    <row r="2427" customFormat="false" ht="14.25" hidden="false" customHeight="true" outlineLevel="0" collapsed="false">
      <c r="A2427" s="16" t="s">
        <v>53</v>
      </c>
      <c r="B2427" s="42" t="s">
        <v>157</v>
      </c>
      <c r="C2427" s="42" t="s">
        <v>199</v>
      </c>
      <c r="D2427" s="43"/>
      <c r="E2427" s="44"/>
      <c r="F2427" s="45" t="n">
        <f aca="false">IFERROR(D2427*E2427,0)</f>
        <v>0</v>
      </c>
      <c r="G2427" s="42" t="str">
        <f aca="false">INDEX(SETORES!$B:$B,MATCH(A2427,SETORES!$A:$A,0))</f>
        <v>Clientes</v>
      </c>
      <c r="H2427" s="42" t="s">
        <v>20</v>
      </c>
    </row>
    <row r="2428" customFormat="false" ht="14.25" hidden="false" customHeight="true" outlineLevel="0" collapsed="false">
      <c r="A2428" s="50" t="s">
        <v>53</v>
      </c>
      <c r="B2428" s="51" t="s">
        <v>155</v>
      </c>
      <c r="C2428" s="51" t="s">
        <v>180</v>
      </c>
      <c r="D2428" s="52" t="n">
        <v>1</v>
      </c>
      <c r="E2428" s="53" t="n">
        <v>3769.34</v>
      </c>
      <c r="F2428" s="54" t="n">
        <f aca="false">IFERROR(D2428*E2428,0)</f>
        <v>3769.34</v>
      </c>
      <c r="G2428" s="51" t="str">
        <f aca="false">INDEX(SETORES!$B:$B,MATCH(A2428,SETORES!$A:$A,0))</f>
        <v>Clientes</v>
      </c>
      <c r="H2428" s="51" t="s">
        <v>20</v>
      </c>
    </row>
    <row r="2429" customFormat="false" ht="14.25" hidden="false" customHeight="true" outlineLevel="0" collapsed="false">
      <c r="A2429" s="16" t="s">
        <v>53</v>
      </c>
      <c r="B2429" s="42" t="s">
        <v>155</v>
      </c>
      <c r="C2429" s="42" t="s">
        <v>165</v>
      </c>
      <c r="D2429" s="43" t="n">
        <v>31</v>
      </c>
      <c r="E2429" s="44" t="n">
        <v>47.79</v>
      </c>
      <c r="F2429" s="45" t="n">
        <f aca="false">IFERROR(D2429*E2429,0)</f>
        <v>1481.49</v>
      </c>
      <c r="G2429" s="42" t="s">
        <v>99</v>
      </c>
      <c r="H2429" s="42" t="s">
        <v>20</v>
      </c>
    </row>
    <row r="2430" customFormat="false" ht="14.25" hidden="false" customHeight="true" outlineLevel="0" collapsed="false">
      <c r="A2430" s="50" t="s">
        <v>53</v>
      </c>
      <c r="B2430" s="51" t="s">
        <v>155</v>
      </c>
      <c r="C2430" s="51" t="s">
        <v>166</v>
      </c>
      <c r="D2430" s="52" t="n">
        <v>31</v>
      </c>
      <c r="E2430" s="53" t="n">
        <v>28.31</v>
      </c>
      <c r="F2430" s="54" t="n">
        <f aca="false">IFERROR(D2430*E2430,0)</f>
        <v>877.61</v>
      </c>
      <c r="G2430" s="51" t="s">
        <v>99</v>
      </c>
      <c r="H2430" s="51" t="s">
        <v>20</v>
      </c>
    </row>
    <row r="2431" customFormat="false" ht="14.25" hidden="false" customHeight="true" outlineLevel="0" collapsed="false">
      <c r="A2431" s="16" t="s">
        <v>53</v>
      </c>
      <c r="B2431" s="42" t="s">
        <v>155</v>
      </c>
      <c r="C2431" s="42" t="s">
        <v>167</v>
      </c>
      <c r="D2431" s="43" t="n">
        <v>31</v>
      </c>
      <c r="E2431" s="44" t="n">
        <v>64.57</v>
      </c>
      <c r="F2431" s="45" t="n">
        <f aca="false">IFERROR(D2431*E2431,0)</f>
        <v>2001.67</v>
      </c>
      <c r="G2431" s="51" t="s">
        <v>99</v>
      </c>
      <c r="H2431" s="42" t="s">
        <v>20</v>
      </c>
    </row>
    <row r="2432" customFormat="false" ht="14.25" hidden="false" customHeight="true" outlineLevel="0" collapsed="false">
      <c r="A2432" s="50" t="s">
        <v>53</v>
      </c>
      <c r="B2432" s="51" t="s">
        <v>157</v>
      </c>
      <c r="C2432" s="51" t="s">
        <v>247</v>
      </c>
      <c r="D2432" s="52" t="n">
        <v>1</v>
      </c>
      <c r="E2432" s="53" t="n">
        <v>242.73</v>
      </c>
      <c r="F2432" s="54" t="n">
        <f aca="false">IFERROR(D2432*E2432,0)</f>
        <v>242.73</v>
      </c>
      <c r="G2432" s="51" t="str">
        <f aca="false">INDEX(SETORES!$B:$B,MATCH(A2432,SETORES!$A:$A,0))</f>
        <v>Clientes</v>
      </c>
      <c r="H2432" s="51" t="s">
        <v>20</v>
      </c>
    </row>
    <row r="2433" customFormat="false" ht="14.25" hidden="false" customHeight="true" outlineLevel="0" collapsed="false">
      <c r="A2433" s="50" t="s">
        <v>53</v>
      </c>
      <c r="B2433" s="51" t="s">
        <v>157</v>
      </c>
      <c r="C2433" s="51" t="s">
        <v>191</v>
      </c>
      <c r="D2433" s="52" t="n">
        <v>1</v>
      </c>
      <c r="E2433" s="53" t="n">
        <v>23.5</v>
      </c>
      <c r="F2433" s="54" t="n">
        <f aca="false">IFERROR(D2433*E2433,0)</f>
        <v>23.5</v>
      </c>
      <c r="G2433" s="51" t="str">
        <f aca="false">INDEX(SETORES!$B:$B,MATCH(A2433,SETORES!$A:$A,0))</f>
        <v>Clientes</v>
      </c>
      <c r="H2433" s="51" t="s">
        <v>20</v>
      </c>
    </row>
    <row r="2434" customFormat="false" ht="14.25" hidden="false" customHeight="true" outlineLevel="0" collapsed="false">
      <c r="A2434" s="50" t="s">
        <v>53</v>
      </c>
      <c r="B2434" s="51" t="s">
        <v>155</v>
      </c>
      <c r="C2434" s="51" t="s">
        <v>168</v>
      </c>
      <c r="D2434" s="52" t="n">
        <v>1</v>
      </c>
      <c r="E2434" s="53" t="n">
        <v>263.8346</v>
      </c>
      <c r="F2434" s="54" t="n">
        <v>263.8346</v>
      </c>
      <c r="G2434" s="51" t="str">
        <f aca="false">INDEX(SETORES!$B:$B,MATCH(A2434,SETORES!$A:$A,0))</f>
        <v>Clientes</v>
      </c>
      <c r="H2434" s="51" t="s">
        <v>20</v>
      </c>
    </row>
    <row r="2435" customFormat="false" ht="14.25" hidden="false" customHeight="true" outlineLevel="0" collapsed="false">
      <c r="A2435" s="50" t="s">
        <v>53</v>
      </c>
      <c r="B2435" s="51" t="s">
        <v>157</v>
      </c>
      <c r="C2435" s="51" t="s">
        <v>174</v>
      </c>
      <c r="D2435" s="52" t="n">
        <v>1</v>
      </c>
      <c r="E2435" s="53" t="n">
        <v>9622.9</v>
      </c>
      <c r="F2435" s="54" t="n">
        <f aca="false">IFERROR(D2435*E2435,0)</f>
        <v>9622.9</v>
      </c>
      <c r="G2435" s="51" t="str">
        <f aca="false">INDEX(SETORES!$B:$B,MATCH(A2435,SETORES!$A:$A,0))</f>
        <v>Clientes</v>
      </c>
      <c r="H2435" s="51" t="s">
        <v>20</v>
      </c>
    </row>
    <row r="2436" customFormat="false" ht="14.25" hidden="false" customHeight="true" outlineLevel="0" collapsed="false">
      <c r="A2436" s="16" t="s">
        <v>53</v>
      </c>
      <c r="B2436" s="42" t="s">
        <v>155</v>
      </c>
      <c r="C2436" s="42" t="s">
        <v>169</v>
      </c>
      <c r="D2436" s="43" t="n">
        <v>1</v>
      </c>
      <c r="E2436" s="44" t="n">
        <v>92773.57</v>
      </c>
      <c r="F2436" s="45" t="n">
        <f aca="false">IFERROR(E2436,0)</f>
        <v>92773.57</v>
      </c>
      <c r="G2436" s="42" t="str">
        <f aca="false">INDEX(SETORES!$B:$B,MATCH(A2436,SETORES!$A:$A,0))</f>
        <v>Clientes</v>
      </c>
      <c r="H2436" s="42" t="s">
        <v>20</v>
      </c>
    </row>
    <row r="2437" customFormat="false" ht="14.25" hidden="false" customHeight="true" outlineLevel="0" collapsed="false">
      <c r="A2437" s="16" t="s">
        <v>53</v>
      </c>
      <c r="B2437" s="42" t="s">
        <v>155</v>
      </c>
      <c r="C2437" s="42" t="s">
        <v>170</v>
      </c>
      <c r="D2437" s="43" t="n">
        <v>31</v>
      </c>
      <c r="E2437" s="44" t="n">
        <v>10.05</v>
      </c>
      <c r="F2437" s="45" t="n">
        <f aca="false">IFERROR(D2437*E2437,0)</f>
        <v>311.55</v>
      </c>
      <c r="G2437" s="42" t="str">
        <f aca="false">INDEX(SETORES!$B:$B,MATCH(A2437,SETORES!$A:$A,0))</f>
        <v>Clientes</v>
      </c>
      <c r="H2437" s="42" t="s">
        <v>20</v>
      </c>
    </row>
    <row r="2438" customFormat="false" ht="14.25" hidden="false" customHeight="true" outlineLevel="0" collapsed="false">
      <c r="A2438" s="50" t="s">
        <v>53</v>
      </c>
      <c r="B2438" s="51" t="s">
        <v>155</v>
      </c>
      <c r="C2438" s="51" t="s">
        <v>172</v>
      </c>
      <c r="D2438" s="52" t="n">
        <v>31</v>
      </c>
      <c r="E2438" s="53" t="n">
        <v>50</v>
      </c>
      <c r="F2438" s="54" t="n">
        <f aca="false">IFERROR(D2438*E2438,0)</f>
        <v>1550</v>
      </c>
      <c r="G2438" s="51" t="str">
        <f aca="false">INDEX(SETORES!$B:$B,MATCH(A2438,SETORES!$A:$A,0))</f>
        <v>Clientes</v>
      </c>
      <c r="H2438" s="51" t="s">
        <v>20</v>
      </c>
    </row>
    <row r="2439" customFormat="false" ht="14.25" hidden="false" customHeight="true" outlineLevel="0" collapsed="false">
      <c r="A2439" s="50" t="s">
        <v>53</v>
      </c>
      <c r="B2439" s="51" t="s">
        <v>155</v>
      </c>
      <c r="C2439" s="51" t="s">
        <v>177</v>
      </c>
      <c r="D2439" s="52" t="n">
        <v>31</v>
      </c>
      <c r="E2439" s="53" t="n">
        <v>0.3648</v>
      </c>
      <c r="F2439" s="54" t="n">
        <v>11.3088</v>
      </c>
      <c r="G2439" s="51" t="str">
        <f aca="false">INDEX(SETORES!$B:$B,MATCH(A2439,SETORES!$A:$A,0))</f>
        <v>Clientes</v>
      </c>
      <c r="H2439" s="51" t="s">
        <v>20</v>
      </c>
    </row>
    <row r="2440" customFormat="false" ht="14.25" hidden="false" customHeight="true" outlineLevel="0" collapsed="false">
      <c r="A2440" s="16" t="s">
        <v>53</v>
      </c>
      <c r="B2440" s="42" t="s">
        <v>155</v>
      </c>
      <c r="C2440" s="42" t="s">
        <v>178</v>
      </c>
      <c r="D2440" s="43" t="n">
        <v>1</v>
      </c>
      <c r="E2440" s="44" t="n">
        <v>877.241207</v>
      </c>
      <c r="F2440" s="45" t="n">
        <v>877.241207</v>
      </c>
      <c r="G2440" s="42" t="str">
        <f aca="false">INDEX(SETORES!$B:$B,MATCH(A2440,SETORES!$A:$A,0))</f>
        <v>Clientes</v>
      </c>
      <c r="H2440" s="42" t="s">
        <v>20</v>
      </c>
    </row>
    <row r="2441" customFormat="false" ht="14.25" hidden="false" customHeight="true" outlineLevel="0" collapsed="false">
      <c r="A2441" s="16" t="s">
        <v>53</v>
      </c>
      <c r="B2441" s="42" t="s">
        <v>157</v>
      </c>
      <c r="C2441" s="42" t="s">
        <v>158</v>
      </c>
      <c r="D2441" s="43"/>
      <c r="E2441" s="44"/>
      <c r="F2441" s="45" t="n">
        <f aca="false">IFERROR(D2441*E2441,0)</f>
        <v>0</v>
      </c>
      <c r="G2441" s="42" t="str">
        <f aca="false">INDEX(SETORES!$B:$B,MATCH(A2441,SETORES!$A:$A,0))</f>
        <v>Clientes</v>
      </c>
      <c r="H2441" s="42" t="s">
        <v>20</v>
      </c>
    </row>
    <row r="2442" customFormat="false" ht="14.25" hidden="false" customHeight="true" outlineLevel="0" collapsed="false">
      <c r="A2442" s="16" t="s">
        <v>53</v>
      </c>
      <c r="B2442" s="42" t="s">
        <v>155</v>
      </c>
      <c r="C2442" s="42" t="s">
        <v>238</v>
      </c>
      <c r="D2442" s="43" t="n">
        <v>1</v>
      </c>
      <c r="E2442" s="44" t="n">
        <v>668.103444</v>
      </c>
      <c r="F2442" s="45" t="n">
        <f aca="false">IFERROR(D2442*E2442,0)</f>
        <v>668.103444</v>
      </c>
      <c r="G2442" s="42" t="str">
        <f aca="false">INDEX(SETORES!$B:$B,MATCH(A2442,SETORES!$A:$A,0))</f>
        <v>Clientes</v>
      </c>
      <c r="H2442" s="42" t="s">
        <v>20</v>
      </c>
    </row>
    <row r="2443" customFormat="false" ht="14.25" hidden="false" customHeight="true" outlineLevel="0" collapsed="false">
      <c r="A2443" s="50" t="s">
        <v>53</v>
      </c>
      <c r="B2443" s="51" t="s">
        <v>155</v>
      </c>
      <c r="C2443" s="51" t="s">
        <v>248</v>
      </c>
      <c r="D2443" s="52" t="n">
        <v>1</v>
      </c>
      <c r="E2443" s="53" t="n">
        <v>89.079554</v>
      </c>
      <c r="F2443" s="54" t="n">
        <f aca="false">IFERROR(D2443*E2443,0)</f>
        <v>89.079554</v>
      </c>
      <c r="G2443" s="51" t="str">
        <f aca="false">INDEX(SETORES!$B:$B,MATCH(A2443,SETORES!$A:$A,0))</f>
        <v>Clientes</v>
      </c>
      <c r="H2443" s="51" t="s">
        <v>20</v>
      </c>
    </row>
    <row r="2444" customFormat="false" ht="14.25" hidden="false" customHeight="true" outlineLevel="0" collapsed="false">
      <c r="A2444" s="16" t="s">
        <v>53</v>
      </c>
      <c r="B2444" s="42" t="s">
        <v>157</v>
      </c>
      <c r="C2444" s="42" t="s">
        <v>239</v>
      </c>
      <c r="D2444" s="43" t="n">
        <v>1</v>
      </c>
      <c r="E2444" s="44" t="n">
        <v>246.885612</v>
      </c>
      <c r="F2444" s="45" t="n">
        <f aca="false">IFERROR(D2444*E2444,0)</f>
        <v>246.885612</v>
      </c>
      <c r="G2444" s="42" t="str">
        <f aca="false">INDEX(SETORES!$B:$B,MATCH(A2444,SETORES!$A:$A,0))</f>
        <v>Clientes</v>
      </c>
      <c r="H2444" s="42" t="s">
        <v>20</v>
      </c>
    </row>
    <row r="2445" customFormat="false" ht="14.25" hidden="false" customHeight="true" outlineLevel="0" collapsed="false">
      <c r="A2445" s="16" t="s">
        <v>53</v>
      </c>
      <c r="B2445" s="42" t="s">
        <v>155</v>
      </c>
      <c r="C2445" s="42" t="s">
        <v>182</v>
      </c>
      <c r="D2445" s="43" t="n">
        <v>1</v>
      </c>
      <c r="E2445" s="44" t="n">
        <v>1421.080083</v>
      </c>
      <c r="F2445" s="45" t="n">
        <f aca="false">IFERROR(D2445*E2445,0)</f>
        <v>1421.080083</v>
      </c>
      <c r="G2445" s="42" t="str">
        <f aca="false">INDEX(SETORES!$B:$B,MATCH(A2445,SETORES!$A:$A,0))</f>
        <v>Clientes</v>
      </c>
      <c r="H2445" s="42" t="s">
        <v>20</v>
      </c>
    </row>
    <row r="2446" customFormat="false" ht="14.25" hidden="false" customHeight="true" outlineLevel="0" collapsed="false">
      <c r="A2446" s="50" t="s">
        <v>53</v>
      </c>
      <c r="B2446" s="51" t="s">
        <v>155</v>
      </c>
      <c r="C2446" s="51" t="s">
        <v>173</v>
      </c>
      <c r="D2446" s="52" t="n">
        <v>31</v>
      </c>
      <c r="E2446" s="53" t="n">
        <v>2.07</v>
      </c>
      <c r="F2446" s="54" t="n">
        <f aca="false">IFERROR(D2446*E2446,0)</f>
        <v>64.17</v>
      </c>
      <c r="G2446" s="51" t="str">
        <f aca="false">INDEX(SETORES!$B:$B,MATCH(A2446,SETORES!$A:$A,0))</f>
        <v>Clientes</v>
      </c>
      <c r="H2446" s="51" t="s">
        <v>20</v>
      </c>
    </row>
    <row r="2447" customFormat="false" ht="14.25" hidden="false" customHeight="true" outlineLevel="0" collapsed="false">
      <c r="A2447" s="50" t="s">
        <v>53</v>
      </c>
      <c r="B2447" s="51" t="s">
        <v>155</v>
      </c>
      <c r="C2447" s="51" t="s">
        <v>249</v>
      </c>
      <c r="D2447" s="52" t="n">
        <v>1</v>
      </c>
      <c r="E2447" s="53" t="n">
        <v>1641.85</v>
      </c>
      <c r="F2447" s="54" t="n">
        <f aca="false">IFERROR(D2447*E2447,0)</f>
        <v>1641.85</v>
      </c>
      <c r="G2447" s="51" t="str">
        <f aca="false">INDEX(SETORES!$B:$B,MATCH(A2447,SETORES!$A:$A,0))</f>
        <v>Clientes</v>
      </c>
      <c r="H2447" s="51" t="s">
        <v>20</v>
      </c>
    </row>
    <row r="2448" customFormat="false" ht="14.25" hidden="false" customHeight="true" outlineLevel="0" collapsed="false">
      <c r="A2448" s="50" t="s">
        <v>53</v>
      </c>
      <c r="B2448" s="51" t="s">
        <v>155</v>
      </c>
      <c r="C2448" s="51" t="s">
        <v>179</v>
      </c>
      <c r="D2448" s="52"/>
      <c r="E2448" s="53"/>
      <c r="F2448" s="54" t="n">
        <f aca="false">IFERROR(D2448*E2448,0)</f>
        <v>0</v>
      </c>
      <c r="G2448" s="51" t="str">
        <f aca="false">INDEX(SETORES!$B:$B,MATCH(A2448,SETORES!$A:$A,0))</f>
        <v>Clientes</v>
      </c>
      <c r="H2448" s="51" t="s">
        <v>20</v>
      </c>
    </row>
    <row r="2449" customFormat="false" ht="14.25" hidden="false" customHeight="true" outlineLevel="0" collapsed="false">
      <c r="A2449" s="16" t="s">
        <v>53</v>
      </c>
      <c r="B2449" s="42" t="s">
        <v>155</v>
      </c>
      <c r="C2449" s="42" t="s">
        <v>250</v>
      </c>
      <c r="D2449" s="43" t="n">
        <v>1</v>
      </c>
      <c r="E2449" s="44" t="n">
        <v>52</v>
      </c>
      <c r="F2449" s="45" t="n">
        <f aca="false">IFERROR(D2449*E2449,0)</f>
        <v>52</v>
      </c>
      <c r="G2449" s="42" t="str">
        <f aca="false">INDEX(SETORES!$B:$B,MATCH(A2449,SETORES!$A:$A,0))</f>
        <v>Clientes</v>
      </c>
      <c r="H2449" s="42" t="s">
        <v>20</v>
      </c>
    </row>
    <row r="2450" customFormat="false" ht="14.25" hidden="false" customHeight="true" outlineLevel="0" collapsed="false">
      <c r="A2450" s="50" t="s">
        <v>52</v>
      </c>
      <c r="B2450" s="51" t="s">
        <v>155</v>
      </c>
      <c r="C2450" s="51" t="s">
        <v>162</v>
      </c>
      <c r="D2450" s="52" t="n">
        <v>1</v>
      </c>
      <c r="E2450" s="53" t="n">
        <v>0</v>
      </c>
      <c r="F2450" s="54" t="n">
        <v>0</v>
      </c>
      <c r="G2450" s="51" t="str">
        <f aca="false">INDEX(SETORES!$B:$B,MATCH(A2450,SETORES!$A:$A,0))</f>
        <v>Clientes</v>
      </c>
      <c r="H2450" s="51" t="s">
        <v>20</v>
      </c>
    </row>
    <row r="2451" customFormat="false" ht="14.25" hidden="false" customHeight="true" outlineLevel="0" collapsed="false">
      <c r="A2451" s="16" t="s">
        <v>52</v>
      </c>
      <c r="B2451" s="42" t="s">
        <v>155</v>
      </c>
      <c r="C2451" s="42" t="s">
        <v>180</v>
      </c>
      <c r="D2451" s="43" t="n">
        <v>1</v>
      </c>
      <c r="E2451" s="44" t="n">
        <v>1094.33</v>
      </c>
      <c r="F2451" s="45" t="n">
        <f aca="false">IFERROR(D2451*E2451,0)</f>
        <v>1094.33</v>
      </c>
      <c r="G2451" s="42" t="str">
        <f aca="false">INDEX(SETORES!$B:$B,MATCH(A2451,SETORES!$A:$A,0))</f>
        <v>Clientes</v>
      </c>
      <c r="H2451" s="42" t="s">
        <v>20</v>
      </c>
    </row>
    <row r="2452" customFormat="false" ht="14.25" hidden="false" customHeight="true" outlineLevel="0" collapsed="false">
      <c r="A2452" s="16" t="s">
        <v>52</v>
      </c>
      <c r="B2452" s="42" t="s">
        <v>155</v>
      </c>
      <c r="C2452" s="42" t="s">
        <v>165</v>
      </c>
      <c r="D2452" s="43" t="n">
        <v>9</v>
      </c>
      <c r="E2452" s="44" t="n">
        <v>47.79</v>
      </c>
      <c r="F2452" s="45" t="n">
        <f aca="false">IFERROR(D2452*E2452,0)</f>
        <v>430.11</v>
      </c>
      <c r="G2452" s="42" t="s">
        <v>99</v>
      </c>
      <c r="H2452" s="42" t="s">
        <v>20</v>
      </c>
    </row>
    <row r="2453" customFormat="false" ht="14.25" hidden="false" customHeight="true" outlineLevel="0" collapsed="false">
      <c r="A2453" s="50" t="s">
        <v>52</v>
      </c>
      <c r="B2453" s="51" t="s">
        <v>155</v>
      </c>
      <c r="C2453" s="51" t="s">
        <v>166</v>
      </c>
      <c r="D2453" s="52" t="n">
        <v>9</v>
      </c>
      <c r="E2453" s="53" t="n">
        <v>28.31</v>
      </c>
      <c r="F2453" s="54" t="n">
        <f aca="false">IFERROR(D2453*E2453,0)</f>
        <v>254.79</v>
      </c>
      <c r="G2453" s="51" t="s">
        <v>99</v>
      </c>
      <c r="H2453" s="51" t="s">
        <v>20</v>
      </c>
    </row>
    <row r="2454" customFormat="false" ht="14.25" hidden="false" customHeight="true" outlineLevel="0" collapsed="false">
      <c r="A2454" s="16" t="s">
        <v>52</v>
      </c>
      <c r="B2454" s="42" t="s">
        <v>155</v>
      </c>
      <c r="C2454" s="42" t="s">
        <v>167</v>
      </c>
      <c r="D2454" s="43" t="n">
        <v>9</v>
      </c>
      <c r="E2454" s="44" t="n">
        <v>64.57</v>
      </c>
      <c r="F2454" s="45" t="n">
        <f aca="false">IFERROR(D2454*E2454,0)</f>
        <v>581.13</v>
      </c>
      <c r="G2454" s="51" t="s">
        <v>99</v>
      </c>
      <c r="H2454" s="42" t="s">
        <v>20</v>
      </c>
    </row>
    <row r="2455" customFormat="false" ht="14.25" hidden="false" customHeight="true" outlineLevel="0" collapsed="false">
      <c r="A2455" s="50" t="s">
        <v>52</v>
      </c>
      <c r="B2455" s="51" t="s">
        <v>157</v>
      </c>
      <c r="C2455" s="51" t="s">
        <v>247</v>
      </c>
      <c r="D2455" s="52" t="n">
        <v>1</v>
      </c>
      <c r="E2455" s="53" t="n">
        <v>242.73</v>
      </c>
      <c r="F2455" s="54" t="n">
        <f aca="false">IFERROR(D2455*E2455,0)</f>
        <v>242.73</v>
      </c>
      <c r="G2455" s="51" t="str">
        <f aca="false">INDEX(SETORES!$B:$B,MATCH(A2455,SETORES!$A:$A,0))</f>
        <v>Clientes</v>
      </c>
      <c r="H2455" s="51" t="s">
        <v>20</v>
      </c>
    </row>
    <row r="2456" customFormat="false" ht="14.25" hidden="false" customHeight="true" outlineLevel="0" collapsed="false">
      <c r="A2456" s="50" t="s">
        <v>52</v>
      </c>
      <c r="B2456" s="51" t="s">
        <v>157</v>
      </c>
      <c r="C2456" s="51" t="s">
        <v>191</v>
      </c>
      <c r="D2456" s="52" t="n">
        <v>1</v>
      </c>
      <c r="E2456" s="53" t="n">
        <v>23.5</v>
      </c>
      <c r="F2456" s="54" t="n">
        <f aca="false">IFERROR(D2456*E2456,0)</f>
        <v>23.5</v>
      </c>
      <c r="G2456" s="51" t="str">
        <f aca="false">INDEX(SETORES!$B:$B,MATCH(A2456,SETORES!$A:$A,0))</f>
        <v>Clientes</v>
      </c>
      <c r="H2456" s="51" t="s">
        <v>20</v>
      </c>
    </row>
    <row r="2457" customFormat="false" ht="14.25" hidden="false" customHeight="true" outlineLevel="0" collapsed="false">
      <c r="A2457" s="16" t="s">
        <v>52</v>
      </c>
      <c r="B2457" s="42" t="s">
        <v>155</v>
      </c>
      <c r="C2457" s="42" t="s">
        <v>168</v>
      </c>
      <c r="D2457" s="43" t="n">
        <v>1</v>
      </c>
      <c r="E2457" s="44" t="n">
        <v>76.5971</v>
      </c>
      <c r="F2457" s="45" t="n">
        <v>76.5971</v>
      </c>
      <c r="G2457" s="42" t="str">
        <f aca="false">INDEX(SETORES!$B:$B,MATCH(A2457,SETORES!$A:$A,0))</f>
        <v>Clientes</v>
      </c>
      <c r="H2457" s="42" t="s">
        <v>20</v>
      </c>
    </row>
    <row r="2458" customFormat="false" ht="14.25" hidden="false" customHeight="true" outlineLevel="0" collapsed="false">
      <c r="A2458" s="50" t="s">
        <v>52</v>
      </c>
      <c r="B2458" s="51" t="s">
        <v>155</v>
      </c>
      <c r="C2458" s="51" t="s">
        <v>169</v>
      </c>
      <c r="D2458" s="52" t="n">
        <v>1</v>
      </c>
      <c r="E2458" s="53" t="n">
        <v>29920.5</v>
      </c>
      <c r="F2458" s="54" t="n">
        <f aca="false">IFERROR(E2458,0)</f>
        <v>29920.5</v>
      </c>
      <c r="G2458" s="51" t="str">
        <f aca="false">INDEX(SETORES!$B:$B,MATCH(A2458,SETORES!$A:$A,0))</f>
        <v>Clientes</v>
      </c>
      <c r="H2458" s="51" t="s">
        <v>20</v>
      </c>
    </row>
    <row r="2459" customFormat="false" ht="14.25" hidden="false" customHeight="true" outlineLevel="0" collapsed="false">
      <c r="A2459" s="16" t="s">
        <v>52</v>
      </c>
      <c r="B2459" s="42" t="s">
        <v>155</v>
      </c>
      <c r="C2459" s="42" t="s">
        <v>170</v>
      </c>
      <c r="D2459" s="43" t="n">
        <v>9</v>
      </c>
      <c r="E2459" s="44" t="n">
        <v>10.05</v>
      </c>
      <c r="F2459" s="45" t="n">
        <f aca="false">IFERROR(D2459*E2459,0)</f>
        <v>90.45</v>
      </c>
      <c r="G2459" s="42" t="str">
        <f aca="false">INDEX(SETORES!$B:$B,MATCH(A2459,SETORES!$A:$A,0))</f>
        <v>Clientes</v>
      </c>
      <c r="H2459" s="42" t="s">
        <v>20</v>
      </c>
    </row>
    <row r="2460" customFormat="false" ht="14.25" hidden="false" customHeight="true" outlineLevel="0" collapsed="false">
      <c r="A2460" s="16" t="s">
        <v>52</v>
      </c>
      <c r="B2460" s="42" t="s">
        <v>155</v>
      </c>
      <c r="C2460" s="42" t="s">
        <v>172</v>
      </c>
      <c r="D2460" s="43" t="n">
        <v>8</v>
      </c>
      <c r="E2460" s="44" t="n">
        <v>50</v>
      </c>
      <c r="F2460" s="45" t="n">
        <f aca="false">IFERROR(D2460*E2460,0)</f>
        <v>400</v>
      </c>
      <c r="G2460" s="42" t="str">
        <f aca="false">INDEX(SETORES!$B:$B,MATCH(A2460,SETORES!$A:$A,0))</f>
        <v>Clientes</v>
      </c>
      <c r="H2460" s="42" t="s">
        <v>20</v>
      </c>
    </row>
    <row r="2461" customFormat="false" ht="14.25" hidden="false" customHeight="true" outlineLevel="0" collapsed="false">
      <c r="A2461" s="16" t="s">
        <v>52</v>
      </c>
      <c r="B2461" s="42" t="s">
        <v>155</v>
      </c>
      <c r="C2461" s="42" t="s">
        <v>177</v>
      </c>
      <c r="D2461" s="43" t="n">
        <v>9</v>
      </c>
      <c r="E2461" s="44" t="n">
        <v>0.3648</v>
      </c>
      <c r="F2461" s="45" t="n">
        <v>3.2832</v>
      </c>
      <c r="G2461" s="42" t="str">
        <f aca="false">INDEX(SETORES!$B:$B,MATCH(A2461,SETORES!$A:$A,0))</f>
        <v>Clientes</v>
      </c>
      <c r="H2461" s="42" t="s">
        <v>20</v>
      </c>
    </row>
    <row r="2462" customFormat="false" ht="14.25" hidden="false" customHeight="true" outlineLevel="0" collapsed="false">
      <c r="A2462" s="50" t="s">
        <v>52</v>
      </c>
      <c r="B2462" s="51" t="s">
        <v>155</v>
      </c>
      <c r="C2462" s="51" t="s">
        <v>178</v>
      </c>
      <c r="D2462" s="52" t="n">
        <v>1</v>
      </c>
      <c r="E2462" s="53" t="n">
        <v>254.682931</v>
      </c>
      <c r="F2462" s="54" t="n">
        <v>254.682931</v>
      </c>
      <c r="G2462" s="51" t="str">
        <f aca="false">INDEX(SETORES!$B:$B,MATCH(A2462,SETORES!$A:$A,0))</f>
        <v>Clientes</v>
      </c>
      <c r="H2462" s="51" t="s">
        <v>20</v>
      </c>
    </row>
    <row r="2463" customFormat="false" ht="14.25" hidden="false" customHeight="true" outlineLevel="0" collapsed="false">
      <c r="A2463" s="16" t="s">
        <v>52</v>
      </c>
      <c r="B2463" s="42" t="s">
        <v>155</v>
      </c>
      <c r="C2463" s="42" t="s">
        <v>238</v>
      </c>
      <c r="D2463" s="43" t="n">
        <v>1</v>
      </c>
      <c r="E2463" s="44" t="n">
        <v>193.965516</v>
      </c>
      <c r="F2463" s="45" t="n">
        <f aca="false">IFERROR(D2463*E2463,0)</f>
        <v>193.965516</v>
      </c>
      <c r="G2463" s="42" t="str">
        <f aca="false">INDEX(SETORES!$B:$B,MATCH(A2463,SETORES!$A:$A,0))</f>
        <v>Clientes</v>
      </c>
      <c r="H2463" s="42" t="s">
        <v>20</v>
      </c>
    </row>
    <row r="2464" customFormat="false" ht="14.25" hidden="false" customHeight="true" outlineLevel="0" collapsed="false">
      <c r="A2464" s="50" t="s">
        <v>52</v>
      </c>
      <c r="B2464" s="51" t="s">
        <v>155</v>
      </c>
      <c r="C2464" s="51" t="s">
        <v>248</v>
      </c>
      <c r="D2464" s="52" t="n">
        <v>1</v>
      </c>
      <c r="E2464" s="53" t="n">
        <v>25.861806</v>
      </c>
      <c r="F2464" s="54" t="n">
        <f aca="false">IFERROR(D2464*E2464,0)</f>
        <v>25.861806</v>
      </c>
      <c r="G2464" s="51" t="str">
        <f aca="false">INDEX(SETORES!$B:$B,MATCH(A2464,SETORES!$A:$A,0))</f>
        <v>Clientes</v>
      </c>
      <c r="H2464" s="51" t="s">
        <v>20</v>
      </c>
    </row>
    <row r="2465" customFormat="false" ht="14.25" hidden="false" customHeight="true" outlineLevel="0" collapsed="false">
      <c r="A2465" s="16" t="s">
        <v>52</v>
      </c>
      <c r="B2465" s="42" t="s">
        <v>157</v>
      </c>
      <c r="C2465" s="42" t="s">
        <v>239</v>
      </c>
      <c r="D2465" s="43" t="n">
        <v>1</v>
      </c>
      <c r="E2465" s="44" t="n">
        <v>71.676468</v>
      </c>
      <c r="F2465" s="45" t="n">
        <f aca="false">IFERROR(D2465*E2465,0)</f>
        <v>71.676468</v>
      </c>
      <c r="G2465" s="42" t="str">
        <f aca="false">INDEX(SETORES!$B:$B,MATCH(A2465,SETORES!$A:$A,0))</f>
        <v>Clientes</v>
      </c>
      <c r="H2465" s="42" t="s">
        <v>20</v>
      </c>
    </row>
    <row r="2466" customFormat="false" ht="14.25" hidden="false" customHeight="true" outlineLevel="0" collapsed="false">
      <c r="A2466" s="16" t="s">
        <v>52</v>
      </c>
      <c r="B2466" s="42" t="s">
        <v>155</v>
      </c>
      <c r="C2466" s="42" t="s">
        <v>182</v>
      </c>
      <c r="D2466" s="43" t="n">
        <v>1</v>
      </c>
      <c r="E2466" s="44" t="n">
        <v>412.571637</v>
      </c>
      <c r="F2466" s="45" t="n">
        <f aca="false">IFERROR(D2466*E2466,0)</f>
        <v>412.571637</v>
      </c>
      <c r="G2466" s="42" t="str">
        <f aca="false">INDEX(SETORES!$B:$B,MATCH(A2466,SETORES!$A:$A,0))</f>
        <v>Clientes</v>
      </c>
      <c r="H2466" s="42" t="s">
        <v>20</v>
      </c>
    </row>
    <row r="2467" customFormat="false" ht="14.25" hidden="false" customHeight="true" outlineLevel="0" collapsed="false">
      <c r="A2467" s="50" t="s">
        <v>52</v>
      </c>
      <c r="B2467" s="51" t="s">
        <v>155</v>
      </c>
      <c r="C2467" s="51" t="s">
        <v>173</v>
      </c>
      <c r="D2467" s="52" t="n">
        <v>9</v>
      </c>
      <c r="E2467" s="53" t="n">
        <v>2.07</v>
      </c>
      <c r="F2467" s="54" t="n">
        <f aca="false">IFERROR(D2467*E2467,0)</f>
        <v>18.63</v>
      </c>
      <c r="G2467" s="51" t="str">
        <f aca="false">INDEX(SETORES!$B:$B,MATCH(A2467,SETORES!$A:$A,0))</f>
        <v>Clientes</v>
      </c>
      <c r="H2467" s="51" t="s">
        <v>20</v>
      </c>
    </row>
    <row r="2468" customFormat="false" ht="14.25" hidden="false" customHeight="true" outlineLevel="0" collapsed="false">
      <c r="A2468" s="50" t="s">
        <v>52</v>
      </c>
      <c r="B2468" s="51" t="s">
        <v>155</v>
      </c>
      <c r="C2468" s="51" t="s">
        <v>256</v>
      </c>
      <c r="D2468" s="52"/>
      <c r="E2468" s="53"/>
      <c r="F2468" s="54" t="n">
        <f aca="false">IFERROR(D2468*E2468,0)</f>
        <v>0</v>
      </c>
      <c r="G2468" s="51" t="str">
        <f aca="false">INDEX(SETORES!$B:$B,MATCH(A2468,SETORES!$A:$A,0))</f>
        <v>Clientes</v>
      </c>
      <c r="H2468" s="51" t="s">
        <v>20</v>
      </c>
    </row>
    <row r="2469" customFormat="false" ht="14.25" hidden="false" customHeight="true" outlineLevel="0" collapsed="false">
      <c r="A2469" s="50" t="s">
        <v>52</v>
      </c>
      <c r="B2469" s="51" t="s">
        <v>155</v>
      </c>
      <c r="C2469" s="51" t="s">
        <v>249</v>
      </c>
      <c r="D2469" s="52" t="n">
        <v>1</v>
      </c>
      <c r="E2469" s="53" t="n">
        <v>1641.85</v>
      </c>
      <c r="F2469" s="54" t="n">
        <f aca="false">IFERROR(D2469*E2469,0)</f>
        <v>1641.85</v>
      </c>
      <c r="G2469" s="51" t="str">
        <f aca="false">INDEX(SETORES!$B:$B,MATCH(A2469,SETORES!$A:$A,0))</f>
        <v>Clientes</v>
      </c>
      <c r="H2469" s="51" t="s">
        <v>20</v>
      </c>
    </row>
    <row r="2470" customFormat="false" ht="14.25" hidden="false" customHeight="true" outlineLevel="0" collapsed="false">
      <c r="A2470" s="16" t="s">
        <v>52</v>
      </c>
      <c r="B2470" s="42" t="s">
        <v>155</v>
      </c>
      <c r="C2470" s="42" t="s">
        <v>179</v>
      </c>
      <c r="D2470" s="43"/>
      <c r="E2470" s="44"/>
      <c r="F2470" s="45" t="n">
        <f aca="false">IFERROR(D2470*E2470,0)</f>
        <v>0</v>
      </c>
      <c r="G2470" s="42" t="str">
        <f aca="false">INDEX(SETORES!$B:$B,MATCH(A2470,SETORES!$A:$A,0))</f>
        <v>Clientes</v>
      </c>
      <c r="H2470" s="42" t="s">
        <v>20</v>
      </c>
    </row>
    <row r="2471" customFormat="false" ht="14.25" hidden="false" customHeight="true" outlineLevel="0" collapsed="false">
      <c r="A2471" s="16" t="s">
        <v>52</v>
      </c>
      <c r="B2471" s="42" t="s">
        <v>155</v>
      </c>
      <c r="C2471" s="42" t="s">
        <v>250</v>
      </c>
      <c r="D2471" s="43" t="n">
        <v>1</v>
      </c>
      <c r="E2471" s="44" t="n">
        <v>52</v>
      </c>
      <c r="F2471" s="45" t="n">
        <f aca="false">IFERROR(D2471*E2471,0)</f>
        <v>52</v>
      </c>
      <c r="G2471" s="42" t="str">
        <f aca="false">INDEX(SETORES!$B:$B,MATCH(A2471,SETORES!$A:$A,0))</f>
        <v>Clientes</v>
      </c>
      <c r="H2471" s="42" t="s">
        <v>20</v>
      </c>
    </row>
    <row r="2472" customFormat="false" ht="14.25" hidden="false" customHeight="true" outlineLevel="0" collapsed="false">
      <c r="A2472" s="16" t="s">
        <v>51</v>
      </c>
      <c r="B2472" s="42" t="s">
        <v>155</v>
      </c>
      <c r="C2472" s="42" t="s">
        <v>162</v>
      </c>
      <c r="D2472" s="43" t="n">
        <v>1</v>
      </c>
      <c r="E2472" s="44" t="n">
        <v>0</v>
      </c>
      <c r="F2472" s="45" t="n">
        <v>0</v>
      </c>
      <c r="G2472" s="42" t="str">
        <f aca="false">INDEX(SETORES!$B:$B,MATCH(A2472,SETORES!$A:$A,0))</f>
        <v>Clientes</v>
      </c>
      <c r="H2472" s="42" t="s">
        <v>20</v>
      </c>
    </row>
    <row r="2473" customFormat="false" ht="14.25" hidden="false" customHeight="true" outlineLevel="0" collapsed="false">
      <c r="A2473" s="50" t="s">
        <v>51</v>
      </c>
      <c r="B2473" s="51" t="s">
        <v>157</v>
      </c>
      <c r="C2473" s="51" t="s">
        <v>199</v>
      </c>
      <c r="D2473" s="52"/>
      <c r="E2473" s="53"/>
      <c r="F2473" s="54" t="n">
        <f aca="false">IFERROR(D2473*E2473,0)</f>
        <v>0</v>
      </c>
      <c r="G2473" s="51" t="str">
        <f aca="false">INDEX(SETORES!$B:$B,MATCH(A2473,SETORES!$A:$A,0))</f>
        <v>Clientes</v>
      </c>
      <c r="H2473" s="51" t="s">
        <v>20</v>
      </c>
    </row>
    <row r="2474" customFormat="false" ht="14.25" hidden="false" customHeight="true" outlineLevel="0" collapsed="false">
      <c r="A2474" s="16" t="s">
        <v>51</v>
      </c>
      <c r="B2474" s="42" t="s">
        <v>155</v>
      </c>
      <c r="C2474" s="42" t="s">
        <v>180</v>
      </c>
      <c r="D2474" s="43" t="n">
        <v>1</v>
      </c>
      <c r="E2474" s="44" t="n">
        <v>1215.92</v>
      </c>
      <c r="F2474" s="45" t="n">
        <f aca="false">IFERROR(D2474*E2474,0)</f>
        <v>1215.92</v>
      </c>
      <c r="G2474" s="42" t="str">
        <f aca="false">INDEX(SETORES!$B:$B,MATCH(A2474,SETORES!$A:$A,0))</f>
        <v>Clientes</v>
      </c>
      <c r="H2474" s="42" t="s">
        <v>20</v>
      </c>
    </row>
    <row r="2475" customFormat="false" ht="14.25" hidden="false" customHeight="true" outlineLevel="0" collapsed="false">
      <c r="A2475" s="50" t="s">
        <v>51</v>
      </c>
      <c r="B2475" s="51" t="s">
        <v>155</v>
      </c>
      <c r="C2475" s="51" t="s">
        <v>165</v>
      </c>
      <c r="D2475" s="52" t="n">
        <v>13</v>
      </c>
      <c r="E2475" s="53" t="n">
        <v>47.79</v>
      </c>
      <c r="F2475" s="54" t="n">
        <v>621.27</v>
      </c>
      <c r="G2475" s="42" t="s">
        <v>99</v>
      </c>
      <c r="H2475" s="51" t="s">
        <v>20</v>
      </c>
    </row>
    <row r="2476" customFormat="false" ht="14.25" hidden="false" customHeight="true" outlineLevel="0" collapsed="false">
      <c r="A2476" s="16" t="s">
        <v>51</v>
      </c>
      <c r="B2476" s="42" t="s">
        <v>155</v>
      </c>
      <c r="C2476" s="42" t="s">
        <v>166</v>
      </c>
      <c r="D2476" s="43" t="n">
        <v>13</v>
      </c>
      <c r="E2476" s="44" t="n">
        <v>28.31</v>
      </c>
      <c r="F2476" s="45" t="n">
        <v>368.03</v>
      </c>
      <c r="G2476" s="51" t="s">
        <v>99</v>
      </c>
      <c r="H2476" s="42" t="s">
        <v>20</v>
      </c>
    </row>
    <row r="2477" customFormat="false" ht="14.25" hidden="false" customHeight="true" outlineLevel="0" collapsed="false">
      <c r="A2477" s="50" t="s">
        <v>51</v>
      </c>
      <c r="B2477" s="51" t="s">
        <v>155</v>
      </c>
      <c r="C2477" s="51" t="s">
        <v>167</v>
      </c>
      <c r="D2477" s="52" t="n">
        <v>13</v>
      </c>
      <c r="E2477" s="53" t="n">
        <v>64.57</v>
      </c>
      <c r="F2477" s="45" t="n">
        <f aca="false">IFERROR(D2477*E2477,0)</f>
        <v>839.41</v>
      </c>
      <c r="G2477" s="51" t="s">
        <v>99</v>
      </c>
      <c r="H2477" s="51" t="s">
        <v>20</v>
      </c>
    </row>
    <row r="2478" customFormat="false" ht="14.25" hidden="false" customHeight="true" outlineLevel="0" collapsed="false">
      <c r="A2478" s="16" t="s">
        <v>51</v>
      </c>
      <c r="B2478" s="42" t="s">
        <v>157</v>
      </c>
      <c r="C2478" s="42" t="s">
        <v>247</v>
      </c>
      <c r="D2478" s="43" t="n">
        <v>1</v>
      </c>
      <c r="E2478" s="44" t="n">
        <v>242.73</v>
      </c>
      <c r="F2478" s="45" t="n">
        <f aca="false">IFERROR(D2478*E2478,0)</f>
        <v>242.73</v>
      </c>
      <c r="G2478" s="42" t="str">
        <f aca="false">INDEX(SETORES!$B:$B,MATCH(A2478,SETORES!$A:$A,0))</f>
        <v>Clientes</v>
      </c>
      <c r="H2478" s="42" t="s">
        <v>20</v>
      </c>
    </row>
    <row r="2479" customFormat="false" ht="14.25" hidden="false" customHeight="true" outlineLevel="0" collapsed="false">
      <c r="A2479" s="16" t="s">
        <v>51</v>
      </c>
      <c r="B2479" s="42" t="s">
        <v>157</v>
      </c>
      <c r="C2479" s="42" t="s">
        <v>191</v>
      </c>
      <c r="D2479" s="43" t="n">
        <v>1</v>
      </c>
      <c r="E2479" s="44" t="n">
        <v>23.5</v>
      </c>
      <c r="F2479" s="45" t="n">
        <f aca="false">IFERROR(D2479*E2479,0)</f>
        <v>23.5</v>
      </c>
      <c r="G2479" s="42" t="str">
        <f aca="false">INDEX(SETORES!$B:$B,MATCH(A2479,SETORES!$A:$A,0))</f>
        <v>Clientes</v>
      </c>
      <c r="H2479" s="42" t="s">
        <v>20</v>
      </c>
    </row>
    <row r="2480" customFormat="false" ht="14.25" hidden="false" customHeight="true" outlineLevel="0" collapsed="false">
      <c r="A2480" s="50" t="s">
        <v>51</v>
      </c>
      <c r="B2480" s="51" t="s">
        <v>155</v>
      </c>
      <c r="C2480" s="51" t="s">
        <v>168</v>
      </c>
      <c r="D2480" s="52" t="n">
        <v>1</v>
      </c>
      <c r="E2480" s="53" t="n">
        <v>110.6403</v>
      </c>
      <c r="F2480" s="54" t="n">
        <v>110.6403</v>
      </c>
      <c r="G2480" s="51" t="str">
        <f aca="false">INDEX(SETORES!$B:$B,MATCH(A2480,SETORES!$A:$A,0))</f>
        <v>Clientes</v>
      </c>
      <c r="H2480" s="51" t="s">
        <v>20</v>
      </c>
    </row>
    <row r="2481" customFormat="false" ht="14.25" hidden="false" customHeight="true" outlineLevel="0" collapsed="false">
      <c r="A2481" s="16" t="s">
        <v>51</v>
      </c>
      <c r="B2481" s="42" t="s">
        <v>155</v>
      </c>
      <c r="C2481" s="42" t="s">
        <v>169</v>
      </c>
      <c r="D2481" s="43" t="n">
        <v>1</v>
      </c>
      <c r="E2481" s="44" t="n">
        <v>56398.2299555556</v>
      </c>
      <c r="F2481" s="45" t="n">
        <v>56398.2299555556</v>
      </c>
      <c r="G2481" s="42" t="str">
        <f aca="false">INDEX(SETORES!$B:$B,MATCH(A2481,SETORES!$A:$A,0))</f>
        <v>Clientes</v>
      </c>
      <c r="H2481" s="42" t="s">
        <v>20</v>
      </c>
    </row>
    <row r="2482" customFormat="false" ht="14.25" hidden="false" customHeight="true" outlineLevel="0" collapsed="false">
      <c r="A2482" s="50" t="s">
        <v>51</v>
      </c>
      <c r="B2482" s="51" t="s">
        <v>155</v>
      </c>
      <c r="C2482" s="51" t="s">
        <v>170</v>
      </c>
      <c r="D2482" s="52" t="n">
        <v>13</v>
      </c>
      <c r="E2482" s="53" t="n">
        <v>10.05</v>
      </c>
      <c r="F2482" s="54" t="n">
        <v>130.65</v>
      </c>
      <c r="G2482" s="51" t="str">
        <f aca="false">INDEX(SETORES!$B:$B,MATCH(A2482,SETORES!$A:$A,0))</f>
        <v>Clientes</v>
      </c>
      <c r="H2482" s="51" t="s">
        <v>20</v>
      </c>
    </row>
    <row r="2483" customFormat="false" ht="14.25" hidden="false" customHeight="true" outlineLevel="0" collapsed="false">
      <c r="A2483" s="50" t="s">
        <v>51</v>
      </c>
      <c r="B2483" s="51" t="s">
        <v>155</v>
      </c>
      <c r="C2483" s="51" t="s">
        <v>172</v>
      </c>
      <c r="D2483" s="52" t="n">
        <v>14</v>
      </c>
      <c r="E2483" s="53" t="n">
        <v>50</v>
      </c>
      <c r="F2483" s="54" t="n">
        <f aca="false">IFERROR(D2483*E2483,0)</f>
        <v>700</v>
      </c>
      <c r="G2483" s="51" t="str">
        <f aca="false">INDEX(SETORES!$B:$B,MATCH(A2483,SETORES!$A:$A,0))</f>
        <v>Clientes</v>
      </c>
      <c r="H2483" s="51" t="s">
        <v>20</v>
      </c>
    </row>
    <row r="2484" customFormat="false" ht="14.25" hidden="false" customHeight="true" outlineLevel="0" collapsed="false">
      <c r="A2484" s="50" t="s">
        <v>51</v>
      </c>
      <c r="B2484" s="51" t="s">
        <v>155</v>
      </c>
      <c r="C2484" s="51" t="s">
        <v>177</v>
      </c>
      <c r="D2484" s="52" t="n">
        <v>13</v>
      </c>
      <c r="E2484" s="53" t="n">
        <v>0.3648</v>
      </c>
      <c r="F2484" s="54" t="n">
        <v>4.7424</v>
      </c>
      <c r="G2484" s="51" t="str">
        <f aca="false">INDEX(SETORES!$B:$B,MATCH(A2484,SETORES!$A:$A,0))</f>
        <v>Clientes</v>
      </c>
      <c r="H2484" s="51" t="s">
        <v>20</v>
      </c>
    </row>
    <row r="2485" customFormat="false" ht="14.25" hidden="false" customHeight="true" outlineLevel="0" collapsed="false">
      <c r="A2485" s="16" t="s">
        <v>51</v>
      </c>
      <c r="B2485" s="42" t="s">
        <v>155</v>
      </c>
      <c r="C2485" s="42" t="s">
        <v>178</v>
      </c>
      <c r="D2485" s="43" t="n">
        <v>1</v>
      </c>
      <c r="E2485" s="44" t="n">
        <v>367.875345</v>
      </c>
      <c r="F2485" s="45" t="n">
        <v>367.875345</v>
      </c>
      <c r="G2485" s="42" t="str">
        <f aca="false">INDEX(SETORES!$B:$B,MATCH(A2485,SETORES!$A:$A,0))</f>
        <v>Clientes</v>
      </c>
      <c r="H2485" s="42" t="s">
        <v>20</v>
      </c>
    </row>
    <row r="2486" customFormat="false" ht="14.25" hidden="false" customHeight="true" outlineLevel="0" collapsed="false">
      <c r="A2486" s="50" t="s">
        <v>51</v>
      </c>
      <c r="B2486" s="51" t="s">
        <v>157</v>
      </c>
      <c r="C2486" s="51" t="s">
        <v>158</v>
      </c>
      <c r="D2486" s="52"/>
      <c r="E2486" s="53"/>
      <c r="F2486" s="54" t="n">
        <f aca="false">IFERROR(D2486*E2486,0)</f>
        <v>0</v>
      </c>
      <c r="G2486" s="51" t="str">
        <f aca="false">INDEX(SETORES!$B:$B,MATCH(A2486,SETORES!$A:$A,0))</f>
        <v>Clientes</v>
      </c>
      <c r="H2486" s="51" t="s">
        <v>20</v>
      </c>
    </row>
    <row r="2487" customFormat="false" ht="14.25" hidden="false" customHeight="true" outlineLevel="0" collapsed="false">
      <c r="A2487" s="50" t="s">
        <v>51</v>
      </c>
      <c r="B2487" s="51" t="s">
        <v>155</v>
      </c>
      <c r="C2487" s="51" t="s">
        <v>238</v>
      </c>
      <c r="D2487" s="52" t="n">
        <v>1</v>
      </c>
      <c r="E2487" s="53" t="n">
        <v>280.172412</v>
      </c>
      <c r="F2487" s="54" t="n">
        <f aca="false">IFERROR(D2487*E2487,0)</f>
        <v>280.172412</v>
      </c>
      <c r="G2487" s="51" t="str">
        <f aca="false">INDEX(SETORES!$B:$B,MATCH(A2487,SETORES!$A:$A,0))</f>
        <v>Clientes</v>
      </c>
      <c r="H2487" s="51" t="s">
        <v>20</v>
      </c>
    </row>
    <row r="2488" customFormat="false" ht="14.25" hidden="false" customHeight="true" outlineLevel="0" collapsed="false">
      <c r="A2488" s="16" t="s">
        <v>51</v>
      </c>
      <c r="B2488" s="42" t="s">
        <v>155</v>
      </c>
      <c r="C2488" s="42" t="s">
        <v>248</v>
      </c>
      <c r="D2488" s="43" t="n">
        <v>1</v>
      </c>
      <c r="E2488" s="44" t="n">
        <v>37.355942</v>
      </c>
      <c r="F2488" s="45" t="n">
        <f aca="false">IFERROR(D2488*E2488,0)</f>
        <v>37.355942</v>
      </c>
      <c r="G2488" s="42" t="str">
        <f aca="false">INDEX(SETORES!$B:$B,MATCH(A2488,SETORES!$A:$A,0))</f>
        <v>Clientes</v>
      </c>
      <c r="H2488" s="42" t="s">
        <v>20</v>
      </c>
    </row>
    <row r="2489" customFormat="false" ht="14.25" hidden="false" customHeight="true" outlineLevel="0" collapsed="false">
      <c r="A2489" s="50" t="s">
        <v>51</v>
      </c>
      <c r="B2489" s="51" t="s">
        <v>157</v>
      </c>
      <c r="C2489" s="51" t="s">
        <v>239</v>
      </c>
      <c r="D2489" s="52" t="n">
        <v>1</v>
      </c>
      <c r="E2489" s="53" t="n">
        <v>103.532676</v>
      </c>
      <c r="F2489" s="54" t="n">
        <f aca="false">IFERROR(D2489*E2489,0)</f>
        <v>103.532676</v>
      </c>
      <c r="G2489" s="51" t="str">
        <f aca="false">INDEX(SETORES!$B:$B,MATCH(A2489,SETORES!$A:$A,0))</f>
        <v>Clientes</v>
      </c>
      <c r="H2489" s="51" t="s">
        <v>20</v>
      </c>
    </row>
    <row r="2490" customFormat="false" ht="14.25" hidden="false" customHeight="true" outlineLevel="0" collapsed="false">
      <c r="A2490" s="50" t="s">
        <v>51</v>
      </c>
      <c r="B2490" s="51" t="s">
        <v>155</v>
      </c>
      <c r="C2490" s="51" t="s">
        <v>257</v>
      </c>
      <c r="D2490" s="52" t="n">
        <v>1</v>
      </c>
      <c r="E2490" s="53" t="n">
        <v>595.936809</v>
      </c>
      <c r="F2490" s="54" t="n">
        <f aca="false">IFERROR(D2490*E2490,0)</f>
        <v>595.936809</v>
      </c>
      <c r="G2490" s="51" t="str">
        <f aca="false">INDEX(SETORES!$B:$B,MATCH(A2490,SETORES!$A:$A,0))</f>
        <v>Clientes</v>
      </c>
      <c r="H2490" s="51" t="s">
        <v>20</v>
      </c>
    </row>
    <row r="2491" customFormat="false" ht="14.25" hidden="false" customHeight="true" outlineLevel="0" collapsed="false">
      <c r="A2491" s="16" t="s">
        <v>51</v>
      </c>
      <c r="B2491" s="42" t="s">
        <v>155</v>
      </c>
      <c r="C2491" s="42" t="s">
        <v>173</v>
      </c>
      <c r="D2491" s="43" t="n">
        <v>13</v>
      </c>
      <c r="E2491" s="44" t="n">
        <v>2.07</v>
      </c>
      <c r="F2491" s="45" t="n">
        <v>26.91</v>
      </c>
      <c r="G2491" s="42" t="str">
        <f aca="false">INDEX(SETORES!$B:$B,MATCH(A2491,SETORES!$A:$A,0))</f>
        <v>Clientes</v>
      </c>
      <c r="H2491" s="42" t="s">
        <v>20</v>
      </c>
    </row>
    <row r="2492" customFormat="false" ht="14.25" hidden="false" customHeight="true" outlineLevel="0" collapsed="false">
      <c r="A2492" s="16" t="s">
        <v>51</v>
      </c>
      <c r="B2492" s="42" t="s">
        <v>155</v>
      </c>
      <c r="C2492" s="42" t="s">
        <v>249</v>
      </c>
      <c r="D2492" s="43" t="n">
        <v>1</v>
      </c>
      <c r="E2492" s="44" t="n">
        <v>1641.85</v>
      </c>
      <c r="F2492" s="45" t="n">
        <f aca="false">IFERROR(D2492*E2492,0)</f>
        <v>1641.85</v>
      </c>
      <c r="G2492" s="42" t="str">
        <f aca="false">INDEX(SETORES!$B:$B,MATCH(A2492,SETORES!$A:$A,0))</f>
        <v>Clientes</v>
      </c>
      <c r="H2492" s="42" t="s">
        <v>20</v>
      </c>
    </row>
    <row r="2493" customFormat="false" ht="14.25" hidden="false" customHeight="true" outlineLevel="0" collapsed="false">
      <c r="A2493" s="50" t="s">
        <v>51</v>
      </c>
      <c r="B2493" s="51" t="s">
        <v>155</v>
      </c>
      <c r="C2493" s="51" t="s">
        <v>179</v>
      </c>
      <c r="D2493" s="52"/>
      <c r="E2493" s="53"/>
      <c r="F2493" s="54" t="n">
        <f aca="false">IFERROR(D2493*E2493,0)</f>
        <v>0</v>
      </c>
      <c r="G2493" s="51" t="str">
        <f aca="false">INDEX(SETORES!$B:$B,MATCH(A2493,SETORES!$A:$A,0))</f>
        <v>Clientes</v>
      </c>
      <c r="H2493" s="51" t="s">
        <v>20</v>
      </c>
    </row>
    <row r="2494" customFormat="false" ht="14.25" hidden="false" customHeight="true" outlineLevel="0" collapsed="false">
      <c r="A2494" s="16" t="s">
        <v>51</v>
      </c>
      <c r="B2494" s="42" t="s">
        <v>157</v>
      </c>
      <c r="C2494" s="42" t="s">
        <v>258</v>
      </c>
      <c r="D2494" s="43"/>
      <c r="E2494" s="44"/>
      <c r="F2494" s="45" t="n">
        <f aca="false">IFERROR(D2494*E2494,0)</f>
        <v>0</v>
      </c>
      <c r="G2494" s="42" t="str">
        <f aca="false">INDEX(SETORES!$B:$B,MATCH(A2494,SETORES!$A:$A,0))</f>
        <v>Clientes</v>
      </c>
      <c r="H2494" s="42" t="s">
        <v>20</v>
      </c>
    </row>
    <row r="2495" customFormat="false" ht="14.25" hidden="false" customHeight="true" outlineLevel="0" collapsed="false">
      <c r="A2495" s="50" t="s">
        <v>51</v>
      </c>
      <c r="B2495" s="51" t="s">
        <v>155</v>
      </c>
      <c r="C2495" s="51" t="s">
        <v>250</v>
      </c>
      <c r="D2495" s="52" t="n">
        <v>1</v>
      </c>
      <c r="E2495" s="53" t="n">
        <v>52</v>
      </c>
      <c r="F2495" s="54" t="n">
        <f aca="false">IFERROR(D2495*E2495,0)</f>
        <v>52</v>
      </c>
      <c r="G2495" s="51" t="str">
        <f aca="false">INDEX(SETORES!$B:$B,MATCH(A2495,SETORES!$A:$A,0))</f>
        <v>Clientes</v>
      </c>
      <c r="H2495" s="51" t="s">
        <v>20</v>
      </c>
    </row>
    <row r="2496" customFormat="false" ht="14.25" hidden="false" customHeight="true" outlineLevel="0" collapsed="false">
      <c r="A2496" s="50" t="s">
        <v>87</v>
      </c>
      <c r="B2496" s="51" t="s">
        <v>155</v>
      </c>
      <c r="C2496" s="51" t="s">
        <v>163</v>
      </c>
      <c r="D2496" s="52" t="n">
        <v>5</v>
      </c>
      <c r="E2496" s="53" t="n">
        <v>30</v>
      </c>
      <c r="F2496" s="54" t="n">
        <f aca="false">IFERROR(D2496*E2496,0)</f>
        <v>150</v>
      </c>
      <c r="G2496" s="51" t="str">
        <f aca="false">INDEX(SETORES!$B:$B,MATCH(A2496,SETORES!$A:$A,0))</f>
        <v>Clientes</v>
      </c>
      <c r="H2496" s="51" t="s">
        <v>20</v>
      </c>
    </row>
    <row r="2497" customFormat="false" ht="14.25" hidden="false" customHeight="true" outlineLevel="0" collapsed="false">
      <c r="A2497" s="50" t="s">
        <v>87</v>
      </c>
      <c r="B2497" s="51" t="s">
        <v>155</v>
      </c>
      <c r="C2497" s="51" t="s">
        <v>165</v>
      </c>
      <c r="D2497" s="52" t="n">
        <v>6</v>
      </c>
      <c r="E2497" s="53" t="n">
        <v>47.79</v>
      </c>
      <c r="F2497" s="54" t="n">
        <f aca="false">IFERROR(D2497*E2497,0)</f>
        <v>286.74</v>
      </c>
      <c r="G2497" s="42" t="s">
        <v>99</v>
      </c>
      <c r="H2497" s="51" t="s">
        <v>20</v>
      </c>
    </row>
    <row r="2498" customFormat="false" ht="14.25" hidden="false" customHeight="true" outlineLevel="0" collapsed="false">
      <c r="A2498" s="16" t="s">
        <v>87</v>
      </c>
      <c r="B2498" s="42" t="s">
        <v>155</v>
      </c>
      <c r="C2498" s="42" t="s">
        <v>166</v>
      </c>
      <c r="D2498" s="43" t="n">
        <v>6</v>
      </c>
      <c r="E2498" s="44" t="n">
        <v>28.31</v>
      </c>
      <c r="F2498" s="45" t="n">
        <f aca="false">IFERROR(D2498*E2498,0)</f>
        <v>169.86</v>
      </c>
      <c r="G2498" s="51" t="s">
        <v>99</v>
      </c>
      <c r="H2498" s="42" t="s">
        <v>20</v>
      </c>
    </row>
    <row r="2499" customFormat="false" ht="14.25" hidden="false" customHeight="true" outlineLevel="0" collapsed="false">
      <c r="A2499" s="16" t="s">
        <v>87</v>
      </c>
      <c r="B2499" s="42" t="s">
        <v>155</v>
      </c>
      <c r="C2499" s="42" t="s">
        <v>167</v>
      </c>
      <c r="D2499" s="43" t="n">
        <v>6</v>
      </c>
      <c r="E2499" s="44" t="n">
        <v>64.57</v>
      </c>
      <c r="F2499" s="45" t="n">
        <f aca="false">IFERROR(D2499*E2499,0)</f>
        <v>387.42</v>
      </c>
      <c r="G2499" s="51" t="s">
        <v>99</v>
      </c>
      <c r="H2499" s="42" t="s">
        <v>20</v>
      </c>
    </row>
    <row r="2500" customFormat="false" ht="14.25" hidden="false" customHeight="true" outlineLevel="0" collapsed="false">
      <c r="A2500" s="60" t="s">
        <v>87</v>
      </c>
      <c r="B2500" s="61" t="s">
        <v>155</v>
      </c>
      <c r="C2500" s="61" t="s">
        <v>168</v>
      </c>
      <c r="D2500" s="62" t="n">
        <v>1</v>
      </c>
      <c r="E2500" s="63" t="n">
        <v>51.0648</v>
      </c>
      <c r="F2500" s="64" t="n">
        <v>51.0648</v>
      </c>
      <c r="G2500" s="61" t="s">
        <v>97</v>
      </c>
      <c r="H2500" s="61" t="s">
        <v>20</v>
      </c>
    </row>
    <row r="2501" customFormat="false" ht="14.25" hidden="false" customHeight="true" outlineLevel="0" collapsed="false">
      <c r="A2501" s="60" t="s">
        <v>87</v>
      </c>
      <c r="B2501" s="61" t="s">
        <v>155</v>
      </c>
      <c r="C2501" s="61" t="s">
        <v>169</v>
      </c>
      <c r="D2501" s="62" t="n">
        <v>1</v>
      </c>
      <c r="E2501" s="63" t="n">
        <v>26750.76</v>
      </c>
      <c r="F2501" s="64" t="n">
        <f aca="false">IFERROR(E2501,0)</f>
        <v>26750.76</v>
      </c>
      <c r="G2501" s="61" t="str">
        <f aca="false">INDEX(SETORES!$B:$B,MATCH(A2501,SETORES!$A:$A,0))</f>
        <v>Clientes</v>
      </c>
      <c r="H2501" s="42" t="s">
        <v>20</v>
      </c>
    </row>
    <row r="2502" customFormat="false" ht="14.25" hidden="false" customHeight="true" outlineLevel="0" collapsed="false">
      <c r="A2502" s="55" t="s">
        <v>87</v>
      </c>
      <c r="B2502" s="56" t="s">
        <v>155</v>
      </c>
      <c r="C2502" s="56" t="s">
        <v>170</v>
      </c>
      <c r="D2502" s="57" t="n">
        <v>6</v>
      </c>
      <c r="E2502" s="58" t="n">
        <v>10.05</v>
      </c>
      <c r="F2502" s="59" t="n">
        <f aca="false">IFERROR(D2502*E2502,0)</f>
        <v>60.3</v>
      </c>
      <c r="G2502" s="56" t="str">
        <f aca="false">INDEX(SETORES!$B:$B,MATCH(A2502,SETORES!$A:$A,0))</f>
        <v>Clientes</v>
      </c>
      <c r="H2502" s="56" t="s">
        <v>20</v>
      </c>
    </row>
    <row r="2503" customFormat="false" ht="14.25" hidden="false" customHeight="true" outlineLevel="0" collapsed="false">
      <c r="A2503" s="60" t="s">
        <v>87</v>
      </c>
      <c r="B2503" s="61" t="s">
        <v>155</v>
      </c>
      <c r="C2503" s="61" t="s">
        <v>183</v>
      </c>
      <c r="D2503" s="62" t="n">
        <v>1</v>
      </c>
      <c r="E2503" s="63" t="n">
        <v>6.666666</v>
      </c>
      <c r="F2503" s="64" t="n">
        <f aca="false">IFERROR(D2503*E2503,0)</f>
        <v>6.666666</v>
      </c>
      <c r="G2503" s="61" t="str">
        <f aca="false">INDEX(SETORES!$B:$B,MATCH(A2503,SETORES!$A:$A,0))</f>
        <v>Clientes</v>
      </c>
      <c r="H2503" s="61" t="s">
        <v>20</v>
      </c>
    </row>
    <row r="2504" customFormat="false" ht="14.25" hidden="false" customHeight="true" outlineLevel="0" collapsed="false">
      <c r="A2504" s="55" t="s">
        <v>87</v>
      </c>
      <c r="B2504" s="56" t="s">
        <v>155</v>
      </c>
      <c r="C2504" s="56" t="s">
        <v>172</v>
      </c>
      <c r="D2504" s="57" t="n">
        <v>6</v>
      </c>
      <c r="E2504" s="58" t="n">
        <v>100</v>
      </c>
      <c r="F2504" s="59" t="n">
        <f aca="false">IFERROR(D2504*E2504,0)</f>
        <v>600</v>
      </c>
      <c r="G2504" s="56" t="str">
        <f aca="false">INDEX(SETORES!$B:$B,MATCH(A2504,SETORES!$A:$A,0))</f>
        <v>Clientes</v>
      </c>
      <c r="H2504" s="56" t="s">
        <v>20</v>
      </c>
    </row>
    <row r="2505" customFormat="false" ht="14.25" hidden="false" customHeight="true" outlineLevel="0" collapsed="false">
      <c r="A2505" s="60" t="s">
        <v>87</v>
      </c>
      <c r="B2505" s="61" t="s">
        <v>155</v>
      </c>
      <c r="C2505" s="61" t="s">
        <v>173</v>
      </c>
      <c r="D2505" s="62" t="n">
        <v>6</v>
      </c>
      <c r="E2505" s="63" t="n">
        <v>2.07</v>
      </c>
      <c r="F2505" s="64" t="n">
        <f aca="false">IFERROR(D2505*E2505,0)</f>
        <v>12.42</v>
      </c>
      <c r="G2505" s="61" t="str">
        <f aca="false">INDEX(SETORES!$B:$B,MATCH(A2505,SETORES!$A:$A,0))</f>
        <v>Clientes</v>
      </c>
      <c r="H2505" s="61" t="s">
        <v>20</v>
      </c>
    </row>
    <row r="2506" customFormat="false" ht="14.25" hidden="false" customHeight="true" outlineLevel="0" collapsed="false">
      <c r="A2506" s="1" t="s">
        <v>143</v>
      </c>
      <c r="B2506" s="36" t="s">
        <v>157</v>
      </c>
      <c r="C2506" s="36" t="s">
        <v>168</v>
      </c>
      <c r="D2506" s="36" t="n">
        <v>10</v>
      </c>
      <c r="E2506" s="37" t="n">
        <v>162.5079</v>
      </c>
      <c r="F2506" s="37" t="n">
        <f aca="false">IFERROR(D2506*E2506,0)</f>
        <v>1625.079</v>
      </c>
      <c r="G2506" s="36" t="str">
        <f aca="false">INDEX(SETORES!$B:$B,MATCH(A2506,SETORES!$A:$A,0))</f>
        <v>Clientes</v>
      </c>
      <c r="H2506" s="36" t="s">
        <v>11</v>
      </c>
    </row>
    <row r="2507" customFormat="false" ht="14.25" hidden="false" customHeight="true" outlineLevel="0" collapsed="false">
      <c r="A2507" s="1" t="s">
        <v>143</v>
      </c>
      <c r="B2507" s="36" t="s">
        <v>157</v>
      </c>
      <c r="C2507" s="36" t="s">
        <v>162</v>
      </c>
      <c r="D2507" s="36" t="n">
        <v>10</v>
      </c>
      <c r="E2507" s="37" t="n">
        <v>2.1332</v>
      </c>
      <c r="F2507" s="37" t="n">
        <f aca="false">IFERROR(D2507*E2507,0)</f>
        <v>21.332</v>
      </c>
      <c r="G2507" s="36" t="str">
        <f aca="false">INDEX(SETORES!$B:$B,MATCH(A2507,SETORES!$A:$A,0))</f>
        <v>Clientes</v>
      </c>
      <c r="H2507" s="36" t="s">
        <v>11</v>
      </c>
    </row>
    <row r="2508" customFormat="false" ht="14.25" hidden="false" customHeight="true" outlineLevel="0" collapsed="false">
      <c r="A2508" s="1" t="s">
        <v>143</v>
      </c>
      <c r="B2508" s="36" t="s">
        <v>157</v>
      </c>
      <c r="C2508" s="36" t="s">
        <v>168</v>
      </c>
      <c r="D2508" s="36" t="n">
        <v>10</v>
      </c>
      <c r="E2508" s="37" t="n">
        <v>147.3902</v>
      </c>
      <c r="F2508" s="37" t="n">
        <f aca="false">IFERROR(D2508*E2508,0)</f>
        <v>1473.902</v>
      </c>
      <c r="G2508" s="36" t="str">
        <f aca="false">INDEX(SETORES!$B:$B,MATCH(A2508,SETORES!$A:$A,0))</f>
        <v>Clientes</v>
      </c>
      <c r="H2508" s="36" t="s">
        <v>21</v>
      </c>
    </row>
    <row r="2509" customFormat="false" ht="14.25" hidden="false" customHeight="true" outlineLevel="0" collapsed="false">
      <c r="A2509" s="1" t="s">
        <v>143</v>
      </c>
      <c r="B2509" s="36" t="s">
        <v>157</v>
      </c>
      <c r="C2509" s="36" t="s">
        <v>162</v>
      </c>
      <c r="D2509" s="36" t="n">
        <v>10</v>
      </c>
      <c r="E2509" s="37" t="n">
        <v>29.6003</v>
      </c>
      <c r="F2509" s="37" t="n">
        <f aca="false">IFERROR(D2509*E2509,0)</f>
        <v>296.003</v>
      </c>
      <c r="G2509" s="36" t="str">
        <f aca="false">INDEX(SETORES!$B:$B,MATCH(A2509,SETORES!$A:$A,0))</f>
        <v>Clientes</v>
      </c>
      <c r="H2509" s="36" t="s">
        <v>21</v>
      </c>
    </row>
    <row r="2510" customFormat="false" ht="14.25" hidden="false" customHeight="true" outlineLevel="0" collapsed="false">
      <c r="A2510" s="1" t="s">
        <v>143</v>
      </c>
      <c r="B2510" s="36" t="s">
        <v>157</v>
      </c>
      <c r="C2510" s="36" t="s">
        <v>162</v>
      </c>
      <c r="D2510" s="36" t="n">
        <v>10</v>
      </c>
      <c r="E2510" s="37" t="n">
        <v>7.4127</v>
      </c>
      <c r="F2510" s="37" t="n">
        <f aca="false">IFERROR(D2510*E2510,0)</f>
        <v>74.127</v>
      </c>
      <c r="G2510" s="36" t="str">
        <f aca="false">INDEX(SETORES!$B:$B,MATCH(A2510,SETORES!$A:$A,0))</f>
        <v>Clientes</v>
      </c>
      <c r="H2510" s="36" t="s">
        <v>88</v>
      </c>
    </row>
    <row r="2511" customFormat="false" ht="14.25" hidden="false" customHeight="true" outlineLevel="0" collapsed="false">
      <c r="A2511" s="1" t="s">
        <v>146</v>
      </c>
      <c r="B2511" s="36" t="s">
        <v>157</v>
      </c>
      <c r="C2511" s="36" t="s">
        <v>168</v>
      </c>
      <c r="D2511" s="36" t="n">
        <v>3</v>
      </c>
      <c r="E2511" s="37" t="n">
        <v>162.5079</v>
      </c>
      <c r="F2511" s="37" t="n">
        <f aca="false">IFERROR(D2511*E2511,0)</f>
        <v>487.5237</v>
      </c>
      <c r="G2511" s="36" t="str">
        <f aca="false">INDEX(SETORES!$B:$B,MATCH(A2511,SETORES!$A:$A,0))</f>
        <v>Clientes</v>
      </c>
      <c r="H2511" s="36" t="s">
        <v>11</v>
      </c>
    </row>
    <row r="2512" customFormat="false" ht="14.25" hidden="false" customHeight="true" outlineLevel="0" collapsed="false">
      <c r="A2512" s="1" t="s">
        <v>146</v>
      </c>
      <c r="B2512" s="36" t="s">
        <v>157</v>
      </c>
      <c r="C2512" s="36" t="s">
        <v>162</v>
      </c>
      <c r="D2512" s="36" t="n">
        <v>3</v>
      </c>
      <c r="E2512" s="37" t="n">
        <v>2.1332</v>
      </c>
      <c r="F2512" s="37" t="n">
        <f aca="false">IFERROR(D2512*E2512,0)</f>
        <v>6.3996</v>
      </c>
      <c r="G2512" s="36" t="str">
        <f aca="false">INDEX(SETORES!$B:$B,MATCH(A2512,SETORES!$A:$A,0))</f>
        <v>Clientes</v>
      </c>
      <c r="H2512" s="36" t="s">
        <v>11</v>
      </c>
    </row>
    <row r="2513" customFormat="false" ht="14.25" hidden="false" customHeight="true" outlineLevel="0" collapsed="false">
      <c r="A2513" s="1" t="s">
        <v>146</v>
      </c>
      <c r="B2513" s="36" t="s">
        <v>157</v>
      </c>
      <c r="C2513" s="36" t="s">
        <v>168</v>
      </c>
      <c r="D2513" s="36" t="n">
        <v>3</v>
      </c>
      <c r="E2513" s="37" t="n">
        <v>147.3902</v>
      </c>
      <c r="F2513" s="37" t="n">
        <f aca="false">IFERROR(D2513*E2513,0)</f>
        <v>442.1706</v>
      </c>
      <c r="G2513" s="36" t="str">
        <f aca="false">INDEX(SETORES!$B:$B,MATCH(A2513,SETORES!$A:$A,0))</f>
        <v>Clientes</v>
      </c>
      <c r="H2513" s="36" t="s">
        <v>21</v>
      </c>
    </row>
    <row r="2514" customFormat="false" ht="14.25" hidden="false" customHeight="true" outlineLevel="0" collapsed="false">
      <c r="A2514" s="1" t="s">
        <v>146</v>
      </c>
      <c r="B2514" s="36" t="s">
        <v>157</v>
      </c>
      <c r="C2514" s="36" t="s">
        <v>162</v>
      </c>
      <c r="D2514" s="36" t="n">
        <v>3</v>
      </c>
      <c r="E2514" s="37" t="n">
        <v>29.6003</v>
      </c>
      <c r="F2514" s="37" t="n">
        <f aca="false">IFERROR(D2514*E2514,0)</f>
        <v>88.8009</v>
      </c>
      <c r="G2514" s="36" t="str">
        <f aca="false">INDEX(SETORES!$B:$B,MATCH(A2514,SETORES!$A:$A,0))</f>
        <v>Clientes</v>
      </c>
      <c r="H2514" s="36" t="s">
        <v>21</v>
      </c>
    </row>
    <row r="2515" customFormat="false" ht="14.25" hidden="false" customHeight="true" outlineLevel="0" collapsed="false">
      <c r="A2515" s="1" t="s">
        <v>146</v>
      </c>
      <c r="B2515" s="36" t="s">
        <v>157</v>
      </c>
      <c r="C2515" s="36" t="s">
        <v>162</v>
      </c>
      <c r="D2515" s="36" t="n">
        <v>3</v>
      </c>
      <c r="E2515" s="37" t="n">
        <v>7.4127</v>
      </c>
      <c r="F2515" s="37" t="n">
        <f aca="false">IFERROR(D2515*E2515,0)</f>
        <v>22.2381</v>
      </c>
      <c r="G2515" s="36" t="str">
        <f aca="false">INDEX(SETORES!$B:$B,MATCH(A2515,SETORES!$A:$A,0))</f>
        <v>Clientes</v>
      </c>
      <c r="H2515" s="36" t="s">
        <v>88</v>
      </c>
    </row>
    <row r="2516" customFormat="false" ht="14.25" hidden="false" customHeight="true" outlineLevel="0" collapsed="false">
      <c r="A2516" s="1" t="s">
        <v>141</v>
      </c>
      <c r="B2516" s="36" t="s">
        <v>155</v>
      </c>
      <c r="C2516" s="36" t="s">
        <v>172</v>
      </c>
      <c r="D2516" s="36" t="n">
        <v>6</v>
      </c>
      <c r="E2516" s="37" t="n">
        <v>50</v>
      </c>
      <c r="F2516" s="37" t="n">
        <f aca="false">IFERROR(D2516*E2516,0)</f>
        <v>300</v>
      </c>
      <c r="G2516" s="36" t="str">
        <f aca="false">INDEX(SETORES!$B:$B,MATCH(A2516,SETORES!$A:$A,0))</f>
        <v>Clientes</v>
      </c>
      <c r="H2516" s="36" t="s">
        <v>20</v>
      </c>
    </row>
    <row r="2517" customFormat="false" ht="14.25" hidden="false" customHeight="true" outlineLevel="0" collapsed="false">
      <c r="A2517" s="1" t="s">
        <v>141</v>
      </c>
      <c r="B2517" s="36" t="s">
        <v>155</v>
      </c>
      <c r="C2517" s="36" t="s">
        <v>173</v>
      </c>
      <c r="D2517" s="36" t="n">
        <v>6</v>
      </c>
      <c r="E2517" s="37" t="n">
        <v>2.07</v>
      </c>
      <c r="F2517" s="37" t="n">
        <f aca="false">IFERROR(D2517*E2517,0)</f>
        <v>12.42</v>
      </c>
      <c r="G2517" s="36" t="str">
        <f aca="false">INDEX(SETORES!$B:$B,MATCH(A2517,SETORES!$A:$A,0))</f>
        <v>Clientes</v>
      </c>
      <c r="H2517" s="36" t="s">
        <v>20</v>
      </c>
    </row>
    <row r="2518" customFormat="false" ht="14.25" hidden="false" customHeight="true" outlineLevel="0" collapsed="false">
      <c r="A2518" s="1" t="s">
        <v>141</v>
      </c>
      <c r="B2518" s="36" t="s">
        <v>155</v>
      </c>
      <c r="C2518" s="36" t="s">
        <v>172</v>
      </c>
      <c r="D2518" s="36" t="n">
        <v>6</v>
      </c>
      <c r="E2518" s="37" t="n">
        <v>50</v>
      </c>
      <c r="F2518" s="37" t="n">
        <f aca="false">IFERROR(D2518*E2518,0)</f>
        <v>300</v>
      </c>
      <c r="G2518" s="36" t="str">
        <f aca="false">INDEX(SETORES!$B:$B,MATCH(A2518,SETORES!$A:$A,0))</f>
        <v>Clientes</v>
      </c>
      <c r="H2518" s="36" t="s">
        <v>11</v>
      </c>
    </row>
    <row r="2519" customFormat="false" ht="14.25" hidden="false" customHeight="true" outlineLevel="0" collapsed="false">
      <c r="A2519" s="1" t="s">
        <v>141</v>
      </c>
      <c r="B2519" s="36" t="s">
        <v>155</v>
      </c>
      <c r="C2519" s="36" t="s">
        <v>173</v>
      </c>
      <c r="D2519" s="36" t="n">
        <v>6</v>
      </c>
      <c r="E2519" s="37" t="n">
        <v>2.04</v>
      </c>
      <c r="F2519" s="37" t="n">
        <f aca="false">IFERROR(D2519*E2519,0)</f>
        <v>12.24</v>
      </c>
      <c r="G2519" s="36" t="str">
        <f aca="false">INDEX(SETORES!$B:$B,MATCH(A2519,SETORES!$A:$A,0))</f>
        <v>Clientes</v>
      </c>
      <c r="H2519" s="36" t="s">
        <v>11</v>
      </c>
    </row>
    <row r="2520" customFormat="false" ht="14.25" hidden="false" customHeight="true" outlineLevel="0" collapsed="false">
      <c r="A2520" s="1" t="s">
        <v>141</v>
      </c>
      <c r="B2520" s="36" t="s">
        <v>155</v>
      </c>
      <c r="C2520" s="36" t="s">
        <v>172</v>
      </c>
      <c r="D2520" s="36" t="n">
        <v>6</v>
      </c>
      <c r="E2520" s="37" t="n">
        <v>50</v>
      </c>
      <c r="F2520" s="37" t="n">
        <f aca="false">IFERROR(D2520*E2520,0)</f>
        <v>300</v>
      </c>
      <c r="G2520" s="36" t="str">
        <f aca="false">INDEX(SETORES!$B:$B,MATCH(A2520,SETORES!$A:$A,0))</f>
        <v>Clientes</v>
      </c>
      <c r="H2520" s="36" t="s">
        <v>21</v>
      </c>
    </row>
    <row r="2521" customFormat="false" ht="14.25" hidden="false" customHeight="true" outlineLevel="0" collapsed="false">
      <c r="A2521" s="1" t="s">
        <v>141</v>
      </c>
      <c r="B2521" s="36" t="s">
        <v>155</v>
      </c>
      <c r="C2521" s="36" t="s">
        <v>173</v>
      </c>
      <c r="D2521" s="36" t="n">
        <v>6</v>
      </c>
      <c r="E2521" s="37" t="n">
        <v>2.05</v>
      </c>
      <c r="F2521" s="37" t="n">
        <f aca="false">IFERROR(D2521*E2521,0)</f>
        <v>12.3</v>
      </c>
      <c r="G2521" s="36" t="str">
        <f aca="false">INDEX(SETORES!$B:$B,MATCH(A2521,SETORES!$A:$A,0))</f>
        <v>Clientes</v>
      </c>
      <c r="H2521" s="36" t="s">
        <v>21</v>
      </c>
    </row>
    <row r="2522" customFormat="false" ht="14.25" hidden="false" customHeight="true" outlineLevel="0" collapsed="false">
      <c r="A2522" s="1" t="s">
        <v>143</v>
      </c>
      <c r="B2522" s="36" t="s">
        <v>155</v>
      </c>
      <c r="C2522" s="36" t="s">
        <v>166</v>
      </c>
      <c r="D2522" s="36" t="n">
        <v>10</v>
      </c>
      <c r="E2522" s="37" t="n">
        <v>31.33</v>
      </c>
      <c r="F2522" s="37" t="n">
        <f aca="false">IFERROR(D2522*E2522,0)</f>
        <v>313.3</v>
      </c>
      <c r="G2522" s="36" t="str">
        <f aca="false">INDEX(SETORES!$B:$B,MATCH(A2522,SETORES!$A:$A,0))</f>
        <v>Clientes</v>
      </c>
      <c r="H2522" s="36" t="s">
        <v>11</v>
      </c>
    </row>
    <row r="2523" customFormat="false" ht="14.25" hidden="false" customHeight="true" outlineLevel="0" collapsed="false">
      <c r="A2523" s="1" t="s">
        <v>143</v>
      </c>
      <c r="B2523" s="36" t="s">
        <v>155</v>
      </c>
      <c r="C2523" s="36" t="s">
        <v>165</v>
      </c>
      <c r="D2523" s="36" t="n">
        <v>10</v>
      </c>
      <c r="E2523" s="37" t="n">
        <v>51.12</v>
      </c>
      <c r="F2523" s="37" t="n">
        <f aca="false">IFERROR(D2523*E2523,0)</f>
        <v>511.2</v>
      </c>
      <c r="G2523" s="36" t="str">
        <f aca="false">INDEX(SETORES!$B:$B,MATCH(A2523,SETORES!$A:$A,0))</f>
        <v>Clientes</v>
      </c>
      <c r="H2523" s="36" t="s">
        <v>11</v>
      </c>
    </row>
    <row r="2524" customFormat="false" ht="14.25" hidden="false" customHeight="true" outlineLevel="0" collapsed="false">
      <c r="A2524" s="1" t="s">
        <v>143</v>
      </c>
      <c r="B2524" s="36" t="s">
        <v>155</v>
      </c>
      <c r="C2524" s="36" t="s">
        <v>167</v>
      </c>
      <c r="D2524" s="36" t="n">
        <v>10</v>
      </c>
      <c r="E2524" s="37" t="n">
        <v>63.75</v>
      </c>
      <c r="F2524" s="37" t="n">
        <f aca="false">IFERROR(D2524*E2524,0)</f>
        <v>637.5</v>
      </c>
      <c r="G2524" s="36" t="str">
        <f aca="false">INDEX(SETORES!$B:$B,MATCH(A2524,SETORES!$A:$A,0))</f>
        <v>Clientes</v>
      </c>
      <c r="H2524" s="36" t="s">
        <v>11</v>
      </c>
    </row>
    <row r="2525" customFormat="false" ht="14.25" hidden="false" customHeight="true" outlineLevel="0" collapsed="false">
      <c r="A2525" s="1" t="s">
        <v>143</v>
      </c>
      <c r="B2525" s="36" t="s">
        <v>155</v>
      </c>
      <c r="C2525" s="36" t="s">
        <v>172</v>
      </c>
      <c r="D2525" s="36" t="n">
        <v>10</v>
      </c>
      <c r="E2525" s="37" t="n">
        <v>50</v>
      </c>
      <c r="F2525" s="37" t="n">
        <f aca="false">IFERROR(D2525*E2525,0)</f>
        <v>500</v>
      </c>
      <c r="G2525" s="36" t="str">
        <f aca="false">INDEX(SETORES!$B:$B,MATCH(A2525,SETORES!$A:$A,0))</f>
        <v>Clientes</v>
      </c>
      <c r="H2525" s="36" t="s">
        <v>11</v>
      </c>
    </row>
    <row r="2526" customFormat="false" ht="14.25" hidden="false" customHeight="true" outlineLevel="0" collapsed="false">
      <c r="A2526" s="1" t="s">
        <v>143</v>
      </c>
      <c r="B2526" s="36" t="s">
        <v>155</v>
      </c>
      <c r="C2526" s="36" t="s">
        <v>173</v>
      </c>
      <c r="D2526" s="36" t="n">
        <v>10</v>
      </c>
      <c r="E2526" s="37" t="n">
        <v>2.04</v>
      </c>
      <c r="F2526" s="37" t="n">
        <f aca="false">IFERROR(D2526*E2526,0)</f>
        <v>20.4</v>
      </c>
      <c r="G2526" s="36" t="str">
        <f aca="false">INDEX(SETORES!$B:$B,MATCH(A2526,SETORES!$A:$A,0))</f>
        <v>Clientes</v>
      </c>
      <c r="H2526" s="36" t="s">
        <v>11</v>
      </c>
    </row>
    <row r="2527" customFormat="false" ht="14.25" hidden="false" customHeight="true" outlineLevel="0" collapsed="false">
      <c r="A2527" s="1" t="s">
        <v>143</v>
      </c>
      <c r="B2527" s="36" t="s">
        <v>155</v>
      </c>
      <c r="C2527" s="36" t="s">
        <v>170</v>
      </c>
      <c r="D2527" s="36" t="n">
        <v>10</v>
      </c>
      <c r="E2527" s="37" t="n">
        <v>10.05</v>
      </c>
      <c r="F2527" s="37" t="n">
        <f aca="false">IFERROR(D2527*E2527,0)</f>
        <v>100.5</v>
      </c>
      <c r="G2527" s="36" t="str">
        <f aca="false">INDEX(SETORES!$B:$B,MATCH(A2527,SETORES!$A:$A,0))</f>
        <v>Clientes</v>
      </c>
      <c r="H2527" s="36" t="s">
        <v>11</v>
      </c>
    </row>
    <row r="2528" customFormat="false" ht="14.25" hidden="false" customHeight="true" outlineLevel="0" collapsed="false">
      <c r="A2528" s="1" t="s">
        <v>143</v>
      </c>
      <c r="B2528" s="36" t="s">
        <v>155</v>
      </c>
      <c r="C2528" s="36" t="s">
        <v>163</v>
      </c>
      <c r="D2528" s="36" t="n">
        <v>7</v>
      </c>
      <c r="E2528" s="37" t="n">
        <v>30</v>
      </c>
      <c r="F2528" s="37" t="n">
        <f aca="false">IFERROR(D2528*E2528,0)</f>
        <v>210</v>
      </c>
      <c r="G2528" s="36" t="str">
        <f aca="false">INDEX(SETORES!$B:$B,MATCH(A2528,SETORES!$A:$A,0))</f>
        <v>Clientes</v>
      </c>
      <c r="H2528" s="36" t="s">
        <v>11</v>
      </c>
    </row>
    <row r="2529" customFormat="false" ht="14.25" hidden="false" customHeight="true" outlineLevel="0" collapsed="false">
      <c r="A2529" s="1" t="s">
        <v>143</v>
      </c>
      <c r="B2529" s="36" t="s">
        <v>155</v>
      </c>
      <c r="C2529" s="36" t="s">
        <v>166</v>
      </c>
      <c r="D2529" s="36" t="n">
        <v>10</v>
      </c>
      <c r="E2529" s="37" t="n">
        <v>29.74</v>
      </c>
      <c r="F2529" s="37" t="n">
        <f aca="false">IFERROR(D2529*E2529,0)</f>
        <v>297.4</v>
      </c>
      <c r="G2529" s="36" t="str">
        <f aca="false">INDEX(SETORES!$B:$B,MATCH(A2529,SETORES!$A:$A,0))</f>
        <v>Clientes</v>
      </c>
      <c r="H2529" s="36" t="s">
        <v>21</v>
      </c>
    </row>
    <row r="2530" customFormat="false" ht="14.25" hidden="false" customHeight="true" outlineLevel="0" collapsed="false">
      <c r="A2530" s="1" t="s">
        <v>143</v>
      </c>
      <c r="B2530" s="36" t="s">
        <v>155</v>
      </c>
      <c r="C2530" s="36" t="s">
        <v>165</v>
      </c>
      <c r="D2530" s="36" t="n">
        <v>10</v>
      </c>
      <c r="E2530" s="37" t="n">
        <v>43.54</v>
      </c>
      <c r="F2530" s="37" t="n">
        <f aca="false">IFERROR(D2530*E2530,0)</f>
        <v>435.4</v>
      </c>
      <c r="G2530" s="36" t="str">
        <f aca="false">INDEX(SETORES!$B:$B,MATCH(A2530,SETORES!$A:$A,0))</f>
        <v>Clientes</v>
      </c>
      <c r="H2530" s="36" t="s">
        <v>21</v>
      </c>
    </row>
    <row r="2531" customFormat="false" ht="14.25" hidden="false" customHeight="true" outlineLevel="0" collapsed="false">
      <c r="A2531" s="1" t="s">
        <v>143</v>
      </c>
      <c r="B2531" s="36" t="s">
        <v>155</v>
      </c>
      <c r="C2531" s="36" t="s">
        <v>167</v>
      </c>
      <c r="D2531" s="36" t="n">
        <v>10</v>
      </c>
      <c r="E2531" s="37" t="n">
        <v>47.72</v>
      </c>
      <c r="F2531" s="37" t="n">
        <f aca="false">IFERROR(D2531*E2531,0)</f>
        <v>477.2</v>
      </c>
      <c r="G2531" s="36" t="str">
        <f aca="false">INDEX(SETORES!$B:$B,MATCH(A2531,SETORES!$A:$A,0))</f>
        <v>Clientes</v>
      </c>
      <c r="H2531" s="36" t="s">
        <v>21</v>
      </c>
    </row>
    <row r="2532" customFormat="false" ht="14.25" hidden="false" customHeight="true" outlineLevel="0" collapsed="false">
      <c r="A2532" s="1" t="s">
        <v>143</v>
      </c>
      <c r="B2532" s="36" t="s">
        <v>155</v>
      </c>
      <c r="C2532" s="36" t="s">
        <v>172</v>
      </c>
      <c r="D2532" s="36" t="n">
        <v>10</v>
      </c>
      <c r="E2532" s="37" t="n">
        <v>50</v>
      </c>
      <c r="F2532" s="37" t="n">
        <f aca="false">IFERROR(D2532*E2532,0)</f>
        <v>500</v>
      </c>
      <c r="G2532" s="36" t="str">
        <f aca="false">INDEX(SETORES!$B:$B,MATCH(A2532,SETORES!$A:$A,0))</f>
        <v>Clientes</v>
      </c>
      <c r="H2532" s="36" t="s">
        <v>21</v>
      </c>
    </row>
    <row r="2533" customFormat="false" ht="14.25" hidden="false" customHeight="true" outlineLevel="0" collapsed="false">
      <c r="A2533" s="1" t="s">
        <v>143</v>
      </c>
      <c r="B2533" s="36" t="s">
        <v>155</v>
      </c>
      <c r="C2533" s="36" t="s">
        <v>173</v>
      </c>
      <c r="D2533" s="36" t="n">
        <v>10</v>
      </c>
      <c r="E2533" s="37" t="n">
        <v>2.05</v>
      </c>
      <c r="F2533" s="37" t="n">
        <f aca="false">IFERROR(D2533*E2533,0)</f>
        <v>20.5</v>
      </c>
      <c r="G2533" s="36" t="str">
        <f aca="false">INDEX(SETORES!$B:$B,MATCH(A2533,SETORES!$A:$A,0))</f>
        <v>Clientes</v>
      </c>
      <c r="H2533" s="36" t="s">
        <v>21</v>
      </c>
    </row>
    <row r="2534" customFormat="false" ht="14.25" hidden="false" customHeight="true" outlineLevel="0" collapsed="false">
      <c r="A2534" s="1" t="s">
        <v>143</v>
      </c>
      <c r="B2534" s="36" t="s">
        <v>155</v>
      </c>
      <c r="C2534" s="36" t="s">
        <v>170</v>
      </c>
      <c r="D2534" s="36" t="n">
        <v>10</v>
      </c>
      <c r="E2534" s="37" t="n">
        <v>10.05</v>
      </c>
      <c r="F2534" s="37" t="n">
        <f aca="false">IFERROR(D2534*E2534,0)</f>
        <v>100.5</v>
      </c>
      <c r="G2534" s="36" t="str">
        <f aca="false">INDEX(SETORES!$B:$B,MATCH(A2534,SETORES!$A:$A,0))</f>
        <v>Clientes</v>
      </c>
      <c r="H2534" s="36" t="s">
        <v>21</v>
      </c>
    </row>
    <row r="2535" customFormat="false" ht="14.25" hidden="false" customHeight="true" outlineLevel="0" collapsed="false">
      <c r="A2535" s="1" t="s">
        <v>143</v>
      </c>
      <c r="B2535" s="36" t="s">
        <v>155</v>
      </c>
      <c r="C2535" s="36" t="s">
        <v>163</v>
      </c>
      <c r="D2535" s="36" t="n">
        <v>7</v>
      </c>
      <c r="E2535" s="37" t="n">
        <v>30</v>
      </c>
      <c r="F2535" s="37" t="n">
        <f aca="false">IFERROR(D2535*E2535,0)</f>
        <v>210</v>
      </c>
      <c r="G2535" s="36" t="str">
        <f aca="false">INDEX(SETORES!$B:$B,MATCH(A2535,SETORES!$A:$A,0))</f>
        <v>Clientes</v>
      </c>
      <c r="H2535" s="36" t="s">
        <v>21</v>
      </c>
    </row>
    <row r="2536" customFormat="false" ht="14.25" hidden="false" customHeight="true" outlineLevel="0" collapsed="false">
      <c r="A2536" s="1" t="s">
        <v>143</v>
      </c>
      <c r="B2536" s="36" t="s">
        <v>155</v>
      </c>
      <c r="C2536" s="36" t="s">
        <v>166</v>
      </c>
      <c r="D2536" s="36" t="n">
        <v>10</v>
      </c>
      <c r="E2536" s="37" t="n">
        <v>32.55</v>
      </c>
      <c r="F2536" s="37" t="n">
        <f aca="false">IFERROR(D2536*E2536,0)</f>
        <v>325.5</v>
      </c>
      <c r="G2536" s="36" t="str">
        <f aca="false">INDEX(SETORES!$B:$B,MATCH(A2536,SETORES!$A:$A,0))</f>
        <v>Clientes</v>
      </c>
      <c r="H2536" s="36" t="s">
        <v>88</v>
      </c>
    </row>
    <row r="2537" customFormat="false" ht="14.25" hidden="false" customHeight="true" outlineLevel="0" collapsed="false">
      <c r="A2537" s="1" t="s">
        <v>143</v>
      </c>
      <c r="B2537" s="36" t="s">
        <v>155</v>
      </c>
      <c r="C2537" s="36" t="s">
        <v>165</v>
      </c>
      <c r="D2537" s="36" t="n">
        <v>10</v>
      </c>
      <c r="E2537" s="37" t="n">
        <v>52.09</v>
      </c>
      <c r="F2537" s="37" t="n">
        <f aca="false">IFERROR(D2537*E2537,0)</f>
        <v>520.9</v>
      </c>
      <c r="G2537" s="36" t="str">
        <f aca="false">INDEX(SETORES!$B:$B,MATCH(A2537,SETORES!$A:$A,0))</f>
        <v>Clientes</v>
      </c>
      <c r="H2537" s="36" t="s">
        <v>88</v>
      </c>
    </row>
    <row r="2538" customFormat="false" ht="14.25" hidden="false" customHeight="true" outlineLevel="0" collapsed="false">
      <c r="A2538" s="1" t="s">
        <v>143</v>
      </c>
      <c r="B2538" s="36" t="s">
        <v>155</v>
      </c>
      <c r="C2538" s="36" t="s">
        <v>167</v>
      </c>
      <c r="D2538" s="36" t="n">
        <v>10</v>
      </c>
      <c r="E2538" s="37" t="n">
        <v>52.35</v>
      </c>
      <c r="F2538" s="37" t="n">
        <f aca="false">IFERROR(D2538*E2538,0)</f>
        <v>523.5</v>
      </c>
      <c r="G2538" s="36" t="str">
        <f aca="false">INDEX(SETORES!$B:$B,MATCH(A2538,SETORES!$A:$A,0))</f>
        <v>Clientes</v>
      </c>
      <c r="H2538" s="36" t="s">
        <v>88</v>
      </c>
    </row>
    <row r="2539" customFormat="false" ht="14.25" hidden="false" customHeight="true" outlineLevel="0" collapsed="false">
      <c r="A2539" s="1" t="s">
        <v>143</v>
      </c>
      <c r="B2539" s="36" t="s">
        <v>155</v>
      </c>
      <c r="C2539" s="36" t="s">
        <v>170</v>
      </c>
      <c r="D2539" s="36" t="n">
        <v>10</v>
      </c>
      <c r="E2539" s="37" t="n">
        <v>10.05</v>
      </c>
      <c r="F2539" s="37" t="n">
        <f aca="false">IFERROR(D2539*E2539,0)</f>
        <v>100.5</v>
      </c>
      <c r="G2539" s="36" t="str">
        <f aca="false">INDEX(SETORES!$B:$B,MATCH(A2539,SETORES!$A:$A,0))</f>
        <v>Clientes</v>
      </c>
      <c r="H2539" s="36" t="s">
        <v>88</v>
      </c>
    </row>
    <row r="2540" customFormat="false" ht="14.25" hidden="false" customHeight="true" outlineLevel="0" collapsed="false">
      <c r="A2540" s="1" t="s">
        <v>143</v>
      </c>
      <c r="B2540" s="36" t="s">
        <v>155</v>
      </c>
      <c r="C2540" s="36" t="s">
        <v>163</v>
      </c>
      <c r="D2540" s="36" t="n">
        <v>7</v>
      </c>
      <c r="E2540" s="37" t="n">
        <v>30</v>
      </c>
      <c r="F2540" s="37" t="n">
        <f aca="false">IFERROR(D2540*E2540,0)</f>
        <v>210</v>
      </c>
      <c r="G2540" s="36" t="str">
        <f aca="false">INDEX(SETORES!$B:$B,MATCH(A2540,SETORES!$A:$A,0))</f>
        <v>Clientes</v>
      </c>
      <c r="H2540" s="36" t="s">
        <v>88</v>
      </c>
    </row>
    <row r="2541" customFormat="false" ht="14.25" hidden="false" customHeight="true" outlineLevel="0" collapsed="false">
      <c r="A2541" s="1" t="s">
        <v>89</v>
      </c>
      <c r="B2541" s="36" t="s">
        <v>155</v>
      </c>
      <c r="C2541" s="36" t="s">
        <v>166</v>
      </c>
      <c r="D2541" s="36" t="n">
        <v>2</v>
      </c>
      <c r="E2541" s="37" t="n">
        <v>31.33</v>
      </c>
      <c r="F2541" s="37" t="n">
        <f aca="false">IFERROR(D2541*E2541,0)</f>
        <v>62.66</v>
      </c>
      <c r="G2541" s="36" t="str">
        <f aca="false">INDEX(SETORES!$B:$B,MATCH(A2541,SETORES!$A:$A,0))</f>
        <v>Clientes</v>
      </c>
      <c r="H2541" s="36" t="s">
        <v>11</v>
      </c>
    </row>
    <row r="2542" customFormat="false" ht="14.25" hidden="false" customHeight="true" outlineLevel="0" collapsed="false">
      <c r="A2542" s="1" t="s">
        <v>89</v>
      </c>
      <c r="B2542" s="36" t="s">
        <v>155</v>
      </c>
      <c r="C2542" s="36" t="s">
        <v>165</v>
      </c>
      <c r="D2542" s="36" t="n">
        <v>2</v>
      </c>
      <c r="E2542" s="37" t="n">
        <v>51.12</v>
      </c>
      <c r="F2542" s="37" t="n">
        <f aca="false">IFERROR(D2542*E2542,0)</f>
        <v>102.24</v>
      </c>
      <c r="G2542" s="36" t="str">
        <f aca="false">INDEX(SETORES!$B:$B,MATCH(A2542,SETORES!$A:$A,0))</f>
        <v>Clientes</v>
      </c>
      <c r="H2542" s="36" t="s">
        <v>11</v>
      </c>
    </row>
    <row r="2543" customFormat="false" ht="14.25" hidden="false" customHeight="true" outlineLevel="0" collapsed="false">
      <c r="A2543" s="1" t="s">
        <v>89</v>
      </c>
      <c r="B2543" s="36" t="s">
        <v>155</v>
      </c>
      <c r="C2543" s="36" t="s">
        <v>167</v>
      </c>
      <c r="D2543" s="36" t="n">
        <v>2</v>
      </c>
      <c r="E2543" s="37" t="n">
        <v>63.75</v>
      </c>
      <c r="F2543" s="37" t="n">
        <f aca="false">IFERROR(D2543*E2543,0)</f>
        <v>127.5</v>
      </c>
      <c r="G2543" s="36" t="str">
        <f aca="false">INDEX(SETORES!$B:$B,MATCH(A2543,SETORES!$A:$A,0))</f>
        <v>Clientes</v>
      </c>
      <c r="H2543" s="36" t="s">
        <v>11</v>
      </c>
    </row>
    <row r="2544" customFormat="false" ht="14.25" hidden="false" customHeight="true" outlineLevel="0" collapsed="false">
      <c r="A2544" s="1" t="s">
        <v>38</v>
      </c>
      <c r="B2544" s="36" t="s">
        <v>155</v>
      </c>
      <c r="C2544" s="36" t="s">
        <v>166</v>
      </c>
      <c r="D2544" s="36" t="n">
        <v>11</v>
      </c>
      <c r="E2544" s="37" t="n">
        <v>31.33</v>
      </c>
      <c r="F2544" s="37" t="n">
        <f aca="false">IFERROR(D2544*E2544,0)</f>
        <v>344.63</v>
      </c>
      <c r="G2544" s="36" t="str">
        <f aca="false">INDEX(SETORES!$B:$B,MATCH(A2544,SETORES!$A:$A,0))</f>
        <v>Clientes</v>
      </c>
      <c r="H2544" s="36" t="s">
        <v>11</v>
      </c>
    </row>
    <row r="2545" customFormat="false" ht="14.25" hidden="false" customHeight="true" outlineLevel="0" collapsed="false">
      <c r="A2545" s="1" t="s">
        <v>38</v>
      </c>
      <c r="B2545" s="36" t="s">
        <v>155</v>
      </c>
      <c r="C2545" s="36" t="s">
        <v>165</v>
      </c>
      <c r="D2545" s="36" t="n">
        <v>11</v>
      </c>
      <c r="E2545" s="37" t="n">
        <v>51.12</v>
      </c>
      <c r="F2545" s="37" t="n">
        <f aca="false">IFERROR(D2545*E2545,0)</f>
        <v>562.32</v>
      </c>
      <c r="G2545" s="36" t="str">
        <f aca="false">INDEX(SETORES!$B:$B,MATCH(A2545,SETORES!$A:$A,0))</f>
        <v>Clientes</v>
      </c>
      <c r="H2545" s="36" t="s">
        <v>11</v>
      </c>
    </row>
    <row r="2546" customFormat="false" ht="14.25" hidden="false" customHeight="true" outlineLevel="0" collapsed="false">
      <c r="A2546" s="1" t="s">
        <v>38</v>
      </c>
      <c r="B2546" s="36" t="s">
        <v>155</v>
      </c>
      <c r="C2546" s="36" t="s">
        <v>167</v>
      </c>
      <c r="D2546" s="36" t="n">
        <v>11</v>
      </c>
      <c r="E2546" s="37" t="n">
        <v>63.75</v>
      </c>
      <c r="F2546" s="37" t="n">
        <f aca="false">IFERROR(D2546*E2546,0)</f>
        <v>701.25</v>
      </c>
      <c r="G2546" s="36" t="str">
        <f aca="false">INDEX(SETORES!$B:$B,MATCH(A2546,SETORES!$A:$A,0))</f>
        <v>Clientes</v>
      </c>
      <c r="H2546" s="36" t="s">
        <v>11</v>
      </c>
    </row>
    <row r="2547" customFormat="false" ht="14.25" hidden="false" customHeight="true" outlineLevel="0" collapsed="false">
      <c r="A2547" s="1" t="s">
        <v>43</v>
      </c>
      <c r="B2547" s="36" t="s">
        <v>155</v>
      </c>
      <c r="C2547" s="36" t="s">
        <v>166</v>
      </c>
      <c r="D2547" s="36" t="n">
        <v>4</v>
      </c>
      <c r="E2547" s="37" t="n">
        <v>31.33</v>
      </c>
      <c r="F2547" s="37" t="n">
        <f aca="false">IFERROR(D2547*E2547,0)</f>
        <v>125.32</v>
      </c>
      <c r="G2547" s="36" t="str">
        <f aca="false">INDEX(SETORES!$B:$B,MATCH(A2547,SETORES!$A:$A,0))</f>
        <v>Clientes</v>
      </c>
      <c r="H2547" s="36" t="s">
        <v>11</v>
      </c>
    </row>
    <row r="2548" customFormat="false" ht="14.25" hidden="false" customHeight="true" outlineLevel="0" collapsed="false">
      <c r="A2548" s="1" t="s">
        <v>43</v>
      </c>
      <c r="B2548" s="36" t="s">
        <v>155</v>
      </c>
      <c r="C2548" s="36" t="s">
        <v>165</v>
      </c>
      <c r="D2548" s="36" t="n">
        <v>4</v>
      </c>
      <c r="E2548" s="37" t="n">
        <v>51.12</v>
      </c>
      <c r="F2548" s="37" t="n">
        <f aca="false">IFERROR(D2548*E2548,0)</f>
        <v>204.48</v>
      </c>
      <c r="G2548" s="36" t="str">
        <f aca="false">INDEX(SETORES!$B:$B,MATCH(A2548,SETORES!$A:$A,0))</f>
        <v>Clientes</v>
      </c>
      <c r="H2548" s="36" t="s">
        <v>11</v>
      </c>
    </row>
    <row r="2549" customFormat="false" ht="14.25" hidden="false" customHeight="true" outlineLevel="0" collapsed="false">
      <c r="A2549" s="1" t="s">
        <v>43</v>
      </c>
      <c r="B2549" s="36" t="s">
        <v>155</v>
      </c>
      <c r="C2549" s="36" t="s">
        <v>167</v>
      </c>
      <c r="D2549" s="36" t="n">
        <v>4</v>
      </c>
      <c r="E2549" s="37" t="n">
        <v>63.75</v>
      </c>
      <c r="F2549" s="37" t="n">
        <f aca="false">IFERROR(D2549*E2549,0)</f>
        <v>255</v>
      </c>
      <c r="G2549" s="36" t="str">
        <f aca="false">INDEX(SETORES!$B:$B,MATCH(A2549,SETORES!$A:$A,0))</f>
        <v>Clientes</v>
      </c>
      <c r="H2549" s="36" t="s">
        <v>11</v>
      </c>
    </row>
    <row r="2550" customFormat="false" ht="14.25" hidden="false" customHeight="true" outlineLevel="0" collapsed="false">
      <c r="A2550" s="1" t="s">
        <v>33</v>
      </c>
      <c r="B2550" s="36" t="s">
        <v>155</v>
      </c>
      <c r="C2550" s="36" t="s">
        <v>166</v>
      </c>
      <c r="D2550" s="36" t="n">
        <v>7</v>
      </c>
      <c r="E2550" s="37" t="n">
        <v>31.33</v>
      </c>
      <c r="F2550" s="37" t="n">
        <f aca="false">IFERROR(D2550*E2550,0)</f>
        <v>219.31</v>
      </c>
      <c r="G2550" s="36" t="str">
        <f aca="false">INDEX(SETORES!$B:$B,MATCH(A2550,SETORES!$A:$A,0))</f>
        <v>Funcionários</v>
      </c>
      <c r="H2550" s="36" t="s">
        <v>11</v>
      </c>
    </row>
    <row r="2551" customFormat="false" ht="14.25" hidden="false" customHeight="true" outlineLevel="0" collapsed="false">
      <c r="A2551" s="1" t="s">
        <v>33</v>
      </c>
      <c r="B2551" s="36" t="s">
        <v>155</v>
      </c>
      <c r="C2551" s="36" t="s">
        <v>165</v>
      </c>
      <c r="D2551" s="36" t="n">
        <v>7</v>
      </c>
      <c r="E2551" s="37" t="n">
        <v>51.12</v>
      </c>
      <c r="F2551" s="37" t="n">
        <f aca="false">IFERROR(D2551*E2551,0)</f>
        <v>357.84</v>
      </c>
      <c r="G2551" s="36" t="str">
        <f aca="false">INDEX(SETORES!$B:$B,MATCH(A2551,SETORES!$A:$A,0))</f>
        <v>Funcionários</v>
      </c>
      <c r="H2551" s="36" t="s">
        <v>11</v>
      </c>
    </row>
    <row r="2552" customFormat="false" ht="14.25" hidden="false" customHeight="true" outlineLevel="0" collapsed="false">
      <c r="A2552" s="1" t="s">
        <v>33</v>
      </c>
      <c r="B2552" s="36" t="s">
        <v>155</v>
      </c>
      <c r="C2552" s="36" t="s">
        <v>167</v>
      </c>
      <c r="D2552" s="36" t="n">
        <v>7</v>
      </c>
      <c r="E2552" s="37" t="n">
        <v>63.75</v>
      </c>
      <c r="F2552" s="37" t="n">
        <f aca="false">IFERROR(D2552*E2552,0)</f>
        <v>446.25</v>
      </c>
      <c r="G2552" s="36" t="str">
        <f aca="false">INDEX(SETORES!$B:$B,MATCH(A2552,SETORES!$A:$A,0))</f>
        <v>Funcionários</v>
      </c>
      <c r="H2552" s="36" t="s">
        <v>11</v>
      </c>
    </row>
    <row r="2553" customFormat="false" ht="14.25" hidden="false" customHeight="true" outlineLevel="0" collapsed="false">
      <c r="A2553" s="1" t="s">
        <v>141</v>
      </c>
      <c r="B2553" s="36" t="s">
        <v>155</v>
      </c>
      <c r="C2553" s="36" t="s">
        <v>166</v>
      </c>
      <c r="D2553" s="36" t="n">
        <v>6</v>
      </c>
      <c r="E2553" s="37" t="n">
        <v>28.31</v>
      </c>
      <c r="F2553" s="37" t="n">
        <f aca="false">IFERROR(D2553*E2553,0)</f>
        <v>169.86</v>
      </c>
      <c r="G2553" s="36" t="str">
        <f aca="false">INDEX(SETORES!$B:$B,MATCH(A2553,SETORES!$A:$A,0))</f>
        <v>Clientes</v>
      </c>
      <c r="H2553" s="36" t="s">
        <v>20</v>
      </c>
    </row>
    <row r="2554" customFormat="false" ht="14.25" hidden="false" customHeight="true" outlineLevel="0" collapsed="false">
      <c r="A2554" s="1" t="s">
        <v>141</v>
      </c>
      <c r="B2554" s="36" t="s">
        <v>155</v>
      </c>
      <c r="C2554" s="36" t="s">
        <v>165</v>
      </c>
      <c r="D2554" s="36" t="n">
        <v>6</v>
      </c>
      <c r="E2554" s="37" t="n">
        <v>47.79</v>
      </c>
      <c r="F2554" s="37" t="n">
        <f aca="false">IFERROR(D2554*E2554,0)</f>
        <v>286.74</v>
      </c>
      <c r="G2554" s="36" t="str">
        <f aca="false">INDEX(SETORES!$B:$B,MATCH(A2554,SETORES!$A:$A,0))</f>
        <v>Clientes</v>
      </c>
      <c r="H2554" s="36" t="s">
        <v>20</v>
      </c>
    </row>
    <row r="2555" customFormat="false" ht="14.25" hidden="false" customHeight="true" outlineLevel="0" collapsed="false">
      <c r="A2555" s="1" t="s">
        <v>141</v>
      </c>
      <c r="B2555" s="36" t="s">
        <v>155</v>
      </c>
      <c r="C2555" s="36" t="s">
        <v>167</v>
      </c>
      <c r="D2555" s="36" t="n">
        <v>6</v>
      </c>
      <c r="E2555" s="37" t="n">
        <v>64.57</v>
      </c>
      <c r="F2555" s="37" t="n">
        <f aca="false">IFERROR(D2555*E2555,0)</f>
        <v>387.42</v>
      </c>
      <c r="G2555" s="36" t="str">
        <f aca="false">INDEX(SETORES!$B:$B,MATCH(A2555,SETORES!$A:$A,0))</f>
        <v>Clientes</v>
      </c>
      <c r="H2555" s="36" t="s">
        <v>20</v>
      </c>
    </row>
    <row r="2556" customFormat="false" ht="14.25" hidden="false" customHeight="true" outlineLevel="0" collapsed="false">
      <c r="A2556" s="1" t="s">
        <v>141</v>
      </c>
      <c r="B2556" s="36" t="s">
        <v>155</v>
      </c>
      <c r="C2556" s="36" t="s">
        <v>166</v>
      </c>
      <c r="D2556" s="36" t="n">
        <v>6</v>
      </c>
      <c r="E2556" s="37" t="n">
        <v>31.33</v>
      </c>
      <c r="F2556" s="37" t="n">
        <f aca="false">IFERROR(D2556*E2556,0)</f>
        <v>187.98</v>
      </c>
      <c r="G2556" s="36" t="str">
        <f aca="false">INDEX(SETORES!$B:$B,MATCH(A2556,SETORES!$A:$A,0))</f>
        <v>Clientes</v>
      </c>
      <c r="H2556" s="36" t="s">
        <v>11</v>
      </c>
    </row>
    <row r="2557" customFormat="false" ht="14.25" hidden="false" customHeight="true" outlineLevel="0" collapsed="false">
      <c r="A2557" s="1" t="s">
        <v>141</v>
      </c>
      <c r="B2557" s="36" t="s">
        <v>155</v>
      </c>
      <c r="C2557" s="36" t="s">
        <v>165</v>
      </c>
      <c r="D2557" s="36" t="n">
        <v>6</v>
      </c>
      <c r="E2557" s="37" t="n">
        <v>51.12</v>
      </c>
      <c r="F2557" s="37" t="n">
        <f aca="false">IFERROR(D2557*E2557,0)</f>
        <v>306.72</v>
      </c>
      <c r="G2557" s="36" t="str">
        <f aca="false">INDEX(SETORES!$B:$B,MATCH(A2557,SETORES!$A:$A,0))</f>
        <v>Clientes</v>
      </c>
      <c r="H2557" s="36" t="s">
        <v>11</v>
      </c>
    </row>
    <row r="2558" customFormat="false" ht="14.25" hidden="false" customHeight="true" outlineLevel="0" collapsed="false">
      <c r="A2558" s="1" t="s">
        <v>141</v>
      </c>
      <c r="B2558" s="36" t="s">
        <v>155</v>
      </c>
      <c r="C2558" s="36" t="s">
        <v>167</v>
      </c>
      <c r="D2558" s="36" t="n">
        <v>6</v>
      </c>
      <c r="E2558" s="37" t="n">
        <v>63.75</v>
      </c>
      <c r="F2558" s="37" t="n">
        <f aca="false">IFERROR(D2558*E2558,0)</f>
        <v>382.5</v>
      </c>
      <c r="G2558" s="36" t="str">
        <f aca="false">INDEX(SETORES!$B:$B,MATCH(A2558,SETORES!$A:$A,0))</f>
        <v>Clientes</v>
      </c>
      <c r="H2558" s="36" t="s">
        <v>11</v>
      </c>
    </row>
    <row r="2559" customFormat="false" ht="14.25" hidden="false" customHeight="true" outlineLevel="0" collapsed="false">
      <c r="A2559" s="1" t="s">
        <v>141</v>
      </c>
      <c r="B2559" s="36" t="s">
        <v>155</v>
      </c>
      <c r="C2559" s="36" t="s">
        <v>166</v>
      </c>
      <c r="D2559" s="36" t="n">
        <v>6</v>
      </c>
      <c r="E2559" s="37" t="n">
        <v>29.74</v>
      </c>
      <c r="F2559" s="37" t="n">
        <f aca="false">IFERROR(D2559*E2559,0)</f>
        <v>178.44</v>
      </c>
      <c r="G2559" s="36" t="str">
        <f aca="false">INDEX(SETORES!$B:$B,MATCH(A2559,SETORES!$A:$A,0))</f>
        <v>Clientes</v>
      </c>
      <c r="H2559" s="36" t="s">
        <v>21</v>
      </c>
    </row>
    <row r="2560" customFormat="false" ht="14.25" hidden="false" customHeight="true" outlineLevel="0" collapsed="false">
      <c r="A2560" s="1" t="s">
        <v>141</v>
      </c>
      <c r="B2560" s="36" t="s">
        <v>155</v>
      </c>
      <c r="C2560" s="36" t="s">
        <v>165</v>
      </c>
      <c r="D2560" s="36" t="n">
        <v>6</v>
      </c>
      <c r="E2560" s="37" t="n">
        <v>43.54</v>
      </c>
      <c r="F2560" s="37" t="n">
        <f aca="false">IFERROR(D2560*E2560,0)</f>
        <v>261.24</v>
      </c>
      <c r="G2560" s="36" t="str">
        <f aca="false">INDEX(SETORES!$B:$B,MATCH(A2560,SETORES!$A:$A,0))</f>
        <v>Clientes</v>
      </c>
      <c r="H2560" s="36" t="s">
        <v>21</v>
      </c>
    </row>
    <row r="2561" customFormat="false" ht="14.25" hidden="false" customHeight="true" outlineLevel="0" collapsed="false">
      <c r="A2561" s="1" t="s">
        <v>141</v>
      </c>
      <c r="B2561" s="36" t="s">
        <v>155</v>
      </c>
      <c r="C2561" s="36" t="s">
        <v>167</v>
      </c>
      <c r="D2561" s="36" t="n">
        <v>6</v>
      </c>
      <c r="E2561" s="37" t="n">
        <v>47.72</v>
      </c>
      <c r="F2561" s="37" t="n">
        <f aca="false">IFERROR(D2561*E2561,0)</f>
        <v>286.32</v>
      </c>
      <c r="G2561" s="36" t="str">
        <f aca="false">INDEX(SETORES!$B:$B,MATCH(A2561,SETORES!$A:$A,0))</f>
        <v>Clientes</v>
      </c>
      <c r="H2561" s="36" t="s">
        <v>21</v>
      </c>
    </row>
    <row r="2562" customFormat="false" ht="14.25" hidden="false" customHeight="true" outlineLevel="0" collapsed="false">
      <c r="A2562" s="1" t="s">
        <v>141</v>
      </c>
      <c r="B2562" s="36" t="s">
        <v>155</v>
      </c>
      <c r="C2562" s="36" t="s">
        <v>166</v>
      </c>
      <c r="D2562" s="36" t="n">
        <v>6</v>
      </c>
      <c r="E2562" s="37" t="n">
        <v>32.55</v>
      </c>
      <c r="F2562" s="37" t="n">
        <f aca="false">IFERROR(D2562*E2562,0)</f>
        <v>195.3</v>
      </c>
      <c r="G2562" s="36" t="str">
        <f aca="false">INDEX(SETORES!$B:$B,MATCH(A2562,SETORES!$A:$A,0))</f>
        <v>Clientes</v>
      </c>
      <c r="H2562" s="36" t="s">
        <v>88</v>
      </c>
    </row>
    <row r="2563" customFormat="false" ht="14.25" hidden="false" customHeight="true" outlineLevel="0" collapsed="false">
      <c r="A2563" s="1" t="s">
        <v>141</v>
      </c>
      <c r="B2563" s="36" t="s">
        <v>155</v>
      </c>
      <c r="C2563" s="36" t="s">
        <v>165</v>
      </c>
      <c r="D2563" s="36" t="n">
        <v>6</v>
      </c>
      <c r="E2563" s="37" t="n">
        <v>52.09</v>
      </c>
      <c r="F2563" s="37" t="n">
        <f aca="false">IFERROR(D2563*E2563,0)</f>
        <v>312.54</v>
      </c>
      <c r="G2563" s="36" t="str">
        <f aca="false">INDEX(SETORES!$B:$B,MATCH(A2563,SETORES!$A:$A,0))</f>
        <v>Clientes</v>
      </c>
      <c r="H2563" s="36" t="s">
        <v>88</v>
      </c>
    </row>
    <row r="2564" customFormat="false" ht="14.25" hidden="false" customHeight="true" outlineLevel="0" collapsed="false">
      <c r="A2564" s="1" t="s">
        <v>141</v>
      </c>
      <c r="B2564" s="36" t="s">
        <v>155</v>
      </c>
      <c r="C2564" s="36" t="s">
        <v>167</v>
      </c>
      <c r="D2564" s="36" t="n">
        <v>6</v>
      </c>
      <c r="E2564" s="37" t="n">
        <v>52.35</v>
      </c>
      <c r="F2564" s="37" t="n">
        <f aca="false">IFERROR(D2564*E2564,0)</f>
        <v>314.1</v>
      </c>
      <c r="G2564" s="36" t="str">
        <f aca="false">INDEX(SETORES!$B:$B,MATCH(A2564,SETORES!$A:$A,0))</f>
        <v>Clientes</v>
      </c>
      <c r="H2564" s="36" t="s">
        <v>88</v>
      </c>
    </row>
    <row r="2565" customFormat="false" ht="14.25" hidden="false" customHeight="true" outlineLevel="0" collapsed="false">
      <c r="A2565" s="1" t="s">
        <v>42</v>
      </c>
      <c r="B2565" s="36" t="s">
        <v>155</v>
      </c>
      <c r="C2565" s="36" t="s">
        <v>166</v>
      </c>
      <c r="D2565" s="36" t="n">
        <v>2</v>
      </c>
      <c r="E2565" s="37" t="n">
        <v>31.33</v>
      </c>
      <c r="F2565" s="37" t="n">
        <f aca="false">IFERROR(D2565*E2565,0)</f>
        <v>62.66</v>
      </c>
      <c r="G2565" s="36" t="str">
        <f aca="false">INDEX(SETORES!$B:$B,MATCH(A2565,SETORES!$A:$A,0))</f>
        <v>Clientes</v>
      </c>
      <c r="H2565" s="36" t="s">
        <v>11</v>
      </c>
    </row>
    <row r="2566" customFormat="false" ht="14.25" hidden="false" customHeight="true" outlineLevel="0" collapsed="false">
      <c r="A2566" s="1" t="s">
        <v>42</v>
      </c>
      <c r="B2566" s="36" t="s">
        <v>155</v>
      </c>
      <c r="C2566" s="36" t="s">
        <v>165</v>
      </c>
      <c r="D2566" s="36" t="n">
        <v>2</v>
      </c>
      <c r="E2566" s="37" t="n">
        <v>51.12</v>
      </c>
      <c r="F2566" s="37" t="n">
        <f aca="false">IFERROR(D2566*E2566,0)</f>
        <v>102.24</v>
      </c>
      <c r="G2566" s="36" t="str">
        <f aca="false">INDEX(SETORES!$B:$B,MATCH(A2566,SETORES!$A:$A,0))</f>
        <v>Clientes</v>
      </c>
      <c r="H2566" s="36" t="s">
        <v>11</v>
      </c>
    </row>
    <row r="2567" customFormat="false" ht="14.25" hidden="false" customHeight="true" outlineLevel="0" collapsed="false">
      <c r="A2567" s="1" t="s">
        <v>42</v>
      </c>
      <c r="B2567" s="36" t="s">
        <v>155</v>
      </c>
      <c r="C2567" s="36" t="s">
        <v>167</v>
      </c>
      <c r="D2567" s="36" t="n">
        <v>2</v>
      </c>
      <c r="E2567" s="37" t="n">
        <v>63.75</v>
      </c>
      <c r="F2567" s="37" t="n">
        <f aca="false">IFERROR(D2567*E2567,0)</f>
        <v>127.5</v>
      </c>
      <c r="G2567" s="36" t="str">
        <f aca="false">INDEX(SETORES!$B:$B,MATCH(A2567,SETORES!$A:$A,0))</f>
        <v>Clientes</v>
      </c>
      <c r="H2567" s="36" t="s">
        <v>11</v>
      </c>
    </row>
    <row r="2568" customFormat="false" ht="14.25" hidden="false" customHeight="true" outlineLevel="0" collapsed="false">
      <c r="A2568" s="1" t="s">
        <v>45</v>
      </c>
      <c r="B2568" s="36" t="s">
        <v>155</v>
      </c>
      <c r="C2568" s="36" t="s">
        <v>166</v>
      </c>
      <c r="D2568" s="36" t="n">
        <v>7</v>
      </c>
      <c r="E2568" s="37" t="n">
        <v>31.33</v>
      </c>
      <c r="F2568" s="37" t="n">
        <f aca="false">IFERROR(D2568*E2568,0)</f>
        <v>219.31</v>
      </c>
      <c r="G2568" s="36" t="str">
        <f aca="false">INDEX(SETORES!$B:$B,MATCH(A2568,SETORES!$A:$A,0))</f>
        <v>Clientes</v>
      </c>
      <c r="H2568" s="36" t="s">
        <v>11</v>
      </c>
    </row>
    <row r="2569" customFormat="false" ht="14.25" hidden="false" customHeight="true" outlineLevel="0" collapsed="false">
      <c r="A2569" s="1" t="s">
        <v>45</v>
      </c>
      <c r="B2569" s="36" t="s">
        <v>155</v>
      </c>
      <c r="C2569" s="36" t="s">
        <v>165</v>
      </c>
      <c r="D2569" s="36" t="n">
        <v>7</v>
      </c>
      <c r="E2569" s="37" t="n">
        <v>51.12</v>
      </c>
      <c r="F2569" s="37" t="n">
        <f aca="false">IFERROR(D2569*E2569,0)</f>
        <v>357.84</v>
      </c>
      <c r="G2569" s="36" t="str">
        <f aca="false">INDEX(SETORES!$B:$B,MATCH(A2569,SETORES!$A:$A,0))</f>
        <v>Clientes</v>
      </c>
      <c r="H2569" s="36" t="s">
        <v>11</v>
      </c>
    </row>
    <row r="2570" customFormat="false" ht="14.25" hidden="false" customHeight="true" outlineLevel="0" collapsed="false">
      <c r="A2570" s="1" t="s">
        <v>45</v>
      </c>
      <c r="B2570" s="36" t="s">
        <v>155</v>
      </c>
      <c r="C2570" s="36" t="s">
        <v>167</v>
      </c>
      <c r="D2570" s="36" t="n">
        <v>7</v>
      </c>
      <c r="E2570" s="37" t="n">
        <v>63.75</v>
      </c>
      <c r="F2570" s="37" t="n">
        <f aca="false">IFERROR(D2570*E2570,0)</f>
        <v>446.25</v>
      </c>
      <c r="G2570" s="36" t="str">
        <f aca="false">INDEX(SETORES!$B:$B,MATCH(A2570,SETORES!$A:$A,0))</f>
        <v>Clientes</v>
      </c>
      <c r="H2570" s="36" t="s">
        <v>11</v>
      </c>
    </row>
    <row r="2571" customFormat="false" ht="14.25" hidden="false" customHeight="true" outlineLevel="0" collapsed="false">
      <c r="A2571" s="1" t="s">
        <v>50</v>
      </c>
      <c r="B2571" s="36" t="s">
        <v>155</v>
      </c>
      <c r="C2571" s="36" t="s">
        <v>166</v>
      </c>
      <c r="D2571" s="36" t="n">
        <v>12</v>
      </c>
      <c r="E2571" s="37" t="n">
        <v>31.33</v>
      </c>
      <c r="F2571" s="37" t="n">
        <f aca="false">IFERROR(D2571*E2571,0)</f>
        <v>375.96</v>
      </c>
      <c r="G2571" s="36" t="str">
        <f aca="false">INDEX(SETORES!$B:$B,MATCH(A2571,SETORES!$A:$A,0))</f>
        <v>Clientes</v>
      </c>
      <c r="H2571" s="36" t="s">
        <v>11</v>
      </c>
    </row>
    <row r="2572" customFormat="false" ht="14.25" hidden="false" customHeight="true" outlineLevel="0" collapsed="false">
      <c r="A2572" s="1" t="s">
        <v>50</v>
      </c>
      <c r="B2572" s="36" t="s">
        <v>155</v>
      </c>
      <c r="C2572" s="36" t="s">
        <v>165</v>
      </c>
      <c r="D2572" s="36" t="n">
        <v>12</v>
      </c>
      <c r="E2572" s="37" t="n">
        <v>51.12</v>
      </c>
      <c r="F2572" s="37" t="n">
        <f aca="false">IFERROR(D2572*E2572,0)</f>
        <v>613.44</v>
      </c>
      <c r="G2572" s="36" t="str">
        <f aca="false">INDEX(SETORES!$B:$B,MATCH(A2572,SETORES!$A:$A,0))</f>
        <v>Clientes</v>
      </c>
      <c r="H2572" s="36" t="s">
        <v>11</v>
      </c>
    </row>
    <row r="2573" customFormat="false" ht="14.25" hidden="false" customHeight="true" outlineLevel="0" collapsed="false">
      <c r="A2573" s="1" t="s">
        <v>50</v>
      </c>
      <c r="B2573" s="36" t="s">
        <v>155</v>
      </c>
      <c r="C2573" s="36" t="s">
        <v>167</v>
      </c>
      <c r="D2573" s="36" t="n">
        <v>12</v>
      </c>
      <c r="E2573" s="37" t="n">
        <v>63.75</v>
      </c>
      <c r="F2573" s="37" t="n">
        <f aca="false">IFERROR(D2573*E2573,0)</f>
        <v>765</v>
      </c>
      <c r="G2573" s="36" t="str">
        <f aca="false">INDEX(SETORES!$B:$B,MATCH(A2573,SETORES!$A:$A,0))</f>
        <v>Clientes</v>
      </c>
      <c r="H2573" s="36" t="s">
        <v>11</v>
      </c>
    </row>
    <row r="2574" customFormat="false" ht="14.25" hidden="false" customHeight="true" outlineLevel="0" collapsed="false">
      <c r="A2574" s="1" t="s">
        <v>36</v>
      </c>
      <c r="B2574" s="36" t="s">
        <v>155</v>
      </c>
      <c r="C2574" s="36" t="s">
        <v>166</v>
      </c>
      <c r="D2574" s="36" t="n">
        <v>8</v>
      </c>
      <c r="E2574" s="37" t="n">
        <v>31.33</v>
      </c>
      <c r="F2574" s="37" t="n">
        <f aca="false">IFERROR(D2574*E2574,0)</f>
        <v>250.64</v>
      </c>
      <c r="G2574" s="36" t="str">
        <f aca="false">INDEX(SETORES!$B:$B,MATCH(A2574,SETORES!$A:$A,0))</f>
        <v>Clientes</v>
      </c>
      <c r="H2574" s="36" t="s">
        <v>11</v>
      </c>
    </row>
    <row r="2575" customFormat="false" ht="14.25" hidden="false" customHeight="true" outlineLevel="0" collapsed="false">
      <c r="A2575" s="1" t="s">
        <v>36</v>
      </c>
      <c r="B2575" s="36" t="s">
        <v>155</v>
      </c>
      <c r="C2575" s="36" t="s">
        <v>165</v>
      </c>
      <c r="D2575" s="36" t="n">
        <v>8</v>
      </c>
      <c r="E2575" s="37" t="n">
        <v>51.12</v>
      </c>
      <c r="F2575" s="37" t="n">
        <f aca="false">IFERROR(D2575*E2575,0)</f>
        <v>408.96</v>
      </c>
      <c r="G2575" s="36" t="str">
        <f aca="false">INDEX(SETORES!$B:$B,MATCH(A2575,SETORES!$A:$A,0))</f>
        <v>Clientes</v>
      </c>
      <c r="H2575" s="36" t="s">
        <v>11</v>
      </c>
    </row>
    <row r="2576" customFormat="false" ht="14.25" hidden="false" customHeight="true" outlineLevel="0" collapsed="false">
      <c r="A2576" s="1" t="s">
        <v>36</v>
      </c>
      <c r="B2576" s="36" t="s">
        <v>155</v>
      </c>
      <c r="C2576" s="36" t="s">
        <v>167</v>
      </c>
      <c r="D2576" s="36" t="n">
        <v>8</v>
      </c>
      <c r="E2576" s="37" t="n">
        <v>63.75</v>
      </c>
      <c r="F2576" s="37" t="n">
        <f aca="false">IFERROR(D2576*E2576,0)</f>
        <v>510</v>
      </c>
      <c r="G2576" s="36" t="str">
        <f aca="false">INDEX(SETORES!$B:$B,MATCH(A2576,SETORES!$A:$A,0))</f>
        <v>Clientes</v>
      </c>
      <c r="H2576" s="36" t="s">
        <v>11</v>
      </c>
    </row>
    <row r="2577" customFormat="false" ht="14.25" hidden="false" customHeight="true" outlineLevel="0" collapsed="false">
      <c r="A2577" s="1" t="s">
        <v>34</v>
      </c>
      <c r="B2577" s="36" t="s">
        <v>155</v>
      </c>
      <c r="C2577" s="36" t="s">
        <v>166</v>
      </c>
      <c r="D2577" s="36" t="n">
        <v>8</v>
      </c>
      <c r="E2577" s="37" t="n">
        <v>31.33</v>
      </c>
      <c r="F2577" s="37" t="n">
        <f aca="false">IFERROR(D2577*E2577,0)</f>
        <v>250.64</v>
      </c>
      <c r="G2577" s="36" t="str">
        <f aca="false">INDEX(SETORES!$B:$B,MATCH(A2577,SETORES!$A:$A,0))</f>
        <v>Clientes</v>
      </c>
      <c r="H2577" s="36" t="s">
        <v>11</v>
      </c>
    </row>
    <row r="2578" customFormat="false" ht="14.25" hidden="false" customHeight="true" outlineLevel="0" collapsed="false">
      <c r="A2578" s="1" t="s">
        <v>34</v>
      </c>
      <c r="B2578" s="36" t="s">
        <v>155</v>
      </c>
      <c r="C2578" s="36" t="s">
        <v>165</v>
      </c>
      <c r="D2578" s="36" t="n">
        <v>8</v>
      </c>
      <c r="E2578" s="37" t="n">
        <v>51.12</v>
      </c>
      <c r="F2578" s="37" t="n">
        <f aca="false">IFERROR(D2578*E2578,0)</f>
        <v>408.96</v>
      </c>
      <c r="G2578" s="36" t="str">
        <f aca="false">INDEX(SETORES!$B:$B,MATCH(A2578,SETORES!$A:$A,0))</f>
        <v>Clientes</v>
      </c>
      <c r="H2578" s="36" t="s">
        <v>11</v>
      </c>
    </row>
    <row r="2579" customFormat="false" ht="14.25" hidden="false" customHeight="true" outlineLevel="0" collapsed="false">
      <c r="A2579" s="1" t="s">
        <v>34</v>
      </c>
      <c r="B2579" s="36" t="s">
        <v>155</v>
      </c>
      <c r="C2579" s="36" t="s">
        <v>167</v>
      </c>
      <c r="D2579" s="36" t="n">
        <v>8</v>
      </c>
      <c r="E2579" s="37" t="n">
        <v>63.75</v>
      </c>
      <c r="F2579" s="37" t="n">
        <f aca="false">IFERROR(D2579*E2579,0)</f>
        <v>510</v>
      </c>
      <c r="G2579" s="36" t="str">
        <f aca="false">INDEX(SETORES!$B:$B,MATCH(A2579,SETORES!$A:$A,0))</f>
        <v>Clientes</v>
      </c>
      <c r="H2579" s="36" t="s">
        <v>11</v>
      </c>
    </row>
    <row r="2580" customFormat="false" ht="14.25" hidden="false" customHeight="true" outlineLevel="0" collapsed="false">
      <c r="A2580" s="1" t="s">
        <v>48</v>
      </c>
      <c r="B2580" s="36" t="s">
        <v>155</v>
      </c>
      <c r="C2580" s="36" t="s">
        <v>166</v>
      </c>
      <c r="D2580" s="36" t="n">
        <v>14</v>
      </c>
      <c r="E2580" s="37" t="n">
        <v>31.33</v>
      </c>
      <c r="F2580" s="37" t="n">
        <f aca="false">IFERROR(D2580*E2580,0)</f>
        <v>438.62</v>
      </c>
      <c r="G2580" s="36" t="str">
        <f aca="false">INDEX(SETORES!$B:$B,MATCH(A2580,SETORES!$A:$A,0))</f>
        <v>Clientes</v>
      </c>
      <c r="H2580" s="36" t="s">
        <v>11</v>
      </c>
    </row>
    <row r="2581" customFormat="false" ht="14.25" hidden="false" customHeight="true" outlineLevel="0" collapsed="false">
      <c r="A2581" s="1" t="s">
        <v>48</v>
      </c>
      <c r="B2581" s="36" t="s">
        <v>155</v>
      </c>
      <c r="C2581" s="36" t="s">
        <v>165</v>
      </c>
      <c r="D2581" s="36" t="n">
        <v>14</v>
      </c>
      <c r="E2581" s="37" t="n">
        <v>51.12</v>
      </c>
      <c r="F2581" s="37" t="n">
        <f aca="false">IFERROR(D2581*E2581,0)</f>
        <v>715.68</v>
      </c>
      <c r="G2581" s="36" t="str">
        <f aca="false">INDEX(SETORES!$B:$B,MATCH(A2581,SETORES!$A:$A,0))</f>
        <v>Clientes</v>
      </c>
      <c r="H2581" s="36" t="s">
        <v>11</v>
      </c>
    </row>
    <row r="2582" customFormat="false" ht="14.25" hidden="false" customHeight="true" outlineLevel="0" collapsed="false">
      <c r="A2582" s="1" t="s">
        <v>48</v>
      </c>
      <c r="B2582" s="36" t="s">
        <v>155</v>
      </c>
      <c r="C2582" s="36" t="s">
        <v>167</v>
      </c>
      <c r="D2582" s="36" t="n">
        <v>14</v>
      </c>
      <c r="E2582" s="37" t="n">
        <v>63.75</v>
      </c>
      <c r="F2582" s="37" t="n">
        <f aca="false">IFERROR(D2582*E2582,0)</f>
        <v>892.5</v>
      </c>
      <c r="G2582" s="36" t="str">
        <f aca="false">INDEX(SETORES!$B:$B,MATCH(A2582,SETORES!$A:$A,0))</f>
        <v>Clientes</v>
      </c>
      <c r="H2582" s="36" t="s">
        <v>11</v>
      </c>
    </row>
    <row r="2583" customFormat="false" ht="14.25" hidden="false" customHeight="true" outlineLevel="0" collapsed="false">
      <c r="A2583" s="1" t="s">
        <v>31</v>
      </c>
      <c r="B2583" s="36" t="s">
        <v>155</v>
      </c>
      <c r="C2583" s="36" t="s">
        <v>166</v>
      </c>
      <c r="D2583" s="36" t="n">
        <v>5</v>
      </c>
      <c r="E2583" s="37" t="n">
        <v>31.33</v>
      </c>
      <c r="F2583" s="37" t="n">
        <f aca="false">IFERROR(D2583*E2583,0)</f>
        <v>156.65</v>
      </c>
      <c r="G2583" s="36" t="str">
        <f aca="false">INDEX(SETORES!$B:$B,MATCH(A2583,SETORES!$A:$A,0))</f>
        <v>Clientes</v>
      </c>
      <c r="H2583" s="36" t="s">
        <v>11</v>
      </c>
    </row>
    <row r="2584" customFormat="false" ht="14.25" hidden="false" customHeight="true" outlineLevel="0" collapsed="false">
      <c r="A2584" s="1" t="s">
        <v>31</v>
      </c>
      <c r="B2584" s="36" t="s">
        <v>155</v>
      </c>
      <c r="C2584" s="36" t="s">
        <v>165</v>
      </c>
      <c r="D2584" s="36" t="n">
        <v>5</v>
      </c>
      <c r="E2584" s="37" t="n">
        <v>51.12</v>
      </c>
      <c r="F2584" s="37" t="n">
        <f aca="false">IFERROR(D2584*E2584,0)</f>
        <v>255.6</v>
      </c>
      <c r="G2584" s="36" t="str">
        <f aca="false">INDEX(SETORES!$B:$B,MATCH(A2584,SETORES!$A:$A,0))</f>
        <v>Clientes</v>
      </c>
      <c r="H2584" s="36" t="s">
        <v>11</v>
      </c>
    </row>
    <row r="2585" customFormat="false" ht="14.25" hidden="false" customHeight="true" outlineLevel="0" collapsed="false">
      <c r="A2585" s="1" t="s">
        <v>31</v>
      </c>
      <c r="B2585" s="36" t="s">
        <v>155</v>
      </c>
      <c r="C2585" s="36" t="s">
        <v>167</v>
      </c>
      <c r="D2585" s="36" t="n">
        <v>5</v>
      </c>
      <c r="E2585" s="37" t="n">
        <v>63.75</v>
      </c>
      <c r="F2585" s="37" t="n">
        <f aca="false">IFERROR(D2585*E2585,0)</f>
        <v>318.75</v>
      </c>
      <c r="G2585" s="36" t="str">
        <f aca="false">INDEX(SETORES!$B:$B,MATCH(A2585,SETORES!$A:$A,0))</f>
        <v>Clientes</v>
      </c>
      <c r="H2585" s="36" t="s">
        <v>11</v>
      </c>
    </row>
    <row r="2586" customFormat="false" ht="14.25" hidden="false" customHeight="true" outlineLevel="0" collapsed="false">
      <c r="A2586" s="1" t="s">
        <v>37</v>
      </c>
      <c r="B2586" s="36" t="s">
        <v>155</v>
      </c>
      <c r="C2586" s="36" t="s">
        <v>166</v>
      </c>
      <c r="D2586" s="36" t="n">
        <v>44</v>
      </c>
      <c r="E2586" s="37" t="n">
        <v>31.33</v>
      </c>
      <c r="F2586" s="37" t="n">
        <f aca="false">IFERROR(D2586*E2586,0)</f>
        <v>1378.52</v>
      </c>
      <c r="G2586" s="36" t="str">
        <f aca="false">INDEX(SETORES!$B:$B,MATCH(A2586,SETORES!$A:$A,0))</f>
        <v>Clientes</v>
      </c>
      <c r="H2586" s="36" t="s">
        <v>11</v>
      </c>
    </row>
    <row r="2587" customFormat="false" ht="14.25" hidden="false" customHeight="true" outlineLevel="0" collapsed="false">
      <c r="A2587" s="1" t="s">
        <v>37</v>
      </c>
      <c r="B2587" s="36" t="s">
        <v>155</v>
      </c>
      <c r="C2587" s="36" t="s">
        <v>165</v>
      </c>
      <c r="D2587" s="36" t="n">
        <v>44</v>
      </c>
      <c r="E2587" s="37" t="n">
        <v>51.12</v>
      </c>
      <c r="F2587" s="37" t="n">
        <f aca="false">IFERROR(D2587*E2587,0)</f>
        <v>2249.28</v>
      </c>
      <c r="G2587" s="36" t="str">
        <f aca="false">INDEX(SETORES!$B:$B,MATCH(A2587,SETORES!$A:$A,0))</f>
        <v>Clientes</v>
      </c>
      <c r="H2587" s="36" t="s">
        <v>11</v>
      </c>
    </row>
    <row r="2588" customFormat="false" ht="14.25" hidden="false" customHeight="true" outlineLevel="0" collapsed="false">
      <c r="A2588" s="1" t="s">
        <v>37</v>
      </c>
      <c r="B2588" s="36" t="s">
        <v>155</v>
      </c>
      <c r="C2588" s="36" t="s">
        <v>167</v>
      </c>
      <c r="D2588" s="36" t="n">
        <v>44</v>
      </c>
      <c r="E2588" s="37" t="n">
        <v>63.75</v>
      </c>
      <c r="F2588" s="37" t="n">
        <f aca="false">IFERROR(D2588*E2588,0)</f>
        <v>2805</v>
      </c>
      <c r="G2588" s="36" t="str">
        <f aca="false">INDEX(SETORES!$B:$B,MATCH(A2588,SETORES!$A:$A,0))</f>
        <v>Clientes</v>
      </c>
      <c r="H2588" s="36" t="s">
        <v>11</v>
      </c>
    </row>
    <row r="2589" customFormat="false" ht="14.25" hidden="false" customHeight="true" outlineLevel="0" collapsed="false">
      <c r="A2589" s="1" t="s">
        <v>49</v>
      </c>
      <c r="B2589" s="36" t="s">
        <v>155</v>
      </c>
      <c r="C2589" s="36" t="s">
        <v>166</v>
      </c>
      <c r="D2589" s="36" t="n">
        <v>4</v>
      </c>
      <c r="E2589" s="37" t="n">
        <v>31.33</v>
      </c>
      <c r="F2589" s="37" t="n">
        <f aca="false">IFERROR(D2589*E2589,0)</f>
        <v>125.32</v>
      </c>
      <c r="G2589" s="36" t="str">
        <f aca="false">INDEX(SETORES!$B:$B,MATCH(A2589,SETORES!$A:$A,0))</f>
        <v>Clientes</v>
      </c>
      <c r="H2589" s="36" t="s">
        <v>11</v>
      </c>
    </row>
    <row r="2590" customFormat="false" ht="14.25" hidden="false" customHeight="true" outlineLevel="0" collapsed="false">
      <c r="A2590" s="1" t="s">
        <v>49</v>
      </c>
      <c r="B2590" s="36" t="s">
        <v>155</v>
      </c>
      <c r="C2590" s="36" t="s">
        <v>165</v>
      </c>
      <c r="D2590" s="36" t="n">
        <v>4</v>
      </c>
      <c r="E2590" s="37" t="n">
        <v>51.12</v>
      </c>
      <c r="F2590" s="37" t="n">
        <f aca="false">IFERROR(D2590*E2590,0)</f>
        <v>204.48</v>
      </c>
      <c r="G2590" s="36" t="str">
        <f aca="false">INDEX(SETORES!$B:$B,MATCH(A2590,SETORES!$A:$A,0))</f>
        <v>Clientes</v>
      </c>
      <c r="H2590" s="36" t="s">
        <v>11</v>
      </c>
    </row>
    <row r="2591" customFormat="false" ht="14.25" hidden="false" customHeight="true" outlineLevel="0" collapsed="false">
      <c r="A2591" s="1" t="s">
        <v>49</v>
      </c>
      <c r="B2591" s="36" t="s">
        <v>155</v>
      </c>
      <c r="C2591" s="36" t="s">
        <v>167</v>
      </c>
      <c r="D2591" s="36" t="n">
        <v>4</v>
      </c>
      <c r="E2591" s="37" t="n">
        <v>63.75</v>
      </c>
      <c r="F2591" s="37" t="n">
        <f aca="false">IFERROR(D2591*E2591,0)</f>
        <v>255</v>
      </c>
      <c r="G2591" s="36" t="str">
        <f aca="false">INDEX(SETORES!$B:$B,MATCH(A2591,SETORES!$A:$A,0))</f>
        <v>Clientes</v>
      </c>
      <c r="H2591" s="36" t="s">
        <v>11</v>
      </c>
    </row>
    <row r="2592" customFormat="false" ht="14.25" hidden="false" customHeight="true" outlineLevel="0" collapsed="false">
      <c r="A2592" s="1" t="s">
        <v>146</v>
      </c>
      <c r="B2592" s="36" t="s">
        <v>155</v>
      </c>
      <c r="C2592" s="36" t="s">
        <v>166</v>
      </c>
      <c r="D2592" s="36" t="n">
        <v>3</v>
      </c>
      <c r="E2592" s="37" t="n">
        <v>31.33</v>
      </c>
      <c r="F2592" s="37" t="n">
        <f aca="false">IFERROR(D2592*E2592,0)</f>
        <v>93.99</v>
      </c>
      <c r="G2592" s="36" t="str">
        <f aca="false">INDEX(SETORES!$B:$B,MATCH(A2592,SETORES!$A:$A,0))</f>
        <v>Clientes</v>
      </c>
      <c r="H2592" s="36" t="s">
        <v>11</v>
      </c>
    </row>
    <row r="2593" customFormat="false" ht="14.25" hidden="false" customHeight="true" outlineLevel="0" collapsed="false">
      <c r="A2593" s="1" t="s">
        <v>146</v>
      </c>
      <c r="B2593" s="36" t="s">
        <v>155</v>
      </c>
      <c r="C2593" s="36" t="s">
        <v>165</v>
      </c>
      <c r="D2593" s="36" t="n">
        <v>3</v>
      </c>
      <c r="E2593" s="37" t="n">
        <v>51.12</v>
      </c>
      <c r="F2593" s="37" t="n">
        <f aca="false">IFERROR(D2593*E2593,0)</f>
        <v>153.36</v>
      </c>
      <c r="G2593" s="36" t="str">
        <f aca="false">INDEX(SETORES!$B:$B,MATCH(A2593,SETORES!$A:$A,0))</f>
        <v>Clientes</v>
      </c>
      <c r="H2593" s="36" t="s">
        <v>11</v>
      </c>
    </row>
    <row r="2594" customFormat="false" ht="14.25" hidden="false" customHeight="true" outlineLevel="0" collapsed="false">
      <c r="A2594" s="1" t="s">
        <v>146</v>
      </c>
      <c r="B2594" s="36" t="s">
        <v>155</v>
      </c>
      <c r="C2594" s="36" t="s">
        <v>167</v>
      </c>
      <c r="D2594" s="36" t="n">
        <v>3</v>
      </c>
      <c r="E2594" s="37" t="n">
        <v>63.75</v>
      </c>
      <c r="F2594" s="37" t="n">
        <f aca="false">IFERROR(D2594*E2594,0)</f>
        <v>191.25</v>
      </c>
      <c r="G2594" s="36" t="str">
        <f aca="false">INDEX(SETORES!$B:$B,MATCH(A2594,SETORES!$A:$A,0))</f>
        <v>Clientes</v>
      </c>
      <c r="H2594" s="36" t="s">
        <v>11</v>
      </c>
    </row>
    <row r="2595" customFormat="false" ht="14.25" hidden="false" customHeight="true" outlineLevel="0" collapsed="false">
      <c r="A2595" s="1" t="s">
        <v>146</v>
      </c>
      <c r="B2595" s="36" t="s">
        <v>155</v>
      </c>
      <c r="C2595" s="36" t="s">
        <v>166</v>
      </c>
      <c r="D2595" s="36" t="n">
        <v>3</v>
      </c>
      <c r="E2595" s="37" t="n">
        <v>29.74</v>
      </c>
      <c r="F2595" s="37" t="n">
        <f aca="false">IFERROR(D2595*E2595,0)</f>
        <v>89.22</v>
      </c>
      <c r="G2595" s="36" t="str">
        <f aca="false">INDEX(SETORES!$B:$B,MATCH(A2595,SETORES!$A:$A,0))</f>
        <v>Clientes</v>
      </c>
      <c r="H2595" s="36" t="s">
        <v>21</v>
      </c>
    </row>
    <row r="2596" customFormat="false" ht="14.25" hidden="false" customHeight="true" outlineLevel="0" collapsed="false">
      <c r="A2596" s="1" t="s">
        <v>146</v>
      </c>
      <c r="B2596" s="36" t="s">
        <v>155</v>
      </c>
      <c r="C2596" s="36" t="s">
        <v>165</v>
      </c>
      <c r="D2596" s="36" t="n">
        <v>3</v>
      </c>
      <c r="E2596" s="37" t="n">
        <v>43.54</v>
      </c>
      <c r="F2596" s="37" t="n">
        <f aca="false">IFERROR(D2596*E2596,0)</f>
        <v>130.62</v>
      </c>
      <c r="G2596" s="36" t="str">
        <f aca="false">INDEX(SETORES!$B:$B,MATCH(A2596,SETORES!$A:$A,0))</f>
        <v>Clientes</v>
      </c>
      <c r="H2596" s="36" t="s">
        <v>21</v>
      </c>
    </row>
    <row r="2597" customFormat="false" ht="14.25" hidden="false" customHeight="true" outlineLevel="0" collapsed="false">
      <c r="A2597" s="1" t="s">
        <v>146</v>
      </c>
      <c r="B2597" s="36" t="s">
        <v>155</v>
      </c>
      <c r="C2597" s="36" t="s">
        <v>167</v>
      </c>
      <c r="D2597" s="36" t="n">
        <v>3</v>
      </c>
      <c r="E2597" s="37" t="n">
        <v>47.72</v>
      </c>
      <c r="F2597" s="37" t="n">
        <f aca="false">IFERROR(D2597*E2597,0)</f>
        <v>143.16</v>
      </c>
      <c r="G2597" s="36" t="str">
        <f aca="false">INDEX(SETORES!$B:$B,MATCH(A2597,SETORES!$A:$A,0))</f>
        <v>Clientes</v>
      </c>
      <c r="H2597" s="36" t="s">
        <v>21</v>
      </c>
    </row>
    <row r="2598" customFormat="false" ht="14.25" hidden="false" customHeight="true" outlineLevel="0" collapsed="false">
      <c r="A2598" s="1" t="s">
        <v>146</v>
      </c>
      <c r="B2598" s="36" t="s">
        <v>155</v>
      </c>
      <c r="C2598" s="36" t="s">
        <v>166</v>
      </c>
      <c r="D2598" s="36" t="n">
        <v>3</v>
      </c>
      <c r="E2598" s="37" t="n">
        <v>32.55</v>
      </c>
      <c r="F2598" s="37" t="n">
        <f aca="false">IFERROR(D2598*E2598,0)</f>
        <v>97.65</v>
      </c>
      <c r="G2598" s="36" t="str">
        <f aca="false">INDEX(SETORES!$B:$B,MATCH(A2598,SETORES!$A:$A,0))</f>
        <v>Clientes</v>
      </c>
      <c r="H2598" s="36" t="s">
        <v>88</v>
      </c>
    </row>
    <row r="2599" customFormat="false" ht="14.25" hidden="false" customHeight="true" outlineLevel="0" collapsed="false">
      <c r="A2599" s="1" t="s">
        <v>146</v>
      </c>
      <c r="B2599" s="36" t="s">
        <v>155</v>
      </c>
      <c r="C2599" s="36" t="s">
        <v>165</v>
      </c>
      <c r="D2599" s="36" t="n">
        <v>3</v>
      </c>
      <c r="E2599" s="37" t="n">
        <v>52.09</v>
      </c>
      <c r="F2599" s="37" t="n">
        <f aca="false">IFERROR(D2599*E2599,0)</f>
        <v>156.27</v>
      </c>
      <c r="G2599" s="36" t="str">
        <f aca="false">INDEX(SETORES!$B:$B,MATCH(A2599,SETORES!$A:$A,0))</f>
        <v>Clientes</v>
      </c>
      <c r="H2599" s="36" t="s">
        <v>88</v>
      </c>
    </row>
    <row r="2600" customFormat="false" ht="14.25" hidden="false" customHeight="true" outlineLevel="0" collapsed="false">
      <c r="A2600" s="1" t="s">
        <v>146</v>
      </c>
      <c r="B2600" s="36" t="s">
        <v>155</v>
      </c>
      <c r="C2600" s="36" t="s">
        <v>167</v>
      </c>
      <c r="D2600" s="36" t="n">
        <v>3</v>
      </c>
      <c r="E2600" s="37" t="n">
        <v>52.35</v>
      </c>
      <c r="F2600" s="37" t="n">
        <f aca="false">IFERROR(D2600*E2600,0)</f>
        <v>157.05</v>
      </c>
      <c r="G2600" s="36" t="str">
        <f aca="false">INDEX(SETORES!$B:$B,MATCH(A2600,SETORES!$A:$A,0))</f>
        <v>Clientes</v>
      </c>
      <c r="H2600" s="36" t="s">
        <v>88</v>
      </c>
    </row>
    <row r="2601" customFormat="false" ht="14.25" hidden="false" customHeight="true" outlineLevel="0" collapsed="false">
      <c r="A2601" s="1" t="s">
        <v>32</v>
      </c>
      <c r="B2601" s="36" t="s">
        <v>155</v>
      </c>
      <c r="C2601" s="36" t="s">
        <v>166</v>
      </c>
      <c r="D2601" s="36" t="n">
        <v>4</v>
      </c>
      <c r="E2601" s="37" t="n">
        <v>31.33</v>
      </c>
      <c r="F2601" s="37" t="n">
        <f aca="false">IFERROR(D2601*E2601,0)</f>
        <v>125.32</v>
      </c>
      <c r="G2601" s="36" t="str">
        <f aca="false">INDEX(SETORES!$B:$B,MATCH(A2601,SETORES!$A:$A,0))</f>
        <v>Funcionários</v>
      </c>
      <c r="H2601" s="36" t="s">
        <v>11</v>
      </c>
    </row>
    <row r="2602" customFormat="false" ht="14.25" hidden="false" customHeight="true" outlineLevel="0" collapsed="false">
      <c r="A2602" s="1" t="s">
        <v>32</v>
      </c>
      <c r="B2602" s="36" t="s">
        <v>155</v>
      </c>
      <c r="C2602" s="36" t="s">
        <v>165</v>
      </c>
      <c r="D2602" s="36" t="n">
        <v>4</v>
      </c>
      <c r="E2602" s="37" t="n">
        <v>51.12</v>
      </c>
      <c r="F2602" s="37" t="n">
        <f aca="false">IFERROR(D2602*E2602,0)</f>
        <v>204.48</v>
      </c>
      <c r="G2602" s="36" t="str">
        <f aca="false">INDEX(SETORES!$B:$B,MATCH(A2602,SETORES!$A:$A,0))</f>
        <v>Funcionários</v>
      </c>
      <c r="H2602" s="36" t="s">
        <v>11</v>
      </c>
    </row>
    <row r="2603" customFormat="false" ht="14.25" hidden="false" customHeight="true" outlineLevel="0" collapsed="false">
      <c r="A2603" s="1" t="s">
        <v>32</v>
      </c>
      <c r="B2603" s="36" t="s">
        <v>155</v>
      </c>
      <c r="C2603" s="36" t="s">
        <v>167</v>
      </c>
      <c r="D2603" s="36" t="n">
        <v>4</v>
      </c>
      <c r="E2603" s="37" t="n">
        <v>63.75</v>
      </c>
      <c r="F2603" s="37" t="n">
        <f aca="false">IFERROR(D2603*E2603,0)</f>
        <v>255</v>
      </c>
      <c r="G2603" s="36" t="str">
        <f aca="false">INDEX(SETORES!$B:$B,MATCH(A2603,SETORES!$A:$A,0))</f>
        <v>Funcionários</v>
      </c>
      <c r="H2603" s="36" t="s">
        <v>11</v>
      </c>
    </row>
    <row r="2604" customFormat="false" ht="14.25" hidden="false" customHeight="true" outlineLevel="0" collapsed="false">
      <c r="A2604" s="1" t="s">
        <v>39</v>
      </c>
      <c r="B2604" s="36" t="s">
        <v>155</v>
      </c>
      <c r="C2604" s="36" t="s">
        <v>166</v>
      </c>
      <c r="D2604" s="36" t="n">
        <v>14</v>
      </c>
      <c r="E2604" s="37" t="n">
        <v>31.33</v>
      </c>
      <c r="F2604" s="37" t="n">
        <f aca="false">IFERROR(D2604*E2604,0)</f>
        <v>438.62</v>
      </c>
      <c r="G2604" s="36" t="str">
        <f aca="false">INDEX(SETORES!$B:$B,MATCH(A2604,SETORES!$A:$A,0))</f>
        <v>Clientes</v>
      </c>
      <c r="H2604" s="36" t="s">
        <v>11</v>
      </c>
    </row>
    <row r="2605" customFormat="false" ht="14.25" hidden="false" customHeight="true" outlineLevel="0" collapsed="false">
      <c r="A2605" s="1" t="s">
        <v>39</v>
      </c>
      <c r="B2605" s="36" t="s">
        <v>155</v>
      </c>
      <c r="C2605" s="36" t="s">
        <v>165</v>
      </c>
      <c r="D2605" s="36" t="n">
        <v>14</v>
      </c>
      <c r="E2605" s="37" t="n">
        <v>51.12</v>
      </c>
      <c r="F2605" s="37" t="n">
        <f aca="false">IFERROR(D2605*E2605,0)</f>
        <v>715.68</v>
      </c>
      <c r="G2605" s="36" t="str">
        <f aca="false">INDEX(SETORES!$B:$B,MATCH(A2605,SETORES!$A:$A,0))</f>
        <v>Clientes</v>
      </c>
      <c r="H2605" s="36" t="s">
        <v>11</v>
      </c>
    </row>
    <row r="2606" customFormat="false" ht="14.25" hidden="false" customHeight="true" outlineLevel="0" collapsed="false">
      <c r="A2606" s="1" t="s">
        <v>39</v>
      </c>
      <c r="B2606" s="36" t="s">
        <v>155</v>
      </c>
      <c r="C2606" s="36" t="s">
        <v>167</v>
      </c>
      <c r="D2606" s="36" t="n">
        <v>14</v>
      </c>
      <c r="E2606" s="37" t="n">
        <v>63.75</v>
      </c>
      <c r="F2606" s="37" t="n">
        <f aca="false">IFERROR(D2606*E2606,0)</f>
        <v>892.5</v>
      </c>
      <c r="G2606" s="36" t="str">
        <f aca="false">INDEX(SETORES!$B:$B,MATCH(A2606,SETORES!$A:$A,0))</f>
        <v>Clientes</v>
      </c>
      <c r="H2606" s="36" t="s">
        <v>11</v>
      </c>
    </row>
    <row r="2607" customFormat="false" ht="14.25" hidden="false" customHeight="true" outlineLevel="0" collapsed="false">
      <c r="A2607" s="1" t="s">
        <v>44</v>
      </c>
      <c r="B2607" s="36" t="s">
        <v>155</v>
      </c>
      <c r="C2607" s="36" t="s">
        <v>166</v>
      </c>
      <c r="D2607" s="36" t="n">
        <v>6</v>
      </c>
      <c r="E2607" s="37" t="n">
        <v>31.33</v>
      </c>
      <c r="F2607" s="37" t="n">
        <f aca="false">IFERROR(D2607*E2607,0)</f>
        <v>187.98</v>
      </c>
      <c r="G2607" s="36" t="str">
        <f aca="false">INDEX(SETORES!$B:$B,MATCH(A2607,SETORES!$A:$A,0))</f>
        <v>Funcionários</v>
      </c>
      <c r="H2607" s="36" t="s">
        <v>11</v>
      </c>
    </row>
    <row r="2608" customFormat="false" ht="14.25" hidden="false" customHeight="true" outlineLevel="0" collapsed="false">
      <c r="A2608" s="1" t="s">
        <v>44</v>
      </c>
      <c r="B2608" s="36" t="s">
        <v>155</v>
      </c>
      <c r="C2608" s="36" t="s">
        <v>165</v>
      </c>
      <c r="D2608" s="36" t="n">
        <v>6</v>
      </c>
      <c r="E2608" s="37" t="n">
        <v>51.12</v>
      </c>
      <c r="F2608" s="37" t="n">
        <f aca="false">IFERROR(D2608*E2608,0)</f>
        <v>306.72</v>
      </c>
      <c r="G2608" s="36" t="str">
        <f aca="false">INDEX(SETORES!$B:$B,MATCH(A2608,SETORES!$A:$A,0))</f>
        <v>Funcionários</v>
      </c>
      <c r="H2608" s="36" t="s">
        <v>11</v>
      </c>
    </row>
    <row r="2609" customFormat="false" ht="14.25" hidden="false" customHeight="true" outlineLevel="0" collapsed="false">
      <c r="A2609" s="1" t="s">
        <v>44</v>
      </c>
      <c r="B2609" s="36" t="s">
        <v>155</v>
      </c>
      <c r="C2609" s="36" t="s">
        <v>167</v>
      </c>
      <c r="D2609" s="36" t="n">
        <v>6</v>
      </c>
      <c r="E2609" s="37" t="n">
        <v>63.75</v>
      </c>
      <c r="F2609" s="37" t="n">
        <f aca="false">IFERROR(D2609*E2609,0)</f>
        <v>382.5</v>
      </c>
      <c r="G2609" s="36" t="str">
        <f aca="false">INDEX(SETORES!$B:$B,MATCH(A2609,SETORES!$A:$A,0))</f>
        <v>Funcionários</v>
      </c>
      <c r="H2609" s="36" t="s">
        <v>11</v>
      </c>
    </row>
    <row r="2610" customFormat="false" ht="14.25" hidden="false" customHeight="true" outlineLevel="0" collapsed="false">
      <c r="A2610" s="1" t="s">
        <v>52</v>
      </c>
      <c r="B2610" s="36" t="s">
        <v>155</v>
      </c>
      <c r="C2610" s="36" t="s">
        <v>166</v>
      </c>
      <c r="D2610" s="36" t="n">
        <v>8</v>
      </c>
      <c r="E2610" s="37" t="n">
        <v>31.33</v>
      </c>
      <c r="F2610" s="37" t="n">
        <f aca="false">IFERROR(D2610*E2610,0)</f>
        <v>250.64</v>
      </c>
      <c r="G2610" s="36" t="str">
        <f aca="false">INDEX(SETORES!$B:$B,MATCH(A2610,SETORES!$A:$A,0))</f>
        <v>Clientes</v>
      </c>
      <c r="H2610" s="36" t="s">
        <v>11</v>
      </c>
    </row>
    <row r="2611" customFormat="false" ht="14.25" hidden="false" customHeight="true" outlineLevel="0" collapsed="false">
      <c r="A2611" s="1" t="s">
        <v>52</v>
      </c>
      <c r="B2611" s="36" t="s">
        <v>155</v>
      </c>
      <c r="C2611" s="36" t="s">
        <v>165</v>
      </c>
      <c r="D2611" s="36" t="n">
        <v>8</v>
      </c>
      <c r="E2611" s="37" t="n">
        <v>51.12</v>
      </c>
      <c r="F2611" s="37" t="n">
        <f aca="false">IFERROR(D2611*E2611,0)</f>
        <v>408.96</v>
      </c>
      <c r="G2611" s="36" t="str">
        <f aca="false">INDEX(SETORES!$B:$B,MATCH(A2611,SETORES!$A:$A,0))</f>
        <v>Clientes</v>
      </c>
      <c r="H2611" s="36" t="s">
        <v>11</v>
      </c>
    </row>
    <row r="2612" customFormat="false" ht="14.25" hidden="false" customHeight="true" outlineLevel="0" collapsed="false">
      <c r="A2612" s="1" t="s">
        <v>52</v>
      </c>
      <c r="B2612" s="36" t="s">
        <v>155</v>
      </c>
      <c r="C2612" s="36" t="s">
        <v>167</v>
      </c>
      <c r="D2612" s="36" t="n">
        <v>8</v>
      </c>
      <c r="E2612" s="37" t="n">
        <v>63.75</v>
      </c>
      <c r="F2612" s="37" t="n">
        <f aca="false">IFERROR(D2612*E2612,0)</f>
        <v>510</v>
      </c>
      <c r="G2612" s="36" t="str">
        <f aca="false">INDEX(SETORES!$B:$B,MATCH(A2612,SETORES!$A:$A,0))</f>
        <v>Clientes</v>
      </c>
      <c r="H2612" s="36" t="s">
        <v>11</v>
      </c>
    </row>
    <row r="2613" customFormat="false" ht="14.25" hidden="false" customHeight="true" outlineLevel="0" collapsed="false">
      <c r="A2613" s="1" t="s">
        <v>53</v>
      </c>
      <c r="B2613" s="36" t="s">
        <v>155</v>
      </c>
      <c r="C2613" s="36" t="s">
        <v>166</v>
      </c>
      <c r="D2613" s="36" t="n">
        <v>32</v>
      </c>
      <c r="E2613" s="37" t="n">
        <v>31.33</v>
      </c>
      <c r="F2613" s="37" t="n">
        <f aca="false">IFERROR(D2613*E2613,0)</f>
        <v>1002.56</v>
      </c>
      <c r="G2613" s="36" t="str">
        <f aca="false">INDEX(SETORES!$B:$B,MATCH(A2613,SETORES!$A:$A,0))</f>
        <v>Clientes</v>
      </c>
      <c r="H2613" s="36" t="s">
        <v>11</v>
      </c>
    </row>
    <row r="2614" customFormat="false" ht="14.25" hidden="false" customHeight="true" outlineLevel="0" collapsed="false">
      <c r="A2614" s="1" t="s">
        <v>53</v>
      </c>
      <c r="B2614" s="36" t="s">
        <v>155</v>
      </c>
      <c r="C2614" s="36" t="s">
        <v>165</v>
      </c>
      <c r="D2614" s="36" t="n">
        <v>32</v>
      </c>
      <c r="E2614" s="37" t="n">
        <v>51.12</v>
      </c>
      <c r="F2614" s="37" t="n">
        <f aca="false">IFERROR(D2614*E2614,0)</f>
        <v>1635.84</v>
      </c>
      <c r="G2614" s="36" t="str">
        <f aca="false">INDEX(SETORES!$B:$B,MATCH(A2614,SETORES!$A:$A,0))</f>
        <v>Clientes</v>
      </c>
      <c r="H2614" s="36" t="s">
        <v>11</v>
      </c>
    </row>
    <row r="2615" customFormat="false" ht="14.25" hidden="false" customHeight="true" outlineLevel="0" collapsed="false">
      <c r="A2615" s="1" t="s">
        <v>53</v>
      </c>
      <c r="B2615" s="36" t="s">
        <v>155</v>
      </c>
      <c r="C2615" s="36" t="s">
        <v>167</v>
      </c>
      <c r="D2615" s="36" t="n">
        <v>32</v>
      </c>
      <c r="E2615" s="37" t="n">
        <v>63.75</v>
      </c>
      <c r="F2615" s="37" t="n">
        <f aca="false">IFERROR(D2615*E2615,0)</f>
        <v>2040</v>
      </c>
      <c r="G2615" s="36" t="str">
        <f aca="false">INDEX(SETORES!$B:$B,MATCH(A2615,SETORES!$A:$A,0))</f>
        <v>Clientes</v>
      </c>
      <c r="H2615" s="36" t="s">
        <v>11</v>
      </c>
    </row>
    <row r="2616" customFormat="false" ht="14.25" hidden="false" customHeight="true" outlineLevel="0" collapsed="false">
      <c r="A2616" s="1" t="s">
        <v>51</v>
      </c>
      <c r="B2616" s="36" t="s">
        <v>155</v>
      </c>
      <c r="C2616" s="36" t="s">
        <v>166</v>
      </c>
      <c r="D2616" s="36" t="n">
        <v>13</v>
      </c>
      <c r="E2616" s="37" t="n">
        <v>31.33</v>
      </c>
      <c r="F2616" s="37" t="n">
        <f aca="false">IFERROR(D2616*E2616,0)</f>
        <v>407.29</v>
      </c>
      <c r="G2616" s="36" t="str">
        <f aca="false">INDEX(SETORES!$B:$B,MATCH(A2616,SETORES!$A:$A,0))</f>
        <v>Clientes</v>
      </c>
      <c r="H2616" s="36" t="s">
        <v>11</v>
      </c>
    </row>
    <row r="2617" customFormat="false" ht="14.25" hidden="false" customHeight="true" outlineLevel="0" collapsed="false">
      <c r="A2617" s="1" t="s">
        <v>51</v>
      </c>
      <c r="B2617" s="36" t="s">
        <v>155</v>
      </c>
      <c r="C2617" s="36" t="s">
        <v>165</v>
      </c>
      <c r="D2617" s="36" t="n">
        <v>13</v>
      </c>
      <c r="E2617" s="37" t="n">
        <v>51.12</v>
      </c>
      <c r="F2617" s="37" t="n">
        <f aca="false">IFERROR(D2617*E2617,0)</f>
        <v>664.56</v>
      </c>
      <c r="G2617" s="36" t="str">
        <f aca="false">INDEX(SETORES!$B:$B,MATCH(A2617,SETORES!$A:$A,0))</f>
        <v>Clientes</v>
      </c>
      <c r="H2617" s="36" t="s">
        <v>11</v>
      </c>
    </row>
    <row r="2618" customFormat="false" ht="14.25" hidden="false" customHeight="true" outlineLevel="0" collapsed="false">
      <c r="A2618" s="1" t="s">
        <v>51</v>
      </c>
      <c r="B2618" s="36" t="s">
        <v>155</v>
      </c>
      <c r="C2618" s="36" t="s">
        <v>167</v>
      </c>
      <c r="D2618" s="36" t="n">
        <v>13</v>
      </c>
      <c r="E2618" s="37" t="n">
        <v>63.75</v>
      </c>
      <c r="F2618" s="37" t="n">
        <f aca="false">IFERROR(D2618*E2618,0)</f>
        <v>828.75</v>
      </c>
      <c r="G2618" s="36" t="str">
        <f aca="false">INDEX(SETORES!$B:$B,MATCH(A2618,SETORES!$A:$A,0))</f>
        <v>Clientes</v>
      </c>
      <c r="H2618" s="36" t="s">
        <v>11</v>
      </c>
    </row>
    <row r="2619" customFormat="false" ht="14.25" hidden="false" customHeight="true" outlineLevel="0" collapsed="false">
      <c r="A2619" s="1" t="s">
        <v>89</v>
      </c>
      <c r="B2619" s="36" t="s">
        <v>155</v>
      </c>
      <c r="C2619" s="36" t="s">
        <v>172</v>
      </c>
      <c r="D2619" s="36" t="n">
        <v>2</v>
      </c>
      <c r="E2619" s="37" t="n">
        <v>50</v>
      </c>
      <c r="F2619" s="37" t="n">
        <f aca="false">IFERROR(D2619*E2619,0)</f>
        <v>100</v>
      </c>
      <c r="G2619" s="36" t="str">
        <f aca="false">INDEX(SETORES!$B:$B,MATCH(A2619,SETORES!$A:$A,0))</f>
        <v>Clientes</v>
      </c>
      <c r="H2619" s="36" t="s">
        <v>20</v>
      </c>
    </row>
    <row r="2620" customFormat="false" ht="14.25" hidden="false" customHeight="true" outlineLevel="0" collapsed="false">
      <c r="A2620" s="1" t="s">
        <v>89</v>
      </c>
      <c r="B2620" s="36" t="s">
        <v>155</v>
      </c>
      <c r="C2620" s="36" t="s">
        <v>172</v>
      </c>
      <c r="D2620" s="36" t="n">
        <v>2</v>
      </c>
      <c r="E2620" s="37" t="n">
        <v>50</v>
      </c>
      <c r="F2620" s="37" t="n">
        <f aca="false">IFERROR(D2620*E2620,0)</f>
        <v>100</v>
      </c>
      <c r="G2620" s="36" t="str">
        <f aca="false">INDEX(SETORES!$B:$B,MATCH(A2620,SETORES!$A:$A,0))</f>
        <v>Clientes</v>
      </c>
      <c r="H2620" s="36" t="s">
        <v>11</v>
      </c>
    </row>
    <row r="2621" customFormat="false" ht="14.25" hidden="false" customHeight="true" outlineLevel="0" collapsed="false">
      <c r="A2621" s="1" t="s">
        <v>54</v>
      </c>
      <c r="B2621" s="36" t="s">
        <v>155</v>
      </c>
      <c r="C2621" s="36" t="s">
        <v>172</v>
      </c>
      <c r="D2621" s="36" t="n">
        <v>10</v>
      </c>
      <c r="E2621" s="37" t="n">
        <v>50</v>
      </c>
      <c r="F2621" s="37" t="n">
        <f aca="false">IFERROR(D2621*E2621,0)</f>
        <v>500</v>
      </c>
      <c r="G2621" s="36" t="str">
        <f aca="false">INDEX(SETORES!$B:$B,MATCH(A2621,SETORES!$A:$A,0))</f>
        <v>Clientes</v>
      </c>
      <c r="H2621" s="36" t="s">
        <v>20</v>
      </c>
    </row>
    <row r="2622" customFormat="false" ht="14.25" hidden="false" customHeight="true" outlineLevel="0" collapsed="false">
      <c r="A2622" s="1" t="s">
        <v>54</v>
      </c>
      <c r="B2622" s="36" t="s">
        <v>155</v>
      </c>
      <c r="C2622" s="36" t="s">
        <v>172</v>
      </c>
      <c r="D2622" s="36" t="n">
        <v>10</v>
      </c>
      <c r="E2622" s="37" t="n">
        <v>50</v>
      </c>
      <c r="F2622" s="37" t="n">
        <f aca="false">IFERROR(D2622*E2622,0)</f>
        <v>500</v>
      </c>
      <c r="G2622" s="36" t="str">
        <f aca="false">INDEX(SETORES!$B:$B,MATCH(A2622,SETORES!$A:$A,0))</f>
        <v>Clientes</v>
      </c>
      <c r="H2622" s="36" t="s">
        <v>11</v>
      </c>
    </row>
    <row r="2623" customFormat="false" ht="14.25" hidden="false" customHeight="true" outlineLevel="0" collapsed="false">
      <c r="A2623" s="1" t="s">
        <v>54</v>
      </c>
      <c r="B2623" s="36" t="s">
        <v>155</v>
      </c>
      <c r="C2623" s="36" t="s">
        <v>172</v>
      </c>
      <c r="D2623" s="36" t="n">
        <v>11</v>
      </c>
      <c r="E2623" s="37" t="n">
        <v>50</v>
      </c>
      <c r="F2623" s="37" t="n">
        <f aca="false">IFERROR(D2623*E2623,0)</f>
        <v>550</v>
      </c>
      <c r="G2623" s="36" t="str">
        <f aca="false">INDEX(SETORES!$B:$B,MATCH(A2623,SETORES!$A:$A,0))</f>
        <v>Clientes</v>
      </c>
      <c r="H2623" s="36" t="s">
        <v>21</v>
      </c>
    </row>
    <row r="2624" customFormat="false" ht="14.25" hidden="false" customHeight="true" outlineLevel="0" collapsed="false">
      <c r="A2624" s="1" t="s">
        <v>54</v>
      </c>
      <c r="B2624" s="36" t="s">
        <v>155</v>
      </c>
      <c r="C2624" s="36" t="s">
        <v>172</v>
      </c>
      <c r="D2624" s="36" t="n">
        <v>12</v>
      </c>
      <c r="E2624" s="37" t="n">
        <v>50</v>
      </c>
      <c r="F2624" s="37" t="n">
        <f aca="false">IFERROR(D2624*E2624,0)</f>
        <v>600</v>
      </c>
      <c r="G2624" s="36" t="str">
        <f aca="false">INDEX(SETORES!$B:$B,MATCH(A2624,SETORES!$A:$A,0))</f>
        <v>Clientes</v>
      </c>
      <c r="H2624" s="36" t="s">
        <v>88</v>
      </c>
    </row>
    <row r="2625" customFormat="false" ht="14.25" hidden="false" customHeight="true" outlineLevel="0" collapsed="false">
      <c r="A2625" s="1" t="s">
        <v>41</v>
      </c>
      <c r="B2625" s="36" t="s">
        <v>155</v>
      </c>
      <c r="C2625" s="36" t="s">
        <v>172</v>
      </c>
      <c r="D2625" s="36" t="n">
        <v>1</v>
      </c>
      <c r="E2625" s="37" t="n">
        <v>50</v>
      </c>
      <c r="F2625" s="37" t="n">
        <f aca="false">IFERROR(D2625*E2625,0)</f>
        <v>50</v>
      </c>
      <c r="G2625" s="36" t="str">
        <f aca="false">INDEX(SETORES!$B:$B,MATCH(A2625,SETORES!$A:$A,0))</f>
        <v>Clientes</v>
      </c>
      <c r="H2625" s="36" t="s">
        <v>20</v>
      </c>
    </row>
    <row r="2626" customFormat="false" ht="14.25" hidden="false" customHeight="true" outlineLevel="0" collapsed="false">
      <c r="A2626" s="1" t="s">
        <v>41</v>
      </c>
      <c r="B2626" s="36" t="s">
        <v>155</v>
      </c>
      <c r="C2626" s="36" t="s">
        <v>172</v>
      </c>
      <c r="D2626" s="36" t="n">
        <v>1</v>
      </c>
      <c r="E2626" s="37" t="n">
        <v>50</v>
      </c>
      <c r="F2626" s="37" t="n">
        <f aca="false">IFERROR(D2626*E2626,0)</f>
        <v>50</v>
      </c>
      <c r="G2626" s="36" t="str">
        <f aca="false">INDEX(SETORES!$B:$B,MATCH(A2626,SETORES!$A:$A,0))</f>
        <v>Clientes</v>
      </c>
      <c r="H2626" s="36" t="s">
        <v>11</v>
      </c>
    </row>
    <row r="2627" customFormat="false" ht="14.25" hidden="false" customHeight="true" outlineLevel="0" collapsed="false">
      <c r="A2627" s="1" t="s">
        <v>49</v>
      </c>
      <c r="B2627" s="36" t="s">
        <v>155</v>
      </c>
      <c r="C2627" s="36" t="s">
        <v>172</v>
      </c>
      <c r="D2627" s="36" t="n">
        <v>4</v>
      </c>
      <c r="E2627" s="37" t="n">
        <v>50</v>
      </c>
      <c r="F2627" s="37" t="n">
        <f aca="false">IFERROR(D2627*E2627,0)</f>
        <v>200</v>
      </c>
      <c r="G2627" s="36" t="str">
        <f aca="false">INDEX(SETORES!$B:$B,MATCH(A2627,SETORES!$A:$A,0))</f>
        <v>Clientes</v>
      </c>
      <c r="H2627" s="36" t="s">
        <v>11</v>
      </c>
    </row>
    <row r="2628" customFormat="false" ht="14.25" hidden="false" customHeight="true" outlineLevel="0" collapsed="false">
      <c r="A2628" s="1" t="s">
        <v>49</v>
      </c>
      <c r="B2628" s="36" t="s">
        <v>155</v>
      </c>
      <c r="C2628" s="36" t="s">
        <v>172</v>
      </c>
      <c r="D2628" s="36" t="n">
        <v>4</v>
      </c>
      <c r="E2628" s="37" t="n">
        <v>50</v>
      </c>
      <c r="F2628" s="37" t="n">
        <f aca="false">IFERROR(D2628*E2628,0)</f>
        <v>200</v>
      </c>
      <c r="G2628" s="36" t="str">
        <f aca="false">INDEX(SETORES!$B:$B,MATCH(A2628,SETORES!$A:$A,0))</f>
        <v>Clientes</v>
      </c>
      <c r="H2628" s="36" t="s">
        <v>21</v>
      </c>
    </row>
    <row r="2629" customFormat="false" ht="14.25" hidden="false" customHeight="true" outlineLevel="0" collapsed="false">
      <c r="A2629" s="1" t="s">
        <v>49</v>
      </c>
      <c r="B2629" s="36" t="s">
        <v>155</v>
      </c>
      <c r="C2629" s="36" t="s">
        <v>172</v>
      </c>
      <c r="D2629" s="36" t="n">
        <v>4</v>
      </c>
      <c r="E2629" s="37" t="n">
        <v>50</v>
      </c>
      <c r="F2629" s="37" t="n">
        <f aca="false">IFERROR(D2629*E2629,0)</f>
        <v>200</v>
      </c>
      <c r="G2629" s="36" t="str">
        <f aca="false">INDEX(SETORES!$B:$B,MATCH(A2629,SETORES!$A:$A,0))</f>
        <v>Clientes</v>
      </c>
      <c r="H2629" s="36" t="s">
        <v>88</v>
      </c>
    </row>
    <row r="2630" customFormat="false" ht="14.25" hidden="false" customHeight="true" outlineLevel="0" collapsed="false">
      <c r="A2630" s="1" t="s">
        <v>139</v>
      </c>
      <c r="B2630" s="36" t="s">
        <v>155</v>
      </c>
      <c r="C2630" s="36" t="s">
        <v>172</v>
      </c>
      <c r="D2630" s="36" t="n">
        <v>5</v>
      </c>
      <c r="E2630" s="37" t="n">
        <v>50</v>
      </c>
      <c r="F2630" s="37" t="n">
        <f aca="false">IFERROR(D2630*E2630,0)</f>
        <v>250</v>
      </c>
      <c r="G2630" s="36" t="str">
        <f aca="false">INDEX(SETORES!$B:$B,MATCH(A2630,SETORES!$A:$A,0))</f>
        <v>Funcionários</v>
      </c>
      <c r="H2630" s="36" t="s">
        <v>20</v>
      </c>
    </row>
    <row r="2631" customFormat="false" ht="14.25" hidden="false" customHeight="true" outlineLevel="0" collapsed="false">
      <c r="A2631" s="1" t="s">
        <v>139</v>
      </c>
      <c r="B2631" s="36" t="s">
        <v>155</v>
      </c>
      <c r="C2631" s="36" t="s">
        <v>172</v>
      </c>
      <c r="D2631" s="36" t="n">
        <v>6</v>
      </c>
      <c r="E2631" s="37" t="n">
        <v>50</v>
      </c>
      <c r="F2631" s="37" t="n">
        <f aca="false">IFERROR(D2631*E2631,0)</f>
        <v>300</v>
      </c>
      <c r="G2631" s="36" t="str">
        <f aca="false">INDEX(SETORES!$B:$B,MATCH(A2631,SETORES!$A:$A,0))</f>
        <v>Funcionários</v>
      </c>
      <c r="H2631" s="36" t="s">
        <v>11</v>
      </c>
    </row>
    <row r="2632" customFormat="false" ht="14.25" hidden="false" customHeight="true" outlineLevel="0" collapsed="false">
      <c r="A2632" s="1" t="s">
        <v>139</v>
      </c>
      <c r="B2632" s="36" t="s">
        <v>155</v>
      </c>
      <c r="C2632" s="36" t="s">
        <v>172</v>
      </c>
      <c r="D2632" s="36" t="n">
        <v>6</v>
      </c>
      <c r="E2632" s="37" t="n">
        <v>50</v>
      </c>
      <c r="F2632" s="37" t="n">
        <f aca="false">IFERROR(D2632*E2632,0)</f>
        <v>300</v>
      </c>
      <c r="G2632" s="36" t="str">
        <f aca="false">INDEX(SETORES!$B:$B,MATCH(A2632,SETORES!$A:$A,0))</f>
        <v>Funcionários</v>
      </c>
      <c r="H2632" s="36" t="s">
        <v>21</v>
      </c>
    </row>
    <row r="2633" customFormat="false" ht="14.25" hidden="false" customHeight="true" outlineLevel="0" collapsed="false">
      <c r="A2633" s="1" t="s">
        <v>139</v>
      </c>
      <c r="B2633" s="36" t="s">
        <v>155</v>
      </c>
      <c r="C2633" s="36" t="s">
        <v>172</v>
      </c>
      <c r="D2633" s="36" t="n">
        <v>6</v>
      </c>
      <c r="E2633" s="37" t="n">
        <v>50</v>
      </c>
      <c r="F2633" s="37" t="n">
        <f aca="false">IFERROR(D2633*E2633,0)</f>
        <v>300</v>
      </c>
      <c r="G2633" s="36" t="str">
        <f aca="false">INDEX(SETORES!$B:$B,MATCH(A2633,SETORES!$A:$A,0))</f>
        <v>Funcionários</v>
      </c>
      <c r="H2633" s="36" t="s">
        <v>88</v>
      </c>
    </row>
    <row r="2634" customFormat="false" ht="14.25" hidden="false" customHeight="true" outlineLevel="0" collapsed="false">
      <c r="A2634" s="1" t="s">
        <v>35</v>
      </c>
      <c r="B2634" s="36" t="s">
        <v>155</v>
      </c>
      <c r="C2634" s="36" t="s">
        <v>183</v>
      </c>
      <c r="D2634" s="36" t="n">
        <v>5</v>
      </c>
      <c r="E2634" s="37" t="n">
        <v>7.57575757575758</v>
      </c>
      <c r="F2634" s="37" t="n">
        <f aca="false">IFERROR(D2634*E2634,0)</f>
        <v>37.8787878787879</v>
      </c>
      <c r="G2634" s="36" t="str">
        <f aca="false">INDEX(SETORES!$B:$B,MATCH(A2634,SETORES!$A:$A,0))</f>
        <v>Clientes</v>
      </c>
      <c r="H2634" s="36" t="s">
        <v>88</v>
      </c>
    </row>
    <row r="2635" customFormat="false" ht="14.25" hidden="false" customHeight="true" outlineLevel="0" collapsed="false">
      <c r="A2635" s="1" t="s">
        <v>84</v>
      </c>
      <c r="B2635" s="1" t="s">
        <v>155</v>
      </c>
      <c r="C2635" s="1" t="s">
        <v>245</v>
      </c>
      <c r="D2635" s="1" t="n">
        <v>1</v>
      </c>
      <c r="E2635" s="1" t="n">
        <v>12192.97</v>
      </c>
      <c r="F2635" s="1" t="n">
        <f aca="false">IFERROR(D2635*E2635,0)</f>
        <v>12192.97</v>
      </c>
      <c r="G2635" s="1" t="s">
        <v>97</v>
      </c>
      <c r="H2635" s="1" t="s">
        <v>21</v>
      </c>
    </row>
    <row r="2636" customFormat="false" ht="14.25" hidden="false" customHeight="true" outlineLevel="0" collapsed="false">
      <c r="A2636" s="1" t="s">
        <v>84</v>
      </c>
      <c r="B2636" s="1" t="s">
        <v>155</v>
      </c>
      <c r="C2636" s="1" t="s">
        <v>245</v>
      </c>
      <c r="D2636" s="1" t="n">
        <v>1</v>
      </c>
      <c r="E2636" s="1" t="n">
        <v>10824.96</v>
      </c>
      <c r="F2636" s="1" t="n">
        <f aca="false">IFERROR(D2636*E2636,0)</f>
        <v>10824.96</v>
      </c>
      <c r="G2636" s="1" t="s">
        <v>97</v>
      </c>
      <c r="H2636" s="1" t="s">
        <v>88</v>
      </c>
    </row>
    <row r="2637" customFormat="false" ht="14.25" hidden="false" customHeight="true" outlineLevel="0" collapsed="false">
      <c r="A2637" s="1" t="s">
        <v>82</v>
      </c>
      <c r="B2637" s="1" t="s">
        <v>155</v>
      </c>
      <c r="C2637" s="1" t="s">
        <v>245</v>
      </c>
      <c r="D2637" s="1" t="n">
        <v>1</v>
      </c>
      <c r="E2637" s="1" t="n">
        <v>4433.81</v>
      </c>
      <c r="F2637" s="1" t="n">
        <f aca="false">IFERROR(D2637*E2637,0)</f>
        <v>4433.81</v>
      </c>
      <c r="G2637" s="1" t="s">
        <v>97</v>
      </c>
      <c r="H2637" s="1" t="s">
        <v>21</v>
      </c>
    </row>
    <row r="2638" customFormat="false" ht="14.25" hidden="false" customHeight="true" outlineLevel="0" collapsed="false">
      <c r="A2638" s="1" t="s">
        <v>82</v>
      </c>
      <c r="B2638" s="1" t="s">
        <v>155</v>
      </c>
      <c r="C2638" s="1" t="s">
        <v>245</v>
      </c>
      <c r="D2638" s="1" t="n">
        <v>1</v>
      </c>
      <c r="E2638" s="1" t="n">
        <v>4510.4</v>
      </c>
      <c r="F2638" s="1" t="n">
        <f aca="false">IFERROR(D2638*E2638,0)</f>
        <v>4510.4</v>
      </c>
      <c r="G2638" s="1" t="s">
        <v>97</v>
      </c>
      <c r="H2638" s="1" t="s">
        <v>88</v>
      </c>
    </row>
    <row r="2639" customFormat="false" ht="14.25" hidden="false" customHeight="true" outlineLevel="0" collapsed="false">
      <c r="A2639" s="1" t="s">
        <v>86</v>
      </c>
      <c r="B2639" s="36" t="s">
        <v>155</v>
      </c>
      <c r="C2639" s="36" t="s">
        <v>171</v>
      </c>
      <c r="D2639" s="36" t="n">
        <v>11</v>
      </c>
      <c r="E2639" s="37" t="n">
        <v>14.043393</v>
      </c>
      <c r="F2639" s="37" t="n">
        <f aca="false">IFERROR(D2639*E2639,0)</f>
        <v>154.477323</v>
      </c>
      <c r="G2639" s="36" t="str">
        <f aca="false">INDEX(SETORES!$B:$B,MATCH(A2639,SETORES!$A:$A,0))</f>
        <v>Clientes</v>
      </c>
      <c r="H2639" s="36" t="s">
        <v>88</v>
      </c>
    </row>
    <row r="2640" customFormat="false" ht="14.25" hidden="false" customHeight="true" outlineLevel="0" collapsed="false">
      <c r="A2640" s="1" t="s">
        <v>81</v>
      </c>
      <c r="B2640" s="36" t="s">
        <v>155</v>
      </c>
      <c r="C2640" s="36" t="s">
        <v>171</v>
      </c>
      <c r="D2640" s="36" t="n">
        <v>3</v>
      </c>
      <c r="E2640" s="37" t="n">
        <v>14.043393</v>
      </c>
      <c r="F2640" s="37" t="n">
        <f aca="false">IFERROR(D2640*E2640,0)</f>
        <v>42.130179</v>
      </c>
      <c r="G2640" s="36" t="str">
        <f aca="false">INDEX(SETORES!$B:$B,MATCH(A2640,SETORES!$A:$A,0))</f>
        <v>Clientes</v>
      </c>
      <c r="H2640" s="36" t="s">
        <v>88</v>
      </c>
    </row>
    <row r="2641" customFormat="false" ht="14.25" hidden="false" customHeight="true" outlineLevel="0" collapsed="false">
      <c r="A2641" s="1" t="s">
        <v>143</v>
      </c>
      <c r="B2641" s="36" t="s">
        <v>155</v>
      </c>
      <c r="C2641" s="36" t="s">
        <v>171</v>
      </c>
      <c r="D2641" s="36" t="n">
        <v>10</v>
      </c>
      <c r="E2641" s="37" t="n">
        <v>48.73907</v>
      </c>
      <c r="F2641" s="37" t="n">
        <f aca="false">IFERROR(D2641*E2641,0)</f>
        <v>487.3907</v>
      </c>
      <c r="G2641" s="36" t="str">
        <f aca="false">INDEX(SETORES!$B:$B,MATCH(A2641,SETORES!$A:$A,0))</f>
        <v>Clientes</v>
      </c>
      <c r="H2641" s="36" t="s">
        <v>88</v>
      </c>
    </row>
    <row r="2642" customFormat="false" ht="14.25" hidden="false" customHeight="true" outlineLevel="0" collapsed="false">
      <c r="A2642" s="1" t="s">
        <v>146</v>
      </c>
      <c r="B2642" s="36" t="s">
        <v>155</v>
      </c>
      <c r="C2642" s="36" t="s">
        <v>171</v>
      </c>
      <c r="D2642" s="36" t="n">
        <v>3</v>
      </c>
      <c r="E2642" s="37" t="n">
        <v>48.73907</v>
      </c>
      <c r="F2642" s="37" t="n">
        <f aca="false">IFERROR(D2642*E2642,0)</f>
        <v>146.21721</v>
      </c>
      <c r="G2642" s="36" t="str">
        <f aca="false">INDEX(SETORES!$B:$B,MATCH(A2642,SETORES!$A:$A,0))</f>
        <v>Clientes</v>
      </c>
      <c r="H2642" s="36" t="s">
        <v>88</v>
      </c>
    </row>
    <row r="2643" customFormat="false" ht="14.25" hidden="false" customHeight="true" outlineLevel="0" collapsed="false">
      <c r="A2643" s="1" t="s">
        <v>37</v>
      </c>
      <c r="B2643" s="36" t="s">
        <v>155</v>
      </c>
      <c r="C2643" s="36" t="s">
        <v>249</v>
      </c>
      <c r="D2643" s="36" t="n">
        <v>1</v>
      </c>
      <c r="E2643" s="37" t="n">
        <v>1641.88</v>
      </c>
      <c r="F2643" s="37" t="n">
        <f aca="false">IFERROR(D2643*E2643,0)</f>
        <v>1641.88</v>
      </c>
      <c r="G2643" s="36" t="str">
        <f aca="false">INDEX(SETORES!$B:$B,MATCH(A2643,SETORES!$A:$A,0))</f>
        <v>Clientes</v>
      </c>
      <c r="H2643" s="36" t="s">
        <v>88</v>
      </c>
    </row>
    <row r="2644" customFormat="false" ht="14.25" hidden="false" customHeight="true" outlineLevel="0" collapsed="false">
      <c r="A2644" s="1" t="s">
        <v>38</v>
      </c>
      <c r="B2644" s="36" t="s">
        <v>155</v>
      </c>
      <c r="C2644" s="36" t="s">
        <v>249</v>
      </c>
      <c r="D2644" s="36" t="n">
        <v>1</v>
      </c>
      <c r="E2644" s="37" t="n">
        <v>1641.85</v>
      </c>
      <c r="F2644" s="37" t="n">
        <f aca="false">IFERROR(D2644*E2644,0)</f>
        <v>1641.85</v>
      </c>
      <c r="G2644" s="36" t="str">
        <f aca="false">INDEX(SETORES!$B:$B,MATCH(A2644,SETORES!$A:$A,0))</f>
        <v>Clientes</v>
      </c>
      <c r="H2644" s="36" t="s">
        <v>88</v>
      </c>
    </row>
    <row r="2645" customFormat="false" ht="14.25" hidden="false" customHeight="true" outlineLevel="0" collapsed="false">
      <c r="A2645" s="1" t="s">
        <v>39</v>
      </c>
      <c r="B2645" s="36" t="s">
        <v>155</v>
      </c>
      <c r="C2645" s="36" t="s">
        <v>249</v>
      </c>
      <c r="D2645" s="36" t="n">
        <v>1</v>
      </c>
      <c r="E2645" s="37" t="n">
        <v>1641.85</v>
      </c>
      <c r="F2645" s="37" t="n">
        <f aca="false">IFERROR(D2645*E2645,0)</f>
        <v>1641.85</v>
      </c>
      <c r="G2645" s="36" t="str">
        <f aca="false">INDEX(SETORES!$B:$B,MATCH(A2645,SETORES!$A:$A,0))</f>
        <v>Clientes</v>
      </c>
      <c r="H2645" s="36" t="s">
        <v>88</v>
      </c>
    </row>
    <row r="2646" customFormat="false" ht="14.25" hidden="false" customHeight="true" outlineLevel="0" collapsed="false">
      <c r="A2646" s="1" t="s">
        <v>53</v>
      </c>
      <c r="B2646" s="36" t="s">
        <v>155</v>
      </c>
      <c r="C2646" s="36" t="s">
        <v>249</v>
      </c>
      <c r="D2646" s="36" t="n">
        <v>1</v>
      </c>
      <c r="E2646" s="37" t="n">
        <v>1641.85</v>
      </c>
      <c r="F2646" s="37" t="n">
        <f aca="false">IFERROR(D2646*E2646,0)</f>
        <v>1641.85</v>
      </c>
      <c r="G2646" s="36" t="str">
        <f aca="false">INDEX(SETORES!$B:$B,MATCH(A2646,SETORES!$A:$A,0))</f>
        <v>Clientes</v>
      </c>
      <c r="H2646" s="36" t="s">
        <v>88</v>
      </c>
    </row>
    <row r="2647" customFormat="false" ht="14.25" hidden="false" customHeight="true" outlineLevel="0" collapsed="false">
      <c r="A2647" s="1" t="s">
        <v>52</v>
      </c>
      <c r="B2647" s="36" t="s">
        <v>155</v>
      </c>
      <c r="C2647" s="36" t="s">
        <v>249</v>
      </c>
      <c r="D2647" s="36" t="n">
        <v>1</v>
      </c>
      <c r="E2647" s="37" t="n">
        <v>1641.85</v>
      </c>
      <c r="F2647" s="37" t="n">
        <f aca="false">IFERROR(D2647*E2647,0)</f>
        <v>1641.85</v>
      </c>
      <c r="G2647" s="36" t="str">
        <f aca="false">INDEX(SETORES!$B:$B,MATCH(A2647,SETORES!$A:$A,0))</f>
        <v>Clientes</v>
      </c>
      <c r="H2647" s="36" t="s">
        <v>88</v>
      </c>
    </row>
    <row r="2648" customFormat="false" ht="14.25" hidden="false" customHeight="true" outlineLevel="0" collapsed="false">
      <c r="A2648" s="1" t="s">
        <v>51</v>
      </c>
      <c r="B2648" s="36" t="s">
        <v>155</v>
      </c>
      <c r="C2648" s="36" t="s">
        <v>249</v>
      </c>
      <c r="D2648" s="36" t="n">
        <v>1</v>
      </c>
      <c r="E2648" s="37" t="n">
        <v>1641.85</v>
      </c>
      <c r="F2648" s="37" t="n">
        <f aca="false">IFERROR(D2648*E2648,0)</f>
        <v>1641.85</v>
      </c>
      <c r="G2648" s="36" t="str">
        <f aca="false">INDEX(SETORES!$B:$B,MATCH(A2648,SETORES!$A:$A,0))</f>
        <v>Clientes</v>
      </c>
      <c r="H2648" s="36" t="s">
        <v>88</v>
      </c>
    </row>
    <row r="2649" customFormat="false" ht="14.25" hidden="false" customHeight="true" outlineLevel="0" collapsed="false">
      <c r="A2649" s="1" t="s">
        <v>37</v>
      </c>
      <c r="B2649" s="36" t="s">
        <v>155</v>
      </c>
      <c r="C2649" s="36" t="s">
        <v>239</v>
      </c>
      <c r="D2649" s="36" t="n">
        <v>1</v>
      </c>
      <c r="E2649" s="37" t="n">
        <v>1999.114744</v>
      </c>
      <c r="F2649" s="37" t="n">
        <f aca="false">IFERROR(D2649*E2649,0)</f>
        <v>1999.114744</v>
      </c>
      <c r="G2649" s="36" t="str">
        <f aca="false">INDEX(SETORES!$B:$B,MATCH(A2649,SETORES!$A:$A,0))</f>
        <v>Clientes</v>
      </c>
      <c r="H2649" s="36" t="s">
        <v>88</v>
      </c>
    </row>
    <row r="2650" customFormat="false" ht="14.25" hidden="false" customHeight="true" outlineLevel="0" collapsed="false">
      <c r="A2650" s="1" t="s">
        <v>38</v>
      </c>
      <c r="B2650" s="36" t="s">
        <v>155</v>
      </c>
      <c r="C2650" s="36" t="s">
        <v>239</v>
      </c>
      <c r="D2650" s="36" t="n">
        <v>1</v>
      </c>
      <c r="E2650" s="37" t="n">
        <v>499.778686</v>
      </c>
      <c r="F2650" s="37" t="n">
        <f aca="false">IFERROR(D2650*E2650,0)</f>
        <v>499.778686</v>
      </c>
      <c r="G2650" s="36" t="str">
        <f aca="false">INDEX(SETORES!$B:$B,MATCH(A2650,SETORES!$A:$A,0))</f>
        <v>Clientes</v>
      </c>
      <c r="H2650" s="36" t="s">
        <v>88</v>
      </c>
    </row>
    <row r="2651" customFormat="false" ht="14.25" hidden="false" customHeight="true" outlineLevel="0" collapsed="false">
      <c r="A2651" s="1" t="s">
        <v>39</v>
      </c>
      <c r="B2651" s="36" t="s">
        <v>155</v>
      </c>
      <c r="C2651" s="36" t="s">
        <v>239</v>
      </c>
      <c r="D2651" s="36" t="n">
        <v>1</v>
      </c>
      <c r="E2651" s="37" t="n">
        <v>636.081964</v>
      </c>
      <c r="F2651" s="37" t="n">
        <f aca="false">IFERROR(D2651*E2651,0)</f>
        <v>636.081964</v>
      </c>
      <c r="G2651" s="36" t="str">
        <f aca="false">INDEX(SETORES!$B:$B,MATCH(A2651,SETORES!$A:$A,0))</f>
        <v>Clientes</v>
      </c>
      <c r="H2651" s="36" t="s">
        <v>88</v>
      </c>
    </row>
    <row r="2652" customFormat="false" ht="14.25" hidden="false" customHeight="true" outlineLevel="0" collapsed="false">
      <c r="A2652" s="1" t="s">
        <v>53</v>
      </c>
      <c r="B2652" s="36" t="s">
        <v>155</v>
      </c>
      <c r="C2652" s="36" t="s">
        <v>239</v>
      </c>
      <c r="D2652" s="36" t="n">
        <v>1</v>
      </c>
      <c r="E2652" s="37" t="n">
        <v>1453.901632</v>
      </c>
      <c r="F2652" s="37" t="n">
        <f aca="false">IFERROR(D2652*E2652,0)</f>
        <v>1453.901632</v>
      </c>
      <c r="G2652" s="36" t="str">
        <f aca="false">INDEX(SETORES!$B:$B,MATCH(A2652,SETORES!$A:$A,0))</f>
        <v>Clientes</v>
      </c>
      <c r="H2652" s="36" t="s">
        <v>88</v>
      </c>
    </row>
    <row r="2653" customFormat="false" ht="14.25" hidden="false" customHeight="true" outlineLevel="0" collapsed="false">
      <c r="A2653" s="1" t="s">
        <v>52</v>
      </c>
      <c r="B2653" s="36" t="s">
        <v>155</v>
      </c>
      <c r="C2653" s="36" t="s">
        <v>239</v>
      </c>
      <c r="D2653" s="36" t="n">
        <v>1</v>
      </c>
      <c r="E2653" s="37" t="n">
        <v>363.475408</v>
      </c>
      <c r="F2653" s="37" t="n">
        <f aca="false">IFERROR(D2653*E2653,0)</f>
        <v>363.475408</v>
      </c>
      <c r="G2653" s="36" t="str">
        <f aca="false">INDEX(SETORES!$B:$B,MATCH(A2653,SETORES!$A:$A,0))</f>
        <v>Clientes</v>
      </c>
      <c r="H2653" s="36" t="s">
        <v>88</v>
      </c>
    </row>
    <row r="2654" customFormat="false" ht="14.25" hidden="false" customHeight="true" outlineLevel="0" collapsed="false">
      <c r="A2654" s="1" t="s">
        <v>51</v>
      </c>
      <c r="B2654" s="36" t="s">
        <v>155</v>
      </c>
      <c r="C2654" s="36" t="s">
        <v>239</v>
      </c>
      <c r="D2654" s="36" t="n">
        <v>1</v>
      </c>
      <c r="E2654" s="37" t="n">
        <v>590.647538</v>
      </c>
      <c r="F2654" s="37" t="n">
        <f aca="false">IFERROR(D2654*E2654,0)</f>
        <v>590.647538</v>
      </c>
      <c r="G2654" s="36" t="str">
        <f aca="false">INDEX(SETORES!$B:$B,MATCH(A2654,SETORES!$A:$A,0))</f>
        <v>Clientes</v>
      </c>
      <c r="H2654" s="36" t="s">
        <v>88</v>
      </c>
    </row>
    <row r="2655" customFormat="false" ht="14.25" hidden="false" customHeight="true" outlineLevel="0" collapsed="false">
      <c r="A2655" s="1" t="s">
        <v>37</v>
      </c>
      <c r="B2655" s="36" t="s">
        <v>157</v>
      </c>
      <c r="C2655" s="36" t="s">
        <v>247</v>
      </c>
      <c r="D2655" s="36" t="n">
        <v>1</v>
      </c>
      <c r="E2655" s="37" t="n">
        <v>394.17</v>
      </c>
      <c r="F2655" s="37" t="n">
        <f aca="false">IFERROR(D2655*E2655,0)</f>
        <v>394.17</v>
      </c>
      <c r="G2655" s="36" t="str">
        <f aca="false">INDEX(SETORES!$B:$B,MATCH(A2655,SETORES!$A:$A,0))</f>
        <v>Clientes</v>
      </c>
      <c r="H2655" s="36" t="s">
        <v>88</v>
      </c>
    </row>
    <row r="2656" customFormat="false" ht="14.25" hidden="false" customHeight="true" outlineLevel="0" collapsed="false">
      <c r="A2656" s="1" t="s">
        <v>38</v>
      </c>
      <c r="B2656" s="36" t="s">
        <v>157</v>
      </c>
      <c r="C2656" s="36" t="s">
        <v>247</v>
      </c>
      <c r="D2656" s="36" t="n">
        <v>1</v>
      </c>
      <c r="E2656" s="37" t="n">
        <v>394.17</v>
      </c>
      <c r="F2656" s="37" t="n">
        <f aca="false">IFERROR(D2656*E2656,0)</f>
        <v>394.17</v>
      </c>
      <c r="G2656" s="36" t="str">
        <f aca="false">INDEX(SETORES!$B:$B,MATCH(A2656,SETORES!$A:$A,0))</f>
        <v>Clientes</v>
      </c>
      <c r="H2656" s="36" t="s">
        <v>88</v>
      </c>
    </row>
    <row r="2657" customFormat="false" ht="14.25" hidden="false" customHeight="true" outlineLevel="0" collapsed="false">
      <c r="A2657" s="1" t="s">
        <v>39</v>
      </c>
      <c r="B2657" s="36" t="s">
        <v>157</v>
      </c>
      <c r="C2657" s="36" t="s">
        <v>247</v>
      </c>
      <c r="D2657" s="36" t="n">
        <v>1</v>
      </c>
      <c r="E2657" s="37" t="n">
        <v>394.17</v>
      </c>
      <c r="F2657" s="37" t="n">
        <f aca="false">IFERROR(D2657*E2657,0)</f>
        <v>394.17</v>
      </c>
      <c r="G2657" s="36" t="str">
        <f aca="false">INDEX(SETORES!$B:$B,MATCH(A2657,SETORES!$A:$A,0))</f>
        <v>Clientes</v>
      </c>
      <c r="H2657" s="36" t="s">
        <v>88</v>
      </c>
    </row>
    <row r="2658" customFormat="false" ht="14.25" hidden="false" customHeight="true" outlineLevel="0" collapsed="false">
      <c r="A2658" s="1" t="s">
        <v>53</v>
      </c>
      <c r="B2658" s="36" t="s">
        <v>157</v>
      </c>
      <c r="C2658" s="36" t="s">
        <v>247</v>
      </c>
      <c r="D2658" s="36" t="n">
        <v>1</v>
      </c>
      <c r="E2658" s="37" t="n">
        <v>394.17</v>
      </c>
      <c r="F2658" s="37" t="n">
        <f aca="false">IFERROR(D2658*E2658,0)</f>
        <v>394.17</v>
      </c>
      <c r="G2658" s="36" t="str">
        <f aca="false">INDEX(SETORES!$B:$B,MATCH(A2658,SETORES!$A:$A,0))</f>
        <v>Clientes</v>
      </c>
      <c r="H2658" s="36" t="s">
        <v>88</v>
      </c>
    </row>
    <row r="2659" customFormat="false" ht="14.25" hidden="false" customHeight="true" outlineLevel="0" collapsed="false">
      <c r="A2659" s="1" t="s">
        <v>52</v>
      </c>
      <c r="B2659" s="36" t="s">
        <v>157</v>
      </c>
      <c r="C2659" s="36" t="s">
        <v>247</v>
      </c>
      <c r="D2659" s="36" t="n">
        <v>1</v>
      </c>
      <c r="E2659" s="37" t="n">
        <v>394.17</v>
      </c>
      <c r="F2659" s="37" t="n">
        <f aca="false">IFERROR(D2659*E2659,0)</f>
        <v>394.17</v>
      </c>
      <c r="G2659" s="36" t="str">
        <f aca="false">INDEX(SETORES!$B:$B,MATCH(A2659,SETORES!$A:$A,0))</f>
        <v>Clientes</v>
      </c>
      <c r="H2659" s="36" t="s">
        <v>88</v>
      </c>
    </row>
    <row r="2660" customFormat="false" ht="14.25" hidden="false" customHeight="true" outlineLevel="0" collapsed="false">
      <c r="A2660" s="1" t="s">
        <v>51</v>
      </c>
      <c r="B2660" s="36" t="s">
        <v>157</v>
      </c>
      <c r="C2660" s="36" t="s">
        <v>247</v>
      </c>
      <c r="D2660" s="36" t="n">
        <v>1</v>
      </c>
      <c r="E2660" s="37" t="n">
        <v>394.17</v>
      </c>
      <c r="F2660" s="37" t="n">
        <f aca="false">IFERROR(D2660*E2660,0)</f>
        <v>394.17</v>
      </c>
      <c r="G2660" s="36" t="str">
        <f aca="false">INDEX(SETORES!$B:$B,MATCH(A2660,SETORES!$A:$A,0))</f>
        <v>Clientes</v>
      </c>
      <c r="H2660" s="36" t="s">
        <v>88</v>
      </c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false" showRowColHeaders="true" showZeros="true" rightToLeft="false" tabSelected="false" showOutlineSymbols="true" defaultGridColor="true" view="normal" topLeftCell="A26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259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260</v>
      </c>
      <c r="C3" s="6" t="s">
        <v>261</v>
      </c>
      <c r="D3" s="6" t="s">
        <v>262</v>
      </c>
      <c r="E3" s="6" t="s">
        <v>263</v>
      </c>
      <c r="F3" s="6" t="s">
        <v>264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78445.7651345467</v>
      </c>
      <c r="C4" s="21" t="n">
        <f aca="false">SUMIFS(PARÂMETROS!$H:$H,PARÂMETROS!$C:$C,A4,PARÂMETROS!$J:$J,G4)</f>
        <v>0</v>
      </c>
      <c r="D4" s="21" t="n">
        <f aca="false">SUMIFS('COMERCIAL VAREJO'!$H:$H,'COMERCIAL VAREJO'!$B:$B,IF(A4="Empresa Licenciada DX2","DX2",IF(A4="Empresa Licenciada H&amp;A","H&amp;A",IF(A4="Empresa Licenciada SOLON ARAUJO","Solon Araújo",IF(A4="Empresa Licenciada SOARES E LINS","Soares e Lins",IF(A4="Empresa Licenciada SOARES E SILVA","Soares e Silva",IF(A4="Empresa Licenciada SOUZA E SILVA","Souza e Silva",IF(A4="Empresa Licenciada VOICENET","Voicenet",IF(A4="DTEL (uso próprio)","DTEL",A4)))))))),'COMERCIAL VAREJO'!$A:$A,G4,'COMERCIAL VAREJO'!$C:$C,"&lt;&gt;")</f>
        <v>55190.95</v>
      </c>
      <c r="E4" s="21" t="n">
        <f aca="false">B4+C4+D4</f>
        <v>133636.715134547</v>
      </c>
      <c r="F4" s="11" t="n">
        <f aca="false">IFERROR(B4/B$12,0)</f>
        <v>0.0318783370929359</v>
      </c>
      <c r="G4" s="46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155392.373314404</v>
      </c>
      <c r="C5" s="22" t="n">
        <f aca="false">SUMIFS(PARÂMETROS!$H:$H,PARÂMETROS!$C:$C,A5,PARÂMETROS!$J:$J,G5)</f>
        <v>0</v>
      </c>
      <c r="D5" s="22" t="n">
        <f aca="false">SUMIFS('COMERCIAL VAREJO'!$H:$H,'COMERCIAL VAREJO'!$B:$B,IF(A5="Empresa Licenciada DX2","DX2",IF(A5="Empresa Licenciada H&amp;A","H&amp;A",IF(A5="Empresa Licenciada SOLON ARAUJO","Solon Araújo",IF(A5="Empresa Licenciada SOARES E LINS","Soares e Lins",IF(A5="Empresa Licenciada SOARES E SILVA","Soares e Silva",IF(A5="Empresa Licenciada SOUZA E SILVA","Souza e Silva",IF(A5="Empresa Licenciada VOICENET","Voicenet",IF(A5="DTEL (uso próprio)","DTEL",A5)))))))),'COMERCIAL VAREJO'!$A:$A,G5,'COMERCIAL VAREJO'!$C:$C,"&lt;&gt;")</f>
        <v>0</v>
      </c>
      <c r="E5" s="22" t="n">
        <f aca="false">B5+C5+D5</f>
        <v>155392.373314404</v>
      </c>
      <c r="F5" s="16" t="n">
        <f aca="false">IFERROR(B5/B$12,0)</f>
        <v>0.0631474554386925</v>
      </c>
      <c r="G5" s="66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176926.215006392</v>
      </c>
      <c r="C6" s="21" t="n">
        <f aca="false">SUMIFS(PARÂMETROS!$H:$H,PARÂMETROS!$C:$C,A6,PARÂMETROS!$J:$J,G6)</f>
        <v>0</v>
      </c>
      <c r="D6" s="21" t="n">
        <f aca="false">SUMIFS('COMERCIAL VAREJO'!$H:$H,'COMERCIAL VAREJO'!$B:$B,IF(A6="Empresa Licenciada DX2","DX2",IF(A6="Empresa Licenciada H&amp;A","H&amp;A",IF(A6="Empresa Licenciada SOLON ARAUJO","Solon Araújo",IF(A6="Empresa Licenciada SOARES E LINS","Soares e Lins",IF(A6="Empresa Licenciada SOARES E SILVA","Soares e Silva",IF(A6="Empresa Licenciada SOUZA E SILVA","Souza e Silva",IF(A6="Empresa Licenciada VOICENET","Voicenet",IF(A6="DTEL (uso próprio)","DTEL",A6)))))))),'COMERCIAL VAREJO'!$A:$A,G6,'COMERCIAL VAREJO'!$C:$C,"&lt;&gt;")</f>
        <v>4567.99</v>
      </c>
      <c r="E6" s="21" t="n">
        <f aca="false">B6+C6+D6</f>
        <v>181494.205006392</v>
      </c>
      <c r="F6" s="11" t="n">
        <f aca="false">IFERROR(B6/B$12,0)</f>
        <v>0.0718982536900158</v>
      </c>
      <c r="G6" s="46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45426.6032416391</v>
      </c>
      <c r="C7" s="22" t="n">
        <f aca="false">SUMIFS(PARÂMETROS!$H:$H,PARÂMETROS!$C:$C,A7,PARÂMETROS!$J:$J,G7)</f>
        <v>0</v>
      </c>
      <c r="D7" s="22" t="n">
        <f aca="false">SUMIFS('COMERCIAL VAREJO'!$H:$H,'COMERCIAL VAREJO'!$B:$B,IF(A7="Empresa Licenciada DX2","DX2",IF(A7="Empresa Licenciada H&amp;A","H&amp;A",IF(A7="Empresa Licenciada SOLON ARAUJO","Solon Araújo",IF(A7="Empresa Licenciada SOARES E LINS","Soares e Lins",IF(A7="Empresa Licenciada SOARES E SILVA","Soares e Silva",IF(A7="Empresa Licenciada SOUZA E SILVA","Souza e Silva",IF(A7="Empresa Licenciada VOICENET","Voicenet",IF(A7="DTEL (uso próprio)","DTEL",A7)))))))),'COMERCIAL VAREJO'!$A:$A,G7,'COMERCIAL VAREJO'!$C:$C,"&lt;&gt;")</f>
        <v>3703.62</v>
      </c>
      <c r="E7" s="22" t="n">
        <f aca="false">B7+C7+D7</f>
        <v>49130.2232416391</v>
      </c>
      <c r="F7" s="16" t="n">
        <f aca="false">IFERROR(B7/B$12,0)</f>
        <v>0.0184602007341029</v>
      </c>
      <c r="G7" s="66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83585.9343885297</v>
      </c>
      <c r="C8" s="21" t="n">
        <f aca="false">SUMIFS(PARÂMETROS!$H:$H,PARÂMETROS!$C:$C,A8,PARÂMETROS!$J:$J,G8)</f>
        <v>0</v>
      </c>
      <c r="D8" s="21" t="n">
        <f aca="false">SUMIFS('COMERCIAL VAREJO'!$H:$H,'COMERCIAL VAREJO'!$B:$B,IF(A8="Empresa Licenciada DX2","DX2",IF(A8="Empresa Licenciada H&amp;A","H&amp;A",IF(A8="Empresa Licenciada SOLON ARAUJO","Solon Araújo",IF(A8="Empresa Licenciada SOARES E LINS","Soares e Lins",IF(A8="Empresa Licenciada SOARES E SILVA","Soares e Silva",IF(A8="Empresa Licenciada SOUZA E SILVA","Souza e Silva",IF(A8="Empresa Licenciada VOICENET","Voicenet",IF(A8="DTEL (uso próprio)","DTEL",A8)))))))),'COMERCIAL VAREJO'!$A:$A,G8,'COMERCIAL VAREJO'!$C:$C,"&lt;&gt;")</f>
        <v>51105.36</v>
      </c>
      <c r="E8" s="21" t="n">
        <f aca="false">B8+C8+D8</f>
        <v>134691.29438853</v>
      </c>
      <c r="F8" s="11" t="n">
        <f aca="false">IFERROR(B8/B$12,0)</f>
        <v>0.0339671693952555</v>
      </c>
      <c r="G8" s="46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56361.5311465645</v>
      </c>
      <c r="C9" s="22" t="n">
        <f aca="false">SUMIFS(PARÂMETROS!$H:$H,PARÂMETROS!$C:$C,A9,PARÂMETROS!$J:$J,G9)</f>
        <v>0</v>
      </c>
      <c r="D9" s="22" t="n">
        <f aca="false">SUMIFS('COMERCIAL VAREJO'!$H:$H,'COMERCIAL VAREJO'!$B:$B,IF(A9="Empresa Licenciada DX2","DX2",IF(A9="Empresa Licenciada H&amp;A","H&amp;A",IF(A9="Empresa Licenciada SOLON ARAUJO","Solon Araújo",IF(A9="Empresa Licenciada SOARES E LINS","Soares e Lins",IF(A9="Empresa Licenciada SOARES E SILVA","Soares e Silva",IF(A9="Empresa Licenciada SOUZA E SILVA","Souza e Silva",IF(A9="Empresa Licenciada VOICENET","Voicenet",IF(A9="DTEL (uso próprio)","DTEL",A9)))))))),'COMERCIAL VAREJO'!$A:$A,G9,'COMERCIAL VAREJO'!$C:$C,"&lt;&gt;")</f>
        <v>16536.47</v>
      </c>
      <c r="E9" s="22" t="n">
        <f aca="false">B9+C9+D9</f>
        <v>72898.0011465645</v>
      </c>
      <c r="F9" s="16" t="n">
        <f aca="false">IFERROR(B9/B$12,0)</f>
        <v>0.0229038735983077</v>
      </c>
      <c r="G9" s="66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59370.8472135627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VAREJO'!$B:$B,IF(A10="Empresa Licenciada DX2","DX2",IF(A10="Empresa Licenciada H&amp;A","H&amp;A",IF(A10="Empresa Licenciada SOLON ARAUJO","Solon Araújo",IF(A10="Empresa Licenciada SOARES E LINS","Soares e Lins",IF(A10="Empresa Licenciada SOARES E SILVA","Soares e Silva",IF(A10="Empresa Licenciada SOUZA E SILVA","Souza e Silva",IF(A10="Empresa Licenciada VOICENET","Voicenet",IF(A10="DTEL (uso próprio)","DTEL",A10)))))))),'COMERCIAL VAREJO'!$A:$A,G10,'COMERCIAL VAREJO'!$C:$C,"&lt;&gt;")</f>
        <v>5002.14</v>
      </c>
      <c r="E10" s="21" t="n">
        <f aca="false">B10+C10+D10</f>
        <v>64372.9872135627</v>
      </c>
      <c r="F10" s="11" t="n">
        <f aca="false">IFERROR(B10/B$12,0)</f>
        <v>0.0241267820859541</v>
      </c>
      <c r="G10" s="46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1805276.71527656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VAREJO'!$B:$B,IF(A11="Empresa Licenciada DX2","DX2",IF(A11="Empresa Licenciada H&amp;A","H&amp;A",IF(A11="Empresa Licenciada SOLON ARAUJO","Solon Araújo",IF(A11="Empresa Licenciada SOARES E LINS","Soares e Lins",IF(A11="Empresa Licenciada SOARES E SILVA","Soares e Silva",IF(A11="Empresa Licenciada SOUZA E SILVA","Souza e Silva",IF(A11="Empresa Licenciada VOICENET","Voicenet",IF(A11="DTEL (uso próprio)","DTEL",A11)))))))),'COMERCIAL VAREJO'!$A:$A,G11,'COMERCIAL VAREJO'!$C:$C,"&lt;&gt;")</f>
        <v>393333.919173333</v>
      </c>
      <c r="E11" s="22" t="n">
        <f aca="false">B11+C11+D11</f>
        <v>2198610.6344499</v>
      </c>
      <c r="F11" s="16" t="n">
        <f aca="false">IFERROR(B11/B$12,0)</f>
        <v>0.733617927964736</v>
      </c>
      <c r="G11" s="66" t="s">
        <v>11</v>
      </c>
    </row>
    <row r="12" customFormat="false" ht="15" hidden="false" customHeight="true" outlineLevel="0" collapsed="false">
      <c r="A12" s="32" t="s">
        <v>136</v>
      </c>
      <c r="B12" s="34" t="n">
        <f aca="false">SUM(B4:B11)</f>
        <v>2460785.9847222</v>
      </c>
      <c r="C12" s="34" t="n">
        <f aca="false">SUM(C4:C11)</f>
        <v>0</v>
      </c>
      <c r="D12" s="34" t="n">
        <f aca="false">SUM(D4:D11)</f>
        <v>529440.449173333</v>
      </c>
      <c r="E12" s="34" t="n">
        <f aca="false">SUM(E4:E11)</f>
        <v>2990226.43389554</v>
      </c>
      <c r="F12" s="32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67161.2251466912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VAREJO'!$B:$B,IF(A14="Empresa Licenciada DX2","DX2",IF(A14="Empresa Licenciada H&amp;A","H&amp;A",IF(A14="Empresa Licenciada SOLON ARAUJO","Solon Araújo",IF(A14="Empresa Licenciada SOARES E LINS","Soares e Lins",IF(A14="Empresa Licenciada SOARES E SILVA","Soares e Silva",IF(A14="Empresa Licenciada SOUZA E SILVA","Souza e Silva",IF(A14="Empresa Licenciada VOICENET","Voicenet",IF(A14="DTEL (uso próprio)","DTEL",A14)))))))),'COMERCIAL VAREJO'!$A:$A,G14,'COMERCIAL VAREJO'!$C:$C,"&lt;&gt;")</f>
        <v>46455.88</v>
      </c>
      <c r="E14" s="21" t="n">
        <f aca="false">B14+C14+D14</f>
        <v>113617.105146691</v>
      </c>
      <c r="F14" s="11" t="n">
        <f aca="false">IFERROR(B14/B$22,0)</f>
        <v>0.031668729541462</v>
      </c>
      <c r="G14" s="46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136266.065443696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VAREJO'!$B:$B,IF(A15="Empresa Licenciada DX2","DX2",IF(A15="Empresa Licenciada H&amp;A","H&amp;A",IF(A15="Empresa Licenciada SOLON ARAUJO","Solon Araújo",IF(A15="Empresa Licenciada SOARES E LINS","Soares e Lins",IF(A15="Empresa Licenciada SOARES E SILVA","Soares e Silva",IF(A15="Empresa Licenciada SOUZA E SILVA","Souza e Silva",IF(A15="Empresa Licenciada VOICENET","Voicenet",IF(A15="DTEL (uso próprio)","DTEL",A15)))))))),'COMERCIAL VAREJO'!$A:$A,G15,'COMERCIAL VAREJO'!$C:$C,"&lt;&gt;")</f>
        <v>0</v>
      </c>
      <c r="E15" s="22" t="n">
        <f aca="false">B15+C15+D15</f>
        <v>136266.065443696</v>
      </c>
      <c r="F15" s="16" t="n">
        <f aca="false">IFERROR(B15/B$22,0)</f>
        <v>0.0642539376372314</v>
      </c>
      <c r="G15" s="66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154068.108061756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VAREJO'!$B:$B,IF(A16="Empresa Licenciada DX2","DX2",IF(A16="Empresa Licenciada H&amp;A","H&amp;A",IF(A16="Empresa Licenciada SOLON ARAUJO","Solon Araújo",IF(A16="Empresa Licenciada SOARES E LINS","Soares e Lins",IF(A16="Empresa Licenciada SOARES E SILVA","Soares e Silva",IF(A16="Empresa Licenciada SOUZA E SILVA","Souza e Silva",IF(A16="Empresa Licenciada VOICENET","Voicenet",IF(A16="DTEL (uso próprio)","DTEL",A16)))))))),'COMERCIAL VAREJO'!$A:$A,G16,'COMERCIAL VAREJO'!$C:$C,"&lt;&gt;")</f>
        <v>5633.61</v>
      </c>
      <c r="E16" s="21" t="n">
        <f aca="false">B16+C16+D16</f>
        <v>159701.718061756</v>
      </c>
      <c r="F16" s="11" t="n">
        <f aca="false">IFERROR(B16/B$22,0)</f>
        <v>0.0726481870233254</v>
      </c>
      <c r="G16" s="46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39293.8968903291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VAREJO'!$B:$B,IF(A17="Empresa Licenciada DX2","DX2",IF(A17="Empresa Licenciada H&amp;A","H&amp;A",IF(A17="Empresa Licenciada SOLON ARAUJO","Solon Araújo",IF(A17="Empresa Licenciada SOARES E LINS","Soares e Lins",IF(A17="Empresa Licenciada SOARES E SILVA","Soares e Silva",IF(A17="Empresa Licenciada SOUZA E SILVA","Souza e Silva",IF(A17="Empresa Licenciada VOICENET","Voicenet",IF(A17="DTEL (uso próprio)","DTEL",A17)))))))),'COMERCIAL VAREJO'!$A:$A,G17,'COMERCIAL VAREJO'!$C:$C,"&lt;&gt;")</f>
        <v>3712.16</v>
      </c>
      <c r="E17" s="22" t="n">
        <f aca="false">B17+C17+D17</f>
        <v>43006.0568903291</v>
      </c>
      <c r="F17" s="16" t="n">
        <f aca="false">IFERROR(B17/B$22,0)</f>
        <v>0.0185283664872399</v>
      </c>
      <c r="G17" s="66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72898.3765835013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VAREJO'!$B:$B,IF(A18="Empresa Licenciada DX2","DX2",IF(A18="Empresa Licenciada H&amp;A","H&amp;A",IF(A18="Empresa Licenciada SOLON ARAUJO","Solon Araújo",IF(A18="Empresa Licenciada SOARES E LINS","Soares e Lins",IF(A18="Empresa Licenciada SOARES E SILVA","Soares e Silva",IF(A18="Empresa Licenciada SOUZA E SILVA","Souza e Silva",IF(A18="Empresa Licenciada VOICENET","Voicenet",IF(A18="DTEL (uso próprio)","DTEL",A18)))))))),'COMERCIAL VAREJO'!$A:$A,G18,'COMERCIAL VAREJO'!$C:$C,"&lt;&gt;")</f>
        <v>55769.13</v>
      </c>
      <c r="E18" s="21" t="n">
        <f aca="false">B18+C18+D18</f>
        <v>128667.506583501</v>
      </c>
      <c r="F18" s="11" t="n">
        <f aca="false">IFERROR(B18/B$22,0)</f>
        <v>0.0343739853910078</v>
      </c>
      <c r="G18" s="46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49097.3465836279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VAREJO'!$B:$B,IF(A19="Empresa Licenciada DX2","DX2",IF(A19="Empresa Licenciada H&amp;A","H&amp;A",IF(A19="Empresa Licenciada SOLON ARAUJO","Solon Araújo",IF(A19="Empresa Licenciada SOARES E LINS","Soares e Lins",IF(A19="Empresa Licenciada SOARES E SILVA","Soares e Silva",IF(A19="Empresa Licenciada SOUZA E SILVA","Souza e Silva",IF(A19="Empresa Licenciada VOICENET","Voicenet",IF(A19="DTEL (uso próprio)","DTEL",A19)))))))),'COMERCIAL VAREJO'!$A:$A,G19,'COMERCIAL VAREJO'!$C:$C,"&lt;&gt;")</f>
        <v>16537.16</v>
      </c>
      <c r="E19" s="22" t="n">
        <f aca="false">B19+C19+D19</f>
        <v>65634.5065836279</v>
      </c>
      <c r="F19" s="16" t="n">
        <f aca="false">IFERROR(B19/B$22,0)</f>
        <v>0.0231510158840057</v>
      </c>
      <c r="G19" s="66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52474.551719435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VAREJO'!$B:$B,IF(A20="Empresa Licenciada DX2","DX2",IF(A20="Empresa Licenciada H&amp;A","H&amp;A",IF(A20="Empresa Licenciada SOLON ARAUJO","Solon Araújo",IF(A20="Empresa Licenciada SOARES E LINS","Soares e Lins",IF(A20="Empresa Licenciada SOARES E SILVA","Soares e Silva",IF(A20="Empresa Licenciada SOUZA E SILVA","Souza e Silva",IF(A20="Empresa Licenciada VOICENET","Voicenet",IF(A20="DTEL (uso próprio)","DTEL",A20)))))))),'COMERCIAL VAREJO'!$A:$A,G20,'COMERCIAL VAREJO'!$C:$C,"&lt;&gt;")</f>
        <v>29714.07</v>
      </c>
      <c r="E20" s="21" t="n">
        <f aca="false">B20+C20+D20</f>
        <v>82188.621719435</v>
      </c>
      <c r="F20" s="11" t="n">
        <f aca="false">IFERROR(B20/B$22,0)</f>
        <v>0.0247434793302623</v>
      </c>
      <c r="G20" s="46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1549483.07125986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VAREJO'!$B:$B,IF(A21="Empresa Licenciada DX2","DX2",IF(A21="Empresa Licenciada H&amp;A","H&amp;A",IF(A21="Empresa Licenciada SOLON ARAUJO","Solon Araújo",IF(A21="Empresa Licenciada SOARES E LINS","Soares e Lins",IF(A21="Empresa Licenciada SOARES E SILVA","Soares e Silva",IF(A21="Empresa Licenciada SOUZA E SILVA","Souza e Silva",IF(A21="Empresa Licenciada VOICENET","Voicenet",IF(A21="DTEL (uso próprio)","DTEL",A21)))))))),'COMERCIAL VAREJO'!$A:$A,G21,'COMERCIAL VAREJO'!$C:$C,"&lt;&gt;")</f>
        <v>401481.659466667</v>
      </c>
      <c r="E21" s="22" t="n">
        <f aca="false">B21+C21+D21</f>
        <v>1950964.73072652</v>
      </c>
      <c r="F21" s="16" t="n">
        <f aca="false">IFERROR(B21/B$22,0)</f>
        <v>0.730632298705466</v>
      </c>
      <c r="G21" s="66" t="s">
        <v>20</v>
      </c>
    </row>
    <row r="22" customFormat="false" ht="15" hidden="false" customHeight="true" outlineLevel="0" collapsed="false">
      <c r="A22" s="32" t="s">
        <v>134</v>
      </c>
      <c r="B22" s="34" t="n">
        <f aca="false">SUM(B14:B21)</f>
        <v>2120742.64168889</v>
      </c>
      <c r="C22" s="34" t="n">
        <f aca="false">SUM(C14:C21)</f>
        <v>0</v>
      </c>
      <c r="D22" s="34" t="n">
        <f aca="false">SUM(D14:D21)</f>
        <v>559303.669466667</v>
      </c>
      <c r="E22" s="34" t="n">
        <f aca="false">SUM(E14:E21)</f>
        <v>2680046.31115556</v>
      </c>
      <c r="F22" s="32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82936.2498842296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VAREJO'!$B:$B,IF(A24="Empresa Licenciada DX2","DX2",IF(A24="Empresa Licenciada H&amp;A","H&amp;A",IF(A24="Empresa Licenciada SOLON ARAUJO","Solon Araújo",IF(A24="Empresa Licenciada SOARES E LINS","Soares e Lins",IF(A24="Empresa Licenciada SOARES E SILVA","Soares e Silva",IF(A24="Empresa Licenciada SOUZA E SILVA","Souza e Silva",IF(A24="Empresa Licenciada VOICENET","Voicenet",IF(A24="DTEL (uso próprio)","DTEL",A24)))))))),'COMERCIAL VAREJO'!$A:$A,G24,'COMERCIAL VAREJO'!$C:$C,"&lt;&gt;")</f>
        <v>56840.04</v>
      </c>
      <c r="E24" s="21" t="n">
        <f aca="false">B24+C24+D24</f>
        <v>139776.28988423</v>
      </c>
      <c r="F24" s="11" t="n">
        <f aca="false">IFERROR(B24/B$32,0)</f>
        <v>0.0316816856928505</v>
      </c>
      <c r="G24" s="46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150751.917742516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VAREJO'!$B:$B,IF(A25="Empresa Licenciada DX2","DX2",IF(A25="Empresa Licenciada H&amp;A","H&amp;A",IF(A25="Empresa Licenciada SOLON ARAUJO","Solon Araújo",IF(A25="Empresa Licenciada SOARES E LINS","Soares e Lins",IF(A25="Empresa Licenciada SOARES E SILVA","Soares e Silva",IF(A25="Empresa Licenciada SOUZA E SILVA","Souza e Silva",IF(A25="Empresa Licenciada VOICENET","Voicenet",IF(A25="DTEL (uso próprio)","DTEL",A25)))))))),'COMERCIAL VAREJO'!$A:$A,G25,'COMERCIAL VAREJO'!$C:$C,"&lt;&gt;")</f>
        <v>0</v>
      </c>
      <c r="E25" s="22" t="n">
        <f aca="false">B25+C25+D25</f>
        <v>150751.917742516</v>
      </c>
      <c r="F25" s="16" t="n">
        <f aca="false">IFERROR(B25/B$32,0)</f>
        <v>0.057587302080571</v>
      </c>
      <c r="G25" s="66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183159.009733561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VAREJO'!$B:$B,IF(A26="Empresa Licenciada DX2","DX2",IF(A26="Empresa Licenciada H&amp;A","H&amp;A",IF(A26="Empresa Licenciada SOLON ARAUJO","Solon Araújo",IF(A26="Empresa Licenciada SOARES E LINS","Soares e Lins",IF(A26="Empresa Licenciada SOARES E SILVA","Soares e Silva",IF(A26="Empresa Licenciada SOUZA E SILVA","Souza e Silva",IF(A26="Empresa Licenciada VOICENET","Voicenet",IF(A26="DTEL (uso próprio)","DTEL",A26)))))))),'COMERCIAL VAREJO'!$A:$A,G26,'COMERCIAL VAREJO'!$C:$C,"&lt;&gt;")</f>
        <v>0</v>
      </c>
      <c r="E26" s="21" t="n">
        <f aca="false">B26+C26+D26</f>
        <v>183159.009733561</v>
      </c>
      <c r="F26" s="11" t="n">
        <f aca="false">IFERROR(B26/B$32,0)</f>
        <v>0.0699668261621728</v>
      </c>
      <c r="G26" s="46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46652.7856713289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VAREJO'!$B:$B,IF(A27="Empresa Licenciada DX2","DX2",IF(A27="Empresa Licenciada H&amp;A","H&amp;A",IF(A27="Empresa Licenciada SOLON ARAUJO","Solon Araújo",IF(A27="Empresa Licenciada SOARES E LINS","Soares e Lins",IF(A27="Empresa Licenciada SOARES E SILVA","Soares e Silva",IF(A27="Empresa Licenciada SOUZA E SILVA","Souza e Silva",IF(A27="Empresa Licenciada VOICENET","Voicenet",IF(A27="DTEL (uso próprio)","DTEL",A27)))))))),'COMERCIAL VAREJO'!$A:$A,G27,'COMERCIAL VAREJO'!$C:$C,"&lt;&gt;")</f>
        <v>0</v>
      </c>
      <c r="E27" s="22" t="n">
        <f aca="false">B27+C27+D27</f>
        <v>46652.7856713289</v>
      </c>
      <c r="F27" s="16" t="n">
        <f aca="false">IFERROR(B27/B$32,0)</f>
        <v>0.0178213856353302</v>
      </c>
      <c r="G27" s="66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87199.2600261146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VAREJO'!$B:$B,IF(A28="Empresa Licenciada DX2","DX2",IF(A28="Empresa Licenciada H&amp;A","H&amp;A",IF(A28="Empresa Licenciada SOLON ARAUJO","Solon Araújo",IF(A28="Empresa Licenciada SOARES E LINS","Soares e Lins",IF(A28="Empresa Licenciada SOARES E SILVA","Soares e Silva",IF(A28="Empresa Licenciada SOUZA E SILVA","Souza e Silva",IF(A28="Empresa Licenciada VOICENET","Voicenet",IF(A28="DTEL (uso próprio)","DTEL",A28)))))))),'COMERCIAL VAREJO'!$A:$A,G28,'COMERCIAL VAREJO'!$C:$C,"&lt;&gt;")</f>
        <v>68923.66</v>
      </c>
      <c r="E28" s="21" t="n">
        <f aca="false">B28+C28+D28</f>
        <v>156122.920026115</v>
      </c>
      <c r="F28" s="11" t="n">
        <f aca="false">IFERROR(B28/B$32,0)</f>
        <v>0.0333101575324763</v>
      </c>
      <c r="G28" s="46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58584.126091956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VAREJO'!$B:$B,IF(A29="Empresa Licenciada DX2","DX2",IF(A29="Empresa Licenciada H&amp;A","H&amp;A",IF(A29="Empresa Licenciada SOLON ARAUJO","Solon Araújo",IF(A29="Empresa Licenciada SOARES E LINS","Soares e Lins",IF(A29="Empresa Licenciada SOARES E SILVA","Soares e Silva",IF(A29="Empresa Licenciada SOUZA E SILVA","Souza e Silva",IF(A29="Empresa Licenciada VOICENET","Voicenet",IF(A29="DTEL (uso próprio)","DTEL",A29)))))))),'COMERCIAL VAREJO'!$A:$A,G29,'COMERCIAL VAREJO'!$C:$C,"&lt;&gt;")</f>
        <v>14200.06</v>
      </c>
      <c r="E29" s="22" t="n">
        <f aca="false">B29+C29+D29</f>
        <v>72784.186091956</v>
      </c>
      <c r="F29" s="16" t="n">
        <f aca="false">IFERROR(B29/B$32,0)</f>
        <v>0.0223791631768559</v>
      </c>
      <c r="G29" s="66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62344.0423083788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VAREJO'!$B:$B,IF(A30="Empresa Licenciada DX2","DX2",IF(A30="Empresa Licenciada H&amp;A","H&amp;A",IF(A30="Empresa Licenciada SOLON ARAUJO","Solon Araújo",IF(A30="Empresa Licenciada SOARES E LINS","Soares e Lins",IF(A30="Empresa Licenciada SOARES E SILVA","Soares e Silva",IF(A30="Empresa Licenciada SOUZA E SILVA","Souza e Silva",IF(A30="Empresa Licenciada VOICENET","Voicenet",IF(A30="DTEL (uso próprio)","DTEL",A30)))))))),'COMERCIAL VAREJO'!$A:$A,G30,'COMERCIAL VAREJO'!$C:$C,"&lt;&gt;")</f>
        <v>8310.94</v>
      </c>
      <c r="E30" s="21" t="n">
        <f aca="false">B30+C30+D30</f>
        <v>70654.9823083788</v>
      </c>
      <c r="F30" s="11" t="n">
        <f aca="false">IFERROR(B30/B$32,0)</f>
        <v>0.0238154529050079</v>
      </c>
      <c r="G30" s="46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1946170.4962012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VAREJO'!$B:$B,IF(A31="Empresa Licenciada DX2","DX2",IF(A31="Empresa Licenciada H&amp;A","H&amp;A",IF(A31="Empresa Licenciada SOLON ARAUJO","Solon Araújo",IF(A31="Empresa Licenciada SOARES E LINS","Soares e Lins",IF(A31="Empresa Licenciada SOARES E SILVA","Soares e Silva",IF(A31="Empresa Licenciada SOUZA E SILVA","Souza e Silva",IF(A31="Empresa Licenciada VOICENET","Voicenet",IF(A31="DTEL (uso próprio)","DTEL",A31)))))))),'COMERCIAL VAREJO'!$A:$A,G31,'COMERCIAL VAREJO'!$C:$C,"&lt;&gt;")</f>
        <v>394408.42856</v>
      </c>
      <c r="E31" s="22" t="n">
        <f aca="false">B31+C31+D31</f>
        <v>2340578.9247612</v>
      </c>
      <c r="F31" s="16" t="n">
        <f aca="false">IFERROR(B31/B$32,0)</f>
        <v>0.743438026814735</v>
      </c>
      <c r="G31" s="66" t="s">
        <v>21</v>
      </c>
    </row>
    <row r="32" customFormat="false" ht="15" hidden="false" customHeight="true" outlineLevel="0" collapsed="false">
      <c r="A32" s="32" t="s">
        <v>137</v>
      </c>
      <c r="B32" s="34" t="n">
        <f aca="false">SUM(B24:B31)</f>
        <v>2617797.88765929</v>
      </c>
      <c r="C32" s="34" t="n">
        <f aca="false">SUM(C24:C31)</f>
        <v>0</v>
      </c>
      <c r="D32" s="34" t="n">
        <f aca="false">SUM(D24:D31)</f>
        <v>542683.12856</v>
      </c>
      <c r="E32" s="34" t="n">
        <f aca="false">SUM(E24:E31)</f>
        <v>3160481.01621929</v>
      </c>
      <c r="F32" s="32"/>
      <c r="G32" s="19"/>
    </row>
    <row r="33" customFormat="false" ht="14.25" hidden="false" customHeight="true" outlineLevel="0" collapsed="false">
      <c r="A33" s="11" t="s">
        <v>10</v>
      </c>
      <c r="B33" s="21" t="n">
        <f aca="false">SUMIFS(PARÂMETROS!$F:$F,PARÂMETROS!$C:$C,A33,PARÂMETROS!$J:$J,G33)</f>
        <v>87768.6388842447</v>
      </c>
      <c r="C33" s="21" t="n">
        <f aca="false">SUMIFS(PARÂMETROS!$H:$H,PARÂMETROS!$C:$C,A33,PARÂMETROS!$J:$J,G33)</f>
        <v>0</v>
      </c>
      <c r="D33" s="21" t="n">
        <f aca="false">SUMIFS('COMERCIAL VAREJO'!$H:$H,'COMERCIAL VAREJO'!$B:$B,IF(A33="Empresa Licenciada DX2","DX2",IF(A33="Empresa Licenciada H&amp;A","H&amp;A",IF(A33="Empresa Licenciada SOLON ARAUJO","Solon Araújo",IF(A33="Empresa Licenciada SOARES E LINS","Soares e Lins",IF(A33="Empresa Licenciada SOARES E SILVA","Soares e Silva",IF(A33="Empresa Licenciada SOUZA E SILVA","Souza e Silva",IF(A33="Empresa Licenciada VOICENET","Voicenet",IF(A33="DTEL (uso próprio)","DTEL",A33)))))))),'COMERCIAL VAREJO'!$A:$A,G33,'COMERCIAL VAREJO'!$C:$C,"&lt;&gt;")</f>
        <v>55267.906</v>
      </c>
      <c r="E33" s="21" t="n">
        <f aca="false">B33+C33+D33</f>
        <v>143036.544884245</v>
      </c>
      <c r="F33" s="11" t="n">
        <f aca="false">IFERROR(B33/B$32,0)</f>
        <v>0.0335276605187894</v>
      </c>
      <c r="G33" s="46" t="s">
        <v>88</v>
      </c>
    </row>
    <row r="34" customFormat="false" ht="14.25" hidden="false" customHeight="true" outlineLevel="0" collapsed="false">
      <c r="A34" s="16" t="s">
        <v>12</v>
      </c>
      <c r="B34" s="1" t="n">
        <f aca="false">SUMIFS(PARÂMETROS!$F:$F,PARÂMETROS!$C:$C,A34,PARÂMETROS!$J:$J,G34)</f>
        <v>161326.619655048</v>
      </c>
      <c r="C34" s="1" t="n">
        <f aca="false">SUMIFS(PARÂMETROS!$H:$H,PARÂMETROS!$C:$C,A34,PARÂMETROS!$J:$J,G34)</f>
        <v>0</v>
      </c>
      <c r="D34" s="1" t="n">
        <f aca="false">SUMIFS('COMERCIAL VAREJO'!$H:$H,'COMERCIAL VAREJO'!$B:$B,IF(A34="Empresa Licenciada DX2","DX2",IF(A34="Empresa Licenciada H&amp;A","H&amp;A",IF(A34="Empresa Licenciada SOLON ARAUJO","Solon Araújo",IF(A34="Empresa Licenciada SOARES E LINS","Soares e Lins",IF(A34="Empresa Licenciada SOARES E SILVA","Soares e Silva",IF(A34="Empresa Licenciada SOUZA E SILVA","Souza e Silva",IF(A34="Empresa Licenciada VOICENET","Voicenet",IF(A34="DTEL (uso próprio)","DTEL",A34)))))))),'COMERCIAL VAREJO'!$A:$A,G34,'COMERCIAL VAREJO'!$C:$C,"&lt;&gt;")</f>
        <v>0</v>
      </c>
      <c r="E34" s="1" t="n">
        <f aca="false">B34+C34+D34</f>
        <v>161326.619655048</v>
      </c>
      <c r="F34" s="1" t="n">
        <f aca="false">IFERROR(B34/B$32,0)</f>
        <v>0.0616268430865373</v>
      </c>
      <c r="G34" s="66" t="s">
        <v>88</v>
      </c>
    </row>
    <row r="35" customFormat="false" ht="14.25" hidden="false" customHeight="true" outlineLevel="0" collapsed="false">
      <c r="A35" s="11" t="s">
        <v>13</v>
      </c>
      <c r="B35" s="21" t="n">
        <f aca="false">SUMIFS(PARÂMETROS!$F:$F,PARÂMETROS!$C:$C,A35,PARÂMETROS!$J:$J,G35)</f>
        <v>194409.662656462</v>
      </c>
      <c r="C35" s="21" t="n">
        <f aca="false">SUMIFS(PARÂMETROS!$H:$H,PARÂMETROS!$C:$C,A35,PARÂMETROS!$J:$J,G35)</f>
        <v>0</v>
      </c>
      <c r="D35" s="21" t="n">
        <f aca="false">SUMIFS('COMERCIAL VAREJO'!$H:$H,'COMERCIAL VAREJO'!$B:$B,IF(A35="Empresa Licenciada DX2","DX2",IF(A35="Empresa Licenciada H&amp;A","H&amp;A",IF(A35="Empresa Licenciada SOLON ARAUJO","Solon Araújo",IF(A35="Empresa Licenciada SOARES E LINS","Soares e Lins",IF(A35="Empresa Licenciada SOARES E SILVA","Soares e Silva",IF(A35="Empresa Licenciada SOUZA E SILVA","Souza e Silva",IF(A35="Empresa Licenciada VOICENET","Voicenet",IF(A35="DTEL (uso próprio)","DTEL",A35)))))))),'COMERCIAL VAREJO'!$A:$A,G35,'COMERCIAL VAREJO'!$C:$C,"&lt;&gt;")</f>
        <v>0</v>
      </c>
      <c r="E35" s="21" t="n">
        <f aca="false">B35+C35+D35</f>
        <v>194409.662656462</v>
      </c>
      <c r="F35" s="11" t="n">
        <f aca="false">IFERROR(B35/B$32,0)</f>
        <v>0.074264580765742</v>
      </c>
      <c r="G35" s="46" t="s">
        <v>88</v>
      </c>
    </row>
    <row r="36" customFormat="false" ht="14.25" hidden="false" customHeight="true" outlineLevel="0" collapsed="false">
      <c r="A36" s="16" t="s">
        <v>14</v>
      </c>
      <c r="B36" s="22" t="n">
        <f aca="false">SUMIFS(PARÂMETROS!$F:$F,PARÂMETROS!$C:$C,A36,PARÂMETROS!$J:$J,G36)</f>
        <v>49017.9394822071</v>
      </c>
      <c r="C36" s="22" t="n">
        <f aca="false">SUMIFS(PARÂMETROS!$H:$H,PARÂMETROS!$C:$C,A36,PARÂMETROS!$J:$J,G36)</f>
        <v>0</v>
      </c>
      <c r="D36" s="22" t="n">
        <f aca="false">SUMIFS('COMERCIAL VAREJO'!$H:$H,'COMERCIAL VAREJO'!$B:$B,IF(A36="Empresa Licenciada DX2","DX2",IF(A36="Empresa Licenciada H&amp;A","H&amp;A",IF(A36="Empresa Licenciada SOLON ARAUJO","Solon Araújo",IF(A36="Empresa Licenciada SOARES E LINS","Soares e Lins",IF(A36="Empresa Licenciada SOARES E SILVA","Soares e Silva",IF(A36="Empresa Licenciada SOUZA E SILVA","Souza e Silva",IF(A36="Empresa Licenciada VOICENET","Voicenet",IF(A36="DTEL (uso próprio)","DTEL",A36)))))))),'COMERCIAL VAREJO'!$A:$A,G36,'COMERCIAL VAREJO'!$C:$C,"&lt;&gt;")</f>
        <v>6705.59</v>
      </c>
      <c r="E36" s="22" t="n">
        <f aca="false">B36+C36+D36</f>
        <v>55723.5294822071</v>
      </c>
      <c r="F36" s="16" t="n">
        <f aca="false">IFERROR(B36/B$32,0)</f>
        <v>0.0187248754815203</v>
      </c>
      <c r="G36" s="66" t="s">
        <v>88</v>
      </c>
    </row>
    <row r="37" customFormat="false" ht="14.25" hidden="false" customHeight="true" outlineLevel="0" collapsed="false">
      <c r="A37" s="11" t="s">
        <v>15</v>
      </c>
      <c r="B37" s="21" t="n">
        <f aca="false">SUMIFS(PARÂMETROS!$F:$F,PARÂMETROS!$C:$C,A37,PARÂMETROS!$J:$J,G37)</f>
        <v>91696.6664996918</v>
      </c>
      <c r="C37" s="21" t="n">
        <f aca="false">SUMIFS(PARÂMETROS!$H:$H,PARÂMETROS!$C:$C,A37,PARÂMETROS!$J:$J,G37)</f>
        <v>0</v>
      </c>
      <c r="D37" s="21" t="n">
        <f aca="false">SUMIFS('COMERCIAL VAREJO'!$H:$H,'COMERCIAL VAREJO'!$B:$B,IF(A37="Empresa Licenciada DX2","DX2",IF(A37="Empresa Licenciada H&amp;A","H&amp;A",IF(A37="Empresa Licenciada SOLON ARAUJO","Solon Araújo",IF(A37="Empresa Licenciada SOARES E LINS","Soares e Lins",IF(A37="Empresa Licenciada SOARES E SILVA","Soares e Silva",IF(A37="Empresa Licenciada SOUZA E SILVA","Souza e Silva",IF(A37="Empresa Licenciada VOICENET","Voicenet",IF(A37="DTEL (uso próprio)","DTEL",A37)))))))),'COMERCIAL VAREJO'!$A:$A,G37,'COMERCIAL VAREJO'!$C:$C,"&lt;&gt;")</f>
        <v>75343.6452</v>
      </c>
      <c r="E37" s="21" t="n">
        <f aca="false">B37+C37+D37</f>
        <v>167040.311699692</v>
      </c>
      <c r="F37" s="11" t="n">
        <f aca="false">IFERROR(B37/B$32,0)</f>
        <v>0.035028168878875</v>
      </c>
      <c r="G37" s="46" t="s">
        <v>88</v>
      </c>
    </row>
    <row r="38" customFormat="false" ht="14.25" hidden="false" customHeight="true" outlineLevel="0" collapsed="false">
      <c r="A38" s="16" t="s">
        <v>16</v>
      </c>
      <c r="B38" s="22" t="n">
        <f aca="false">SUMIFS(PARÂMETROS!$F:$F,PARÂMETROS!$C:$C,A38,PARÂMETROS!$J:$J,G38)</f>
        <v>61943.9231285084</v>
      </c>
      <c r="C38" s="22" t="n">
        <f aca="false">SUMIFS(PARÂMETROS!$H:$H,PARÂMETROS!$C:$C,A38,PARÂMETROS!$J:$J,G38)</f>
        <v>0</v>
      </c>
      <c r="D38" s="22" t="n">
        <f aca="false">SUMIFS('COMERCIAL VAREJO'!$H:$H,'COMERCIAL VAREJO'!$B:$B,IF(A38="Empresa Licenciada DX2","DX2",IF(A38="Empresa Licenciada H&amp;A","H&amp;A",IF(A38="Empresa Licenciada SOLON ARAUJO","Solon Araújo",IF(A38="Empresa Licenciada SOARES E LINS","Soares e Lins",IF(A38="Empresa Licenciada SOARES E SILVA","Soares e Silva",IF(A38="Empresa Licenciada SOUZA E SILVA","Souza e Silva",IF(A38="Empresa Licenciada VOICENET","Voicenet",IF(A38="DTEL (uso próprio)","DTEL",A38)))))))),'COMERCIAL VAREJO'!$A:$A,G38,'COMERCIAL VAREJO'!$C:$C,"&lt;&gt;")</f>
        <v>14018.6184</v>
      </c>
      <c r="E38" s="22" t="n">
        <f aca="false">B38+C38+D38</f>
        <v>75962.5415285084</v>
      </c>
      <c r="F38" s="16" t="n">
        <f aca="false">IFERROR(B38/B$32,0)</f>
        <v>0.0236626071938257</v>
      </c>
      <c r="G38" s="66" t="s">
        <v>88</v>
      </c>
    </row>
    <row r="39" customFormat="false" ht="14.25" hidden="false" customHeight="true" outlineLevel="0" collapsed="false">
      <c r="A39" s="11" t="s">
        <v>17</v>
      </c>
      <c r="B39" s="21" t="n">
        <f aca="false">SUMIFS(PARÂMETROS!$F:$F,PARÂMETROS!$C:$C,A39,PARÂMETROS!$J:$J,G39)</f>
        <v>65773.0893930083</v>
      </c>
      <c r="C39" s="21" t="n">
        <f aca="false">SUMIFS(PARÂMETROS!$H:$H,PARÂMETROS!$C:$C,A39,PARÂMETROS!$J:$J,G39)</f>
        <v>0</v>
      </c>
      <c r="D39" s="21" t="n">
        <f aca="false">SUMIFS('COMERCIAL VAREJO'!$H:$H,'COMERCIAL VAREJO'!$B:$B,IF(A39="Empresa Licenciada DX2","DX2",IF(A39="Empresa Licenciada H&amp;A","H&amp;A",IF(A39="Empresa Licenciada SOLON ARAUJO","Solon Araújo",IF(A39="Empresa Licenciada SOARES E LINS","Soares e Lins",IF(A39="Empresa Licenciada SOARES E SILVA","Soares e Silva",IF(A39="Empresa Licenciada SOUZA E SILVA","Souza e Silva",IF(A39="Empresa Licenciada VOICENET","Voicenet",IF(A39="DTEL (uso próprio)","DTEL",A39)))))))),'COMERCIAL VAREJO'!$A:$A,G39,'COMERCIAL VAREJO'!$C:$C,"&lt;&gt;")</f>
        <v>19725.7588</v>
      </c>
      <c r="E39" s="21" t="n">
        <f aca="false">B39+C39+D39</f>
        <v>85498.8481930083</v>
      </c>
      <c r="F39" s="11" t="n">
        <f aca="false">IFERROR(B39/B$32,0)</f>
        <v>0.0251253504722702</v>
      </c>
      <c r="G39" s="46" t="s">
        <v>88</v>
      </c>
    </row>
    <row r="40" customFormat="false" ht="14.25" hidden="false" customHeight="true" outlineLevel="0" collapsed="false">
      <c r="A40" s="16" t="s">
        <v>18</v>
      </c>
      <c r="B40" s="22" t="n">
        <f aca="false">SUMIFS(PARÂMETROS!$F:$F,PARÂMETROS!$C:$C,A40,PARÂMETROS!$J:$J,G40)</f>
        <v>2001642.66755768</v>
      </c>
      <c r="C40" s="22" t="n">
        <f aca="false">SUMIFS(PARÂMETROS!$H:$H,PARÂMETROS!$C:$C,A40,PARÂMETROS!$J:$J,G40)</f>
        <v>0</v>
      </c>
      <c r="D40" s="22" t="n">
        <f aca="false">SUMIFS('COMERCIAL VAREJO'!$H:$H,'COMERCIAL VAREJO'!$B:$B,IF(A40="Empresa Licenciada DX2","DX2",IF(A40="Empresa Licenciada H&amp;A","H&amp;A",IF(A40="Empresa Licenciada SOLON ARAUJO","Solon Araújo",IF(A40="Empresa Licenciada SOARES E LINS","Soares e Lins",IF(A40="Empresa Licenciada SOARES E SILVA","Soares e Silva",IF(A40="Empresa Licenciada SOUZA E SILVA","Souza e Silva",IF(A40="Empresa Licenciada VOICENET","Voicenet",IF(A40="DTEL (uso próprio)","DTEL",A40)))))))),'COMERCIAL VAREJO'!$A:$A,G40,'COMERCIAL VAREJO'!$C:$C,"&lt;&gt;")</f>
        <v>545495.9304</v>
      </c>
      <c r="E40" s="22" t="n">
        <f aca="false">B40+C40+D40</f>
        <v>2547138.59795768</v>
      </c>
      <c r="F40" s="16" t="n">
        <f aca="false">IFERROR(B40/B$32,0)</f>
        <v>0.764628421847897</v>
      </c>
      <c r="G40" s="66" t="s">
        <v>88</v>
      </c>
    </row>
    <row r="41" customFormat="false" ht="14.25" hidden="false" customHeight="true" outlineLevel="0" collapsed="false">
      <c r="A41" s="32" t="s">
        <v>145</v>
      </c>
      <c r="B41" s="34" t="n">
        <f aca="false">SUM(B33:B40)</f>
        <v>2713579.20725685</v>
      </c>
      <c r="C41" s="34" t="n">
        <f aca="false">SUM(C33:C40)</f>
        <v>0</v>
      </c>
      <c r="D41" s="34" t="n">
        <f aca="false">SUM(D33:D40)</f>
        <v>716557.4488</v>
      </c>
      <c r="E41" s="34" t="n">
        <f aca="false">SUM(E33:E40)</f>
        <v>3430136.65605685</v>
      </c>
      <c r="F41" s="32"/>
      <c r="G41" s="19"/>
    </row>
    <row r="44" customFormat="false" ht="14.25" hidden="false" customHeight="true" outlineLevel="0" collapsed="false">
      <c r="A44" s="1" t="s">
        <v>265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8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40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67" t="s">
        <v>266</v>
      </c>
      <c r="B1" s="67"/>
      <c r="C1" s="67"/>
      <c r="D1" s="67"/>
      <c r="E1" s="67"/>
      <c r="F1" s="67"/>
      <c r="G1" s="67"/>
      <c r="H1" s="67"/>
      <c r="I1" s="67"/>
      <c r="J1" s="68"/>
      <c r="K1" s="68"/>
      <c r="L1" s="68"/>
      <c r="M1" s="68"/>
      <c r="N1" s="68"/>
      <c r="O1" s="68"/>
    </row>
    <row r="2" customFormat="false" ht="60" hidden="false" customHeight="true" outlineLevel="0" collapsed="false">
      <c r="A2" s="69" t="s">
        <v>267</v>
      </c>
      <c r="B2" s="69"/>
      <c r="C2" s="69"/>
      <c r="D2" s="69"/>
      <c r="E2" s="69"/>
      <c r="F2" s="69"/>
      <c r="G2" s="69"/>
      <c r="H2" s="69"/>
      <c r="I2" s="69"/>
      <c r="J2" s="68"/>
      <c r="K2" s="68"/>
      <c r="L2" s="68"/>
      <c r="M2" s="68"/>
      <c r="N2" s="68"/>
      <c r="O2" s="68"/>
    </row>
    <row r="3" customFormat="false" ht="15" hidden="false" customHeight="true" outlineLevel="0" collapsed="false">
      <c r="A3" s="68"/>
      <c r="B3" s="68"/>
      <c r="C3" s="68"/>
      <c r="D3" s="68"/>
      <c r="E3" s="68"/>
      <c r="F3" s="68"/>
      <c r="G3" s="68"/>
      <c r="H3" s="68"/>
      <c r="I3" s="68"/>
      <c r="J3" s="68"/>
      <c r="K3" s="68"/>
      <c r="L3" s="68"/>
      <c r="M3" s="68"/>
      <c r="N3" s="68"/>
      <c r="O3" s="68"/>
    </row>
    <row r="4" customFormat="false" ht="15" hidden="false" customHeight="true" outlineLevel="0" collapsed="false">
      <c r="A4" s="70" t="s">
        <v>268</v>
      </c>
      <c r="B4" s="70"/>
      <c r="C4" s="70"/>
      <c r="D4" s="70"/>
      <c r="E4" s="70"/>
      <c r="F4" s="70"/>
      <c r="G4" s="70"/>
      <c r="H4" s="70"/>
      <c r="I4" s="70"/>
      <c r="J4" s="68"/>
      <c r="K4" s="68"/>
      <c r="L4" s="68"/>
      <c r="M4" s="68"/>
      <c r="N4" s="68"/>
      <c r="O4" s="68"/>
    </row>
    <row r="5" customFormat="false" ht="15" hidden="false" customHeight="true" outlineLevel="0" collapsed="false">
      <c r="A5" s="71" t="s">
        <v>269</v>
      </c>
      <c r="B5" s="71" t="s">
        <v>3</v>
      </c>
      <c r="C5" s="71" t="s">
        <v>270</v>
      </c>
      <c r="D5" s="71" t="s">
        <v>271</v>
      </c>
      <c r="E5" s="71" t="s">
        <v>272</v>
      </c>
      <c r="F5" s="71" t="s">
        <v>273</v>
      </c>
      <c r="G5" s="68"/>
      <c r="H5" s="68"/>
      <c r="I5" s="68"/>
      <c r="J5" s="68"/>
      <c r="K5" s="68"/>
      <c r="L5" s="68"/>
      <c r="M5" s="68"/>
      <c r="N5" s="68"/>
      <c r="O5" s="68"/>
    </row>
    <row r="6" customFormat="false" ht="15" hidden="false" customHeight="true" outlineLevel="0" collapsed="false">
      <c r="A6" s="72" t="s">
        <v>274</v>
      </c>
      <c r="B6" s="72" t="s">
        <v>275</v>
      </c>
      <c r="C6" s="72" t="n">
        <v>39</v>
      </c>
      <c r="D6" s="72" t="n">
        <v>33</v>
      </c>
      <c r="E6" s="72" t="n">
        <v>2</v>
      </c>
      <c r="F6" s="72" t="s">
        <v>276</v>
      </c>
      <c r="G6" s="68"/>
      <c r="H6" s="68"/>
      <c r="I6" s="68"/>
      <c r="J6" s="68"/>
      <c r="K6" s="68"/>
      <c r="L6" s="68"/>
      <c r="M6" s="68"/>
      <c r="N6" s="68"/>
      <c r="O6" s="68"/>
    </row>
    <row r="7" customFormat="false" ht="15" hidden="false" customHeight="true" outlineLevel="0" collapsed="false">
      <c r="A7" s="72" t="s">
        <v>277</v>
      </c>
      <c r="B7" s="72" t="s">
        <v>275</v>
      </c>
      <c r="C7" s="72" t="n">
        <v>9</v>
      </c>
      <c r="D7" s="72" t="n">
        <v>9</v>
      </c>
      <c r="E7" s="72" t="n">
        <v>0</v>
      </c>
      <c r="F7" s="72" t="s">
        <v>278</v>
      </c>
      <c r="G7" s="68"/>
      <c r="H7" s="68"/>
      <c r="I7" s="68"/>
      <c r="J7" s="68"/>
      <c r="K7" s="68"/>
      <c r="L7" s="68"/>
      <c r="M7" s="68"/>
      <c r="N7" s="68"/>
      <c r="O7" s="68"/>
    </row>
    <row r="8" customFormat="false" ht="15" hidden="false" customHeight="true" outlineLevel="0" collapsed="false">
      <c r="A8" s="72" t="s">
        <v>279</v>
      </c>
      <c r="B8" s="72" t="s">
        <v>275</v>
      </c>
      <c r="C8" s="72" t="n">
        <v>7</v>
      </c>
      <c r="D8" s="72" t="n">
        <v>6</v>
      </c>
      <c r="E8" s="72" t="n">
        <v>1</v>
      </c>
      <c r="F8" s="72" t="s">
        <v>278</v>
      </c>
      <c r="G8" s="68"/>
      <c r="H8" s="68"/>
      <c r="I8" s="68"/>
      <c r="J8" s="68"/>
      <c r="K8" s="68"/>
      <c r="L8" s="68"/>
      <c r="M8" s="68"/>
      <c r="N8" s="68"/>
      <c r="O8" s="68"/>
    </row>
    <row r="9" customFormat="false" ht="15" hidden="false" customHeight="true" outlineLevel="0" collapsed="false">
      <c r="A9" s="72" t="s">
        <v>280</v>
      </c>
      <c r="B9" s="72" t="s">
        <v>275</v>
      </c>
      <c r="C9" s="72" t="n">
        <v>11</v>
      </c>
      <c r="D9" s="72" t="n">
        <v>8</v>
      </c>
      <c r="E9" s="72" t="n">
        <v>1</v>
      </c>
      <c r="F9" s="72" t="s">
        <v>281</v>
      </c>
      <c r="G9" s="68"/>
      <c r="H9" s="68"/>
      <c r="I9" s="68"/>
      <c r="J9" s="68"/>
      <c r="K9" s="68"/>
      <c r="L9" s="68"/>
      <c r="M9" s="68"/>
      <c r="N9" s="68"/>
      <c r="O9" s="68"/>
    </row>
    <row r="10" customFormat="false" ht="15" hidden="false" customHeight="true" outlineLevel="0" collapsed="false">
      <c r="A10" s="72" t="s">
        <v>280</v>
      </c>
      <c r="B10" s="72" t="s">
        <v>282</v>
      </c>
      <c r="C10" s="72" t="n">
        <v>2</v>
      </c>
      <c r="D10" s="72" t="n">
        <v>1</v>
      </c>
      <c r="E10" s="72" t="n">
        <v>1</v>
      </c>
      <c r="F10" s="72" t="s">
        <v>278</v>
      </c>
      <c r="G10" s="68"/>
      <c r="H10" s="68"/>
      <c r="I10" s="68"/>
      <c r="J10" s="68"/>
      <c r="K10" s="68"/>
      <c r="L10" s="68"/>
      <c r="M10" s="68"/>
      <c r="N10" s="68"/>
      <c r="O10" s="68"/>
    </row>
    <row r="11" customFormat="false" ht="15" hidden="false" customHeight="true" outlineLevel="0" collapsed="false">
      <c r="A11" s="72" t="s">
        <v>283</v>
      </c>
      <c r="B11" s="72" t="s">
        <v>275</v>
      </c>
      <c r="C11" s="72" t="n">
        <v>18</v>
      </c>
      <c r="D11" s="72" t="n">
        <v>14</v>
      </c>
      <c r="E11" s="72" t="n">
        <v>2</v>
      </c>
      <c r="F11" s="72" t="s">
        <v>281</v>
      </c>
      <c r="G11" s="68"/>
      <c r="H11" s="68"/>
      <c r="I11" s="68"/>
      <c r="J11" s="68"/>
      <c r="K11" s="68"/>
      <c r="L11" s="68"/>
      <c r="M11" s="68"/>
      <c r="N11" s="68"/>
      <c r="O11" s="68"/>
    </row>
    <row r="12" customFormat="false" ht="15" hidden="false" customHeight="true" outlineLevel="0" collapsed="false">
      <c r="A12" s="72" t="s">
        <v>283</v>
      </c>
      <c r="B12" s="72" t="s">
        <v>284</v>
      </c>
      <c r="C12" s="72" t="n">
        <v>2</v>
      </c>
      <c r="D12" s="72" t="n">
        <v>1</v>
      </c>
      <c r="E12" s="72" t="n">
        <v>1</v>
      </c>
      <c r="F12" s="72" t="s">
        <v>278</v>
      </c>
      <c r="G12" s="68"/>
      <c r="H12" s="68"/>
      <c r="I12" s="68"/>
      <c r="J12" s="68"/>
      <c r="K12" s="68"/>
      <c r="L12" s="68"/>
      <c r="M12" s="68"/>
      <c r="N12" s="68"/>
      <c r="O12" s="68"/>
    </row>
    <row r="13" customFormat="false" ht="15" hidden="false" customHeight="true" outlineLevel="0" collapsed="false">
      <c r="A13" s="72" t="s">
        <v>283</v>
      </c>
      <c r="B13" s="72" t="s">
        <v>285</v>
      </c>
      <c r="C13" s="72" t="n">
        <v>5</v>
      </c>
      <c r="D13" s="72" t="n">
        <v>5</v>
      </c>
      <c r="E13" s="72" t="n">
        <v>0</v>
      </c>
      <c r="F13" s="72" t="s">
        <v>278</v>
      </c>
      <c r="G13" s="68"/>
      <c r="H13" s="68"/>
      <c r="I13" s="68"/>
      <c r="J13" s="68"/>
      <c r="K13" s="68"/>
      <c r="L13" s="68"/>
      <c r="M13" s="68"/>
      <c r="N13" s="68"/>
      <c r="O13" s="68"/>
    </row>
    <row r="14" customFormat="false" ht="15" hidden="false" customHeight="true" outlineLevel="0" collapsed="false">
      <c r="A14" s="72" t="s">
        <v>286</v>
      </c>
      <c r="B14" s="72" t="s">
        <v>287</v>
      </c>
      <c r="C14" s="72" t="n">
        <v>8</v>
      </c>
      <c r="D14" s="72" t="n">
        <v>7</v>
      </c>
      <c r="E14" s="72" t="n">
        <v>0</v>
      </c>
      <c r="F14" s="72" t="s">
        <v>288</v>
      </c>
      <c r="G14" s="68"/>
      <c r="H14" s="68"/>
      <c r="I14" s="68"/>
      <c r="J14" s="68"/>
      <c r="K14" s="68"/>
      <c r="L14" s="68"/>
      <c r="M14" s="68"/>
      <c r="N14" s="68"/>
      <c r="O14" s="68"/>
    </row>
    <row r="15" customFormat="false" ht="15" hidden="false" customHeight="true" outlineLevel="0" collapsed="false">
      <c r="A15" s="72" t="s">
        <v>286</v>
      </c>
      <c r="B15" s="72" t="s">
        <v>289</v>
      </c>
      <c r="C15" s="72" t="n">
        <v>2</v>
      </c>
      <c r="D15" s="72" t="n">
        <v>1</v>
      </c>
      <c r="E15" s="72" t="n">
        <v>0</v>
      </c>
      <c r="F15" s="72" t="s">
        <v>288</v>
      </c>
      <c r="G15" s="68"/>
      <c r="H15" s="68"/>
      <c r="I15" s="68"/>
      <c r="J15" s="68"/>
      <c r="K15" s="68"/>
      <c r="L15" s="68"/>
      <c r="M15" s="68"/>
      <c r="N15" s="68"/>
      <c r="O15" s="68"/>
    </row>
    <row r="16" customFormat="false" ht="15" hidden="false" customHeight="true" outlineLevel="0" collapsed="false">
      <c r="A16" s="72" t="s">
        <v>286</v>
      </c>
      <c r="B16" s="72" t="s">
        <v>290</v>
      </c>
      <c r="C16" s="72" t="n">
        <v>11</v>
      </c>
      <c r="D16" s="72" t="n">
        <v>9</v>
      </c>
      <c r="E16" s="72" t="n">
        <v>1</v>
      </c>
      <c r="F16" s="72" t="s">
        <v>291</v>
      </c>
      <c r="G16" s="68"/>
      <c r="H16" s="68"/>
      <c r="I16" s="68"/>
      <c r="J16" s="68"/>
      <c r="K16" s="68"/>
      <c r="L16" s="68"/>
      <c r="M16" s="68"/>
      <c r="N16" s="68"/>
      <c r="O16" s="68"/>
    </row>
    <row r="17" customFormat="false" ht="15" hidden="false" customHeight="true" outlineLevel="0" collapsed="false">
      <c r="A17" s="72" t="s">
        <v>292</v>
      </c>
      <c r="B17" s="72" t="s">
        <v>293</v>
      </c>
      <c r="C17" s="72" t="n">
        <v>1</v>
      </c>
      <c r="D17" s="72" t="n">
        <v>0</v>
      </c>
      <c r="E17" s="72" t="n">
        <v>0</v>
      </c>
      <c r="F17" s="72" t="s">
        <v>288</v>
      </c>
      <c r="G17" s="68"/>
      <c r="H17" s="68"/>
      <c r="I17" s="68"/>
      <c r="J17" s="68"/>
      <c r="K17" s="68"/>
      <c r="L17" s="68"/>
      <c r="M17" s="68"/>
      <c r="N17" s="68"/>
      <c r="O17" s="68"/>
    </row>
    <row r="18" customFormat="false" ht="15" hidden="false" customHeight="true" outlineLevel="0" collapsed="false">
      <c r="A18" s="68"/>
      <c r="B18" s="68"/>
      <c r="C18" s="68"/>
      <c r="D18" s="68"/>
      <c r="E18" s="68"/>
      <c r="F18" s="68"/>
      <c r="G18" s="68"/>
      <c r="H18" s="68"/>
      <c r="I18" s="68"/>
      <c r="J18" s="68"/>
      <c r="K18" s="68"/>
      <c r="L18" s="68"/>
      <c r="M18" s="68"/>
      <c r="N18" s="68"/>
      <c r="O18" s="68"/>
    </row>
    <row r="19" customFormat="false" ht="15" hidden="false" customHeight="true" outlineLevel="0" collapsed="false">
      <c r="A19" s="70" t="s">
        <v>294</v>
      </c>
      <c r="B19" s="70"/>
      <c r="C19" s="70"/>
      <c r="D19" s="70"/>
      <c r="E19" s="70"/>
      <c r="F19" s="70"/>
      <c r="G19" s="70"/>
      <c r="H19" s="70"/>
      <c r="I19" s="70"/>
      <c r="J19" s="68"/>
      <c r="K19" s="68"/>
      <c r="L19" s="68"/>
      <c r="M19" s="68"/>
      <c r="N19" s="68"/>
      <c r="O19" s="68"/>
    </row>
    <row r="20" customFormat="false" ht="15" hidden="false" customHeight="true" outlineLevel="0" collapsed="false">
      <c r="A20" s="71" t="s">
        <v>9</v>
      </c>
      <c r="B20" s="71" t="s">
        <v>3</v>
      </c>
      <c r="C20" s="71" t="s">
        <v>150</v>
      </c>
      <c r="D20" s="71" t="s">
        <v>295</v>
      </c>
      <c r="E20" s="71" t="s">
        <v>269</v>
      </c>
      <c r="F20" s="71" t="s">
        <v>152</v>
      </c>
      <c r="G20" s="71" t="s">
        <v>296</v>
      </c>
      <c r="H20" s="71" t="s">
        <v>297</v>
      </c>
      <c r="I20" s="71" t="s">
        <v>298</v>
      </c>
      <c r="J20" s="68"/>
      <c r="K20" s="68"/>
      <c r="L20" s="68"/>
      <c r="M20" s="68"/>
      <c r="N20" s="68"/>
      <c r="O20" s="68"/>
    </row>
    <row r="21" customFormat="false" ht="15" hidden="false" customHeight="true" outlineLevel="0" collapsed="false">
      <c r="A21" s="72" t="s">
        <v>11</v>
      </c>
      <c r="B21" s="72" t="s">
        <v>275</v>
      </c>
      <c r="C21" s="72" t="s">
        <v>299</v>
      </c>
      <c r="D21" s="72" t="s">
        <v>241</v>
      </c>
      <c r="E21" s="72" t="s">
        <v>274</v>
      </c>
      <c r="F21" s="72" t="n">
        <v>1</v>
      </c>
      <c r="G21" s="73" t="n">
        <v>168959.55</v>
      </c>
      <c r="H21" s="73" t="n">
        <v>168959.55</v>
      </c>
      <c r="I21" s="72" t="s">
        <v>300</v>
      </c>
      <c r="J21" s="68"/>
      <c r="K21" s="68"/>
      <c r="L21" s="68"/>
      <c r="M21" s="68"/>
      <c r="N21" s="68"/>
      <c r="O21" s="68"/>
    </row>
    <row r="22" customFormat="false" ht="15" hidden="false" customHeight="true" outlineLevel="0" collapsed="false">
      <c r="A22" s="72" t="s">
        <v>11</v>
      </c>
      <c r="B22" s="72" t="s">
        <v>275</v>
      </c>
      <c r="C22" s="72" t="s">
        <v>299</v>
      </c>
      <c r="D22" s="72" t="s">
        <v>301</v>
      </c>
      <c r="E22" s="72" t="s">
        <v>274</v>
      </c>
      <c r="F22" s="72" t="n">
        <v>1</v>
      </c>
      <c r="G22" s="73" t="n">
        <v>1236.86</v>
      </c>
      <c r="H22" s="73" t="n">
        <v>1236.86</v>
      </c>
      <c r="I22" s="72" t="s">
        <v>302</v>
      </c>
      <c r="J22" s="68"/>
      <c r="K22" s="68"/>
      <c r="L22" s="68"/>
      <c r="M22" s="68"/>
      <c r="N22" s="68"/>
      <c r="O22" s="68"/>
    </row>
    <row r="23" customFormat="false" ht="15" hidden="false" customHeight="true" outlineLevel="0" collapsed="false">
      <c r="A23" s="72" t="s">
        <v>11</v>
      </c>
      <c r="B23" s="72" t="s">
        <v>275</v>
      </c>
      <c r="C23" s="72" t="s">
        <v>299</v>
      </c>
      <c r="D23" s="72" t="s">
        <v>166</v>
      </c>
      <c r="E23" s="72" t="s">
        <v>274</v>
      </c>
      <c r="F23" s="72" t="n">
        <v>39</v>
      </c>
      <c r="G23" s="73" t="n">
        <v>28.31</v>
      </c>
      <c r="H23" s="73" t="n">
        <v>1104.09</v>
      </c>
      <c r="I23" s="72" t="s">
        <v>303</v>
      </c>
      <c r="J23" s="68"/>
      <c r="K23" s="68"/>
      <c r="L23" s="68"/>
      <c r="M23" s="68"/>
      <c r="N23" s="68"/>
      <c r="O23" s="68"/>
    </row>
    <row r="24" customFormat="false" ht="15" hidden="false" customHeight="true" outlineLevel="0" collapsed="false">
      <c r="A24" s="72" t="s">
        <v>11</v>
      </c>
      <c r="B24" s="72" t="s">
        <v>275</v>
      </c>
      <c r="C24" s="72" t="s">
        <v>299</v>
      </c>
      <c r="D24" s="72" t="s">
        <v>165</v>
      </c>
      <c r="E24" s="72" t="s">
        <v>274</v>
      </c>
      <c r="F24" s="72" t="n">
        <v>39</v>
      </c>
      <c r="G24" s="73" t="n">
        <v>47.79</v>
      </c>
      <c r="H24" s="73" t="n">
        <v>1863.81</v>
      </c>
      <c r="I24" s="72" t="s">
        <v>303</v>
      </c>
      <c r="J24" s="68"/>
      <c r="K24" s="68"/>
      <c r="L24" s="68"/>
      <c r="M24" s="68"/>
      <c r="N24" s="68"/>
      <c r="O24" s="68"/>
    </row>
    <row r="25" customFormat="false" ht="15" hidden="false" customHeight="true" outlineLevel="0" collapsed="false">
      <c r="A25" s="72" t="s">
        <v>11</v>
      </c>
      <c r="B25" s="72" t="s">
        <v>275</v>
      </c>
      <c r="C25" s="72" t="s">
        <v>44</v>
      </c>
      <c r="D25" s="72" t="s">
        <v>167</v>
      </c>
      <c r="E25" s="72" t="s">
        <v>274</v>
      </c>
      <c r="F25" s="72" t="n">
        <v>39</v>
      </c>
      <c r="G25" s="73" t="n">
        <v>64.54</v>
      </c>
      <c r="H25" s="73" t="n">
        <v>2517.06</v>
      </c>
      <c r="I25" s="72" t="s">
        <v>303</v>
      </c>
      <c r="J25" s="68"/>
      <c r="K25" s="68"/>
      <c r="L25" s="68"/>
      <c r="M25" s="68"/>
      <c r="N25" s="68"/>
      <c r="O25" s="68"/>
    </row>
    <row r="26" customFormat="false" ht="15" hidden="false" customHeight="true" outlineLevel="0" collapsed="false">
      <c r="A26" s="72" t="s">
        <v>11</v>
      </c>
      <c r="B26" s="72" t="s">
        <v>275</v>
      </c>
      <c r="C26" s="72" t="s">
        <v>44</v>
      </c>
      <c r="D26" s="72" t="s">
        <v>240</v>
      </c>
      <c r="E26" s="72" t="s">
        <v>274</v>
      </c>
      <c r="F26" s="72" t="n">
        <v>1</v>
      </c>
      <c r="G26" s="73" t="n">
        <v>142.07</v>
      </c>
      <c r="H26" s="73" t="n">
        <v>142.07</v>
      </c>
      <c r="I26" s="72" t="s">
        <v>302</v>
      </c>
      <c r="J26" s="68"/>
      <c r="K26" s="68"/>
      <c r="L26" s="68"/>
      <c r="M26" s="68"/>
      <c r="N26" s="68"/>
      <c r="O26" s="68"/>
    </row>
    <row r="27" customFormat="false" ht="15" hidden="false" customHeight="true" outlineLevel="0" collapsed="false">
      <c r="A27" s="72" t="s">
        <v>11</v>
      </c>
      <c r="B27" s="72" t="s">
        <v>275</v>
      </c>
      <c r="C27" s="72" t="s">
        <v>304</v>
      </c>
      <c r="D27" s="72" t="s">
        <v>170</v>
      </c>
      <c r="E27" s="72" t="s">
        <v>274</v>
      </c>
      <c r="F27" s="72" t="n">
        <v>39</v>
      </c>
      <c r="G27" s="73" t="n">
        <v>10.05</v>
      </c>
      <c r="H27" s="73" t="n">
        <v>391.95</v>
      </c>
      <c r="I27" s="72" t="s">
        <v>303</v>
      </c>
      <c r="J27" s="68"/>
      <c r="K27" s="68"/>
      <c r="L27" s="68"/>
      <c r="M27" s="68"/>
      <c r="N27" s="68"/>
      <c r="O27" s="68"/>
    </row>
    <row r="28" customFormat="false" ht="15" hidden="false" customHeight="true" outlineLevel="0" collapsed="false">
      <c r="A28" s="72" t="s">
        <v>11</v>
      </c>
      <c r="B28" s="72" t="s">
        <v>275</v>
      </c>
      <c r="C28" s="72" t="s">
        <v>304</v>
      </c>
      <c r="D28" s="72" t="s">
        <v>173</v>
      </c>
      <c r="E28" s="72" t="s">
        <v>274</v>
      </c>
      <c r="F28" s="72" t="n">
        <v>39</v>
      </c>
      <c r="G28" s="73" t="n">
        <v>2.07</v>
      </c>
      <c r="H28" s="73" t="n">
        <v>80.73</v>
      </c>
      <c r="I28" s="72" t="s">
        <v>303</v>
      </c>
      <c r="J28" s="68"/>
      <c r="K28" s="68"/>
      <c r="L28" s="68"/>
      <c r="M28" s="68"/>
      <c r="N28" s="68"/>
      <c r="O28" s="68"/>
    </row>
    <row r="29" customFormat="false" ht="15" hidden="false" customHeight="true" outlineLevel="0" collapsed="false">
      <c r="A29" s="72" t="s">
        <v>11</v>
      </c>
      <c r="B29" s="72" t="s">
        <v>275</v>
      </c>
      <c r="C29" s="72" t="s">
        <v>305</v>
      </c>
      <c r="D29" s="72" t="s">
        <v>194</v>
      </c>
      <c r="E29" s="72" t="s">
        <v>274</v>
      </c>
      <c r="F29" s="72" t="n">
        <v>1</v>
      </c>
      <c r="G29" s="73" t="n">
        <v>764.48</v>
      </c>
      <c r="H29" s="73" t="n">
        <v>764.48</v>
      </c>
      <c r="I29" s="72" t="s">
        <v>302</v>
      </c>
      <c r="J29" s="68"/>
      <c r="K29" s="68"/>
      <c r="L29" s="68"/>
      <c r="M29" s="68"/>
      <c r="N29" s="68"/>
      <c r="O29" s="68"/>
    </row>
    <row r="30" customFormat="false" ht="15" hidden="false" customHeight="true" outlineLevel="0" collapsed="false">
      <c r="A30" s="72" t="s">
        <v>11</v>
      </c>
      <c r="B30" s="72" t="s">
        <v>275</v>
      </c>
      <c r="C30" s="72" t="s">
        <v>305</v>
      </c>
      <c r="D30" s="72" t="s">
        <v>198</v>
      </c>
      <c r="E30" s="72" t="s">
        <v>274</v>
      </c>
      <c r="F30" s="72" t="n">
        <v>1</v>
      </c>
      <c r="G30" s="73" t="n">
        <v>1150.7</v>
      </c>
      <c r="H30" s="73" t="n">
        <v>1150.7</v>
      </c>
      <c r="I30" s="72" t="s">
        <v>302</v>
      </c>
      <c r="J30" s="68"/>
      <c r="K30" s="68"/>
      <c r="L30" s="68"/>
      <c r="M30" s="68"/>
      <c r="N30" s="68"/>
      <c r="O30" s="68"/>
    </row>
    <row r="31" customFormat="false" ht="15" hidden="false" customHeight="true" outlineLevel="0" collapsed="false">
      <c r="A31" s="72" t="s">
        <v>11</v>
      </c>
      <c r="B31" s="72" t="s">
        <v>275</v>
      </c>
      <c r="C31" s="72" t="s">
        <v>306</v>
      </c>
      <c r="D31" s="72" t="s">
        <v>192</v>
      </c>
      <c r="E31" s="72" t="s">
        <v>274</v>
      </c>
      <c r="F31" s="72" t="n">
        <v>42</v>
      </c>
      <c r="G31" s="73" t="n">
        <v>30</v>
      </c>
      <c r="H31" s="73" t="n">
        <f aca="false">F31*G31</f>
        <v>1260</v>
      </c>
      <c r="I31" s="72" t="s">
        <v>303</v>
      </c>
      <c r="J31" s="68"/>
      <c r="K31" s="68"/>
      <c r="L31" s="68"/>
      <c r="M31" s="68"/>
      <c r="N31" s="68"/>
      <c r="O31" s="68"/>
    </row>
    <row r="32" customFormat="false" ht="15" hidden="false" customHeight="true" outlineLevel="0" collapsed="false">
      <c r="A32" s="72" t="s">
        <v>11</v>
      </c>
      <c r="B32" s="72" t="s">
        <v>275</v>
      </c>
      <c r="C32" s="72" t="s">
        <v>307</v>
      </c>
      <c r="D32" s="72" t="s">
        <v>186</v>
      </c>
      <c r="E32" s="72" t="s">
        <v>274</v>
      </c>
      <c r="F32" s="72" t="n">
        <v>1</v>
      </c>
      <c r="G32" s="73" t="n">
        <v>370.8</v>
      </c>
      <c r="H32" s="73" t="n">
        <f aca="false">F32*G32</f>
        <v>370.8</v>
      </c>
      <c r="I32" s="72" t="s">
        <v>308</v>
      </c>
      <c r="J32" s="68"/>
      <c r="K32" s="68"/>
      <c r="L32" s="68"/>
      <c r="M32" s="68"/>
      <c r="N32" s="68"/>
      <c r="O32" s="68"/>
    </row>
    <row r="33" customFormat="false" ht="15" hidden="false" customHeight="true" outlineLevel="0" collapsed="false">
      <c r="A33" s="72" t="s">
        <v>11</v>
      </c>
      <c r="B33" s="72" t="s">
        <v>275</v>
      </c>
      <c r="C33" s="72" t="s">
        <v>299</v>
      </c>
      <c r="D33" s="72" t="s">
        <v>241</v>
      </c>
      <c r="E33" s="72" t="s">
        <v>277</v>
      </c>
      <c r="F33" s="72" t="n">
        <v>1</v>
      </c>
      <c r="G33" s="73" t="n">
        <v>7035.95</v>
      </c>
      <c r="H33" s="73" t="n">
        <f aca="false">F33*G33</f>
        <v>7035.95</v>
      </c>
      <c r="I33" s="72" t="s">
        <v>309</v>
      </c>
      <c r="J33" s="68"/>
      <c r="K33" s="68"/>
      <c r="L33" s="68"/>
      <c r="M33" s="68"/>
      <c r="N33" s="68"/>
      <c r="O33" s="68"/>
    </row>
    <row r="34" customFormat="false" ht="15" hidden="false" customHeight="true" outlineLevel="0" collapsed="false">
      <c r="A34" s="72" t="s">
        <v>11</v>
      </c>
      <c r="B34" s="72" t="s">
        <v>275</v>
      </c>
      <c r="C34" s="72" t="s">
        <v>299</v>
      </c>
      <c r="D34" s="72" t="s">
        <v>301</v>
      </c>
      <c r="E34" s="72" t="s">
        <v>277</v>
      </c>
      <c r="F34" s="72" t="n">
        <v>1</v>
      </c>
      <c r="G34" s="73" t="n">
        <v>285.43</v>
      </c>
      <c r="H34" s="73" t="n">
        <v>285.43</v>
      </c>
      <c r="I34" s="72" t="s">
        <v>310</v>
      </c>
      <c r="J34" s="68"/>
      <c r="K34" s="68"/>
      <c r="L34" s="68"/>
      <c r="M34" s="68"/>
      <c r="N34" s="68"/>
      <c r="O34" s="68"/>
    </row>
    <row r="35" customFormat="false" ht="15" hidden="false" customHeight="true" outlineLevel="0" collapsed="false">
      <c r="A35" s="72" t="s">
        <v>11</v>
      </c>
      <c r="B35" s="72" t="s">
        <v>275</v>
      </c>
      <c r="C35" s="72" t="s">
        <v>299</v>
      </c>
      <c r="D35" s="72" t="s">
        <v>166</v>
      </c>
      <c r="E35" s="72" t="s">
        <v>277</v>
      </c>
      <c r="F35" s="72" t="n">
        <v>9</v>
      </c>
      <c r="G35" s="73" t="n">
        <v>28.31</v>
      </c>
      <c r="H35" s="73" t="n">
        <f aca="false">F35*G35</f>
        <v>254.79</v>
      </c>
      <c r="I35" s="72" t="s">
        <v>303</v>
      </c>
      <c r="J35" s="68"/>
      <c r="K35" s="68"/>
      <c r="L35" s="68"/>
      <c r="M35" s="68"/>
      <c r="N35" s="68"/>
      <c r="O35" s="68"/>
    </row>
    <row r="36" customFormat="false" ht="15" hidden="false" customHeight="true" outlineLevel="0" collapsed="false">
      <c r="A36" s="72" t="s">
        <v>11</v>
      </c>
      <c r="B36" s="72" t="s">
        <v>275</v>
      </c>
      <c r="C36" s="72" t="s">
        <v>299</v>
      </c>
      <c r="D36" s="72" t="s">
        <v>165</v>
      </c>
      <c r="E36" s="72" t="s">
        <v>277</v>
      </c>
      <c r="F36" s="72" t="n">
        <v>9</v>
      </c>
      <c r="G36" s="73" t="n">
        <v>47.79</v>
      </c>
      <c r="H36" s="73" t="n">
        <f aca="false">F36*G36</f>
        <v>430.11</v>
      </c>
      <c r="I36" s="72" t="s">
        <v>303</v>
      </c>
      <c r="J36" s="68"/>
      <c r="K36" s="68"/>
      <c r="L36" s="68"/>
      <c r="M36" s="68"/>
      <c r="N36" s="68"/>
      <c r="O36" s="68"/>
    </row>
    <row r="37" customFormat="false" ht="15" hidden="false" customHeight="true" outlineLevel="0" collapsed="false">
      <c r="A37" s="72" t="s">
        <v>11</v>
      </c>
      <c r="B37" s="72" t="s">
        <v>275</v>
      </c>
      <c r="C37" s="72" t="s">
        <v>44</v>
      </c>
      <c r="D37" s="72" t="s">
        <v>167</v>
      </c>
      <c r="E37" s="72" t="s">
        <v>277</v>
      </c>
      <c r="F37" s="72" t="n">
        <v>9</v>
      </c>
      <c r="G37" s="73" t="n">
        <v>64.54</v>
      </c>
      <c r="H37" s="73" t="n">
        <f aca="false">F37*G37</f>
        <v>580.86</v>
      </c>
      <c r="I37" s="72" t="s">
        <v>303</v>
      </c>
      <c r="J37" s="68"/>
      <c r="K37" s="68"/>
      <c r="L37" s="68"/>
      <c r="M37" s="68"/>
      <c r="N37" s="68"/>
      <c r="O37" s="68"/>
    </row>
    <row r="38" customFormat="false" ht="15" hidden="false" customHeight="true" outlineLevel="0" collapsed="false">
      <c r="A38" s="72" t="s">
        <v>11</v>
      </c>
      <c r="B38" s="72" t="s">
        <v>275</v>
      </c>
      <c r="C38" s="72" t="s">
        <v>44</v>
      </c>
      <c r="D38" s="72" t="s">
        <v>240</v>
      </c>
      <c r="E38" s="72" t="s">
        <v>277</v>
      </c>
      <c r="F38" s="72" t="n">
        <v>1</v>
      </c>
      <c r="G38" s="73" t="n">
        <v>32.79</v>
      </c>
      <c r="H38" s="73" t="n">
        <v>32.79</v>
      </c>
      <c r="I38" s="72" t="s">
        <v>310</v>
      </c>
      <c r="J38" s="68"/>
      <c r="K38" s="68"/>
      <c r="L38" s="68"/>
      <c r="M38" s="68"/>
      <c r="N38" s="68"/>
      <c r="O38" s="68"/>
    </row>
    <row r="39" customFormat="false" ht="15" hidden="false" customHeight="true" outlineLevel="0" collapsed="false">
      <c r="A39" s="72" t="s">
        <v>11</v>
      </c>
      <c r="B39" s="72" t="s">
        <v>275</v>
      </c>
      <c r="C39" s="72" t="s">
        <v>304</v>
      </c>
      <c r="D39" s="72" t="s">
        <v>170</v>
      </c>
      <c r="E39" s="72" t="s">
        <v>277</v>
      </c>
      <c r="F39" s="72" t="n">
        <v>9</v>
      </c>
      <c r="G39" s="73" t="n">
        <v>10.05</v>
      </c>
      <c r="H39" s="73" t="n">
        <f aca="false">F39*G39</f>
        <v>90.45</v>
      </c>
      <c r="I39" s="72" t="s">
        <v>303</v>
      </c>
      <c r="J39" s="68"/>
      <c r="K39" s="68"/>
      <c r="L39" s="68"/>
      <c r="M39" s="68"/>
      <c r="N39" s="68"/>
      <c r="O39" s="68"/>
    </row>
    <row r="40" customFormat="false" ht="15" hidden="false" customHeight="true" outlineLevel="0" collapsed="false">
      <c r="A40" s="72" t="s">
        <v>11</v>
      </c>
      <c r="B40" s="72" t="s">
        <v>275</v>
      </c>
      <c r="C40" s="72" t="s">
        <v>304</v>
      </c>
      <c r="D40" s="72" t="s">
        <v>173</v>
      </c>
      <c r="E40" s="72" t="s">
        <v>277</v>
      </c>
      <c r="F40" s="72" t="n">
        <v>9</v>
      </c>
      <c r="G40" s="73" t="n">
        <v>2.07</v>
      </c>
      <c r="H40" s="73" t="n">
        <f aca="false">F40*G40</f>
        <v>18.63</v>
      </c>
      <c r="I40" s="72" t="s">
        <v>303</v>
      </c>
      <c r="J40" s="68"/>
      <c r="K40" s="68"/>
      <c r="L40" s="68"/>
      <c r="M40" s="68"/>
      <c r="N40" s="68"/>
      <c r="O40" s="68"/>
    </row>
    <row r="41" customFormat="false" ht="15" hidden="false" customHeight="true" outlineLevel="0" collapsed="false">
      <c r="A41" s="72" t="s">
        <v>11</v>
      </c>
      <c r="B41" s="72" t="s">
        <v>275</v>
      </c>
      <c r="C41" s="72" t="s">
        <v>305</v>
      </c>
      <c r="D41" s="72" t="s">
        <v>194</v>
      </c>
      <c r="E41" s="72" t="s">
        <v>277</v>
      </c>
      <c r="F41" s="72" t="n">
        <v>1</v>
      </c>
      <c r="G41" s="73" t="n">
        <v>176.42</v>
      </c>
      <c r="H41" s="73" t="n">
        <v>176.42</v>
      </c>
      <c r="I41" s="72" t="s">
        <v>310</v>
      </c>
      <c r="J41" s="68"/>
      <c r="K41" s="68"/>
      <c r="L41" s="68"/>
      <c r="M41" s="68"/>
      <c r="N41" s="68"/>
      <c r="O41" s="68"/>
    </row>
    <row r="42" customFormat="false" ht="15" hidden="false" customHeight="true" outlineLevel="0" collapsed="false">
      <c r="A42" s="72" t="s">
        <v>11</v>
      </c>
      <c r="B42" s="72" t="s">
        <v>275</v>
      </c>
      <c r="C42" s="72" t="s">
        <v>305</v>
      </c>
      <c r="D42" s="72" t="s">
        <v>198</v>
      </c>
      <c r="E42" s="72" t="s">
        <v>277</v>
      </c>
      <c r="F42" s="72" t="n">
        <v>1</v>
      </c>
      <c r="G42" s="73" t="n">
        <v>265.55</v>
      </c>
      <c r="H42" s="73" t="n">
        <v>265.55</v>
      </c>
      <c r="I42" s="72" t="s">
        <v>310</v>
      </c>
      <c r="J42" s="68"/>
      <c r="K42" s="68"/>
      <c r="L42" s="68"/>
      <c r="M42" s="68"/>
      <c r="N42" s="68"/>
      <c r="O42" s="68"/>
    </row>
    <row r="43" customFormat="false" ht="15" hidden="false" customHeight="true" outlineLevel="0" collapsed="false">
      <c r="A43" s="72" t="s">
        <v>11</v>
      </c>
      <c r="B43" s="72" t="s">
        <v>275</v>
      </c>
      <c r="C43" s="72" t="s">
        <v>306</v>
      </c>
      <c r="D43" s="72" t="s">
        <v>192</v>
      </c>
      <c r="E43" s="72" t="s">
        <v>277</v>
      </c>
      <c r="F43" s="72" t="n">
        <v>9</v>
      </c>
      <c r="G43" s="73" t="n">
        <v>30</v>
      </c>
      <c r="H43" s="73" t="n">
        <f aca="false">F43*G43</f>
        <v>270</v>
      </c>
      <c r="I43" s="72" t="s">
        <v>303</v>
      </c>
      <c r="J43" s="68"/>
      <c r="K43" s="68"/>
      <c r="L43" s="68"/>
      <c r="M43" s="68"/>
      <c r="N43" s="68"/>
      <c r="O43" s="68"/>
    </row>
    <row r="44" customFormat="false" ht="15" hidden="false" customHeight="true" outlineLevel="0" collapsed="false">
      <c r="A44" s="72" t="s">
        <v>11</v>
      </c>
      <c r="B44" s="72" t="s">
        <v>275</v>
      </c>
      <c r="C44" s="72" t="s">
        <v>299</v>
      </c>
      <c r="D44" s="72" t="s">
        <v>241</v>
      </c>
      <c r="E44" s="72" t="s">
        <v>279</v>
      </c>
      <c r="F44" s="72" t="n">
        <v>1</v>
      </c>
      <c r="G44" s="73" t="n">
        <v>31149.92</v>
      </c>
      <c r="H44" s="73" t="n">
        <f aca="false">F44*G44</f>
        <v>31149.92</v>
      </c>
      <c r="I44" s="72" t="s">
        <v>311</v>
      </c>
      <c r="J44" s="68"/>
      <c r="K44" s="68"/>
      <c r="L44" s="68"/>
      <c r="M44" s="68"/>
      <c r="N44" s="68"/>
      <c r="O44" s="68"/>
    </row>
    <row r="45" customFormat="false" ht="15" hidden="false" customHeight="true" outlineLevel="0" collapsed="false">
      <c r="A45" s="72" t="s">
        <v>11</v>
      </c>
      <c r="B45" s="72" t="s">
        <v>275</v>
      </c>
      <c r="C45" s="72" t="s">
        <v>299</v>
      </c>
      <c r="D45" s="72" t="s">
        <v>301</v>
      </c>
      <c r="E45" s="72" t="s">
        <v>279</v>
      </c>
      <c r="F45" s="72" t="n">
        <v>1</v>
      </c>
      <c r="G45" s="73" t="n">
        <v>222</v>
      </c>
      <c r="H45" s="73" t="n">
        <v>222</v>
      </c>
      <c r="I45" s="72" t="s">
        <v>312</v>
      </c>
      <c r="J45" s="68"/>
      <c r="K45" s="68"/>
      <c r="L45" s="68"/>
      <c r="M45" s="68"/>
      <c r="N45" s="68"/>
      <c r="O45" s="68"/>
    </row>
    <row r="46" customFormat="false" ht="15" hidden="false" customHeight="true" outlineLevel="0" collapsed="false">
      <c r="A46" s="72" t="s">
        <v>11</v>
      </c>
      <c r="B46" s="72" t="s">
        <v>275</v>
      </c>
      <c r="C46" s="72" t="s">
        <v>299</v>
      </c>
      <c r="D46" s="72" t="s">
        <v>166</v>
      </c>
      <c r="E46" s="72" t="s">
        <v>279</v>
      </c>
      <c r="F46" s="72" t="n">
        <v>7</v>
      </c>
      <c r="G46" s="73" t="n">
        <v>28.31</v>
      </c>
      <c r="H46" s="73" t="n">
        <f aca="false">F46*G46</f>
        <v>198.17</v>
      </c>
      <c r="I46" s="72" t="s">
        <v>303</v>
      </c>
      <c r="J46" s="68"/>
      <c r="K46" s="68"/>
      <c r="L46" s="68"/>
      <c r="M46" s="68"/>
      <c r="N46" s="68"/>
      <c r="O46" s="68"/>
    </row>
    <row r="47" customFormat="false" ht="15" hidden="false" customHeight="true" outlineLevel="0" collapsed="false">
      <c r="A47" s="72" t="s">
        <v>11</v>
      </c>
      <c r="B47" s="72" t="s">
        <v>275</v>
      </c>
      <c r="C47" s="72" t="s">
        <v>299</v>
      </c>
      <c r="D47" s="72" t="s">
        <v>165</v>
      </c>
      <c r="E47" s="72" t="s">
        <v>279</v>
      </c>
      <c r="F47" s="72" t="n">
        <v>7</v>
      </c>
      <c r="G47" s="73" t="n">
        <v>47.79</v>
      </c>
      <c r="H47" s="73" t="n">
        <f aca="false">F47*G47</f>
        <v>334.53</v>
      </c>
      <c r="I47" s="72" t="s">
        <v>303</v>
      </c>
      <c r="J47" s="68"/>
      <c r="K47" s="68"/>
      <c r="L47" s="68"/>
      <c r="M47" s="68"/>
      <c r="N47" s="68"/>
      <c r="O47" s="68"/>
    </row>
    <row r="48" customFormat="false" ht="15" hidden="false" customHeight="true" outlineLevel="0" collapsed="false">
      <c r="A48" s="72" t="s">
        <v>11</v>
      </c>
      <c r="B48" s="72" t="s">
        <v>275</v>
      </c>
      <c r="C48" s="72" t="s">
        <v>44</v>
      </c>
      <c r="D48" s="72" t="s">
        <v>167</v>
      </c>
      <c r="E48" s="72" t="s">
        <v>279</v>
      </c>
      <c r="F48" s="72" t="n">
        <v>7</v>
      </c>
      <c r="G48" s="73" t="n">
        <v>64.54</v>
      </c>
      <c r="H48" s="73" t="n">
        <f aca="false">F48*G48</f>
        <v>451.78</v>
      </c>
      <c r="I48" s="72" t="s">
        <v>303</v>
      </c>
      <c r="J48" s="68"/>
      <c r="K48" s="68"/>
      <c r="L48" s="68"/>
      <c r="M48" s="68"/>
      <c r="N48" s="68"/>
      <c r="O48" s="68"/>
    </row>
    <row r="49" customFormat="false" ht="15" hidden="false" customHeight="true" outlineLevel="0" collapsed="false">
      <c r="A49" s="72" t="s">
        <v>11</v>
      </c>
      <c r="B49" s="72" t="s">
        <v>275</v>
      </c>
      <c r="C49" s="72" t="s">
        <v>44</v>
      </c>
      <c r="D49" s="72" t="s">
        <v>240</v>
      </c>
      <c r="E49" s="72" t="s">
        <v>279</v>
      </c>
      <c r="F49" s="72" t="n">
        <v>1</v>
      </c>
      <c r="G49" s="73" t="n">
        <v>25.5</v>
      </c>
      <c r="H49" s="73" t="n">
        <v>25.5</v>
      </c>
      <c r="I49" s="72" t="s">
        <v>312</v>
      </c>
      <c r="J49" s="68"/>
      <c r="K49" s="68"/>
      <c r="L49" s="68"/>
      <c r="M49" s="68"/>
      <c r="N49" s="68"/>
      <c r="O49" s="68"/>
    </row>
    <row r="50" customFormat="false" ht="15" hidden="false" customHeight="true" outlineLevel="0" collapsed="false">
      <c r="A50" s="72" t="s">
        <v>11</v>
      </c>
      <c r="B50" s="72" t="s">
        <v>275</v>
      </c>
      <c r="C50" s="72" t="s">
        <v>304</v>
      </c>
      <c r="D50" s="72" t="s">
        <v>170</v>
      </c>
      <c r="E50" s="72" t="s">
        <v>279</v>
      </c>
      <c r="F50" s="72" t="n">
        <v>7</v>
      </c>
      <c r="G50" s="73" t="n">
        <v>10.05</v>
      </c>
      <c r="H50" s="73" t="n">
        <f aca="false">F50*G50</f>
        <v>70.35</v>
      </c>
      <c r="I50" s="72" t="s">
        <v>303</v>
      </c>
      <c r="J50" s="68"/>
      <c r="K50" s="68"/>
      <c r="L50" s="68"/>
      <c r="M50" s="68"/>
      <c r="N50" s="68"/>
      <c r="O50" s="68"/>
    </row>
    <row r="51" customFormat="false" ht="15" hidden="false" customHeight="true" outlineLevel="0" collapsed="false">
      <c r="A51" s="72" t="s">
        <v>11</v>
      </c>
      <c r="B51" s="72" t="s">
        <v>275</v>
      </c>
      <c r="C51" s="72" t="s">
        <v>304</v>
      </c>
      <c r="D51" s="72" t="s">
        <v>173</v>
      </c>
      <c r="E51" s="72" t="s">
        <v>279</v>
      </c>
      <c r="F51" s="72" t="n">
        <v>7</v>
      </c>
      <c r="G51" s="73" t="n">
        <v>2.07</v>
      </c>
      <c r="H51" s="73" t="n">
        <f aca="false">F51*G51</f>
        <v>14.49</v>
      </c>
      <c r="I51" s="72" t="s">
        <v>303</v>
      </c>
      <c r="J51" s="68"/>
      <c r="K51" s="68"/>
      <c r="L51" s="68"/>
      <c r="M51" s="68"/>
      <c r="N51" s="68"/>
      <c r="O51" s="68"/>
    </row>
    <row r="52" customFormat="false" ht="15" hidden="false" customHeight="true" outlineLevel="0" collapsed="false">
      <c r="A52" s="72" t="s">
        <v>11</v>
      </c>
      <c r="B52" s="72" t="s">
        <v>275</v>
      </c>
      <c r="C52" s="72" t="s">
        <v>305</v>
      </c>
      <c r="D52" s="72" t="s">
        <v>194</v>
      </c>
      <c r="E52" s="72" t="s">
        <v>279</v>
      </c>
      <c r="F52" s="72" t="n">
        <v>1</v>
      </c>
      <c r="G52" s="73" t="n">
        <v>137.22</v>
      </c>
      <c r="H52" s="73" t="n">
        <v>137.22</v>
      </c>
      <c r="I52" s="72" t="s">
        <v>312</v>
      </c>
      <c r="J52" s="68"/>
      <c r="K52" s="68"/>
      <c r="L52" s="68"/>
      <c r="M52" s="68"/>
      <c r="N52" s="68"/>
      <c r="O52" s="68"/>
    </row>
    <row r="53" customFormat="false" ht="15" hidden="false" customHeight="true" outlineLevel="0" collapsed="false">
      <c r="A53" s="72" t="s">
        <v>11</v>
      </c>
      <c r="B53" s="72" t="s">
        <v>275</v>
      </c>
      <c r="C53" s="72" t="s">
        <v>305</v>
      </c>
      <c r="D53" s="72" t="s">
        <v>198</v>
      </c>
      <c r="E53" s="72" t="s">
        <v>279</v>
      </c>
      <c r="F53" s="72" t="n">
        <v>1</v>
      </c>
      <c r="G53" s="73" t="n">
        <v>206.54</v>
      </c>
      <c r="H53" s="73" t="n">
        <v>206.54</v>
      </c>
      <c r="I53" s="72" t="s">
        <v>312</v>
      </c>
      <c r="J53" s="68"/>
      <c r="K53" s="68"/>
      <c r="L53" s="68"/>
      <c r="M53" s="68"/>
      <c r="N53" s="68"/>
      <c r="O53" s="68"/>
    </row>
    <row r="54" customFormat="false" ht="15" hidden="false" customHeight="true" outlineLevel="0" collapsed="false">
      <c r="A54" s="72" t="s">
        <v>11</v>
      </c>
      <c r="B54" s="72" t="s">
        <v>275</v>
      </c>
      <c r="C54" s="72" t="s">
        <v>306</v>
      </c>
      <c r="D54" s="72" t="s">
        <v>192</v>
      </c>
      <c r="E54" s="72" t="s">
        <v>279</v>
      </c>
      <c r="F54" s="72" t="n">
        <v>7</v>
      </c>
      <c r="G54" s="73" t="n">
        <v>30</v>
      </c>
      <c r="H54" s="73" t="n">
        <f aca="false">F54*G54</f>
        <v>210</v>
      </c>
      <c r="I54" s="72" t="s">
        <v>303</v>
      </c>
      <c r="J54" s="68"/>
      <c r="K54" s="68"/>
      <c r="L54" s="68"/>
      <c r="M54" s="68"/>
      <c r="N54" s="68"/>
      <c r="O54" s="68"/>
    </row>
    <row r="55" customFormat="false" ht="15" hidden="false" customHeight="true" outlineLevel="0" collapsed="false">
      <c r="A55" s="72" t="s">
        <v>11</v>
      </c>
      <c r="B55" s="72" t="s">
        <v>275</v>
      </c>
      <c r="C55" s="72" t="s">
        <v>307</v>
      </c>
      <c r="D55" s="72" t="s">
        <v>186</v>
      </c>
      <c r="E55" s="72" t="s">
        <v>279</v>
      </c>
      <c r="F55" s="72" t="n">
        <v>1</v>
      </c>
      <c r="G55" s="73" t="n">
        <v>1081.14</v>
      </c>
      <c r="H55" s="73" t="n">
        <f aca="false">F55*G55</f>
        <v>1081.14</v>
      </c>
      <c r="I55" s="72" t="s">
        <v>313</v>
      </c>
      <c r="J55" s="68"/>
      <c r="K55" s="68"/>
      <c r="L55" s="68"/>
      <c r="M55" s="68"/>
      <c r="N55" s="68"/>
      <c r="O55" s="68"/>
    </row>
    <row r="56" customFormat="false" ht="15" hidden="false" customHeight="true" outlineLevel="0" collapsed="false">
      <c r="A56" s="72" t="s">
        <v>11</v>
      </c>
      <c r="B56" s="72" t="s">
        <v>275</v>
      </c>
      <c r="C56" s="72" t="s">
        <v>299</v>
      </c>
      <c r="D56" s="72" t="s">
        <v>241</v>
      </c>
      <c r="E56" s="72" t="s">
        <v>280</v>
      </c>
      <c r="F56" s="72" t="n">
        <v>1</v>
      </c>
      <c r="G56" s="73" t="n">
        <v>30187.4191733333</v>
      </c>
      <c r="H56" s="73" t="n">
        <f aca="false">F56*G56</f>
        <v>30187.4191733333</v>
      </c>
      <c r="I56" s="72" t="s">
        <v>314</v>
      </c>
      <c r="J56" s="68"/>
      <c r="K56" s="68"/>
      <c r="L56" s="68"/>
      <c r="M56" s="68"/>
      <c r="N56" s="68"/>
      <c r="O56" s="68"/>
    </row>
    <row r="57" customFormat="false" ht="15" hidden="false" customHeight="true" outlineLevel="0" collapsed="false">
      <c r="A57" s="72" t="s">
        <v>11</v>
      </c>
      <c r="B57" s="72" t="s">
        <v>275</v>
      </c>
      <c r="C57" s="72" t="s">
        <v>299</v>
      </c>
      <c r="D57" s="72" t="s">
        <v>301</v>
      </c>
      <c r="E57" s="72" t="s">
        <v>280</v>
      </c>
      <c r="F57" s="72" t="n">
        <v>1</v>
      </c>
      <c r="G57" s="73" t="n">
        <v>348.86</v>
      </c>
      <c r="H57" s="73" t="n">
        <v>348.86</v>
      </c>
      <c r="I57" s="72" t="s">
        <v>315</v>
      </c>
      <c r="J57" s="68"/>
      <c r="K57" s="68"/>
      <c r="L57" s="68"/>
      <c r="M57" s="68"/>
      <c r="N57" s="68"/>
      <c r="O57" s="68"/>
    </row>
    <row r="58" customFormat="false" ht="15" hidden="false" customHeight="true" outlineLevel="0" collapsed="false">
      <c r="A58" s="72" t="s">
        <v>11</v>
      </c>
      <c r="B58" s="72" t="s">
        <v>275</v>
      </c>
      <c r="C58" s="72" t="s">
        <v>299</v>
      </c>
      <c r="D58" s="72" t="s">
        <v>166</v>
      </c>
      <c r="E58" s="72" t="s">
        <v>280</v>
      </c>
      <c r="F58" s="72" t="n">
        <v>11</v>
      </c>
      <c r="G58" s="73" t="n">
        <v>28.31</v>
      </c>
      <c r="H58" s="73" t="n">
        <f aca="false">F58*G58</f>
        <v>311.41</v>
      </c>
      <c r="I58" s="72" t="s">
        <v>303</v>
      </c>
      <c r="J58" s="68"/>
      <c r="K58" s="68"/>
      <c r="L58" s="68"/>
      <c r="M58" s="68"/>
      <c r="N58" s="68"/>
      <c r="O58" s="68"/>
    </row>
    <row r="59" customFormat="false" ht="15" hidden="false" customHeight="true" outlineLevel="0" collapsed="false">
      <c r="A59" s="72" t="s">
        <v>11</v>
      </c>
      <c r="B59" s="72" t="s">
        <v>275</v>
      </c>
      <c r="C59" s="72" t="s">
        <v>299</v>
      </c>
      <c r="D59" s="72" t="s">
        <v>165</v>
      </c>
      <c r="E59" s="72" t="s">
        <v>280</v>
      </c>
      <c r="F59" s="72" t="n">
        <v>11</v>
      </c>
      <c r="G59" s="73" t="n">
        <v>47.79</v>
      </c>
      <c r="H59" s="73" t="n">
        <f aca="false">F59*G59</f>
        <v>525.69</v>
      </c>
      <c r="I59" s="72" t="s">
        <v>303</v>
      </c>
      <c r="J59" s="68"/>
      <c r="K59" s="68"/>
      <c r="L59" s="68"/>
      <c r="M59" s="68"/>
      <c r="N59" s="68"/>
      <c r="O59" s="68"/>
    </row>
    <row r="60" customFormat="false" ht="15" hidden="false" customHeight="true" outlineLevel="0" collapsed="false">
      <c r="A60" s="72" t="s">
        <v>11</v>
      </c>
      <c r="B60" s="72" t="s">
        <v>275</v>
      </c>
      <c r="C60" s="72" t="s">
        <v>44</v>
      </c>
      <c r="D60" s="72" t="s">
        <v>167</v>
      </c>
      <c r="E60" s="72" t="s">
        <v>280</v>
      </c>
      <c r="F60" s="72" t="n">
        <v>11</v>
      </c>
      <c r="G60" s="73" t="n">
        <v>64.54</v>
      </c>
      <c r="H60" s="73" t="n">
        <f aca="false">F60*G60</f>
        <v>709.94</v>
      </c>
      <c r="I60" s="72" t="s">
        <v>303</v>
      </c>
      <c r="J60" s="68"/>
      <c r="K60" s="68"/>
      <c r="L60" s="68"/>
      <c r="M60" s="68"/>
      <c r="N60" s="68"/>
      <c r="O60" s="68"/>
    </row>
    <row r="61" customFormat="false" ht="15" hidden="false" customHeight="true" outlineLevel="0" collapsed="false">
      <c r="A61" s="72" t="s">
        <v>11</v>
      </c>
      <c r="B61" s="72" t="s">
        <v>275</v>
      </c>
      <c r="C61" s="72" t="s">
        <v>44</v>
      </c>
      <c r="D61" s="72" t="s">
        <v>240</v>
      </c>
      <c r="E61" s="72" t="s">
        <v>280</v>
      </c>
      <c r="F61" s="72" t="n">
        <v>1</v>
      </c>
      <c r="G61" s="73" t="n">
        <v>40.07</v>
      </c>
      <c r="H61" s="73" t="n">
        <v>40.07</v>
      </c>
      <c r="I61" s="72" t="s">
        <v>315</v>
      </c>
      <c r="J61" s="68"/>
      <c r="K61" s="68"/>
      <c r="L61" s="68"/>
      <c r="M61" s="68"/>
      <c r="N61" s="68"/>
      <c r="O61" s="68"/>
    </row>
    <row r="62" customFormat="false" ht="15" hidden="false" customHeight="true" outlineLevel="0" collapsed="false">
      <c r="A62" s="72" t="s">
        <v>11</v>
      </c>
      <c r="B62" s="72" t="s">
        <v>275</v>
      </c>
      <c r="C62" s="72" t="s">
        <v>304</v>
      </c>
      <c r="D62" s="72" t="s">
        <v>170</v>
      </c>
      <c r="E62" s="72" t="s">
        <v>280</v>
      </c>
      <c r="F62" s="72" t="n">
        <v>11</v>
      </c>
      <c r="G62" s="73" t="n">
        <v>10.05</v>
      </c>
      <c r="H62" s="73" t="n">
        <f aca="false">F62*G62</f>
        <v>110.55</v>
      </c>
      <c r="I62" s="72" t="s">
        <v>303</v>
      </c>
      <c r="J62" s="68"/>
      <c r="K62" s="68"/>
      <c r="L62" s="68"/>
      <c r="M62" s="68"/>
      <c r="N62" s="68"/>
      <c r="O62" s="68"/>
    </row>
    <row r="63" customFormat="false" ht="15" hidden="false" customHeight="true" outlineLevel="0" collapsed="false">
      <c r="A63" s="72" t="s">
        <v>11</v>
      </c>
      <c r="B63" s="72" t="s">
        <v>275</v>
      </c>
      <c r="C63" s="72" t="s">
        <v>304</v>
      </c>
      <c r="D63" s="72" t="s">
        <v>173</v>
      </c>
      <c r="E63" s="72" t="s">
        <v>280</v>
      </c>
      <c r="F63" s="72" t="n">
        <v>11</v>
      </c>
      <c r="G63" s="73" t="n">
        <v>2.07</v>
      </c>
      <c r="H63" s="73" t="n">
        <f aca="false">F63*G63</f>
        <v>22.77</v>
      </c>
      <c r="I63" s="72" t="s">
        <v>303</v>
      </c>
      <c r="J63" s="68"/>
      <c r="K63" s="68"/>
      <c r="L63" s="68"/>
      <c r="M63" s="68"/>
      <c r="N63" s="68"/>
      <c r="O63" s="68"/>
    </row>
    <row r="64" customFormat="false" ht="15" hidden="false" customHeight="true" outlineLevel="0" collapsed="false">
      <c r="A64" s="72" t="s">
        <v>11</v>
      </c>
      <c r="B64" s="72" t="s">
        <v>275</v>
      </c>
      <c r="C64" s="72" t="s">
        <v>305</v>
      </c>
      <c r="D64" s="72" t="s">
        <v>194</v>
      </c>
      <c r="E64" s="72" t="s">
        <v>280</v>
      </c>
      <c r="F64" s="72" t="n">
        <v>1</v>
      </c>
      <c r="G64" s="73" t="n">
        <v>215.62</v>
      </c>
      <c r="H64" s="73" t="n">
        <v>215.62</v>
      </c>
      <c r="I64" s="72" t="s">
        <v>315</v>
      </c>
      <c r="J64" s="68"/>
      <c r="K64" s="68"/>
      <c r="L64" s="68"/>
      <c r="M64" s="68"/>
      <c r="N64" s="68"/>
      <c r="O64" s="68"/>
    </row>
    <row r="65" customFormat="false" ht="15" hidden="false" customHeight="true" outlineLevel="0" collapsed="false">
      <c r="A65" s="72" t="s">
        <v>11</v>
      </c>
      <c r="B65" s="72" t="s">
        <v>275</v>
      </c>
      <c r="C65" s="72" t="s">
        <v>305</v>
      </c>
      <c r="D65" s="72" t="s">
        <v>198</v>
      </c>
      <c r="E65" s="72" t="s">
        <v>280</v>
      </c>
      <c r="F65" s="72" t="n">
        <v>1</v>
      </c>
      <c r="G65" s="73" t="n">
        <v>324.56</v>
      </c>
      <c r="H65" s="73" t="n">
        <v>324.56</v>
      </c>
      <c r="I65" s="72" t="s">
        <v>315</v>
      </c>
      <c r="J65" s="68"/>
      <c r="K65" s="68"/>
      <c r="L65" s="68"/>
      <c r="M65" s="68"/>
      <c r="N65" s="68"/>
      <c r="O65" s="68"/>
    </row>
    <row r="66" customFormat="false" ht="15" hidden="false" customHeight="true" outlineLevel="0" collapsed="false">
      <c r="A66" s="72" t="s">
        <v>11</v>
      </c>
      <c r="B66" s="72" t="s">
        <v>275</v>
      </c>
      <c r="C66" s="72" t="s">
        <v>306</v>
      </c>
      <c r="D66" s="72" t="s">
        <v>192</v>
      </c>
      <c r="E66" s="72" t="s">
        <v>280</v>
      </c>
      <c r="F66" s="72" t="n">
        <v>11</v>
      </c>
      <c r="G66" s="73" t="n">
        <v>30</v>
      </c>
      <c r="H66" s="73" t="n">
        <f aca="false">F66*G66</f>
        <v>330</v>
      </c>
      <c r="I66" s="72" t="s">
        <v>303</v>
      </c>
      <c r="J66" s="68"/>
      <c r="K66" s="68"/>
      <c r="L66" s="68"/>
      <c r="M66" s="68"/>
      <c r="N66" s="68"/>
      <c r="O66" s="68"/>
    </row>
    <row r="67" customFormat="false" ht="15" hidden="false" customHeight="true" outlineLevel="0" collapsed="false">
      <c r="A67" s="72" t="s">
        <v>11</v>
      </c>
      <c r="B67" s="72" t="s">
        <v>275</v>
      </c>
      <c r="C67" s="72" t="s">
        <v>307</v>
      </c>
      <c r="D67" s="72" t="s">
        <v>186</v>
      </c>
      <c r="E67" s="72" t="s">
        <v>280</v>
      </c>
      <c r="F67" s="72" t="n">
        <v>1</v>
      </c>
      <c r="G67" s="73" t="n">
        <v>0</v>
      </c>
      <c r="H67" s="73" t="n">
        <f aca="false">F67*G67</f>
        <v>0</v>
      </c>
      <c r="I67" s="72" t="s">
        <v>316</v>
      </c>
      <c r="J67" s="68"/>
      <c r="K67" s="68"/>
      <c r="L67" s="68"/>
      <c r="M67" s="68"/>
      <c r="N67" s="68"/>
      <c r="O67" s="68"/>
    </row>
    <row r="68" customFormat="false" ht="15" hidden="false" customHeight="true" outlineLevel="0" collapsed="false">
      <c r="A68" s="72" t="s">
        <v>11</v>
      </c>
      <c r="B68" s="72" t="s">
        <v>282</v>
      </c>
      <c r="C68" s="72" t="s">
        <v>299</v>
      </c>
      <c r="D68" s="72" t="s">
        <v>241</v>
      </c>
      <c r="E68" s="72" t="s">
        <v>280</v>
      </c>
      <c r="F68" s="72" t="n">
        <v>1</v>
      </c>
      <c r="G68" s="73" t="n">
        <v>3939.82</v>
      </c>
      <c r="H68" s="73" t="n">
        <f aca="false">F68*G68</f>
        <v>3939.82</v>
      </c>
      <c r="I68" s="72" t="s">
        <v>317</v>
      </c>
      <c r="J68" s="68"/>
      <c r="K68" s="68"/>
      <c r="L68" s="68"/>
      <c r="M68" s="68"/>
      <c r="N68" s="68"/>
      <c r="O68" s="68"/>
    </row>
    <row r="69" customFormat="false" ht="15" hidden="false" customHeight="true" outlineLevel="0" collapsed="false">
      <c r="A69" s="72" t="s">
        <v>11</v>
      </c>
      <c r="B69" s="72" t="s">
        <v>282</v>
      </c>
      <c r="C69" s="72" t="s">
        <v>299</v>
      </c>
      <c r="D69" s="72" t="s">
        <v>166</v>
      </c>
      <c r="E69" s="72" t="s">
        <v>280</v>
      </c>
      <c r="F69" s="72" t="n">
        <v>2</v>
      </c>
      <c r="G69" s="73" t="n">
        <v>28.31</v>
      </c>
      <c r="H69" s="73" t="n">
        <f aca="false">F69*G69</f>
        <v>56.62</v>
      </c>
      <c r="I69" s="72" t="s">
        <v>303</v>
      </c>
      <c r="J69" s="68"/>
      <c r="K69" s="68"/>
      <c r="L69" s="68"/>
      <c r="M69" s="68"/>
      <c r="N69" s="68"/>
      <c r="O69" s="68"/>
    </row>
    <row r="70" customFormat="false" ht="15" hidden="false" customHeight="true" outlineLevel="0" collapsed="false">
      <c r="A70" s="72" t="s">
        <v>11</v>
      </c>
      <c r="B70" s="72" t="s">
        <v>282</v>
      </c>
      <c r="C70" s="72" t="s">
        <v>299</v>
      </c>
      <c r="D70" s="72" t="s">
        <v>165</v>
      </c>
      <c r="E70" s="72" t="s">
        <v>280</v>
      </c>
      <c r="F70" s="72" t="n">
        <v>2</v>
      </c>
      <c r="G70" s="73" t="n">
        <v>47.79</v>
      </c>
      <c r="H70" s="73" t="n">
        <f aca="false">F70*G70</f>
        <v>95.58</v>
      </c>
      <c r="I70" s="72" t="s">
        <v>303</v>
      </c>
      <c r="J70" s="68"/>
      <c r="K70" s="68"/>
      <c r="L70" s="68"/>
      <c r="M70" s="68"/>
      <c r="N70" s="68"/>
      <c r="O70" s="68"/>
    </row>
    <row r="71" customFormat="false" ht="15" hidden="false" customHeight="true" outlineLevel="0" collapsed="false">
      <c r="A71" s="72" t="s">
        <v>11</v>
      </c>
      <c r="B71" s="72" t="s">
        <v>282</v>
      </c>
      <c r="C71" s="72" t="s">
        <v>44</v>
      </c>
      <c r="D71" s="72" t="s">
        <v>167</v>
      </c>
      <c r="E71" s="72" t="s">
        <v>280</v>
      </c>
      <c r="F71" s="72" t="n">
        <v>2</v>
      </c>
      <c r="G71" s="73" t="n">
        <v>64.54</v>
      </c>
      <c r="H71" s="73" t="n">
        <f aca="false">F71*G71</f>
        <v>129.08</v>
      </c>
      <c r="I71" s="72" t="s">
        <v>303</v>
      </c>
      <c r="J71" s="68"/>
      <c r="K71" s="68"/>
      <c r="L71" s="68"/>
      <c r="M71" s="68"/>
      <c r="N71" s="68"/>
      <c r="O71" s="68"/>
    </row>
    <row r="72" customFormat="false" ht="15" hidden="false" customHeight="true" outlineLevel="0" collapsed="false">
      <c r="A72" s="72" t="s">
        <v>11</v>
      </c>
      <c r="B72" s="72" t="s">
        <v>282</v>
      </c>
      <c r="C72" s="72" t="s">
        <v>304</v>
      </c>
      <c r="D72" s="72" t="s">
        <v>170</v>
      </c>
      <c r="E72" s="72" t="s">
        <v>280</v>
      </c>
      <c r="F72" s="72" t="n">
        <v>2</v>
      </c>
      <c r="G72" s="73" t="n">
        <v>10.05</v>
      </c>
      <c r="H72" s="73" t="n">
        <f aca="false">F72*G72</f>
        <v>20.1</v>
      </c>
      <c r="I72" s="72" t="s">
        <v>303</v>
      </c>
      <c r="J72" s="68"/>
      <c r="K72" s="68"/>
      <c r="L72" s="68"/>
      <c r="M72" s="68"/>
      <c r="N72" s="68"/>
      <c r="O72" s="68"/>
    </row>
    <row r="73" customFormat="false" ht="15" hidden="false" customHeight="true" outlineLevel="0" collapsed="false">
      <c r="A73" s="72" t="s">
        <v>11</v>
      </c>
      <c r="B73" s="72" t="s">
        <v>282</v>
      </c>
      <c r="C73" s="72" t="s">
        <v>304</v>
      </c>
      <c r="D73" s="72" t="s">
        <v>173</v>
      </c>
      <c r="E73" s="72" t="s">
        <v>280</v>
      </c>
      <c r="F73" s="72" t="n">
        <v>2</v>
      </c>
      <c r="G73" s="73" t="n">
        <v>2.07</v>
      </c>
      <c r="H73" s="73" t="n">
        <f aca="false">F73*G73</f>
        <v>4.14</v>
      </c>
      <c r="I73" s="72" t="s">
        <v>303</v>
      </c>
      <c r="J73" s="68"/>
      <c r="K73" s="68"/>
      <c r="L73" s="68"/>
      <c r="M73" s="68"/>
      <c r="N73" s="68"/>
      <c r="O73" s="68"/>
    </row>
    <row r="74" customFormat="false" ht="15" hidden="false" customHeight="true" outlineLevel="0" collapsed="false">
      <c r="A74" s="72" t="s">
        <v>11</v>
      </c>
      <c r="B74" s="72" t="s">
        <v>282</v>
      </c>
      <c r="C74" s="72" t="s">
        <v>306</v>
      </c>
      <c r="D74" s="72" t="s">
        <v>192</v>
      </c>
      <c r="E74" s="72" t="s">
        <v>280</v>
      </c>
      <c r="F74" s="72" t="n">
        <v>2</v>
      </c>
      <c r="G74" s="73" t="n">
        <v>30</v>
      </c>
      <c r="H74" s="73" t="n">
        <f aca="false">F74*G74</f>
        <v>60</v>
      </c>
      <c r="I74" s="72" t="s">
        <v>303</v>
      </c>
      <c r="J74" s="68"/>
      <c r="K74" s="68"/>
      <c r="L74" s="68"/>
      <c r="M74" s="68"/>
      <c r="N74" s="68"/>
      <c r="O74" s="68"/>
    </row>
    <row r="75" customFormat="false" ht="15" hidden="false" customHeight="true" outlineLevel="0" collapsed="false">
      <c r="A75" s="72" t="s">
        <v>11</v>
      </c>
      <c r="B75" s="72" t="s">
        <v>282</v>
      </c>
      <c r="C75" s="72" t="s">
        <v>307</v>
      </c>
      <c r="D75" s="72" t="s">
        <v>186</v>
      </c>
      <c r="E75" s="72" t="s">
        <v>280</v>
      </c>
      <c r="F75" s="72" t="n">
        <v>1</v>
      </c>
      <c r="G75" s="73" t="n">
        <v>696.8</v>
      </c>
      <c r="H75" s="73" t="n">
        <f aca="false">F75*G75</f>
        <v>696.8</v>
      </c>
      <c r="I75" s="72" t="s">
        <v>313</v>
      </c>
      <c r="J75" s="68"/>
      <c r="K75" s="68"/>
      <c r="L75" s="68"/>
      <c r="M75" s="68"/>
      <c r="N75" s="68"/>
      <c r="O75" s="68"/>
    </row>
    <row r="76" customFormat="false" ht="15" hidden="false" customHeight="true" outlineLevel="0" collapsed="false">
      <c r="A76" s="72" t="s">
        <v>11</v>
      </c>
      <c r="B76" s="72" t="s">
        <v>275</v>
      </c>
      <c r="C76" s="72" t="s">
        <v>299</v>
      </c>
      <c r="D76" s="72" t="s">
        <v>241</v>
      </c>
      <c r="E76" s="72" t="s">
        <v>283</v>
      </c>
      <c r="F76" s="72" t="n">
        <v>1</v>
      </c>
      <c r="G76" s="73" t="n">
        <v>91897.76</v>
      </c>
      <c r="H76" s="73" t="n">
        <f aca="false">F76*G76</f>
        <v>91897.76</v>
      </c>
      <c r="I76" s="72" t="s">
        <v>318</v>
      </c>
      <c r="J76" s="68"/>
      <c r="K76" s="68"/>
      <c r="L76" s="68"/>
      <c r="M76" s="68"/>
      <c r="N76" s="68"/>
      <c r="O76" s="68"/>
    </row>
    <row r="77" customFormat="false" ht="15" hidden="false" customHeight="true" outlineLevel="0" collapsed="false">
      <c r="A77" s="72" t="s">
        <v>11</v>
      </c>
      <c r="B77" s="72" t="s">
        <v>275</v>
      </c>
      <c r="C77" s="72" t="s">
        <v>299</v>
      </c>
      <c r="D77" s="72" t="s">
        <v>301</v>
      </c>
      <c r="E77" s="72" t="s">
        <v>283</v>
      </c>
      <c r="F77" s="72" t="n">
        <v>1</v>
      </c>
      <c r="G77" s="73" t="n">
        <v>570.86</v>
      </c>
      <c r="H77" s="73" t="n">
        <v>570.86</v>
      </c>
      <c r="I77" s="72" t="s">
        <v>319</v>
      </c>
      <c r="J77" s="68"/>
      <c r="K77" s="68"/>
      <c r="L77" s="68"/>
      <c r="M77" s="68"/>
      <c r="N77" s="68"/>
      <c r="O77" s="68"/>
    </row>
    <row r="78" customFormat="false" ht="15" hidden="false" customHeight="true" outlineLevel="0" collapsed="false">
      <c r="A78" s="72" t="s">
        <v>11</v>
      </c>
      <c r="B78" s="72" t="s">
        <v>275</v>
      </c>
      <c r="C78" s="72" t="s">
        <v>299</v>
      </c>
      <c r="D78" s="72" t="s">
        <v>166</v>
      </c>
      <c r="E78" s="72" t="s">
        <v>283</v>
      </c>
      <c r="F78" s="72" t="n">
        <v>18</v>
      </c>
      <c r="G78" s="73" t="n">
        <v>28.31</v>
      </c>
      <c r="H78" s="73" t="n">
        <f aca="false">F78*G78</f>
        <v>509.58</v>
      </c>
      <c r="I78" s="72" t="s">
        <v>303</v>
      </c>
      <c r="J78" s="68"/>
      <c r="K78" s="68"/>
      <c r="L78" s="68"/>
      <c r="M78" s="68"/>
      <c r="N78" s="68"/>
      <c r="O78" s="68"/>
    </row>
    <row r="79" customFormat="false" ht="15" hidden="false" customHeight="true" outlineLevel="0" collapsed="false">
      <c r="A79" s="72" t="s">
        <v>11</v>
      </c>
      <c r="B79" s="72" t="s">
        <v>275</v>
      </c>
      <c r="C79" s="72" t="s">
        <v>299</v>
      </c>
      <c r="D79" s="72" t="s">
        <v>165</v>
      </c>
      <c r="E79" s="72" t="s">
        <v>283</v>
      </c>
      <c r="F79" s="72" t="n">
        <v>18</v>
      </c>
      <c r="G79" s="73" t="n">
        <v>47.79</v>
      </c>
      <c r="H79" s="73" t="n">
        <f aca="false">F79*G79</f>
        <v>860.22</v>
      </c>
      <c r="I79" s="72" t="s">
        <v>303</v>
      </c>
      <c r="J79" s="68"/>
      <c r="K79" s="68"/>
      <c r="L79" s="68"/>
      <c r="M79" s="68"/>
      <c r="N79" s="68"/>
      <c r="O79" s="68"/>
    </row>
    <row r="80" customFormat="false" ht="15" hidden="false" customHeight="true" outlineLevel="0" collapsed="false">
      <c r="A80" s="72" t="s">
        <v>11</v>
      </c>
      <c r="B80" s="72" t="s">
        <v>275</v>
      </c>
      <c r="C80" s="72" t="s">
        <v>44</v>
      </c>
      <c r="D80" s="72" t="s">
        <v>167</v>
      </c>
      <c r="E80" s="72" t="s">
        <v>283</v>
      </c>
      <c r="F80" s="72" t="n">
        <v>18</v>
      </c>
      <c r="G80" s="73" t="n">
        <v>64.54</v>
      </c>
      <c r="H80" s="73" t="n">
        <f aca="false">F80*G80</f>
        <v>1161.72</v>
      </c>
      <c r="I80" s="72" t="s">
        <v>303</v>
      </c>
      <c r="J80" s="68"/>
      <c r="K80" s="68"/>
      <c r="L80" s="68"/>
      <c r="M80" s="68"/>
      <c r="N80" s="68"/>
      <c r="O80" s="68"/>
    </row>
    <row r="81" customFormat="false" ht="15" hidden="false" customHeight="true" outlineLevel="0" collapsed="false">
      <c r="A81" s="72" t="s">
        <v>11</v>
      </c>
      <c r="B81" s="72" t="s">
        <v>275</v>
      </c>
      <c r="C81" s="72" t="s">
        <v>44</v>
      </c>
      <c r="D81" s="72" t="s">
        <v>240</v>
      </c>
      <c r="E81" s="72" t="s">
        <v>283</v>
      </c>
      <c r="F81" s="72" t="n">
        <v>1</v>
      </c>
      <c r="G81" s="73" t="n">
        <v>65.57</v>
      </c>
      <c r="H81" s="73" t="n">
        <v>65.57</v>
      </c>
      <c r="I81" s="72" t="s">
        <v>319</v>
      </c>
      <c r="J81" s="68"/>
      <c r="K81" s="68"/>
      <c r="L81" s="68"/>
      <c r="M81" s="68"/>
      <c r="N81" s="68"/>
      <c r="O81" s="68"/>
    </row>
    <row r="82" customFormat="false" ht="15" hidden="false" customHeight="true" outlineLevel="0" collapsed="false">
      <c r="A82" s="72" t="s">
        <v>11</v>
      </c>
      <c r="B82" s="72" t="s">
        <v>275</v>
      </c>
      <c r="C82" s="72" t="s">
        <v>304</v>
      </c>
      <c r="D82" s="72" t="s">
        <v>170</v>
      </c>
      <c r="E82" s="72" t="s">
        <v>283</v>
      </c>
      <c r="F82" s="72" t="n">
        <v>18</v>
      </c>
      <c r="G82" s="73" t="n">
        <v>10.05</v>
      </c>
      <c r="H82" s="73" t="n">
        <f aca="false">F82*G82</f>
        <v>180.9</v>
      </c>
      <c r="I82" s="72" t="s">
        <v>303</v>
      </c>
      <c r="J82" s="68"/>
      <c r="K82" s="68"/>
      <c r="L82" s="68"/>
      <c r="M82" s="68"/>
      <c r="N82" s="68"/>
      <c r="O82" s="68"/>
    </row>
    <row r="83" customFormat="false" ht="15" hidden="false" customHeight="true" outlineLevel="0" collapsed="false">
      <c r="A83" s="72" t="s">
        <v>11</v>
      </c>
      <c r="B83" s="72" t="s">
        <v>275</v>
      </c>
      <c r="C83" s="72" t="s">
        <v>304</v>
      </c>
      <c r="D83" s="72" t="s">
        <v>173</v>
      </c>
      <c r="E83" s="72" t="s">
        <v>283</v>
      </c>
      <c r="F83" s="72" t="n">
        <v>18</v>
      </c>
      <c r="G83" s="73" t="n">
        <v>2.07</v>
      </c>
      <c r="H83" s="73" t="n">
        <f aca="false">F83*G83</f>
        <v>37.26</v>
      </c>
      <c r="I83" s="72" t="s">
        <v>303</v>
      </c>
      <c r="J83" s="68"/>
      <c r="K83" s="68"/>
      <c r="L83" s="68"/>
      <c r="M83" s="68"/>
      <c r="N83" s="68"/>
      <c r="O83" s="68"/>
    </row>
    <row r="84" customFormat="false" ht="15" hidden="false" customHeight="true" outlineLevel="0" collapsed="false">
      <c r="A84" s="72" t="s">
        <v>11</v>
      </c>
      <c r="B84" s="72" t="s">
        <v>275</v>
      </c>
      <c r="C84" s="72" t="s">
        <v>305</v>
      </c>
      <c r="D84" s="72" t="s">
        <v>194</v>
      </c>
      <c r="E84" s="72" t="s">
        <v>283</v>
      </c>
      <c r="F84" s="72" t="n">
        <v>1</v>
      </c>
      <c r="G84" s="73" t="n">
        <v>352.84</v>
      </c>
      <c r="H84" s="73" t="n">
        <v>352.84</v>
      </c>
      <c r="I84" s="72" t="s">
        <v>319</v>
      </c>
      <c r="J84" s="68"/>
      <c r="K84" s="68"/>
      <c r="L84" s="68"/>
      <c r="M84" s="68"/>
      <c r="N84" s="68"/>
      <c r="O84" s="68"/>
    </row>
    <row r="85" customFormat="false" ht="15" hidden="false" customHeight="true" outlineLevel="0" collapsed="false">
      <c r="A85" s="72" t="s">
        <v>11</v>
      </c>
      <c r="B85" s="72" t="s">
        <v>275</v>
      </c>
      <c r="C85" s="72" t="s">
        <v>305</v>
      </c>
      <c r="D85" s="72" t="s">
        <v>198</v>
      </c>
      <c r="E85" s="72" t="s">
        <v>283</v>
      </c>
      <c r="F85" s="72" t="n">
        <v>1</v>
      </c>
      <c r="G85" s="73" t="n">
        <v>531.09</v>
      </c>
      <c r="H85" s="73" t="n">
        <v>531.09</v>
      </c>
      <c r="I85" s="72" t="s">
        <v>319</v>
      </c>
      <c r="J85" s="68"/>
      <c r="K85" s="68"/>
      <c r="L85" s="68"/>
      <c r="M85" s="68"/>
      <c r="N85" s="68"/>
      <c r="O85" s="68"/>
    </row>
    <row r="86" customFormat="false" ht="15" hidden="false" customHeight="true" outlineLevel="0" collapsed="false">
      <c r="A86" s="72" t="s">
        <v>11</v>
      </c>
      <c r="B86" s="72" t="s">
        <v>275</v>
      </c>
      <c r="C86" s="72" t="s">
        <v>306</v>
      </c>
      <c r="D86" s="72" t="s">
        <v>192</v>
      </c>
      <c r="E86" s="72" t="s">
        <v>283</v>
      </c>
      <c r="F86" s="72" t="n">
        <v>18</v>
      </c>
      <c r="G86" s="73" t="n">
        <v>30</v>
      </c>
      <c r="H86" s="73" t="n">
        <f aca="false">F86*G86</f>
        <v>540</v>
      </c>
      <c r="I86" s="72" t="s">
        <v>303</v>
      </c>
      <c r="J86" s="68"/>
      <c r="K86" s="68"/>
      <c r="L86" s="68"/>
      <c r="M86" s="68"/>
      <c r="N86" s="68"/>
      <c r="O86" s="68"/>
    </row>
    <row r="87" customFormat="false" ht="15" hidden="false" customHeight="true" outlineLevel="0" collapsed="false">
      <c r="A87" s="72" t="s">
        <v>11</v>
      </c>
      <c r="B87" s="72" t="s">
        <v>275</v>
      </c>
      <c r="C87" s="72" t="s">
        <v>307</v>
      </c>
      <c r="D87" s="72" t="s">
        <v>186</v>
      </c>
      <c r="E87" s="72" t="s">
        <v>283</v>
      </c>
      <c r="F87" s="72" t="n">
        <v>1</v>
      </c>
      <c r="G87" s="73" t="n">
        <v>2345.27</v>
      </c>
      <c r="H87" s="73" t="n">
        <f aca="false">F87*G87</f>
        <v>2345.27</v>
      </c>
      <c r="I87" s="72" t="s">
        <v>320</v>
      </c>
      <c r="J87" s="68"/>
      <c r="K87" s="68"/>
      <c r="L87" s="68"/>
      <c r="M87" s="68"/>
      <c r="N87" s="68"/>
      <c r="O87" s="68"/>
    </row>
    <row r="88" customFormat="false" ht="15" hidden="false" customHeight="true" outlineLevel="0" collapsed="false">
      <c r="A88" s="72" t="s">
        <v>11</v>
      </c>
      <c r="B88" s="72" t="s">
        <v>284</v>
      </c>
      <c r="C88" s="72" t="s">
        <v>299</v>
      </c>
      <c r="D88" s="72" t="s">
        <v>241</v>
      </c>
      <c r="E88" s="72" t="s">
        <v>283</v>
      </c>
      <c r="F88" s="72" t="n">
        <v>1</v>
      </c>
      <c r="G88" s="73" t="n">
        <v>2755.29</v>
      </c>
      <c r="H88" s="73" t="n">
        <f aca="false">F88*G88</f>
        <v>2755.29</v>
      </c>
      <c r="I88" s="72" t="s">
        <v>321</v>
      </c>
      <c r="J88" s="68"/>
      <c r="K88" s="68"/>
      <c r="L88" s="68"/>
      <c r="M88" s="68"/>
      <c r="N88" s="68"/>
      <c r="O88" s="68"/>
    </row>
    <row r="89" customFormat="false" ht="15" hidden="false" customHeight="true" outlineLevel="0" collapsed="false">
      <c r="A89" s="72" t="s">
        <v>11</v>
      </c>
      <c r="B89" s="72" t="s">
        <v>284</v>
      </c>
      <c r="C89" s="72" t="s">
        <v>299</v>
      </c>
      <c r="D89" s="72" t="s">
        <v>166</v>
      </c>
      <c r="E89" s="72" t="s">
        <v>283</v>
      </c>
      <c r="F89" s="72" t="n">
        <v>2</v>
      </c>
      <c r="G89" s="73" t="n">
        <v>28.31</v>
      </c>
      <c r="H89" s="73" t="n">
        <f aca="false">F89*G89</f>
        <v>56.62</v>
      </c>
      <c r="I89" s="72" t="s">
        <v>303</v>
      </c>
      <c r="J89" s="68"/>
      <c r="K89" s="68"/>
      <c r="L89" s="68"/>
      <c r="M89" s="68"/>
      <c r="N89" s="68"/>
      <c r="O89" s="68"/>
    </row>
    <row r="90" customFormat="false" ht="15" hidden="false" customHeight="true" outlineLevel="0" collapsed="false">
      <c r="A90" s="72" t="s">
        <v>11</v>
      </c>
      <c r="B90" s="72" t="s">
        <v>284</v>
      </c>
      <c r="C90" s="72" t="s">
        <v>299</v>
      </c>
      <c r="D90" s="72" t="s">
        <v>165</v>
      </c>
      <c r="E90" s="72" t="s">
        <v>283</v>
      </c>
      <c r="F90" s="72" t="n">
        <v>2</v>
      </c>
      <c r="G90" s="73" t="n">
        <v>47.79</v>
      </c>
      <c r="H90" s="73" t="n">
        <f aca="false">F90*G90</f>
        <v>95.58</v>
      </c>
      <c r="I90" s="72" t="s">
        <v>303</v>
      </c>
      <c r="J90" s="68"/>
      <c r="K90" s="68"/>
      <c r="L90" s="68"/>
      <c r="M90" s="68"/>
      <c r="N90" s="68"/>
      <c r="O90" s="68"/>
    </row>
    <row r="91" customFormat="false" ht="15" hidden="false" customHeight="true" outlineLevel="0" collapsed="false">
      <c r="A91" s="72" t="s">
        <v>11</v>
      </c>
      <c r="B91" s="72" t="s">
        <v>284</v>
      </c>
      <c r="C91" s="72" t="s">
        <v>44</v>
      </c>
      <c r="D91" s="72" t="s">
        <v>167</v>
      </c>
      <c r="E91" s="72" t="s">
        <v>283</v>
      </c>
      <c r="F91" s="72" t="n">
        <v>2</v>
      </c>
      <c r="G91" s="73" t="n">
        <v>64.54</v>
      </c>
      <c r="H91" s="73" t="n">
        <f aca="false">F91*G91</f>
        <v>129.08</v>
      </c>
      <c r="I91" s="72" t="s">
        <v>303</v>
      </c>
      <c r="J91" s="68"/>
      <c r="K91" s="68"/>
      <c r="L91" s="68"/>
      <c r="M91" s="68"/>
      <c r="N91" s="68"/>
      <c r="O91" s="68"/>
    </row>
    <row r="92" customFormat="false" ht="15" hidden="false" customHeight="true" outlineLevel="0" collapsed="false">
      <c r="A92" s="72" t="s">
        <v>11</v>
      </c>
      <c r="B92" s="72" t="s">
        <v>284</v>
      </c>
      <c r="C92" s="72" t="s">
        <v>304</v>
      </c>
      <c r="D92" s="72" t="s">
        <v>170</v>
      </c>
      <c r="E92" s="72" t="s">
        <v>283</v>
      </c>
      <c r="F92" s="72" t="n">
        <v>2</v>
      </c>
      <c r="G92" s="73" t="n">
        <v>10.05</v>
      </c>
      <c r="H92" s="73" t="n">
        <f aca="false">F92*G92</f>
        <v>20.1</v>
      </c>
      <c r="I92" s="72" t="s">
        <v>303</v>
      </c>
      <c r="J92" s="68"/>
      <c r="K92" s="68"/>
      <c r="L92" s="68"/>
      <c r="M92" s="68"/>
      <c r="N92" s="68"/>
      <c r="O92" s="68"/>
    </row>
    <row r="93" customFormat="false" ht="15" hidden="false" customHeight="true" outlineLevel="0" collapsed="false">
      <c r="A93" s="72" t="s">
        <v>11</v>
      </c>
      <c r="B93" s="72" t="s">
        <v>284</v>
      </c>
      <c r="C93" s="72" t="s">
        <v>304</v>
      </c>
      <c r="D93" s="72" t="s">
        <v>173</v>
      </c>
      <c r="E93" s="72" t="s">
        <v>283</v>
      </c>
      <c r="F93" s="72" t="n">
        <v>2</v>
      </c>
      <c r="G93" s="73" t="n">
        <v>2.07</v>
      </c>
      <c r="H93" s="73" t="n">
        <f aca="false">F93*G93</f>
        <v>4.14</v>
      </c>
      <c r="I93" s="72" t="s">
        <v>303</v>
      </c>
      <c r="J93" s="68"/>
      <c r="K93" s="68"/>
      <c r="L93" s="68"/>
      <c r="M93" s="68"/>
      <c r="N93" s="68"/>
      <c r="O93" s="68"/>
    </row>
    <row r="94" customFormat="false" ht="15" hidden="false" customHeight="true" outlineLevel="0" collapsed="false">
      <c r="A94" s="72" t="s">
        <v>11</v>
      </c>
      <c r="B94" s="72" t="s">
        <v>284</v>
      </c>
      <c r="C94" s="72" t="s">
        <v>306</v>
      </c>
      <c r="D94" s="72" t="s">
        <v>192</v>
      </c>
      <c r="E94" s="72" t="s">
        <v>283</v>
      </c>
      <c r="F94" s="72" t="n">
        <v>2</v>
      </c>
      <c r="G94" s="73" t="n">
        <v>30</v>
      </c>
      <c r="H94" s="73" t="n">
        <f aca="false">F94*G94</f>
        <v>60</v>
      </c>
      <c r="I94" s="72" t="s">
        <v>303</v>
      </c>
      <c r="J94" s="68"/>
      <c r="K94" s="68"/>
      <c r="L94" s="68"/>
      <c r="M94" s="68"/>
      <c r="N94" s="68"/>
      <c r="O94" s="68"/>
    </row>
    <row r="95" customFormat="false" ht="15" hidden="false" customHeight="true" outlineLevel="0" collapsed="false">
      <c r="A95" s="72" t="s">
        <v>11</v>
      </c>
      <c r="B95" s="72" t="s">
        <v>284</v>
      </c>
      <c r="C95" s="72" t="s">
        <v>307</v>
      </c>
      <c r="D95" s="72" t="s">
        <v>186</v>
      </c>
      <c r="E95" s="72" t="s">
        <v>283</v>
      </c>
      <c r="F95" s="72" t="n">
        <v>1</v>
      </c>
      <c r="G95" s="73" t="n">
        <v>1447.18</v>
      </c>
      <c r="H95" s="73" t="n">
        <f aca="false">F95*G95</f>
        <v>1447.18</v>
      </c>
      <c r="I95" s="72" t="s">
        <v>313</v>
      </c>
      <c r="J95" s="68"/>
      <c r="K95" s="68"/>
      <c r="L95" s="68"/>
      <c r="M95" s="68"/>
      <c r="N95" s="68"/>
      <c r="O95" s="68"/>
    </row>
    <row r="96" customFormat="false" ht="15" hidden="false" customHeight="true" outlineLevel="0" collapsed="false">
      <c r="A96" s="72" t="s">
        <v>11</v>
      </c>
      <c r="B96" s="72" t="s">
        <v>285</v>
      </c>
      <c r="C96" s="72" t="s">
        <v>299</v>
      </c>
      <c r="D96" s="72" t="s">
        <v>241</v>
      </c>
      <c r="E96" s="72" t="s">
        <v>283</v>
      </c>
      <c r="F96" s="72" t="n">
        <v>1</v>
      </c>
      <c r="G96" s="73" t="n">
        <v>14534.18</v>
      </c>
      <c r="H96" s="73" t="n">
        <f aca="false">F96*G96</f>
        <v>14534.18</v>
      </c>
      <c r="I96" s="72" t="s">
        <v>322</v>
      </c>
      <c r="J96" s="68"/>
      <c r="K96" s="68"/>
      <c r="L96" s="68"/>
      <c r="M96" s="68"/>
      <c r="N96" s="68"/>
      <c r="O96" s="68"/>
    </row>
    <row r="97" customFormat="false" ht="15" hidden="false" customHeight="true" outlineLevel="0" collapsed="false">
      <c r="A97" s="72" t="s">
        <v>11</v>
      </c>
      <c r="B97" s="72" t="s">
        <v>285</v>
      </c>
      <c r="C97" s="72" t="s">
        <v>299</v>
      </c>
      <c r="D97" s="72" t="s">
        <v>166</v>
      </c>
      <c r="E97" s="72" t="s">
        <v>283</v>
      </c>
      <c r="F97" s="72" t="n">
        <v>5</v>
      </c>
      <c r="G97" s="73" t="n">
        <v>28.31</v>
      </c>
      <c r="H97" s="73" t="n">
        <f aca="false">F97*G97</f>
        <v>141.55</v>
      </c>
      <c r="I97" s="72" t="s">
        <v>303</v>
      </c>
      <c r="J97" s="68"/>
      <c r="K97" s="68"/>
      <c r="L97" s="68"/>
      <c r="M97" s="68"/>
      <c r="N97" s="68"/>
      <c r="O97" s="68"/>
    </row>
    <row r="98" customFormat="false" ht="15" hidden="false" customHeight="true" outlineLevel="0" collapsed="false">
      <c r="A98" s="72" t="s">
        <v>11</v>
      </c>
      <c r="B98" s="72" t="s">
        <v>285</v>
      </c>
      <c r="C98" s="72" t="s">
        <v>299</v>
      </c>
      <c r="D98" s="72" t="s">
        <v>165</v>
      </c>
      <c r="E98" s="72" t="s">
        <v>283</v>
      </c>
      <c r="F98" s="72" t="n">
        <v>5</v>
      </c>
      <c r="G98" s="73" t="n">
        <v>47.79</v>
      </c>
      <c r="H98" s="73" t="n">
        <f aca="false">F98*G98</f>
        <v>238.95</v>
      </c>
      <c r="I98" s="72" t="s">
        <v>303</v>
      </c>
      <c r="J98" s="68"/>
      <c r="K98" s="68"/>
      <c r="L98" s="68"/>
      <c r="M98" s="68"/>
      <c r="N98" s="68"/>
      <c r="O98" s="68"/>
    </row>
    <row r="99" customFormat="false" ht="15" hidden="false" customHeight="true" outlineLevel="0" collapsed="false">
      <c r="A99" s="72" t="s">
        <v>11</v>
      </c>
      <c r="B99" s="72" t="s">
        <v>285</v>
      </c>
      <c r="C99" s="72" t="s">
        <v>44</v>
      </c>
      <c r="D99" s="72" t="s">
        <v>167</v>
      </c>
      <c r="E99" s="72" t="s">
        <v>283</v>
      </c>
      <c r="F99" s="72" t="n">
        <v>5</v>
      </c>
      <c r="G99" s="73" t="n">
        <v>64.54</v>
      </c>
      <c r="H99" s="73" t="n">
        <f aca="false">F99*G99</f>
        <v>322.7</v>
      </c>
      <c r="I99" s="72" t="s">
        <v>303</v>
      </c>
      <c r="J99" s="68"/>
      <c r="K99" s="68"/>
      <c r="L99" s="68"/>
      <c r="M99" s="68"/>
      <c r="N99" s="68"/>
      <c r="O99" s="68"/>
    </row>
    <row r="100" customFormat="false" ht="15" hidden="false" customHeight="true" outlineLevel="0" collapsed="false">
      <c r="A100" s="72" t="s">
        <v>11</v>
      </c>
      <c r="B100" s="72" t="s">
        <v>285</v>
      </c>
      <c r="C100" s="72" t="s">
        <v>304</v>
      </c>
      <c r="D100" s="72" t="s">
        <v>170</v>
      </c>
      <c r="E100" s="72" t="s">
        <v>283</v>
      </c>
      <c r="F100" s="72" t="n">
        <v>5</v>
      </c>
      <c r="G100" s="73" t="n">
        <v>10.05</v>
      </c>
      <c r="H100" s="73" t="n">
        <f aca="false">F100*G100</f>
        <v>50.25</v>
      </c>
      <c r="I100" s="72" t="s">
        <v>303</v>
      </c>
      <c r="J100" s="68"/>
      <c r="K100" s="68"/>
      <c r="L100" s="68"/>
      <c r="M100" s="68"/>
      <c r="N100" s="68"/>
      <c r="O100" s="68"/>
    </row>
    <row r="101" customFormat="false" ht="15" hidden="false" customHeight="true" outlineLevel="0" collapsed="false">
      <c r="A101" s="72" t="s">
        <v>11</v>
      </c>
      <c r="B101" s="72" t="s">
        <v>285</v>
      </c>
      <c r="C101" s="72" t="s">
        <v>304</v>
      </c>
      <c r="D101" s="72" t="s">
        <v>173</v>
      </c>
      <c r="E101" s="72" t="s">
        <v>283</v>
      </c>
      <c r="F101" s="72" t="n">
        <v>5</v>
      </c>
      <c r="G101" s="73" t="n">
        <v>2.07</v>
      </c>
      <c r="H101" s="73" t="n">
        <f aca="false">F101*G101</f>
        <v>10.35</v>
      </c>
      <c r="I101" s="72" t="s">
        <v>303</v>
      </c>
      <c r="J101" s="68"/>
      <c r="K101" s="68"/>
      <c r="L101" s="68"/>
      <c r="M101" s="68"/>
      <c r="N101" s="68"/>
      <c r="O101" s="68"/>
    </row>
    <row r="102" customFormat="false" ht="15" hidden="false" customHeight="true" outlineLevel="0" collapsed="false">
      <c r="A102" s="72" t="s">
        <v>11</v>
      </c>
      <c r="B102" s="72" t="s">
        <v>285</v>
      </c>
      <c r="C102" s="72" t="s">
        <v>305</v>
      </c>
      <c r="D102" s="72" t="s">
        <v>198</v>
      </c>
      <c r="E102" s="72" t="s">
        <v>283</v>
      </c>
      <c r="F102" s="72" t="n">
        <v>1</v>
      </c>
      <c r="G102" s="73" t="n">
        <v>111.44</v>
      </c>
      <c r="H102" s="73" t="n">
        <f aca="false">F102*G102</f>
        <v>111.44</v>
      </c>
      <c r="I102" s="72" t="s">
        <v>323</v>
      </c>
      <c r="J102" s="68"/>
      <c r="K102" s="68"/>
      <c r="L102" s="68"/>
      <c r="M102" s="68"/>
      <c r="N102" s="68"/>
      <c r="O102" s="68"/>
    </row>
    <row r="103" customFormat="false" ht="15" hidden="false" customHeight="true" outlineLevel="0" collapsed="false">
      <c r="A103" s="72" t="s">
        <v>11</v>
      </c>
      <c r="B103" s="72" t="s">
        <v>285</v>
      </c>
      <c r="C103" s="72" t="s">
        <v>306</v>
      </c>
      <c r="D103" s="72" t="s">
        <v>192</v>
      </c>
      <c r="E103" s="72" t="s">
        <v>283</v>
      </c>
      <c r="F103" s="72" t="n">
        <v>5</v>
      </c>
      <c r="G103" s="73" t="n">
        <v>30</v>
      </c>
      <c r="H103" s="73" t="n">
        <f aca="false">F103*G103</f>
        <v>150</v>
      </c>
      <c r="I103" s="72" t="s">
        <v>303</v>
      </c>
      <c r="J103" s="68"/>
      <c r="K103" s="68"/>
      <c r="L103" s="68"/>
      <c r="M103" s="68"/>
      <c r="N103" s="68"/>
      <c r="O103" s="68"/>
    </row>
    <row r="104" customFormat="false" ht="15" hidden="false" customHeight="true" outlineLevel="0" collapsed="false">
      <c r="A104" s="72" t="s">
        <v>11</v>
      </c>
      <c r="B104" s="72" t="s">
        <v>285</v>
      </c>
      <c r="C104" s="72" t="s">
        <v>307</v>
      </c>
      <c r="D104" s="72" t="s">
        <v>186</v>
      </c>
      <c r="E104" s="72" t="s">
        <v>283</v>
      </c>
      <c r="F104" s="72" t="n">
        <v>1</v>
      </c>
      <c r="G104" s="73" t="n">
        <v>977.05</v>
      </c>
      <c r="H104" s="73" t="n">
        <f aca="false">F104*G104</f>
        <v>977.05</v>
      </c>
      <c r="I104" s="72" t="s">
        <v>313</v>
      </c>
      <c r="J104" s="68"/>
      <c r="K104" s="68"/>
      <c r="L104" s="68"/>
      <c r="M104" s="68"/>
      <c r="N104" s="68"/>
      <c r="O104" s="68"/>
    </row>
    <row r="105" customFormat="false" ht="15" hidden="false" customHeight="true" outlineLevel="0" collapsed="false">
      <c r="A105" s="72" t="s">
        <v>11</v>
      </c>
      <c r="B105" s="72" t="s">
        <v>287</v>
      </c>
      <c r="C105" s="72" t="s">
        <v>299</v>
      </c>
      <c r="D105" s="72" t="s">
        <v>241</v>
      </c>
      <c r="E105" s="72" t="s">
        <v>286</v>
      </c>
      <c r="F105" s="72" t="n">
        <v>1</v>
      </c>
      <c r="G105" s="73" t="n">
        <v>47018.65</v>
      </c>
      <c r="H105" s="73" t="n">
        <f aca="false">F105*G105</f>
        <v>47018.65</v>
      </c>
      <c r="I105" s="72" t="s">
        <v>324</v>
      </c>
      <c r="J105" s="68"/>
      <c r="K105" s="68"/>
      <c r="L105" s="68"/>
      <c r="M105" s="68"/>
      <c r="N105" s="68"/>
      <c r="O105" s="68"/>
    </row>
    <row r="106" customFormat="false" ht="15" hidden="false" customHeight="true" outlineLevel="0" collapsed="false">
      <c r="A106" s="72" t="s">
        <v>11</v>
      </c>
      <c r="B106" s="72" t="s">
        <v>287</v>
      </c>
      <c r="C106" s="72" t="s">
        <v>299</v>
      </c>
      <c r="D106" s="72" t="s">
        <v>166</v>
      </c>
      <c r="E106" s="72" t="s">
        <v>286</v>
      </c>
      <c r="F106" s="72" t="n">
        <v>8</v>
      </c>
      <c r="G106" s="73" t="n">
        <v>28.31</v>
      </c>
      <c r="H106" s="73" t="n">
        <f aca="false">F106*G106</f>
        <v>226.48</v>
      </c>
      <c r="I106" s="72" t="s">
        <v>303</v>
      </c>
      <c r="J106" s="68"/>
      <c r="K106" s="68"/>
      <c r="L106" s="68"/>
      <c r="M106" s="68"/>
      <c r="N106" s="68"/>
      <c r="O106" s="68"/>
    </row>
    <row r="107" customFormat="false" ht="15" hidden="false" customHeight="true" outlineLevel="0" collapsed="false">
      <c r="A107" s="72" t="s">
        <v>11</v>
      </c>
      <c r="B107" s="72" t="s">
        <v>287</v>
      </c>
      <c r="C107" s="72" t="s">
        <v>299</v>
      </c>
      <c r="D107" s="72" t="s">
        <v>165</v>
      </c>
      <c r="E107" s="72" t="s">
        <v>286</v>
      </c>
      <c r="F107" s="72" t="n">
        <v>8</v>
      </c>
      <c r="G107" s="73" t="n">
        <v>47.79</v>
      </c>
      <c r="H107" s="73" t="n">
        <f aca="false">F107*G107</f>
        <v>382.32</v>
      </c>
      <c r="I107" s="72" t="s">
        <v>303</v>
      </c>
      <c r="J107" s="68"/>
      <c r="K107" s="68"/>
      <c r="L107" s="68"/>
      <c r="M107" s="68"/>
      <c r="N107" s="68"/>
      <c r="O107" s="68"/>
    </row>
    <row r="108" customFormat="false" ht="15" hidden="false" customHeight="true" outlineLevel="0" collapsed="false">
      <c r="A108" s="72" t="s">
        <v>11</v>
      </c>
      <c r="B108" s="72" t="s">
        <v>287</v>
      </c>
      <c r="C108" s="72" t="s">
        <v>44</v>
      </c>
      <c r="D108" s="72" t="s">
        <v>167</v>
      </c>
      <c r="E108" s="72" t="s">
        <v>286</v>
      </c>
      <c r="F108" s="72" t="n">
        <v>8</v>
      </c>
      <c r="G108" s="73" t="n">
        <v>64.54</v>
      </c>
      <c r="H108" s="73" t="n">
        <f aca="false">F108*G108</f>
        <v>516.32</v>
      </c>
      <c r="I108" s="72" t="s">
        <v>303</v>
      </c>
      <c r="J108" s="68"/>
      <c r="K108" s="68"/>
      <c r="L108" s="68"/>
      <c r="M108" s="68"/>
      <c r="N108" s="68"/>
      <c r="O108" s="68"/>
    </row>
    <row r="109" customFormat="false" ht="15" hidden="false" customHeight="true" outlineLevel="0" collapsed="false">
      <c r="A109" s="72" t="s">
        <v>11</v>
      </c>
      <c r="B109" s="72" t="s">
        <v>287</v>
      </c>
      <c r="C109" s="72" t="s">
        <v>44</v>
      </c>
      <c r="D109" s="72" t="s">
        <v>240</v>
      </c>
      <c r="E109" s="72" t="s">
        <v>286</v>
      </c>
      <c r="F109" s="72" t="n">
        <v>1</v>
      </c>
      <c r="G109" s="73" t="n">
        <v>140</v>
      </c>
      <c r="H109" s="73" t="n">
        <f aca="false">F109*G109</f>
        <v>140</v>
      </c>
      <c r="I109" s="72" t="s">
        <v>325</v>
      </c>
      <c r="J109" s="68"/>
      <c r="K109" s="68"/>
      <c r="L109" s="68"/>
      <c r="M109" s="68"/>
      <c r="N109" s="68"/>
      <c r="O109" s="68"/>
    </row>
    <row r="110" customFormat="false" ht="15" hidden="false" customHeight="true" outlineLevel="0" collapsed="false">
      <c r="A110" s="72" t="s">
        <v>11</v>
      </c>
      <c r="B110" s="72" t="s">
        <v>287</v>
      </c>
      <c r="C110" s="72" t="s">
        <v>304</v>
      </c>
      <c r="D110" s="72" t="s">
        <v>170</v>
      </c>
      <c r="E110" s="72" t="s">
        <v>286</v>
      </c>
      <c r="F110" s="72" t="n">
        <v>8</v>
      </c>
      <c r="G110" s="73" t="n">
        <v>10.05</v>
      </c>
      <c r="H110" s="73" t="n">
        <f aca="false">F110*G110</f>
        <v>80.4</v>
      </c>
      <c r="I110" s="72" t="s">
        <v>303</v>
      </c>
      <c r="J110" s="68"/>
      <c r="K110" s="68"/>
      <c r="L110" s="68"/>
      <c r="M110" s="68"/>
      <c r="N110" s="68"/>
      <c r="O110" s="68"/>
    </row>
    <row r="111" customFormat="false" ht="15" hidden="false" customHeight="true" outlineLevel="0" collapsed="false">
      <c r="A111" s="72" t="s">
        <v>11</v>
      </c>
      <c r="B111" s="72" t="s">
        <v>287</v>
      </c>
      <c r="C111" s="72" t="s">
        <v>304</v>
      </c>
      <c r="D111" s="72" t="s">
        <v>173</v>
      </c>
      <c r="E111" s="72" t="s">
        <v>286</v>
      </c>
      <c r="F111" s="72" t="n">
        <v>8</v>
      </c>
      <c r="G111" s="73" t="n">
        <v>2.07</v>
      </c>
      <c r="H111" s="73" t="n">
        <f aca="false">F111*G111</f>
        <v>16.56</v>
      </c>
      <c r="I111" s="72" t="s">
        <v>303</v>
      </c>
      <c r="J111" s="68"/>
      <c r="K111" s="68"/>
      <c r="L111" s="68"/>
      <c r="M111" s="68"/>
      <c r="N111" s="68"/>
      <c r="O111" s="68"/>
    </row>
    <row r="112" customFormat="false" ht="15" hidden="false" customHeight="true" outlineLevel="0" collapsed="false">
      <c r="A112" s="72" t="s">
        <v>11</v>
      </c>
      <c r="B112" s="72" t="s">
        <v>287</v>
      </c>
      <c r="C112" s="72" t="s">
        <v>305</v>
      </c>
      <c r="D112" s="72" t="s">
        <v>194</v>
      </c>
      <c r="E112" s="72" t="s">
        <v>286</v>
      </c>
      <c r="F112" s="72" t="n">
        <v>1</v>
      </c>
      <c r="G112" s="73" t="n">
        <v>798.12</v>
      </c>
      <c r="H112" s="73" t="n">
        <f aca="false">F112*G112</f>
        <v>798.12</v>
      </c>
      <c r="I112" s="72" t="s">
        <v>325</v>
      </c>
      <c r="J112" s="68"/>
      <c r="K112" s="68"/>
      <c r="L112" s="68"/>
      <c r="M112" s="68"/>
      <c r="N112" s="68"/>
      <c r="O112" s="68"/>
    </row>
    <row r="113" customFormat="false" ht="15" hidden="false" customHeight="true" outlineLevel="0" collapsed="false">
      <c r="A113" s="72" t="s">
        <v>11</v>
      </c>
      <c r="B113" s="72" t="s">
        <v>287</v>
      </c>
      <c r="C113" s="72" t="s">
        <v>305</v>
      </c>
      <c r="D113" s="72" t="s">
        <v>198</v>
      </c>
      <c r="E113" s="72" t="s">
        <v>286</v>
      </c>
      <c r="F113" s="72" t="n">
        <v>1</v>
      </c>
      <c r="G113" s="73" t="n">
        <v>222.88</v>
      </c>
      <c r="H113" s="73" t="n">
        <f aca="false">F113*G113</f>
        <v>222.88</v>
      </c>
      <c r="I113" s="72" t="s">
        <v>325</v>
      </c>
      <c r="J113" s="68"/>
      <c r="K113" s="68"/>
      <c r="L113" s="68"/>
      <c r="M113" s="68"/>
      <c r="N113" s="68"/>
      <c r="O113" s="68"/>
    </row>
    <row r="114" customFormat="false" ht="15" hidden="false" customHeight="true" outlineLevel="0" collapsed="false">
      <c r="A114" s="72" t="s">
        <v>11</v>
      </c>
      <c r="B114" s="72" t="s">
        <v>287</v>
      </c>
      <c r="C114" s="72" t="s">
        <v>306</v>
      </c>
      <c r="D114" s="72" t="s">
        <v>192</v>
      </c>
      <c r="E114" s="72" t="s">
        <v>286</v>
      </c>
      <c r="F114" s="72" t="n">
        <v>8</v>
      </c>
      <c r="G114" s="73" t="n">
        <v>30</v>
      </c>
      <c r="H114" s="73" t="n">
        <f aca="false">F114*G114</f>
        <v>240</v>
      </c>
      <c r="I114" s="72" t="s">
        <v>303</v>
      </c>
      <c r="J114" s="68"/>
      <c r="K114" s="68"/>
      <c r="L114" s="68"/>
      <c r="M114" s="68"/>
      <c r="N114" s="68"/>
      <c r="O114" s="68"/>
    </row>
    <row r="115" customFormat="false" ht="15" hidden="false" customHeight="true" outlineLevel="0" collapsed="false">
      <c r="A115" s="72" t="s">
        <v>11</v>
      </c>
      <c r="B115" s="72" t="s">
        <v>290</v>
      </c>
      <c r="C115" s="72" t="s">
        <v>299</v>
      </c>
      <c r="D115" s="72" t="s">
        <v>241</v>
      </c>
      <c r="E115" s="72" t="s">
        <v>286</v>
      </c>
      <c r="F115" s="72" t="n">
        <v>1</v>
      </c>
      <c r="G115" s="73" t="n">
        <v>44237.67</v>
      </c>
      <c r="H115" s="73" t="n">
        <f aca="false">F115*G115</f>
        <v>44237.67</v>
      </c>
      <c r="I115" s="72" t="s">
        <v>326</v>
      </c>
      <c r="J115" s="68"/>
      <c r="K115" s="68"/>
      <c r="L115" s="68"/>
      <c r="M115" s="68"/>
      <c r="N115" s="68"/>
      <c r="O115" s="68"/>
    </row>
    <row r="116" customFormat="false" ht="15" hidden="false" customHeight="true" outlineLevel="0" collapsed="false">
      <c r="A116" s="72" t="s">
        <v>11</v>
      </c>
      <c r="B116" s="72" t="s">
        <v>290</v>
      </c>
      <c r="C116" s="72" t="s">
        <v>299</v>
      </c>
      <c r="D116" s="72" t="s">
        <v>301</v>
      </c>
      <c r="E116" s="72" t="s">
        <v>286</v>
      </c>
      <c r="F116" s="72" t="n">
        <v>1</v>
      </c>
      <c r="G116" s="73" t="n">
        <v>2075</v>
      </c>
      <c r="H116" s="73" t="n">
        <f aca="false">F116*G116</f>
        <v>2075</v>
      </c>
      <c r="I116" s="72" t="s">
        <v>315</v>
      </c>
      <c r="J116" s="68"/>
      <c r="K116" s="68"/>
      <c r="L116" s="68"/>
      <c r="M116" s="68"/>
      <c r="N116" s="68"/>
      <c r="O116" s="68"/>
    </row>
    <row r="117" customFormat="false" ht="15" hidden="false" customHeight="true" outlineLevel="0" collapsed="false">
      <c r="A117" s="72" t="s">
        <v>11</v>
      </c>
      <c r="B117" s="72" t="s">
        <v>290</v>
      </c>
      <c r="C117" s="72" t="s">
        <v>299</v>
      </c>
      <c r="D117" s="72" t="s">
        <v>166</v>
      </c>
      <c r="E117" s="72" t="s">
        <v>286</v>
      </c>
      <c r="F117" s="72" t="n">
        <v>11</v>
      </c>
      <c r="G117" s="73" t="n">
        <v>28.31</v>
      </c>
      <c r="H117" s="73" t="n">
        <f aca="false">F117*G117</f>
        <v>311.41</v>
      </c>
      <c r="I117" s="72" t="s">
        <v>303</v>
      </c>
      <c r="J117" s="68"/>
      <c r="K117" s="68"/>
      <c r="L117" s="68"/>
      <c r="M117" s="68"/>
      <c r="N117" s="68"/>
      <c r="O117" s="68"/>
    </row>
    <row r="118" customFormat="false" ht="15" hidden="false" customHeight="true" outlineLevel="0" collapsed="false">
      <c r="A118" s="72" t="s">
        <v>11</v>
      </c>
      <c r="B118" s="72" t="s">
        <v>290</v>
      </c>
      <c r="C118" s="72" t="s">
        <v>299</v>
      </c>
      <c r="D118" s="72" t="s">
        <v>165</v>
      </c>
      <c r="E118" s="72" t="s">
        <v>286</v>
      </c>
      <c r="F118" s="72" t="n">
        <v>11</v>
      </c>
      <c r="G118" s="73" t="n">
        <v>47.79</v>
      </c>
      <c r="H118" s="73" t="n">
        <f aca="false">F118*G118</f>
        <v>525.69</v>
      </c>
      <c r="I118" s="72" t="s">
        <v>303</v>
      </c>
      <c r="J118" s="68"/>
      <c r="K118" s="68"/>
      <c r="L118" s="68"/>
      <c r="M118" s="68"/>
      <c r="N118" s="68"/>
      <c r="O118" s="68"/>
    </row>
    <row r="119" customFormat="false" ht="15" hidden="false" customHeight="true" outlineLevel="0" collapsed="false">
      <c r="A119" s="72" t="s">
        <v>11</v>
      </c>
      <c r="B119" s="72" t="s">
        <v>290</v>
      </c>
      <c r="C119" s="72" t="s">
        <v>44</v>
      </c>
      <c r="D119" s="72" t="s">
        <v>167</v>
      </c>
      <c r="E119" s="72" t="s">
        <v>286</v>
      </c>
      <c r="F119" s="72" t="n">
        <v>11</v>
      </c>
      <c r="G119" s="73" t="n">
        <v>64.54</v>
      </c>
      <c r="H119" s="73" t="n">
        <f aca="false">F119*G119</f>
        <v>709.94</v>
      </c>
      <c r="I119" s="72" t="s">
        <v>303</v>
      </c>
      <c r="J119" s="68"/>
      <c r="K119" s="68"/>
      <c r="L119" s="68"/>
      <c r="M119" s="68"/>
      <c r="N119" s="68"/>
      <c r="O119" s="68"/>
    </row>
    <row r="120" customFormat="false" ht="15" hidden="false" customHeight="true" outlineLevel="0" collapsed="false">
      <c r="A120" s="72" t="s">
        <v>11</v>
      </c>
      <c r="B120" s="72" t="s">
        <v>290</v>
      </c>
      <c r="C120" s="72" t="s">
        <v>44</v>
      </c>
      <c r="D120" s="72" t="s">
        <v>240</v>
      </c>
      <c r="E120" s="72" t="s">
        <v>286</v>
      </c>
      <c r="F120" s="72" t="n">
        <v>1</v>
      </c>
      <c r="G120" s="73" t="n">
        <v>140</v>
      </c>
      <c r="H120" s="73" t="n">
        <f aca="false">F120*G120</f>
        <v>140</v>
      </c>
      <c r="I120" s="72" t="s">
        <v>315</v>
      </c>
      <c r="J120" s="68"/>
      <c r="K120" s="68"/>
      <c r="L120" s="68"/>
      <c r="M120" s="68"/>
      <c r="N120" s="68"/>
      <c r="O120" s="68"/>
    </row>
    <row r="121" customFormat="false" ht="15" hidden="false" customHeight="true" outlineLevel="0" collapsed="false">
      <c r="A121" s="72" t="s">
        <v>11</v>
      </c>
      <c r="B121" s="72" t="s">
        <v>290</v>
      </c>
      <c r="C121" s="72" t="s">
        <v>304</v>
      </c>
      <c r="D121" s="72" t="s">
        <v>170</v>
      </c>
      <c r="E121" s="72" t="s">
        <v>286</v>
      </c>
      <c r="F121" s="72" t="n">
        <v>11</v>
      </c>
      <c r="G121" s="73" t="n">
        <v>10.05</v>
      </c>
      <c r="H121" s="73" t="n">
        <f aca="false">F121*G121</f>
        <v>110.55</v>
      </c>
      <c r="I121" s="72" t="s">
        <v>303</v>
      </c>
      <c r="J121" s="68"/>
      <c r="K121" s="68"/>
      <c r="L121" s="68"/>
      <c r="M121" s="68"/>
      <c r="N121" s="68"/>
      <c r="O121" s="68"/>
    </row>
    <row r="122" customFormat="false" ht="15" hidden="false" customHeight="true" outlineLevel="0" collapsed="false">
      <c r="A122" s="72" t="s">
        <v>11</v>
      </c>
      <c r="B122" s="72" t="s">
        <v>290</v>
      </c>
      <c r="C122" s="72" t="s">
        <v>304</v>
      </c>
      <c r="D122" s="72" t="s">
        <v>173</v>
      </c>
      <c r="E122" s="72" t="s">
        <v>286</v>
      </c>
      <c r="F122" s="72" t="n">
        <v>11</v>
      </c>
      <c r="G122" s="73" t="n">
        <v>2.07</v>
      </c>
      <c r="H122" s="73" t="n">
        <f aca="false">F122*G122</f>
        <v>22.77</v>
      </c>
      <c r="I122" s="72" t="s">
        <v>303</v>
      </c>
      <c r="J122" s="68"/>
      <c r="K122" s="68"/>
      <c r="L122" s="68"/>
      <c r="M122" s="68"/>
      <c r="N122" s="68"/>
      <c r="O122" s="68"/>
    </row>
    <row r="123" customFormat="false" ht="15" hidden="false" customHeight="true" outlineLevel="0" collapsed="false">
      <c r="A123" s="72" t="s">
        <v>11</v>
      </c>
      <c r="B123" s="72" t="s">
        <v>290</v>
      </c>
      <c r="C123" s="72" t="s">
        <v>306</v>
      </c>
      <c r="D123" s="72" t="s">
        <v>192</v>
      </c>
      <c r="E123" s="72" t="s">
        <v>286</v>
      </c>
      <c r="F123" s="72" t="n">
        <v>11</v>
      </c>
      <c r="G123" s="73" t="n">
        <v>30</v>
      </c>
      <c r="H123" s="73" t="n">
        <f aca="false">F123*G123</f>
        <v>330</v>
      </c>
      <c r="I123" s="72" t="s">
        <v>303</v>
      </c>
      <c r="J123" s="68"/>
      <c r="K123" s="68"/>
      <c r="L123" s="68"/>
      <c r="M123" s="68"/>
      <c r="N123" s="68"/>
      <c r="O123" s="68"/>
    </row>
    <row r="124" customFormat="false" ht="15" hidden="false" customHeight="true" outlineLevel="0" collapsed="false">
      <c r="A124" s="72" t="s">
        <v>11</v>
      </c>
      <c r="B124" s="72" t="s">
        <v>290</v>
      </c>
      <c r="C124" s="72" t="s">
        <v>307</v>
      </c>
      <c r="D124" s="72" t="s">
        <v>186</v>
      </c>
      <c r="E124" s="72" t="s">
        <v>286</v>
      </c>
      <c r="F124" s="72" t="n">
        <v>1</v>
      </c>
      <c r="G124" s="73" t="n">
        <v>2642.33</v>
      </c>
      <c r="H124" s="73" t="n">
        <f aca="false">F124*G124</f>
        <v>2642.33</v>
      </c>
      <c r="I124" s="72" t="s">
        <v>313</v>
      </c>
      <c r="J124" s="68"/>
      <c r="K124" s="68"/>
      <c r="L124" s="68"/>
      <c r="M124" s="68"/>
      <c r="N124" s="68"/>
      <c r="O124" s="68"/>
    </row>
    <row r="125" customFormat="false" ht="15" hidden="false" customHeight="true" outlineLevel="0" collapsed="false">
      <c r="A125" s="72" t="s">
        <v>11</v>
      </c>
      <c r="B125" s="72" t="s">
        <v>293</v>
      </c>
      <c r="C125" s="72" t="s">
        <v>299</v>
      </c>
      <c r="D125" s="72" t="s">
        <v>241</v>
      </c>
      <c r="E125" s="72" t="s">
        <v>292</v>
      </c>
      <c r="F125" s="72" t="n">
        <v>1</v>
      </c>
      <c r="G125" s="73" t="n">
        <v>3520.86</v>
      </c>
      <c r="H125" s="73" t="n">
        <f aca="false">F125*G125</f>
        <v>3520.86</v>
      </c>
      <c r="I125" s="72" t="s">
        <v>327</v>
      </c>
      <c r="J125" s="68"/>
      <c r="K125" s="68"/>
      <c r="L125" s="68"/>
      <c r="M125" s="68"/>
      <c r="N125" s="68"/>
      <c r="O125" s="68"/>
    </row>
    <row r="126" customFormat="false" ht="15" hidden="false" customHeight="true" outlineLevel="0" collapsed="false">
      <c r="A126" s="72" t="s">
        <v>11</v>
      </c>
      <c r="B126" s="72" t="s">
        <v>293</v>
      </c>
      <c r="C126" s="72" t="s">
        <v>299</v>
      </c>
      <c r="D126" s="72" t="s">
        <v>166</v>
      </c>
      <c r="E126" s="72" t="s">
        <v>292</v>
      </c>
      <c r="F126" s="72" t="n">
        <v>1</v>
      </c>
      <c r="G126" s="73" t="n">
        <v>28.31</v>
      </c>
      <c r="H126" s="73" t="n">
        <f aca="false">F126*G126</f>
        <v>28.31</v>
      </c>
      <c r="I126" s="72" t="s">
        <v>303</v>
      </c>
      <c r="J126" s="68"/>
      <c r="K126" s="68"/>
      <c r="L126" s="68"/>
      <c r="M126" s="68"/>
      <c r="N126" s="68"/>
      <c r="O126" s="68"/>
    </row>
    <row r="127" customFormat="false" ht="15" hidden="false" customHeight="true" outlineLevel="0" collapsed="false">
      <c r="A127" s="72" t="s">
        <v>11</v>
      </c>
      <c r="B127" s="72" t="s">
        <v>293</v>
      </c>
      <c r="C127" s="72" t="s">
        <v>299</v>
      </c>
      <c r="D127" s="72" t="s">
        <v>165</v>
      </c>
      <c r="E127" s="72" t="s">
        <v>292</v>
      </c>
      <c r="F127" s="72" t="n">
        <v>1</v>
      </c>
      <c r="G127" s="73" t="n">
        <v>47.79</v>
      </c>
      <c r="H127" s="73" t="n">
        <f aca="false">F127*G127</f>
        <v>47.79</v>
      </c>
      <c r="I127" s="72" t="s">
        <v>303</v>
      </c>
      <c r="J127" s="68"/>
      <c r="K127" s="68"/>
      <c r="L127" s="68"/>
      <c r="M127" s="68"/>
      <c r="N127" s="68"/>
      <c r="O127" s="68"/>
    </row>
    <row r="128" customFormat="false" ht="15" hidden="false" customHeight="true" outlineLevel="0" collapsed="false">
      <c r="A128" s="72" t="s">
        <v>11</v>
      </c>
      <c r="B128" s="72" t="s">
        <v>293</v>
      </c>
      <c r="C128" s="72" t="s">
        <v>44</v>
      </c>
      <c r="D128" s="72" t="s">
        <v>167</v>
      </c>
      <c r="E128" s="72" t="s">
        <v>292</v>
      </c>
      <c r="F128" s="72" t="n">
        <v>1</v>
      </c>
      <c r="G128" s="73" t="n">
        <v>64.54</v>
      </c>
      <c r="H128" s="73" t="n">
        <f aca="false">F128*G128</f>
        <v>64.54</v>
      </c>
      <c r="I128" s="72" t="s">
        <v>303</v>
      </c>
      <c r="J128" s="68"/>
      <c r="K128" s="68"/>
      <c r="L128" s="68"/>
      <c r="M128" s="68"/>
      <c r="N128" s="68"/>
      <c r="O128" s="68"/>
    </row>
    <row r="129" customFormat="false" ht="15" hidden="false" customHeight="true" outlineLevel="0" collapsed="false">
      <c r="A129" s="72" t="s">
        <v>11</v>
      </c>
      <c r="B129" s="72" t="s">
        <v>293</v>
      </c>
      <c r="C129" s="72" t="s">
        <v>304</v>
      </c>
      <c r="D129" s="72" t="s">
        <v>170</v>
      </c>
      <c r="E129" s="72" t="s">
        <v>292</v>
      </c>
      <c r="F129" s="72" t="n">
        <v>1</v>
      </c>
      <c r="G129" s="73" t="n">
        <v>10.05</v>
      </c>
      <c r="H129" s="73" t="n">
        <f aca="false">F129*G129</f>
        <v>10.05</v>
      </c>
      <c r="I129" s="72" t="s">
        <v>303</v>
      </c>
      <c r="J129" s="68"/>
      <c r="K129" s="68"/>
      <c r="L129" s="68"/>
      <c r="M129" s="68"/>
      <c r="N129" s="68"/>
      <c r="O129" s="68"/>
    </row>
    <row r="130" customFormat="false" ht="15" hidden="false" customHeight="true" outlineLevel="0" collapsed="false">
      <c r="A130" s="72" t="s">
        <v>11</v>
      </c>
      <c r="B130" s="72" t="s">
        <v>293</v>
      </c>
      <c r="C130" s="72" t="s">
        <v>304</v>
      </c>
      <c r="D130" s="72" t="s">
        <v>173</v>
      </c>
      <c r="E130" s="72" t="s">
        <v>292</v>
      </c>
      <c r="F130" s="72" t="n">
        <v>1</v>
      </c>
      <c r="G130" s="73" t="n">
        <v>2.07</v>
      </c>
      <c r="H130" s="73" t="n">
        <f aca="false">F130*G130</f>
        <v>2.07</v>
      </c>
      <c r="I130" s="72" t="s">
        <v>303</v>
      </c>
      <c r="J130" s="68"/>
      <c r="K130" s="68"/>
      <c r="L130" s="68"/>
      <c r="M130" s="68"/>
      <c r="N130" s="68"/>
      <c r="O130" s="68"/>
    </row>
    <row r="131" customFormat="false" ht="15" hidden="false" customHeight="true" outlineLevel="0" collapsed="false">
      <c r="A131" s="72" t="s">
        <v>11</v>
      </c>
      <c r="B131" s="72" t="s">
        <v>293</v>
      </c>
      <c r="C131" s="72" t="s">
        <v>306</v>
      </c>
      <c r="D131" s="72" t="s">
        <v>192</v>
      </c>
      <c r="E131" s="72" t="s">
        <v>292</v>
      </c>
      <c r="F131" s="72" t="n">
        <v>1</v>
      </c>
      <c r="G131" s="73" t="n">
        <v>30</v>
      </c>
      <c r="H131" s="73" t="n">
        <f aca="false">F131*G131</f>
        <v>30</v>
      </c>
      <c r="I131" s="72" t="s">
        <v>303</v>
      </c>
      <c r="J131" s="68"/>
      <c r="K131" s="68"/>
      <c r="L131" s="68"/>
      <c r="M131" s="68"/>
      <c r="N131" s="68"/>
      <c r="O131" s="68"/>
    </row>
    <row r="132" customFormat="false" ht="15" hidden="false" customHeight="true" outlineLevel="0" collapsed="false">
      <c r="A132" s="72" t="s">
        <v>20</v>
      </c>
      <c r="B132" s="72" t="s">
        <v>275</v>
      </c>
      <c r="C132" s="72" t="s">
        <v>299</v>
      </c>
      <c r="D132" s="72" t="s">
        <v>241</v>
      </c>
      <c r="E132" s="72" t="s">
        <v>274</v>
      </c>
      <c r="F132" s="72" t="n">
        <v>1</v>
      </c>
      <c r="G132" s="73" t="n">
        <v>164454.54</v>
      </c>
      <c r="H132" s="73" t="n">
        <v>164454.54</v>
      </c>
      <c r="I132" s="72" t="s">
        <v>328</v>
      </c>
      <c r="J132" s="68"/>
      <c r="K132" s="68"/>
      <c r="L132" s="68"/>
      <c r="M132" s="68"/>
      <c r="N132" s="68"/>
      <c r="O132" s="68"/>
    </row>
    <row r="133" customFormat="false" ht="15" hidden="false" customHeight="true" outlineLevel="0" collapsed="false">
      <c r="A133" s="72" t="s">
        <v>20</v>
      </c>
      <c r="B133" s="72" t="s">
        <v>275</v>
      </c>
      <c r="C133" s="72" t="s">
        <v>299</v>
      </c>
      <c r="D133" s="72" t="s">
        <v>301</v>
      </c>
      <c r="E133" s="72" t="s">
        <v>274</v>
      </c>
      <c r="F133" s="72" t="n">
        <v>1</v>
      </c>
      <c r="G133" s="73" t="n">
        <v>2724.43</v>
      </c>
      <c r="H133" s="73" t="n">
        <v>2724.43</v>
      </c>
      <c r="I133" s="72" t="s">
        <v>302</v>
      </c>
      <c r="J133" s="68"/>
      <c r="K133" s="68"/>
      <c r="L133" s="68"/>
      <c r="M133" s="68"/>
      <c r="N133" s="68"/>
      <c r="O133" s="68"/>
    </row>
    <row r="134" customFormat="false" ht="15" hidden="false" customHeight="true" outlineLevel="0" collapsed="false">
      <c r="A134" s="72" t="s">
        <v>20</v>
      </c>
      <c r="B134" s="72" t="s">
        <v>275</v>
      </c>
      <c r="C134" s="72" t="s">
        <v>299</v>
      </c>
      <c r="D134" s="72" t="s">
        <v>166</v>
      </c>
      <c r="E134" s="72" t="s">
        <v>274</v>
      </c>
      <c r="F134" s="72" t="n">
        <v>39</v>
      </c>
      <c r="G134" s="73" t="n">
        <v>28.31</v>
      </c>
      <c r="H134" s="73" t="n">
        <v>1104.09</v>
      </c>
      <c r="I134" s="72" t="s">
        <v>303</v>
      </c>
      <c r="J134" s="68"/>
      <c r="K134" s="68"/>
      <c r="L134" s="68"/>
      <c r="M134" s="68"/>
      <c r="N134" s="68"/>
      <c r="O134" s="68"/>
    </row>
    <row r="135" customFormat="false" ht="15" hidden="false" customHeight="true" outlineLevel="0" collapsed="false">
      <c r="A135" s="72" t="s">
        <v>20</v>
      </c>
      <c r="B135" s="72" t="s">
        <v>275</v>
      </c>
      <c r="C135" s="72" t="s">
        <v>299</v>
      </c>
      <c r="D135" s="72" t="s">
        <v>165</v>
      </c>
      <c r="E135" s="72" t="s">
        <v>274</v>
      </c>
      <c r="F135" s="72" t="n">
        <v>39</v>
      </c>
      <c r="G135" s="73" t="n">
        <v>47.79</v>
      </c>
      <c r="H135" s="73" t="n">
        <v>1863.81</v>
      </c>
      <c r="I135" s="72" t="s">
        <v>303</v>
      </c>
      <c r="J135" s="68"/>
      <c r="K135" s="68"/>
      <c r="L135" s="68"/>
      <c r="M135" s="68"/>
      <c r="N135" s="68"/>
      <c r="O135" s="68"/>
    </row>
    <row r="136" customFormat="false" ht="15" hidden="false" customHeight="true" outlineLevel="0" collapsed="false">
      <c r="A136" s="72" t="s">
        <v>20</v>
      </c>
      <c r="B136" s="72" t="s">
        <v>275</v>
      </c>
      <c r="C136" s="72" t="s">
        <v>44</v>
      </c>
      <c r="D136" s="72" t="s">
        <v>240</v>
      </c>
      <c r="E136" s="72" t="s">
        <v>274</v>
      </c>
      <c r="F136" s="72" t="n">
        <v>1</v>
      </c>
      <c r="G136" s="73" t="n">
        <v>373.29</v>
      </c>
      <c r="H136" s="73" t="n">
        <v>373.29</v>
      </c>
      <c r="I136" s="72" t="s">
        <v>302</v>
      </c>
      <c r="J136" s="68"/>
      <c r="K136" s="68"/>
      <c r="L136" s="68"/>
      <c r="M136" s="68"/>
      <c r="N136" s="68"/>
      <c r="O136" s="68"/>
    </row>
    <row r="137" customFormat="false" ht="15" hidden="false" customHeight="true" outlineLevel="0" collapsed="false">
      <c r="A137" s="72" t="s">
        <v>20</v>
      </c>
      <c r="B137" s="72" t="s">
        <v>275</v>
      </c>
      <c r="C137" s="72" t="s">
        <v>44</v>
      </c>
      <c r="D137" s="72" t="s">
        <v>167</v>
      </c>
      <c r="E137" s="72" t="s">
        <v>274</v>
      </c>
      <c r="F137" s="72" t="n">
        <v>39</v>
      </c>
      <c r="G137" s="73" t="n">
        <v>64.57</v>
      </c>
      <c r="H137" s="73" t="n">
        <v>2518.23</v>
      </c>
      <c r="I137" s="72" t="s">
        <v>303</v>
      </c>
      <c r="J137" s="68"/>
      <c r="K137" s="68"/>
      <c r="L137" s="68"/>
      <c r="M137" s="68"/>
      <c r="N137" s="68"/>
      <c r="O137" s="68"/>
    </row>
    <row r="138" customFormat="false" ht="15" hidden="false" customHeight="true" outlineLevel="0" collapsed="false">
      <c r="A138" s="72" t="s">
        <v>20</v>
      </c>
      <c r="B138" s="72" t="s">
        <v>275</v>
      </c>
      <c r="C138" s="72" t="s">
        <v>304</v>
      </c>
      <c r="D138" s="72" t="s">
        <v>170</v>
      </c>
      <c r="E138" s="72" t="s">
        <v>274</v>
      </c>
      <c r="F138" s="72" t="n">
        <v>39</v>
      </c>
      <c r="G138" s="73" t="n">
        <v>10.05</v>
      </c>
      <c r="H138" s="73" t="n">
        <v>391.95</v>
      </c>
      <c r="I138" s="72" t="s">
        <v>303</v>
      </c>
      <c r="J138" s="68"/>
      <c r="K138" s="68"/>
      <c r="L138" s="68"/>
      <c r="M138" s="68"/>
      <c r="N138" s="68"/>
      <c r="O138" s="68"/>
    </row>
    <row r="139" customFormat="false" ht="15" hidden="false" customHeight="true" outlineLevel="0" collapsed="false">
      <c r="A139" s="72" t="s">
        <v>20</v>
      </c>
      <c r="B139" s="72" t="s">
        <v>275</v>
      </c>
      <c r="C139" s="72" t="s">
        <v>304</v>
      </c>
      <c r="D139" s="72" t="s">
        <v>173</v>
      </c>
      <c r="E139" s="72" t="s">
        <v>274</v>
      </c>
      <c r="F139" s="72" t="n">
        <v>39</v>
      </c>
      <c r="G139" s="73" t="n">
        <v>2.07</v>
      </c>
      <c r="H139" s="73" t="n">
        <v>80.73</v>
      </c>
      <c r="I139" s="72" t="s">
        <v>303</v>
      </c>
      <c r="J139" s="68"/>
      <c r="K139" s="68"/>
      <c r="L139" s="68"/>
      <c r="M139" s="68"/>
      <c r="N139" s="68"/>
      <c r="O139" s="68"/>
    </row>
    <row r="140" customFormat="false" ht="15" hidden="false" customHeight="true" outlineLevel="0" collapsed="false">
      <c r="A140" s="72" t="s">
        <v>20</v>
      </c>
      <c r="B140" s="72" t="s">
        <v>275</v>
      </c>
      <c r="C140" s="72" t="s">
        <v>305</v>
      </c>
      <c r="D140" s="72" t="s">
        <v>194</v>
      </c>
      <c r="E140" s="72" t="s">
        <v>274</v>
      </c>
      <c r="F140" s="72" t="n">
        <v>1</v>
      </c>
      <c r="G140" s="73" t="n">
        <v>71.78</v>
      </c>
      <c r="H140" s="73" t="n">
        <v>71.78</v>
      </c>
      <c r="I140" s="72" t="s">
        <v>302</v>
      </c>
      <c r="J140" s="68"/>
      <c r="K140" s="68"/>
      <c r="L140" s="68"/>
      <c r="M140" s="68"/>
      <c r="N140" s="68"/>
      <c r="O140" s="68"/>
    </row>
    <row r="141" customFormat="false" ht="15" hidden="false" customHeight="true" outlineLevel="0" collapsed="false">
      <c r="A141" s="72" t="s">
        <v>20</v>
      </c>
      <c r="B141" s="72" t="s">
        <v>275</v>
      </c>
      <c r="C141" s="72" t="s">
        <v>305</v>
      </c>
      <c r="D141" s="72" t="s">
        <v>188</v>
      </c>
      <c r="E141" s="72" t="s">
        <v>274</v>
      </c>
      <c r="F141" s="72" t="n">
        <v>1</v>
      </c>
      <c r="G141" s="73" t="n">
        <v>-105.55</v>
      </c>
      <c r="H141" s="73" t="n">
        <v>-105.55</v>
      </c>
      <c r="I141" s="72" t="s">
        <v>302</v>
      </c>
      <c r="J141" s="68"/>
      <c r="K141" s="68"/>
      <c r="L141" s="68"/>
      <c r="M141" s="68"/>
      <c r="N141" s="68"/>
      <c r="O141" s="68"/>
    </row>
    <row r="142" customFormat="false" ht="15" hidden="false" customHeight="true" outlineLevel="0" collapsed="false">
      <c r="A142" s="72" t="s">
        <v>20</v>
      </c>
      <c r="B142" s="72" t="s">
        <v>275</v>
      </c>
      <c r="C142" s="72" t="s">
        <v>305</v>
      </c>
      <c r="D142" s="72" t="s">
        <v>198</v>
      </c>
      <c r="E142" s="72" t="s">
        <v>274</v>
      </c>
      <c r="F142" s="72" t="n">
        <v>1</v>
      </c>
      <c r="G142" s="73" t="n">
        <v>111.85</v>
      </c>
      <c r="H142" s="73" t="n">
        <v>111.85</v>
      </c>
      <c r="I142" s="72" t="s">
        <v>302</v>
      </c>
      <c r="J142" s="68"/>
      <c r="K142" s="68"/>
      <c r="L142" s="68"/>
      <c r="M142" s="68"/>
      <c r="N142" s="68"/>
      <c r="O142" s="68"/>
    </row>
    <row r="143" customFormat="false" ht="15" hidden="false" customHeight="true" outlineLevel="0" collapsed="false">
      <c r="A143" s="72" t="s">
        <v>20</v>
      </c>
      <c r="B143" s="72" t="s">
        <v>275</v>
      </c>
      <c r="C143" s="72" t="s">
        <v>306</v>
      </c>
      <c r="D143" s="72" t="s">
        <v>192</v>
      </c>
      <c r="E143" s="72" t="s">
        <v>274</v>
      </c>
      <c r="F143" s="72" t="n">
        <v>42</v>
      </c>
      <c r="G143" s="73" t="n">
        <v>30</v>
      </c>
      <c r="H143" s="73" t="n">
        <f aca="false">F143*G143</f>
        <v>1260</v>
      </c>
      <c r="I143" s="72" t="s">
        <v>303</v>
      </c>
      <c r="J143" s="68"/>
      <c r="K143" s="68"/>
      <c r="L143" s="68"/>
      <c r="M143" s="68"/>
      <c r="N143" s="68"/>
      <c r="O143" s="68"/>
    </row>
    <row r="144" customFormat="false" ht="15" hidden="false" customHeight="true" outlineLevel="0" collapsed="false">
      <c r="A144" s="72" t="s">
        <v>20</v>
      </c>
      <c r="B144" s="72" t="s">
        <v>275</v>
      </c>
      <c r="C144" s="72" t="s">
        <v>329</v>
      </c>
      <c r="D144" s="72" t="s">
        <v>330</v>
      </c>
      <c r="E144" s="72" t="s">
        <v>274</v>
      </c>
      <c r="F144" s="72" t="n">
        <v>4</v>
      </c>
      <c r="G144" s="73" t="n">
        <v>50</v>
      </c>
      <c r="H144" s="73" t="n">
        <f aca="false">F144*G144</f>
        <v>200</v>
      </c>
      <c r="I144" s="72" t="s">
        <v>331</v>
      </c>
      <c r="J144" s="68"/>
      <c r="K144" s="68"/>
      <c r="L144" s="68"/>
      <c r="M144" s="68"/>
      <c r="N144" s="68"/>
      <c r="O144" s="68"/>
    </row>
    <row r="145" customFormat="false" ht="15" hidden="false" customHeight="true" outlineLevel="0" collapsed="false">
      <c r="A145" s="72" t="s">
        <v>20</v>
      </c>
      <c r="B145" s="72" t="s">
        <v>275</v>
      </c>
      <c r="C145" s="72" t="s">
        <v>307</v>
      </c>
      <c r="D145" s="72" t="s">
        <v>186</v>
      </c>
      <c r="E145" s="72" t="s">
        <v>274</v>
      </c>
      <c r="F145" s="72" t="n">
        <v>1</v>
      </c>
      <c r="G145" s="73" t="n">
        <v>476.27</v>
      </c>
      <c r="H145" s="73" t="n">
        <f aca="false">F145*G145</f>
        <v>476.27</v>
      </c>
      <c r="I145" s="72" t="s">
        <v>332</v>
      </c>
      <c r="J145" s="68"/>
      <c r="K145" s="68"/>
      <c r="L145" s="68"/>
      <c r="M145" s="68"/>
      <c r="N145" s="68"/>
      <c r="O145" s="68"/>
    </row>
    <row r="146" customFormat="false" ht="15" hidden="false" customHeight="true" outlineLevel="0" collapsed="false">
      <c r="A146" s="72" t="s">
        <v>20</v>
      </c>
      <c r="B146" s="72" t="s">
        <v>275</v>
      </c>
      <c r="C146" s="72" t="s">
        <v>299</v>
      </c>
      <c r="D146" s="72" t="s">
        <v>241</v>
      </c>
      <c r="E146" s="72" t="s">
        <v>277</v>
      </c>
      <c r="F146" s="72" t="n">
        <v>1</v>
      </c>
      <c r="G146" s="73" t="n">
        <v>5015.22</v>
      </c>
      <c r="H146" s="73" t="n">
        <f aca="false">F146*G146</f>
        <v>5015.22</v>
      </c>
      <c r="I146" s="72" t="s">
        <v>309</v>
      </c>
      <c r="J146" s="68"/>
      <c r="K146" s="68"/>
      <c r="L146" s="68"/>
      <c r="M146" s="68"/>
      <c r="N146" s="68"/>
      <c r="O146" s="68"/>
    </row>
    <row r="147" customFormat="false" ht="15" hidden="false" customHeight="true" outlineLevel="0" collapsed="false">
      <c r="A147" s="72" t="s">
        <v>20</v>
      </c>
      <c r="B147" s="72" t="s">
        <v>275</v>
      </c>
      <c r="C147" s="72" t="s">
        <v>299</v>
      </c>
      <c r="D147" s="72" t="s">
        <v>301</v>
      </c>
      <c r="E147" s="72" t="s">
        <v>277</v>
      </c>
      <c r="F147" s="72" t="n">
        <v>1</v>
      </c>
      <c r="G147" s="73" t="n">
        <v>628.71</v>
      </c>
      <c r="H147" s="73" t="n">
        <v>628.71</v>
      </c>
      <c r="I147" s="72" t="s">
        <v>310</v>
      </c>
      <c r="J147" s="68"/>
      <c r="K147" s="68"/>
      <c r="L147" s="68"/>
      <c r="M147" s="68"/>
      <c r="N147" s="68"/>
      <c r="O147" s="68"/>
    </row>
    <row r="148" customFormat="false" ht="15" hidden="false" customHeight="true" outlineLevel="0" collapsed="false">
      <c r="A148" s="72" t="s">
        <v>20</v>
      </c>
      <c r="B148" s="72" t="s">
        <v>275</v>
      </c>
      <c r="C148" s="72" t="s">
        <v>299</v>
      </c>
      <c r="D148" s="72" t="s">
        <v>166</v>
      </c>
      <c r="E148" s="72" t="s">
        <v>277</v>
      </c>
      <c r="F148" s="72" t="n">
        <v>9</v>
      </c>
      <c r="G148" s="73" t="n">
        <v>28.31</v>
      </c>
      <c r="H148" s="73" t="n">
        <f aca="false">F148*G148</f>
        <v>254.79</v>
      </c>
      <c r="I148" s="72" t="s">
        <v>303</v>
      </c>
      <c r="J148" s="68"/>
      <c r="K148" s="68"/>
      <c r="L148" s="68"/>
      <c r="M148" s="68"/>
      <c r="N148" s="68"/>
      <c r="O148" s="68"/>
    </row>
    <row r="149" customFormat="false" ht="15" hidden="false" customHeight="true" outlineLevel="0" collapsed="false">
      <c r="A149" s="72" t="s">
        <v>20</v>
      </c>
      <c r="B149" s="72" t="s">
        <v>275</v>
      </c>
      <c r="C149" s="72" t="s">
        <v>299</v>
      </c>
      <c r="D149" s="72" t="s">
        <v>165</v>
      </c>
      <c r="E149" s="72" t="s">
        <v>277</v>
      </c>
      <c r="F149" s="72" t="n">
        <v>9</v>
      </c>
      <c r="G149" s="73" t="n">
        <v>47.79</v>
      </c>
      <c r="H149" s="73" t="n">
        <f aca="false">F149*G149</f>
        <v>430.11</v>
      </c>
      <c r="I149" s="72" t="s">
        <v>303</v>
      </c>
      <c r="J149" s="68"/>
      <c r="K149" s="68"/>
      <c r="L149" s="68"/>
      <c r="M149" s="68"/>
      <c r="N149" s="68"/>
      <c r="O149" s="68"/>
    </row>
    <row r="150" customFormat="false" ht="15" hidden="false" customHeight="true" outlineLevel="0" collapsed="false">
      <c r="A150" s="72" t="s">
        <v>20</v>
      </c>
      <c r="B150" s="72" t="s">
        <v>275</v>
      </c>
      <c r="C150" s="72" t="s">
        <v>44</v>
      </c>
      <c r="D150" s="72" t="s">
        <v>240</v>
      </c>
      <c r="E150" s="72" t="s">
        <v>277</v>
      </c>
      <c r="F150" s="72" t="n">
        <v>1</v>
      </c>
      <c r="G150" s="73" t="n">
        <v>86.14</v>
      </c>
      <c r="H150" s="73" t="n">
        <v>86.14</v>
      </c>
      <c r="I150" s="72" t="s">
        <v>310</v>
      </c>
      <c r="J150" s="68"/>
      <c r="K150" s="68"/>
      <c r="L150" s="68"/>
      <c r="M150" s="68"/>
      <c r="N150" s="68"/>
      <c r="O150" s="68"/>
    </row>
    <row r="151" customFormat="false" ht="15" hidden="false" customHeight="true" outlineLevel="0" collapsed="false">
      <c r="A151" s="72" t="s">
        <v>20</v>
      </c>
      <c r="B151" s="72" t="s">
        <v>275</v>
      </c>
      <c r="C151" s="72" t="s">
        <v>44</v>
      </c>
      <c r="D151" s="72" t="s">
        <v>167</v>
      </c>
      <c r="E151" s="72" t="s">
        <v>277</v>
      </c>
      <c r="F151" s="72" t="n">
        <v>9</v>
      </c>
      <c r="G151" s="73" t="n">
        <v>64.57</v>
      </c>
      <c r="H151" s="73" t="n">
        <f aca="false">F151*G151</f>
        <v>581.13</v>
      </c>
      <c r="I151" s="72" t="s">
        <v>303</v>
      </c>
      <c r="J151" s="68"/>
      <c r="K151" s="68"/>
      <c r="L151" s="68"/>
      <c r="M151" s="68"/>
      <c r="N151" s="68"/>
      <c r="O151" s="68"/>
    </row>
    <row r="152" customFormat="false" ht="15" hidden="false" customHeight="true" outlineLevel="0" collapsed="false">
      <c r="A152" s="72" t="s">
        <v>20</v>
      </c>
      <c r="B152" s="72" t="s">
        <v>275</v>
      </c>
      <c r="C152" s="72" t="s">
        <v>304</v>
      </c>
      <c r="D152" s="72" t="s">
        <v>170</v>
      </c>
      <c r="E152" s="72" t="s">
        <v>277</v>
      </c>
      <c r="F152" s="72" t="n">
        <v>9</v>
      </c>
      <c r="G152" s="73" t="n">
        <v>10.05</v>
      </c>
      <c r="H152" s="73" t="n">
        <f aca="false">F152*G152</f>
        <v>90.45</v>
      </c>
      <c r="I152" s="72" t="s">
        <v>303</v>
      </c>
      <c r="J152" s="68"/>
      <c r="K152" s="68"/>
      <c r="L152" s="68"/>
      <c r="M152" s="68"/>
      <c r="N152" s="68"/>
      <c r="O152" s="68"/>
    </row>
    <row r="153" customFormat="false" ht="15" hidden="false" customHeight="true" outlineLevel="0" collapsed="false">
      <c r="A153" s="72" t="s">
        <v>20</v>
      </c>
      <c r="B153" s="72" t="s">
        <v>275</v>
      </c>
      <c r="C153" s="72" t="s">
        <v>304</v>
      </c>
      <c r="D153" s="72" t="s">
        <v>173</v>
      </c>
      <c r="E153" s="72" t="s">
        <v>277</v>
      </c>
      <c r="F153" s="72" t="n">
        <v>9</v>
      </c>
      <c r="G153" s="73" t="n">
        <v>2.07</v>
      </c>
      <c r="H153" s="73" t="n">
        <f aca="false">F153*G153</f>
        <v>18.63</v>
      </c>
      <c r="I153" s="72" t="s">
        <v>303</v>
      </c>
      <c r="J153" s="68"/>
      <c r="K153" s="68"/>
      <c r="L153" s="68"/>
      <c r="M153" s="68"/>
      <c r="N153" s="68"/>
      <c r="O153" s="68"/>
    </row>
    <row r="154" customFormat="false" ht="15" hidden="false" customHeight="true" outlineLevel="0" collapsed="false">
      <c r="A154" s="72" t="s">
        <v>20</v>
      </c>
      <c r="B154" s="72" t="s">
        <v>275</v>
      </c>
      <c r="C154" s="72" t="s">
        <v>305</v>
      </c>
      <c r="D154" s="72" t="s">
        <v>194</v>
      </c>
      <c r="E154" s="72" t="s">
        <v>277</v>
      </c>
      <c r="F154" s="72" t="n">
        <v>1</v>
      </c>
      <c r="G154" s="73" t="n">
        <v>16.56</v>
      </c>
      <c r="H154" s="73" t="n">
        <v>16.56</v>
      </c>
      <c r="I154" s="72" t="s">
        <v>310</v>
      </c>
      <c r="J154" s="68"/>
      <c r="K154" s="68"/>
      <c r="L154" s="68"/>
      <c r="M154" s="68"/>
      <c r="N154" s="68"/>
      <c r="O154" s="68"/>
    </row>
    <row r="155" customFormat="false" ht="15" hidden="false" customHeight="true" outlineLevel="0" collapsed="false">
      <c r="A155" s="72" t="s">
        <v>20</v>
      </c>
      <c r="B155" s="72" t="s">
        <v>275</v>
      </c>
      <c r="C155" s="72" t="s">
        <v>305</v>
      </c>
      <c r="D155" s="72" t="s">
        <v>188</v>
      </c>
      <c r="E155" s="72" t="s">
        <v>277</v>
      </c>
      <c r="F155" s="72" t="n">
        <v>1</v>
      </c>
      <c r="G155" s="73" t="n">
        <v>-24.36</v>
      </c>
      <c r="H155" s="73" t="n">
        <v>-24.36</v>
      </c>
      <c r="I155" s="72" t="s">
        <v>310</v>
      </c>
      <c r="J155" s="68"/>
      <c r="K155" s="68"/>
      <c r="L155" s="68"/>
      <c r="M155" s="68"/>
      <c r="N155" s="68"/>
      <c r="O155" s="68"/>
    </row>
    <row r="156" customFormat="false" ht="15" hidden="false" customHeight="true" outlineLevel="0" collapsed="false">
      <c r="A156" s="72" t="s">
        <v>20</v>
      </c>
      <c r="B156" s="72" t="s">
        <v>275</v>
      </c>
      <c r="C156" s="72" t="s">
        <v>305</v>
      </c>
      <c r="D156" s="72" t="s">
        <v>198</v>
      </c>
      <c r="E156" s="72" t="s">
        <v>277</v>
      </c>
      <c r="F156" s="72" t="n">
        <v>1</v>
      </c>
      <c r="G156" s="73" t="n">
        <v>25.81</v>
      </c>
      <c r="H156" s="73" t="n">
        <v>25.81</v>
      </c>
      <c r="I156" s="72" t="s">
        <v>310</v>
      </c>
      <c r="J156" s="68"/>
      <c r="K156" s="68"/>
      <c r="L156" s="68"/>
      <c r="M156" s="68"/>
      <c r="N156" s="68"/>
      <c r="O156" s="68"/>
    </row>
    <row r="157" customFormat="false" ht="15" hidden="false" customHeight="true" outlineLevel="0" collapsed="false">
      <c r="A157" s="72" t="s">
        <v>20</v>
      </c>
      <c r="B157" s="72" t="s">
        <v>275</v>
      </c>
      <c r="C157" s="72" t="s">
        <v>306</v>
      </c>
      <c r="D157" s="72" t="s">
        <v>192</v>
      </c>
      <c r="E157" s="72" t="s">
        <v>277</v>
      </c>
      <c r="F157" s="72" t="n">
        <v>9</v>
      </c>
      <c r="G157" s="73" t="n">
        <v>30</v>
      </c>
      <c r="H157" s="73" t="n">
        <f aca="false">F157*G157</f>
        <v>270</v>
      </c>
      <c r="I157" s="72" t="s">
        <v>303</v>
      </c>
      <c r="J157" s="68"/>
      <c r="K157" s="68"/>
      <c r="L157" s="68"/>
      <c r="M157" s="68"/>
      <c r="N157" s="68"/>
      <c r="O157" s="68"/>
    </row>
    <row r="158" customFormat="false" ht="15" hidden="false" customHeight="true" outlineLevel="0" collapsed="false">
      <c r="A158" s="72" t="s">
        <v>20</v>
      </c>
      <c r="B158" s="72" t="s">
        <v>275</v>
      </c>
      <c r="C158" s="72" t="s">
        <v>299</v>
      </c>
      <c r="D158" s="72" t="s">
        <v>241</v>
      </c>
      <c r="E158" s="72" t="s">
        <v>279</v>
      </c>
      <c r="F158" s="72" t="n">
        <v>1</v>
      </c>
      <c r="G158" s="73" t="n">
        <v>22457.37</v>
      </c>
      <c r="H158" s="73" t="n">
        <f aca="false">F158*G158</f>
        <v>22457.37</v>
      </c>
      <c r="I158" s="72" t="s">
        <v>311</v>
      </c>
      <c r="J158" s="68"/>
      <c r="K158" s="68"/>
      <c r="L158" s="68"/>
      <c r="M158" s="68"/>
      <c r="N158" s="68"/>
      <c r="O158" s="68"/>
    </row>
    <row r="159" customFormat="false" ht="15" hidden="false" customHeight="true" outlineLevel="0" collapsed="false">
      <c r="A159" s="72" t="s">
        <v>20</v>
      </c>
      <c r="B159" s="72" t="s">
        <v>275</v>
      </c>
      <c r="C159" s="72" t="s">
        <v>299</v>
      </c>
      <c r="D159" s="72" t="s">
        <v>333</v>
      </c>
      <c r="E159" s="72" t="s">
        <v>279</v>
      </c>
      <c r="F159" s="72" t="n">
        <v>1</v>
      </c>
      <c r="G159" s="73" t="n">
        <v>8440.13</v>
      </c>
      <c r="H159" s="73" t="n">
        <f aca="false">F159*G159</f>
        <v>8440.13</v>
      </c>
      <c r="I159" s="72" t="s">
        <v>334</v>
      </c>
      <c r="J159" s="68"/>
      <c r="K159" s="68"/>
      <c r="L159" s="68"/>
      <c r="M159" s="68"/>
      <c r="N159" s="68"/>
      <c r="O159" s="68"/>
    </row>
    <row r="160" customFormat="false" ht="15" hidden="false" customHeight="true" outlineLevel="0" collapsed="false">
      <c r="A160" s="72" t="s">
        <v>20</v>
      </c>
      <c r="B160" s="72" t="s">
        <v>275</v>
      </c>
      <c r="C160" s="72" t="s">
        <v>299</v>
      </c>
      <c r="D160" s="72" t="s">
        <v>301</v>
      </c>
      <c r="E160" s="72" t="s">
        <v>279</v>
      </c>
      <c r="F160" s="72" t="n">
        <v>1</v>
      </c>
      <c r="G160" s="73" t="n">
        <v>489</v>
      </c>
      <c r="H160" s="73" t="n">
        <v>489</v>
      </c>
      <c r="I160" s="72" t="s">
        <v>312</v>
      </c>
      <c r="J160" s="68"/>
      <c r="K160" s="68"/>
      <c r="L160" s="68"/>
      <c r="M160" s="68"/>
      <c r="N160" s="68"/>
      <c r="O160" s="68"/>
    </row>
    <row r="161" customFormat="false" ht="15" hidden="false" customHeight="true" outlineLevel="0" collapsed="false">
      <c r="A161" s="72" t="s">
        <v>20</v>
      </c>
      <c r="B161" s="72" t="s">
        <v>275</v>
      </c>
      <c r="C161" s="72" t="s">
        <v>299</v>
      </c>
      <c r="D161" s="72" t="s">
        <v>166</v>
      </c>
      <c r="E161" s="72" t="s">
        <v>279</v>
      </c>
      <c r="F161" s="72" t="n">
        <v>7</v>
      </c>
      <c r="G161" s="73" t="n">
        <v>28.31</v>
      </c>
      <c r="H161" s="73" t="n">
        <f aca="false">F161*G161</f>
        <v>198.17</v>
      </c>
      <c r="I161" s="72" t="s">
        <v>303</v>
      </c>
      <c r="J161" s="68"/>
      <c r="K161" s="68"/>
      <c r="L161" s="68"/>
      <c r="M161" s="68"/>
      <c r="N161" s="68"/>
      <c r="O161" s="68"/>
    </row>
    <row r="162" customFormat="false" ht="15" hidden="false" customHeight="true" outlineLevel="0" collapsed="false">
      <c r="A162" s="72" t="s">
        <v>20</v>
      </c>
      <c r="B162" s="72" t="s">
        <v>275</v>
      </c>
      <c r="C162" s="72" t="s">
        <v>299</v>
      </c>
      <c r="D162" s="72" t="s">
        <v>165</v>
      </c>
      <c r="E162" s="72" t="s">
        <v>279</v>
      </c>
      <c r="F162" s="72" t="n">
        <v>7</v>
      </c>
      <c r="G162" s="73" t="n">
        <v>47.79</v>
      </c>
      <c r="H162" s="73" t="n">
        <f aca="false">F162*G162</f>
        <v>334.53</v>
      </c>
      <c r="I162" s="72" t="s">
        <v>303</v>
      </c>
      <c r="J162" s="68"/>
      <c r="K162" s="68"/>
      <c r="L162" s="68"/>
      <c r="M162" s="68"/>
      <c r="N162" s="68"/>
      <c r="O162" s="68"/>
    </row>
    <row r="163" customFormat="false" ht="15" hidden="false" customHeight="true" outlineLevel="0" collapsed="false">
      <c r="A163" s="72" t="s">
        <v>20</v>
      </c>
      <c r="B163" s="72" t="s">
        <v>275</v>
      </c>
      <c r="C163" s="72" t="s">
        <v>44</v>
      </c>
      <c r="D163" s="72" t="s">
        <v>240</v>
      </c>
      <c r="E163" s="72" t="s">
        <v>279</v>
      </c>
      <c r="F163" s="72" t="n">
        <v>1</v>
      </c>
      <c r="G163" s="73" t="n">
        <v>67</v>
      </c>
      <c r="H163" s="73" t="n">
        <v>67</v>
      </c>
      <c r="I163" s="72" t="s">
        <v>312</v>
      </c>
      <c r="J163" s="68"/>
      <c r="K163" s="68"/>
      <c r="L163" s="68"/>
      <c r="M163" s="68"/>
      <c r="N163" s="68"/>
      <c r="O163" s="68"/>
    </row>
    <row r="164" customFormat="false" ht="15" hidden="false" customHeight="true" outlineLevel="0" collapsed="false">
      <c r="A164" s="72" t="s">
        <v>20</v>
      </c>
      <c r="B164" s="72" t="s">
        <v>275</v>
      </c>
      <c r="C164" s="72" t="s">
        <v>44</v>
      </c>
      <c r="D164" s="72" t="s">
        <v>167</v>
      </c>
      <c r="E164" s="72" t="s">
        <v>279</v>
      </c>
      <c r="F164" s="72" t="n">
        <v>7</v>
      </c>
      <c r="G164" s="73" t="n">
        <v>64.57</v>
      </c>
      <c r="H164" s="73" t="n">
        <f aca="false">F164*G164</f>
        <v>451.99</v>
      </c>
      <c r="I164" s="72" t="s">
        <v>303</v>
      </c>
      <c r="J164" s="68"/>
      <c r="K164" s="68"/>
      <c r="L164" s="68"/>
      <c r="M164" s="68"/>
      <c r="N164" s="68"/>
      <c r="O164" s="68"/>
    </row>
    <row r="165" customFormat="false" ht="15" hidden="false" customHeight="true" outlineLevel="0" collapsed="false">
      <c r="A165" s="72" t="s">
        <v>20</v>
      </c>
      <c r="B165" s="72" t="s">
        <v>275</v>
      </c>
      <c r="C165" s="72" t="s">
        <v>304</v>
      </c>
      <c r="D165" s="72" t="s">
        <v>170</v>
      </c>
      <c r="E165" s="72" t="s">
        <v>279</v>
      </c>
      <c r="F165" s="72" t="n">
        <v>7</v>
      </c>
      <c r="G165" s="73" t="n">
        <v>10.05</v>
      </c>
      <c r="H165" s="73" t="n">
        <f aca="false">F165*G165</f>
        <v>70.35</v>
      </c>
      <c r="I165" s="72" t="s">
        <v>303</v>
      </c>
      <c r="J165" s="68"/>
      <c r="K165" s="68"/>
      <c r="L165" s="68"/>
      <c r="M165" s="68"/>
      <c r="N165" s="68"/>
      <c r="O165" s="68"/>
    </row>
    <row r="166" customFormat="false" ht="15" hidden="false" customHeight="true" outlineLevel="0" collapsed="false">
      <c r="A166" s="72" t="s">
        <v>20</v>
      </c>
      <c r="B166" s="72" t="s">
        <v>275</v>
      </c>
      <c r="C166" s="72" t="s">
        <v>304</v>
      </c>
      <c r="D166" s="72" t="s">
        <v>173</v>
      </c>
      <c r="E166" s="72" t="s">
        <v>279</v>
      </c>
      <c r="F166" s="72" t="n">
        <v>7</v>
      </c>
      <c r="G166" s="73" t="n">
        <v>2.07</v>
      </c>
      <c r="H166" s="73" t="n">
        <f aca="false">F166*G166</f>
        <v>14.49</v>
      </c>
      <c r="I166" s="72" t="s">
        <v>303</v>
      </c>
      <c r="J166" s="68"/>
      <c r="K166" s="68"/>
      <c r="L166" s="68"/>
      <c r="M166" s="68"/>
      <c r="N166" s="68"/>
      <c r="O166" s="68"/>
    </row>
    <row r="167" customFormat="false" ht="15" hidden="false" customHeight="true" outlineLevel="0" collapsed="false">
      <c r="A167" s="72" t="s">
        <v>20</v>
      </c>
      <c r="B167" s="72" t="s">
        <v>275</v>
      </c>
      <c r="C167" s="72" t="s">
        <v>305</v>
      </c>
      <c r="D167" s="72" t="s">
        <v>194</v>
      </c>
      <c r="E167" s="72" t="s">
        <v>279</v>
      </c>
      <c r="F167" s="72" t="n">
        <v>1</v>
      </c>
      <c r="G167" s="73" t="n">
        <v>12.88</v>
      </c>
      <c r="H167" s="73" t="n">
        <v>12.88</v>
      </c>
      <c r="I167" s="72" t="s">
        <v>312</v>
      </c>
      <c r="J167" s="68"/>
      <c r="K167" s="68"/>
      <c r="L167" s="68"/>
      <c r="M167" s="68"/>
      <c r="N167" s="68"/>
      <c r="O167" s="68"/>
    </row>
    <row r="168" customFormat="false" ht="15" hidden="false" customHeight="true" outlineLevel="0" collapsed="false">
      <c r="A168" s="72" t="s">
        <v>20</v>
      </c>
      <c r="B168" s="72" t="s">
        <v>275</v>
      </c>
      <c r="C168" s="72" t="s">
        <v>305</v>
      </c>
      <c r="D168" s="72" t="s">
        <v>188</v>
      </c>
      <c r="E168" s="72" t="s">
        <v>279</v>
      </c>
      <c r="F168" s="72" t="n">
        <v>1</v>
      </c>
      <c r="G168" s="73" t="n">
        <v>-18.95</v>
      </c>
      <c r="H168" s="73" t="n">
        <v>-18.95</v>
      </c>
      <c r="I168" s="72" t="s">
        <v>312</v>
      </c>
      <c r="J168" s="68"/>
      <c r="K168" s="68"/>
      <c r="L168" s="68"/>
      <c r="M168" s="68"/>
      <c r="N168" s="68"/>
      <c r="O168" s="68"/>
    </row>
    <row r="169" customFormat="false" ht="15" hidden="false" customHeight="true" outlineLevel="0" collapsed="false">
      <c r="A169" s="72" t="s">
        <v>20</v>
      </c>
      <c r="B169" s="72" t="s">
        <v>275</v>
      </c>
      <c r="C169" s="72" t="s">
        <v>305</v>
      </c>
      <c r="D169" s="72" t="s">
        <v>198</v>
      </c>
      <c r="E169" s="72" t="s">
        <v>279</v>
      </c>
      <c r="F169" s="72" t="n">
        <v>1</v>
      </c>
      <c r="G169" s="73" t="n">
        <v>20.07</v>
      </c>
      <c r="H169" s="73" t="n">
        <v>20.07</v>
      </c>
      <c r="I169" s="72" t="s">
        <v>312</v>
      </c>
      <c r="J169" s="68"/>
      <c r="K169" s="68"/>
      <c r="L169" s="68"/>
      <c r="M169" s="68"/>
      <c r="N169" s="68"/>
      <c r="O169" s="68"/>
    </row>
    <row r="170" customFormat="false" ht="15" hidden="false" customHeight="true" outlineLevel="0" collapsed="false">
      <c r="A170" s="72" t="s">
        <v>20</v>
      </c>
      <c r="B170" s="72" t="s">
        <v>275</v>
      </c>
      <c r="C170" s="72" t="s">
        <v>306</v>
      </c>
      <c r="D170" s="72" t="s">
        <v>192</v>
      </c>
      <c r="E170" s="72" t="s">
        <v>279</v>
      </c>
      <c r="F170" s="72" t="n">
        <v>7</v>
      </c>
      <c r="G170" s="73" t="n">
        <v>30</v>
      </c>
      <c r="H170" s="73" t="n">
        <f aca="false">F170*G170</f>
        <v>210</v>
      </c>
      <c r="I170" s="72" t="s">
        <v>303</v>
      </c>
      <c r="J170" s="68"/>
      <c r="K170" s="68"/>
      <c r="L170" s="68"/>
      <c r="M170" s="68"/>
      <c r="N170" s="68"/>
      <c r="O170" s="68"/>
    </row>
    <row r="171" customFormat="false" ht="15" hidden="false" customHeight="true" outlineLevel="0" collapsed="false">
      <c r="A171" s="72" t="s">
        <v>20</v>
      </c>
      <c r="B171" s="72" t="s">
        <v>275</v>
      </c>
      <c r="C171" s="72" t="s">
        <v>329</v>
      </c>
      <c r="D171" s="72" t="s">
        <v>330</v>
      </c>
      <c r="E171" s="72" t="s">
        <v>279</v>
      </c>
      <c r="F171" s="72" t="n">
        <v>1</v>
      </c>
      <c r="G171" s="73" t="n">
        <v>50</v>
      </c>
      <c r="H171" s="73" t="n">
        <f aca="false">F171*G171</f>
        <v>50</v>
      </c>
      <c r="I171" s="72" t="s">
        <v>331</v>
      </c>
      <c r="J171" s="68"/>
      <c r="K171" s="68"/>
      <c r="L171" s="68"/>
      <c r="M171" s="68"/>
      <c r="N171" s="68"/>
      <c r="O171" s="68"/>
    </row>
    <row r="172" customFormat="false" ht="15" hidden="false" customHeight="true" outlineLevel="0" collapsed="false">
      <c r="A172" s="72" t="s">
        <v>20</v>
      </c>
      <c r="B172" s="72" t="s">
        <v>275</v>
      </c>
      <c r="C172" s="72" t="s">
        <v>307</v>
      </c>
      <c r="D172" s="72" t="s">
        <v>186</v>
      </c>
      <c r="E172" s="72" t="s">
        <v>279</v>
      </c>
      <c r="F172" s="72" t="n">
        <v>1</v>
      </c>
      <c r="G172" s="73" t="n">
        <v>1265.26</v>
      </c>
      <c r="H172" s="73" t="n">
        <f aca="false">F172*G172</f>
        <v>1265.26</v>
      </c>
      <c r="I172" s="72" t="s">
        <v>313</v>
      </c>
      <c r="J172" s="68"/>
      <c r="K172" s="68"/>
      <c r="L172" s="68"/>
      <c r="M172" s="68"/>
      <c r="N172" s="68"/>
      <c r="O172" s="68"/>
    </row>
    <row r="173" customFormat="false" ht="15" hidden="false" customHeight="true" outlineLevel="0" collapsed="false">
      <c r="A173" s="72" t="s">
        <v>20</v>
      </c>
      <c r="B173" s="72" t="s">
        <v>275</v>
      </c>
      <c r="C173" s="72" t="s">
        <v>299</v>
      </c>
      <c r="D173" s="72" t="s">
        <v>241</v>
      </c>
      <c r="E173" s="72" t="s">
        <v>280</v>
      </c>
      <c r="F173" s="72" t="n">
        <v>1</v>
      </c>
      <c r="G173" s="73" t="n">
        <v>23583.3694666667</v>
      </c>
      <c r="H173" s="73" t="n">
        <f aca="false">F173*G173</f>
        <v>23583.3694666667</v>
      </c>
      <c r="I173" s="72" t="s">
        <v>335</v>
      </c>
      <c r="J173" s="68"/>
      <c r="K173" s="68"/>
      <c r="L173" s="68"/>
      <c r="M173" s="68"/>
      <c r="N173" s="68"/>
      <c r="O173" s="68"/>
    </row>
    <row r="174" customFormat="false" ht="15" hidden="false" customHeight="true" outlineLevel="0" collapsed="false">
      <c r="A174" s="72" t="s">
        <v>20</v>
      </c>
      <c r="B174" s="72" t="s">
        <v>275</v>
      </c>
      <c r="C174" s="72" t="s">
        <v>299</v>
      </c>
      <c r="D174" s="72" t="s">
        <v>301</v>
      </c>
      <c r="E174" s="72" t="s">
        <v>280</v>
      </c>
      <c r="F174" s="72" t="n">
        <v>1</v>
      </c>
      <c r="G174" s="73" t="n">
        <v>768.43</v>
      </c>
      <c r="H174" s="73" t="n">
        <v>768.43</v>
      </c>
      <c r="I174" s="72" t="s">
        <v>315</v>
      </c>
      <c r="J174" s="68"/>
      <c r="K174" s="68"/>
      <c r="L174" s="68"/>
      <c r="M174" s="68"/>
      <c r="N174" s="68"/>
      <c r="O174" s="68"/>
    </row>
    <row r="175" customFormat="false" ht="15" hidden="false" customHeight="true" outlineLevel="0" collapsed="false">
      <c r="A175" s="72" t="s">
        <v>20</v>
      </c>
      <c r="B175" s="72" t="s">
        <v>275</v>
      </c>
      <c r="C175" s="72" t="s">
        <v>299</v>
      </c>
      <c r="D175" s="72" t="s">
        <v>166</v>
      </c>
      <c r="E175" s="72" t="s">
        <v>280</v>
      </c>
      <c r="F175" s="72" t="n">
        <v>11</v>
      </c>
      <c r="G175" s="73" t="n">
        <v>28.31</v>
      </c>
      <c r="H175" s="73" t="n">
        <f aca="false">F175*G175</f>
        <v>311.41</v>
      </c>
      <c r="I175" s="72" t="s">
        <v>303</v>
      </c>
      <c r="J175" s="68"/>
      <c r="K175" s="68"/>
      <c r="L175" s="68"/>
      <c r="M175" s="68"/>
      <c r="N175" s="68"/>
      <c r="O175" s="68"/>
    </row>
    <row r="176" customFormat="false" ht="15" hidden="false" customHeight="true" outlineLevel="0" collapsed="false">
      <c r="A176" s="72" t="s">
        <v>20</v>
      </c>
      <c r="B176" s="72" t="s">
        <v>275</v>
      </c>
      <c r="C176" s="72" t="s">
        <v>299</v>
      </c>
      <c r="D176" s="72" t="s">
        <v>165</v>
      </c>
      <c r="E176" s="72" t="s">
        <v>280</v>
      </c>
      <c r="F176" s="72" t="n">
        <v>11</v>
      </c>
      <c r="G176" s="73" t="n">
        <v>47.79</v>
      </c>
      <c r="H176" s="73" t="n">
        <f aca="false">F176*G176</f>
        <v>525.69</v>
      </c>
      <c r="I176" s="72" t="s">
        <v>303</v>
      </c>
      <c r="J176" s="68"/>
      <c r="K176" s="68"/>
      <c r="L176" s="68"/>
      <c r="M176" s="68"/>
      <c r="N176" s="68"/>
      <c r="O176" s="68"/>
    </row>
    <row r="177" customFormat="false" ht="15" hidden="false" customHeight="true" outlineLevel="0" collapsed="false">
      <c r="A177" s="72" t="s">
        <v>20</v>
      </c>
      <c r="B177" s="72" t="s">
        <v>275</v>
      </c>
      <c r="C177" s="72" t="s">
        <v>44</v>
      </c>
      <c r="D177" s="72" t="s">
        <v>240</v>
      </c>
      <c r="E177" s="72" t="s">
        <v>280</v>
      </c>
      <c r="F177" s="72" t="n">
        <v>1</v>
      </c>
      <c r="G177" s="73" t="n">
        <v>105.29</v>
      </c>
      <c r="H177" s="73" t="n">
        <v>105.29</v>
      </c>
      <c r="I177" s="72" t="s">
        <v>315</v>
      </c>
      <c r="J177" s="68"/>
      <c r="K177" s="68"/>
      <c r="L177" s="68"/>
      <c r="M177" s="68"/>
      <c r="N177" s="68"/>
      <c r="O177" s="68"/>
    </row>
    <row r="178" customFormat="false" ht="15" hidden="false" customHeight="true" outlineLevel="0" collapsed="false">
      <c r="A178" s="72" t="s">
        <v>20</v>
      </c>
      <c r="B178" s="72" t="s">
        <v>275</v>
      </c>
      <c r="C178" s="72" t="s">
        <v>44</v>
      </c>
      <c r="D178" s="72" t="s">
        <v>167</v>
      </c>
      <c r="E178" s="72" t="s">
        <v>280</v>
      </c>
      <c r="F178" s="72" t="n">
        <v>11</v>
      </c>
      <c r="G178" s="73" t="n">
        <v>64.57</v>
      </c>
      <c r="H178" s="73" t="n">
        <f aca="false">F178*G178</f>
        <v>710.27</v>
      </c>
      <c r="I178" s="72" t="s">
        <v>303</v>
      </c>
      <c r="J178" s="68"/>
      <c r="K178" s="68"/>
      <c r="L178" s="68"/>
      <c r="M178" s="68"/>
      <c r="N178" s="68"/>
      <c r="O178" s="68"/>
    </row>
    <row r="179" customFormat="false" ht="15" hidden="false" customHeight="true" outlineLevel="0" collapsed="false">
      <c r="A179" s="72" t="s">
        <v>20</v>
      </c>
      <c r="B179" s="72" t="s">
        <v>275</v>
      </c>
      <c r="C179" s="72" t="s">
        <v>304</v>
      </c>
      <c r="D179" s="72" t="s">
        <v>170</v>
      </c>
      <c r="E179" s="72" t="s">
        <v>280</v>
      </c>
      <c r="F179" s="72" t="n">
        <v>11</v>
      </c>
      <c r="G179" s="73" t="n">
        <v>10.05</v>
      </c>
      <c r="H179" s="73" t="n">
        <f aca="false">F179*G179</f>
        <v>110.55</v>
      </c>
      <c r="I179" s="72" t="s">
        <v>303</v>
      </c>
      <c r="J179" s="68"/>
      <c r="K179" s="68"/>
      <c r="L179" s="68"/>
      <c r="M179" s="68"/>
      <c r="N179" s="68"/>
      <c r="O179" s="68"/>
    </row>
    <row r="180" customFormat="false" ht="15" hidden="false" customHeight="true" outlineLevel="0" collapsed="false">
      <c r="A180" s="72" t="s">
        <v>20</v>
      </c>
      <c r="B180" s="72" t="s">
        <v>275</v>
      </c>
      <c r="C180" s="72" t="s">
        <v>304</v>
      </c>
      <c r="D180" s="72" t="s">
        <v>173</v>
      </c>
      <c r="E180" s="72" t="s">
        <v>280</v>
      </c>
      <c r="F180" s="72" t="n">
        <v>11</v>
      </c>
      <c r="G180" s="73" t="n">
        <v>2.07</v>
      </c>
      <c r="H180" s="73" t="n">
        <f aca="false">F180*G180</f>
        <v>22.77</v>
      </c>
      <c r="I180" s="72" t="s">
        <v>303</v>
      </c>
      <c r="J180" s="68"/>
      <c r="K180" s="68"/>
      <c r="L180" s="68"/>
      <c r="M180" s="68"/>
      <c r="N180" s="68"/>
      <c r="O180" s="68"/>
    </row>
    <row r="181" customFormat="false" ht="15" hidden="false" customHeight="true" outlineLevel="0" collapsed="false">
      <c r="A181" s="72" t="s">
        <v>20</v>
      </c>
      <c r="B181" s="72" t="s">
        <v>275</v>
      </c>
      <c r="C181" s="72" t="s">
        <v>305</v>
      </c>
      <c r="D181" s="72" t="s">
        <v>194</v>
      </c>
      <c r="E181" s="72" t="s">
        <v>280</v>
      </c>
      <c r="F181" s="72" t="n">
        <v>1</v>
      </c>
      <c r="G181" s="73" t="n">
        <v>20.25</v>
      </c>
      <c r="H181" s="73" t="n">
        <v>20.25</v>
      </c>
      <c r="I181" s="72" t="s">
        <v>315</v>
      </c>
      <c r="J181" s="68"/>
      <c r="K181" s="68"/>
      <c r="L181" s="68"/>
      <c r="M181" s="68"/>
      <c r="N181" s="68"/>
      <c r="O181" s="68"/>
    </row>
    <row r="182" customFormat="false" ht="15" hidden="false" customHeight="true" outlineLevel="0" collapsed="false">
      <c r="A182" s="72" t="s">
        <v>20</v>
      </c>
      <c r="B182" s="72" t="s">
        <v>275</v>
      </c>
      <c r="C182" s="72" t="s">
        <v>305</v>
      </c>
      <c r="D182" s="72" t="s">
        <v>188</v>
      </c>
      <c r="E182" s="72" t="s">
        <v>280</v>
      </c>
      <c r="F182" s="72" t="n">
        <v>1</v>
      </c>
      <c r="G182" s="73" t="n">
        <v>-29.77</v>
      </c>
      <c r="H182" s="73" t="n">
        <v>-29.77</v>
      </c>
      <c r="I182" s="72" t="s">
        <v>315</v>
      </c>
      <c r="J182" s="68"/>
      <c r="K182" s="68"/>
      <c r="L182" s="68"/>
      <c r="M182" s="68"/>
      <c r="N182" s="68"/>
      <c r="O182" s="68"/>
    </row>
    <row r="183" customFormat="false" ht="15" hidden="false" customHeight="true" outlineLevel="0" collapsed="false">
      <c r="A183" s="72" t="s">
        <v>20</v>
      </c>
      <c r="B183" s="72" t="s">
        <v>275</v>
      </c>
      <c r="C183" s="72" t="s">
        <v>305</v>
      </c>
      <c r="D183" s="72" t="s">
        <v>198</v>
      </c>
      <c r="E183" s="72" t="s">
        <v>280</v>
      </c>
      <c r="F183" s="72" t="n">
        <v>1</v>
      </c>
      <c r="G183" s="73" t="n">
        <v>31.55</v>
      </c>
      <c r="H183" s="73" t="n">
        <v>31.55</v>
      </c>
      <c r="I183" s="72" t="s">
        <v>315</v>
      </c>
      <c r="J183" s="68"/>
      <c r="K183" s="68"/>
      <c r="L183" s="68"/>
      <c r="M183" s="68"/>
      <c r="N183" s="68"/>
      <c r="O183" s="68"/>
    </row>
    <row r="184" customFormat="false" ht="15" hidden="false" customHeight="true" outlineLevel="0" collapsed="false">
      <c r="A184" s="72" t="s">
        <v>20</v>
      </c>
      <c r="B184" s="72" t="s">
        <v>275</v>
      </c>
      <c r="C184" s="72" t="s">
        <v>306</v>
      </c>
      <c r="D184" s="72" t="s">
        <v>192</v>
      </c>
      <c r="E184" s="72" t="s">
        <v>280</v>
      </c>
      <c r="F184" s="72" t="n">
        <v>11</v>
      </c>
      <c r="G184" s="73" t="n">
        <v>30</v>
      </c>
      <c r="H184" s="73" t="n">
        <f aca="false">F184*G184</f>
        <v>330</v>
      </c>
      <c r="I184" s="72" t="s">
        <v>303</v>
      </c>
      <c r="J184" s="68"/>
      <c r="K184" s="68"/>
      <c r="L184" s="68"/>
      <c r="M184" s="68"/>
      <c r="N184" s="68"/>
      <c r="O184" s="68"/>
    </row>
    <row r="185" customFormat="false" ht="15" hidden="false" customHeight="true" outlineLevel="0" collapsed="false">
      <c r="A185" s="72" t="s">
        <v>20</v>
      </c>
      <c r="B185" s="72" t="s">
        <v>275</v>
      </c>
      <c r="C185" s="72" t="s">
        <v>329</v>
      </c>
      <c r="D185" s="72" t="s">
        <v>330</v>
      </c>
      <c r="E185" s="72" t="s">
        <v>280</v>
      </c>
      <c r="F185" s="72" t="n">
        <v>2</v>
      </c>
      <c r="G185" s="73" t="n">
        <v>50</v>
      </c>
      <c r="H185" s="73" t="n">
        <f aca="false">F185*G185</f>
        <v>100</v>
      </c>
      <c r="I185" s="72" t="s">
        <v>331</v>
      </c>
      <c r="J185" s="68"/>
      <c r="K185" s="68"/>
      <c r="L185" s="68"/>
      <c r="M185" s="68"/>
      <c r="N185" s="68"/>
      <c r="O185" s="68"/>
    </row>
    <row r="186" customFormat="false" ht="15" hidden="false" customHeight="true" outlineLevel="0" collapsed="false">
      <c r="A186" s="72" t="s">
        <v>20</v>
      </c>
      <c r="B186" s="72" t="s">
        <v>275</v>
      </c>
      <c r="C186" s="72" t="s">
        <v>307</v>
      </c>
      <c r="D186" s="72" t="s">
        <v>186</v>
      </c>
      <c r="E186" s="72" t="s">
        <v>280</v>
      </c>
      <c r="F186" s="72" t="n">
        <v>1</v>
      </c>
      <c r="G186" s="73" t="n">
        <v>0</v>
      </c>
      <c r="H186" s="73" t="n">
        <f aca="false">F186*G186</f>
        <v>0</v>
      </c>
      <c r="I186" s="72" t="s">
        <v>336</v>
      </c>
      <c r="J186" s="68"/>
      <c r="K186" s="68"/>
      <c r="L186" s="68"/>
      <c r="M186" s="68"/>
      <c r="N186" s="68"/>
      <c r="O186" s="68"/>
    </row>
    <row r="187" customFormat="false" ht="15" hidden="false" customHeight="true" outlineLevel="0" collapsed="false">
      <c r="A187" s="72" t="s">
        <v>20</v>
      </c>
      <c r="B187" s="72" t="s">
        <v>282</v>
      </c>
      <c r="C187" s="72" t="s">
        <v>299</v>
      </c>
      <c r="D187" s="72" t="s">
        <v>241</v>
      </c>
      <c r="E187" s="72" t="s">
        <v>280</v>
      </c>
      <c r="F187" s="72" t="n">
        <v>1</v>
      </c>
      <c r="G187" s="73" t="n">
        <v>3939.82</v>
      </c>
      <c r="H187" s="73" t="n">
        <f aca="false">F187*G187</f>
        <v>3939.82</v>
      </c>
      <c r="I187" s="72" t="s">
        <v>337</v>
      </c>
      <c r="J187" s="68"/>
      <c r="K187" s="68"/>
      <c r="L187" s="68"/>
      <c r="M187" s="68"/>
      <c r="N187" s="68"/>
      <c r="O187" s="68"/>
    </row>
    <row r="188" customFormat="false" ht="15" hidden="false" customHeight="true" outlineLevel="0" collapsed="false">
      <c r="A188" s="72" t="s">
        <v>20</v>
      </c>
      <c r="B188" s="72" t="s">
        <v>282</v>
      </c>
      <c r="C188" s="72" t="s">
        <v>299</v>
      </c>
      <c r="D188" s="72" t="s">
        <v>333</v>
      </c>
      <c r="E188" s="72" t="s">
        <v>280</v>
      </c>
      <c r="F188" s="72" t="n">
        <v>1</v>
      </c>
      <c r="G188" s="73" t="n">
        <v>24565.95</v>
      </c>
      <c r="H188" s="73" t="n">
        <f aca="false">F188*G188</f>
        <v>24565.95</v>
      </c>
      <c r="I188" s="72" t="s">
        <v>334</v>
      </c>
      <c r="J188" s="68"/>
      <c r="K188" s="68"/>
      <c r="L188" s="68"/>
      <c r="M188" s="68"/>
      <c r="N188" s="68"/>
      <c r="O188" s="68"/>
    </row>
    <row r="189" customFormat="false" ht="15" hidden="false" customHeight="true" outlineLevel="0" collapsed="false">
      <c r="A189" s="72" t="s">
        <v>20</v>
      </c>
      <c r="B189" s="72" t="s">
        <v>282</v>
      </c>
      <c r="C189" s="72" t="s">
        <v>299</v>
      </c>
      <c r="D189" s="72" t="s">
        <v>166</v>
      </c>
      <c r="E189" s="72" t="s">
        <v>280</v>
      </c>
      <c r="F189" s="72" t="n">
        <v>2</v>
      </c>
      <c r="G189" s="73" t="n">
        <v>28.31</v>
      </c>
      <c r="H189" s="73" t="n">
        <f aca="false">F189*G189</f>
        <v>56.62</v>
      </c>
      <c r="I189" s="72" t="s">
        <v>303</v>
      </c>
      <c r="J189" s="68"/>
      <c r="K189" s="68"/>
      <c r="L189" s="68"/>
      <c r="M189" s="68"/>
      <c r="N189" s="68"/>
      <c r="O189" s="68"/>
    </row>
    <row r="190" customFormat="false" ht="15" hidden="false" customHeight="true" outlineLevel="0" collapsed="false">
      <c r="A190" s="72" t="s">
        <v>20</v>
      </c>
      <c r="B190" s="72" t="s">
        <v>282</v>
      </c>
      <c r="C190" s="72" t="s">
        <v>299</v>
      </c>
      <c r="D190" s="72" t="s">
        <v>165</v>
      </c>
      <c r="E190" s="72" t="s">
        <v>280</v>
      </c>
      <c r="F190" s="72" t="n">
        <v>2</v>
      </c>
      <c r="G190" s="73" t="n">
        <v>47.79</v>
      </c>
      <c r="H190" s="73" t="n">
        <f aca="false">F190*G190</f>
        <v>95.58</v>
      </c>
      <c r="I190" s="72" t="s">
        <v>303</v>
      </c>
      <c r="J190" s="68"/>
      <c r="K190" s="68"/>
      <c r="L190" s="68"/>
      <c r="M190" s="68"/>
      <c r="N190" s="68"/>
      <c r="O190" s="68"/>
    </row>
    <row r="191" customFormat="false" ht="15" hidden="false" customHeight="true" outlineLevel="0" collapsed="false">
      <c r="A191" s="72" t="s">
        <v>20</v>
      </c>
      <c r="B191" s="72" t="s">
        <v>282</v>
      </c>
      <c r="C191" s="72" t="s">
        <v>44</v>
      </c>
      <c r="D191" s="72" t="s">
        <v>167</v>
      </c>
      <c r="E191" s="72" t="s">
        <v>280</v>
      </c>
      <c r="F191" s="72" t="n">
        <v>2</v>
      </c>
      <c r="G191" s="73" t="n">
        <v>64.57</v>
      </c>
      <c r="H191" s="73" t="n">
        <f aca="false">F191*G191</f>
        <v>129.14</v>
      </c>
      <c r="I191" s="72" t="s">
        <v>303</v>
      </c>
      <c r="J191" s="68"/>
      <c r="K191" s="68"/>
      <c r="L191" s="68"/>
      <c r="M191" s="68"/>
      <c r="N191" s="68"/>
      <c r="O191" s="68"/>
    </row>
    <row r="192" customFormat="false" ht="15" hidden="false" customHeight="true" outlineLevel="0" collapsed="false">
      <c r="A192" s="72" t="s">
        <v>20</v>
      </c>
      <c r="B192" s="72" t="s">
        <v>282</v>
      </c>
      <c r="C192" s="72" t="s">
        <v>304</v>
      </c>
      <c r="D192" s="72" t="s">
        <v>170</v>
      </c>
      <c r="E192" s="72" t="s">
        <v>280</v>
      </c>
      <c r="F192" s="72" t="n">
        <v>2</v>
      </c>
      <c r="G192" s="73" t="n">
        <v>10.05</v>
      </c>
      <c r="H192" s="73" t="n">
        <f aca="false">F192*G192</f>
        <v>20.1</v>
      </c>
      <c r="I192" s="72" t="s">
        <v>303</v>
      </c>
      <c r="J192" s="68"/>
      <c r="K192" s="68"/>
      <c r="L192" s="68"/>
      <c r="M192" s="68"/>
      <c r="N192" s="68"/>
      <c r="O192" s="68"/>
    </row>
    <row r="193" customFormat="false" ht="15" hidden="false" customHeight="true" outlineLevel="0" collapsed="false">
      <c r="A193" s="72" t="s">
        <v>20</v>
      </c>
      <c r="B193" s="72" t="s">
        <v>282</v>
      </c>
      <c r="C193" s="72" t="s">
        <v>304</v>
      </c>
      <c r="D193" s="72" t="s">
        <v>173</v>
      </c>
      <c r="E193" s="72" t="s">
        <v>280</v>
      </c>
      <c r="F193" s="72" t="n">
        <v>2</v>
      </c>
      <c r="G193" s="73" t="n">
        <v>2.07</v>
      </c>
      <c r="H193" s="73" t="n">
        <f aca="false">F193*G193</f>
        <v>4.14</v>
      </c>
      <c r="I193" s="72" t="s">
        <v>303</v>
      </c>
      <c r="J193" s="68"/>
      <c r="K193" s="68"/>
      <c r="L193" s="68"/>
      <c r="M193" s="68"/>
      <c r="N193" s="68"/>
      <c r="O193" s="68"/>
    </row>
    <row r="194" customFormat="false" ht="15" hidden="false" customHeight="true" outlineLevel="0" collapsed="false">
      <c r="A194" s="72" t="s">
        <v>20</v>
      </c>
      <c r="B194" s="72" t="s">
        <v>282</v>
      </c>
      <c r="C194" s="72" t="s">
        <v>305</v>
      </c>
      <c r="D194" s="72" t="s">
        <v>338</v>
      </c>
      <c r="E194" s="72" t="s">
        <v>280</v>
      </c>
      <c r="F194" s="72" t="n">
        <v>1</v>
      </c>
      <c r="G194" s="73" t="n">
        <v>-494.68</v>
      </c>
      <c r="H194" s="73" t="n">
        <f aca="false">F194*G194</f>
        <v>-494.68</v>
      </c>
      <c r="I194" s="72" t="s">
        <v>339</v>
      </c>
      <c r="J194" s="68"/>
      <c r="K194" s="68"/>
      <c r="L194" s="68"/>
      <c r="M194" s="68"/>
      <c r="N194" s="68"/>
      <c r="O194" s="68"/>
    </row>
    <row r="195" customFormat="false" ht="15" hidden="false" customHeight="true" outlineLevel="0" collapsed="false">
      <c r="A195" s="72" t="s">
        <v>20</v>
      </c>
      <c r="B195" s="72" t="s">
        <v>282</v>
      </c>
      <c r="C195" s="72" t="s">
        <v>306</v>
      </c>
      <c r="D195" s="72" t="s">
        <v>192</v>
      </c>
      <c r="E195" s="72" t="s">
        <v>280</v>
      </c>
      <c r="F195" s="72" t="n">
        <v>2</v>
      </c>
      <c r="G195" s="73" t="n">
        <v>30</v>
      </c>
      <c r="H195" s="73" t="n">
        <f aca="false">F195*G195</f>
        <v>60</v>
      </c>
      <c r="I195" s="72" t="s">
        <v>303</v>
      </c>
      <c r="J195" s="68"/>
      <c r="K195" s="68"/>
      <c r="L195" s="68"/>
      <c r="M195" s="68"/>
      <c r="N195" s="68"/>
      <c r="O195" s="68"/>
    </row>
    <row r="196" customFormat="false" ht="14.25" hidden="false" customHeight="true" outlineLevel="0" collapsed="false">
      <c r="A196" s="72" t="s">
        <v>20</v>
      </c>
      <c r="B196" s="72" t="s">
        <v>282</v>
      </c>
      <c r="C196" s="72" t="s">
        <v>329</v>
      </c>
      <c r="D196" s="72" t="s">
        <v>340</v>
      </c>
      <c r="E196" s="72" t="s">
        <v>280</v>
      </c>
      <c r="F196" s="72" t="n">
        <v>1</v>
      </c>
      <c r="G196" s="73" t="n">
        <v>50</v>
      </c>
      <c r="H196" s="73" t="n">
        <f aca="false">F196*G196</f>
        <v>50</v>
      </c>
      <c r="I196" s="72" t="s">
        <v>331</v>
      </c>
      <c r="J196" s="68"/>
      <c r="K196" s="68"/>
      <c r="L196" s="68"/>
      <c r="M196" s="68"/>
      <c r="N196" s="68"/>
      <c r="O196" s="68"/>
    </row>
    <row r="197" customFormat="false" ht="14.25" hidden="false" customHeight="true" outlineLevel="0" collapsed="false">
      <c r="A197" s="72" t="s">
        <v>20</v>
      </c>
      <c r="B197" s="72" t="s">
        <v>282</v>
      </c>
      <c r="C197" s="72" t="s">
        <v>307</v>
      </c>
      <c r="D197" s="72" t="s">
        <v>186</v>
      </c>
      <c r="E197" s="72" t="s">
        <v>280</v>
      </c>
      <c r="F197" s="72" t="n">
        <v>1</v>
      </c>
      <c r="G197" s="73" t="n">
        <v>1287.4</v>
      </c>
      <c r="H197" s="73" t="n">
        <f aca="false">F197*G197</f>
        <v>1287.4</v>
      </c>
      <c r="I197" s="72" t="s">
        <v>313</v>
      </c>
      <c r="J197" s="68"/>
      <c r="K197" s="68"/>
      <c r="L197" s="68"/>
      <c r="M197" s="68"/>
      <c r="N197" s="68"/>
      <c r="O197" s="68"/>
    </row>
    <row r="198" customFormat="false" ht="14.25" hidden="false" customHeight="true" outlineLevel="0" collapsed="false">
      <c r="A198" s="72" t="s">
        <v>20</v>
      </c>
      <c r="B198" s="72" t="s">
        <v>275</v>
      </c>
      <c r="C198" s="72" t="s">
        <v>299</v>
      </c>
      <c r="D198" s="72" t="s">
        <v>241</v>
      </c>
      <c r="E198" s="72" t="s">
        <v>283</v>
      </c>
      <c r="F198" s="72" t="n">
        <v>1</v>
      </c>
      <c r="G198" s="73" t="n">
        <v>106150.05</v>
      </c>
      <c r="H198" s="73" t="n">
        <f aca="false">F198*G198</f>
        <v>106150.05</v>
      </c>
      <c r="I198" s="72" t="s">
        <v>341</v>
      </c>
      <c r="J198" s="68"/>
      <c r="K198" s="68"/>
      <c r="L198" s="68"/>
      <c r="M198" s="68"/>
      <c r="N198" s="68"/>
      <c r="O198" s="68"/>
    </row>
    <row r="199" customFormat="false" ht="14.25" hidden="false" customHeight="true" outlineLevel="0" collapsed="false">
      <c r="A199" s="72" t="s">
        <v>20</v>
      </c>
      <c r="B199" s="72" t="s">
        <v>275</v>
      </c>
      <c r="C199" s="72" t="s">
        <v>299</v>
      </c>
      <c r="D199" s="72" t="s">
        <v>333</v>
      </c>
      <c r="E199" s="72" t="s">
        <v>283</v>
      </c>
      <c r="F199" s="72" t="n">
        <v>1</v>
      </c>
      <c r="G199" s="73" t="n">
        <v>1969.06</v>
      </c>
      <c r="H199" s="73" t="n">
        <f aca="false">F199*G199</f>
        <v>1969.06</v>
      </c>
      <c r="I199" s="72" t="s">
        <v>334</v>
      </c>
      <c r="J199" s="68"/>
      <c r="K199" s="68"/>
      <c r="L199" s="68"/>
      <c r="M199" s="68"/>
      <c r="N199" s="68"/>
      <c r="O199" s="68"/>
    </row>
    <row r="200" customFormat="false" ht="15" hidden="false" customHeight="true" outlineLevel="0" collapsed="false">
      <c r="A200" s="72" t="s">
        <v>20</v>
      </c>
      <c r="B200" s="72" t="s">
        <v>275</v>
      </c>
      <c r="C200" s="72" t="s">
        <v>299</v>
      </c>
      <c r="D200" s="72" t="s">
        <v>301</v>
      </c>
      <c r="E200" s="72" t="s">
        <v>283</v>
      </c>
      <c r="F200" s="72" t="n">
        <v>1</v>
      </c>
      <c r="G200" s="73" t="n">
        <v>1257.43</v>
      </c>
      <c r="H200" s="73" t="n">
        <v>1257.43</v>
      </c>
      <c r="I200" s="72" t="s">
        <v>319</v>
      </c>
      <c r="J200" s="68"/>
      <c r="K200" s="68"/>
      <c r="L200" s="68"/>
      <c r="M200" s="68"/>
      <c r="N200" s="68"/>
      <c r="O200" s="68"/>
    </row>
    <row r="201" customFormat="false" ht="15" hidden="false" customHeight="true" outlineLevel="0" collapsed="false">
      <c r="A201" s="72" t="s">
        <v>20</v>
      </c>
      <c r="B201" s="72" t="s">
        <v>275</v>
      </c>
      <c r="C201" s="72" t="s">
        <v>299</v>
      </c>
      <c r="D201" s="72" t="s">
        <v>166</v>
      </c>
      <c r="E201" s="72" t="s">
        <v>283</v>
      </c>
      <c r="F201" s="72" t="n">
        <v>18</v>
      </c>
      <c r="G201" s="73" t="n">
        <v>28.31</v>
      </c>
      <c r="H201" s="73" t="n">
        <f aca="false">F201*G201</f>
        <v>509.58</v>
      </c>
      <c r="I201" s="72" t="s">
        <v>303</v>
      </c>
      <c r="J201" s="68"/>
      <c r="K201" s="68"/>
      <c r="L201" s="68"/>
      <c r="M201" s="68"/>
      <c r="N201" s="68"/>
      <c r="O201" s="68"/>
    </row>
    <row r="202" customFormat="false" ht="14.25" hidden="false" customHeight="true" outlineLevel="0" collapsed="false">
      <c r="A202" s="72" t="s">
        <v>20</v>
      </c>
      <c r="B202" s="72" t="s">
        <v>275</v>
      </c>
      <c r="C202" s="72" t="s">
        <v>299</v>
      </c>
      <c r="D202" s="72" t="s">
        <v>165</v>
      </c>
      <c r="E202" s="72" t="s">
        <v>283</v>
      </c>
      <c r="F202" s="72" t="n">
        <v>18</v>
      </c>
      <c r="G202" s="73" t="n">
        <v>47.79</v>
      </c>
      <c r="H202" s="73" t="n">
        <f aca="false">F202*G202</f>
        <v>860.22</v>
      </c>
      <c r="I202" s="72" t="s">
        <v>303</v>
      </c>
      <c r="J202" s="68"/>
      <c r="K202" s="68"/>
      <c r="L202" s="68"/>
      <c r="M202" s="68"/>
      <c r="N202" s="68"/>
      <c r="O202" s="68"/>
    </row>
    <row r="203" customFormat="false" ht="14.25" hidden="false" customHeight="true" outlineLevel="0" collapsed="false">
      <c r="A203" s="72" t="s">
        <v>20</v>
      </c>
      <c r="B203" s="72" t="s">
        <v>275</v>
      </c>
      <c r="C203" s="72" t="s">
        <v>44</v>
      </c>
      <c r="D203" s="72" t="s">
        <v>240</v>
      </c>
      <c r="E203" s="72" t="s">
        <v>283</v>
      </c>
      <c r="F203" s="72" t="n">
        <v>1</v>
      </c>
      <c r="G203" s="73" t="n">
        <v>172.29</v>
      </c>
      <c r="H203" s="73" t="n">
        <v>172.29</v>
      </c>
      <c r="I203" s="72" t="s">
        <v>319</v>
      </c>
      <c r="J203" s="68"/>
      <c r="K203" s="68"/>
      <c r="L203" s="68"/>
      <c r="M203" s="68"/>
      <c r="N203" s="68"/>
      <c r="O203" s="68"/>
    </row>
    <row r="204" customFormat="false" ht="14.25" hidden="false" customHeight="true" outlineLevel="0" collapsed="false">
      <c r="A204" s="72" t="s">
        <v>20</v>
      </c>
      <c r="B204" s="72" t="s">
        <v>275</v>
      </c>
      <c r="C204" s="72" t="s">
        <v>44</v>
      </c>
      <c r="D204" s="72" t="s">
        <v>167</v>
      </c>
      <c r="E204" s="72" t="s">
        <v>283</v>
      </c>
      <c r="F204" s="72" t="n">
        <v>18</v>
      </c>
      <c r="G204" s="73" t="n">
        <v>64.57</v>
      </c>
      <c r="H204" s="73" t="n">
        <f aca="false">F204*G204</f>
        <v>1162.26</v>
      </c>
      <c r="I204" s="72" t="s">
        <v>303</v>
      </c>
      <c r="J204" s="68"/>
      <c r="K204" s="68"/>
      <c r="L204" s="68"/>
      <c r="M204" s="68"/>
      <c r="N204" s="68"/>
      <c r="O204" s="68"/>
    </row>
    <row r="205" customFormat="false" ht="14.25" hidden="false" customHeight="true" outlineLevel="0" collapsed="false">
      <c r="A205" s="72" t="s">
        <v>20</v>
      </c>
      <c r="B205" s="72" t="s">
        <v>275</v>
      </c>
      <c r="C205" s="72" t="s">
        <v>304</v>
      </c>
      <c r="D205" s="72" t="s">
        <v>170</v>
      </c>
      <c r="E205" s="72" t="s">
        <v>283</v>
      </c>
      <c r="F205" s="72" t="n">
        <v>18</v>
      </c>
      <c r="G205" s="73" t="n">
        <v>10.05</v>
      </c>
      <c r="H205" s="73" t="n">
        <f aca="false">F205*G205</f>
        <v>180.9</v>
      </c>
      <c r="I205" s="72" t="s">
        <v>303</v>
      </c>
      <c r="J205" s="68"/>
      <c r="K205" s="68"/>
      <c r="L205" s="68"/>
      <c r="M205" s="68"/>
      <c r="N205" s="68"/>
      <c r="O205" s="68"/>
    </row>
    <row r="206" customFormat="false" ht="14.25" hidden="false" customHeight="true" outlineLevel="0" collapsed="false">
      <c r="A206" s="72" t="s">
        <v>20</v>
      </c>
      <c r="B206" s="72" t="s">
        <v>275</v>
      </c>
      <c r="C206" s="72" t="s">
        <v>304</v>
      </c>
      <c r="D206" s="72" t="s">
        <v>173</v>
      </c>
      <c r="E206" s="72" t="s">
        <v>283</v>
      </c>
      <c r="F206" s="72" t="n">
        <v>18</v>
      </c>
      <c r="G206" s="73" t="n">
        <v>2.07</v>
      </c>
      <c r="H206" s="73" t="n">
        <f aca="false">F206*G206</f>
        <v>37.26</v>
      </c>
      <c r="I206" s="72" t="s">
        <v>303</v>
      </c>
      <c r="J206" s="68"/>
      <c r="K206" s="68"/>
      <c r="L206" s="68"/>
      <c r="M206" s="68"/>
      <c r="N206" s="68"/>
      <c r="O206" s="68"/>
    </row>
    <row r="207" customFormat="false" ht="14.25" hidden="false" customHeight="true" outlineLevel="0" collapsed="false">
      <c r="A207" s="72" t="s">
        <v>20</v>
      </c>
      <c r="B207" s="72" t="s">
        <v>275</v>
      </c>
      <c r="C207" s="72" t="s">
        <v>305</v>
      </c>
      <c r="D207" s="72" t="s">
        <v>194</v>
      </c>
      <c r="E207" s="72" t="s">
        <v>283</v>
      </c>
      <c r="F207" s="72" t="n">
        <v>1</v>
      </c>
      <c r="G207" s="73" t="n">
        <v>33.13</v>
      </c>
      <c r="H207" s="73" t="n">
        <v>33.13</v>
      </c>
      <c r="I207" s="72" t="s">
        <v>319</v>
      </c>
      <c r="J207" s="68"/>
      <c r="K207" s="68"/>
      <c r="L207" s="68"/>
      <c r="M207" s="68"/>
      <c r="N207" s="68"/>
      <c r="O207" s="68"/>
    </row>
    <row r="208" customFormat="false" ht="15" hidden="false" customHeight="true" outlineLevel="0" collapsed="false">
      <c r="A208" s="72" t="s">
        <v>20</v>
      </c>
      <c r="B208" s="72" t="s">
        <v>275</v>
      </c>
      <c r="C208" s="72" t="s">
        <v>305</v>
      </c>
      <c r="D208" s="72" t="s">
        <v>188</v>
      </c>
      <c r="E208" s="72" t="s">
        <v>283</v>
      </c>
      <c r="F208" s="72" t="n">
        <v>1</v>
      </c>
      <c r="G208" s="73" t="n">
        <v>-48.72</v>
      </c>
      <c r="H208" s="73" t="n">
        <v>-48.72</v>
      </c>
      <c r="I208" s="72" t="s">
        <v>319</v>
      </c>
      <c r="J208" s="68"/>
      <c r="K208" s="68"/>
      <c r="L208" s="68"/>
      <c r="M208" s="68"/>
      <c r="N208" s="68"/>
      <c r="O208" s="68"/>
    </row>
    <row r="209" customFormat="false" ht="14.25" hidden="false" customHeight="true" outlineLevel="0" collapsed="false">
      <c r="A209" s="72" t="s">
        <v>20</v>
      </c>
      <c r="B209" s="72" t="s">
        <v>275</v>
      </c>
      <c r="C209" s="72" t="s">
        <v>305</v>
      </c>
      <c r="D209" s="72" t="s">
        <v>198</v>
      </c>
      <c r="E209" s="72" t="s">
        <v>283</v>
      </c>
      <c r="F209" s="72" t="n">
        <v>1</v>
      </c>
      <c r="G209" s="73" t="n">
        <v>51.62</v>
      </c>
      <c r="H209" s="73" t="n">
        <v>51.62</v>
      </c>
      <c r="I209" s="72" t="s">
        <v>319</v>
      </c>
      <c r="J209" s="68"/>
      <c r="K209" s="68"/>
      <c r="L209" s="68"/>
      <c r="M209" s="68"/>
      <c r="N209" s="68"/>
      <c r="O209" s="68"/>
    </row>
    <row r="210" customFormat="false" ht="14.25" hidden="false" customHeight="true" outlineLevel="0" collapsed="false">
      <c r="A210" s="72" t="s">
        <v>20</v>
      </c>
      <c r="B210" s="72" t="s">
        <v>275</v>
      </c>
      <c r="C210" s="72" t="s">
        <v>306</v>
      </c>
      <c r="D210" s="72" t="s">
        <v>192</v>
      </c>
      <c r="E210" s="72" t="s">
        <v>283</v>
      </c>
      <c r="F210" s="72" t="n">
        <v>18</v>
      </c>
      <c r="G210" s="73" t="n">
        <v>30</v>
      </c>
      <c r="H210" s="73" t="n">
        <f aca="false">F210*G210</f>
        <v>540</v>
      </c>
      <c r="I210" s="72" t="s">
        <v>303</v>
      </c>
      <c r="J210" s="68"/>
      <c r="K210" s="68"/>
      <c r="L210" s="68"/>
      <c r="M210" s="68"/>
      <c r="N210" s="68"/>
      <c r="O210" s="68"/>
    </row>
    <row r="211" customFormat="false" ht="14.25" hidden="false" customHeight="true" outlineLevel="0" collapsed="false">
      <c r="A211" s="72" t="s">
        <v>20</v>
      </c>
      <c r="B211" s="72" t="s">
        <v>275</v>
      </c>
      <c r="C211" s="72" t="s">
        <v>329</v>
      </c>
      <c r="D211" s="72" t="s">
        <v>330</v>
      </c>
      <c r="E211" s="72" t="s">
        <v>283</v>
      </c>
      <c r="F211" s="72" t="n">
        <v>3</v>
      </c>
      <c r="G211" s="73" t="n">
        <v>50</v>
      </c>
      <c r="H211" s="73" t="n">
        <f aca="false">F211*G211</f>
        <v>150</v>
      </c>
      <c r="I211" s="72" t="s">
        <v>331</v>
      </c>
      <c r="J211" s="68"/>
      <c r="K211" s="68"/>
      <c r="L211" s="68"/>
      <c r="M211" s="68"/>
      <c r="N211" s="68"/>
      <c r="O211" s="68"/>
    </row>
    <row r="212" customFormat="false" ht="14.25" hidden="false" customHeight="true" outlineLevel="0" collapsed="false">
      <c r="A212" s="72" t="s">
        <v>20</v>
      </c>
      <c r="B212" s="72" t="s">
        <v>275</v>
      </c>
      <c r="C212" s="72" t="s">
        <v>307</v>
      </c>
      <c r="D212" s="72" t="s">
        <v>186</v>
      </c>
      <c r="E212" s="72" t="s">
        <v>283</v>
      </c>
      <c r="F212" s="72" t="n">
        <v>1</v>
      </c>
      <c r="G212" s="73" t="n">
        <v>1216.24</v>
      </c>
      <c r="H212" s="73" t="n">
        <f aca="false">F212*G212</f>
        <v>1216.24</v>
      </c>
      <c r="I212" s="72" t="s">
        <v>342</v>
      </c>
      <c r="J212" s="68"/>
      <c r="K212" s="68"/>
      <c r="L212" s="68"/>
      <c r="M212" s="68"/>
      <c r="N212" s="68"/>
      <c r="O212" s="68"/>
    </row>
    <row r="213" customFormat="false" ht="14.25" hidden="false" customHeight="true" outlineLevel="0" collapsed="false">
      <c r="A213" s="72" t="s">
        <v>20</v>
      </c>
      <c r="B213" s="72" t="s">
        <v>284</v>
      </c>
      <c r="C213" s="72" t="s">
        <v>299</v>
      </c>
      <c r="D213" s="72" t="s">
        <v>241</v>
      </c>
      <c r="E213" s="72" t="s">
        <v>283</v>
      </c>
      <c r="F213" s="72" t="n">
        <v>1</v>
      </c>
      <c r="G213" s="73" t="n">
        <v>1622.63</v>
      </c>
      <c r="H213" s="73" t="n">
        <f aca="false">F213*G213</f>
        <v>1622.63</v>
      </c>
      <c r="I213" s="72" t="s">
        <v>321</v>
      </c>
      <c r="J213" s="68"/>
      <c r="K213" s="68"/>
      <c r="L213" s="68"/>
      <c r="M213" s="68"/>
      <c r="N213" s="68"/>
      <c r="O213" s="68"/>
    </row>
    <row r="214" customFormat="false" ht="14.25" hidden="false" customHeight="true" outlineLevel="0" collapsed="false">
      <c r="A214" s="72" t="s">
        <v>20</v>
      </c>
      <c r="B214" s="72" t="s">
        <v>284</v>
      </c>
      <c r="C214" s="72" t="s">
        <v>299</v>
      </c>
      <c r="D214" s="72" t="s">
        <v>333</v>
      </c>
      <c r="E214" s="72" t="s">
        <v>283</v>
      </c>
      <c r="F214" s="72" t="n">
        <v>1</v>
      </c>
      <c r="G214" s="73" t="n">
        <v>2958.25</v>
      </c>
      <c r="H214" s="73" t="n">
        <f aca="false">F214*G214</f>
        <v>2958.25</v>
      </c>
      <c r="I214" s="72" t="s">
        <v>334</v>
      </c>
      <c r="J214" s="68"/>
      <c r="K214" s="68"/>
      <c r="L214" s="68"/>
      <c r="M214" s="68"/>
      <c r="N214" s="68"/>
      <c r="O214" s="68"/>
    </row>
    <row r="215" customFormat="false" ht="14.25" hidden="false" customHeight="true" outlineLevel="0" collapsed="false">
      <c r="A215" s="72" t="s">
        <v>20</v>
      </c>
      <c r="B215" s="72" t="s">
        <v>284</v>
      </c>
      <c r="C215" s="72" t="s">
        <v>299</v>
      </c>
      <c r="D215" s="72" t="s">
        <v>166</v>
      </c>
      <c r="E215" s="72" t="s">
        <v>283</v>
      </c>
      <c r="F215" s="72" t="n">
        <v>2</v>
      </c>
      <c r="G215" s="73" t="n">
        <v>28.31</v>
      </c>
      <c r="H215" s="73" t="n">
        <f aca="false">F215*G215</f>
        <v>56.62</v>
      </c>
      <c r="I215" s="72" t="s">
        <v>303</v>
      </c>
      <c r="J215" s="68"/>
      <c r="K215" s="68"/>
      <c r="L215" s="68"/>
      <c r="M215" s="68"/>
      <c r="N215" s="68"/>
      <c r="O215" s="68"/>
    </row>
    <row r="216" customFormat="false" ht="14.25" hidden="false" customHeight="true" outlineLevel="0" collapsed="false">
      <c r="A216" s="72" t="s">
        <v>20</v>
      </c>
      <c r="B216" s="72" t="s">
        <v>284</v>
      </c>
      <c r="C216" s="72" t="s">
        <v>299</v>
      </c>
      <c r="D216" s="72" t="s">
        <v>165</v>
      </c>
      <c r="E216" s="72" t="s">
        <v>283</v>
      </c>
      <c r="F216" s="72" t="n">
        <v>2</v>
      </c>
      <c r="G216" s="73" t="n">
        <v>47.79</v>
      </c>
      <c r="H216" s="73" t="n">
        <f aca="false">F216*G216</f>
        <v>95.58</v>
      </c>
      <c r="I216" s="72" t="s">
        <v>303</v>
      </c>
      <c r="J216" s="68"/>
      <c r="K216" s="68"/>
      <c r="L216" s="68"/>
      <c r="M216" s="68"/>
      <c r="N216" s="68"/>
      <c r="O216" s="68"/>
    </row>
    <row r="217" customFormat="false" ht="14.25" hidden="false" customHeight="true" outlineLevel="0" collapsed="false">
      <c r="A217" s="72" t="s">
        <v>20</v>
      </c>
      <c r="B217" s="72" t="s">
        <v>284</v>
      </c>
      <c r="C217" s="72" t="s">
        <v>44</v>
      </c>
      <c r="D217" s="72" t="s">
        <v>167</v>
      </c>
      <c r="E217" s="72" t="s">
        <v>283</v>
      </c>
      <c r="F217" s="72" t="n">
        <v>2</v>
      </c>
      <c r="G217" s="73" t="n">
        <v>64.57</v>
      </c>
      <c r="H217" s="73" t="n">
        <f aca="false">F217*G217</f>
        <v>129.14</v>
      </c>
      <c r="I217" s="72" t="s">
        <v>303</v>
      </c>
      <c r="J217" s="68"/>
      <c r="K217" s="68"/>
      <c r="L217" s="68"/>
      <c r="M217" s="68"/>
      <c r="N217" s="68"/>
      <c r="O217" s="68"/>
    </row>
    <row r="218" customFormat="false" ht="14.25" hidden="false" customHeight="true" outlineLevel="0" collapsed="false">
      <c r="A218" s="72" t="s">
        <v>20</v>
      </c>
      <c r="B218" s="72" t="s">
        <v>284</v>
      </c>
      <c r="C218" s="72" t="s">
        <v>304</v>
      </c>
      <c r="D218" s="72" t="s">
        <v>170</v>
      </c>
      <c r="E218" s="72" t="s">
        <v>283</v>
      </c>
      <c r="F218" s="72" t="n">
        <v>2</v>
      </c>
      <c r="G218" s="73" t="n">
        <v>10.05</v>
      </c>
      <c r="H218" s="73" t="n">
        <f aca="false">F218*G218</f>
        <v>20.1</v>
      </c>
      <c r="I218" s="72" t="s">
        <v>303</v>
      </c>
      <c r="J218" s="68"/>
      <c r="K218" s="68"/>
      <c r="L218" s="68"/>
      <c r="M218" s="68"/>
      <c r="N218" s="68"/>
      <c r="O218" s="68"/>
    </row>
    <row r="219" customFormat="false" ht="14.25" hidden="false" customHeight="true" outlineLevel="0" collapsed="false">
      <c r="A219" s="72" t="s">
        <v>20</v>
      </c>
      <c r="B219" s="72" t="s">
        <v>284</v>
      </c>
      <c r="C219" s="72" t="s">
        <v>304</v>
      </c>
      <c r="D219" s="72" t="s">
        <v>173</v>
      </c>
      <c r="E219" s="72" t="s">
        <v>283</v>
      </c>
      <c r="F219" s="72" t="n">
        <v>2</v>
      </c>
      <c r="G219" s="73" t="n">
        <v>2.07</v>
      </c>
      <c r="H219" s="73" t="n">
        <f aca="false">F219*G219</f>
        <v>4.14</v>
      </c>
      <c r="I219" s="72" t="s">
        <v>303</v>
      </c>
      <c r="J219" s="68"/>
      <c r="K219" s="68"/>
      <c r="L219" s="68"/>
      <c r="M219" s="68"/>
      <c r="N219" s="68"/>
      <c r="O219" s="68"/>
    </row>
    <row r="220" customFormat="false" ht="14.25" hidden="false" customHeight="true" outlineLevel="0" collapsed="false">
      <c r="A220" s="72" t="s">
        <v>20</v>
      </c>
      <c r="B220" s="72" t="s">
        <v>284</v>
      </c>
      <c r="C220" s="72" t="s">
        <v>306</v>
      </c>
      <c r="D220" s="72" t="s">
        <v>192</v>
      </c>
      <c r="E220" s="72" t="s">
        <v>283</v>
      </c>
      <c r="F220" s="72" t="n">
        <v>2</v>
      </c>
      <c r="G220" s="73" t="n">
        <v>30</v>
      </c>
      <c r="H220" s="73" t="n">
        <f aca="false">F220*G220</f>
        <v>60</v>
      </c>
      <c r="I220" s="72" t="s">
        <v>303</v>
      </c>
      <c r="J220" s="68"/>
      <c r="K220" s="68"/>
      <c r="L220" s="68"/>
      <c r="M220" s="68"/>
      <c r="N220" s="68"/>
      <c r="O220" s="68"/>
    </row>
    <row r="221" customFormat="false" ht="14.25" hidden="false" customHeight="true" outlineLevel="0" collapsed="false">
      <c r="A221" s="72" t="s">
        <v>20</v>
      </c>
      <c r="B221" s="72" t="s">
        <v>284</v>
      </c>
      <c r="C221" s="72" t="s">
        <v>307</v>
      </c>
      <c r="D221" s="72" t="s">
        <v>186</v>
      </c>
      <c r="E221" s="72" t="s">
        <v>283</v>
      </c>
      <c r="F221" s="72" t="n">
        <v>1</v>
      </c>
      <c r="G221" s="73" t="n">
        <v>687.15</v>
      </c>
      <c r="H221" s="73" t="n">
        <f aca="false">F221*G221</f>
        <v>687.15</v>
      </c>
      <c r="I221" s="72" t="s">
        <v>313</v>
      </c>
      <c r="J221" s="68"/>
      <c r="K221" s="68"/>
      <c r="L221" s="68"/>
      <c r="M221" s="68"/>
      <c r="N221" s="68"/>
      <c r="O221" s="68"/>
    </row>
    <row r="222" customFormat="false" ht="14.25" hidden="false" customHeight="true" outlineLevel="0" collapsed="false">
      <c r="A222" s="72" t="s">
        <v>20</v>
      </c>
      <c r="B222" s="72" t="s">
        <v>285</v>
      </c>
      <c r="C222" s="72" t="s">
        <v>299</v>
      </c>
      <c r="D222" s="72" t="s">
        <v>241</v>
      </c>
      <c r="E222" s="72" t="s">
        <v>283</v>
      </c>
      <c r="F222" s="72" t="n">
        <v>1</v>
      </c>
      <c r="G222" s="73" t="n">
        <v>14607.01</v>
      </c>
      <c r="H222" s="73" t="n">
        <f aca="false">F222*G222</f>
        <v>14607.01</v>
      </c>
      <c r="I222" s="72" t="s">
        <v>343</v>
      </c>
      <c r="J222" s="68"/>
      <c r="K222" s="68"/>
      <c r="L222" s="68"/>
      <c r="M222" s="68"/>
      <c r="N222" s="68"/>
      <c r="O222" s="68"/>
    </row>
    <row r="223" customFormat="false" ht="14.25" hidden="false" customHeight="true" outlineLevel="0" collapsed="false">
      <c r="A223" s="72" t="s">
        <v>20</v>
      </c>
      <c r="B223" s="72" t="s">
        <v>285</v>
      </c>
      <c r="C223" s="72" t="s">
        <v>299</v>
      </c>
      <c r="D223" s="72" t="s">
        <v>166</v>
      </c>
      <c r="E223" s="72" t="s">
        <v>283</v>
      </c>
      <c r="F223" s="72" t="n">
        <v>5</v>
      </c>
      <c r="G223" s="73" t="n">
        <v>28.31</v>
      </c>
      <c r="H223" s="73" t="n">
        <f aca="false">F223*G223</f>
        <v>141.55</v>
      </c>
      <c r="I223" s="72" t="s">
        <v>303</v>
      </c>
      <c r="J223" s="68"/>
      <c r="K223" s="68"/>
      <c r="L223" s="68"/>
      <c r="M223" s="68"/>
      <c r="N223" s="68"/>
      <c r="O223" s="68"/>
    </row>
    <row r="224" customFormat="false" ht="14.25" hidden="false" customHeight="true" outlineLevel="0" collapsed="false">
      <c r="A224" s="72" t="s">
        <v>20</v>
      </c>
      <c r="B224" s="72" t="s">
        <v>285</v>
      </c>
      <c r="C224" s="72" t="s">
        <v>299</v>
      </c>
      <c r="D224" s="72" t="s">
        <v>165</v>
      </c>
      <c r="E224" s="72" t="s">
        <v>283</v>
      </c>
      <c r="F224" s="72" t="n">
        <v>5</v>
      </c>
      <c r="G224" s="73" t="n">
        <v>47.79</v>
      </c>
      <c r="H224" s="73" t="n">
        <f aca="false">F224*G224</f>
        <v>238.95</v>
      </c>
      <c r="I224" s="72" t="s">
        <v>303</v>
      </c>
      <c r="J224" s="68"/>
      <c r="K224" s="68"/>
      <c r="L224" s="68"/>
      <c r="M224" s="68"/>
      <c r="N224" s="68"/>
      <c r="O224" s="68"/>
    </row>
    <row r="225" customFormat="false" ht="14.25" hidden="false" customHeight="true" outlineLevel="0" collapsed="false">
      <c r="A225" s="72" t="s">
        <v>20</v>
      </c>
      <c r="B225" s="72" t="s">
        <v>285</v>
      </c>
      <c r="C225" s="72" t="s">
        <v>44</v>
      </c>
      <c r="D225" s="72" t="s">
        <v>167</v>
      </c>
      <c r="E225" s="72" t="s">
        <v>283</v>
      </c>
      <c r="F225" s="72" t="n">
        <v>5</v>
      </c>
      <c r="G225" s="73" t="n">
        <v>64.57</v>
      </c>
      <c r="H225" s="73" t="n">
        <f aca="false">F225*G225</f>
        <v>322.85</v>
      </c>
      <c r="I225" s="72" t="s">
        <v>303</v>
      </c>
      <c r="J225" s="68"/>
      <c r="K225" s="68"/>
      <c r="L225" s="68"/>
      <c r="M225" s="68"/>
      <c r="N225" s="68"/>
      <c r="O225" s="68"/>
    </row>
    <row r="226" customFormat="false" ht="14.25" hidden="false" customHeight="true" outlineLevel="0" collapsed="false">
      <c r="A226" s="72" t="s">
        <v>20</v>
      </c>
      <c r="B226" s="72" t="s">
        <v>285</v>
      </c>
      <c r="C226" s="72" t="s">
        <v>304</v>
      </c>
      <c r="D226" s="72" t="s">
        <v>170</v>
      </c>
      <c r="E226" s="72" t="s">
        <v>283</v>
      </c>
      <c r="F226" s="72" t="n">
        <v>5</v>
      </c>
      <c r="G226" s="73" t="n">
        <v>10.05</v>
      </c>
      <c r="H226" s="73" t="n">
        <f aca="false">F226*G226</f>
        <v>50.25</v>
      </c>
      <c r="I226" s="72" t="s">
        <v>303</v>
      </c>
      <c r="J226" s="68"/>
      <c r="K226" s="68"/>
      <c r="L226" s="68"/>
      <c r="M226" s="68"/>
      <c r="N226" s="68"/>
      <c r="O226" s="68"/>
    </row>
    <row r="227" customFormat="false" ht="14.25" hidden="false" customHeight="true" outlineLevel="0" collapsed="false">
      <c r="A227" s="72" t="s">
        <v>20</v>
      </c>
      <c r="B227" s="72" t="s">
        <v>285</v>
      </c>
      <c r="C227" s="72" t="s">
        <v>304</v>
      </c>
      <c r="D227" s="72" t="s">
        <v>173</v>
      </c>
      <c r="E227" s="72" t="s">
        <v>283</v>
      </c>
      <c r="F227" s="72" t="n">
        <v>5</v>
      </c>
      <c r="G227" s="73" t="n">
        <v>2.07</v>
      </c>
      <c r="H227" s="73" t="n">
        <f aca="false">F227*G227</f>
        <v>10.35</v>
      </c>
      <c r="I227" s="72" t="s">
        <v>303</v>
      </c>
      <c r="J227" s="68"/>
      <c r="K227" s="68"/>
      <c r="L227" s="68"/>
      <c r="M227" s="68"/>
      <c r="N227" s="68"/>
      <c r="O227" s="68"/>
    </row>
    <row r="228" customFormat="false" ht="14.25" hidden="false" customHeight="true" outlineLevel="0" collapsed="false">
      <c r="A228" s="72" t="s">
        <v>20</v>
      </c>
      <c r="B228" s="72" t="s">
        <v>285</v>
      </c>
      <c r="C228" s="72" t="s">
        <v>306</v>
      </c>
      <c r="D228" s="72" t="s">
        <v>192</v>
      </c>
      <c r="E228" s="72" t="s">
        <v>283</v>
      </c>
      <c r="F228" s="72" t="n">
        <v>5</v>
      </c>
      <c r="G228" s="73" t="n">
        <v>30</v>
      </c>
      <c r="H228" s="73" t="n">
        <f aca="false">F228*G228</f>
        <v>150</v>
      </c>
      <c r="I228" s="72" t="s">
        <v>303</v>
      </c>
      <c r="J228" s="68"/>
      <c r="K228" s="68"/>
      <c r="L228" s="68"/>
      <c r="M228" s="68"/>
      <c r="N228" s="68"/>
      <c r="O228" s="68"/>
    </row>
    <row r="229" customFormat="false" ht="14.25" hidden="false" customHeight="true" outlineLevel="0" collapsed="false">
      <c r="A229" s="72" t="s">
        <v>20</v>
      </c>
      <c r="B229" s="72" t="s">
        <v>285</v>
      </c>
      <c r="C229" s="72" t="s">
        <v>307</v>
      </c>
      <c r="D229" s="72" t="s">
        <v>186</v>
      </c>
      <c r="E229" s="72" t="s">
        <v>283</v>
      </c>
      <c r="F229" s="72" t="n">
        <v>1</v>
      </c>
      <c r="G229" s="73" t="n">
        <v>1016.2</v>
      </c>
      <c r="H229" s="73" t="n">
        <f aca="false">F229*G229</f>
        <v>1016.2</v>
      </c>
      <c r="I229" s="72" t="s">
        <v>313</v>
      </c>
      <c r="J229" s="68"/>
      <c r="K229" s="68"/>
      <c r="L229" s="68"/>
      <c r="M229" s="68"/>
      <c r="N229" s="68"/>
      <c r="O229" s="68"/>
    </row>
    <row r="230" customFormat="false" ht="14.25" hidden="false" customHeight="true" outlineLevel="0" collapsed="false">
      <c r="A230" s="72" t="s">
        <v>20</v>
      </c>
      <c r="B230" s="72" t="s">
        <v>287</v>
      </c>
      <c r="C230" s="72" t="s">
        <v>299</v>
      </c>
      <c r="D230" s="72" t="s">
        <v>241</v>
      </c>
      <c r="E230" s="72" t="s">
        <v>286</v>
      </c>
      <c r="F230" s="72" t="n">
        <v>1</v>
      </c>
      <c r="G230" s="73" t="n">
        <v>38302.98</v>
      </c>
      <c r="H230" s="73" t="n">
        <f aca="false">F230*G230</f>
        <v>38302.98</v>
      </c>
      <c r="I230" s="72" t="s">
        <v>344</v>
      </c>
      <c r="J230" s="68"/>
      <c r="K230" s="68"/>
      <c r="L230" s="68"/>
      <c r="M230" s="68"/>
      <c r="N230" s="68"/>
      <c r="O230" s="68"/>
    </row>
    <row r="231" customFormat="false" ht="14.25" hidden="false" customHeight="true" outlineLevel="0" collapsed="false">
      <c r="A231" s="72" t="s">
        <v>20</v>
      </c>
      <c r="B231" s="72" t="s">
        <v>287</v>
      </c>
      <c r="C231" s="72" t="s">
        <v>299</v>
      </c>
      <c r="D231" s="72" t="s">
        <v>166</v>
      </c>
      <c r="E231" s="72" t="s">
        <v>286</v>
      </c>
      <c r="F231" s="72" t="n">
        <v>8</v>
      </c>
      <c r="G231" s="73" t="n">
        <v>28.31</v>
      </c>
      <c r="H231" s="73" t="n">
        <f aca="false">F231*G231</f>
        <v>226.48</v>
      </c>
      <c r="I231" s="72" t="s">
        <v>303</v>
      </c>
      <c r="J231" s="68"/>
      <c r="K231" s="68"/>
      <c r="L231" s="68"/>
      <c r="M231" s="68"/>
      <c r="N231" s="68"/>
      <c r="O231" s="68"/>
    </row>
    <row r="232" customFormat="false" ht="14.25" hidden="false" customHeight="true" outlineLevel="0" collapsed="false">
      <c r="A232" s="72" t="s">
        <v>20</v>
      </c>
      <c r="B232" s="72" t="s">
        <v>287</v>
      </c>
      <c r="C232" s="72" t="s">
        <v>299</v>
      </c>
      <c r="D232" s="72" t="s">
        <v>165</v>
      </c>
      <c r="E232" s="72" t="s">
        <v>286</v>
      </c>
      <c r="F232" s="72" t="n">
        <v>8</v>
      </c>
      <c r="G232" s="73" t="n">
        <v>47.79</v>
      </c>
      <c r="H232" s="73" t="n">
        <f aca="false">F232*G232</f>
        <v>382.32</v>
      </c>
      <c r="I232" s="72" t="s">
        <v>303</v>
      </c>
      <c r="J232" s="68"/>
      <c r="K232" s="68"/>
      <c r="L232" s="68"/>
      <c r="M232" s="68"/>
      <c r="N232" s="68"/>
      <c r="O232" s="68"/>
    </row>
    <row r="233" customFormat="false" ht="14.25" hidden="false" customHeight="true" outlineLevel="0" collapsed="false">
      <c r="A233" s="72" t="s">
        <v>20</v>
      </c>
      <c r="B233" s="72" t="s">
        <v>287</v>
      </c>
      <c r="C233" s="72" t="s">
        <v>44</v>
      </c>
      <c r="D233" s="72" t="s">
        <v>167</v>
      </c>
      <c r="E233" s="72" t="s">
        <v>286</v>
      </c>
      <c r="F233" s="72" t="n">
        <v>8</v>
      </c>
      <c r="G233" s="73" t="n">
        <v>64.57</v>
      </c>
      <c r="H233" s="73" t="n">
        <f aca="false">F233*G233</f>
        <v>516.56</v>
      </c>
      <c r="I233" s="72" t="s">
        <v>303</v>
      </c>
      <c r="J233" s="68"/>
      <c r="K233" s="68"/>
      <c r="L233" s="68"/>
      <c r="M233" s="68"/>
      <c r="N233" s="68"/>
      <c r="O233" s="68"/>
    </row>
    <row r="234" customFormat="false" ht="14.25" hidden="false" customHeight="true" outlineLevel="0" collapsed="false">
      <c r="A234" s="72" t="s">
        <v>20</v>
      </c>
      <c r="B234" s="72" t="s">
        <v>287</v>
      </c>
      <c r="C234" s="72" t="s">
        <v>304</v>
      </c>
      <c r="D234" s="72" t="s">
        <v>170</v>
      </c>
      <c r="E234" s="72" t="s">
        <v>286</v>
      </c>
      <c r="F234" s="72" t="n">
        <v>8</v>
      </c>
      <c r="G234" s="73" t="n">
        <v>10.05</v>
      </c>
      <c r="H234" s="73" t="n">
        <f aca="false">F234*G234</f>
        <v>80.4</v>
      </c>
      <c r="I234" s="72" t="s">
        <v>303</v>
      </c>
      <c r="J234" s="68"/>
      <c r="K234" s="68"/>
      <c r="L234" s="68"/>
      <c r="M234" s="68"/>
      <c r="N234" s="68"/>
      <c r="O234" s="68"/>
    </row>
    <row r="235" customFormat="false" ht="14.25" hidden="false" customHeight="true" outlineLevel="0" collapsed="false">
      <c r="A235" s="72" t="s">
        <v>20</v>
      </c>
      <c r="B235" s="72" t="s">
        <v>287</v>
      </c>
      <c r="C235" s="72" t="s">
        <v>304</v>
      </c>
      <c r="D235" s="72" t="s">
        <v>173</v>
      </c>
      <c r="E235" s="72" t="s">
        <v>286</v>
      </c>
      <c r="F235" s="72" t="n">
        <v>8</v>
      </c>
      <c r="G235" s="73" t="n">
        <v>2.07</v>
      </c>
      <c r="H235" s="73" t="n">
        <f aca="false">F235*G235</f>
        <v>16.56</v>
      </c>
      <c r="I235" s="72" t="s">
        <v>303</v>
      </c>
      <c r="J235" s="68"/>
      <c r="K235" s="68"/>
      <c r="L235" s="68"/>
      <c r="M235" s="68"/>
      <c r="N235" s="68"/>
      <c r="O235" s="68"/>
    </row>
    <row r="236" customFormat="false" ht="14.25" hidden="false" customHeight="true" outlineLevel="0" collapsed="false">
      <c r="A236" s="72" t="s">
        <v>20</v>
      </c>
      <c r="B236" s="72" t="s">
        <v>287</v>
      </c>
      <c r="C236" s="72" t="s">
        <v>305</v>
      </c>
      <c r="D236" s="72" t="s">
        <v>194</v>
      </c>
      <c r="E236" s="72" t="s">
        <v>286</v>
      </c>
      <c r="F236" s="72" t="n">
        <v>1</v>
      </c>
      <c r="G236" s="73" t="n">
        <v>699.62</v>
      </c>
      <c r="H236" s="73" t="n">
        <f aca="false">F236*G236</f>
        <v>699.62</v>
      </c>
      <c r="I236" s="72" t="s">
        <v>325</v>
      </c>
      <c r="J236" s="68"/>
      <c r="K236" s="68"/>
      <c r="L236" s="68"/>
      <c r="M236" s="68"/>
      <c r="N236" s="68"/>
      <c r="O236" s="68"/>
    </row>
    <row r="237" customFormat="false" ht="14.25" hidden="false" customHeight="true" outlineLevel="0" collapsed="false">
      <c r="A237" s="72" t="s">
        <v>20</v>
      </c>
      <c r="B237" s="72" t="s">
        <v>287</v>
      </c>
      <c r="C237" s="72" t="s">
        <v>305</v>
      </c>
      <c r="D237" s="72" t="s">
        <v>198</v>
      </c>
      <c r="E237" s="72" t="s">
        <v>286</v>
      </c>
      <c r="F237" s="72" t="n">
        <v>1</v>
      </c>
      <c r="G237" s="73" t="n">
        <v>566.12</v>
      </c>
      <c r="H237" s="73" t="n">
        <f aca="false">F237*G237</f>
        <v>566.12</v>
      </c>
      <c r="I237" s="72" t="s">
        <v>325</v>
      </c>
      <c r="J237" s="68"/>
      <c r="K237" s="68"/>
      <c r="L237" s="68"/>
      <c r="M237" s="68"/>
      <c r="N237" s="68"/>
      <c r="O237" s="68"/>
    </row>
    <row r="238" customFormat="false" ht="14.25" hidden="false" customHeight="true" outlineLevel="0" collapsed="false">
      <c r="A238" s="72" t="s">
        <v>20</v>
      </c>
      <c r="B238" s="72" t="s">
        <v>287</v>
      </c>
      <c r="C238" s="72" t="s">
        <v>306</v>
      </c>
      <c r="D238" s="72" t="s">
        <v>192</v>
      </c>
      <c r="E238" s="72" t="s">
        <v>286</v>
      </c>
      <c r="F238" s="72" t="n">
        <v>8</v>
      </c>
      <c r="G238" s="73" t="n">
        <v>30</v>
      </c>
      <c r="H238" s="73" t="n">
        <f aca="false">F238*G238</f>
        <v>240</v>
      </c>
      <c r="I238" s="72" t="s">
        <v>303</v>
      </c>
      <c r="J238" s="68"/>
      <c r="K238" s="68"/>
      <c r="L238" s="68"/>
      <c r="M238" s="68"/>
      <c r="N238" s="68"/>
      <c r="O238" s="68"/>
    </row>
    <row r="239" customFormat="false" ht="14.25" hidden="false" customHeight="true" outlineLevel="0" collapsed="false">
      <c r="A239" s="72" t="s">
        <v>20</v>
      </c>
      <c r="B239" s="72" t="s">
        <v>290</v>
      </c>
      <c r="C239" s="72" t="s">
        <v>299</v>
      </c>
      <c r="D239" s="72" t="s">
        <v>241</v>
      </c>
      <c r="E239" s="72" t="s">
        <v>286</v>
      </c>
      <c r="F239" s="72" t="n">
        <v>1</v>
      </c>
      <c r="G239" s="73" t="n">
        <v>45703.62</v>
      </c>
      <c r="H239" s="73" t="n">
        <f aca="false">F239*G239</f>
        <v>45703.62</v>
      </c>
      <c r="I239" s="72" t="s">
        <v>345</v>
      </c>
      <c r="J239" s="68"/>
      <c r="K239" s="68"/>
      <c r="L239" s="68"/>
      <c r="M239" s="68"/>
      <c r="N239" s="68"/>
      <c r="O239" s="68"/>
    </row>
    <row r="240" customFormat="false" ht="14.25" hidden="false" customHeight="true" outlineLevel="0" collapsed="false">
      <c r="A240" s="72" t="s">
        <v>20</v>
      </c>
      <c r="B240" s="72" t="s">
        <v>290</v>
      </c>
      <c r="C240" s="72" t="s">
        <v>299</v>
      </c>
      <c r="D240" s="72" t="s">
        <v>333</v>
      </c>
      <c r="E240" s="72" t="s">
        <v>286</v>
      </c>
      <c r="F240" s="72" t="n">
        <v>1</v>
      </c>
      <c r="G240" s="73" t="n">
        <v>1234.31</v>
      </c>
      <c r="H240" s="73" t="n">
        <f aca="false">F240*G240</f>
        <v>1234.31</v>
      </c>
      <c r="I240" s="72" t="s">
        <v>334</v>
      </c>
      <c r="J240" s="68"/>
      <c r="K240" s="68"/>
      <c r="L240" s="68"/>
      <c r="M240" s="68"/>
      <c r="N240" s="68"/>
      <c r="O240" s="68"/>
    </row>
    <row r="241" customFormat="false" ht="14.25" hidden="false" customHeight="true" outlineLevel="0" collapsed="false">
      <c r="A241" s="72" t="s">
        <v>20</v>
      </c>
      <c r="B241" s="72" t="s">
        <v>290</v>
      </c>
      <c r="C241" s="72" t="s">
        <v>299</v>
      </c>
      <c r="D241" s="72" t="s">
        <v>301</v>
      </c>
      <c r="E241" s="72" t="s">
        <v>286</v>
      </c>
      <c r="F241" s="72" t="n">
        <v>1</v>
      </c>
      <c r="G241" s="73" t="n">
        <v>2775</v>
      </c>
      <c r="H241" s="73" t="n">
        <f aca="false">F241*G241</f>
        <v>2775</v>
      </c>
      <c r="I241" s="72" t="s">
        <v>315</v>
      </c>
      <c r="J241" s="68"/>
      <c r="K241" s="68"/>
      <c r="L241" s="68"/>
      <c r="M241" s="68"/>
      <c r="N241" s="68"/>
      <c r="O241" s="68"/>
    </row>
    <row r="242" customFormat="false" ht="14.25" hidden="false" customHeight="true" outlineLevel="0" collapsed="false">
      <c r="A242" s="72" t="s">
        <v>20</v>
      </c>
      <c r="B242" s="72" t="s">
        <v>290</v>
      </c>
      <c r="C242" s="72" t="s">
        <v>299</v>
      </c>
      <c r="D242" s="72" t="s">
        <v>166</v>
      </c>
      <c r="E242" s="72" t="s">
        <v>286</v>
      </c>
      <c r="F242" s="72" t="n">
        <v>11</v>
      </c>
      <c r="G242" s="73" t="n">
        <v>28.31</v>
      </c>
      <c r="H242" s="73" t="n">
        <f aca="false">F242*G242</f>
        <v>311.41</v>
      </c>
      <c r="I242" s="72" t="s">
        <v>303</v>
      </c>
      <c r="J242" s="68"/>
      <c r="K242" s="68"/>
      <c r="L242" s="68"/>
      <c r="M242" s="68"/>
      <c r="N242" s="68"/>
      <c r="O242" s="68"/>
    </row>
    <row r="243" customFormat="false" ht="14.25" hidden="false" customHeight="true" outlineLevel="0" collapsed="false">
      <c r="A243" s="72" t="s">
        <v>20</v>
      </c>
      <c r="B243" s="72" t="s">
        <v>290</v>
      </c>
      <c r="C243" s="72" t="s">
        <v>299</v>
      </c>
      <c r="D243" s="72" t="s">
        <v>165</v>
      </c>
      <c r="E243" s="72" t="s">
        <v>286</v>
      </c>
      <c r="F243" s="72" t="n">
        <v>11</v>
      </c>
      <c r="G243" s="73" t="n">
        <v>47.79</v>
      </c>
      <c r="H243" s="73" t="n">
        <f aca="false">F243*G243</f>
        <v>525.69</v>
      </c>
      <c r="I243" s="72" t="s">
        <v>303</v>
      </c>
      <c r="J243" s="68"/>
      <c r="K243" s="68"/>
      <c r="L243" s="68"/>
      <c r="M243" s="68"/>
      <c r="N243" s="68"/>
      <c r="O243" s="68"/>
    </row>
    <row r="244" customFormat="false" ht="14.25" hidden="false" customHeight="true" outlineLevel="0" collapsed="false">
      <c r="A244" s="72" t="s">
        <v>20</v>
      </c>
      <c r="B244" s="72" t="s">
        <v>290</v>
      </c>
      <c r="C244" s="72" t="s">
        <v>44</v>
      </c>
      <c r="D244" s="72" t="s">
        <v>167</v>
      </c>
      <c r="E244" s="72" t="s">
        <v>286</v>
      </c>
      <c r="F244" s="72" t="n">
        <v>11</v>
      </c>
      <c r="G244" s="73" t="n">
        <v>64.57</v>
      </c>
      <c r="H244" s="73" t="n">
        <f aca="false">F244*G244</f>
        <v>710.27</v>
      </c>
      <c r="I244" s="72" t="s">
        <v>303</v>
      </c>
      <c r="J244" s="68"/>
      <c r="K244" s="68"/>
      <c r="L244" s="68"/>
      <c r="M244" s="68"/>
      <c r="N244" s="68"/>
      <c r="O244" s="68"/>
    </row>
    <row r="245" customFormat="false" ht="14.25" hidden="false" customHeight="true" outlineLevel="0" collapsed="false">
      <c r="A245" s="72" t="s">
        <v>20</v>
      </c>
      <c r="B245" s="72" t="s">
        <v>290</v>
      </c>
      <c r="C245" s="72" t="s">
        <v>304</v>
      </c>
      <c r="D245" s="72" t="s">
        <v>170</v>
      </c>
      <c r="E245" s="72" t="s">
        <v>286</v>
      </c>
      <c r="F245" s="72" t="n">
        <v>11</v>
      </c>
      <c r="G245" s="73" t="n">
        <v>10.05</v>
      </c>
      <c r="H245" s="73" t="n">
        <f aca="false">F245*G245</f>
        <v>110.55</v>
      </c>
      <c r="I245" s="72" t="s">
        <v>303</v>
      </c>
      <c r="J245" s="68"/>
      <c r="K245" s="68"/>
      <c r="L245" s="68"/>
      <c r="M245" s="68"/>
      <c r="N245" s="68"/>
      <c r="O245" s="68"/>
    </row>
    <row r="246" customFormat="false" ht="14.25" hidden="false" customHeight="true" outlineLevel="0" collapsed="false">
      <c r="A246" s="72" t="s">
        <v>20</v>
      </c>
      <c r="B246" s="72" t="s">
        <v>290</v>
      </c>
      <c r="C246" s="72" t="s">
        <v>304</v>
      </c>
      <c r="D246" s="72" t="s">
        <v>173</v>
      </c>
      <c r="E246" s="72" t="s">
        <v>286</v>
      </c>
      <c r="F246" s="72" t="n">
        <v>11</v>
      </c>
      <c r="G246" s="73" t="n">
        <v>2.07</v>
      </c>
      <c r="H246" s="73" t="n">
        <f aca="false">F246*G246</f>
        <v>22.77</v>
      </c>
      <c r="I246" s="72" t="s">
        <v>303</v>
      </c>
      <c r="J246" s="68"/>
      <c r="K246" s="68"/>
      <c r="L246" s="68"/>
      <c r="M246" s="68"/>
      <c r="N246" s="68"/>
      <c r="O246" s="68"/>
    </row>
    <row r="247" customFormat="false" ht="14.25" hidden="false" customHeight="true" outlineLevel="0" collapsed="false">
      <c r="A247" s="72" t="s">
        <v>20</v>
      </c>
      <c r="B247" s="72" t="s">
        <v>290</v>
      </c>
      <c r="C247" s="72" t="s">
        <v>305</v>
      </c>
      <c r="D247" s="72" t="s">
        <v>338</v>
      </c>
      <c r="E247" s="72" t="s">
        <v>286</v>
      </c>
      <c r="F247" s="72" t="n">
        <v>1</v>
      </c>
      <c r="G247" s="73" t="n">
        <v>-247.34</v>
      </c>
      <c r="H247" s="73" t="n">
        <f aca="false">F247*G247</f>
        <v>-247.34</v>
      </c>
      <c r="I247" s="72" t="s">
        <v>315</v>
      </c>
      <c r="J247" s="68"/>
      <c r="K247" s="68"/>
      <c r="L247" s="68"/>
      <c r="M247" s="68"/>
      <c r="N247" s="68"/>
      <c r="O247" s="68"/>
    </row>
    <row r="248" customFormat="false" ht="14.25" hidden="false" customHeight="true" outlineLevel="0" collapsed="false">
      <c r="A248" s="72" t="s">
        <v>20</v>
      </c>
      <c r="B248" s="72" t="s">
        <v>290</v>
      </c>
      <c r="C248" s="72" t="s">
        <v>306</v>
      </c>
      <c r="D248" s="72" t="s">
        <v>192</v>
      </c>
      <c r="E248" s="72" t="s">
        <v>286</v>
      </c>
      <c r="F248" s="72" t="n">
        <v>11</v>
      </c>
      <c r="G248" s="73" t="n">
        <v>30</v>
      </c>
      <c r="H248" s="73" t="n">
        <f aca="false">F248*G248</f>
        <v>330</v>
      </c>
      <c r="I248" s="72" t="s">
        <v>303</v>
      </c>
      <c r="J248" s="68"/>
      <c r="K248" s="68"/>
      <c r="L248" s="68"/>
      <c r="M248" s="68"/>
      <c r="N248" s="68"/>
      <c r="O248" s="68"/>
    </row>
    <row r="249" customFormat="false" ht="14.25" hidden="false" customHeight="true" outlineLevel="0" collapsed="false">
      <c r="A249" s="72" t="s">
        <v>20</v>
      </c>
      <c r="B249" s="72" t="s">
        <v>290</v>
      </c>
      <c r="C249" s="72" t="s">
        <v>329</v>
      </c>
      <c r="D249" s="72" t="s">
        <v>346</v>
      </c>
      <c r="E249" s="72" t="s">
        <v>286</v>
      </c>
      <c r="F249" s="72" t="n">
        <v>2</v>
      </c>
      <c r="G249" s="73" t="n">
        <v>50</v>
      </c>
      <c r="H249" s="73" t="n">
        <f aca="false">F249*G249</f>
        <v>100</v>
      </c>
      <c r="I249" s="72" t="s">
        <v>331</v>
      </c>
      <c r="J249" s="68"/>
      <c r="K249" s="68"/>
      <c r="L249" s="68"/>
      <c r="M249" s="68"/>
      <c r="N249" s="68"/>
      <c r="O249" s="68"/>
    </row>
    <row r="250" customFormat="false" ht="14.25" hidden="false" customHeight="true" outlineLevel="0" collapsed="false">
      <c r="A250" s="72" t="s">
        <v>20</v>
      </c>
      <c r="B250" s="72" t="s">
        <v>290</v>
      </c>
      <c r="C250" s="72" t="s">
        <v>307</v>
      </c>
      <c r="D250" s="72" t="s">
        <v>186</v>
      </c>
      <c r="E250" s="72" t="s">
        <v>286</v>
      </c>
      <c r="F250" s="72" t="n">
        <v>1</v>
      </c>
      <c r="G250" s="73" t="n">
        <v>4192.85</v>
      </c>
      <c r="H250" s="73" t="n">
        <f aca="false">F250*G250</f>
        <v>4192.85</v>
      </c>
      <c r="I250" s="72" t="s">
        <v>313</v>
      </c>
      <c r="J250" s="68"/>
      <c r="K250" s="68"/>
      <c r="L250" s="68"/>
      <c r="M250" s="68"/>
      <c r="N250" s="68"/>
      <c r="O250" s="68"/>
    </row>
    <row r="251" customFormat="false" ht="14.25" hidden="false" customHeight="true" outlineLevel="0" collapsed="false">
      <c r="A251" s="72" t="s">
        <v>20</v>
      </c>
      <c r="B251" s="72" t="s">
        <v>293</v>
      </c>
      <c r="C251" s="72" t="s">
        <v>299</v>
      </c>
      <c r="D251" s="72" t="s">
        <v>241</v>
      </c>
      <c r="E251" s="72" t="s">
        <v>292</v>
      </c>
      <c r="F251" s="72" t="n">
        <v>1</v>
      </c>
      <c r="G251" s="73" t="n">
        <v>3529.37</v>
      </c>
      <c r="H251" s="73" t="n">
        <f aca="false">F251*G251</f>
        <v>3529.37</v>
      </c>
      <c r="I251" s="72" t="s">
        <v>327</v>
      </c>
      <c r="J251" s="68"/>
      <c r="K251" s="68"/>
      <c r="L251" s="68"/>
      <c r="M251" s="68"/>
      <c r="N251" s="68"/>
      <c r="O251" s="68"/>
    </row>
    <row r="252" customFormat="false" ht="14.25" hidden="false" customHeight="true" outlineLevel="0" collapsed="false">
      <c r="A252" s="72" t="s">
        <v>20</v>
      </c>
      <c r="B252" s="72" t="s">
        <v>293</v>
      </c>
      <c r="C252" s="72" t="s">
        <v>299</v>
      </c>
      <c r="D252" s="72" t="s">
        <v>166</v>
      </c>
      <c r="E252" s="72" t="s">
        <v>292</v>
      </c>
      <c r="F252" s="72" t="n">
        <v>1</v>
      </c>
      <c r="G252" s="73" t="n">
        <v>28.31</v>
      </c>
      <c r="H252" s="73" t="n">
        <f aca="false">F252*G252</f>
        <v>28.31</v>
      </c>
      <c r="I252" s="72" t="s">
        <v>303</v>
      </c>
      <c r="J252" s="68"/>
      <c r="K252" s="68"/>
      <c r="L252" s="68"/>
      <c r="M252" s="68"/>
      <c r="N252" s="68"/>
      <c r="O252" s="68"/>
    </row>
    <row r="253" customFormat="false" ht="15" hidden="false" customHeight="true" outlineLevel="0" collapsed="false">
      <c r="A253" s="72" t="s">
        <v>20</v>
      </c>
      <c r="B253" s="72" t="s">
        <v>293</v>
      </c>
      <c r="C253" s="72" t="s">
        <v>299</v>
      </c>
      <c r="D253" s="72" t="s">
        <v>165</v>
      </c>
      <c r="E253" s="72" t="s">
        <v>292</v>
      </c>
      <c r="F253" s="72" t="n">
        <v>1</v>
      </c>
      <c r="G253" s="73" t="n">
        <v>47.79</v>
      </c>
      <c r="H253" s="73" t="n">
        <f aca="false">F253*G253</f>
        <v>47.79</v>
      </c>
      <c r="I253" s="72" t="s">
        <v>303</v>
      </c>
      <c r="J253" s="68"/>
      <c r="K253" s="68"/>
      <c r="L253" s="68"/>
      <c r="M253" s="68"/>
      <c r="N253" s="68"/>
      <c r="O253" s="68"/>
    </row>
    <row r="254" customFormat="false" ht="15" hidden="false" customHeight="true" outlineLevel="0" collapsed="false">
      <c r="A254" s="72" t="s">
        <v>20</v>
      </c>
      <c r="B254" s="72" t="s">
        <v>293</v>
      </c>
      <c r="C254" s="72" t="s">
        <v>44</v>
      </c>
      <c r="D254" s="72" t="s">
        <v>167</v>
      </c>
      <c r="E254" s="72" t="s">
        <v>292</v>
      </c>
      <c r="F254" s="72" t="n">
        <v>1</v>
      </c>
      <c r="G254" s="73" t="n">
        <v>64.57</v>
      </c>
      <c r="H254" s="73" t="n">
        <f aca="false">F254*G254</f>
        <v>64.57</v>
      </c>
      <c r="I254" s="72" t="s">
        <v>303</v>
      </c>
      <c r="J254" s="68"/>
      <c r="K254" s="68"/>
      <c r="L254" s="68"/>
      <c r="M254" s="68"/>
      <c r="N254" s="68"/>
      <c r="O254" s="68"/>
    </row>
    <row r="255" customFormat="false" ht="14.25" hidden="false" customHeight="true" outlineLevel="0" collapsed="false">
      <c r="A255" s="72" t="s">
        <v>20</v>
      </c>
      <c r="B255" s="72" t="s">
        <v>293</v>
      </c>
      <c r="C255" s="72" t="s">
        <v>304</v>
      </c>
      <c r="D255" s="72" t="s">
        <v>170</v>
      </c>
      <c r="E255" s="72" t="s">
        <v>292</v>
      </c>
      <c r="F255" s="72" t="n">
        <v>1</v>
      </c>
      <c r="G255" s="73" t="n">
        <v>10.05</v>
      </c>
      <c r="H255" s="73" t="n">
        <f aca="false">F255*G255</f>
        <v>10.05</v>
      </c>
      <c r="I255" s="72" t="s">
        <v>303</v>
      </c>
      <c r="J255" s="68"/>
      <c r="K255" s="68"/>
      <c r="L255" s="68"/>
      <c r="M255" s="68"/>
      <c r="N255" s="68"/>
      <c r="O255" s="68"/>
    </row>
    <row r="256" customFormat="false" ht="14.25" hidden="false" customHeight="true" outlineLevel="0" collapsed="false">
      <c r="A256" s="72" t="s">
        <v>20</v>
      </c>
      <c r="B256" s="72" t="s">
        <v>293</v>
      </c>
      <c r="C256" s="72" t="s">
        <v>304</v>
      </c>
      <c r="D256" s="72" t="s">
        <v>173</v>
      </c>
      <c r="E256" s="72" t="s">
        <v>292</v>
      </c>
      <c r="F256" s="72" t="n">
        <v>1</v>
      </c>
      <c r="G256" s="73" t="n">
        <v>2.07</v>
      </c>
      <c r="H256" s="73" t="n">
        <f aca="false">F256*G256</f>
        <v>2.07</v>
      </c>
      <c r="I256" s="72" t="s">
        <v>303</v>
      </c>
      <c r="J256" s="68"/>
      <c r="K256" s="68"/>
      <c r="L256" s="68"/>
      <c r="M256" s="68"/>
      <c r="N256" s="68"/>
      <c r="O256" s="68"/>
    </row>
    <row r="257" customFormat="false" ht="14.25" hidden="false" customHeight="true" outlineLevel="0" collapsed="false">
      <c r="A257" s="72" t="s">
        <v>20</v>
      </c>
      <c r="B257" s="72" t="s">
        <v>293</v>
      </c>
      <c r="C257" s="72" t="s">
        <v>306</v>
      </c>
      <c r="D257" s="72" t="s">
        <v>192</v>
      </c>
      <c r="E257" s="72" t="s">
        <v>292</v>
      </c>
      <c r="F257" s="72" t="n">
        <v>1</v>
      </c>
      <c r="G257" s="73" t="n">
        <v>30</v>
      </c>
      <c r="H257" s="73" t="n">
        <f aca="false">F257*G257</f>
        <v>30</v>
      </c>
      <c r="I257" s="72" t="s">
        <v>303</v>
      </c>
      <c r="J257" s="68"/>
      <c r="K257" s="68"/>
      <c r="L257" s="68"/>
      <c r="M257" s="68"/>
      <c r="N257" s="68"/>
      <c r="O257" s="68"/>
    </row>
    <row r="258" customFormat="false" ht="14.25" hidden="false" customHeight="true" outlineLevel="0" collapsed="false">
      <c r="A258" s="72" t="s">
        <v>21</v>
      </c>
      <c r="B258" s="72" t="s">
        <v>275</v>
      </c>
      <c r="C258" s="72" t="s">
        <v>299</v>
      </c>
      <c r="D258" s="72" t="s">
        <v>241</v>
      </c>
      <c r="E258" s="72" t="s">
        <v>274</v>
      </c>
      <c r="F258" s="72" t="n">
        <v>1</v>
      </c>
      <c r="G258" s="73" t="n">
        <v>179811.39</v>
      </c>
      <c r="H258" s="73" t="n">
        <v>179811.39</v>
      </c>
      <c r="I258" s="72" t="s">
        <v>347</v>
      </c>
    </row>
    <row r="259" customFormat="false" ht="14.25" hidden="false" customHeight="true" outlineLevel="0" collapsed="false">
      <c r="A259" s="72" t="s">
        <v>21</v>
      </c>
      <c r="B259" s="72" t="s">
        <v>275</v>
      </c>
      <c r="C259" s="72" t="s">
        <v>299</v>
      </c>
      <c r="D259" s="72" t="s">
        <v>301</v>
      </c>
      <c r="E259" s="72" t="s">
        <v>274</v>
      </c>
      <c r="F259" s="72" t="n">
        <v>1</v>
      </c>
      <c r="G259" s="73" t="n">
        <v>3360.29</v>
      </c>
      <c r="H259" s="73" t="n">
        <v>3360.29</v>
      </c>
      <c r="I259" s="72" t="s">
        <v>348</v>
      </c>
    </row>
    <row r="260" customFormat="false" ht="14.25" hidden="false" customHeight="true" outlineLevel="0" collapsed="false">
      <c r="A260" s="72" t="s">
        <v>21</v>
      </c>
      <c r="B260" s="72" t="s">
        <v>275</v>
      </c>
      <c r="C260" s="72" t="s">
        <v>299</v>
      </c>
      <c r="D260" s="72" t="s">
        <v>166</v>
      </c>
      <c r="E260" s="72" t="s">
        <v>274</v>
      </c>
      <c r="F260" s="72" t="n">
        <v>47</v>
      </c>
      <c r="G260" s="73" t="n">
        <v>26</v>
      </c>
      <c r="H260" s="73" t="n">
        <v>1222</v>
      </c>
      <c r="I260" s="72" t="s">
        <v>349</v>
      </c>
    </row>
    <row r="261" customFormat="false" ht="14.25" hidden="false" customHeight="true" outlineLevel="0" collapsed="false">
      <c r="A261" s="72" t="s">
        <v>21</v>
      </c>
      <c r="B261" s="72" t="s">
        <v>275</v>
      </c>
      <c r="C261" s="72" t="s">
        <v>299</v>
      </c>
      <c r="D261" s="72" t="s">
        <v>165</v>
      </c>
      <c r="E261" s="72" t="s">
        <v>274</v>
      </c>
      <c r="F261" s="72" t="n">
        <v>47</v>
      </c>
      <c r="G261" s="73" t="n">
        <v>42.77</v>
      </c>
      <c r="H261" s="73" t="n">
        <v>2010.19</v>
      </c>
      <c r="I261" s="72" t="s">
        <v>349</v>
      </c>
    </row>
    <row r="262" customFormat="false" ht="14.25" hidden="false" customHeight="true" outlineLevel="0" collapsed="false">
      <c r="A262" s="72" t="s">
        <v>21</v>
      </c>
      <c r="B262" s="72" t="s">
        <v>275</v>
      </c>
      <c r="C262" s="72" t="s">
        <v>44</v>
      </c>
      <c r="D262" s="72" t="s">
        <v>167</v>
      </c>
      <c r="E262" s="72" t="s">
        <v>274</v>
      </c>
      <c r="F262" s="72" t="n">
        <v>47</v>
      </c>
      <c r="G262" s="73" t="n">
        <v>63.75</v>
      </c>
      <c r="H262" s="73" t="n">
        <v>2996.25</v>
      </c>
      <c r="I262" s="72" t="s">
        <v>349</v>
      </c>
    </row>
    <row r="263" customFormat="false" ht="14.25" hidden="false" customHeight="true" outlineLevel="0" collapsed="false">
      <c r="A263" s="72" t="s">
        <v>21</v>
      </c>
      <c r="B263" s="72" t="s">
        <v>275</v>
      </c>
      <c r="C263" s="72" t="s">
        <v>44</v>
      </c>
      <c r="D263" s="72" t="s">
        <v>240</v>
      </c>
      <c r="E263" s="72" t="s">
        <v>274</v>
      </c>
      <c r="F263" s="72" t="n">
        <v>1</v>
      </c>
      <c r="G263" s="73" t="n">
        <v>451.39</v>
      </c>
      <c r="H263" s="73" t="n">
        <v>451.39</v>
      </c>
      <c r="I263" s="72" t="s">
        <v>348</v>
      </c>
    </row>
    <row r="264" customFormat="false" ht="14.25" hidden="false" customHeight="true" outlineLevel="0" collapsed="false">
      <c r="A264" s="72" t="s">
        <v>21</v>
      </c>
      <c r="B264" s="72" t="s">
        <v>275</v>
      </c>
      <c r="C264" s="72" t="s">
        <v>305</v>
      </c>
      <c r="D264" s="72" t="s">
        <v>194</v>
      </c>
      <c r="E264" s="72" t="s">
        <v>274</v>
      </c>
      <c r="F264" s="72" t="n">
        <v>1</v>
      </c>
      <c r="G264" s="73" t="n">
        <v>865.91</v>
      </c>
      <c r="H264" s="73" t="n">
        <v>865.91</v>
      </c>
      <c r="I264" s="72" t="s">
        <v>348</v>
      </c>
    </row>
    <row r="265" customFormat="false" ht="14.25" hidden="false" customHeight="true" outlineLevel="0" collapsed="false">
      <c r="A265" s="72" t="s">
        <v>21</v>
      </c>
      <c r="B265" s="72" t="s">
        <v>275</v>
      </c>
      <c r="C265" s="72" t="s">
        <v>305</v>
      </c>
      <c r="D265" s="72" t="s">
        <v>198</v>
      </c>
      <c r="E265" s="72" t="s">
        <v>274</v>
      </c>
      <c r="F265" s="72" t="n">
        <v>1</v>
      </c>
      <c r="G265" s="73" t="n">
        <v>251.02</v>
      </c>
      <c r="H265" s="73" t="n">
        <v>251.02</v>
      </c>
      <c r="I265" s="72" t="s">
        <v>348</v>
      </c>
    </row>
    <row r="266" customFormat="false" ht="14.25" hidden="false" customHeight="true" outlineLevel="0" collapsed="false">
      <c r="A266" s="72" t="s">
        <v>21</v>
      </c>
      <c r="B266" s="72" t="s">
        <v>275</v>
      </c>
      <c r="C266" s="72" t="s">
        <v>306</v>
      </c>
      <c r="D266" s="72" t="s">
        <v>192</v>
      </c>
      <c r="E266" s="72" t="s">
        <v>274</v>
      </c>
      <c r="F266" s="72" t="n">
        <v>50</v>
      </c>
      <c r="G266" s="73" t="n">
        <v>30</v>
      </c>
      <c r="H266" s="73" t="n">
        <f aca="false">G266*F266</f>
        <v>1500</v>
      </c>
      <c r="I266" s="72" t="s">
        <v>349</v>
      </c>
    </row>
    <row r="267" customFormat="false" ht="15" hidden="false" customHeight="true" outlineLevel="0" collapsed="false">
      <c r="A267" s="72" t="s">
        <v>21</v>
      </c>
      <c r="B267" s="72" t="s">
        <v>275</v>
      </c>
      <c r="C267" s="72" t="s">
        <v>304</v>
      </c>
      <c r="D267" s="72" t="s">
        <v>170</v>
      </c>
      <c r="E267" s="72" t="s">
        <v>274</v>
      </c>
      <c r="F267" s="72" t="n">
        <v>47</v>
      </c>
      <c r="G267" s="73" t="n">
        <v>9.85</v>
      </c>
      <c r="H267" s="73" t="n">
        <v>462.95</v>
      </c>
      <c r="I267" s="72" t="s">
        <v>349</v>
      </c>
    </row>
    <row r="268" customFormat="false" ht="14.25" hidden="false" customHeight="true" outlineLevel="0" collapsed="false">
      <c r="A268" s="72" t="s">
        <v>21</v>
      </c>
      <c r="B268" s="72" t="s">
        <v>275</v>
      </c>
      <c r="C268" s="72" t="s">
        <v>304</v>
      </c>
      <c r="D268" s="72" t="s">
        <v>173</v>
      </c>
      <c r="E268" s="72" t="s">
        <v>274</v>
      </c>
      <c r="F268" s="72" t="n">
        <v>47</v>
      </c>
      <c r="G268" s="73" t="n">
        <v>2.04</v>
      </c>
      <c r="H268" s="73" t="n">
        <v>95.88</v>
      </c>
      <c r="I268" s="72" t="s">
        <v>349</v>
      </c>
    </row>
    <row r="269" customFormat="false" ht="14.25" hidden="false" customHeight="true" outlineLevel="0" collapsed="false">
      <c r="A269" s="72" t="s">
        <v>21</v>
      </c>
      <c r="B269" s="72" t="s">
        <v>275</v>
      </c>
      <c r="C269" s="72" t="s">
        <v>307</v>
      </c>
      <c r="D269" s="72" t="s">
        <v>186</v>
      </c>
      <c r="E269" s="72" t="s">
        <v>274</v>
      </c>
      <c r="F269" s="72" t="n">
        <v>1</v>
      </c>
      <c r="G269" s="73" t="n">
        <v>2038.91</v>
      </c>
      <c r="H269" s="73" t="n">
        <f aca="false">G269*F269</f>
        <v>2038.91</v>
      </c>
      <c r="I269" s="72" t="s">
        <v>350</v>
      </c>
    </row>
    <row r="270" customFormat="false" ht="14.25" hidden="false" customHeight="true" outlineLevel="0" collapsed="false">
      <c r="A270" s="72" t="s">
        <v>21</v>
      </c>
      <c r="B270" s="72" t="s">
        <v>275</v>
      </c>
      <c r="C270" s="72" t="s">
        <v>299</v>
      </c>
      <c r="D270" s="72" t="s">
        <v>333</v>
      </c>
      <c r="E270" s="72" t="s">
        <v>274</v>
      </c>
      <c r="F270" s="72" t="n">
        <v>1</v>
      </c>
      <c r="G270" s="73" t="n">
        <v>16815.54</v>
      </c>
      <c r="H270" s="73" t="n">
        <f aca="false">G270*F270</f>
        <v>16815.54</v>
      </c>
      <c r="I270" s="72" t="s">
        <v>351</v>
      </c>
    </row>
    <row r="271" customFormat="false" ht="14.25" hidden="false" customHeight="true" outlineLevel="0" collapsed="false">
      <c r="A271" s="72" t="s">
        <v>21</v>
      </c>
      <c r="B271" s="72" t="s">
        <v>275</v>
      </c>
      <c r="C271" s="72" t="s">
        <v>299</v>
      </c>
      <c r="D271" s="72" t="s">
        <v>241</v>
      </c>
      <c r="E271" s="72" t="s">
        <v>277</v>
      </c>
      <c r="F271" s="72" t="n">
        <v>1</v>
      </c>
      <c r="G271" s="73" t="n">
        <v>6270.1</v>
      </c>
      <c r="H271" s="73" t="n">
        <f aca="false">G271*F271</f>
        <v>6270.1</v>
      </c>
      <c r="I271" s="72" t="s">
        <v>352</v>
      </c>
    </row>
    <row r="272" customFormat="false" ht="14.25" hidden="false" customHeight="true" outlineLevel="0" collapsed="false">
      <c r="A272" s="72" t="s">
        <v>21</v>
      </c>
      <c r="B272" s="72" t="s">
        <v>275</v>
      </c>
      <c r="C272" s="72" t="s">
        <v>299</v>
      </c>
      <c r="D272" s="72" t="s">
        <v>301</v>
      </c>
      <c r="E272" s="72" t="s">
        <v>277</v>
      </c>
      <c r="F272" s="72" t="n">
        <v>1</v>
      </c>
      <c r="G272" s="73" t="n">
        <v>182.68</v>
      </c>
      <c r="H272" s="73" t="n">
        <f aca="false">G272*F272</f>
        <v>182.68</v>
      </c>
      <c r="I272" s="72" t="s">
        <v>353</v>
      </c>
    </row>
    <row r="273" customFormat="false" ht="14.25" hidden="false" customHeight="true" outlineLevel="0" collapsed="false">
      <c r="A273" s="72" t="s">
        <v>21</v>
      </c>
      <c r="B273" s="72" t="s">
        <v>275</v>
      </c>
      <c r="C273" s="72" t="s">
        <v>299</v>
      </c>
      <c r="D273" s="72" t="s">
        <v>166</v>
      </c>
      <c r="E273" s="72" t="s">
        <v>277</v>
      </c>
      <c r="F273" s="72" t="n">
        <v>5</v>
      </c>
      <c r="G273" s="73" t="n">
        <v>26</v>
      </c>
      <c r="H273" s="73" t="n">
        <f aca="false">G273*F273</f>
        <v>130</v>
      </c>
      <c r="I273" s="72" t="s">
        <v>349</v>
      </c>
    </row>
    <row r="274" customFormat="false" ht="14.25" hidden="false" customHeight="true" outlineLevel="0" collapsed="false">
      <c r="A274" s="72" t="s">
        <v>21</v>
      </c>
      <c r="B274" s="72" t="s">
        <v>275</v>
      </c>
      <c r="C274" s="72" t="s">
        <v>299</v>
      </c>
      <c r="D274" s="72" t="s">
        <v>165</v>
      </c>
      <c r="E274" s="72" t="s">
        <v>277</v>
      </c>
      <c r="F274" s="72" t="n">
        <v>5</v>
      </c>
      <c r="G274" s="73" t="n">
        <v>42.77</v>
      </c>
      <c r="H274" s="73" t="n">
        <f aca="false">G274*F274</f>
        <v>213.85</v>
      </c>
      <c r="I274" s="72" t="s">
        <v>349</v>
      </c>
    </row>
    <row r="275" customFormat="false" ht="14.25" hidden="false" customHeight="true" outlineLevel="0" collapsed="false">
      <c r="A275" s="72" t="s">
        <v>21</v>
      </c>
      <c r="B275" s="72" t="s">
        <v>275</v>
      </c>
      <c r="C275" s="72" t="s">
        <v>44</v>
      </c>
      <c r="D275" s="72" t="s">
        <v>167</v>
      </c>
      <c r="E275" s="72" t="s">
        <v>277</v>
      </c>
      <c r="F275" s="72" t="n">
        <v>5</v>
      </c>
      <c r="G275" s="73" t="n">
        <v>63.75</v>
      </c>
      <c r="H275" s="73" t="n">
        <f aca="false">G275*F275</f>
        <v>318.75</v>
      </c>
      <c r="I275" s="72" t="s">
        <v>349</v>
      </c>
    </row>
    <row r="276" customFormat="false" ht="14.25" hidden="false" customHeight="true" outlineLevel="0" collapsed="false">
      <c r="A276" s="72" t="s">
        <v>21</v>
      </c>
      <c r="B276" s="72" t="s">
        <v>275</v>
      </c>
      <c r="C276" s="72" t="s">
        <v>44</v>
      </c>
      <c r="D276" s="72" t="s">
        <v>240</v>
      </c>
      <c r="E276" s="72" t="s">
        <v>277</v>
      </c>
      <c r="F276" s="72" t="n">
        <v>1</v>
      </c>
      <c r="G276" s="73" t="n">
        <v>24.54</v>
      </c>
      <c r="H276" s="73" t="n">
        <f aca="false">G276*F276</f>
        <v>24.54</v>
      </c>
      <c r="I276" s="72" t="s">
        <v>353</v>
      </c>
    </row>
    <row r="277" customFormat="false" ht="14.25" hidden="false" customHeight="true" outlineLevel="0" collapsed="false">
      <c r="A277" s="72" t="s">
        <v>21</v>
      </c>
      <c r="B277" s="72" t="s">
        <v>275</v>
      </c>
      <c r="C277" s="72" t="s">
        <v>305</v>
      </c>
      <c r="D277" s="72" t="s">
        <v>194</v>
      </c>
      <c r="E277" s="72" t="s">
        <v>277</v>
      </c>
      <c r="F277" s="72" t="n">
        <v>1</v>
      </c>
      <c r="G277" s="73" t="n">
        <v>47.07</v>
      </c>
      <c r="H277" s="73" t="n">
        <f aca="false">G277*F277</f>
        <v>47.07</v>
      </c>
      <c r="I277" s="72" t="s">
        <v>353</v>
      </c>
    </row>
    <row r="278" customFormat="false" ht="15" hidden="false" customHeight="true" outlineLevel="0" collapsed="false">
      <c r="A278" s="72" t="s">
        <v>21</v>
      </c>
      <c r="B278" s="72" t="s">
        <v>275</v>
      </c>
      <c r="C278" s="72" t="s">
        <v>305</v>
      </c>
      <c r="D278" s="72" t="s">
        <v>198</v>
      </c>
      <c r="E278" s="72" t="s">
        <v>277</v>
      </c>
      <c r="F278" s="72" t="n">
        <v>1</v>
      </c>
      <c r="G278" s="73" t="n">
        <v>13.65</v>
      </c>
      <c r="H278" s="73" t="n">
        <f aca="false">G278*F278</f>
        <v>13.65</v>
      </c>
      <c r="I278" s="72" t="s">
        <v>353</v>
      </c>
    </row>
    <row r="279" customFormat="false" ht="14.25" hidden="false" customHeight="true" outlineLevel="0" collapsed="false">
      <c r="A279" s="72" t="s">
        <v>21</v>
      </c>
      <c r="B279" s="72" t="s">
        <v>275</v>
      </c>
      <c r="C279" s="72" t="s">
        <v>306</v>
      </c>
      <c r="D279" s="72" t="s">
        <v>192</v>
      </c>
      <c r="E279" s="72" t="s">
        <v>277</v>
      </c>
      <c r="F279" s="72" t="n">
        <v>5</v>
      </c>
      <c r="G279" s="73" t="n">
        <v>30</v>
      </c>
      <c r="H279" s="73" t="n">
        <f aca="false">G279*F279</f>
        <v>150</v>
      </c>
      <c r="I279" s="72" t="s">
        <v>349</v>
      </c>
    </row>
    <row r="280" customFormat="false" ht="14.25" hidden="false" customHeight="true" outlineLevel="0" collapsed="false">
      <c r="A280" s="72" t="s">
        <v>21</v>
      </c>
      <c r="B280" s="72" t="s">
        <v>275</v>
      </c>
      <c r="C280" s="72" t="s">
        <v>304</v>
      </c>
      <c r="D280" s="72" t="s">
        <v>170</v>
      </c>
      <c r="E280" s="72" t="s">
        <v>277</v>
      </c>
      <c r="F280" s="72" t="n">
        <v>5</v>
      </c>
      <c r="G280" s="73" t="n">
        <v>9.85</v>
      </c>
      <c r="H280" s="73" t="n">
        <f aca="false">G280*F280</f>
        <v>49.25</v>
      </c>
      <c r="I280" s="72" t="s">
        <v>349</v>
      </c>
    </row>
    <row r="281" customFormat="false" ht="14.25" hidden="false" customHeight="true" outlineLevel="0" collapsed="false">
      <c r="A281" s="72" t="s">
        <v>21</v>
      </c>
      <c r="B281" s="72" t="s">
        <v>275</v>
      </c>
      <c r="C281" s="72" t="s">
        <v>304</v>
      </c>
      <c r="D281" s="72" t="s">
        <v>173</v>
      </c>
      <c r="E281" s="72" t="s">
        <v>277</v>
      </c>
      <c r="F281" s="72" t="n">
        <v>5</v>
      </c>
      <c r="G281" s="73" t="n">
        <v>2.04</v>
      </c>
      <c r="H281" s="73" t="n">
        <f aca="false">G281*F281</f>
        <v>10.2</v>
      </c>
      <c r="I281" s="72" t="s">
        <v>349</v>
      </c>
    </row>
    <row r="282" customFormat="false" ht="14.25" hidden="false" customHeight="true" outlineLevel="0" collapsed="false">
      <c r="A282" s="72" t="s">
        <v>21</v>
      </c>
      <c r="B282" s="72" t="s">
        <v>275</v>
      </c>
      <c r="C282" s="72" t="s">
        <v>299</v>
      </c>
      <c r="D282" s="72" t="s">
        <v>241</v>
      </c>
      <c r="E282" s="72" t="s">
        <v>279</v>
      </c>
      <c r="F282" s="72" t="n">
        <v>1</v>
      </c>
      <c r="G282" s="73" t="n">
        <v>14541.12</v>
      </c>
      <c r="H282" s="73" t="n">
        <f aca="false">G282*F282</f>
        <v>14541.12</v>
      </c>
      <c r="I282" s="72" t="s">
        <v>354</v>
      </c>
    </row>
    <row r="283" customFormat="false" ht="14.25" hidden="false" customHeight="true" outlineLevel="0" collapsed="false">
      <c r="A283" s="72" t="s">
        <v>21</v>
      </c>
      <c r="B283" s="72" t="s">
        <v>275</v>
      </c>
      <c r="C283" s="72" t="s">
        <v>299</v>
      </c>
      <c r="D283" s="72" t="s">
        <v>301</v>
      </c>
      <c r="E283" s="72" t="s">
        <v>279</v>
      </c>
      <c r="F283" s="72" t="n">
        <v>1</v>
      </c>
      <c r="G283" s="73" t="n">
        <v>423.65</v>
      </c>
      <c r="H283" s="73" t="n">
        <f aca="false">G283*F283</f>
        <v>423.65</v>
      </c>
      <c r="I283" s="72" t="s">
        <v>355</v>
      </c>
    </row>
    <row r="284" customFormat="false" ht="14.25" hidden="false" customHeight="true" outlineLevel="0" collapsed="false">
      <c r="A284" s="72" t="s">
        <v>21</v>
      </c>
      <c r="B284" s="72" t="s">
        <v>275</v>
      </c>
      <c r="C284" s="72" t="s">
        <v>299</v>
      </c>
      <c r="D284" s="72" t="s">
        <v>166</v>
      </c>
      <c r="E284" s="72" t="s">
        <v>279</v>
      </c>
      <c r="F284" s="72" t="n">
        <v>6</v>
      </c>
      <c r="G284" s="73" t="n">
        <v>26</v>
      </c>
      <c r="H284" s="73" t="n">
        <f aca="false">G284*F284</f>
        <v>156</v>
      </c>
      <c r="I284" s="72" t="s">
        <v>349</v>
      </c>
    </row>
    <row r="285" customFormat="false" ht="14.25" hidden="false" customHeight="true" outlineLevel="0" collapsed="false">
      <c r="A285" s="72" t="s">
        <v>21</v>
      </c>
      <c r="B285" s="72" t="s">
        <v>275</v>
      </c>
      <c r="C285" s="72" t="s">
        <v>299</v>
      </c>
      <c r="D285" s="72" t="s">
        <v>165</v>
      </c>
      <c r="E285" s="72" t="s">
        <v>279</v>
      </c>
      <c r="F285" s="72" t="n">
        <v>6</v>
      </c>
      <c r="G285" s="73" t="n">
        <v>42.77</v>
      </c>
      <c r="H285" s="73" t="n">
        <f aca="false">G285*F285</f>
        <v>256.62</v>
      </c>
      <c r="I285" s="72" t="s">
        <v>349</v>
      </c>
    </row>
    <row r="286" customFormat="false" ht="14.25" hidden="false" customHeight="true" outlineLevel="0" collapsed="false">
      <c r="A286" s="72" t="s">
        <v>21</v>
      </c>
      <c r="B286" s="72" t="s">
        <v>275</v>
      </c>
      <c r="C286" s="72" t="s">
        <v>44</v>
      </c>
      <c r="D286" s="72" t="s">
        <v>167</v>
      </c>
      <c r="E286" s="72" t="s">
        <v>279</v>
      </c>
      <c r="F286" s="72" t="n">
        <v>6</v>
      </c>
      <c r="G286" s="73" t="n">
        <v>63.75</v>
      </c>
      <c r="H286" s="73" t="n">
        <f aca="false">G286*F286</f>
        <v>382.5</v>
      </c>
      <c r="I286" s="72" t="s">
        <v>349</v>
      </c>
    </row>
    <row r="287" customFormat="false" ht="14.25" hidden="false" customHeight="true" outlineLevel="0" collapsed="false">
      <c r="A287" s="72" t="s">
        <v>21</v>
      </c>
      <c r="B287" s="72" t="s">
        <v>275</v>
      </c>
      <c r="C287" s="72" t="s">
        <v>44</v>
      </c>
      <c r="D287" s="72" t="s">
        <v>240</v>
      </c>
      <c r="E287" s="72" t="s">
        <v>279</v>
      </c>
      <c r="F287" s="72" t="n">
        <v>1</v>
      </c>
      <c r="G287" s="73" t="n">
        <v>56.91</v>
      </c>
      <c r="H287" s="73" t="n">
        <f aca="false">G287*F287</f>
        <v>56.91</v>
      </c>
      <c r="I287" s="72" t="s">
        <v>355</v>
      </c>
    </row>
    <row r="288" customFormat="false" ht="14.25" hidden="false" customHeight="true" outlineLevel="0" collapsed="false">
      <c r="A288" s="72" t="s">
        <v>21</v>
      </c>
      <c r="B288" s="72" t="s">
        <v>275</v>
      </c>
      <c r="C288" s="72" t="s">
        <v>305</v>
      </c>
      <c r="D288" s="72" t="s">
        <v>194</v>
      </c>
      <c r="E288" s="72" t="s">
        <v>279</v>
      </c>
      <c r="F288" s="72" t="n">
        <v>1</v>
      </c>
      <c r="G288" s="73" t="n">
        <v>109.17</v>
      </c>
      <c r="H288" s="73" t="n">
        <f aca="false">G288*F288</f>
        <v>109.17</v>
      </c>
      <c r="I288" s="72" t="s">
        <v>355</v>
      </c>
    </row>
    <row r="289" customFormat="false" ht="14.25" hidden="false" customHeight="true" outlineLevel="0" collapsed="false">
      <c r="A289" s="72" t="s">
        <v>21</v>
      </c>
      <c r="B289" s="72" t="s">
        <v>275</v>
      </c>
      <c r="C289" s="72" t="s">
        <v>305</v>
      </c>
      <c r="D289" s="72" t="s">
        <v>198</v>
      </c>
      <c r="E289" s="72" t="s">
        <v>279</v>
      </c>
      <c r="F289" s="72" t="n">
        <v>1</v>
      </c>
      <c r="G289" s="73" t="n">
        <v>31.65</v>
      </c>
      <c r="H289" s="73" t="n">
        <f aca="false">G289*F289</f>
        <v>31.65</v>
      </c>
      <c r="I289" s="72" t="s">
        <v>355</v>
      </c>
    </row>
    <row r="290" customFormat="false" ht="14.25" hidden="false" customHeight="true" outlineLevel="0" collapsed="false">
      <c r="A290" s="72" t="s">
        <v>21</v>
      </c>
      <c r="B290" s="72" t="s">
        <v>275</v>
      </c>
      <c r="C290" s="72" t="s">
        <v>306</v>
      </c>
      <c r="D290" s="72" t="s">
        <v>192</v>
      </c>
      <c r="E290" s="72" t="s">
        <v>279</v>
      </c>
      <c r="F290" s="72" t="n">
        <v>6</v>
      </c>
      <c r="G290" s="73" t="n">
        <v>30</v>
      </c>
      <c r="H290" s="73" t="n">
        <f aca="false">G290*F290</f>
        <v>180</v>
      </c>
      <c r="I290" s="72" t="s">
        <v>349</v>
      </c>
    </row>
    <row r="291" customFormat="false" ht="14.25" hidden="false" customHeight="true" outlineLevel="0" collapsed="false">
      <c r="A291" s="72" t="s">
        <v>21</v>
      </c>
      <c r="B291" s="72" t="s">
        <v>275</v>
      </c>
      <c r="C291" s="72" t="s">
        <v>304</v>
      </c>
      <c r="D291" s="72" t="s">
        <v>170</v>
      </c>
      <c r="E291" s="72" t="s">
        <v>279</v>
      </c>
      <c r="F291" s="72" t="n">
        <v>6</v>
      </c>
      <c r="G291" s="73" t="n">
        <v>9.85</v>
      </c>
      <c r="H291" s="73" t="n">
        <f aca="false">G291*F291</f>
        <v>59.1</v>
      </c>
      <c r="I291" s="72" t="s">
        <v>349</v>
      </c>
    </row>
    <row r="292" customFormat="false" ht="14.25" hidden="false" customHeight="true" outlineLevel="0" collapsed="false">
      <c r="A292" s="72" t="s">
        <v>21</v>
      </c>
      <c r="B292" s="72" t="s">
        <v>275</v>
      </c>
      <c r="C292" s="72" t="s">
        <v>304</v>
      </c>
      <c r="D292" s="72" t="s">
        <v>173</v>
      </c>
      <c r="E292" s="72" t="s">
        <v>279</v>
      </c>
      <c r="F292" s="72" t="n">
        <v>6</v>
      </c>
      <c r="G292" s="73" t="n">
        <v>2.04</v>
      </c>
      <c r="H292" s="73" t="n">
        <f aca="false">G292*F292</f>
        <v>12.24</v>
      </c>
      <c r="I292" s="72" t="s">
        <v>349</v>
      </c>
    </row>
    <row r="293" customFormat="false" ht="14.25" hidden="false" customHeight="true" outlineLevel="0" collapsed="false">
      <c r="A293" s="72" t="s">
        <v>21</v>
      </c>
      <c r="B293" s="72" t="s">
        <v>275</v>
      </c>
      <c r="C293" s="72" t="s">
        <v>307</v>
      </c>
      <c r="D293" s="72" t="s">
        <v>186</v>
      </c>
      <c r="E293" s="72" t="s">
        <v>279</v>
      </c>
      <c r="F293" s="72" t="n">
        <v>1</v>
      </c>
      <c r="G293" s="73" t="n">
        <v>799.48</v>
      </c>
      <c r="H293" s="73" t="n">
        <f aca="false">G293*F293</f>
        <v>799.48</v>
      </c>
      <c r="I293" s="72" t="s">
        <v>313</v>
      </c>
    </row>
    <row r="294" customFormat="false" ht="14.25" hidden="false" customHeight="true" outlineLevel="0" collapsed="false">
      <c r="A294" s="72" t="s">
        <v>21</v>
      </c>
      <c r="B294" s="72" t="s">
        <v>275</v>
      </c>
      <c r="C294" s="72" t="s">
        <v>299</v>
      </c>
      <c r="D294" s="72" t="s">
        <v>241</v>
      </c>
      <c r="E294" s="72" t="s">
        <v>280</v>
      </c>
      <c r="F294" s="72" t="n">
        <v>1</v>
      </c>
      <c r="G294" s="73" t="n">
        <v>17414.61856</v>
      </c>
      <c r="H294" s="73" t="n">
        <f aca="false">G294*F294</f>
        <v>17414.61856</v>
      </c>
      <c r="I294" s="72" t="s">
        <v>356</v>
      </c>
    </row>
    <row r="295" customFormat="false" ht="15" hidden="false" customHeight="true" outlineLevel="0" collapsed="false">
      <c r="A295" s="72" t="s">
        <v>21</v>
      </c>
      <c r="B295" s="72" t="s">
        <v>275</v>
      </c>
      <c r="C295" s="72" t="s">
        <v>299</v>
      </c>
      <c r="D295" s="72" t="s">
        <v>301</v>
      </c>
      <c r="E295" s="72" t="s">
        <v>280</v>
      </c>
      <c r="F295" s="72" t="n">
        <v>1</v>
      </c>
      <c r="G295" s="73" t="n">
        <v>693.66</v>
      </c>
      <c r="H295" s="73" t="n">
        <f aca="false">G295*F295</f>
        <v>693.66</v>
      </c>
      <c r="I295" s="72" t="s">
        <v>357</v>
      </c>
    </row>
    <row r="296" customFormat="false" ht="14.25" hidden="false" customHeight="true" outlineLevel="0" collapsed="false">
      <c r="A296" s="72" t="s">
        <v>21</v>
      </c>
      <c r="B296" s="72" t="s">
        <v>275</v>
      </c>
      <c r="C296" s="72" t="s">
        <v>299</v>
      </c>
      <c r="D296" s="72" t="s">
        <v>166</v>
      </c>
      <c r="E296" s="72" t="s">
        <v>280</v>
      </c>
      <c r="F296" s="72" t="n">
        <v>11</v>
      </c>
      <c r="G296" s="73" t="n">
        <v>26</v>
      </c>
      <c r="H296" s="73" t="n">
        <f aca="false">G296*F296</f>
        <v>286</v>
      </c>
      <c r="I296" s="72" t="s">
        <v>349</v>
      </c>
    </row>
    <row r="297" customFormat="false" ht="14.25" hidden="false" customHeight="true" outlineLevel="0" collapsed="false">
      <c r="A297" s="72" t="s">
        <v>21</v>
      </c>
      <c r="B297" s="72" t="s">
        <v>275</v>
      </c>
      <c r="C297" s="72" t="s">
        <v>299</v>
      </c>
      <c r="D297" s="72" t="s">
        <v>165</v>
      </c>
      <c r="E297" s="72" t="s">
        <v>280</v>
      </c>
      <c r="F297" s="72" t="n">
        <v>11</v>
      </c>
      <c r="G297" s="73" t="n">
        <v>42.77</v>
      </c>
      <c r="H297" s="73" t="n">
        <f aca="false">G297*F297</f>
        <v>470.47</v>
      </c>
      <c r="I297" s="72" t="s">
        <v>349</v>
      </c>
    </row>
    <row r="298" customFormat="false" ht="14.25" hidden="false" customHeight="true" outlineLevel="0" collapsed="false">
      <c r="A298" s="72" t="s">
        <v>21</v>
      </c>
      <c r="B298" s="72" t="s">
        <v>275</v>
      </c>
      <c r="C298" s="72" t="s">
        <v>44</v>
      </c>
      <c r="D298" s="72" t="s">
        <v>167</v>
      </c>
      <c r="E298" s="72" t="s">
        <v>280</v>
      </c>
      <c r="F298" s="72" t="n">
        <v>11</v>
      </c>
      <c r="G298" s="73" t="n">
        <v>63.75</v>
      </c>
      <c r="H298" s="73" t="n">
        <f aca="false">G298*F298</f>
        <v>701.25</v>
      </c>
      <c r="I298" s="72" t="s">
        <v>349</v>
      </c>
    </row>
    <row r="299" customFormat="false" ht="14.25" hidden="false" customHeight="true" outlineLevel="0" collapsed="false">
      <c r="A299" s="72" t="s">
        <v>21</v>
      </c>
      <c r="B299" s="72" t="s">
        <v>275</v>
      </c>
      <c r="C299" s="72" t="s">
        <v>44</v>
      </c>
      <c r="D299" s="72" t="s">
        <v>240</v>
      </c>
      <c r="E299" s="72" t="s">
        <v>280</v>
      </c>
      <c r="F299" s="72" t="n">
        <v>1</v>
      </c>
      <c r="G299" s="73" t="n">
        <v>93.18</v>
      </c>
      <c r="H299" s="73" t="n">
        <f aca="false">G299*F299</f>
        <v>93.18</v>
      </c>
      <c r="I299" s="72" t="s">
        <v>357</v>
      </c>
    </row>
    <row r="300" customFormat="false" ht="14.25" hidden="false" customHeight="true" outlineLevel="0" collapsed="false">
      <c r="A300" s="72" t="s">
        <v>21</v>
      </c>
      <c r="B300" s="72" t="s">
        <v>275</v>
      </c>
      <c r="C300" s="72" t="s">
        <v>305</v>
      </c>
      <c r="D300" s="72" t="s">
        <v>194</v>
      </c>
      <c r="E300" s="72" t="s">
        <v>280</v>
      </c>
      <c r="F300" s="72" t="n">
        <v>1</v>
      </c>
      <c r="G300" s="73" t="n">
        <v>178.75</v>
      </c>
      <c r="H300" s="73" t="n">
        <f aca="false">G300*F300</f>
        <v>178.75</v>
      </c>
      <c r="I300" s="72" t="s">
        <v>357</v>
      </c>
    </row>
    <row r="301" customFormat="false" ht="14.25" hidden="false" customHeight="true" outlineLevel="0" collapsed="false">
      <c r="A301" s="72" t="s">
        <v>21</v>
      </c>
      <c r="B301" s="72" t="s">
        <v>275</v>
      </c>
      <c r="C301" s="72" t="s">
        <v>305</v>
      </c>
      <c r="D301" s="72" t="s">
        <v>198</v>
      </c>
      <c r="E301" s="72" t="s">
        <v>280</v>
      </c>
      <c r="F301" s="72" t="n">
        <v>1</v>
      </c>
      <c r="G301" s="73" t="n">
        <v>51.82</v>
      </c>
      <c r="H301" s="73" t="n">
        <f aca="false">G301*F301</f>
        <v>51.82</v>
      </c>
      <c r="I301" s="72" t="s">
        <v>357</v>
      </c>
    </row>
    <row r="302" customFormat="false" ht="14.25" hidden="false" customHeight="true" outlineLevel="0" collapsed="false">
      <c r="A302" s="72" t="s">
        <v>21</v>
      </c>
      <c r="B302" s="72" t="s">
        <v>275</v>
      </c>
      <c r="C302" s="72" t="s">
        <v>306</v>
      </c>
      <c r="D302" s="72" t="s">
        <v>192</v>
      </c>
      <c r="E302" s="72" t="s">
        <v>280</v>
      </c>
      <c r="F302" s="72" t="n">
        <v>11</v>
      </c>
      <c r="G302" s="73" t="n">
        <v>30</v>
      </c>
      <c r="H302" s="73" t="n">
        <f aca="false">G302*F302</f>
        <v>330</v>
      </c>
      <c r="I302" s="72" t="s">
        <v>349</v>
      </c>
    </row>
    <row r="303" customFormat="false" ht="14.25" hidden="false" customHeight="true" outlineLevel="0" collapsed="false">
      <c r="A303" s="72" t="s">
        <v>21</v>
      </c>
      <c r="B303" s="72" t="s">
        <v>275</v>
      </c>
      <c r="C303" s="72" t="s">
        <v>304</v>
      </c>
      <c r="D303" s="72" t="s">
        <v>170</v>
      </c>
      <c r="E303" s="72" t="s">
        <v>280</v>
      </c>
      <c r="F303" s="72" t="n">
        <v>11</v>
      </c>
      <c r="G303" s="73" t="n">
        <v>9.85</v>
      </c>
      <c r="H303" s="73" t="n">
        <f aca="false">G303*F303</f>
        <v>108.35</v>
      </c>
      <c r="I303" s="72" t="s">
        <v>349</v>
      </c>
    </row>
    <row r="304" customFormat="false" ht="14.25" hidden="false" customHeight="true" outlineLevel="0" collapsed="false">
      <c r="A304" s="72" t="s">
        <v>21</v>
      </c>
      <c r="B304" s="72" t="s">
        <v>275</v>
      </c>
      <c r="C304" s="72" t="s">
        <v>304</v>
      </c>
      <c r="D304" s="72" t="s">
        <v>173</v>
      </c>
      <c r="E304" s="72" t="s">
        <v>280</v>
      </c>
      <c r="F304" s="72" t="n">
        <v>11</v>
      </c>
      <c r="G304" s="73" t="n">
        <v>2.04</v>
      </c>
      <c r="H304" s="73" t="n">
        <f aca="false">G304*F304</f>
        <v>22.44</v>
      </c>
      <c r="I304" s="72" t="s">
        <v>349</v>
      </c>
    </row>
    <row r="305" customFormat="false" ht="14.25" hidden="false" customHeight="true" outlineLevel="0" collapsed="false">
      <c r="A305" s="72" t="s">
        <v>21</v>
      </c>
      <c r="B305" s="72" t="s">
        <v>275</v>
      </c>
      <c r="C305" s="72" t="s">
        <v>299</v>
      </c>
      <c r="D305" s="72" t="s">
        <v>333</v>
      </c>
      <c r="E305" s="72" t="s">
        <v>280</v>
      </c>
      <c r="F305" s="72" t="n">
        <v>1</v>
      </c>
      <c r="G305" s="73" t="n">
        <v>6816.97</v>
      </c>
      <c r="H305" s="73" t="n">
        <f aca="false">G305*F305</f>
        <v>6816.97</v>
      </c>
      <c r="I305" s="72" t="s">
        <v>351</v>
      </c>
    </row>
    <row r="306" customFormat="false" ht="14.25" hidden="false" customHeight="true" outlineLevel="0" collapsed="false">
      <c r="A306" s="72" t="s">
        <v>21</v>
      </c>
      <c r="B306" s="72" t="s">
        <v>275</v>
      </c>
      <c r="C306" s="72" t="s">
        <v>299</v>
      </c>
      <c r="D306" s="72" t="s">
        <v>241</v>
      </c>
      <c r="E306" s="72" t="s">
        <v>283</v>
      </c>
      <c r="F306" s="72" t="n">
        <v>1</v>
      </c>
      <c r="G306" s="73" t="n">
        <v>78656</v>
      </c>
      <c r="H306" s="73" t="n">
        <f aca="false">G306*F306</f>
        <v>78656</v>
      </c>
      <c r="I306" s="72" t="s">
        <v>358</v>
      </c>
    </row>
    <row r="307" customFormat="false" ht="14.25" hidden="false" customHeight="true" outlineLevel="0" collapsed="false">
      <c r="A307" s="72" t="s">
        <v>21</v>
      </c>
      <c r="B307" s="1" t="s">
        <v>275</v>
      </c>
      <c r="C307" s="1" t="s">
        <v>299</v>
      </c>
      <c r="D307" s="1" t="s">
        <v>301</v>
      </c>
      <c r="E307" s="1" t="s">
        <v>283</v>
      </c>
      <c r="F307" s="1" t="n">
        <v>1</v>
      </c>
      <c r="G307" s="1" t="n">
        <v>1152.22</v>
      </c>
      <c r="H307" s="73" t="n">
        <f aca="false">G307*F307</f>
        <v>1152.22</v>
      </c>
      <c r="I307" s="72" t="s">
        <v>359</v>
      </c>
    </row>
    <row r="308" customFormat="false" ht="14.25" hidden="false" customHeight="true" outlineLevel="0" collapsed="false">
      <c r="A308" s="72" t="s">
        <v>21</v>
      </c>
      <c r="B308" s="72" t="s">
        <v>275</v>
      </c>
      <c r="C308" s="72" t="s">
        <v>299</v>
      </c>
      <c r="D308" s="72" t="s">
        <v>166</v>
      </c>
      <c r="E308" s="72" t="s">
        <v>283</v>
      </c>
      <c r="F308" s="72" t="n">
        <v>17</v>
      </c>
      <c r="G308" s="73" t="n">
        <v>26</v>
      </c>
      <c r="H308" s="73" t="n">
        <f aca="false">G308*F308</f>
        <v>442</v>
      </c>
      <c r="I308" s="72" t="s">
        <v>349</v>
      </c>
    </row>
    <row r="309" customFormat="false" ht="14.25" hidden="false" customHeight="true" outlineLevel="0" collapsed="false">
      <c r="A309" s="72" t="s">
        <v>21</v>
      </c>
      <c r="B309" s="1" t="s">
        <v>275</v>
      </c>
      <c r="C309" s="1" t="s">
        <v>299</v>
      </c>
      <c r="D309" s="1" t="s">
        <v>165</v>
      </c>
      <c r="E309" s="1" t="s">
        <v>283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349</v>
      </c>
    </row>
    <row r="310" customFormat="false" ht="14.25" hidden="false" customHeight="true" outlineLevel="0" collapsed="false">
      <c r="A310" s="72" t="s">
        <v>21</v>
      </c>
      <c r="B310" s="72" t="s">
        <v>275</v>
      </c>
      <c r="C310" s="72" t="s">
        <v>44</v>
      </c>
      <c r="D310" s="72" t="s">
        <v>167</v>
      </c>
      <c r="E310" s="72" t="s">
        <v>283</v>
      </c>
      <c r="F310" s="72" t="n">
        <v>17</v>
      </c>
      <c r="G310" s="73" t="n">
        <v>63.75</v>
      </c>
      <c r="H310" s="73" t="n">
        <f aca="false">G310*F310</f>
        <v>1083.75</v>
      </c>
      <c r="I310" s="72" t="s">
        <v>349</v>
      </c>
    </row>
    <row r="311" customFormat="false" ht="14.25" hidden="false" customHeight="true" outlineLevel="0" collapsed="false">
      <c r="A311" s="72" t="s">
        <v>21</v>
      </c>
      <c r="B311" s="72" t="s">
        <v>275</v>
      </c>
      <c r="C311" s="72" t="s">
        <v>44</v>
      </c>
      <c r="D311" s="72" t="s">
        <v>240</v>
      </c>
      <c r="E311" s="72" t="s">
        <v>283</v>
      </c>
      <c r="F311" s="72" t="n">
        <v>1</v>
      </c>
      <c r="G311" s="73" t="n">
        <v>154.78</v>
      </c>
      <c r="H311" s="73" t="n">
        <f aca="false">G311*F311</f>
        <v>154.78</v>
      </c>
      <c r="I311" s="72" t="s">
        <v>359</v>
      </c>
    </row>
    <row r="312" customFormat="false" ht="14.25" hidden="false" customHeight="true" outlineLevel="0" collapsed="false">
      <c r="A312" s="72" t="s">
        <v>21</v>
      </c>
      <c r="B312" s="72" t="s">
        <v>275</v>
      </c>
      <c r="C312" s="72" t="s">
        <v>305</v>
      </c>
      <c r="D312" s="72" t="s">
        <v>194</v>
      </c>
      <c r="E312" s="72" t="s">
        <v>283</v>
      </c>
      <c r="F312" s="72" t="n">
        <v>1</v>
      </c>
      <c r="G312" s="73" t="n">
        <v>296.91</v>
      </c>
      <c r="H312" s="73" t="n">
        <f aca="false">G312*F312</f>
        <v>296.91</v>
      </c>
      <c r="I312" s="72" t="s">
        <v>359</v>
      </c>
    </row>
    <row r="313" customFormat="false" ht="14.25" hidden="false" customHeight="true" outlineLevel="0" collapsed="false">
      <c r="A313" s="72" t="s">
        <v>21</v>
      </c>
      <c r="B313" s="72" t="s">
        <v>275</v>
      </c>
      <c r="C313" s="72" t="s">
        <v>305</v>
      </c>
      <c r="D313" s="72" t="s">
        <v>198</v>
      </c>
      <c r="E313" s="72" t="s">
        <v>283</v>
      </c>
      <c r="F313" s="72" t="n">
        <v>1</v>
      </c>
      <c r="G313" s="73" t="n">
        <v>86.07</v>
      </c>
      <c r="H313" s="73" t="n">
        <f aca="false">G313*F313</f>
        <v>86.07</v>
      </c>
      <c r="I313" s="72" t="s">
        <v>359</v>
      </c>
    </row>
    <row r="314" customFormat="false" ht="14.25" hidden="false" customHeight="true" outlineLevel="0" collapsed="false">
      <c r="A314" s="72" t="s">
        <v>21</v>
      </c>
      <c r="B314" s="72" t="s">
        <v>275</v>
      </c>
      <c r="C314" s="72" t="s">
        <v>306</v>
      </c>
      <c r="D314" s="72" t="s">
        <v>192</v>
      </c>
      <c r="E314" s="72" t="s">
        <v>283</v>
      </c>
      <c r="F314" s="72" t="n">
        <v>17</v>
      </c>
      <c r="G314" s="73" t="n">
        <v>30</v>
      </c>
      <c r="H314" s="73" t="n">
        <f aca="false">G314*F314</f>
        <v>510</v>
      </c>
      <c r="I314" s="72" t="s">
        <v>349</v>
      </c>
    </row>
    <row r="315" customFormat="false" ht="14.25" hidden="false" customHeight="true" outlineLevel="0" collapsed="false">
      <c r="A315" s="72" t="s">
        <v>21</v>
      </c>
      <c r="B315" s="72" t="s">
        <v>275</v>
      </c>
      <c r="C315" s="72" t="s">
        <v>304</v>
      </c>
      <c r="D315" s="72" t="s">
        <v>170</v>
      </c>
      <c r="E315" s="72" t="s">
        <v>283</v>
      </c>
      <c r="F315" s="72" t="n">
        <v>17</v>
      </c>
      <c r="G315" s="73" t="n">
        <v>9.85</v>
      </c>
      <c r="H315" s="73" t="n">
        <f aca="false">G315*F315</f>
        <v>167.45</v>
      </c>
      <c r="I315" s="72" t="s">
        <v>349</v>
      </c>
    </row>
    <row r="316" customFormat="false" ht="14.25" hidden="false" customHeight="true" outlineLevel="0" collapsed="false">
      <c r="A316" s="72" t="s">
        <v>21</v>
      </c>
      <c r="B316" s="72" t="s">
        <v>275</v>
      </c>
      <c r="C316" s="72" t="s">
        <v>304</v>
      </c>
      <c r="D316" s="72" t="s">
        <v>173</v>
      </c>
      <c r="E316" s="72" t="s">
        <v>283</v>
      </c>
      <c r="F316" s="72" t="n">
        <v>17</v>
      </c>
      <c r="G316" s="73" t="n">
        <v>2.04</v>
      </c>
      <c r="H316" s="73" t="n">
        <f aca="false">G316*F316</f>
        <v>34.68</v>
      </c>
      <c r="I316" s="72" t="s">
        <v>349</v>
      </c>
    </row>
    <row r="317" customFormat="false" ht="14.25" hidden="false" customHeight="true" outlineLevel="0" collapsed="false">
      <c r="A317" s="72" t="s">
        <v>21</v>
      </c>
      <c r="B317" s="72" t="s">
        <v>275</v>
      </c>
      <c r="C317" s="72" t="s">
        <v>307</v>
      </c>
      <c r="D317" s="72" t="s">
        <v>186</v>
      </c>
      <c r="E317" s="72" t="s">
        <v>283</v>
      </c>
      <c r="F317" s="72" t="n">
        <v>1</v>
      </c>
      <c r="G317" s="73" t="n">
        <v>4021.66</v>
      </c>
      <c r="H317" s="73" t="n">
        <f aca="false">G317*F317</f>
        <v>4021.66</v>
      </c>
      <c r="I317" s="72" t="s">
        <v>360</v>
      </c>
    </row>
    <row r="318" customFormat="false" ht="14.25" hidden="false" customHeight="true" outlineLevel="0" collapsed="false">
      <c r="A318" s="72" t="s">
        <v>21</v>
      </c>
      <c r="B318" s="72" t="s">
        <v>287</v>
      </c>
      <c r="C318" s="72" t="s">
        <v>299</v>
      </c>
      <c r="D318" s="72" t="s">
        <v>241</v>
      </c>
      <c r="E318" s="72" t="s">
        <v>286</v>
      </c>
      <c r="F318" s="72" t="n">
        <v>1</v>
      </c>
      <c r="G318" s="73" t="n">
        <v>32377.78</v>
      </c>
      <c r="H318" s="73" t="n">
        <f aca="false">G318*F318</f>
        <v>32377.78</v>
      </c>
      <c r="I318" s="72" t="s">
        <v>361</v>
      </c>
    </row>
    <row r="319" customFormat="false" ht="14.25" hidden="false" customHeight="true" outlineLevel="0" collapsed="false">
      <c r="A319" s="72" t="s">
        <v>21</v>
      </c>
      <c r="B319" s="72" t="s">
        <v>287</v>
      </c>
      <c r="C319" s="72" t="s">
        <v>299</v>
      </c>
      <c r="D319" s="72" t="s">
        <v>166</v>
      </c>
      <c r="E319" s="72" t="s">
        <v>286</v>
      </c>
      <c r="F319" s="72" t="n">
        <v>14</v>
      </c>
      <c r="G319" s="73" t="n">
        <v>26</v>
      </c>
      <c r="H319" s="73" t="n">
        <f aca="false">G319*F319</f>
        <v>364</v>
      </c>
      <c r="I319" s="72" t="s">
        <v>349</v>
      </c>
    </row>
    <row r="320" customFormat="false" ht="14.25" hidden="false" customHeight="true" outlineLevel="0" collapsed="false">
      <c r="A320" s="72" t="s">
        <v>21</v>
      </c>
      <c r="B320" s="72" t="s">
        <v>287</v>
      </c>
      <c r="C320" s="72" t="s">
        <v>299</v>
      </c>
      <c r="D320" s="72" t="s">
        <v>165</v>
      </c>
      <c r="E320" s="72" t="s">
        <v>286</v>
      </c>
      <c r="F320" s="72" t="n">
        <v>14</v>
      </c>
      <c r="G320" s="73" t="n">
        <v>42.77</v>
      </c>
      <c r="H320" s="73" t="n">
        <f aca="false">G320*F320</f>
        <v>598.78</v>
      </c>
      <c r="I320" s="72" t="s">
        <v>349</v>
      </c>
    </row>
    <row r="321" customFormat="false" ht="14.25" hidden="false" customHeight="true" outlineLevel="0" collapsed="false">
      <c r="A321" s="72" t="s">
        <v>21</v>
      </c>
      <c r="B321" s="72" t="s">
        <v>287</v>
      </c>
      <c r="C321" s="72" t="s">
        <v>44</v>
      </c>
      <c r="D321" s="72" t="s">
        <v>167</v>
      </c>
      <c r="E321" s="72" t="s">
        <v>286</v>
      </c>
      <c r="F321" s="72" t="n">
        <v>14</v>
      </c>
      <c r="G321" s="73" t="n">
        <v>63.75</v>
      </c>
      <c r="H321" s="73" t="n">
        <f aca="false">G321*F321</f>
        <v>892.5</v>
      </c>
      <c r="I321" s="72" t="s">
        <v>349</v>
      </c>
    </row>
    <row r="322" customFormat="false" ht="14.25" hidden="false" customHeight="true" outlineLevel="0" collapsed="false">
      <c r="A322" s="72" t="s">
        <v>21</v>
      </c>
      <c r="B322" s="72" t="s">
        <v>287</v>
      </c>
      <c r="C322" s="72" t="s">
        <v>44</v>
      </c>
      <c r="D322" s="72" t="s">
        <v>240</v>
      </c>
      <c r="E322" s="72" t="s">
        <v>286</v>
      </c>
      <c r="F322" s="72" t="n">
        <v>1</v>
      </c>
      <c r="G322" s="73" t="n">
        <v>151.6</v>
      </c>
      <c r="H322" s="73" t="n">
        <f aca="false">G322*F322</f>
        <v>151.6</v>
      </c>
      <c r="I322" s="72" t="s">
        <v>362</v>
      </c>
    </row>
    <row r="323" customFormat="false" ht="14.25" hidden="false" customHeight="true" outlineLevel="0" collapsed="false">
      <c r="A323" s="72" t="s">
        <v>21</v>
      </c>
      <c r="B323" s="72" t="s">
        <v>287</v>
      </c>
      <c r="C323" s="72" t="s">
        <v>306</v>
      </c>
      <c r="D323" s="72" t="s">
        <v>192</v>
      </c>
      <c r="E323" s="72" t="s">
        <v>286</v>
      </c>
      <c r="F323" s="72" t="n">
        <v>14</v>
      </c>
      <c r="G323" s="73" t="n">
        <v>30</v>
      </c>
      <c r="H323" s="73" t="n">
        <f aca="false">G323*F323</f>
        <v>420</v>
      </c>
      <c r="I323" s="72" t="s">
        <v>349</v>
      </c>
    </row>
    <row r="324" customFormat="false" ht="15" hidden="false" customHeight="true" outlineLevel="0" collapsed="false">
      <c r="A324" s="72" t="s">
        <v>21</v>
      </c>
      <c r="B324" s="72" t="s">
        <v>287</v>
      </c>
      <c r="C324" s="72" t="s">
        <v>304</v>
      </c>
      <c r="D324" s="72" t="s">
        <v>170</v>
      </c>
      <c r="E324" s="72" t="s">
        <v>286</v>
      </c>
      <c r="F324" s="72" t="n">
        <v>14</v>
      </c>
      <c r="G324" s="73" t="n">
        <v>9.85</v>
      </c>
      <c r="H324" s="73" t="n">
        <f aca="false">G324*F324</f>
        <v>137.9</v>
      </c>
      <c r="I324" s="72" t="s">
        <v>349</v>
      </c>
    </row>
    <row r="325" customFormat="false" ht="14.25" hidden="false" customHeight="true" outlineLevel="0" collapsed="false">
      <c r="A325" s="72" t="s">
        <v>21</v>
      </c>
      <c r="B325" s="72" t="s">
        <v>287</v>
      </c>
      <c r="C325" s="72" t="s">
        <v>304</v>
      </c>
      <c r="D325" s="72" t="s">
        <v>173</v>
      </c>
      <c r="E325" s="72" t="s">
        <v>286</v>
      </c>
      <c r="F325" s="72" t="n">
        <v>14</v>
      </c>
      <c r="G325" s="73" t="n">
        <v>2.04</v>
      </c>
      <c r="H325" s="73" t="n">
        <f aca="false">G325*F325</f>
        <v>28.56</v>
      </c>
      <c r="I325" s="72" t="s">
        <v>349</v>
      </c>
    </row>
    <row r="326" customFormat="false" ht="14.25" hidden="false" customHeight="true" outlineLevel="0" collapsed="false">
      <c r="A326" s="72" t="s">
        <v>21</v>
      </c>
      <c r="B326" s="72" t="s">
        <v>287</v>
      </c>
      <c r="C326" s="72" t="s">
        <v>307</v>
      </c>
      <c r="D326" s="72" t="s">
        <v>186</v>
      </c>
      <c r="E326" s="72" t="s">
        <v>286</v>
      </c>
      <c r="F326" s="72" t="n">
        <v>1</v>
      </c>
      <c r="G326" s="73" t="n">
        <v>1619.89</v>
      </c>
      <c r="H326" s="73" t="n">
        <f aca="false">G326*F326</f>
        <v>1619.89</v>
      </c>
      <c r="I326" s="72" t="s">
        <v>313</v>
      </c>
    </row>
    <row r="327" customFormat="false" ht="14.25" hidden="false" customHeight="true" outlineLevel="0" collapsed="false">
      <c r="A327" s="72" t="s">
        <v>21</v>
      </c>
      <c r="B327" s="72" t="s">
        <v>287</v>
      </c>
      <c r="C327" s="72" t="s">
        <v>299</v>
      </c>
      <c r="D327" s="72" t="s">
        <v>333</v>
      </c>
      <c r="E327" s="72" t="s">
        <v>286</v>
      </c>
      <c r="F327" s="72" t="n">
        <v>1</v>
      </c>
      <c r="G327" s="73" t="n">
        <v>13894.53</v>
      </c>
      <c r="H327" s="73" t="n">
        <f aca="false">G327*F327</f>
        <v>13894.53</v>
      </c>
      <c r="I327" s="72" t="s">
        <v>351</v>
      </c>
    </row>
    <row r="328" customFormat="false" ht="14.25" hidden="false" customHeight="true" outlineLevel="0" collapsed="false">
      <c r="A328" s="72" t="s">
        <v>21</v>
      </c>
      <c r="B328" s="72" t="s">
        <v>282</v>
      </c>
      <c r="C328" s="72" t="s">
        <v>299</v>
      </c>
      <c r="D328" s="72" t="s">
        <v>241</v>
      </c>
      <c r="E328" s="72" t="s">
        <v>280</v>
      </c>
      <c r="F328" s="72" t="n">
        <v>1</v>
      </c>
      <c r="G328" s="73" t="n">
        <v>7142.23</v>
      </c>
      <c r="H328" s="73" t="n">
        <f aca="false">G328*F328</f>
        <v>7142.23</v>
      </c>
      <c r="I328" s="72" t="s">
        <v>363</v>
      </c>
    </row>
    <row r="329" customFormat="false" ht="14.25" hidden="false" customHeight="true" outlineLevel="0" collapsed="false">
      <c r="A329" s="72" t="s">
        <v>21</v>
      </c>
      <c r="B329" s="72" t="s">
        <v>282</v>
      </c>
      <c r="C329" s="72" t="s">
        <v>299</v>
      </c>
      <c r="D329" s="72" t="s">
        <v>166</v>
      </c>
      <c r="E329" s="72" t="s">
        <v>280</v>
      </c>
      <c r="F329" s="72" t="n">
        <v>2</v>
      </c>
      <c r="G329" s="73" t="n">
        <v>26</v>
      </c>
      <c r="H329" s="73" t="n">
        <f aca="false">G329*F329</f>
        <v>52</v>
      </c>
      <c r="I329" s="72" t="s">
        <v>349</v>
      </c>
    </row>
    <row r="330" customFormat="false" ht="14.25" hidden="false" customHeight="true" outlineLevel="0" collapsed="false">
      <c r="A330" s="72" t="s">
        <v>21</v>
      </c>
      <c r="B330" s="72" t="s">
        <v>282</v>
      </c>
      <c r="C330" s="72" t="s">
        <v>299</v>
      </c>
      <c r="D330" s="72" t="s">
        <v>165</v>
      </c>
      <c r="E330" s="72" t="s">
        <v>280</v>
      </c>
      <c r="F330" s="72" t="n">
        <v>2</v>
      </c>
      <c r="G330" s="73" t="n">
        <v>42.77</v>
      </c>
      <c r="H330" s="73" t="n">
        <f aca="false">G330*F330</f>
        <v>85.54</v>
      </c>
      <c r="I330" s="72" t="s">
        <v>349</v>
      </c>
    </row>
    <row r="331" customFormat="false" ht="14.25" hidden="false" customHeight="true" outlineLevel="0" collapsed="false">
      <c r="A331" s="72" t="s">
        <v>21</v>
      </c>
      <c r="B331" s="72" t="s">
        <v>282</v>
      </c>
      <c r="C331" s="72" t="s">
        <v>44</v>
      </c>
      <c r="D331" s="72" t="s">
        <v>167</v>
      </c>
      <c r="E331" s="72" t="s">
        <v>280</v>
      </c>
      <c r="F331" s="72" t="n">
        <v>2</v>
      </c>
      <c r="G331" s="73" t="n">
        <v>63.75</v>
      </c>
      <c r="H331" s="73" t="n">
        <f aca="false">G331*F331</f>
        <v>127.5</v>
      </c>
      <c r="I331" s="72" t="s">
        <v>349</v>
      </c>
    </row>
    <row r="332" customFormat="false" ht="14.25" hidden="false" customHeight="true" outlineLevel="0" collapsed="false">
      <c r="A332" s="72" t="s">
        <v>21</v>
      </c>
      <c r="B332" s="72" t="s">
        <v>282</v>
      </c>
      <c r="C332" s="72" t="s">
        <v>306</v>
      </c>
      <c r="D332" s="72" t="s">
        <v>192</v>
      </c>
      <c r="E332" s="72" t="s">
        <v>280</v>
      </c>
      <c r="F332" s="72" t="n">
        <v>2</v>
      </c>
      <c r="G332" s="73" t="n">
        <v>30</v>
      </c>
      <c r="H332" s="73" t="n">
        <f aca="false">G332*F332</f>
        <v>60</v>
      </c>
      <c r="I332" s="72" t="s">
        <v>349</v>
      </c>
    </row>
    <row r="333" customFormat="false" ht="14.25" hidden="false" customHeight="true" outlineLevel="0" collapsed="false">
      <c r="A333" s="72" t="s">
        <v>21</v>
      </c>
      <c r="B333" s="72" t="s">
        <v>282</v>
      </c>
      <c r="C333" s="72" t="s">
        <v>304</v>
      </c>
      <c r="D333" s="72" t="s">
        <v>170</v>
      </c>
      <c r="E333" s="72" t="s">
        <v>280</v>
      </c>
      <c r="F333" s="72" t="n">
        <v>2</v>
      </c>
      <c r="G333" s="73" t="n">
        <v>9.85</v>
      </c>
      <c r="H333" s="73" t="n">
        <f aca="false">G333*F333</f>
        <v>19.7</v>
      </c>
      <c r="I333" s="72" t="s">
        <v>349</v>
      </c>
    </row>
    <row r="334" customFormat="false" ht="14.25" hidden="false" customHeight="true" outlineLevel="0" collapsed="false">
      <c r="A334" s="72" t="s">
        <v>21</v>
      </c>
      <c r="B334" s="72" t="s">
        <v>282</v>
      </c>
      <c r="C334" s="72" t="s">
        <v>304</v>
      </c>
      <c r="D334" s="72" t="s">
        <v>173</v>
      </c>
      <c r="E334" s="72" t="s">
        <v>280</v>
      </c>
      <c r="F334" s="72" t="n">
        <v>2</v>
      </c>
      <c r="G334" s="73" t="n">
        <v>2.04</v>
      </c>
      <c r="H334" s="73" t="n">
        <f aca="false">G334*F334</f>
        <v>4.08</v>
      </c>
      <c r="I334" s="72" t="s">
        <v>349</v>
      </c>
    </row>
    <row r="335" customFormat="false" ht="14.25" hidden="false" customHeight="true" outlineLevel="0" collapsed="false">
      <c r="A335" s="72" t="s">
        <v>21</v>
      </c>
      <c r="B335" s="72" t="s">
        <v>282</v>
      </c>
      <c r="C335" s="72" t="s">
        <v>307</v>
      </c>
      <c r="D335" s="72" t="s">
        <v>186</v>
      </c>
      <c r="E335" s="72" t="s">
        <v>280</v>
      </c>
      <c r="F335" s="72" t="n">
        <v>1</v>
      </c>
      <c r="G335" s="73" t="n">
        <v>819.89</v>
      </c>
      <c r="H335" s="73" t="n">
        <f aca="false">G335*F335</f>
        <v>819.89</v>
      </c>
      <c r="I335" s="72" t="s">
        <v>313</v>
      </c>
    </row>
    <row r="336" customFormat="false" ht="14.25" hidden="false" customHeight="true" outlineLevel="0" collapsed="false">
      <c r="A336" s="72" t="s">
        <v>21</v>
      </c>
      <c r="B336" s="72" t="s">
        <v>290</v>
      </c>
      <c r="C336" s="72" t="s">
        <v>299</v>
      </c>
      <c r="D336" s="72" t="s">
        <v>241</v>
      </c>
      <c r="E336" s="72" t="s">
        <v>286</v>
      </c>
      <c r="F336" s="72" t="n">
        <v>1</v>
      </c>
      <c r="G336" s="73" t="n">
        <v>40478.87</v>
      </c>
      <c r="H336" s="73" t="n">
        <f aca="false">G336*F336</f>
        <v>40478.87</v>
      </c>
      <c r="I336" s="72" t="s">
        <v>364</v>
      </c>
    </row>
    <row r="337" customFormat="false" ht="14.25" hidden="false" customHeight="true" outlineLevel="0" collapsed="false">
      <c r="A337" s="72" t="s">
        <v>21</v>
      </c>
      <c r="B337" s="72" t="s">
        <v>290</v>
      </c>
      <c r="C337" s="72" t="s">
        <v>299</v>
      </c>
      <c r="D337" s="72" t="s">
        <v>301</v>
      </c>
      <c r="E337" s="72" t="s">
        <v>286</v>
      </c>
      <c r="F337" s="72" t="n">
        <v>1</v>
      </c>
      <c r="G337" s="73" t="n">
        <v>1854</v>
      </c>
      <c r="H337" s="73" t="n">
        <f aca="false">G337*F337</f>
        <v>1854</v>
      </c>
      <c r="I337" s="72" t="s">
        <v>362</v>
      </c>
    </row>
    <row r="338" customFormat="false" ht="14.25" hidden="false" customHeight="true" outlineLevel="0" collapsed="false">
      <c r="A338" s="72" t="s">
        <v>21</v>
      </c>
      <c r="B338" s="72" t="s">
        <v>290</v>
      </c>
      <c r="C338" s="72" t="s">
        <v>299</v>
      </c>
      <c r="D338" s="72" t="s">
        <v>166</v>
      </c>
      <c r="E338" s="72" t="s">
        <v>286</v>
      </c>
      <c r="F338" s="72" t="n">
        <v>20</v>
      </c>
      <c r="G338" s="73" t="n">
        <v>26</v>
      </c>
      <c r="H338" s="73" t="n">
        <f aca="false">G338*F338</f>
        <v>520</v>
      </c>
      <c r="I338" s="72" t="s">
        <v>349</v>
      </c>
    </row>
    <row r="339" customFormat="false" ht="14.25" hidden="false" customHeight="true" outlineLevel="0" collapsed="false">
      <c r="A339" s="72" t="s">
        <v>21</v>
      </c>
      <c r="B339" s="72" t="s">
        <v>290</v>
      </c>
      <c r="C339" s="72" t="s">
        <v>299</v>
      </c>
      <c r="D339" s="72" t="s">
        <v>165</v>
      </c>
      <c r="E339" s="72" t="s">
        <v>286</v>
      </c>
      <c r="F339" s="72" t="n">
        <v>20</v>
      </c>
      <c r="G339" s="73" t="n">
        <v>42.77</v>
      </c>
      <c r="H339" s="73" t="n">
        <f aca="false">G339*F339</f>
        <v>855.4</v>
      </c>
      <c r="I339" s="72" t="s">
        <v>349</v>
      </c>
    </row>
    <row r="340" customFormat="false" ht="14.25" hidden="false" customHeight="true" outlineLevel="0" collapsed="false">
      <c r="A340" s="72" t="s">
        <v>21</v>
      </c>
      <c r="B340" s="72" t="s">
        <v>290</v>
      </c>
      <c r="C340" s="72" t="s">
        <v>44</v>
      </c>
      <c r="D340" s="72" t="s">
        <v>167</v>
      </c>
      <c r="E340" s="72" t="s">
        <v>286</v>
      </c>
      <c r="F340" s="72" t="n">
        <v>20</v>
      </c>
      <c r="G340" s="73" t="n">
        <v>63.75</v>
      </c>
      <c r="H340" s="73" t="n">
        <f aca="false">G340*F340</f>
        <v>1275</v>
      </c>
      <c r="I340" s="72" t="s">
        <v>349</v>
      </c>
    </row>
    <row r="341" customFormat="false" ht="14.25" hidden="false" customHeight="true" outlineLevel="0" collapsed="false">
      <c r="A341" s="72" t="s">
        <v>21</v>
      </c>
      <c r="B341" s="72" t="s">
        <v>290</v>
      </c>
      <c r="C341" s="72" t="s">
        <v>306</v>
      </c>
      <c r="D341" s="72" t="s">
        <v>192</v>
      </c>
      <c r="E341" s="72" t="s">
        <v>286</v>
      </c>
      <c r="F341" s="72" t="n">
        <v>20</v>
      </c>
      <c r="G341" s="73" t="n">
        <v>30</v>
      </c>
      <c r="H341" s="73" t="n">
        <f aca="false">G341*F341</f>
        <v>600</v>
      </c>
      <c r="I341" s="72" t="s">
        <v>349</v>
      </c>
    </row>
    <row r="342" customFormat="false" ht="14.25" hidden="false" customHeight="true" outlineLevel="0" collapsed="false">
      <c r="A342" s="72" t="s">
        <v>21</v>
      </c>
      <c r="B342" s="72" t="s">
        <v>290</v>
      </c>
      <c r="C342" s="72" t="s">
        <v>304</v>
      </c>
      <c r="D342" s="72" t="s">
        <v>170</v>
      </c>
      <c r="E342" s="72" t="s">
        <v>286</v>
      </c>
      <c r="F342" s="72" t="n">
        <v>20</v>
      </c>
      <c r="G342" s="73" t="n">
        <v>9.85</v>
      </c>
      <c r="H342" s="73" t="n">
        <f aca="false">G342*F342</f>
        <v>197</v>
      </c>
      <c r="I342" s="72" t="s">
        <v>349</v>
      </c>
    </row>
    <row r="343" customFormat="false" ht="14.25" hidden="false" customHeight="true" outlineLevel="0" collapsed="false">
      <c r="A343" s="72" t="s">
        <v>21</v>
      </c>
      <c r="B343" s="72" t="s">
        <v>290</v>
      </c>
      <c r="C343" s="72" t="s">
        <v>304</v>
      </c>
      <c r="D343" s="72" t="s">
        <v>173</v>
      </c>
      <c r="E343" s="72" t="s">
        <v>286</v>
      </c>
      <c r="F343" s="72" t="n">
        <v>20</v>
      </c>
      <c r="G343" s="73" t="n">
        <v>2.04</v>
      </c>
      <c r="H343" s="73" t="n">
        <f aca="false">G343*F343</f>
        <v>40.8</v>
      </c>
      <c r="I343" s="72" t="s">
        <v>349</v>
      </c>
    </row>
    <row r="344" customFormat="false" ht="14.25" hidden="false" customHeight="true" outlineLevel="0" collapsed="false">
      <c r="A344" s="72" t="s">
        <v>21</v>
      </c>
      <c r="B344" s="72" t="s">
        <v>290</v>
      </c>
      <c r="C344" s="72" t="s">
        <v>307</v>
      </c>
      <c r="D344" s="72" t="s">
        <v>186</v>
      </c>
      <c r="E344" s="72" t="s">
        <v>286</v>
      </c>
      <c r="F344" s="72" t="n">
        <v>1</v>
      </c>
      <c r="G344" s="73" t="n">
        <v>8955.16</v>
      </c>
      <c r="H344" s="73" t="n">
        <f aca="false">G344*F344</f>
        <v>8955.16</v>
      </c>
      <c r="I344" s="72" t="s">
        <v>313</v>
      </c>
    </row>
    <row r="345" customFormat="false" ht="14.25" hidden="false" customHeight="true" outlineLevel="0" collapsed="false">
      <c r="A345" s="72" t="s">
        <v>21</v>
      </c>
      <c r="B345" s="72" t="s">
        <v>290</v>
      </c>
      <c r="C345" s="72" t="s">
        <v>299</v>
      </c>
      <c r="D345" s="72" t="s">
        <v>333</v>
      </c>
      <c r="E345" s="72" t="s">
        <v>286</v>
      </c>
      <c r="F345" s="72" t="n">
        <v>1</v>
      </c>
      <c r="G345" s="73" t="n">
        <v>14147.43</v>
      </c>
      <c r="H345" s="73" t="n">
        <f aca="false">G345*F345</f>
        <v>14147.43</v>
      </c>
      <c r="I345" s="72" t="s">
        <v>351</v>
      </c>
    </row>
    <row r="346" customFormat="false" ht="14.25" hidden="false" customHeight="true" outlineLevel="0" collapsed="false">
      <c r="A346" s="72" t="s">
        <v>21</v>
      </c>
      <c r="B346" s="72" t="s">
        <v>285</v>
      </c>
      <c r="C346" s="72" t="s">
        <v>299</v>
      </c>
      <c r="D346" s="72" t="s">
        <v>241</v>
      </c>
      <c r="E346" s="72" t="s">
        <v>283</v>
      </c>
      <c r="F346" s="72" t="n">
        <v>1</v>
      </c>
      <c r="G346" s="73" t="n">
        <v>12642.93</v>
      </c>
      <c r="H346" s="73" t="n">
        <f aca="false">G346*F346</f>
        <v>12642.93</v>
      </c>
      <c r="I346" s="72" t="s">
        <v>365</v>
      </c>
    </row>
    <row r="347" customFormat="false" ht="14.25" hidden="false" customHeight="true" outlineLevel="0" collapsed="false">
      <c r="A347" s="72" t="s">
        <v>21</v>
      </c>
      <c r="B347" s="72" t="s">
        <v>285</v>
      </c>
      <c r="C347" s="72" t="s">
        <v>299</v>
      </c>
      <c r="D347" s="72" t="s">
        <v>166</v>
      </c>
      <c r="E347" s="72" t="s">
        <v>283</v>
      </c>
      <c r="F347" s="72" t="n">
        <v>5</v>
      </c>
      <c r="G347" s="73" t="n">
        <v>26</v>
      </c>
      <c r="H347" s="73" t="n">
        <f aca="false">G347*F347</f>
        <v>130</v>
      </c>
      <c r="I347" s="72" t="s">
        <v>349</v>
      </c>
    </row>
    <row r="348" customFormat="false" ht="14.25" hidden="false" customHeight="true" outlineLevel="0" collapsed="false">
      <c r="A348" s="72" t="s">
        <v>21</v>
      </c>
      <c r="B348" s="72" t="s">
        <v>285</v>
      </c>
      <c r="C348" s="72" t="s">
        <v>299</v>
      </c>
      <c r="D348" s="72" t="s">
        <v>165</v>
      </c>
      <c r="E348" s="72" t="s">
        <v>283</v>
      </c>
      <c r="F348" s="72" t="n">
        <v>5</v>
      </c>
      <c r="G348" s="73" t="n">
        <v>42.77</v>
      </c>
      <c r="H348" s="73" t="n">
        <f aca="false">G348*F348</f>
        <v>213.85</v>
      </c>
      <c r="I348" s="72" t="s">
        <v>349</v>
      </c>
    </row>
    <row r="349" customFormat="false" ht="15" hidden="false" customHeight="true" outlineLevel="0" collapsed="false">
      <c r="A349" s="72" t="s">
        <v>21</v>
      </c>
      <c r="B349" s="72" t="s">
        <v>285</v>
      </c>
      <c r="C349" s="72" t="s">
        <v>44</v>
      </c>
      <c r="D349" s="72" t="s">
        <v>167</v>
      </c>
      <c r="E349" s="72" t="s">
        <v>283</v>
      </c>
      <c r="F349" s="72" t="n">
        <v>5</v>
      </c>
      <c r="G349" s="73" t="n">
        <v>63.75</v>
      </c>
      <c r="H349" s="73" t="n">
        <f aca="false">G349*F349</f>
        <v>318.75</v>
      </c>
      <c r="I349" s="72" t="s">
        <v>349</v>
      </c>
    </row>
    <row r="350" customFormat="false" ht="14.25" hidden="false" customHeight="true" outlineLevel="0" collapsed="false">
      <c r="A350" s="72" t="s">
        <v>21</v>
      </c>
      <c r="B350" s="72" t="s">
        <v>285</v>
      </c>
      <c r="C350" s="72" t="s">
        <v>306</v>
      </c>
      <c r="D350" s="72" t="s">
        <v>192</v>
      </c>
      <c r="E350" s="72" t="s">
        <v>283</v>
      </c>
      <c r="F350" s="72" t="n">
        <v>5</v>
      </c>
      <c r="G350" s="73" t="n">
        <v>30</v>
      </c>
      <c r="H350" s="73" t="n">
        <f aca="false">G350*F350</f>
        <v>150</v>
      </c>
      <c r="I350" s="72" t="s">
        <v>349</v>
      </c>
    </row>
    <row r="351" customFormat="false" ht="14.25" hidden="false" customHeight="true" outlineLevel="0" collapsed="false">
      <c r="A351" s="72" t="s">
        <v>21</v>
      </c>
      <c r="B351" s="72" t="s">
        <v>285</v>
      </c>
      <c r="C351" s="72" t="s">
        <v>304</v>
      </c>
      <c r="D351" s="72" t="s">
        <v>170</v>
      </c>
      <c r="E351" s="72" t="s">
        <v>283</v>
      </c>
      <c r="F351" s="72" t="n">
        <v>5</v>
      </c>
      <c r="G351" s="73" t="n">
        <v>9.85</v>
      </c>
      <c r="H351" s="73" t="n">
        <f aca="false">G351*F351</f>
        <v>49.25</v>
      </c>
      <c r="I351" s="72" t="s">
        <v>349</v>
      </c>
    </row>
    <row r="352" customFormat="false" ht="14.25" hidden="false" customHeight="true" outlineLevel="0" collapsed="false">
      <c r="A352" s="72" t="s">
        <v>21</v>
      </c>
      <c r="B352" s="72" t="s">
        <v>285</v>
      </c>
      <c r="C352" s="72" t="s">
        <v>304</v>
      </c>
      <c r="D352" s="72" t="s">
        <v>173</v>
      </c>
      <c r="E352" s="72" t="s">
        <v>283</v>
      </c>
      <c r="F352" s="72" t="n">
        <v>5</v>
      </c>
      <c r="G352" s="73" t="n">
        <v>2.04</v>
      </c>
      <c r="H352" s="73" t="n">
        <f aca="false">G352*F352</f>
        <v>10.2</v>
      </c>
      <c r="I352" s="72" t="s">
        <v>349</v>
      </c>
    </row>
    <row r="353" customFormat="false" ht="14.25" hidden="false" customHeight="true" outlineLevel="0" collapsed="false">
      <c r="A353" s="72" t="s">
        <v>21</v>
      </c>
      <c r="B353" s="72" t="s">
        <v>285</v>
      </c>
      <c r="C353" s="72" t="s">
        <v>307</v>
      </c>
      <c r="D353" s="72" t="s">
        <v>186</v>
      </c>
      <c r="E353" s="72" t="s">
        <v>283</v>
      </c>
      <c r="F353" s="72" t="n">
        <v>1</v>
      </c>
      <c r="G353" s="73" t="n">
        <v>685.08</v>
      </c>
      <c r="H353" s="73" t="n">
        <f aca="false">G353*F353</f>
        <v>685.08</v>
      </c>
      <c r="I353" s="72" t="s">
        <v>313</v>
      </c>
    </row>
    <row r="354" customFormat="false" ht="14.25" hidden="false" customHeight="true" outlineLevel="0" collapsed="false">
      <c r="A354" s="1" t="s">
        <v>20</v>
      </c>
      <c r="B354" s="1" t="s">
        <v>275</v>
      </c>
      <c r="C354" s="1" t="s">
        <v>299</v>
      </c>
      <c r="D354" s="1" t="s">
        <v>366</v>
      </c>
      <c r="E354" s="1" t="s">
        <v>283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367</v>
      </c>
    </row>
    <row r="355" customFormat="false" ht="15" hidden="false" customHeight="true" outlineLevel="0" collapsed="false">
      <c r="A355" s="1" t="s">
        <v>20</v>
      </c>
      <c r="B355" s="1" t="s">
        <v>275</v>
      </c>
      <c r="C355" s="1" t="s">
        <v>307</v>
      </c>
      <c r="D355" s="1" t="s">
        <v>368</v>
      </c>
      <c r="E355" s="1" t="s">
        <v>283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369</v>
      </c>
    </row>
    <row r="356" customFormat="false" ht="14.25" hidden="false" customHeight="true" outlineLevel="0" collapsed="false">
      <c r="A356" s="1" t="s">
        <v>11</v>
      </c>
      <c r="B356" s="1" t="s">
        <v>275</v>
      </c>
      <c r="C356" s="1" t="s">
        <v>299</v>
      </c>
      <c r="D356" s="1" t="s">
        <v>366</v>
      </c>
      <c r="E356" s="1" t="s">
        <v>283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367</v>
      </c>
    </row>
    <row r="357" customFormat="false" ht="14.25" hidden="false" customHeight="true" outlineLevel="0" collapsed="false">
      <c r="A357" s="1" t="s">
        <v>11</v>
      </c>
      <c r="B357" s="1" t="s">
        <v>275</v>
      </c>
      <c r="C357" s="1" t="s">
        <v>307</v>
      </c>
      <c r="D357" s="1" t="s">
        <v>368</v>
      </c>
      <c r="E357" s="1" t="s">
        <v>283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369</v>
      </c>
    </row>
    <row r="358" customFormat="false" ht="14.25" hidden="false" customHeight="true" outlineLevel="0" collapsed="false">
      <c r="A358" s="1" t="s">
        <v>21</v>
      </c>
      <c r="B358" s="1" t="s">
        <v>275</v>
      </c>
      <c r="C358" s="1" t="s">
        <v>299</v>
      </c>
      <c r="D358" s="1" t="s">
        <v>366</v>
      </c>
      <c r="E358" s="1" t="s">
        <v>283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367</v>
      </c>
    </row>
    <row r="359" customFormat="false" ht="14.25" hidden="false" customHeight="true" outlineLevel="0" collapsed="false">
      <c r="A359" s="1" t="s">
        <v>21</v>
      </c>
      <c r="B359" s="1" t="s">
        <v>275</v>
      </c>
      <c r="C359" s="1" t="s">
        <v>307</v>
      </c>
      <c r="D359" s="1" t="s">
        <v>368</v>
      </c>
      <c r="E359" s="1" t="s">
        <v>283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369</v>
      </c>
    </row>
    <row r="360" customFormat="false" ht="14.25" hidden="false" customHeight="true" outlineLevel="0" collapsed="false">
      <c r="A360" s="1" t="s">
        <v>20</v>
      </c>
      <c r="B360" s="1" t="s">
        <v>275</v>
      </c>
      <c r="C360" s="1" t="s">
        <v>299</v>
      </c>
      <c r="D360" s="1" t="s">
        <v>370</v>
      </c>
      <c r="E360" s="1" t="s">
        <v>274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367</v>
      </c>
    </row>
    <row r="361" customFormat="false" ht="14.25" hidden="false" customHeight="true" outlineLevel="0" collapsed="false">
      <c r="A361" s="1" t="s">
        <v>20</v>
      </c>
      <c r="B361" s="1" t="s">
        <v>275</v>
      </c>
      <c r="C361" s="1" t="s">
        <v>307</v>
      </c>
      <c r="D361" s="1" t="s">
        <v>371</v>
      </c>
      <c r="E361" s="1" t="s">
        <v>274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369</v>
      </c>
    </row>
    <row r="362" customFormat="false" ht="14.25" hidden="false" customHeight="true" outlineLevel="0" collapsed="false">
      <c r="A362" s="1" t="s">
        <v>11</v>
      </c>
      <c r="B362" s="1" t="s">
        <v>275</v>
      </c>
      <c r="C362" s="1" t="s">
        <v>299</v>
      </c>
      <c r="D362" s="1" t="s">
        <v>370</v>
      </c>
      <c r="E362" s="1" t="s">
        <v>274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367</v>
      </c>
    </row>
    <row r="363" customFormat="false" ht="14.25" hidden="false" customHeight="true" outlineLevel="0" collapsed="false">
      <c r="A363" s="1" t="s">
        <v>11</v>
      </c>
      <c r="B363" s="1" t="s">
        <v>275</v>
      </c>
      <c r="C363" s="1" t="s">
        <v>307</v>
      </c>
      <c r="D363" s="1" t="s">
        <v>371</v>
      </c>
      <c r="E363" s="1" t="s">
        <v>274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369</v>
      </c>
    </row>
    <row r="364" customFormat="false" ht="14.25" hidden="false" customHeight="true" outlineLevel="0" collapsed="false">
      <c r="A364" s="1" t="s">
        <v>21</v>
      </c>
      <c r="B364" s="1" t="s">
        <v>275</v>
      </c>
      <c r="C364" s="1" t="s">
        <v>299</v>
      </c>
      <c r="D364" s="1" t="s">
        <v>370</v>
      </c>
      <c r="E364" s="1" t="s">
        <v>274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367</v>
      </c>
    </row>
    <row r="365" customFormat="false" ht="14.25" hidden="false" customHeight="true" outlineLevel="0" collapsed="false">
      <c r="A365" s="1" t="s">
        <v>21</v>
      </c>
      <c r="B365" s="1" t="s">
        <v>275</v>
      </c>
      <c r="C365" s="1" t="s">
        <v>307</v>
      </c>
      <c r="D365" s="1" t="s">
        <v>371</v>
      </c>
      <c r="E365" s="1" t="s">
        <v>274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369</v>
      </c>
    </row>
    <row r="366" customFormat="false" ht="14.25" hidden="false" customHeight="true" outlineLevel="0" collapsed="false">
      <c r="A366" s="1" t="s">
        <v>20</v>
      </c>
      <c r="B366" s="1" t="s">
        <v>275</v>
      </c>
      <c r="C366" s="1" t="s">
        <v>299</v>
      </c>
      <c r="D366" s="1" t="s">
        <v>372</v>
      </c>
      <c r="E366" s="1" t="s">
        <v>274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367</v>
      </c>
    </row>
    <row r="367" customFormat="false" ht="14.25" hidden="false" customHeight="true" outlineLevel="0" collapsed="false">
      <c r="A367" s="1" t="s">
        <v>20</v>
      </c>
      <c r="B367" s="1" t="s">
        <v>275</v>
      </c>
      <c r="C367" s="1" t="s">
        <v>307</v>
      </c>
      <c r="D367" s="1" t="s">
        <v>373</v>
      </c>
      <c r="E367" s="1" t="s">
        <v>274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369</v>
      </c>
    </row>
    <row r="368" customFormat="false" ht="14.25" hidden="false" customHeight="true" outlineLevel="0" collapsed="false">
      <c r="A368" s="1" t="s">
        <v>11</v>
      </c>
      <c r="B368" s="1" t="s">
        <v>275</v>
      </c>
      <c r="C368" s="1" t="s">
        <v>299</v>
      </c>
      <c r="D368" s="1" t="s">
        <v>372</v>
      </c>
      <c r="E368" s="1" t="s">
        <v>274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367</v>
      </c>
    </row>
    <row r="369" customFormat="false" ht="14.25" hidden="false" customHeight="true" outlineLevel="0" collapsed="false">
      <c r="A369" s="1" t="s">
        <v>11</v>
      </c>
      <c r="B369" s="1" t="s">
        <v>275</v>
      </c>
      <c r="C369" s="1" t="s">
        <v>307</v>
      </c>
      <c r="D369" s="1" t="s">
        <v>373</v>
      </c>
      <c r="E369" s="1" t="s">
        <v>274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369</v>
      </c>
    </row>
    <row r="370" customFormat="false" ht="14.25" hidden="false" customHeight="true" outlineLevel="0" collapsed="false">
      <c r="A370" s="1" t="s">
        <v>21</v>
      </c>
      <c r="B370" s="1" t="s">
        <v>275</v>
      </c>
      <c r="C370" s="1" t="s">
        <v>299</v>
      </c>
      <c r="D370" s="1" t="s">
        <v>372</v>
      </c>
      <c r="E370" s="1" t="s">
        <v>274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367</v>
      </c>
    </row>
    <row r="371" customFormat="false" ht="14.25" hidden="false" customHeight="true" outlineLevel="0" collapsed="false">
      <c r="A371" s="1" t="s">
        <v>21</v>
      </c>
      <c r="B371" s="1" t="s">
        <v>275</v>
      </c>
      <c r="C371" s="1" t="s">
        <v>307</v>
      </c>
      <c r="D371" s="1" t="s">
        <v>373</v>
      </c>
      <c r="E371" s="1" t="s">
        <v>274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369</v>
      </c>
    </row>
    <row r="372" customFormat="false" ht="14.25" hidden="false" customHeight="true" outlineLevel="0" collapsed="false">
      <c r="A372" s="1" t="s">
        <v>20</v>
      </c>
      <c r="B372" s="1" t="s">
        <v>275</v>
      </c>
      <c r="C372" s="1" t="s">
        <v>299</v>
      </c>
      <c r="D372" s="1" t="s">
        <v>374</v>
      </c>
      <c r="E372" s="1" t="s">
        <v>274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367</v>
      </c>
    </row>
    <row r="373" customFormat="false" ht="14.25" hidden="false" customHeight="true" outlineLevel="0" collapsed="false">
      <c r="A373" s="1" t="s">
        <v>20</v>
      </c>
      <c r="B373" s="1" t="s">
        <v>275</v>
      </c>
      <c r="C373" s="1" t="s">
        <v>307</v>
      </c>
      <c r="D373" s="1" t="s">
        <v>375</v>
      </c>
      <c r="E373" s="1" t="s">
        <v>274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376</v>
      </c>
    </row>
    <row r="374" customFormat="false" ht="14.25" hidden="false" customHeight="true" outlineLevel="0" collapsed="false">
      <c r="A374" s="1" t="s">
        <v>11</v>
      </c>
      <c r="B374" s="1" t="s">
        <v>275</v>
      </c>
      <c r="C374" s="1" t="s">
        <v>299</v>
      </c>
      <c r="D374" s="1" t="s">
        <v>374</v>
      </c>
      <c r="E374" s="1" t="s">
        <v>274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367</v>
      </c>
    </row>
    <row r="375" customFormat="false" ht="14.25" hidden="false" customHeight="true" outlineLevel="0" collapsed="false">
      <c r="A375" s="1" t="s">
        <v>11</v>
      </c>
      <c r="B375" s="1" t="s">
        <v>275</v>
      </c>
      <c r="C375" s="1" t="s">
        <v>307</v>
      </c>
      <c r="D375" s="1" t="s">
        <v>375</v>
      </c>
      <c r="E375" s="1" t="s">
        <v>274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376</v>
      </c>
    </row>
    <row r="376" customFormat="false" ht="14.25" hidden="false" customHeight="true" outlineLevel="0" collapsed="false">
      <c r="A376" s="1" t="s">
        <v>21</v>
      </c>
      <c r="B376" s="1" t="s">
        <v>275</v>
      </c>
      <c r="C376" s="1" t="s">
        <v>299</v>
      </c>
      <c r="D376" s="1" t="s">
        <v>374</v>
      </c>
      <c r="E376" s="1" t="s">
        <v>274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367</v>
      </c>
    </row>
    <row r="377" customFormat="false" ht="14.25" hidden="false" customHeight="true" outlineLevel="0" collapsed="false">
      <c r="A377" s="1" t="s">
        <v>21</v>
      </c>
      <c r="B377" s="1" t="s">
        <v>275</v>
      </c>
      <c r="C377" s="1" t="s">
        <v>307</v>
      </c>
      <c r="D377" s="1" t="s">
        <v>375</v>
      </c>
      <c r="E377" s="1" t="s">
        <v>274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376</v>
      </c>
    </row>
    <row r="378" customFormat="false" ht="14.25" hidden="false" customHeight="true" outlineLevel="0" collapsed="false">
      <c r="A378" s="1" t="s">
        <v>20</v>
      </c>
      <c r="B378" s="1" t="s">
        <v>275</v>
      </c>
      <c r="C378" s="1" t="s">
        <v>299</v>
      </c>
      <c r="D378" s="1" t="s">
        <v>377</v>
      </c>
      <c r="E378" s="1" t="s">
        <v>280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367</v>
      </c>
    </row>
    <row r="379" customFormat="false" ht="14.25" hidden="false" customHeight="true" outlineLevel="0" collapsed="false">
      <c r="A379" s="1" t="s">
        <v>20</v>
      </c>
      <c r="B379" s="1" t="s">
        <v>275</v>
      </c>
      <c r="C379" s="1" t="s">
        <v>307</v>
      </c>
      <c r="D379" s="1" t="s">
        <v>378</v>
      </c>
      <c r="E379" s="1" t="s">
        <v>280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369</v>
      </c>
    </row>
    <row r="380" customFormat="false" ht="14.25" hidden="false" customHeight="true" outlineLevel="0" collapsed="false">
      <c r="A380" s="1" t="s">
        <v>11</v>
      </c>
      <c r="B380" s="1" t="s">
        <v>275</v>
      </c>
      <c r="C380" s="1" t="s">
        <v>299</v>
      </c>
      <c r="D380" s="1" t="s">
        <v>377</v>
      </c>
      <c r="E380" s="1" t="s">
        <v>280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367</v>
      </c>
    </row>
    <row r="381" customFormat="false" ht="14.25" hidden="false" customHeight="true" outlineLevel="0" collapsed="false">
      <c r="A381" s="1" t="s">
        <v>11</v>
      </c>
      <c r="B381" s="1" t="s">
        <v>275</v>
      </c>
      <c r="C381" s="1" t="s">
        <v>307</v>
      </c>
      <c r="D381" s="1" t="s">
        <v>378</v>
      </c>
      <c r="E381" s="1" t="s">
        <v>280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369</v>
      </c>
    </row>
    <row r="382" customFormat="false" ht="14.25" hidden="false" customHeight="true" outlineLevel="0" collapsed="false">
      <c r="A382" s="1" t="s">
        <v>21</v>
      </c>
      <c r="B382" s="1" t="s">
        <v>275</v>
      </c>
      <c r="C382" s="1" t="s">
        <v>299</v>
      </c>
      <c r="D382" s="1" t="s">
        <v>377</v>
      </c>
      <c r="E382" s="1" t="s">
        <v>280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367</v>
      </c>
    </row>
    <row r="383" customFormat="false" ht="15" hidden="false" customHeight="true" outlineLevel="0" collapsed="false">
      <c r="A383" s="1" t="s">
        <v>21</v>
      </c>
      <c r="B383" s="1" t="s">
        <v>275</v>
      </c>
      <c r="C383" s="1" t="s">
        <v>307</v>
      </c>
      <c r="D383" s="1" t="s">
        <v>378</v>
      </c>
      <c r="E383" s="1" t="s">
        <v>280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369</v>
      </c>
    </row>
    <row r="384" customFormat="false" ht="14.25" hidden="false" customHeight="true" outlineLevel="0" collapsed="false">
      <c r="A384" s="1" t="s">
        <v>20</v>
      </c>
      <c r="B384" s="1" t="s">
        <v>287</v>
      </c>
      <c r="C384" s="1" t="s">
        <v>299</v>
      </c>
      <c r="D384" s="1" t="s">
        <v>379</v>
      </c>
      <c r="E384" s="1" t="s">
        <v>286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380</v>
      </c>
    </row>
    <row r="385" customFormat="false" ht="14.25" hidden="false" customHeight="true" outlineLevel="0" collapsed="false">
      <c r="A385" s="1" t="s">
        <v>20</v>
      </c>
      <c r="B385" s="1" t="s">
        <v>287</v>
      </c>
      <c r="C385" s="1" t="s">
        <v>307</v>
      </c>
      <c r="D385" s="1" t="s">
        <v>381</v>
      </c>
      <c r="E385" s="1" t="s">
        <v>286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376</v>
      </c>
    </row>
    <row r="386" customFormat="false" ht="14.25" hidden="false" customHeight="true" outlineLevel="0" collapsed="false">
      <c r="A386" s="1" t="s">
        <v>11</v>
      </c>
      <c r="B386" s="1" t="s">
        <v>287</v>
      </c>
      <c r="C386" s="1" t="s">
        <v>299</v>
      </c>
      <c r="D386" s="1" t="s">
        <v>379</v>
      </c>
      <c r="E386" s="1" t="s">
        <v>286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380</v>
      </c>
    </row>
    <row r="387" customFormat="false" ht="14.25" hidden="false" customHeight="true" outlineLevel="0" collapsed="false">
      <c r="A387" s="1" t="s">
        <v>11</v>
      </c>
      <c r="B387" s="1" t="s">
        <v>287</v>
      </c>
      <c r="C387" s="1" t="s">
        <v>307</v>
      </c>
      <c r="D387" s="1" t="s">
        <v>381</v>
      </c>
      <c r="E387" s="1" t="s">
        <v>286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376</v>
      </c>
    </row>
    <row r="388" customFormat="false" ht="14.25" hidden="false" customHeight="true" outlineLevel="0" collapsed="false">
      <c r="A388" s="1" t="s">
        <v>21</v>
      </c>
      <c r="B388" s="1" t="s">
        <v>287</v>
      </c>
      <c r="C388" s="1" t="s">
        <v>299</v>
      </c>
      <c r="D388" s="1" t="s">
        <v>379</v>
      </c>
      <c r="E388" s="1" t="s">
        <v>286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380</v>
      </c>
    </row>
    <row r="389" customFormat="false" ht="14.25" hidden="false" customHeight="true" outlineLevel="0" collapsed="false">
      <c r="A389" s="1" t="s">
        <v>21</v>
      </c>
      <c r="B389" s="1" t="s">
        <v>287</v>
      </c>
      <c r="C389" s="1" t="s">
        <v>307</v>
      </c>
      <c r="D389" s="1" t="s">
        <v>381</v>
      </c>
      <c r="E389" s="1" t="s">
        <v>286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376</v>
      </c>
    </row>
    <row r="390" customFormat="false" ht="14.25" hidden="false" customHeight="true" outlineLevel="0" collapsed="false">
      <c r="A390" s="1" t="s">
        <v>88</v>
      </c>
      <c r="B390" s="1" t="s">
        <v>275</v>
      </c>
      <c r="C390" s="1" t="s">
        <v>299</v>
      </c>
      <c r="D390" s="1" t="s">
        <v>241</v>
      </c>
      <c r="E390" s="1" t="s">
        <v>274</v>
      </c>
      <c r="F390" s="1" t="n">
        <v>1</v>
      </c>
      <c r="G390" s="1" t="n">
        <v>227187.99</v>
      </c>
      <c r="H390" s="1" t="n">
        <f aca="false">F390*G390</f>
        <v>227187.99</v>
      </c>
      <c r="I390" s="1" t="s">
        <v>382</v>
      </c>
    </row>
    <row r="391" customFormat="false" ht="14.25" hidden="false" customHeight="true" outlineLevel="0" collapsed="false">
      <c r="A391" s="1" t="s">
        <v>88</v>
      </c>
      <c r="B391" s="1" t="s">
        <v>275</v>
      </c>
      <c r="C391" s="1" t="s">
        <v>299</v>
      </c>
      <c r="D391" s="1" t="s">
        <v>370</v>
      </c>
      <c r="E391" s="1" t="s">
        <v>274</v>
      </c>
      <c r="F391" s="1" t="n">
        <v>1</v>
      </c>
      <c r="G391" s="1" t="n">
        <v>9185.57</v>
      </c>
      <c r="H391" s="1" t="n">
        <f aca="false">F391*G391</f>
        <v>9185.57</v>
      </c>
      <c r="I391" s="1" t="s">
        <v>383</v>
      </c>
    </row>
    <row r="392" customFormat="false" ht="14.25" hidden="false" customHeight="true" outlineLevel="0" collapsed="false">
      <c r="A392" s="1" t="s">
        <v>88</v>
      </c>
      <c r="B392" s="1" t="s">
        <v>275</v>
      </c>
      <c r="C392" s="1" t="s">
        <v>299</v>
      </c>
      <c r="D392" s="1" t="s">
        <v>372</v>
      </c>
      <c r="E392" s="1" t="s">
        <v>274</v>
      </c>
      <c r="F392" s="1" t="n">
        <v>1</v>
      </c>
      <c r="G392" s="1" t="n">
        <v>9140.36</v>
      </c>
      <c r="H392" s="1" t="n">
        <f aca="false">F392*G392</f>
        <v>9140.36</v>
      </c>
      <c r="I392" s="1" t="s">
        <v>383</v>
      </c>
    </row>
    <row r="393" customFormat="false" ht="14.25" hidden="false" customHeight="true" outlineLevel="0" collapsed="false">
      <c r="A393" s="1" t="s">
        <v>88</v>
      </c>
      <c r="B393" s="1" t="s">
        <v>275</v>
      </c>
      <c r="C393" s="1" t="s">
        <v>299</v>
      </c>
      <c r="D393" s="1" t="s">
        <v>374</v>
      </c>
      <c r="E393" s="1" t="s">
        <v>274</v>
      </c>
      <c r="F393" s="1" t="n">
        <v>1</v>
      </c>
      <c r="G393" s="1" t="n">
        <v>6756.78</v>
      </c>
      <c r="H393" s="1" t="n">
        <f aca="false">F393*G393</f>
        <v>6756.78</v>
      </c>
      <c r="I393" s="1" t="s">
        <v>383</v>
      </c>
    </row>
    <row r="394" customFormat="false" ht="14.25" hidden="false" customHeight="true" outlineLevel="0" collapsed="false">
      <c r="A394" s="1" t="s">
        <v>88</v>
      </c>
      <c r="B394" s="1" t="s">
        <v>275</v>
      </c>
      <c r="C394" s="1" t="s">
        <v>299</v>
      </c>
      <c r="D394" s="1" t="s">
        <v>301</v>
      </c>
      <c r="E394" s="1" t="s">
        <v>274</v>
      </c>
      <c r="F394" s="1" t="n">
        <v>1</v>
      </c>
      <c r="G394" s="1" t="n">
        <v>653.68</v>
      </c>
      <c r="H394" s="1" t="n">
        <f aca="false">F394*G394</f>
        <v>653.68</v>
      </c>
      <c r="I394" s="1" t="s">
        <v>384</v>
      </c>
    </row>
    <row r="395" customFormat="false" ht="14.25" hidden="false" customHeight="true" outlineLevel="0" collapsed="false">
      <c r="A395" s="1" t="s">
        <v>88</v>
      </c>
      <c r="B395" s="1" t="s">
        <v>275</v>
      </c>
      <c r="C395" s="1" t="s">
        <v>299</v>
      </c>
      <c r="D395" s="1" t="s">
        <v>166</v>
      </c>
      <c r="E395" s="1" t="s">
        <v>274</v>
      </c>
      <c r="F395" s="1" t="n">
        <v>46</v>
      </c>
      <c r="G395" s="1" t="n">
        <v>29.7419</v>
      </c>
      <c r="H395" s="1" t="n">
        <f aca="false">F395*G395</f>
        <v>1368.1274</v>
      </c>
      <c r="I395" s="1" t="s">
        <v>385</v>
      </c>
    </row>
    <row r="396" customFormat="false" ht="14.25" hidden="false" customHeight="true" outlineLevel="0" collapsed="false">
      <c r="A396" s="1" t="s">
        <v>88</v>
      </c>
      <c r="B396" s="1" t="s">
        <v>275</v>
      </c>
      <c r="C396" s="1" t="s">
        <v>299</v>
      </c>
      <c r="D396" s="1" t="s">
        <v>165</v>
      </c>
      <c r="E396" s="1" t="s">
        <v>274</v>
      </c>
      <c r="F396" s="1" t="n">
        <v>46</v>
      </c>
      <c r="G396" s="1" t="n">
        <v>43.5409</v>
      </c>
      <c r="H396" s="1" t="n">
        <f aca="false">F396*G396</f>
        <v>2002.8814</v>
      </c>
      <c r="I396" s="1" t="s">
        <v>385</v>
      </c>
    </row>
    <row r="397" customFormat="false" ht="14.25" hidden="false" customHeight="true" outlineLevel="0" collapsed="false">
      <c r="A397" s="1" t="s">
        <v>88</v>
      </c>
      <c r="B397" s="1" t="s">
        <v>275</v>
      </c>
      <c r="C397" s="1" t="s">
        <v>44</v>
      </c>
      <c r="D397" s="1" t="s">
        <v>167</v>
      </c>
      <c r="E397" s="1" t="s">
        <v>274</v>
      </c>
      <c r="F397" s="1" t="n">
        <v>46</v>
      </c>
      <c r="G397" s="1" t="n">
        <v>47.6587</v>
      </c>
      <c r="H397" s="1" t="n">
        <f aca="false">F397*G397</f>
        <v>2192.3002</v>
      </c>
      <c r="I397" s="1" t="s">
        <v>385</v>
      </c>
    </row>
    <row r="398" customFormat="false" ht="14.25" hidden="false" customHeight="true" outlineLevel="0" collapsed="false">
      <c r="A398" s="1" t="s">
        <v>88</v>
      </c>
      <c r="B398" s="1" t="s">
        <v>275</v>
      </c>
      <c r="C398" s="1" t="s">
        <v>44</v>
      </c>
      <c r="D398" s="1" t="s">
        <v>240</v>
      </c>
      <c r="E398" s="1" t="s">
        <v>274</v>
      </c>
      <c r="F398" s="1" t="n">
        <v>1</v>
      </c>
      <c r="G398" s="1" t="n">
        <v>41.82</v>
      </c>
      <c r="H398" s="1" t="n">
        <f aca="false">F398*G398</f>
        <v>41.82</v>
      </c>
      <c r="I398" s="1" t="s">
        <v>386</v>
      </c>
    </row>
    <row r="399" customFormat="false" ht="14.25" hidden="false" customHeight="true" outlineLevel="0" collapsed="false">
      <c r="A399" s="1" t="s">
        <v>88</v>
      </c>
      <c r="B399" s="1" t="s">
        <v>275</v>
      </c>
      <c r="C399" s="1" t="s">
        <v>305</v>
      </c>
      <c r="D399" s="1" t="s">
        <v>194</v>
      </c>
      <c r="E399" s="1" t="s">
        <v>274</v>
      </c>
      <c r="F399" s="1" t="n">
        <v>1</v>
      </c>
      <c r="G399" s="1" t="n">
        <v>380.08</v>
      </c>
      <c r="H399" s="1" t="n">
        <f aca="false">F399*G399</f>
        <v>380.08</v>
      </c>
      <c r="I399" s="1" t="s">
        <v>386</v>
      </c>
    </row>
    <row r="400" customFormat="false" ht="14.25" hidden="false" customHeight="true" outlineLevel="0" collapsed="false">
      <c r="A400" s="1" t="s">
        <v>88</v>
      </c>
      <c r="B400" s="1" t="s">
        <v>275</v>
      </c>
      <c r="C400" s="1" t="s">
        <v>305</v>
      </c>
      <c r="D400" s="1" t="s">
        <v>198</v>
      </c>
      <c r="E400" s="1" t="s">
        <v>274</v>
      </c>
      <c r="F400" s="1" t="n">
        <v>1</v>
      </c>
      <c r="G400" s="1" t="n">
        <v>29.74</v>
      </c>
      <c r="H400" s="1" t="n">
        <f aca="false">F400*G400</f>
        <v>29.74</v>
      </c>
      <c r="I400" s="1" t="s">
        <v>386</v>
      </c>
    </row>
    <row r="401" customFormat="false" ht="14.25" hidden="false" customHeight="true" outlineLevel="0" collapsed="false">
      <c r="A401" s="1" t="s">
        <v>88</v>
      </c>
      <c r="B401" s="1" t="s">
        <v>275</v>
      </c>
      <c r="C401" s="1" t="s">
        <v>306</v>
      </c>
      <c r="D401" s="1" t="s">
        <v>192</v>
      </c>
      <c r="E401" s="1" t="s">
        <v>274</v>
      </c>
      <c r="F401" s="1" t="n">
        <v>46</v>
      </c>
      <c r="G401" s="1" t="n">
        <v>30</v>
      </c>
      <c r="H401" s="1" t="n">
        <f aca="false">F401*G401</f>
        <v>1380</v>
      </c>
      <c r="I401" s="1" t="s">
        <v>349</v>
      </c>
    </row>
    <row r="402" customFormat="false" ht="14.25" hidden="false" customHeight="true" outlineLevel="0" collapsed="false">
      <c r="A402" s="1" t="s">
        <v>88</v>
      </c>
      <c r="B402" s="1" t="s">
        <v>275</v>
      </c>
      <c r="C402" s="1" t="s">
        <v>304</v>
      </c>
      <c r="D402" s="1" t="s">
        <v>170</v>
      </c>
      <c r="E402" s="1" t="s">
        <v>274</v>
      </c>
      <c r="F402" s="1" t="n">
        <v>46</v>
      </c>
      <c r="G402" s="1" t="n">
        <v>9.9184</v>
      </c>
      <c r="H402" s="1" t="n">
        <f aca="false">F402*G402</f>
        <v>456.2464</v>
      </c>
      <c r="I402" s="1" t="s">
        <v>349</v>
      </c>
    </row>
    <row r="403" customFormat="false" ht="14.25" hidden="false" customHeight="true" outlineLevel="0" collapsed="false">
      <c r="A403" s="1" t="s">
        <v>88</v>
      </c>
      <c r="B403" s="1" t="s">
        <v>275</v>
      </c>
      <c r="C403" s="1" t="s">
        <v>304</v>
      </c>
      <c r="D403" s="1" t="s">
        <v>173</v>
      </c>
      <c r="E403" s="1" t="s">
        <v>274</v>
      </c>
      <c r="F403" s="1" t="n">
        <v>46</v>
      </c>
      <c r="G403" s="1" t="n">
        <v>2.0497</v>
      </c>
      <c r="H403" s="1" t="n">
        <f aca="false">F403*G403</f>
        <v>94.2862</v>
      </c>
      <c r="I403" s="1" t="s">
        <v>349</v>
      </c>
    </row>
    <row r="404" customFormat="false" ht="14.25" hidden="false" customHeight="true" outlineLevel="0" collapsed="false">
      <c r="A404" s="1" t="s">
        <v>88</v>
      </c>
      <c r="B404" s="1" t="s">
        <v>275</v>
      </c>
      <c r="C404" s="1" t="s">
        <v>307</v>
      </c>
      <c r="D404" s="1" t="s">
        <v>387</v>
      </c>
      <c r="E404" s="1" t="s">
        <v>274</v>
      </c>
      <c r="F404" s="1" t="n">
        <v>1</v>
      </c>
      <c r="G404" s="1" t="n">
        <v>1712.97</v>
      </c>
      <c r="H404" s="1" t="n">
        <f aca="false">F404*G404</f>
        <v>1712.97</v>
      </c>
      <c r="I404" s="1" t="s">
        <v>313</v>
      </c>
    </row>
    <row r="405" customFormat="false" ht="14.25" hidden="false" customHeight="true" outlineLevel="0" collapsed="false">
      <c r="A405" s="1" t="s">
        <v>88</v>
      </c>
      <c r="B405" s="1" t="s">
        <v>275</v>
      </c>
      <c r="C405" s="1" t="s">
        <v>307</v>
      </c>
      <c r="D405" s="1" t="s">
        <v>371</v>
      </c>
      <c r="E405" s="1" t="s">
        <v>274</v>
      </c>
      <c r="F405" s="1" t="n">
        <v>1</v>
      </c>
      <c r="G405" s="1" t="n">
        <v>3029.1</v>
      </c>
      <c r="H405" s="1" t="n">
        <f aca="false">F405*G405</f>
        <v>3029.1</v>
      </c>
      <c r="I405" s="1" t="s">
        <v>388</v>
      </c>
    </row>
    <row r="406" customFormat="false" ht="14.25" hidden="false" customHeight="true" outlineLevel="0" collapsed="false">
      <c r="A406" s="1" t="s">
        <v>88</v>
      </c>
      <c r="B406" s="1" t="s">
        <v>275</v>
      </c>
      <c r="C406" s="1" t="s">
        <v>307</v>
      </c>
      <c r="D406" s="1" t="s">
        <v>389</v>
      </c>
      <c r="E406" s="1" t="s">
        <v>274</v>
      </c>
      <c r="F406" s="1" t="n">
        <v>1</v>
      </c>
      <c r="G406" s="1" t="n">
        <v>325.94</v>
      </c>
      <c r="H406" s="1" t="n">
        <f aca="false">F406*G406</f>
        <v>325.94</v>
      </c>
      <c r="I406" s="1" t="s">
        <v>313</v>
      </c>
    </row>
    <row r="407" customFormat="false" ht="14.25" hidden="false" customHeight="true" outlineLevel="0" collapsed="false">
      <c r="A407" s="1" t="s">
        <v>88</v>
      </c>
      <c r="B407" s="1" t="s">
        <v>275</v>
      </c>
      <c r="C407" s="1" t="s">
        <v>307</v>
      </c>
      <c r="D407" s="1" t="s">
        <v>390</v>
      </c>
      <c r="E407" s="1" t="s">
        <v>274</v>
      </c>
      <c r="F407" s="1" t="n">
        <v>1</v>
      </c>
      <c r="G407" s="1" t="n">
        <v>183.25</v>
      </c>
      <c r="H407" s="1" t="n">
        <f aca="false">F407*G407</f>
        <v>183.25</v>
      </c>
      <c r="I407" s="1" t="s">
        <v>313</v>
      </c>
    </row>
    <row r="408" customFormat="false" ht="14.25" hidden="false" customHeight="true" outlineLevel="0" collapsed="false">
      <c r="A408" s="1" t="s">
        <v>88</v>
      </c>
      <c r="B408" s="1" t="s">
        <v>275</v>
      </c>
      <c r="C408" s="1" t="s">
        <v>307</v>
      </c>
      <c r="D408" s="1" t="s">
        <v>375</v>
      </c>
      <c r="E408" s="1" t="s">
        <v>274</v>
      </c>
      <c r="F408" s="1" t="n">
        <v>1</v>
      </c>
      <c r="G408" s="1" t="n">
        <v>3849.41</v>
      </c>
      <c r="H408" s="1" t="n">
        <f aca="false">F408*G408</f>
        <v>3849.41</v>
      </c>
      <c r="I408" s="1" t="s">
        <v>391</v>
      </c>
    </row>
    <row r="409" customFormat="false" ht="14.25" hidden="false" customHeight="true" outlineLevel="0" collapsed="false">
      <c r="A409" s="1" t="s">
        <v>88</v>
      </c>
      <c r="B409" s="1" t="s">
        <v>275</v>
      </c>
      <c r="C409" s="1" t="s">
        <v>299</v>
      </c>
      <c r="D409" s="1" t="s">
        <v>241</v>
      </c>
      <c r="E409" s="1" t="s">
        <v>277</v>
      </c>
      <c r="F409" s="1" t="n">
        <v>1</v>
      </c>
      <c r="G409" s="1" t="n">
        <v>29549.7</v>
      </c>
      <c r="H409" s="1" t="n">
        <f aca="false">F409*G409</f>
        <v>29549.7</v>
      </c>
      <c r="I409" s="1" t="s">
        <v>392</v>
      </c>
    </row>
    <row r="410" customFormat="false" ht="14.25" hidden="false" customHeight="true" outlineLevel="0" collapsed="false">
      <c r="A410" s="1" t="s">
        <v>88</v>
      </c>
      <c r="B410" s="1" t="s">
        <v>275</v>
      </c>
      <c r="C410" s="1" t="s">
        <v>299</v>
      </c>
      <c r="D410" s="1" t="s">
        <v>301</v>
      </c>
      <c r="E410" s="1" t="s">
        <v>277</v>
      </c>
      <c r="F410" s="1" t="n">
        <v>1</v>
      </c>
      <c r="G410" s="1" t="n">
        <v>113.68</v>
      </c>
      <c r="H410" s="1" t="n">
        <f aca="false">F410*G410</f>
        <v>113.68</v>
      </c>
      <c r="I410" s="1" t="s">
        <v>393</v>
      </c>
    </row>
    <row r="411" customFormat="false" ht="14.25" hidden="false" customHeight="true" outlineLevel="0" collapsed="false">
      <c r="A411" s="1" t="s">
        <v>88</v>
      </c>
      <c r="B411" s="1" t="s">
        <v>275</v>
      </c>
      <c r="C411" s="1" t="s">
        <v>299</v>
      </c>
      <c r="D411" s="1" t="s">
        <v>166</v>
      </c>
      <c r="E411" s="1" t="s">
        <v>277</v>
      </c>
      <c r="F411" s="1" t="n">
        <v>8</v>
      </c>
      <c r="G411" s="1" t="n">
        <v>29.7419</v>
      </c>
      <c r="H411" s="1" t="n">
        <f aca="false">F411*G411</f>
        <v>237.9352</v>
      </c>
      <c r="I411" s="1" t="s">
        <v>394</v>
      </c>
    </row>
    <row r="412" customFormat="false" ht="14.25" hidden="false" customHeight="true" outlineLevel="0" collapsed="false">
      <c r="A412" s="1" t="s">
        <v>88</v>
      </c>
      <c r="B412" s="1" t="s">
        <v>275</v>
      </c>
      <c r="C412" s="1" t="s">
        <v>299</v>
      </c>
      <c r="D412" s="1" t="s">
        <v>165</v>
      </c>
      <c r="E412" s="1" t="s">
        <v>277</v>
      </c>
      <c r="F412" s="1" t="n">
        <v>8</v>
      </c>
      <c r="G412" s="1" t="n">
        <v>43.5409</v>
      </c>
      <c r="H412" s="1" t="n">
        <f aca="false">F412*G412</f>
        <v>348.3272</v>
      </c>
      <c r="I412" s="1" t="s">
        <v>394</v>
      </c>
    </row>
    <row r="413" customFormat="false" ht="14.25" hidden="false" customHeight="true" outlineLevel="0" collapsed="false">
      <c r="A413" s="1" t="s">
        <v>88</v>
      </c>
      <c r="B413" s="1" t="s">
        <v>275</v>
      </c>
      <c r="C413" s="1" t="s">
        <v>44</v>
      </c>
      <c r="D413" s="1" t="s">
        <v>167</v>
      </c>
      <c r="E413" s="1" t="s">
        <v>277</v>
      </c>
      <c r="F413" s="1" t="n">
        <v>8</v>
      </c>
      <c r="G413" s="1" t="n">
        <v>47.6587</v>
      </c>
      <c r="H413" s="1" t="n">
        <f aca="false">F413*G413</f>
        <v>381.2696</v>
      </c>
      <c r="I413" s="1" t="s">
        <v>394</v>
      </c>
    </row>
    <row r="414" customFormat="false" ht="14.25" hidden="false" customHeight="true" outlineLevel="0" collapsed="false">
      <c r="A414" s="1" t="s">
        <v>88</v>
      </c>
      <c r="B414" s="1" t="s">
        <v>275</v>
      </c>
      <c r="C414" s="1" t="s">
        <v>44</v>
      </c>
      <c r="D414" s="1" t="s">
        <v>240</v>
      </c>
      <c r="E414" s="1" t="s">
        <v>277</v>
      </c>
      <c r="F414" s="1" t="n">
        <v>1</v>
      </c>
      <c r="G414" s="1" t="n">
        <v>7.27</v>
      </c>
      <c r="H414" s="1" t="n">
        <f aca="false">F414*G414</f>
        <v>7.27</v>
      </c>
      <c r="I414" s="1" t="s">
        <v>395</v>
      </c>
    </row>
    <row r="415" customFormat="false" ht="14.25" hidden="false" customHeight="true" outlineLevel="0" collapsed="false">
      <c r="A415" s="1" t="s">
        <v>88</v>
      </c>
      <c r="B415" s="1" t="s">
        <v>275</v>
      </c>
      <c r="C415" s="1" t="s">
        <v>305</v>
      </c>
      <c r="D415" s="1" t="s">
        <v>194</v>
      </c>
      <c r="E415" s="1" t="s">
        <v>277</v>
      </c>
      <c r="F415" s="1" t="n">
        <v>1</v>
      </c>
      <c r="G415" s="1" t="n">
        <v>66.1</v>
      </c>
      <c r="H415" s="1" t="n">
        <f aca="false">F415*G415</f>
        <v>66.1</v>
      </c>
      <c r="I415" s="1" t="s">
        <v>395</v>
      </c>
    </row>
    <row r="416" customFormat="false" ht="14.25" hidden="false" customHeight="true" outlineLevel="0" collapsed="false">
      <c r="A416" s="1" t="s">
        <v>88</v>
      </c>
      <c r="B416" s="1" t="s">
        <v>275</v>
      </c>
      <c r="C416" s="1" t="s">
        <v>305</v>
      </c>
      <c r="D416" s="1" t="s">
        <v>198</v>
      </c>
      <c r="E416" s="1" t="s">
        <v>277</v>
      </c>
      <c r="F416" s="1" t="n">
        <v>1</v>
      </c>
      <c r="G416" s="1" t="n">
        <v>5.17</v>
      </c>
      <c r="H416" s="1" t="n">
        <f aca="false">F416*G416</f>
        <v>5.17</v>
      </c>
      <c r="I416" s="1" t="s">
        <v>395</v>
      </c>
    </row>
    <row r="417" customFormat="false" ht="14.25" hidden="false" customHeight="true" outlineLevel="0" collapsed="false">
      <c r="A417" s="1" t="s">
        <v>88</v>
      </c>
      <c r="B417" s="1" t="s">
        <v>275</v>
      </c>
      <c r="C417" s="1" t="s">
        <v>306</v>
      </c>
      <c r="D417" s="1" t="s">
        <v>192</v>
      </c>
      <c r="E417" s="1" t="s">
        <v>277</v>
      </c>
      <c r="F417" s="1" t="n">
        <v>8</v>
      </c>
      <c r="G417" s="1" t="n">
        <v>30</v>
      </c>
      <c r="H417" s="1" t="n">
        <f aca="false">F417*G417</f>
        <v>240</v>
      </c>
      <c r="I417" s="1" t="s">
        <v>396</v>
      </c>
    </row>
    <row r="418" customFormat="false" ht="14.25" hidden="false" customHeight="true" outlineLevel="0" collapsed="false">
      <c r="A418" s="1" t="s">
        <v>88</v>
      </c>
      <c r="B418" s="1" t="s">
        <v>275</v>
      </c>
      <c r="C418" s="1" t="s">
        <v>304</v>
      </c>
      <c r="D418" s="1" t="s">
        <v>170</v>
      </c>
      <c r="E418" s="1" t="s">
        <v>277</v>
      </c>
      <c r="F418" s="1" t="n">
        <v>8</v>
      </c>
      <c r="G418" s="1" t="n">
        <v>9.9184</v>
      </c>
      <c r="H418" s="1" t="n">
        <f aca="false">F418*G418</f>
        <v>79.3472</v>
      </c>
      <c r="I418" s="1" t="s">
        <v>396</v>
      </c>
    </row>
    <row r="419" customFormat="false" ht="14.25" hidden="false" customHeight="true" outlineLevel="0" collapsed="false">
      <c r="A419" s="1" t="s">
        <v>88</v>
      </c>
      <c r="B419" s="1" t="s">
        <v>275</v>
      </c>
      <c r="C419" s="1" t="s">
        <v>304</v>
      </c>
      <c r="D419" s="1" t="s">
        <v>173</v>
      </c>
      <c r="E419" s="1" t="s">
        <v>277</v>
      </c>
      <c r="F419" s="1" t="n">
        <v>8</v>
      </c>
      <c r="G419" s="1" t="n">
        <v>2.0497</v>
      </c>
      <c r="H419" s="1" t="n">
        <f aca="false">F419*G419</f>
        <v>16.3976</v>
      </c>
      <c r="I419" s="1" t="s">
        <v>396</v>
      </c>
    </row>
    <row r="420" customFormat="false" ht="14.25" hidden="false" customHeight="true" outlineLevel="0" collapsed="false">
      <c r="A420" s="1" t="s">
        <v>88</v>
      </c>
      <c r="B420" s="1" t="s">
        <v>275</v>
      </c>
      <c r="C420" s="1" t="s">
        <v>299</v>
      </c>
      <c r="D420" s="1" t="s">
        <v>241</v>
      </c>
      <c r="E420" s="1" t="s">
        <v>279</v>
      </c>
      <c r="F420" s="1" t="n">
        <v>1</v>
      </c>
      <c r="G420" s="1" t="n">
        <v>31484.21</v>
      </c>
      <c r="H420" s="1" t="n">
        <f aca="false">F420*G420</f>
        <v>31484.21</v>
      </c>
      <c r="I420" s="1" t="s">
        <v>397</v>
      </c>
    </row>
    <row r="421" customFormat="false" ht="14.25" hidden="false" customHeight="true" outlineLevel="0" collapsed="false">
      <c r="A421" s="1" t="s">
        <v>88</v>
      </c>
      <c r="B421" s="1" t="s">
        <v>275</v>
      </c>
      <c r="C421" s="1" t="s">
        <v>299</v>
      </c>
      <c r="D421" s="1" t="s">
        <v>301</v>
      </c>
      <c r="E421" s="1" t="s">
        <v>279</v>
      </c>
      <c r="F421" s="1" t="n">
        <v>1</v>
      </c>
      <c r="G421" s="1" t="n">
        <v>1368</v>
      </c>
      <c r="H421" s="1" t="n">
        <f aca="false">F421*G421</f>
        <v>1368</v>
      </c>
      <c r="I421" s="1" t="s">
        <v>398</v>
      </c>
    </row>
    <row r="422" customFormat="false" ht="14.25" hidden="false" customHeight="true" outlineLevel="0" collapsed="false">
      <c r="A422" s="1" t="s">
        <v>88</v>
      </c>
      <c r="B422" s="1" t="s">
        <v>275</v>
      </c>
      <c r="C422" s="1" t="s">
        <v>299</v>
      </c>
      <c r="D422" s="1" t="s">
        <v>166</v>
      </c>
      <c r="E422" s="1" t="s">
        <v>279</v>
      </c>
      <c r="F422" s="1" t="n">
        <v>8</v>
      </c>
      <c r="G422" s="1" t="n">
        <v>29.7419</v>
      </c>
      <c r="H422" s="1" t="n">
        <f aca="false">F422*G422</f>
        <v>237.9352</v>
      </c>
      <c r="I422" s="1" t="s">
        <v>399</v>
      </c>
    </row>
    <row r="423" customFormat="false" ht="14.25" hidden="false" customHeight="true" outlineLevel="0" collapsed="false">
      <c r="A423" s="1" t="s">
        <v>88</v>
      </c>
      <c r="B423" s="1" t="s">
        <v>275</v>
      </c>
      <c r="C423" s="1" t="s">
        <v>299</v>
      </c>
      <c r="D423" s="1" t="s">
        <v>165</v>
      </c>
      <c r="E423" s="1" t="s">
        <v>279</v>
      </c>
      <c r="F423" s="1" t="n">
        <v>8</v>
      </c>
      <c r="G423" s="1" t="n">
        <v>43.5409</v>
      </c>
      <c r="H423" s="1" t="n">
        <f aca="false">F423*G423</f>
        <v>348.3272</v>
      </c>
      <c r="I423" s="1" t="s">
        <v>399</v>
      </c>
    </row>
    <row r="424" customFormat="false" ht="14.25" hidden="false" customHeight="true" outlineLevel="0" collapsed="false">
      <c r="A424" s="1" t="s">
        <v>88</v>
      </c>
      <c r="B424" s="1" t="s">
        <v>275</v>
      </c>
      <c r="C424" s="1" t="s">
        <v>44</v>
      </c>
      <c r="D424" s="1" t="s">
        <v>167</v>
      </c>
      <c r="E424" s="1" t="s">
        <v>279</v>
      </c>
      <c r="F424" s="1" t="n">
        <v>8</v>
      </c>
      <c r="G424" s="1" t="n">
        <v>47.6587</v>
      </c>
      <c r="H424" s="1" t="n">
        <f aca="false">F424*G424</f>
        <v>381.2696</v>
      </c>
      <c r="I424" s="1" t="s">
        <v>399</v>
      </c>
    </row>
    <row r="425" customFormat="false" ht="14.25" hidden="false" customHeight="true" outlineLevel="0" collapsed="false">
      <c r="A425" s="1" t="s">
        <v>88</v>
      </c>
      <c r="B425" s="1" t="s">
        <v>275</v>
      </c>
      <c r="C425" s="1" t="s">
        <v>44</v>
      </c>
      <c r="D425" s="1" t="s">
        <v>240</v>
      </c>
      <c r="E425" s="1" t="s">
        <v>279</v>
      </c>
      <c r="F425" s="1" t="n">
        <v>1</v>
      </c>
      <c r="G425" s="1" t="n">
        <v>7.27</v>
      </c>
      <c r="H425" s="1" t="n">
        <f aca="false">F425*G425</f>
        <v>7.27</v>
      </c>
      <c r="I425" s="1" t="s">
        <v>395</v>
      </c>
    </row>
    <row r="426" customFormat="false" ht="14.25" hidden="false" customHeight="true" outlineLevel="0" collapsed="false">
      <c r="A426" s="1" t="s">
        <v>88</v>
      </c>
      <c r="B426" s="1" t="s">
        <v>275</v>
      </c>
      <c r="C426" s="1" t="s">
        <v>305</v>
      </c>
      <c r="D426" s="1" t="s">
        <v>194</v>
      </c>
      <c r="E426" s="1" t="s">
        <v>279</v>
      </c>
      <c r="F426" s="1" t="n">
        <v>1</v>
      </c>
      <c r="G426" s="1" t="n">
        <v>66.1</v>
      </c>
      <c r="H426" s="1" t="n">
        <f aca="false">F426*G426</f>
        <v>66.1</v>
      </c>
      <c r="I426" s="1" t="s">
        <v>395</v>
      </c>
    </row>
    <row r="427" customFormat="false" ht="14.25" hidden="false" customHeight="true" outlineLevel="0" collapsed="false">
      <c r="A427" s="1" t="s">
        <v>88</v>
      </c>
      <c r="B427" s="1" t="s">
        <v>275</v>
      </c>
      <c r="C427" s="1" t="s">
        <v>305</v>
      </c>
      <c r="D427" s="1" t="s">
        <v>198</v>
      </c>
      <c r="E427" s="1" t="s">
        <v>279</v>
      </c>
      <c r="F427" s="1" t="n">
        <v>1</v>
      </c>
      <c r="G427" s="1" t="n">
        <v>5.17</v>
      </c>
      <c r="H427" s="1" t="n">
        <f aca="false">F427*G427</f>
        <v>5.17</v>
      </c>
      <c r="I427" s="1" t="s">
        <v>395</v>
      </c>
    </row>
    <row r="428" customFormat="false" ht="14.25" hidden="false" customHeight="true" outlineLevel="0" collapsed="false">
      <c r="A428" s="1" t="s">
        <v>88</v>
      </c>
      <c r="B428" s="1" t="s">
        <v>275</v>
      </c>
      <c r="C428" s="1" t="s">
        <v>306</v>
      </c>
      <c r="D428" s="1" t="s">
        <v>192</v>
      </c>
      <c r="E428" s="1" t="s">
        <v>279</v>
      </c>
      <c r="F428" s="1" t="n">
        <v>8</v>
      </c>
      <c r="G428" s="1" t="n">
        <v>30</v>
      </c>
      <c r="H428" s="1" t="n">
        <f aca="false">F428*G428</f>
        <v>240</v>
      </c>
      <c r="I428" s="1" t="s">
        <v>396</v>
      </c>
    </row>
    <row r="429" customFormat="false" ht="14.25" hidden="false" customHeight="true" outlineLevel="0" collapsed="false">
      <c r="A429" s="1" t="s">
        <v>88</v>
      </c>
      <c r="B429" s="1" t="s">
        <v>275</v>
      </c>
      <c r="C429" s="1" t="s">
        <v>304</v>
      </c>
      <c r="D429" s="1" t="s">
        <v>170</v>
      </c>
      <c r="E429" s="1" t="s">
        <v>279</v>
      </c>
      <c r="F429" s="1" t="n">
        <v>8</v>
      </c>
      <c r="G429" s="1" t="n">
        <v>9.9184</v>
      </c>
      <c r="H429" s="1" t="n">
        <f aca="false">F429*G429</f>
        <v>79.3472</v>
      </c>
      <c r="I429" s="1" t="s">
        <v>396</v>
      </c>
    </row>
    <row r="430" customFormat="false" ht="14.25" hidden="false" customHeight="true" outlineLevel="0" collapsed="false">
      <c r="A430" s="1" t="s">
        <v>88</v>
      </c>
      <c r="B430" s="1" t="s">
        <v>275</v>
      </c>
      <c r="C430" s="1" t="s">
        <v>304</v>
      </c>
      <c r="D430" s="1" t="s">
        <v>173</v>
      </c>
      <c r="E430" s="1" t="s">
        <v>279</v>
      </c>
      <c r="F430" s="1" t="n">
        <v>8</v>
      </c>
      <c r="G430" s="1" t="n">
        <v>2.0497</v>
      </c>
      <c r="H430" s="1" t="n">
        <f aca="false">F430*G430</f>
        <v>16.3976</v>
      </c>
      <c r="I430" s="1" t="s">
        <v>396</v>
      </c>
    </row>
    <row r="431" customFormat="false" ht="14.25" hidden="false" customHeight="true" outlineLevel="0" collapsed="false">
      <c r="A431" s="1" t="s">
        <v>88</v>
      </c>
      <c r="B431" s="1" t="s">
        <v>275</v>
      </c>
      <c r="C431" s="1" t="s">
        <v>307</v>
      </c>
      <c r="D431" s="1" t="s">
        <v>400</v>
      </c>
      <c r="E431" s="1" t="s">
        <v>279</v>
      </c>
      <c r="F431" s="1" t="n">
        <v>1</v>
      </c>
      <c r="G431" s="1" t="n">
        <v>799.48</v>
      </c>
      <c r="H431" s="1" t="n">
        <f aca="false">F431*G431</f>
        <v>799.48</v>
      </c>
      <c r="I431" s="1" t="s">
        <v>313</v>
      </c>
    </row>
    <row r="432" customFormat="false" ht="14.25" hidden="false" customHeight="true" outlineLevel="0" collapsed="false">
      <c r="A432" s="1" t="s">
        <v>88</v>
      </c>
      <c r="B432" s="1" t="s">
        <v>275</v>
      </c>
      <c r="C432" s="1" t="s">
        <v>299</v>
      </c>
      <c r="D432" s="1" t="s">
        <v>241</v>
      </c>
      <c r="E432" s="1" t="s">
        <v>280</v>
      </c>
      <c r="F432" s="1" t="n">
        <v>1</v>
      </c>
      <c r="G432" s="1" t="n">
        <v>56542.49</v>
      </c>
      <c r="H432" s="1" t="n">
        <f aca="false">F432*G432</f>
        <v>56542.49</v>
      </c>
      <c r="I432" s="1" t="s">
        <v>401</v>
      </c>
    </row>
    <row r="433" customFormat="false" ht="14.25" hidden="false" customHeight="true" outlineLevel="0" collapsed="false">
      <c r="A433" s="1" t="s">
        <v>88</v>
      </c>
      <c r="B433" s="1" t="s">
        <v>275</v>
      </c>
      <c r="C433" s="1" t="s">
        <v>299</v>
      </c>
      <c r="D433" s="1" t="s">
        <v>377</v>
      </c>
      <c r="E433" s="1" t="s">
        <v>280</v>
      </c>
      <c r="F433" s="1" t="n">
        <v>1</v>
      </c>
      <c r="G433" s="1" t="n">
        <v>5206.89</v>
      </c>
      <c r="H433" s="1" t="n">
        <f aca="false">F433*G433</f>
        <v>5206.89</v>
      </c>
      <c r="I433" s="1" t="s">
        <v>402</v>
      </c>
    </row>
    <row r="434" customFormat="false" ht="14.25" hidden="false" customHeight="true" outlineLevel="0" collapsed="false">
      <c r="A434" s="1" t="s">
        <v>88</v>
      </c>
      <c r="B434" s="1" t="s">
        <v>275</v>
      </c>
      <c r="C434" s="1" t="s">
        <v>299</v>
      </c>
      <c r="D434" s="1" t="s">
        <v>301</v>
      </c>
      <c r="E434" s="1" t="s">
        <v>280</v>
      </c>
      <c r="F434" s="1" t="n">
        <v>1</v>
      </c>
      <c r="G434" s="1" t="n">
        <v>2112</v>
      </c>
      <c r="H434" s="1" t="n">
        <f aca="false">F434*G434</f>
        <v>2112</v>
      </c>
      <c r="I434" s="1" t="s">
        <v>403</v>
      </c>
    </row>
    <row r="435" customFormat="false" ht="14.25" hidden="false" customHeight="true" outlineLevel="0" collapsed="false">
      <c r="A435" s="1" t="s">
        <v>88</v>
      </c>
      <c r="B435" s="1" t="s">
        <v>275</v>
      </c>
      <c r="C435" s="1" t="s">
        <v>299</v>
      </c>
      <c r="D435" s="1" t="s">
        <v>166</v>
      </c>
      <c r="E435" s="1" t="s">
        <v>280</v>
      </c>
      <c r="F435" s="1" t="n">
        <v>15</v>
      </c>
      <c r="G435" s="1" t="n">
        <v>29.7419</v>
      </c>
      <c r="H435" s="1" t="n">
        <f aca="false">F435*G435</f>
        <v>446.1285</v>
      </c>
      <c r="I435" s="1" t="s">
        <v>404</v>
      </c>
    </row>
    <row r="436" customFormat="false" ht="14.25" hidden="false" customHeight="true" outlineLevel="0" collapsed="false">
      <c r="A436" s="1" t="s">
        <v>88</v>
      </c>
      <c r="B436" s="1" t="s">
        <v>275</v>
      </c>
      <c r="C436" s="1" t="s">
        <v>299</v>
      </c>
      <c r="D436" s="1" t="s">
        <v>165</v>
      </c>
      <c r="E436" s="1" t="s">
        <v>280</v>
      </c>
      <c r="F436" s="1" t="n">
        <v>15</v>
      </c>
      <c r="G436" s="1" t="n">
        <v>43.5409</v>
      </c>
      <c r="H436" s="1" t="n">
        <f aca="false">F436*G436</f>
        <v>653.1135</v>
      </c>
      <c r="I436" s="1" t="s">
        <v>404</v>
      </c>
    </row>
    <row r="437" customFormat="false" ht="14.25" hidden="false" customHeight="true" outlineLevel="0" collapsed="false">
      <c r="A437" s="1" t="s">
        <v>88</v>
      </c>
      <c r="B437" s="1" t="s">
        <v>275</v>
      </c>
      <c r="C437" s="1" t="s">
        <v>44</v>
      </c>
      <c r="D437" s="1" t="s">
        <v>167</v>
      </c>
      <c r="E437" s="1" t="s">
        <v>280</v>
      </c>
      <c r="F437" s="1" t="n">
        <v>15</v>
      </c>
      <c r="G437" s="1" t="n">
        <v>47.6587</v>
      </c>
      <c r="H437" s="1" t="n">
        <f aca="false">F437*G437</f>
        <v>714.8805</v>
      </c>
      <c r="I437" s="1" t="s">
        <v>404</v>
      </c>
    </row>
    <row r="438" customFormat="false" ht="14.25" hidden="false" customHeight="true" outlineLevel="0" collapsed="false">
      <c r="A438" s="1" t="s">
        <v>88</v>
      </c>
      <c r="B438" s="1" t="s">
        <v>275</v>
      </c>
      <c r="C438" s="1" t="s">
        <v>44</v>
      </c>
      <c r="D438" s="1" t="s">
        <v>240</v>
      </c>
      <c r="E438" s="1" t="s">
        <v>280</v>
      </c>
      <c r="F438" s="1" t="n">
        <v>1</v>
      </c>
      <c r="G438" s="1" t="n">
        <v>13.64</v>
      </c>
      <c r="H438" s="1" t="n">
        <f aca="false">F438*G438</f>
        <v>13.64</v>
      </c>
      <c r="I438" s="1" t="s">
        <v>405</v>
      </c>
    </row>
    <row r="439" customFormat="false" ht="14.25" hidden="false" customHeight="true" outlineLevel="0" collapsed="false">
      <c r="A439" s="1" t="s">
        <v>88</v>
      </c>
      <c r="B439" s="1" t="s">
        <v>275</v>
      </c>
      <c r="C439" s="1" t="s">
        <v>305</v>
      </c>
      <c r="D439" s="1" t="s">
        <v>194</v>
      </c>
      <c r="E439" s="1" t="s">
        <v>280</v>
      </c>
      <c r="F439" s="1" t="n">
        <v>1</v>
      </c>
      <c r="G439" s="1" t="n">
        <v>123.94</v>
      </c>
      <c r="H439" s="1" t="n">
        <f aca="false">F439*G439</f>
        <v>123.94</v>
      </c>
      <c r="I439" s="1" t="s">
        <v>405</v>
      </c>
    </row>
    <row r="440" customFormat="false" ht="14.25" hidden="false" customHeight="true" outlineLevel="0" collapsed="false">
      <c r="A440" s="1" t="s">
        <v>88</v>
      </c>
      <c r="B440" s="1" t="s">
        <v>275</v>
      </c>
      <c r="C440" s="1" t="s">
        <v>305</v>
      </c>
      <c r="D440" s="1" t="s">
        <v>198</v>
      </c>
      <c r="E440" s="1" t="s">
        <v>280</v>
      </c>
      <c r="F440" s="1" t="n">
        <v>1</v>
      </c>
      <c r="G440" s="1" t="n">
        <v>9.7</v>
      </c>
      <c r="H440" s="1" t="n">
        <f aca="false">F440*G440</f>
        <v>9.7</v>
      </c>
      <c r="I440" s="1" t="s">
        <v>405</v>
      </c>
    </row>
    <row r="441" customFormat="false" ht="14.25" hidden="false" customHeight="true" outlineLevel="0" collapsed="false">
      <c r="A441" s="1" t="s">
        <v>88</v>
      </c>
      <c r="B441" s="1" t="s">
        <v>275</v>
      </c>
      <c r="C441" s="1" t="s">
        <v>306</v>
      </c>
      <c r="D441" s="1" t="s">
        <v>192</v>
      </c>
      <c r="E441" s="1" t="s">
        <v>280</v>
      </c>
      <c r="F441" s="1" t="n">
        <v>15</v>
      </c>
      <c r="G441" s="1" t="n">
        <v>30</v>
      </c>
      <c r="H441" s="1" t="n">
        <f aca="false">F441*G441</f>
        <v>450</v>
      </c>
      <c r="I441" s="1" t="s">
        <v>396</v>
      </c>
    </row>
    <row r="442" customFormat="false" ht="14.25" hidden="false" customHeight="true" outlineLevel="0" collapsed="false">
      <c r="A442" s="1" t="s">
        <v>88</v>
      </c>
      <c r="B442" s="1" t="s">
        <v>275</v>
      </c>
      <c r="C442" s="1" t="s">
        <v>304</v>
      </c>
      <c r="D442" s="1" t="s">
        <v>170</v>
      </c>
      <c r="E442" s="1" t="s">
        <v>280</v>
      </c>
      <c r="F442" s="1" t="n">
        <v>15</v>
      </c>
      <c r="G442" s="1" t="n">
        <v>9.9184</v>
      </c>
      <c r="H442" s="1" t="n">
        <f aca="false">F442*G442</f>
        <v>148.776</v>
      </c>
      <c r="I442" s="1" t="s">
        <v>396</v>
      </c>
    </row>
    <row r="443" customFormat="false" ht="14.25" hidden="false" customHeight="true" outlineLevel="0" collapsed="false">
      <c r="A443" s="1" t="s">
        <v>88</v>
      </c>
      <c r="B443" s="1" t="s">
        <v>275</v>
      </c>
      <c r="C443" s="1" t="s">
        <v>304</v>
      </c>
      <c r="D443" s="1" t="s">
        <v>173</v>
      </c>
      <c r="E443" s="1" t="s">
        <v>280</v>
      </c>
      <c r="F443" s="1" t="n">
        <v>15</v>
      </c>
      <c r="G443" s="1" t="n">
        <v>2.0497</v>
      </c>
      <c r="H443" s="1" t="n">
        <f aca="false">F443*G443</f>
        <v>30.7455</v>
      </c>
      <c r="I443" s="1" t="s">
        <v>396</v>
      </c>
    </row>
    <row r="444" customFormat="false" ht="14.25" hidden="false" customHeight="true" outlineLevel="0" collapsed="false">
      <c r="A444" s="1" t="s">
        <v>88</v>
      </c>
      <c r="B444" s="1" t="s">
        <v>282</v>
      </c>
      <c r="C444" s="1" t="s">
        <v>299</v>
      </c>
      <c r="D444" s="1" t="s">
        <v>241</v>
      </c>
      <c r="E444" s="1" t="s">
        <v>280</v>
      </c>
      <c r="F444" s="1" t="n">
        <v>1</v>
      </c>
      <c r="G444" s="1" t="n">
        <v>8069.23</v>
      </c>
      <c r="H444" s="1" t="n">
        <f aca="false">F444*G444</f>
        <v>8069.23</v>
      </c>
      <c r="I444" s="1" t="s">
        <v>406</v>
      </c>
    </row>
    <row r="445" customFormat="false" ht="14.25" hidden="false" customHeight="true" outlineLevel="0" collapsed="false">
      <c r="A445" s="1" t="s">
        <v>88</v>
      </c>
      <c r="B445" s="1" t="s">
        <v>282</v>
      </c>
      <c r="C445" s="1" t="s">
        <v>299</v>
      </c>
      <c r="D445" s="1" t="s">
        <v>166</v>
      </c>
      <c r="E445" s="1" t="s">
        <v>280</v>
      </c>
      <c r="F445" s="1" t="n">
        <v>3</v>
      </c>
      <c r="G445" s="1" t="n">
        <v>29.7419</v>
      </c>
      <c r="H445" s="1" t="n">
        <f aca="false">F445*G445</f>
        <v>89.2257</v>
      </c>
      <c r="I445" s="1" t="s">
        <v>407</v>
      </c>
    </row>
    <row r="446" customFormat="false" ht="14.25" hidden="false" customHeight="true" outlineLevel="0" collapsed="false">
      <c r="A446" s="1" t="s">
        <v>88</v>
      </c>
      <c r="B446" s="1" t="s">
        <v>282</v>
      </c>
      <c r="C446" s="1" t="s">
        <v>299</v>
      </c>
      <c r="D446" s="1" t="s">
        <v>165</v>
      </c>
      <c r="E446" s="1" t="s">
        <v>280</v>
      </c>
      <c r="F446" s="1" t="n">
        <v>3</v>
      </c>
      <c r="G446" s="1" t="n">
        <v>43.5409</v>
      </c>
      <c r="H446" s="1" t="n">
        <f aca="false">F446*G446</f>
        <v>130.6227</v>
      </c>
      <c r="I446" s="1" t="s">
        <v>408</v>
      </c>
    </row>
    <row r="447" customFormat="false" ht="14.25" hidden="false" customHeight="true" outlineLevel="0" collapsed="false">
      <c r="A447" s="1" t="s">
        <v>88</v>
      </c>
      <c r="B447" s="1" t="s">
        <v>282</v>
      </c>
      <c r="C447" s="1" t="s">
        <v>44</v>
      </c>
      <c r="D447" s="1" t="s">
        <v>167</v>
      </c>
      <c r="E447" s="1" t="s">
        <v>280</v>
      </c>
      <c r="F447" s="1" t="n">
        <v>3</v>
      </c>
      <c r="G447" s="1" t="n">
        <v>47.6587</v>
      </c>
      <c r="H447" s="1" t="n">
        <f aca="false">F447*G447</f>
        <v>142.9761</v>
      </c>
      <c r="I447" s="1" t="s">
        <v>408</v>
      </c>
    </row>
    <row r="448" customFormat="false" ht="14.25" hidden="false" customHeight="true" outlineLevel="0" collapsed="false">
      <c r="A448" s="1" t="s">
        <v>88</v>
      </c>
      <c r="B448" s="1" t="s">
        <v>282</v>
      </c>
      <c r="C448" s="1" t="s">
        <v>44</v>
      </c>
      <c r="D448" s="1" t="s">
        <v>240</v>
      </c>
      <c r="E448" s="1" t="s">
        <v>280</v>
      </c>
      <c r="F448" s="1" t="n">
        <v>1</v>
      </c>
      <c r="G448" s="1" t="n">
        <v>361</v>
      </c>
      <c r="H448" s="1" t="n">
        <f aca="false">F448*G448</f>
        <v>361</v>
      </c>
      <c r="I448" s="1" t="s">
        <v>409</v>
      </c>
    </row>
    <row r="449" customFormat="false" ht="14.25" hidden="false" customHeight="true" outlineLevel="0" collapsed="false">
      <c r="A449" s="1" t="s">
        <v>88</v>
      </c>
      <c r="B449" s="1" t="s">
        <v>282</v>
      </c>
      <c r="C449" s="1" t="s">
        <v>305</v>
      </c>
      <c r="D449" s="1" t="s">
        <v>194</v>
      </c>
      <c r="E449" s="1" t="s">
        <v>280</v>
      </c>
      <c r="F449" s="1" t="n">
        <v>1</v>
      </c>
      <c r="G449" s="1" t="n">
        <v>150</v>
      </c>
      <c r="H449" s="1" t="n">
        <f aca="false">F449*G449</f>
        <v>150</v>
      </c>
      <c r="I449" s="1" t="s">
        <v>409</v>
      </c>
    </row>
    <row r="450" customFormat="false" ht="14.25" hidden="false" customHeight="true" outlineLevel="0" collapsed="false">
      <c r="A450" s="1" t="s">
        <v>88</v>
      </c>
      <c r="B450" s="1" t="s">
        <v>282</v>
      </c>
      <c r="C450" s="1" t="s">
        <v>306</v>
      </c>
      <c r="D450" s="1" t="s">
        <v>192</v>
      </c>
      <c r="E450" s="1" t="s">
        <v>280</v>
      </c>
      <c r="F450" s="1" t="n">
        <v>3</v>
      </c>
      <c r="G450" s="1" t="n">
        <v>30</v>
      </c>
      <c r="H450" s="1" t="n">
        <f aca="false">F450*G450</f>
        <v>90</v>
      </c>
      <c r="I450" s="1" t="s">
        <v>408</v>
      </c>
    </row>
    <row r="451" customFormat="false" ht="14.25" hidden="false" customHeight="true" outlineLevel="0" collapsed="false">
      <c r="A451" s="1" t="s">
        <v>88</v>
      </c>
      <c r="B451" s="1" t="s">
        <v>282</v>
      </c>
      <c r="C451" s="1" t="s">
        <v>304</v>
      </c>
      <c r="D451" s="1" t="s">
        <v>170</v>
      </c>
      <c r="E451" s="1" t="s">
        <v>280</v>
      </c>
      <c r="F451" s="1" t="n">
        <v>3</v>
      </c>
      <c r="G451" s="1" t="n">
        <v>9.9184</v>
      </c>
      <c r="H451" s="1" t="n">
        <f aca="false">F451*G451</f>
        <v>29.7552</v>
      </c>
      <c r="I451" s="1" t="s">
        <v>408</v>
      </c>
    </row>
    <row r="452" customFormat="false" ht="14.25" hidden="false" customHeight="true" outlineLevel="0" collapsed="false">
      <c r="A452" s="1" t="s">
        <v>88</v>
      </c>
      <c r="B452" s="1" t="s">
        <v>282</v>
      </c>
      <c r="C452" s="1" t="s">
        <v>304</v>
      </c>
      <c r="D452" s="1" t="s">
        <v>173</v>
      </c>
      <c r="E452" s="1" t="s">
        <v>280</v>
      </c>
      <c r="F452" s="1" t="n">
        <v>3</v>
      </c>
      <c r="G452" s="1" t="n">
        <v>2.0497</v>
      </c>
      <c r="H452" s="1" t="n">
        <f aca="false">F452*G452</f>
        <v>6.1491</v>
      </c>
      <c r="I452" s="1" t="s">
        <v>408</v>
      </c>
    </row>
    <row r="453" customFormat="false" ht="14.25" hidden="false" customHeight="true" outlineLevel="0" collapsed="false">
      <c r="A453" s="1" t="s">
        <v>88</v>
      </c>
      <c r="B453" s="1" t="s">
        <v>275</v>
      </c>
      <c r="C453" s="1" t="s">
        <v>299</v>
      </c>
      <c r="D453" s="1" t="s">
        <v>241</v>
      </c>
      <c r="E453" s="1" t="s">
        <v>283</v>
      </c>
      <c r="F453" s="1" t="n">
        <v>1</v>
      </c>
      <c r="G453" s="1" t="n">
        <v>87845.56</v>
      </c>
      <c r="H453" s="1" t="n">
        <f aca="false">F453*G453</f>
        <v>87845.56</v>
      </c>
      <c r="I453" s="1" t="s">
        <v>410</v>
      </c>
    </row>
    <row r="454" customFormat="false" ht="14.25" hidden="false" customHeight="true" outlineLevel="0" collapsed="false">
      <c r="A454" s="1" t="s">
        <v>88</v>
      </c>
      <c r="B454" s="1" t="s">
        <v>275</v>
      </c>
      <c r="C454" s="1" t="s">
        <v>299</v>
      </c>
      <c r="D454" s="1" t="s">
        <v>366</v>
      </c>
      <c r="E454" s="1" t="s">
        <v>283</v>
      </c>
      <c r="F454" s="1" t="n">
        <v>1</v>
      </c>
      <c r="G454" s="1" t="n">
        <v>9007.77</v>
      </c>
      <c r="H454" s="1" t="n">
        <f aca="false">F454*G454</f>
        <v>9007.77</v>
      </c>
      <c r="I454" s="1" t="s">
        <v>383</v>
      </c>
    </row>
    <row r="455" customFormat="false" ht="14.25" hidden="false" customHeight="true" outlineLevel="0" collapsed="false">
      <c r="A455" s="1" t="s">
        <v>88</v>
      </c>
      <c r="B455" s="1" t="s">
        <v>275</v>
      </c>
      <c r="C455" s="1" t="s">
        <v>299</v>
      </c>
      <c r="D455" s="1" t="s">
        <v>301</v>
      </c>
      <c r="E455" s="1" t="s">
        <v>283</v>
      </c>
      <c r="F455" s="1" t="n">
        <v>1</v>
      </c>
      <c r="G455" s="1" t="n">
        <v>312.63</v>
      </c>
      <c r="H455" s="1" t="n">
        <f aca="false">F455*G455</f>
        <v>312.63</v>
      </c>
      <c r="I455" s="1" t="s">
        <v>411</v>
      </c>
    </row>
    <row r="456" customFormat="false" ht="14.25" hidden="false" customHeight="true" outlineLevel="0" collapsed="false">
      <c r="A456" s="1" t="s">
        <v>88</v>
      </c>
      <c r="B456" s="1" t="s">
        <v>275</v>
      </c>
      <c r="C456" s="1" t="s">
        <v>299</v>
      </c>
      <c r="D456" s="1" t="s">
        <v>166</v>
      </c>
      <c r="E456" s="1" t="s">
        <v>283</v>
      </c>
      <c r="F456" s="1" t="n">
        <v>22</v>
      </c>
      <c r="G456" s="1" t="n">
        <v>29.7419</v>
      </c>
      <c r="H456" s="1" t="n">
        <f aca="false">F456*G456</f>
        <v>654.3218</v>
      </c>
      <c r="I456" s="1" t="s">
        <v>412</v>
      </c>
    </row>
    <row r="457" customFormat="false" ht="14.25" hidden="false" customHeight="true" outlineLevel="0" collapsed="false">
      <c r="A457" s="1" t="s">
        <v>88</v>
      </c>
      <c r="B457" s="1" t="s">
        <v>275</v>
      </c>
      <c r="C457" s="1" t="s">
        <v>299</v>
      </c>
      <c r="D457" s="1" t="s">
        <v>165</v>
      </c>
      <c r="E457" s="1" t="s">
        <v>283</v>
      </c>
      <c r="F457" s="1" t="n">
        <v>22</v>
      </c>
      <c r="G457" s="1" t="n">
        <v>43.5409</v>
      </c>
      <c r="H457" s="1" t="n">
        <f aca="false">F457*G457</f>
        <v>957.8998</v>
      </c>
      <c r="I457" s="1" t="s">
        <v>413</v>
      </c>
    </row>
    <row r="458" customFormat="false" ht="14.25" hidden="false" customHeight="true" outlineLevel="0" collapsed="false">
      <c r="A458" s="1" t="s">
        <v>88</v>
      </c>
      <c r="B458" s="1" t="s">
        <v>275</v>
      </c>
      <c r="C458" s="1" t="s">
        <v>44</v>
      </c>
      <c r="D458" s="1" t="s">
        <v>167</v>
      </c>
      <c r="E458" s="1" t="s">
        <v>283</v>
      </c>
      <c r="F458" s="1" t="n">
        <v>22</v>
      </c>
      <c r="G458" s="1" t="n">
        <v>47.6587</v>
      </c>
      <c r="H458" s="1" t="n">
        <f aca="false">F458*G458</f>
        <v>1048.4914</v>
      </c>
      <c r="I458" s="1" t="s">
        <v>413</v>
      </c>
    </row>
    <row r="459" customFormat="false" ht="14.25" hidden="false" customHeight="true" outlineLevel="0" collapsed="false">
      <c r="A459" s="1" t="s">
        <v>88</v>
      </c>
      <c r="B459" s="1" t="s">
        <v>275</v>
      </c>
      <c r="C459" s="1" t="s">
        <v>44</v>
      </c>
      <c r="D459" s="1" t="s">
        <v>240</v>
      </c>
      <c r="E459" s="1" t="s">
        <v>283</v>
      </c>
      <c r="F459" s="1" t="n">
        <v>1</v>
      </c>
      <c r="G459" s="1" t="n">
        <v>20</v>
      </c>
      <c r="H459" s="1" t="n">
        <f aca="false">F459*G459</f>
        <v>20</v>
      </c>
      <c r="I459" s="1" t="s">
        <v>414</v>
      </c>
    </row>
    <row r="460" customFormat="false" ht="14.25" hidden="false" customHeight="true" outlineLevel="0" collapsed="false">
      <c r="A460" s="1" t="s">
        <v>88</v>
      </c>
      <c r="B460" s="1" t="s">
        <v>275</v>
      </c>
      <c r="C460" s="1" t="s">
        <v>305</v>
      </c>
      <c r="D460" s="1" t="s">
        <v>194</v>
      </c>
      <c r="E460" s="1" t="s">
        <v>283</v>
      </c>
      <c r="F460" s="1" t="n">
        <v>1</v>
      </c>
      <c r="G460" s="1" t="n">
        <v>181.78</v>
      </c>
      <c r="H460" s="1" t="n">
        <f aca="false">F460*G460</f>
        <v>181.78</v>
      </c>
      <c r="I460" s="1" t="s">
        <v>414</v>
      </c>
    </row>
    <row r="461" customFormat="false" ht="14.25" hidden="false" customHeight="true" outlineLevel="0" collapsed="false">
      <c r="A461" s="1" t="s">
        <v>88</v>
      </c>
      <c r="B461" s="1" t="s">
        <v>275</v>
      </c>
      <c r="C461" s="1" t="s">
        <v>305</v>
      </c>
      <c r="D461" s="1" t="s">
        <v>198</v>
      </c>
      <c r="E461" s="1" t="s">
        <v>283</v>
      </c>
      <c r="F461" s="1" t="n">
        <v>1</v>
      </c>
      <c r="G461" s="1" t="n">
        <v>14.22</v>
      </c>
      <c r="H461" s="1" t="n">
        <f aca="false">F461*G461</f>
        <v>14.22</v>
      </c>
      <c r="I461" s="1" t="s">
        <v>414</v>
      </c>
    </row>
    <row r="462" customFormat="false" ht="14.25" hidden="false" customHeight="true" outlineLevel="0" collapsed="false">
      <c r="A462" s="1" t="s">
        <v>88</v>
      </c>
      <c r="B462" s="1" t="s">
        <v>275</v>
      </c>
      <c r="C462" s="1" t="s">
        <v>306</v>
      </c>
      <c r="D462" s="1" t="s">
        <v>192</v>
      </c>
      <c r="E462" s="1" t="s">
        <v>283</v>
      </c>
      <c r="F462" s="1" t="n">
        <v>22</v>
      </c>
      <c r="G462" s="1" t="n">
        <v>30</v>
      </c>
      <c r="H462" s="1" t="n">
        <f aca="false">F462*G462</f>
        <v>660</v>
      </c>
      <c r="I462" s="1" t="s">
        <v>413</v>
      </c>
    </row>
    <row r="463" customFormat="false" ht="14.25" hidden="false" customHeight="true" outlineLevel="0" collapsed="false">
      <c r="A463" s="1" t="s">
        <v>88</v>
      </c>
      <c r="B463" s="1" t="s">
        <v>275</v>
      </c>
      <c r="C463" s="1" t="s">
        <v>304</v>
      </c>
      <c r="D463" s="1" t="s">
        <v>170</v>
      </c>
      <c r="E463" s="1" t="s">
        <v>283</v>
      </c>
      <c r="F463" s="1" t="n">
        <v>22</v>
      </c>
      <c r="G463" s="1" t="n">
        <v>9.9184</v>
      </c>
      <c r="H463" s="1" t="n">
        <f aca="false">F463*G463</f>
        <v>218.2048</v>
      </c>
      <c r="I463" s="1" t="s">
        <v>413</v>
      </c>
    </row>
    <row r="464" customFormat="false" ht="14.25" hidden="false" customHeight="true" outlineLevel="0" collapsed="false">
      <c r="A464" s="1" t="s">
        <v>88</v>
      </c>
      <c r="B464" s="1" t="s">
        <v>275</v>
      </c>
      <c r="C464" s="1" t="s">
        <v>304</v>
      </c>
      <c r="D464" s="1" t="s">
        <v>173</v>
      </c>
      <c r="E464" s="1" t="s">
        <v>283</v>
      </c>
      <c r="F464" s="1" t="n">
        <v>22</v>
      </c>
      <c r="G464" s="1" t="n">
        <v>2.0497</v>
      </c>
      <c r="H464" s="1" t="n">
        <f aca="false">F464*G464</f>
        <v>45.0934</v>
      </c>
      <c r="I464" s="1" t="s">
        <v>413</v>
      </c>
    </row>
    <row r="465" customFormat="false" ht="14.25" hidden="false" customHeight="true" outlineLevel="0" collapsed="false">
      <c r="A465" s="1" t="s">
        <v>88</v>
      </c>
      <c r="B465" s="1" t="s">
        <v>275</v>
      </c>
      <c r="C465" s="1" t="s">
        <v>307</v>
      </c>
      <c r="D465" s="1" t="s">
        <v>415</v>
      </c>
      <c r="E465" s="1" t="s">
        <v>283</v>
      </c>
      <c r="F465" s="1" t="n">
        <v>1</v>
      </c>
      <c r="G465" s="1" t="n">
        <v>1827.84</v>
      </c>
      <c r="H465" s="1" t="n">
        <f aca="false">F465*G465</f>
        <v>1827.84</v>
      </c>
      <c r="I465" s="1" t="s">
        <v>313</v>
      </c>
    </row>
    <row r="466" customFormat="false" ht="14.25" hidden="false" customHeight="true" outlineLevel="0" collapsed="false">
      <c r="A466" s="1" t="s">
        <v>88</v>
      </c>
      <c r="B466" s="1" t="s">
        <v>285</v>
      </c>
      <c r="C466" s="1" t="s">
        <v>299</v>
      </c>
      <c r="D466" s="1" t="s">
        <v>241</v>
      </c>
      <c r="E466" s="1" t="s">
        <v>283</v>
      </c>
      <c r="F466" s="1" t="n">
        <v>1</v>
      </c>
      <c r="G466" s="1" t="n">
        <v>12966.98</v>
      </c>
      <c r="H466" s="1" t="n">
        <f aca="false">F466*G466</f>
        <v>12966.98</v>
      </c>
      <c r="I466" s="1" t="s">
        <v>409</v>
      </c>
    </row>
    <row r="467" customFormat="false" ht="14.25" hidden="false" customHeight="true" outlineLevel="0" collapsed="false">
      <c r="A467" s="1" t="s">
        <v>88</v>
      </c>
      <c r="B467" s="1" t="s">
        <v>285</v>
      </c>
      <c r="C467" s="1" t="s">
        <v>299</v>
      </c>
      <c r="D467" s="1" t="s">
        <v>166</v>
      </c>
      <c r="E467" s="1" t="s">
        <v>283</v>
      </c>
      <c r="F467" s="1" t="n">
        <v>4</v>
      </c>
      <c r="G467" s="1" t="n">
        <v>29.7419</v>
      </c>
      <c r="H467" s="1" t="n">
        <f aca="false">F467*G467</f>
        <v>118.9676</v>
      </c>
      <c r="I467" s="1" t="s">
        <v>416</v>
      </c>
    </row>
    <row r="468" customFormat="false" ht="14.25" hidden="false" customHeight="true" outlineLevel="0" collapsed="false">
      <c r="A468" s="1" t="s">
        <v>88</v>
      </c>
      <c r="B468" s="1" t="s">
        <v>285</v>
      </c>
      <c r="C468" s="1" t="s">
        <v>299</v>
      </c>
      <c r="D468" s="1" t="s">
        <v>165</v>
      </c>
      <c r="E468" s="1" t="s">
        <v>283</v>
      </c>
      <c r="F468" s="1" t="n">
        <v>4</v>
      </c>
      <c r="G468" s="1" t="n">
        <v>43.5409</v>
      </c>
      <c r="H468" s="1" t="n">
        <f aca="false">F468*G468</f>
        <v>174.1636</v>
      </c>
      <c r="I468" s="1" t="s">
        <v>413</v>
      </c>
    </row>
    <row r="469" customFormat="false" ht="14.25" hidden="false" customHeight="true" outlineLevel="0" collapsed="false">
      <c r="A469" s="1" t="s">
        <v>88</v>
      </c>
      <c r="B469" s="1" t="s">
        <v>285</v>
      </c>
      <c r="C469" s="1" t="s">
        <v>44</v>
      </c>
      <c r="D469" s="1" t="s">
        <v>167</v>
      </c>
      <c r="E469" s="1" t="s">
        <v>283</v>
      </c>
      <c r="F469" s="1" t="n">
        <v>4</v>
      </c>
      <c r="G469" s="1" t="n">
        <v>47.6587</v>
      </c>
      <c r="H469" s="1" t="n">
        <f aca="false">F469*G469</f>
        <v>190.6348</v>
      </c>
      <c r="I469" s="1" t="s">
        <v>413</v>
      </c>
    </row>
    <row r="470" customFormat="false" ht="14.25" hidden="false" customHeight="true" outlineLevel="0" collapsed="false">
      <c r="A470" s="1" t="s">
        <v>88</v>
      </c>
      <c r="B470" s="1" t="s">
        <v>285</v>
      </c>
      <c r="C470" s="1" t="s">
        <v>44</v>
      </c>
      <c r="D470" s="1" t="s">
        <v>240</v>
      </c>
      <c r="E470" s="1" t="s">
        <v>283</v>
      </c>
      <c r="F470" s="1" t="n">
        <v>1</v>
      </c>
      <c r="G470" s="1" t="n">
        <v>400</v>
      </c>
      <c r="H470" s="1" t="n">
        <f aca="false">F470*G470</f>
        <v>400</v>
      </c>
      <c r="I470" s="1" t="s">
        <v>409</v>
      </c>
    </row>
    <row r="471" customFormat="false" ht="14.25" hidden="false" customHeight="true" outlineLevel="0" collapsed="false">
      <c r="A471" s="1" t="s">
        <v>88</v>
      </c>
      <c r="B471" s="1" t="s">
        <v>285</v>
      </c>
      <c r="C471" s="1" t="s">
        <v>306</v>
      </c>
      <c r="D471" s="1" t="s">
        <v>192</v>
      </c>
      <c r="E471" s="1" t="s">
        <v>283</v>
      </c>
      <c r="F471" s="1" t="n">
        <v>4</v>
      </c>
      <c r="G471" s="1" t="n">
        <v>30</v>
      </c>
      <c r="H471" s="1" t="n">
        <f aca="false">F471*G471</f>
        <v>120</v>
      </c>
      <c r="I471" s="1" t="s">
        <v>413</v>
      </c>
    </row>
    <row r="472" customFormat="false" ht="14.25" hidden="false" customHeight="true" outlineLevel="0" collapsed="false">
      <c r="A472" s="1" t="s">
        <v>88</v>
      </c>
      <c r="B472" s="1" t="s">
        <v>285</v>
      </c>
      <c r="C472" s="1" t="s">
        <v>304</v>
      </c>
      <c r="D472" s="1" t="s">
        <v>170</v>
      </c>
      <c r="E472" s="1" t="s">
        <v>283</v>
      </c>
      <c r="F472" s="1" t="n">
        <v>4</v>
      </c>
      <c r="G472" s="1" t="n">
        <v>9.9184</v>
      </c>
      <c r="H472" s="1" t="n">
        <f aca="false">F472*G472</f>
        <v>39.6736</v>
      </c>
      <c r="I472" s="1" t="s">
        <v>413</v>
      </c>
    </row>
    <row r="473" customFormat="false" ht="14.25" hidden="false" customHeight="true" outlineLevel="0" collapsed="false">
      <c r="A473" s="1" t="s">
        <v>88</v>
      </c>
      <c r="B473" s="1" t="s">
        <v>285</v>
      </c>
      <c r="C473" s="1" t="s">
        <v>304</v>
      </c>
      <c r="D473" s="1" t="s">
        <v>173</v>
      </c>
      <c r="E473" s="1" t="s">
        <v>283</v>
      </c>
      <c r="F473" s="1" t="n">
        <v>4</v>
      </c>
      <c r="G473" s="1" t="n">
        <v>2.0497</v>
      </c>
      <c r="H473" s="1" t="n">
        <f aca="false">F473*G473</f>
        <v>8.1988</v>
      </c>
      <c r="I473" s="1" t="s">
        <v>413</v>
      </c>
    </row>
    <row r="474" customFormat="false" ht="14.25" hidden="false" customHeight="true" outlineLevel="0" collapsed="false">
      <c r="A474" s="1" t="s">
        <v>88</v>
      </c>
      <c r="B474" s="1" t="s">
        <v>287</v>
      </c>
      <c r="C474" s="1" t="s">
        <v>299</v>
      </c>
      <c r="D474" s="1" t="s">
        <v>241</v>
      </c>
      <c r="E474" s="1" t="s">
        <v>286</v>
      </c>
      <c r="F474" s="1" t="n">
        <v>1</v>
      </c>
      <c r="G474" s="1" t="n">
        <v>33347.72</v>
      </c>
      <c r="H474" s="1" t="n">
        <f aca="false">F474*G474</f>
        <v>33347.72</v>
      </c>
      <c r="I474" s="1" t="s">
        <v>417</v>
      </c>
    </row>
    <row r="475" customFormat="false" ht="14.25" hidden="false" customHeight="true" outlineLevel="0" collapsed="false">
      <c r="A475" s="1" t="s">
        <v>88</v>
      </c>
      <c r="B475" s="1" t="s">
        <v>287</v>
      </c>
      <c r="C475" s="1" t="s">
        <v>299</v>
      </c>
      <c r="D475" s="1" t="s">
        <v>166</v>
      </c>
      <c r="E475" s="1" t="s">
        <v>286</v>
      </c>
      <c r="F475" s="1" t="n">
        <v>10</v>
      </c>
      <c r="G475" s="1" t="n">
        <v>29.7419</v>
      </c>
      <c r="H475" s="1" t="n">
        <f aca="false">F475*G475</f>
        <v>297.419</v>
      </c>
      <c r="I475" s="1" t="s">
        <v>416</v>
      </c>
    </row>
    <row r="476" customFormat="false" ht="14.25" hidden="false" customHeight="true" outlineLevel="0" collapsed="false">
      <c r="A476" s="1" t="s">
        <v>88</v>
      </c>
      <c r="B476" s="1" t="s">
        <v>287</v>
      </c>
      <c r="C476" s="1" t="s">
        <v>299</v>
      </c>
      <c r="D476" s="1" t="s">
        <v>165</v>
      </c>
      <c r="E476" s="1" t="s">
        <v>286</v>
      </c>
      <c r="F476" s="1" t="n">
        <v>10</v>
      </c>
      <c r="G476" s="1" t="n">
        <v>43.5409</v>
      </c>
      <c r="H476" s="1" t="n">
        <f aca="false">F476*G476</f>
        <v>435.409</v>
      </c>
      <c r="I476" s="1" t="s">
        <v>413</v>
      </c>
    </row>
    <row r="477" customFormat="false" ht="14.25" hidden="false" customHeight="true" outlineLevel="0" collapsed="false">
      <c r="A477" s="1" t="s">
        <v>88</v>
      </c>
      <c r="B477" s="1" t="s">
        <v>287</v>
      </c>
      <c r="C477" s="1" t="s">
        <v>44</v>
      </c>
      <c r="D477" s="1" t="s">
        <v>167</v>
      </c>
      <c r="E477" s="1" t="s">
        <v>286</v>
      </c>
      <c r="F477" s="1" t="n">
        <v>10</v>
      </c>
      <c r="G477" s="1" t="n">
        <v>47.6587</v>
      </c>
      <c r="H477" s="1" t="n">
        <f aca="false">F477*G477</f>
        <v>476.587</v>
      </c>
      <c r="I477" s="1" t="s">
        <v>413</v>
      </c>
    </row>
    <row r="478" customFormat="false" ht="14.25" hidden="false" customHeight="true" outlineLevel="0" collapsed="false">
      <c r="A478" s="1" t="s">
        <v>88</v>
      </c>
      <c r="B478" s="1" t="s">
        <v>287</v>
      </c>
      <c r="C478" s="1" t="s">
        <v>44</v>
      </c>
      <c r="D478" s="1" t="s">
        <v>240</v>
      </c>
      <c r="E478" s="1" t="s">
        <v>286</v>
      </c>
      <c r="F478" s="1" t="n">
        <v>1</v>
      </c>
      <c r="G478" s="1" t="n">
        <v>291.6</v>
      </c>
      <c r="H478" s="1" t="n">
        <f aca="false">F478*G478</f>
        <v>291.6</v>
      </c>
      <c r="I478" s="1" t="s">
        <v>409</v>
      </c>
    </row>
    <row r="479" customFormat="false" ht="14.25" hidden="false" customHeight="true" outlineLevel="0" collapsed="false">
      <c r="A479" s="1" t="s">
        <v>88</v>
      </c>
      <c r="B479" s="1" t="s">
        <v>287</v>
      </c>
      <c r="C479" s="1" t="s">
        <v>306</v>
      </c>
      <c r="D479" s="1" t="s">
        <v>192</v>
      </c>
      <c r="E479" s="1" t="s">
        <v>286</v>
      </c>
      <c r="F479" s="1" t="n">
        <v>10</v>
      </c>
      <c r="G479" s="1" t="n">
        <v>30</v>
      </c>
      <c r="H479" s="1" t="n">
        <f aca="false">F479*G479</f>
        <v>300</v>
      </c>
      <c r="I479" s="1" t="s">
        <v>413</v>
      </c>
    </row>
    <row r="480" customFormat="false" ht="14.25" hidden="false" customHeight="true" outlineLevel="0" collapsed="false">
      <c r="A480" s="1" t="s">
        <v>88</v>
      </c>
      <c r="B480" s="1" t="s">
        <v>287</v>
      </c>
      <c r="C480" s="1" t="s">
        <v>304</v>
      </c>
      <c r="D480" s="1" t="s">
        <v>170</v>
      </c>
      <c r="E480" s="1" t="s">
        <v>286</v>
      </c>
      <c r="F480" s="1" t="n">
        <v>10</v>
      </c>
      <c r="G480" s="1" t="n">
        <v>9.9184</v>
      </c>
      <c r="H480" s="1" t="n">
        <f aca="false">F480*G480</f>
        <v>99.184</v>
      </c>
      <c r="I480" s="1" t="s">
        <v>413</v>
      </c>
    </row>
    <row r="481" customFormat="false" ht="14.25" hidden="false" customHeight="true" outlineLevel="0" collapsed="false">
      <c r="A481" s="1" t="s">
        <v>88</v>
      </c>
      <c r="B481" s="1" t="s">
        <v>287</v>
      </c>
      <c r="C481" s="1" t="s">
        <v>304</v>
      </c>
      <c r="D481" s="1" t="s">
        <v>173</v>
      </c>
      <c r="E481" s="1" t="s">
        <v>286</v>
      </c>
      <c r="F481" s="1" t="n">
        <v>10</v>
      </c>
      <c r="G481" s="1" t="n">
        <v>2.0497</v>
      </c>
      <c r="H481" s="1" t="n">
        <f aca="false">F481*G481</f>
        <v>20.497</v>
      </c>
      <c r="I481" s="1" t="s">
        <v>413</v>
      </c>
    </row>
    <row r="482" customFormat="false" ht="14.25" hidden="false" customHeight="true" outlineLevel="0" collapsed="false">
      <c r="A482" s="1" t="s">
        <v>88</v>
      </c>
      <c r="B482" s="1" t="s">
        <v>287</v>
      </c>
      <c r="C482" s="1" t="s">
        <v>299</v>
      </c>
      <c r="D482" s="1" t="s">
        <v>379</v>
      </c>
      <c r="E482" s="1" t="s">
        <v>286</v>
      </c>
      <c r="F482" s="1" t="n">
        <v>1</v>
      </c>
      <c r="G482" s="1" t="n">
        <v>3395.13</v>
      </c>
      <c r="H482" s="1" t="n">
        <f aca="false">F482*G482</f>
        <v>3395.13</v>
      </c>
      <c r="I482" s="1" t="s">
        <v>418</v>
      </c>
    </row>
    <row r="483" customFormat="false" ht="14.25" hidden="false" customHeight="true" outlineLevel="0" collapsed="false">
      <c r="A483" s="1" t="s">
        <v>88</v>
      </c>
      <c r="B483" s="1" t="s">
        <v>287</v>
      </c>
      <c r="C483" s="1" t="s">
        <v>307</v>
      </c>
      <c r="D483" s="1" t="s">
        <v>381</v>
      </c>
      <c r="E483" s="1" t="s">
        <v>286</v>
      </c>
      <c r="F483" s="1" t="n">
        <v>1</v>
      </c>
      <c r="G483" s="1" t="n">
        <v>2709.83</v>
      </c>
      <c r="H483" s="1" t="n">
        <f aca="false">F483*G483</f>
        <v>2709.83</v>
      </c>
      <c r="I483" s="1" t="s">
        <v>419</v>
      </c>
    </row>
    <row r="484" customFormat="false" ht="14.25" hidden="false" customHeight="true" outlineLevel="0" collapsed="false">
      <c r="A484" s="1" t="s">
        <v>88</v>
      </c>
      <c r="B484" s="1" t="s">
        <v>290</v>
      </c>
      <c r="C484" s="1" t="s">
        <v>299</v>
      </c>
      <c r="D484" s="1" t="s">
        <v>241</v>
      </c>
      <c r="E484" s="1" t="s">
        <v>286</v>
      </c>
      <c r="F484" s="1" t="n">
        <v>1</v>
      </c>
      <c r="G484" s="1" t="n">
        <v>52100.08</v>
      </c>
      <c r="H484" s="1" t="n">
        <f aca="false">F484*G484</f>
        <v>52100.08</v>
      </c>
      <c r="I484" s="1" t="s">
        <v>420</v>
      </c>
    </row>
    <row r="485" customFormat="false" ht="14.25" hidden="false" customHeight="true" outlineLevel="0" collapsed="false">
      <c r="A485" s="1" t="s">
        <v>88</v>
      </c>
      <c r="B485" s="1" t="s">
        <v>290</v>
      </c>
      <c r="C485" s="1" t="s">
        <v>299</v>
      </c>
      <c r="D485" s="1" t="s">
        <v>301</v>
      </c>
      <c r="E485" s="1" t="s">
        <v>286</v>
      </c>
      <c r="F485" s="1" t="n">
        <v>1</v>
      </c>
      <c r="G485" s="1" t="n">
        <v>2896</v>
      </c>
      <c r="H485" s="1" t="n">
        <f aca="false">F485*G485</f>
        <v>2896</v>
      </c>
      <c r="I485" s="1" t="s">
        <v>421</v>
      </c>
    </row>
    <row r="486" customFormat="false" ht="14.25" hidden="false" customHeight="true" outlineLevel="0" collapsed="false">
      <c r="A486" s="1" t="s">
        <v>88</v>
      </c>
      <c r="B486" s="1" t="s">
        <v>290</v>
      </c>
      <c r="C486" s="1" t="s">
        <v>299</v>
      </c>
      <c r="D486" s="1" t="s">
        <v>166</v>
      </c>
      <c r="E486" s="1" t="s">
        <v>286</v>
      </c>
      <c r="F486" s="1" t="n">
        <v>12</v>
      </c>
      <c r="G486" s="1" t="n">
        <v>29.7419</v>
      </c>
      <c r="H486" s="1" t="n">
        <f aca="false">F486*G486</f>
        <v>356.9028</v>
      </c>
      <c r="I486" s="1" t="s">
        <v>416</v>
      </c>
    </row>
    <row r="487" customFormat="false" ht="14.25" hidden="false" customHeight="true" outlineLevel="0" collapsed="false">
      <c r="A487" s="1" t="s">
        <v>88</v>
      </c>
      <c r="B487" s="1" t="s">
        <v>290</v>
      </c>
      <c r="C487" s="1" t="s">
        <v>299</v>
      </c>
      <c r="D487" s="1" t="s">
        <v>165</v>
      </c>
      <c r="E487" s="1" t="s">
        <v>286</v>
      </c>
      <c r="F487" s="1" t="n">
        <v>12</v>
      </c>
      <c r="G487" s="1" t="n">
        <v>43.5409</v>
      </c>
      <c r="H487" s="1" t="n">
        <f aca="false">F487*G487</f>
        <v>522.4908</v>
      </c>
      <c r="I487" s="1" t="s">
        <v>413</v>
      </c>
    </row>
    <row r="488" customFormat="false" ht="14.25" hidden="false" customHeight="true" outlineLevel="0" collapsed="false">
      <c r="A488" s="1" t="s">
        <v>88</v>
      </c>
      <c r="B488" s="1" t="s">
        <v>290</v>
      </c>
      <c r="C488" s="1" t="s">
        <v>44</v>
      </c>
      <c r="D488" s="1" t="s">
        <v>167</v>
      </c>
      <c r="E488" s="1" t="s">
        <v>286</v>
      </c>
      <c r="F488" s="1" t="n">
        <v>12</v>
      </c>
      <c r="G488" s="1" t="n">
        <v>47.6587</v>
      </c>
      <c r="H488" s="1" t="n">
        <f aca="false">F488*G488</f>
        <v>571.9044</v>
      </c>
      <c r="I488" s="1" t="s">
        <v>413</v>
      </c>
    </row>
    <row r="489" customFormat="false" ht="14.25" hidden="false" customHeight="true" outlineLevel="0" collapsed="false">
      <c r="A489" s="1" t="s">
        <v>88</v>
      </c>
      <c r="B489" s="1" t="s">
        <v>290</v>
      </c>
      <c r="C489" s="1" t="s">
        <v>44</v>
      </c>
      <c r="D489" s="1" t="s">
        <v>240</v>
      </c>
      <c r="E489" s="1" t="s">
        <v>286</v>
      </c>
      <c r="F489" s="1" t="n">
        <v>1</v>
      </c>
      <c r="G489" s="1" t="n">
        <v>600</v>
      </c>
      <c r="H489" s="1" t="n">
        <f aca="false">F489*G489</f>
        <v>600</v>
      </c>
      <c r="I489" s="1" t="s">
        <v>409</v>
      </c>
    </row>
    <row r="490" customFormat="false" ht="14.25" hidden="false" customHeight="true" outlineLevel="0" collapsed="false">
      <c r="A490" s="1" t="s">
        <v>88</v>
      </c>
      <c r="B490" s="1" t="s">
        <v>290</v>
      </c>
      <c r="C490" s="1" t="s">
        <v>305</v>
      </c>
      <c r="D490" s="1" t="s">
        <v>194</v>
      </c>
      <c r="E490" s="1" t="s">
        <v>286</v>
      </c>
      <c r="F490" s="1" t="n">
        <v>1</v>
      </c>
      <c r="G490" s="1" t="n">
        <v>300</v>
      </c>
      <c r="H490" s="1" t="n">
        <f aca="false">F490*G490</f>
        <v>300</v>
      </c>
      <c r="I490" s="1" t="s">
        <v>409</v>
      </c>
    </row>
    <row r="491" customFormat="false" ht="14.25" hidden="false" customHeight="true" outlineLevel="0" collapsed="false">
      <c r="A491" s="1" t="s">
        <v>88</v>
      </c>
      <c r="B491" s="1" t="s">
        <v>290</v>
      </c>
      <c r="C491" s="1" t="s">
        <v>306</v>
      </c>
      <c r="D491" s="1" t="s">
        <v>192</v>
      </c>
      <c r="E491" s="1" t="s">
        <v>286</v>
      </c>
      <c r="F491" s="1" t="n">
        <v>12</v>
      </c>
      <c r="G491" s="1" t="n">
        <v>30</v>
      </c>
      <c r="H491" s="1" t="n">
        <f aca="false">F491*G491</f>
        <v>360</v>
      </c>
      <c r="I491" s="1" t="s">
        <v>413</v>
      </c>
    </row>
    <row r="492" customFormat="false" ht="14.25" hidden="false" customHeight="true" outlineLevel="0" collapsed="false">
      <c r="A492" s="1" t="s">
        <v>88</v>
      </c>
      <c r="B492" s="1" t="s">
        <v>290</v>
      </c>
      <c r="C492" s="1" t="s">
        <v>304</v>
      </c>
      <c r="D492" s="1" t="s">
        <v>170</v>
      </c>
      <c r="E492" s="1" t="s">
        <v>286</v>
      </c>
      <c r="F492" s="1" t="n">
        <v>12</v>
      </c>
      <c r="G492" s="1" t="n">
        <v>9.9184</v>
      </c>
      <c r="H492" s="1" t="n">
        <f aca="false">F492*G492</f>
        <v>119.0208</v>
      </c>
      <c r="I492" s="1" t="s">
        <v>413</v>
      </c>
    </row>
    <row r="493" customFormat="false" ht="14.25" hidden="false" customHeight="true" outlineLevel="0" collapsed="false">
      <c r="A493" s="1" t="s">
        <v>88</v>
      </c>
      <c r="B493" s="1" t="s">
        <v>290</v>
      </c>
      <c r="C493" s="1" t="s">
        <v>304</v>
      </c>
      <c r="D493" s="1" t="s">
        <v>173</v>
      </c>
      <c r="E493" s="1" t="s">
        <v>286</v>
      </c>
      <c r="F493" s="1" t="n">
        <v>12</v>
      </c>
      <c r="G493" s="1" t="n">
        <v>2.0497</v>
      </c>
      <c r="H493" s="1" t="n">
        <f aca="false">F493*G493</f>
        <v>24.5964</v>
      </c>
      <c r="I493" s="1" t="s">
        <v>413</v>
      </c>
    </row>
    <row r="494" customFormat="false" ht="14.25" hidden="false" customHeight="true" outlineLevel="0" collapsed="false">
      <c r="A494" s="1" t="s">
        <v>88</v>
      </c>
      <c r="B494" s="1" t="s">
        <v>290</v>
      </c>
      <c r="C494" s="1" t="s">
        <v>307</v>
      </c>
      <c r="D494" s="1" t="s">
        <v>422</v>
      </c>
      <c r="E494" s="1" t="s">
        <v>286</v>
      </c>
      <c r="F494" s="1" t="n">
        <v>1</v>
      </c>
      <c r="G494" s="1" t="n">
        <v>1496.86</v>
      </c>
      <c r="H494" s="1" t="n">
        <f aca="false">F494*G494</f>
        <v>1496.86</v>
      </c>
      <c r="I494" s="1" t="s">
        <v>313</v>
      </c>
    </row>
    <row r="495" customFormat="false" ht="14.25" hidden="false" customHeight="true" outlineLevel="0" collapsed="false">
      <c r="A495" s="1" t="s">
        <v>88</v>
      </c>
      <c r="B495" s="1" t="s">
        <v>290</v>
      </c>
      <c r="C495" s="1" t="s">
        <v>307</v>
      </c>
      <c r="D495" s="1" t="s">
        <v>423</v>
      </c>
      <c r="E495" s="1" t="s">
        <v>286</v>
      </c>
      <c r="F495" s="1" t="n">
        <v>1</v>
      </c>
      <c r="G495" s="1" t="n">
        <v>1188.92</v>
      </c>
      <c r="H495" s="1" t="n">
        <f aca="false">F495*G495</f>
        <v>1188.92</v>
      </c>
      <c r="I495" s="1" t="s">
        <v>313</v>
      </c>
    </row>
    <row r="496" customFormat="false" ht="14.25" hidden="false" customHeight="true" outlineLevel="0" collapsed="false">
      <c r="A496" s="1" t="s">
        <v>88</v>
      </c>
      <c r="B496" s="1" t="s">
        <v>290</v>
      </c>
      <c r="C496" s="1" t="s">
        <v>307</v>
      </c>
      <c r="D496" s="1" t="s">
        <v>424</v>
      </c>
      <c r="E496" s="1" t="s">
        <v>286</v>
      </c>
      <c r="F496" s="1" t="n">
        <v>1</v>
      </c>
      <c r="G496" s="1" t="n">
        <v>659.44</v>
      </c>
      <c r="H496" s="1" t="n">
        <f aca="false">F496*G496</f>
        <v>659.44</v>
      </c>
      <c r="I496" s="1" t="s">
        <v>425</v>
      </c>
    </row>
    <row r="497" customFormat="false" ht="14.25" hidden="false" customHeight="true" outlineLevel="0" collapsed="false">
      <c r="A497" s="1" t="s">
        <v>88</v>
      </c>
      <c r="B497" s="1" t="s">
        <v>275</v>
      </c>
      <c r="C497" s="1" t="s">
        <v>299</v>
      </c>
      <c r="D497" s="1" t="s">
        <v>333</v>
      </c>
      <c r="E497" s="1" t="s">
        <v>274</v>
      </c>
      <c r="F497" s="1" t="n">
        <v>1</v>
      </c>
      <c r="G497" s="1" t="n">
        <v>16815.54</v>
      </c>
      <c r="H497" s="1" t="n">
        <f aca="false">F497*G497</f>
        <v>16815.54</v>
      </c>
      <c r="I497" s="1" t="s">
        <v>426</v>
      </c>
    </row>
    <row r="498" customFormat="false" ht="14.25" hidden="false" customHeight="true" outlineLevel="0" collapsed="false">
      <c r="A498" s="1" t="s">
        <v>88</v>
      </c>
      <c r="B498" s="1" t="s">
        <v>287</v>
      </c>
      <c r="C498" s="1" t="s">
        <v>299</v>
      </c>
      <c r="D498" s="1" t="s">
        <v>333</v>
      </c>
      <c r="E498" s="1" t="s">
        <v>286</v>
      </c>
      <c r="F498" s="1" t="n">
        <v>1</v>
      </c>
      <c r="G498" s="1" t="n">
        <v>13894.53</v>
      </c>
      <c r="H498" s="1" t="n">
        <f aca="false">F498*G498</f>
        <v>13894.53</v>
      </c>
      <c r="I498" s="1" t="s">
        <v>427</v>
      </c>
    </row>
    <row r="499" customFormat="false" ht="14.25" hidden="false" customHeight="true" outlineLevel="0" collapsed="false">
      <c r="A499" s="1" t="s">
        <v>88</v>
      </c>
      <c r="B499" s="1" t="s">
        <v>290</v>
      </c>
      <c r="C499" s="1" t="s">
        <v>299</v>
      </c>
      <c r="D499" s="1" t="s">
        <v>333</v>
      </c>
      <c r="E499" s="1" t="s">
        <v>286</v>
      </c>
      <c r="F499" s="1" t="n">
        <v>1</v>
      </c>
      <c r="G499" s="1" t="n">
        <v>14147.43</v>
      </c>
      <c r="H499" s="1" t="n">
        <f aca="false">F499*G499</f>
        <v>14147.43</v>
      </c>
      <c r="I499" s="1" t="s">
        <v>428</v>
      </c>
    </row>
    <row r="500" customFormat="false" ht="14.25" hidden="false" customHeight="true" outlineLevel="0" collapsed="false">
      <c r="A500" s="1" t="s">
        <v>88</v>
      </c>
      <c r="B500" s="1" t="s">
        <v>282</v>
      </c>
      <c r="C500" s="1" t="s">
        <v>299</v>
      </c>
      <c r="D500" s="1" t="s">
        <v>333</v>
      </c>
      <c r="E500" s="1" t="s">
        <v>280</v>
      </c>
      <c r="F500" s="1" t="n">
        <v>1</v>
      </c>
      <c r="G500" s="1" t="n">
        <v>10656.8</v>
      </c>
      <c r="H500" s="1" t="n">
        <f aca="false">F500*G500</f>
        <v>10656.8</v>
      </c>
      <c r="I500" s="1" t="s">
        <v>429</v>
      </c>
    </row>
    <row r="501" customFormat="false" ht="14.25" hidden="false" customHeight="true" outlineLevel="0" collapsed="false">
      <c r="A501" s="1" t="s">
        <v>88</v>
      </c>
      <c r="B501" s="1" t="s">
        <v>293</v>
      </c>
      <c r="C501" s="1" t="s">
        <v>299</v>
      </c>
      <c r="D501" s="1" t="s">
        <v>333</v>
      </c>
      <c r="E501" s="1" t="s">
        <v>292</v>
      </c>
      <c r="F501" s="1" t="n">
        <v>1</v>
      </c>
      <c r="G501" s="1" t="n">
        <v>6705.59</v>
      </c>
      <c r="H501" s="1" t="n">
        <f aca="false">F501*G501</f>
        <v>6705.59</v>
      </c>
      <c r="I501" s="1" t="s">
        <v>430</v>
      </c>
    </row>
    <row r="502" customFormat="false" ht="14.25" hidden="false" customHeight="true" outlineLevel="0" collapsed="false">
      <c r="A502" s="74" t="s">
        <v>431</v>
      </c>
      <c r="B502" s="75"/>
      <c r="C502" s="75"/>
      <c r="D502" s="75"/>
      <c r="E502" s="75"/>
      <c r="F502" s="75"/>
      <c r="G502" s="76"/>
      <c r="H502" s="77" t="n">
        <f aca="false">SUM(H21:H501)</f>
        <v>2324599.656</v>
      </c>
      <c r="I502" s="68"/>
      <c r="J502" s="68"/>
      <c r="K502" s="68"/>
      <c r="L502" s="68"/>
      <c r="M502" s="68"/>
      <c r="N502" s="68"/>
      <c r="O502" s="68"/>
    </row>
    <row r="503" customFormat="false" ht="14.25" hidden="false" customHeight="true" outlineLevel="0" collapsed="false">
      <c r="A503" s="68"/>
      <c r="B503" s="68"/>
      <c r="C503" s="68"/>
      <c r="D503" s="68"/>
      <c r="E503" s="68"/>
      <c r="F503" s="68"/>
      <c r="G503" s="68"/>
      <c r="H503" s="68"/>
      <c r="I503" s="68"/>
      <c r="J503" s="68"/>
      <c r="K503" s="68"/>
      <c r="L503" s="68"/>
      <c r="M503" s="68"/>
      <c r="N503" s="68"/>
      <c r="O503" s="68"/>
    </row>
    <row r="504" customFormat="false" ht="14.25" hidden="false" customHeight="true" outlineLevel="0" collapsed="false">
      <c r="A504" s="78" t="s">
        <v>432</v>
      </c>
      <c r="K504" s="68"/>
      <c r="L504" s="68"/>
      <c r="M504" s="68"/>
      <c r="N504" s="68"/>
      <c r="O504" s="68"/>
    </row>
    <row r="505" customFormat="false" ht="14.25" hidden="false" customHeight="true" outlineLevel="0" collapsed="false">
      <c r="A505" s="71" t="s">
        <v>9</v>
      </c>
      <c r="B505" s="71" t="s">
        <v>269</v>
      </c>
      <c r="C505" s="71" t="s">
        <v>3</v>
      </c>
      <c r="D505" s="71" t="s">
        <v>433</v>
      </c>
      <c r="E505" s="71" t="s">
        <v>434</v>
      </c>
      <c r="F505" s="71" t="s">
        <v>435</v>
      </c>
      <c r="G505" s="71" t="s">
        <v>436</v>
      </c>
      <c r="H505" s="71" t="s">
        <v>437</v>
      </c>
      <c r="I505" s="71" t="s">
        <v>438</v>
      </c>
      <c r="J505" s="71" t="s">
        <v>439</v>
      </c>
      <c r="K505" s="68"/>
      <c r="L505" s="68"/>
      <c r="M505" s="68"/>
      <c r="N505" s="68"/>
      <c r="O505" s="68"/>
    </row>
    <row r="506" customFormat="false" ht="14.25" hidden="false" customHeight="true" outlineLevel="0" collapsed="false">
      <c r="A506" s="72" t="s">
        <v>11</v>
      </c>
      <c r="B506" s="72" t="s">
        <v>274</v>
      </c>
      <c r="C506" s="72" t="s">
        <v>440</v>
      </c>
      <c r="D506" s="73" t="n">
        <v>201075.8</v>
      </c>
      <c r="E506" s="72" t="n">
        <v>537</v>
      </c>
      <c r="F506" s="72" t="n">
        <v>11</v>
      </c>
      <c r="G506" s="73" t="n">
        <v>41961.99</v>
      </c>
      <c r="H506" s="73" t="n">
        <v>1017.98</v>
      </c>
      <c r="I506" s="73" t="n">
        <v>42979.97</v>
      </c>
      <c r="J506" s="73" t="n">
        <v>366.93</v>
      </c>
      <c r="K506" s="68"/>
      <c r="L506" s="68"/>
      <c r="M506" s="68"/>
      <c r="N506" s="68"/>
      <c r="O506" s="68"/>
    </row>
    <row r="507" customFormat="false" ht="14.25" hidden="false" customHeight="true" outlineLevel="0" collapsed="false">
      <c r="A507" s="72" t="s">
        <v>11</v>
      </c>
      <c r="B507" s="72" t="s">
        <v>277</v>
      </c>
      <c r="C507" s="72" t="s">
        <v>440</v>
      </c>
      <c r="D507" s="73" t="n">
        <v>9440.98</v>
      </c>
      <c r="E507" s="72" t="n">
        <v>26</v>
      </c>
      <c r="F507" s="72" t="n">
        <v>1</v>
      </c>
      <c r="G507" s="73" t="n">
        <v>2047.79</v>
      </c>
      <c r="H507" s="73" t="n">
        <v>99.9</v>
      </c>
      <c r="I507" s="73" t="n">
        <v>2147.69</v>
      </c>
      <c r="J507" s="73" t="n">
        <v>349.67</v>
      </c>
      <c r="K507" s="68"/>
      <c r="L507" s="68"/>
      <c r="M507" s="68"/>
      <c r="N507" s="68"/>
      <c r="O507" s="68"/>
    </row>
    <row r="508" customFormat="false" ht="14.25" hidden="false" customHeight="true" outlineLevel="0" collapsed="false">
      <c r="A508" s="72" t="s">
        <v>11</v>
      </c>
      <c r="B508" s="72" t="s">
        <v>279</v>
      </c>
      <c r="C508" s="72" t="s">
        <v>440</v>
      </c>
      <c r="D508" s="73" t="n">
        <v>34101.64</v>
      </c>
      <c r="E508" s="72" t="n">
        <v>143</v>
      </c>
      <c r="F508" s="72" t="n">
        <v>2</v>
      </c>
      <c r="G508" s="73" t="n">
        <v>13522.34</v>
      </c>
      <c r="H508" s="73" t="n">
        <v>154.79</v>
      </c>
      <c r="I508" s="73" t="n">
        <v>13677.13</v>
      </c>
      <c r="J508" s="73" t="n">
        <v>235.18</v>
      </c>
      <c r="K508" s="68"/>
      <c r="L508" s="68"/>
      <c r="M508" s="68"/>
      <c r="N508" s="68"/>
      <c r="O508" s="68"/>
    </row>
    <row r="509" customFormat="false" ht="14.25" hidden="false" customHeight="true" outlineLevel="0" collapsed="false">
      <c r="A509" s="72" t="s">
        <v>11</v>
      </c>
      <c r="B509" s="72" t="s">
        <v>280</v>
      </c>
      <c r="C509" s="72" t="s">
        <v>440</v>
      </c>
      <c r="D509" s="73" t="n">
        <v>46748.72</v>
      </c>
      <c r="E509" s="72" t="n">
        <v>239</v>
      </c>
      <c r="F509" s="72" t="n">
        <v>1</v>
      </c>
      <c r="G509" s="73" t="n">
        <v>21837.84</v>
      </c>
      <c r="H509" s="73" t="n">
        <v>109.89</v>
      </c>
      <c r="I509" s="73" t="n">
        <v>21947.73</v>
      </c>
      <c r="J509" s="73" t="n">
        <v>194.79</v>
      </c>
      <c r="K509" s="68"/>
      <c r="L509" s="68"/>
      <c r="M509" s="68"/>
      <c r="N509" s="68"/>
      <c r="O509" s="68"/>
    </row>
    <row r="510" customFormat="false" ht="14.25" hidden="false" customHeight="true" outlineLevel="0" collapsed="false">
      <c r="A510" s="72" t="s">
        <v>11</v>
      </c>
      <c r="B510" s="72" t="s">
        <v>283</v>
      </c>
      <c r="C510" s="72" t="s">
        <v>440</v>
      </c>
      <c r="D510" s="73" t="n">
        <v>128073.38</v>
      </c>
      <c r="E510" s="72" t="n">
        <v>292</v>
      </c>
      <c r="F510" s="72" t="n">
        <v>3</v>
      </c>
      <c r="G510" s="73" t="n">
        <v>24097.75</v>
      </c>
      <c r="H510" s="73" t="n">
        <v>329.8</v>
      </c>
      <c r="I510" s="73" t="n">
        <v>24427.55</v>
      </c>
      <c r="J510" s="73" t="n">
        <v>434.15</v>
      </c>
      <c r="K510" s="68"/>
      <c r="L510" s="68"/>
      <c r="M510" s="68"/>
      <c r="N510" s="68"/>
      <c r="O510" s="68"/>
    </row>
    <row r="511" customFormat="false" ht="14.25" hidden="false" customHeight="true" outlineLevel="0" collapsed="false">
      <c r="A511" s="72" t="s">
        <v>11</v>
      </c>
      <c r="B511" s="72" t="s">
        <v>286</v>
      </c>
      <c r="C511" s="72" t="s">
        <v>440</v>
      </c>
      <c r="D511" s="73" t="n">
        <v>106296.31</v>
      </c>
      <c r="E511" s="72" t="n">
        <v>264</v>
      </c>
      <c r="F511" s="72" t="n">
        <v>8</v>
      </c>
      <c r="G511" s="73" t="n">
        <v>22685.42</v>
      </c>
      <c r="H511" s="73" t="n">
        <v>734.26</v>
      </c>
      <c r="I511" s="73" t="n">
        <v>23419.68</v>
      </c>
      <c r="J511" s="73" t="n">
        <v>390.8</v>
      </c>
      <c r="K511" s="68"/>
      <c r="L511" s="68"/>
      <c r="M511" s="68"/>
      <c r="N511" s="68"/>
      <c r="O511" s="68"/>
    </row>
    <row r="512" customFormat="false" ht="14.25" hidden="false" customHeight="true" outlineLevel="0" collapsed="false">
      <c r="A512" s="72" t="s">
        <v>11</v>
      </c>
      <c r="B512" s="72" t="s">
        <v>292</v>
      </c>
      <c r="C512" s="72" t="s">
        <v>440</v>
      </c>
      <c r="D512" s="73" t="n">
        <v>3703.62</v>
      </c>
      <c r="E512" s="72" t="n">
        <v>26</v>
      </c>
      <c r="F512" s="72" t="n">
        <v>0</v>
      </c>
      <c r="G512" s="73" t="n">
        <v>2307.4</v>
      </c>
      <c r="H512" s="73" t="n">
        <v>0</v>
      </c>
      <c r="I512" s="73" t="n">
        <v>2307.4</v>
      </c>
      <c r="J512" s="73" t="n">
        <v>142.45</v>
      </c>
      <c r="K512" s="68"/>
      <c r="L512" s="68"/>
      <c r="M512" s="68"/>
      <c r="N512" s="68"/>
      <c r="O512" s="68"/>
    </row>
    <row r="513" customFormat="false" ht="14.25" hidden="false" customHeight="true" outlineLevel="0" collapsed="false">
      <c r="A513" s="72" t="s">
        <v>20</v>
      </c>
      <c r="B513" s="72" t="s">
        <v>274</v>
      </c>
      <c r="C513" s="72" t="s">
        <v>440</v>
      </c>
      <c r="D513" s="73" t="n">
        <v>201494.74</v>
      </c>
      <c r="E513" s="72" t="n">
        <v>658</v>
      </c>
      <c r="F513" s="72" t="n">
        <v>10</v>
      </c>
      <c r="G513" s="73" t="n">
        <v>56085.27</v>
      </c>
      <c r="H513" s="73" t="n">
        <v>963.98</v>
      </c>
      <c r="I513" s="73" t="n">
        <v>57049.25</v>
      </c>
      <c r="J513" s="73" t="n">
        <v>301.64</v>
      </c>
      <c r="K513" s="68"/>
      <c r="L513" s="68"/>
      <c r="M513" s="68"/>
      <c r="N513" s="68"/>
      <c r="O513" s="68"/>
    </row>
    <row r="514" customFormat="false" ht="14.25" hidden="false" customHeight="true" outlineLevel="0" collapsed="false">
      <c r="A514" s="72" t="s">
        <v>20</v>
      </c>
      <c r="B514" s="72" t="s">
        <v>277</v>
      </c>
      <c r="C514" s="72" t="s">
        <v>440</v>
      </c>
      <c r="D514" s="73" t="n">
        <v>7393.19</v>
      </c>
      <c r="E514" s="72" t="n">
        <v>0</v>
      </c>
      <c r="F514" s="72" t="n">
        <v>0</v>
      </c>
      <c r="G514" s="73" t="n">
        <v>0</v>
      </c>
      <c r="H514" s="73" t="n">
        <v>0</v>
      </c>
      <c r="I514" s="73" t="n">
        <v>0</v>
      </c>
      <c r="J514" s="73"/>
      <c r="K514" s="68"/>
      <c r="L514" s="68"/>
      <c r="M514" s="68"/>
      <c r="N514" s="68"/>
      <c r="O514" s="68"/>
    </row>
    <row r="515" customFormat="false" ht="14.25" hidden="false" customHeight="true" outlineLevel="0" collapsed="false">
      <c r="A515" s="72" t="s">
        <v>20</v>
      </c>
      <c r="B515" s="72" t="s">
        <v>279</v>
      </c>
      <c r="C515" s="72" t="s">
        <v>440</v>
      </c>
      <c r="D515" s="73" t="n">
        <v>34062.29</v>
      </c>
      <c r="E515" s="72" t="n">
        <v>115</v>
      </c>
      <c r="F515" s="72" t="n">
        <v>5</v>
      </c>
      <c r="G515" s="73" t="n">
        <v>10449.44</v>
      </c>
      <c r="H515" s="73" t="n">
        <v>519.48</v>
      </c>
      <c r="I515" s="73" t="n">
        <v>10968.92</v>
      </c>
      <c r="J515" s="73" t="n">
        <v>283.85</v>
      </c>
      <c r="K515" s="68"/>
      <c r="L515" s="68"/>
      <c r="M515" s="68"/>
      <c r="N515" s="68"/>
      <c r="O515" s="68"/>
    </row>
    <row r="516" customFormat="false" ht="14.25" hidden="false" customHeight="true" outlineLevel="0" collapsed="false">
      <c r="A516" s="72" t="s">
        <v>20</v>
      </c>
      <c r="B516" s="72" t="s">
        <v>280</v>
      </c>
      <c r="C516" s="72" t="s">
        <v>440</v>
      </c>
      <c r="D516" s="73" t="n">
        <v>65778.89</v>
      </c>
      <c r="E516" s="72" t="n">
        <v>190</v>
      </c>
      <c r="F516" s="72" t="n">
        <v>0</v>
      </c>
      <c r="G516" s="73" t="n">
        <v>17667.07</v>
      </c>
      <c r="H516" s="73" t="n">
        <v>0</v>
      </c>
      <c r="I516" s="73" t="n">
        <v>17667.07</v>
      </c>
      <c r="J516" s="73" t="n">
        <v>346.2</v>
      </c>
      <c r="K516" s="68"/>
      <c r="L516" s="68"/>
      <c r="M516" s="68"/>
      <c r="N516" s="68"/>
      <c r="O516" s="68"/>
    </row>
    <row r="517" customFormat="false" ht="14.25" hidden="false" customHeight="true" outlineLevel="0" collapsed="false">
      <c r="A517" s="72" t="s">
        <v>20</v>
      </c>
      <c r="B517" s="72" t="s">
        <v>283</v>
      </c>
      <c r="C517" s="72" t="s">
        <v>440</v>
      </c>
      <c r="D517" s="73" t="n">
        <v>144637.39</v>
      </c>
      <c r="E517" s="72" t="n">
        <v>576</v>
      </c>
      <c r="F517" s="72" t="n">
        <v>6</v>
      </c>
      <c r="G517" s="73" t="n">
        <v>48361.21</v>
      </c>
      <c r="H517" s="73" t="n">
        <v>589.39</v>
      </c>
      <c r="I517" s="73" t="n">
        <v>48950.6</v>
      </c>
      <c r="J517" s="73" t="n">
        <v>248.52</v>
      </c>
      <c r="K517" s="68"/>
      <c r="L517" s="68"/>
      <c r="M517" s="68"/>
      <c r="N517" s="68"/>
      <c r="O517" s="68"/>
    </row>
    <row r="518" customFormat="false" ht="14.25" hidden="false" customHeight="true" outlineLevel="0" collapsed="false">
      <c r="A518" s="72" t="s">
        <v>20</v>
      </c>
      <c r="B518" s="72" t="s">
        <v>286</v>
      </c>
      <c r="C518" s="72" t="s">
        <v>440</v>
      </c>
      <c r="D518" s="73" t="n">
        <v>102225.01</v>
      </c>
      <c r="E518" s="72" t="n">
        <v>196</v>
      </c>
      <c r="F518" s="72" t="n">
        <v>11</v>
      </c>
      <c r="G518" s="73" t="n">
        <v>17775.09</v>
      </c>
      <c r="H518" s="73" t="n">
        <v>1108.79</v>
      </c>
      <c r="I518" s="73" t="n">
        <v>18883.88</v>
      </c>
      <c r="J518" s="73" t="n">
        <v>493.84</v>
      </c>
      <c r="K518" s="68"/>
      <c r="L518" s="68"/>
      <c r="M518" s="68"/>
      <c r="N518" s="68"/>
      <c r="O518" s="68"/>
    </row>
    <row r="519" customFormat="false" ht="14.25" hidden="false" customHeight="true" outlineLevel="0" collapsed="false">
      <c r="A519" s="72" t="s">
        <v>20</v>
      </c>
      <c r="B519" s="72" t="s">
        <v>292</v>
      </c>
      <c r="C519" s="72" t="s">
        <v>440</v>
      </c>
      <c r="D519" s="73" t="n">
        <v>3712.16</v>
      </c>
      <c r="E519" s="72" t="n">
        <v>23</v>
      </c>
      <c r="F519" s="72" t="n">
        <v>0</v>
      </c>
      <c r="G519" s="73" t="n">
        <v>1988.18</v>
      </c>
      <c r="H519" s="73" t="n">
        <v>0</v>
      </c>
      <c r="I519" s="73" t="n">
        <v>1988.18</v>
      </c>
      <c r="J519" s="73" t="n">
        <v>161.4</v>
      </c>
      <c r="K519" s="68"/>
      <c r="L519" s="68"/>
      <c r="M519" s="68"/>
      <c r="N519" s="68"/>
      <c r="O519" s="68"/>
    </row>
    <row r="520" customFormat="false" ht="14.25" hidden="false" customHeight="true" outlineLevel="0" collapsed="false">
      <c r="A520" s="72" t="s">
        <v>21</v>
      </c>
      <c r="B520" s="72" t="s">
        <v>274</v>
      </c>
      <c r="C520" s="72" t="s">
        <v>440</v>
      </c>
      <c r="D520" s="73" t="n">
        <v>235708.47</v>
      </c>
      <c r="E520" s="72" t="n">
        <v>808</v>
      </c>
      <c r="F520" s="72" t="n">
        <v>3</v>
      </c>
      <c r="G520" s="73" t="n">
        <v>67103</v>
      </c>
      <c r="H520" s="73" t="n">
        <v>74.9</v>
      </c>
      <c r="I520" s="73" t="n">
        <v>67177.9</v>
      </c>
      <c r="J520" s="73" t="n">
        <v>290.64</v>
      </c>
      <c r="K520" s="68"/>
      <c r="L520" s="68"/>
      <c r="M520" s="68"/>
      <c r="N520" s="68"/>
      <c r="O520" s="68"/>
    </row>
    <row r="521" customFormat="false" ht="14.25" hidden="false" customHeight="true" outlineLevel="0" collapsed="false">
      <c r="A521" s="72" t="s">
        <v>21</v>
      </c>
      <c r="B521" s="72" t="s">
        <v>277</v>
      </c>
      <c r="C521" s="72" t="s">
        <v>440</v>
      </c>
      <c r="D521" s="73" t="n">
        <v>7410.09</v>
      </c>
      <c r="E521" s="72" t="n">
        <v>138</v>
      </c>
      <c r="F521" s="72" t="n">
        <v>0</v>
      </c>
      <c r="G521" s="73" t="n">
        <v>11731.77</v>
      </c>
      <c r="H521" s="73" t="n">
        <v>0</v>
      </c>
      <c r="I521" s="73" t="n">
        <v>11731.77</v>
      </c>
      <c r="J521" s="73" t="n">
        <v>53.7</v>
      </c>
      <c r="K521" s="68"/>
      <c r="L521" s="68"/>
      <c r="M521" s="68"/>
      <c r="N521" s="68"/>
      <c r="O521" s="68"/>
    </row>
    <row r="522" customFormat="false" ht="14.25" hidden="false" customHeight="true" outlineLevel="0" collapsed="false">
      <c r="A522" s="72" t="s">
        <v>21</v>
      </c>
      <c r="B522" s="72" t="s">
        <v>279</v>
      </c>
      <c r="C522" s="72" t="s">
        <v>440</v>
      </c>
      <c r="D522" s="73" t="n">
        <v>17008.44</v>
      </c>
      <c r="E522" s="72" t="n">
        <v>128</v>
      </c>
      <c r="F522" s="72" t="n">
        <v>0</v>
      </c>
      <c r="G522" s="73" t="n">
        <v>11678.14</v>
      </c>
      <c r="H522" s="73" t="n">
        <v>0</v>
      </c>
      <c r="I522" s="73" t="n">
        <v>11678.14</v>
      </c>
      <c r="J522" s="73" t="n">
        <v>132.88</v>
      </c>
      <c r="K522" s="68"/>
      <c r="L522" s="68"/>
      <c r="M522" s="68"/>
      <c r="N522" s="68"/>
      <c r="O522" s="68"/>
    </row>
    <row r="523" customFormat="false" ht="14.25" hidden="false" customHeight="true" outlineLevel="0" collapsed="false">
      <c r="A523" s="72" t="s">
        <v>21</v>
      </c>
      <c r="B523" s="72" t="s">
        <v>280</v>
      </c>
      <c r="C523" s="72" t="s">
        <v>440</v>
      </c>
      <c r="D523" s="73" t="n">
        <v>46530.67</v>
      </c>
      <c r="E523" s="72" t="n">
        <v>327</v>
      </c>
      <c r="F523" s="72" t="n">
        <v>0</v>
      </c>
      <c r="G523" s="73" t="n">
        <v>29088.58</v>
      </c>
      <c r="H523" s="73" t="n">
        <v>0</v>
      </c>
      <c r="I523" s="73" t="n">
        <v>29088.58</v>
      </c>
      <c r="J523" s="73" t="n">
        <v>142.3</v>
      </c>
      <c r="K523" s="68"/>
      <c r="L523" s="68"/>
      <c r="M523" s="68"/>
      <c r="N523" s="68"/>
      <c r="O523" s="68"/>
    </row>
    <row r="524" customFormat="false" ht="14.25" hidden="false" customHeight="true" outlineLevel="0" collapsed="false">
      <c r="A524" s="72" t="s">
        <v>21</v>
      </c>
      <c r="B524" s="72" t="s">
        <v>283</v>
      </c>
      <c r="C524" s="72" t="s">
        <v>440</v>
      </c>
      <c r="D524" s="73" t="n">
        <v>110261.76</v>
      </c>
      <c r="E524" s="72" t="n">
        <v>342</v>
      </c>
      <c r="F524" s="72" t="n">
        <v>2</v>
      </c>
      <c r="G524" s="73" t="n">
        <v>28924.39</v>
      </c>
      <c r="H524" s="73" t="n">
        <v>25</v>
      </c>
      <c r="I524" s="73" t="n">
        <v>28949.39</v>
      </c>
      <c r="J524" s="73" t="n">
        <v>320.53</v>
      </c>
      <c r="K524" s="68"/>
      <c r="L524" s="68"/>
      <c r="M524" s="68"/>
      <c r="N524" s="68"/>
      <c r="O524" s="68"/>
    </row>
    <row r="525" customFormat="false" ht="14.25" hidden="false" customHeight="true" outlineLevel="0" collapsed="false">
      <c r="A525" s="72" t="s">
        <v>21</v>
      </c>
      <c r="B525" s="72" t="s">
        <v>286</v>
      </c>
      <c r="C525" s="72" t="s">
        <v>440</v>
      </c>
      <c r="D525" s="73" t="n">
        <v>125763.7</v>
      </c>
      <c r="E525" s="72" t="n">
        <v>266</v>
      </c>
      <c r="F525" s="72" t="n">
        <v>5</v>
      </c>
      <c r="G525" s="73" t="n">
        <v>23159.66</v>
      </c>
      <c r="H525" s="73" t="n">
        <v>105.09</v>
      </c>
      <c r="I525" s="73" t="n">
        <v>23264.75</v>
      </c>
      <c r="J525" s="73" t="n">
        <v>464.07</v>
      </c>
      <c r="K525" s="68"/>
      <c r="L525" s="68"/>
      <c r="M525" s="68"/>
      <c r="N525" s="68"/>
      <c r="O525" s="68"/>
    </row>
    <row r="526" customFormat="false" ht="14.25" hidden="false" customHeight="true" outlineLevel="0" collapsed="false">
      <c r="A526" s="72" t="s">
        <v>21</v>
      </c>
      <c r="B526" s="72" t="s">
        <v>292</v>
      </c>
      <c r="C526" s="72" t="s">
        <v>440</v>
      </c>
      <c r="D526" s="73" t="n">
        <v>0</v>
      </c>
      <c r="E526" s="72" t="n">
        <v>25</v>
      </c>
      <c r="F526" s="72" t="n">
        <v>1</v>
      </c>
      <c r="G526" s="73" t="n">
        <v>2177.7</v>
      </c>
      <c r="H526" s="73" t="n">
        <v>39.97</v>
      </c>
      <c r="I526" s="73" t="n">
        <v>2217.67</v>
      </c>
      <c r="J526" s="73" t="n">
        <v>0</v>
      </c>
      <c r="K526" s="68"/>
      <c r="L526" s="68"/>
      <c r="M526" s="68"/>
      <c r="N526" s="68"/>
      <c r="O526" s="68"/>
    </row>
    <row r="527" customFormat="false" ht="14.25" hidden="false" customHeight="true" outlineLevel="0" collapsed="false">
      <c r="A527" s="72" t="s">
        <v>88</v>
      </c>
      <c r="B527" s="72" t="s">
        <v>274</v>
      </c>
      <c r="C527" s="72" t="s">
        <v>440</v>
      </c>
      <c r="D527" s="73" t="n">
        <v>297699.26</v>
      </c>
      <c r="E527" s="72" t="n">
        <v>767</v>
      </c>
      <c r="F527" s="72" t="n">
        <v>2</v>
      </c>
      <c r="G527" s="73" t="n">
        <v>64091.8</v>
      </c>
      <c r="H527" s="73" t="n">
        <v>0</v>
      </c>
      <c r="I527" s="73" t="n">
        <v>64091.8</v>
      </c>
      <c r="J527" s="73" t="n">
        <v>387.13</v>
      </c>
      <c r="K527" s="68"/>
      <c r="L527" s="68"/>
      <c r="M527" s="68"/>
      <c r="N527" s="68"/>
      <c r="O527" s="68"/>
    </row>
    <row r="528" customFormat="false" ht="14.25" hidden="false" customHeight="true" outlineLevel="0" collapsed="false">
      <c r="A528" s="72" t="s">
        <v>88</v>
      </c>
      <c r="B528" s="72" t="s">
        <v>277</v>
      </c>
      <c r="C528" s="72" t="s">
        <v>440</v>
      </c>
      <c r="D528" s="73" t="n">
        <v>31045.2</v>
      </c>
      <c r="E528" s="72" t="n">
        <v>127</v>
      </c>
      <c r="F528" s="72" t="n">
        <v>0</v>
      </c>
      <c r="G528" s="73" t="n">
        <v>10832.87</v>
      </c>
      <c r="H528" s="73" t="n">
        <v>0</v>
      </c>
      <c r="I528" s="73" t="n">
        <v>10832.87</v>
      </c>
      <c r="J528" s="73" t="n">
        <v>244.45</v>
      </c>
      <c r="K528" s="68"/>
      <c r="L528" s="68"/>
      <c r="M528" s="68"/>
      <c r="N528" s="68"/>
      <c r="O528" s="68"/>
    </row>
    <row r="529" customFormat="false" ht="14.25" hidden="false" customHeight="true" outlineLevel="0" collapsed="false">
      <c r="A529" s="72" t="s">
        <v>88</v>
      </c>
      <c r="B529" s="72" t="s">
        <v>279</v>
      </c>
      <c r="C529" s="72" t="s">
        <v>440</v>
      </c>
      <c r="D529" s="73" t="n">
        <v>35033.51</v>
      </c>
      <c r="E529" s="72" t="n">
        <v>128</v>
      </c>
      <c r="F529" s="72" t="n">
        <v>0</v>
      </c>
      <c r="G529" s="73" t="n">
        <v>11678.14</v>
      </c>
      <c r="H529" s="73" t="n">
        <v>0</v>
      </c>
      <c r="I529" s="73" t="n">
        <v>11678.14</v>
      </c>
      <c r="J529" s="73" t="n">
        <v>273.7</v>
      </c>
      <c r="K529" s="68"/>
      <c r="L529" s="68"/>
      <c r="M529" s="68"/>
      <c r="N529" s="68"/>
      <c r="O529" s="68"/>
    </row>
    <row r="530" customFormat="false" ht="14.25" hidden="false" customHeight="true" outlineLevel="0" collapsed="false">
      <c r="A530" s="72" t="s">
        <v>88</v>
      </c>
      <c r="B530" s="72" t="s">
        <v>280</v>
      </c>
      <c r="C530" s="72" t="s">
        <v>440</v>
      </c>
      <c r="D530" s="73" t="n">
        <v>86178.06</v>
      </c>
      <c r="E530" s="72" t="n">
        <v>329</v>
      </c>
      <c r="F530" s="72" t="n">
        <v>0</v>
      </c>
      <c r="G530" s="73" t="n">
        <v>29323.48</v>
      </c>
      <c r="H530" s="73" t="n">
        <v>0</v>
      </c>
      <c r="I530" s="73" t="n">
        <v>29323.48</v>
      </c>
      <c r="J530" s="73" t="n">
        <v>261.94</v>
      </c>
      <c r="K530" s="68"/>
      <c r="L530" s="68"/>
      <c r="M530" s="68"/>
      <c r="N530" s="68"/>
      <c r="O530" s="68"/>
    </row>
    <row r="531" customFormat="false" ht="14.25" hidden="false" customHeight="true" outlineLevel="0" collapsed="false">
      <c r="A531" s="72" t="s">
        <v>88</v>
      </c>
      <c r="B531" s="72" t="s">
        <v>283</v>
      </c>
      <c r="C531" s="72" t="s">
        <v>440</v>
      </c>
      <c r="D531" s="73" t="n">
        <v>116812.43</v>
      </c>
      <c r="E531" s="72" t="n">
        <v>341</v>
      </c>
      <c r="F531" s="72" t="n">
        <v>1</v>
      </c>
      <c r="G531" s="73" t="n">
        <v>27889.88</v>
      </c>
      <c r="H531" s="73" t="n">
        <v>0</v>
      </c>
      <c r="I531" s="73" t="n">
        <v>27889.88</v>
      </c>
      <c r="J531" s="73" t="n">
        <v>341.56</v>
      </c>
      <c r="K531" s="68"/>
      <c r="L531" s="68"/>
      <c r="M531" s="68"/>
      <c r="N531" s="68"/>
      <c r="O531" s="68"/>
    </row>
    <row r="532" customFormat="false" ht="14.25" hidden="false" customHeight="true" outlineLevel="0" collapsed="false">
      <c r="A532" s="72" t="s">
        <v>88</v>
      </c>
      <c r="B532" s="72" t="s">
        <v>286</v>
      </c>
      <c r="C532" s="72" t="s">
        <v>440</v>
      </c>
      <c r="D532" s="73" t="n">
        <v>130611.55</v>
      </c>
      <c r="E532" s="72" t="n">
        <v>235</v>
      </c>
      <c r="F532" s="72" t="n">
        <v>0</v>
      </c>
      <c r="G532" s="73" t="n">
        <v>21116.57</v>
      </c>
      <c r="H532" s="73" t="n">
        <v>0</v>
      </c>
      <c r="I532" s="73" t="n">
        <v>21116.57</v>
      </c>
      <c r="J532" s="73" t="n">
        <v>630.97</v>
      </c>
      <c r="K532" s="68"/>
      <c r="L532" s="68"/>
      <c r="M532" s="68"/>
      <c r="N532" s="68"/>
      <c r="O532" s="68"/>
    </row>
    <row r="533" customFormat="false" ht="14.25" hidden="false" customHeight="true" outlineLevel="0" collapsed="false">
      <c r="A533" s="72" t="s">
        <v>88</v>
      </c>
      <c r="B533" s="72" t="s">
        <v>292</v>
      </c>
      <c r="C533" s="72" t="s">
        <v>440</v>
      </c>
      <c r="D533" s="73" t="n">
        <v>6705.59</v>
      </c>
      <c r="E533" s="72" t="n">
        <v>7</v>
      </c>
      <c r="F533" s="72" t="n">
        <v>0</v>
      </c>
      <c r="G533" s="73" t="n">
        <v>629.3</v>
      </c>
      <c r="H533" s="73" t="n">
        <v>0</v>
      </c>
      <c r="I533" s="73" t="n">
        <v>629.3</v>
      </c>
      <c r="J533" s="73" t="n">
        <v>957.94</v>
      </c>
      <c r="K533" s="68"/>
      <c r="L533" s="68"/>
      <c r="M533" s="68"/>
      <c r="N533" s="68"/>
      <c r="O533" s="68"/>
    </row>
    <row r="534" customFormat="false" ht="14.25" hidden="false" customHeight="true" outlineLevel="0" collapsed="false">
      <c r="A534" s="72"/>
      <c r="B534" s="72"/>
      <c r="C534" s="72"/>
      <c r="D534" s="73"/>
      <c r="E534" s="72"/>
      <c r="F534" s="72"/>
      <c r="G534" s="73"/>
      <c r="H534" s="73"/>
      <c r="I534" s="73"/>
      <c r="J534" s="68"/>
      <c r="K534" s="68"/>
      <c r="L534" s="68"/>
      <c r="M534" s="68"/>
      <c r="N534" s="68"/>
      <c r="O534" s="68"/>
    </row>
    <row r="535" customFormat="false" ht="14.25" hidden="false" customHeight="true" outlineLevel="0" collapsed="false">
      <c r="A535" s="72"/>
      <c r="B535" s="72"/>
      <c r="C535" s="72"/>
      <c r="D535" s="73"/>
      <c r="E535" s="72"/>
      <c r="F535" s="72"/>
      <c r="G535" s="73"/>
      <c r="H535" s="73"/>
      <c r="I535" s="73"/>
      <c r="J535" s="68"/>
      <c r="K535" s="68"/>
      <c r="L535" s="68"/>
      <c r="M535" s="68"/>
      <c r="N535" s="68"/>
      <c r="O535" s="68"/>
    </row>
    <row r="536" customFormat="false" ht="14.25" hidden="false" customHeight="true" outlineLevel="0" collapsed="false">
      <c r="A536" s="72"/>
      <c r="B536" s="72"/>
      <c r="C536" s="72"/>
      <c r="D536" s="73"/>
      <c r="E536" s="72"/>
      <c r="F536" s="72"/>
      <c r="G536" s="73"/>
      <c r="H536" s="73"/>
      <c r="I536" s="73"/>
      <c r="J536" s="68"/>
      <c r="K536" s="68"/>
      <c r="L536" s="68"/>
      <c r="M536" s="68"/>
      <c r="N536" s="68"/>
      <c r="O536" s="68"/>
    </row>
    <row r="537" customFormat="false" ht="14.25" hidden="false" customHeight="true" outlineLevel="0" collapsed="false">
      <c r="A537" s="72"/>
      <c r="B537" s="72"/>
      <c r="C537" s="72"/>
      <c r="D537" s="73"/>
      <c r="E537" s="72"/>
      <c r="F537" s="72"/>
      <c r="G537" s="73"/>
      <c r="H537" s="73"/>
      <c r="I537" s="73"/>
      <c r="J537" s="68"/>
      <c r="K537" s="68"/>
      <c r="L537" s="68"/>
      <c r="M537" s="68"/>
      <c r="N537" s="68"/>
      <c r="O537" s="68"/>
    </row>
    <row r="538" customFormat="false" ht="14.25" hidden="false" customHeight="true" outlineLevel="0" collapsed="false">
      <c r="A538" s="72"/>
      <c r="B538" s="72"/>
      <c r="C538" s="72"/>
      <c r="D538" s="73"/>
      <c r="E538" s="72"/>
      <c r="F538" s="72"/>
      <c r="G538" s="73"/>
      <c r="H538" s="73"/>
      <c r="I538" s="73"/>
      <c r="J538" s="68"/>
      <c r="K538" s="68"/>
      <c r="L538" s="68"/>
      <c r="M538" s="68"/>
      <c r="N538" s="68"/>
      <c r="O538" s="68"/>
    </row>
    <row r="539" customFormat="false" ht="14.25" hidden="false" customHeight="true" outlineLevel="0" collapsed="false">
      <c r="A539" s="72"/>
      <c r="B539" s="72"/>
      <c r="C539" s="72"/>
      <c r="D539" s="73"/>
      <c r="E539" s="72"/>
      <c r="F539" s="72"/>
      <c r="G539" s="73"/>
      <c r="H539" s="73"/>
      <c r="I539" s="73"/>
      <c r="J539" s="68"/>
      <c r="K539" s="68"/>
      <c r="L539" s="68"/>
      <c r="M539" s="68"/>
      <c r="N539" s="68"/>
      <c r="O539" s="68"/>
    </row>
    <row r="540" customFormat="false" ht="14.25" hidden="false" customHeight="true" outlineLevel="0" collapsed="false">
      <c r="A540" s="72"/>
      <c r="B540" s="72"/>
      <c r="C540" s="72"/>
      <c r="D540" s="73"/>
      <c r="E540" s="72"/>
      <c r="F540" s="72"/>
      <c r="G540" s="73"/>
      <c r="H540" s="73"/>
      <c r="I540" s="73"/>
      <c r="J540" s="68"/>
      <c r="K540" s="68"/>
      <c r="L540" s="68"/>
      <c r="M540" s="68"/>
      <c r="N540" s="68"/>
      <c r="O540" s="68"/>
    </row>
    <row r="541" customFormat="false" ht="14.25" hidden="false" customHeight="true" outlineLevel="0" collapsed="false">
      <c r="A541" s="72"/>
      <c r="B541" s="72"/>
      <c r="C541" s="72"/>
      <c r="D541" s="73"/>
      <c r="E541" s="72"/>
      <c r="F541" s="72"/>
      <c r="G541" s="73"/>
      <c r="H541" s="73"/>
      <c r="I541" s="73"/>
      <c r="J541" s="68"/>
      <c r="K541" s="68"/>
      <c r="L541" s="68"/>
      <c r="M541" s="68"/>
      <c r="N541" s="68"/>
      <c r="O541" s="68"/>
    </row>
    <row r="542" customFormat="false" ht="14.25" hidden="false" customHeight="true" outlineLevel="0" collapsed="false">
      <c r="A542" s="72"/>
      <c r="B542" s="72"/>
      <c r="C542" s="72"/>
      <c r="D542" s="73"/>
      <c r="E542" s="72"/>
      <c r="F542" s="72"/>
      <c r="G542" s="73"/>
      <c r="H542" s="73"/>
      <c r="I542" s="73"/>
      <c r="J542" s="68"/>
      <c r="K542" s="68"/>
      <c r="L542" s="68"/>
      <c r="M542" s="68"/>
      <c r="N542" s="68"/>
      <c r="O542" s="68"/>
    </row>
    <row r="543" customFormat="false" ht="14.25" hidden="false" customHeight="true" outlineLevel="0" collapsed="false">
      <c r="A543" s="72"/>
      <c r="B543" s="72"/>
      <c r="C543" s="72"/>
      <c r="D543" s="73"/>
      <c r="E543" s="72"/>
      <c r="F543" s="72"/>
      <c r="G543" s="73"/>
      <c r="H543" s="73"/>
      <c r="I543" s="73"/>
      <c r="J543" s="68"/>
      <c r="K543" s="68"/>
      <c r="L543" s="68"/>
      <c r="M543" s="68"/>
      <c r="N543" s="68"/>
      <c r="O543" s="68"/>
    </row>
    <row r="544" customFormat="false" ht="14.25" hidden="false" customHeight="true" outlineLevel="0" collapsed="false">
      <c r="A544" s="72"/>
      <c r="B544" s="72"/>
      <c r="C544" s="72"/>
      <c r="D544" s="73"/>
      <c r="E544" s="72"/>
      <c r="F544" s="72"/>
      <c r="G544" s="73"/>
      <c r="H544" s="73"/>
      <c r="I544" s="73"/>
      <c r="J544" s="68"/>
      <c r="K544" s="68"/>
      <c r="L544" s="68"/>
      <c r="M544" s="68"/>
      <c r="N544" s="68"/>
      <c r="O544" s="68"/>
    </row>
    <row r="545" customFormat="false" ht="14.25" hidden="false" customHeight="true" outlineLevel="0" collapsed="false">
      <c r="A545" s="72"/>
      <c r="B545" s="72"/>
      <c r="C545" s="72"/>
      <c r="D545" s="73"/>
      <c r="E545" s="72"/>
      <c r="F545" s="72"/>
      <c r="G545" s="73"/>
      <c r="H545" s="73"/>
      <c r="I545" s="73"/>
      <c r="J545" s="68"/>
      <c r="K545" s="68"/>
      <c r="L545" s="68"/>
      <c r="M545" s="68"/>
      <c r="N545" s="68"/>
      <c r="O545" s="68"/>
    </row>
    <row r="546" customFormat="false" ht="14.25" hidden="false" customHeight="true" outlineLevel="0" collapsed="false">
      <c r="A546" s="72"/>
      <c r="B546" s="72"/>
      <c r="C546" s="72"/>
      <c r="D546" s="73"/>
      <c r="E546" s="72"/>
      <c r="F546" s="72"/>
      <c r="G546" s="73"/>
      <c r="H546" s="73"/>
      <c r="I546" s="73"/>
      <c r="J546" s="68"/>
      <c r="K546" s="68"/>
      <c r="L546" s="68"/>
      <c r="M546" s="68"/>
      <c r="N546" s="68"/>
      <c r="O546" s="68"/>
    </row>
    <row r="547" customFormat="false" ht="14.25" hidden="false" customHeight="true" outlineLevel="0" collapsed="false">
      <c r="A547" s="72"/>
      <c r="B547" s="72"/>
      <c r="C547" s="72"/>
      <c r="D547" s="73"/>
      <c r="E547" s="72"/>
      <c r="F547" s="72"/>
      <c r="G547" s="73"/>
      <c r="H547" s="73"/>
      <c r="I547" s="73"/>
      <c r="J547" s="68"/>
      <c r="K547" s="68"/>
      <c r="L547" s="68"/>
      <c r="M547" s="68"/>
      <c r="N547" s="68"/>
      <c r="O547" s="68"/>
    </row>
    <row r="548" customFormat="false" ht="14.25" hidden="false" customHeight="true" outlineLevel="0" collapsed="false">
      <c r="A548" s="72"/>
      <c r="B548" s="72"/>
      <c r="C548" s="72"/>
      <c r="D548" s="73"/>
      <c r="E548" s="72"/>
      <c r="F548" s="72"/>
      <c r="G548" s="73"/>
      <c r="H548" s="73"/>
      <c r="I548" s="73"/>
      <c r="J548" s="68"/>
      <c r="K548" s="68"/>
      <c r="L548" s="68"/>
      <c r="M548" s="68"/>
      <c r="N548" s="68"/>
      <c r="O548" s="68"/>
    </row>
    <row r="549" customFormat="false" ht="14.25" hidden="false" customHeight="true" outlineLevel="0" collapsed="false">
      <c r="A549" s="72"/>
      <c r="B549" s="72"/>
      <c r="C549" s="72"/>
      <c r="D549" s="73"/>
      <c r="E549" s="72"/>
      <c r="F549" s="72"/>
      <c r="G549" s="73"/>
      <c r="H549" s="73"/>
      <c r="I549" s="73"/>
      <c r="J549" s="68"/>
      <c r="K549" s="68"/>
      <c r="L549" s="68"/>
      <c r="M549" s="68"/>
      <c r="N549" s="68"/>
      <c r="O549" s="68"/>
    </row>
    <row r="550" customFormat="false" ht="14.25" hidden="false" customHeight="true" outlineLevel="0" collapsed="false">
      <c r="A550" s="72"/>
      <c r="B550" s="72"/>
      <c r="C550" s="72"/>
      <c r="D550" s="73"/>
      <c r="E550" s="72"/>
      <c r="F550" s="72"/>
      <c r="G550" s="73"/>
      <c r="H550" s="73"/>
      <c r="I550" s="73"/>
      <c r="J550" s="68"/>
      <c r="K550" s="68"/>
      <c r="L550" s="68"/>
      <c r="M550" s="68"/>
      <c r="N550" s="68"/>
      <c r="O550" s="68"/>
    </row>
    <row r="551" customFormat="false" ht="14.25" hidden="false" customHeight="true" outlineLevel="0" collapsed="false">
      <c r="A551" s="72"/>
      <c r="B551" s="72"/>
      <c r="C551" s="72"/>
      <c r="D551" s="73"/>
      <c r="E551" s="72"/>
      <c r="F551" s="72"/>
      <c r="G551" s="73"/>
      <c r="H551" s="73"/>
      <c r="I551" s="73"/>
      <c r="J551" s="68"/>
      <c r="K551" s="68"/>
      <c r="L551" s="68"/>
      <c r="M551" s="68"/>
      <c r="N551" s="68"/>
      <c r="O551" s="68"/>
    </row>
    <row r="552" customFormat="false" ht="14.25" hidden="false" customHeight="true" outlineLevel="0" collapsed="false">
      <c r="A552" s="72"/>
      <c r="B552" s="72"/>
      <c r="C552" s="72"/>
      <c r="D552" s="73"/>
      <c r="E552" s="72"/>
      <c r="F552" s="72"/>
      <c r="G552" s="73"/>
      <c r="H552" s="73"/>
      <c r="I552" s="73"/>
      <c r="J552" s="68"/>
      <c r="K552" s="68"/>
      <c r="L552" s="68"/>
      <c r="M552" s="68"/>
      <c r="N552" s="68"/>
      <c r="O552" s="68"/>
    </row>
    <row r="553" customFormat="false" ht="14.25" hidden="false" customHeight="true" outlineLevel="0" collapsed="false">
      <c r="A553" s="72"/>
      <c r="B553" s="72"/>
      <c r="C553" s="72"/>
      <c r="D553" s="73"/>
      <c r="E553" s="72"/>
      <c r="F553" s="72"/>
      <c r="G553" s="73"/>
      <c r="H553" s="73"/>
      <c r="I553" s="73"/>
      <c r="J553" s="68"/>
      <c r="K553" s="68"/>
      <c r="L553" s="68"/>
      <c r="M553" s="68"/>
      <c r="N553" s="68"/>
      <c r="O553" s="68"/>
    </row>
    <row r="554" customFormat="false" ht="14.25" hidden="false" customHeight="true" outlineLevel="0" collapsed="false">
      <c r="A554" s="72"/>
      <c r="B554" s="72"/>
      <c r="C554" s="72"/>
      <c r="D554" s="73"/>
      <c r="E554" s="72"/>
      <c r="F554" s="72"/>
      <c r="G554" s="73"/>
      <c r="H554" s="73"/>
      <c r="I554" s="73"/>
      <c r="J554" s="68"/>
      <c r="K554" s="68"/>
      <c r="L554" s="68"/>
      <c r="M554" s="68"/>
      <c r="N554" s="68"/>
      <c r="O554" s="68"/>
    </row>
    <row r="555" customFormat="false" ht="14.25" hidden="false" customHeight="true" outlineLevel="0" collapsed="false">
      <c r="A555" s="72"/>
      <c r="B555" s="72"/>
      <c r="C555" s="72"/>
      <c r="D555" s="73"/>
      <c r="E555" s="72"/>
      <c r="F555" s="72"/>
      <c r="G555" s="73"/>
      <c r="H555" s="73"/>
      <c r="I555" s="73"/>
      <c r="J555" s="68"/>
      <c r="K555" s="68"/>
      <c r="L555" s="68"/>
      <c r="M555" s="68"/>
      <c r="N555" s="68"/>
      <c r="O555" s="68"/>
    </row>
    <row r="556" customFormat="false" ht="14.25" hidden="false" customHeight="true" outlineLevel="0" collapsed="false">
      <c r="A556" s="72"/>
      <c r="B556" s="72"/>
      <c r="C556" s="72"/>
      <c r="D556" s="73"/>
      <c r="E556" s="72"/>
      <c r="F556" s="72"/>
      <c r="G556" s="73"/>
      <c r="H556" s="73"/>
      <c r="I556" s="73"/>
      <c r="J556" s="68"/>
      <c r="K556" s="68"/>
      <c r="L556" s="68"/>
      <c r="M556" s="68"/>
      <c r="N556" s="68"/>
      <c r="O556" s="68"/>
    </row>
    <row r="557" customFormat="false" ht="14.25" hidden="false" customHeight="true" outlineLevel="0" collapsed="false">
      <c r="A557" s="72"/>
      <c r="B557" s="72"/>
      <c r="C557" s="72"/>
      <c r="D557" s="73"/>
      <c r="E557" s="72"/>
      <c r="F557" s="72"/>
      <c r="G557" s="73"/>
      <c r="H557" s="73"/>
      <c r="I557" s="73"/>
      <c r="J557" s="68"/>
      <c r="K557" s="68"/>
      <c r="L557" s="68"/>
      <c r="M557" s="68"/>
      <c r="N557" s="68"/>
      <c r="O557" s="68"/>
    </row>
    <row r="558" customFormat="false" ht="14.25" hidden="false" customHeight="true" outlineLevel="0" collapsed="false">
      <c r="A558" s="72"/>
      <c r="B558" s="72"/>
      <c r="C558" s="72"/>
      <c r="D558" s="73"/>
      <c r="E558" s="72"/>
      <c r="F558" s="72"/>
      <c r="G558" s="73"/>
      <c r="H558" s="73"/>
      <c r="I558" s="73"/>
      <c r="J558" s="68"/>
      <c r="K558" s="68"/>
      <c r="L558" s="68"/>
      <c r="M558" s="68"/>
      <c r="N558" s="68"/>
      <c r="O558" s="68"/>
    </row>
    <row r="559" customFormat="false" ht="14.25" hidden="false" customHeight="true" outlineLevel="0" collapsed="false">
      <c r="A559" s="72"/>
      <c r="B559" s="72"/>
      <c r="C559" s="72"/>
      <c r="D559" s="73"/>
      <c r="E559" s="72"/>
      <c r="F559" s="72"/>
      <c r="G559" s="73"/>
      <c r="H559" s="73"/>
      <c r="I559" s="73"/>
      <c r="J559" s="68"/>
      <c r="K559" s="68"/>
      <c r="L559" s="68"/>
      <c r="M559" s="68"/>
      <c r="N559" s="68"/>
      <c r="O559" s="68"/>
    </row>
    <row r="560" customFormat="false" ht="14.25" hidden="false" customHeight="true" outlineLevel="0" collapsed="false">
      <c r="A560" s="72"/>
      <c r="B560" s="72"/>
      <c r="C560" s="72"/>
      <c r="D560" s="73"/>
      <c r="E560" s="72"/>
      <c r="F560" s="72"/>
      <c r="G560" s="73"/>
      <c r="H560" s="73"/>
      <c r="I560" s="73"/>
      <c r="J560" s="68"/>
      <c r="K560" s="68"/>
      <c r="L560" s="68"/>
      <c r="M560" s="68"/>
      <c r="N560" s="68"/>
      <c r="O560" s="68"/>
    </row>
    <row r="561" customFormat="false" ht="14.25" hidden="false" customHeight="true" outlineLevel="0" collapsed="false">
      <c r="A561" s="72"/>
      <c r="B561" s="72"/>
      <c r="C561" s="72"/>
      <c r="D561" s="73"/>
      <c r="E561" s="72"/>
      <c r="F561" s="72"/>
      <c r="G561" s="73"/>
      <c r="H561" s="73"/>
      <c r="I561" s="73"/>
      <c r="J561" s="68"/>
      <c r="K561" s="68"/>
      <c r="L561" s="68"/>
      <c r="M561" s="68"/>
      <c r="N561" s="68"/>
      <c r="O561" s="68"/>
    </row>
    <row r="562" customFormat="false" ht="14.25" hidden="false" customHeight="true" outlineLevel="0" collapsed="false">
      <c r="A562" s="72"/>
      <c r="B562" s="72"/>
      <c r="C562" s="72"/>
      <c r="D562" s="73"/>
      <c r="E562" s="72"/>
      <c r="F562" s="72"/>
      <c r="G562" s="73"/>
      <c r="H562" s="73"/>
      <c r="I562" s="73"/>
      <c r="J562" s="68"/>
      <c r="K562" s="68"/>
      <c r="L562" s="68"/>
      <c r="M562" s="68"/>
      <c r="N562" s="68"/>
      <c r="O562" s="68"/>
    </row>
    <row r="563" customFormat="false" ht="14.25" hidden="false" customHeight="true" outlineLevel="0" collapsed="false">
      <c r="A563" s="72"/>
      <c r="B563" s="72"/>
      <c r="C563" s="72"/>
      <c r="D563" s="73"/>
      <c r="E563" s="72"/>
      <c r="F563" s="72"/>
      <c r="G563" s="73"/>
      <c r="H563" s="73"/>
      <c r="I563" s="73"/>
      <c r="J563" s="68"/>
      <c r="K563" s="68"/>
      <c r="L563" s="68"/>
      <c r="M563" s="68"/>
      <c r="N563" s="68"/>
      <c r="O563" s="68"/>
    </row>
    <row r="564" customFormat="false" ht="14.25" hidden="false" customHeight="true" outlineLevel="0" collapsed="false">
      <c r="A564" s="72"/>
      <c r="B564" s="72"/>
      <c r="C564" s="72"/>
      <c r="D564" s="73"/>
      <c r="E564" s="72"/>
      <c r="F564" s="72"/>
      <c r="G564" s="73"/>
      <c r="H564" s="73"/>
      <c r="I564" s="73"/>
      <c r="J564" s="68"/>
      <c r="K564" s="68"/>
      <c r="L564" s="68"/>
      <c r="M564" s="68"/>
      <c r="N564" s="68"/>
      <c r="O564" s="68"/>
    </row>
    <row r="565" customFormat="false" ht="14.25" hidden="false" customHeight="true" outlineLevel="0" collapsed="false">
      <c r="A565" s="72"/>
      <c r="B565" s="72"/>
      <c r="C565" s="72"/>
      <c r="D565" s="73"/>
      <c r="E565" s="72"/>
      <c r="F565" s="72"/>
      <c r="G565" s="73"/>
      <c r="H565" s="73"/>
      <c r="I565" s="73"/>
      <c r="J565" s="68"/>
      <c r="K565" s="68"/>
      <c r="L565" s="68"/>
      <c r="M565" s="68"/>
      <c r="N565" s="68"/>
      <c r="O565" s="68"/>
    </row>
    <row r="566" customFormat="false" ht="14.25" hidden="false" customHeight="true" outlineLevel="0" collapsed="false">
      <c r="A566" s="72"/>
      <c r="B566" s="72"/>
      <c r="C566" s="72"/>
      <c r="D566" s="73"/>
      <c r="E566" s="72"/>
      <c r="F566" s="72"/>
      <c r="G566" s="73"/>
      <c r="H566" s="73"/>
      <c r="I566" s="73"/>
      <c r="J566" s="68"/>
      <c r="K566" s="68"/>
      <c r="L566" s="68"/>
      <c r="M566" s="68"/>
      <c r="N566" s="68"/>
      <c r="O566" s="68"/>
    </row>
    <row r="567" customFormat="false" ht="14.25" hidden="false" customHeight="true" outlineLevel="0" collapsed="false">
      <c r="A567" s="72"/>
      <c r="B567" s="72"/>
      <c r="C567" s="72"/>
      <c r="D567" s="73"/>
      <c r="E567" s="72"/>
      <c r="F567" s="72"/>
      <c r="G567" s="73"/>
      <c r="H567" s="73"/>
      <c r="I567" s="73"/>
      <c r="J567" s="68"/>
      <c r="K567" s="68"/>
      <c r="L567" s="68"/>
      <c r="M567" s="68"/>
      <c r="N567" s="68"/>
      <c r="O567" s="68"/>
    </row>
    <row r="568" customFormat="false" ht="14.25" hidden="false" customHeight="true" outlineLevel="0" collapsed="false">
      <c r="A568" s="72"/>
      <c r="B568" s="72"/>
      <c r="C568" s="72"/>
      <c r="D568" s="73"/>
      <c r="E568" s="72"/>
      <c r="F568" s="72"/>
      <c r="G568" s="73"/>
      <c r="H568" s="73"/>
      <c r="I568" s="73"/>
      <c r="J568" s="68"/>
      <c r="K568" s="68"/>
      <c r="L568" s="68"/>
      <c r="M568" s="68"/>
      <c r="N568" s="68"/>
      <c r="O568" s="68"/>
    </row>
    <row r="569" customFormat="false" ht="14.25" hidden="false" customHeight="true" outlineLevel="0" collapsed="false">
      <c r="A569" s="72"/>
      <c r="B569" s="72"/>
      <c r="C569" s="72"/>
      <c r="D569" s="73"/>
      <c r="E569" s="72"/>
      <c r="F569" s="72"/>
      <c r="G569" s="73"/>
      <c r="H569" s="73"/>
      <c r="I569" s="73"/>
      <c r="J569" s="68"/>
      <c r="K569" s="68"/>
      <c r="L569" s="68"/>
      <c r="M569" s="68"/>
      <c r="N569" s="68"/>
      <c r="O569" s="68"/>
    </row>
    <row r="570" customFormat="false" ht="14.25" hidden="false" customHeight="true" outlineLevel="0" collapsed="false">
      <c r="A570" s="72"/>
      <c r="B570" s="72"/>
      <c r="C570" s="72"/>
      <c r="D570" s="73"/>
      <c r="E570" s="72"/>
      <c r="F570" s="72"/>
      <c r="G570" s="73"/>
      <c r="H570" s="73"/>
      <c r="I570" s="73"/>
      <c r="J570" s="68"/>
      <c r="K570" s="68"/>
      <c r="L570" s="68"/>
      <c r="M570" s="68"/>
      <c r="N570" s="68"/>
      <c r="O570" s="68"/>
    </row>
    <row r="571" customFormat="false" ht="14.25" hidden="false" customHeight="true" outlineLevel="0" collapsed="false">
      <c r="A571" s="72"/>
      <c r="B571" s="72"/>
      <c r="C571" s="72"/>
      <c r="D571" s="73"/>
      <c r="E571" s="72"/>
      <c r="F571" s="72"/>
      <c r="G571" s="73"/>
      <c r="H571" s="73"/>
      <c r="I571" s="73"/>
      <c r="J571" s="68"/>
      <c r="K571" s="68"/>
      <c r="L571" s="68"/>
      <c r="M571" s="68"/>
      <c r="N571" s="68"/>
      <c r="O571" s="68"/>
    </row>
    <row r="572" customFormat="false" ht="14.25" hidden="false" customHeight="true" outlineLevel="0" collapsed="false">
      <c r="A572" s="72"/>
      <c r="B572" s="72"/>
      <c r="C572" s="72"/>
      <c r="D572" s="73"/>
      <c r="E572" s="72"/>
      <c r="F572" s="72"/>
      <c r="G572" s="73"/>
      <c r="H572" s="73"/>
      <c r="I572" s="73"/>
      <c r="J572" s="68"/>
      <c r="K572" s="68"/>
      <c r="L572" s="68"/>
      <c r="M572" s="68"/>
      <c r="N572" s="68"/>
      <c r="O572" s="68"/>
    </row>
    <row r="573" customFormat="false" ht="14.25" hidden="false" customHeight="true" outlineLevel="0" collapsed="false">
      <c r="A573" s="72"/>
      <c r="B573" s="72"/>
      <c r="C573" s="72"/>
      <c r="D573" s="73"/>
      <c r="E573" s="72"/>
      <c r="F573" s="72"/>
      <c r="G573" s="73"/>
      <c r="H573" s="73"/>
      <c r="I573" s="73"/>
      <c r="J573" s="68"/>
      <c r="K573" s="68"/>
      <c r="L573" s="68"/>
      <c r="M573" s="68"/>
      <c r="N573" s="68"/>
      <c r="O573" s="68"/>
    </row>
    <row r="574" customFormat="false" ht="14.25" hidden="false" customHeight="true" outlineLevel="0" collapsed="false">
      <c r="A574" s="72"/>
      <c r="B574" s="72"/>
      <c r="C574" s="72"/>
      <c r="D574" s="73"/>
      <c r="E574" s="72"/>
      <c r="F574" s="72"/>
      <c r="G574" s="73"/>
      <c r="H574" s="73"/>
      <c r="I574" s="73"/>
      <c r="J574" s="68"/>
      <c r="K574" s="68"/>
      <c r="L574" s="68"/>
      <c r="M574" s="68"/>
      <c r="N574" s="68"/>
      <c r="O574" s="68"/>
    </row>
    <row r="575" customFormat="false" ht="14.25" hidden="false" customHeight="true" outlineLevel="0" collapsed="false">
      <c r="A575" s="72"/>
      <c r="B575" s="72"/>
      <c r="C575" s="72"/>
      <c r="D575" s="73"/>
      <c r="E575" s="72"/>
      <c r="F575" s="72"/>
      <c r="G575" s="73"/>
      <c r="H575" s="73"/>
      <c r="I575" s="73"/>
      <c r="J575" s="68"/>
      <c r="K575" s="68"/>
      <c r="L575" s="68"/>
      <c r="M575" s="68"/>
      <c r="N575" s="68"/>
      <c r="O575" s="68"/>
    </row>
    <row r="576" customFormat="false" ht="14.25" hidden="false" customHeight="true" outlineLevel="0" collapsed="false">
      <c r="A576" s="72"/>
      <c r="B576" s="72"/>
      <c r="C576" s="72"/>
      <c r="D576" s="73"/>
      <c r="E576" s="72"/>
      <c r="F576" s="72"/>
      <c r="G576" s="73"/>
      <c r="H576" s="73"/>
      <c r="I576" s="73"/>
      <c r="J576" s="68"/>
      <c r="K576" s="68"/>
      <c r="L576" s="68"/>
      <c r="M576" s="68"/>
      <c r="N576" s="68"/>
      <c r="O576" s="68"/>
    </row>
    <row r="577" customFormat="false" ht="14.25" hidden="false" customHeight="true" outlineLevel="0" collapsed="false">
      <c r="A577" s="72"/>
      <c r="B577" s="72"/>
      <c r="C577" s="72"/>
      <c r="D577" s="73"/>
      <c r="E577" s="72"/>
      <c r="F577" s="72"/>
      <c r="G577" s="73"/>
      <c r="H577" s="73"/>
      <c r="I577" s="73"/>
      <c r="J577" s="68"/>
      <c r="K577" s="68"/>
      <c r="L577" s="68"/>
      <c r="M577" s="68"/>
      <c r="N577" s="68"/>
      <c r="O577" s="68"/>
    </row>
    <row r="578" customFormat="false" ht="14.25" hidden="false" customHeight="true" outlineLevel="0" collapsed="false">
      <c r="A578" s="72"/>
      <c r="B578" s="72"/>
      <c r="C578" s="72"/>
      <c r="D578" s="73"/>
      <c r="E578" s="72"/>
      <c r="F578" s="72"/>
      <c r="G578" s="73"/>
      <c r="H578" s="73"/>
      <c r="I578" s="73"/>
      <c r="J578" s="68"/>
      <c r="K578" s="68"/>
      <c r="L578" s="68"/>
      <c r="M578" s="68"/>
      <c r="N578" s="68"/>
      <c r="O578" s="68"/>
    </row>
    <row r="579" customFormat="false" ht="14.25" hidden="false" customHeight="true" outlineLevel="0" collapsed="false">
      <c r="A579" s="72"/>
      <c r="B579" s="72"/>
      <c r="C579" s="72"/>
      <c r="D579" s="73"/>
      <c r="E579" s="72"/>
      <c r="F579" s="72"/>
      <c r="G579" s="73"/>
      <c r="H579" s="73"/>
      <c r="I579" s="73"/>
      <c r="J579" s="68"/>
      <c r="K579" s="68"/>
      <c r="L579" s="68"/>
      <c r="M579" s="68"/>
      <c r="N579" s="68"/>
      <c r="O579" s="68"/>
    </row>
    <row r="580" customFormat="false" ht="14.25" hidden="false" customHeight="true" outlineLevel="0" collapsed="false">
      <c r="A580" s="72"/>
      <c r="B580" s="72"/>
      <c r="C580" s="72"/>
      <c r="D580" s="73"/>
      <c r="E580" s="72"/>
      <c r="F580" s="72"/>
      <c r="G580" s="73"/>
      <c r="H580" s="73"/>
      <c r="I580" s="73"/>
      <c r="J580" s="68"/>
      <c r="K580" s="68"/>
      <c r="L580" s="68"/>
      <c r="M580" s="68"/>
      <c r="N580" s="68"/>
      <c r="O580" s="68"/>
    </row>
    <row r="581" customFormat="false" ht="14.25" hidden="false" customHeight="true" outlineLevel="0" collapsed="false">
      <c r="A581" s="72"/>
      <c r="B581" s="72"/>
      <c r="C581" s="72"/>
      <c r="D581" s="73"/>
      <c r="E581" s="72"/>
      <c r="F581" s="72"/>
      <c r="G581" s="73"/>
      <c r="H581" s="73"/>
      <c r="I581" s="73"/>
      <c r="J581" s="68"/>
      <c r="K581" s="68"/>
      <c r="L581" s="68"/>
      <c r="M581" s="68"/>
      <c r="N581" s="68"/>
      <c r="O581" s="68"/>
    </row>
    <row r="582" customFormat="false" ht="14.25" hidden="false" customHeight="true" outlineLevel="0" collapsed="false">
      <c r="A582" s="72"/>
      <c r="B582" s="72"/>
      <c r="C582" s="72"/>
      <c r="D582" s="73"/>
      <c r="E582" s="72"/>
      <c r="F582" s="72"/>
      <c r="G582" s="73"/>
      <c r="H582" s="73"/>
      <c r="I582" s="73"/>
      <c r="J582" s="68"/>
      <c r="K582" s="68"/>
      <c r="L582" s="68"/>
      <c r="M582" s="68"/>
      <c r="N582" s="68"/>
      <c r="O582" s="68"/>
    </row>
    <row r="583" customFormat="false" ht="14.25" hidden="false" customHeight="true" outlineLevel="0" collapsed="false">
      <c r="A583" s="72"/>
      <c r="B583" s="72"/>
      <c r="C583" s="72"/>
      <c r="D583" s="73"/>
      <c r="E583" s="72"/>
      <c r="F583" s="72"/>
      <c r="G583" s="73"/>
      <c r="H583" s="73"/>
      <c r="I583" s="73"/>
      <c r="J583" s="68"/>
      <c r="K583" s="68"/>
      <c r="L583" s="68"/>
      <c r="M583" s="68"/>
      <c r="N583" s="68"/>
      <c r="O583" s="68"/>
    </row>
    <row r="584" customFormat="false" ht="14.25" hidden="false" customHeight="true" outlineLevel="0" collapsed="false">
      <c r="A584" s="72"/>
      <c r="B584" s="72"/>
      <c r="C584" s="72"/>
      <c r="D584" s="73"/>
      <c r="E584" s="72"/>
      <c r="F584" s="72"/>
      <c r="G584" s="73"/>
      <c r="H584" s="73"/>
      <c r="I584" s="73"/>
      <c r="J584" s="68"/>
      <c r="K584" s="68"/>
      <c r="L584" s="68"/>
      <c r="M584" s="68"/>
      <c r="N584" s="68"/>
      <c r="O584" s="68"/>
    </row>
    <row r="585" customFormat="false" ht="14.25" hidden="false" customHeight="true" outlineLevel="0" collapsed="false">
      <c r="A585" s="72"/>
      <c r="B585" s="72"/>
      <c r="C585" s="72"/>
      <c r="D585" s="73"/>
      <c r="E585" s="72"/>
      <c r="F585" s="72"/>
      <c r="G585" s="73"/>
      <c r="H585" s="73"/>
      <c r="I585" s="73"/>
      <c r="J585" s="68"/>
      <c r="K585" s="68"/>
      <c r="L585" s="68"/>
      <c r="M585" s="68"/>
      <c r="N585" s="68"/>
      <c r="O585" s="68"/>
    </row>
    <row r="586" customFormat="false" ht="14.25" hidden="false" customHeight="true" outlineLevel="0" collapsed="false">
      <c r="A586" s="72"/>
      <c r="B586" s="72"/>
      <c r="C586" s="72"/>
      <c r="D586" s="73"/>
      <c r="E586" s="72"/>
      <c r="F586" s="72"/>
      <c r="G586" s="73"/>
      <c r="H586" s="73"/>
      <c r="I586" s="73"/>
      <c r="J586" s="68"/>
      <c r="K586" s="68"/>
      <c r="L586" s="68"/>
      <c r="M586" s="68"/>
      <c r="N586" s="68"/>
      <c r="O586" s="68"/>
    </row>
    <row r="587" customFormat="false" ht="14.25" hidden="false" customHeight="true" outlineLevel="0" collapsed="false">
      <c r="A587" s="72"/>
      <c r="B587" s="72"/>
      <c r="C587" s="72"/>
      <c r="D587" s="73"/>
      <c r="E587" s="72"/>
      <c r="F587" s="72"/>
      <c r="G587" s="73"/>
      <c r="H587" s="73"/>
      <c r="I587" s="73"/>
      <c r="J587" s="68"/>
      <c r="K587" s="68"/>
      <c r="L587" s="68"/>
      <c r="M587" s="68"/>
      <c r="N587" s="68"/>
      <c r="O587" s="68"/>
    </row>
    <row r="588" customFormat="false" ht="14.25" hidden="false" customHeight="true" outlineLevel="0" collapsed="false">
      <c r="A588" s="72"/>
      <c r="B588" s="72"/>
      <c r="C588" s="72"/>
      <c r="D588" s="73"/>
      <c r="E588" s="72"/>
      <c r="F588" s="72"/>
      <c r="G588" s="73"/>
      <c r="H588" s="73"/>
      <c r="I588" s="73"/>
      <c r="J588" s="68"/>
      <c r="K588" s="68"/>
      <c r="L588" s="68"/>
      <c r="M588" s="68"/>
      <c r="N588" s="68"/>
      <c r="O588" s="68"/>
    </row>
    <row r="589" customFormat="false" ht="14.25" hidden="false" customHeight="true" outlineLevel="0" collapsed="false">
      <c r="A589" s="72"/>
      <c r="B589" s="72"/>
      <c r="C589" s="72"/>
      <c r="D589" s="73"/>
      <c r="E589" s="72"/>
      <c r="F589" s="72"/>
      <c r="G589" s="73"/>
      <c r="H589" s="73"/>
      <c r="I589" s="73"/>
      <c r="J589" s="68"/>
      <c r="K589" s="68"/>
      <c r="L589" s="68"/>
      <c r="M589" s="68"/>
      <c r="N589" s="68"/>
      <c r="O589" s="68"/>
    </row>
    <row r="590" customFormat="false" ht="14.25" hidden="false" customHeight="true" outlineLevel="0" collapsed="false">
      <c r="A590" s="72"/>
      <c r="B590" s="72"/>
      <c r="C590" s="72"/>
      <c r="D590" s="73"/>
      <c r="E590" s="72"/>
      <c r="F590" s="72"/>
      <c r="G590" s="73"/>
      <c r="H590" s="73"/>
      <c r="I590" s="73"/>
      <c r="J590" s="68"/>
      <c r="K590" s="68"/>
      <c r="L590" s="68"/>
      <c r="M590" s="68"/>
      <c r="N590" s="68"/>
      <c r="O590" s="68"/>
    </row>
    <row r="591" customFormat="false" ht="14.25" hidden="false" customHeight="true" outlineLevel="0" collapsed="false">
      <c r="A591" s="72"/>
      <c r="B591" s="72"/>
      <c r="C591" s="72"/>
      <c r="D591" s="73"/>
      <c r="E591" s="72"/>
      <c r="F591" s="72"/>
      <c r="G591" s="73"/>
      <c r="H591" s="73"/>
      <c r="I591" s="73"/>
      <c r="J591" s="68"/>
      <c r="K591" s="68"/>
      <c r="L591" s="68"/>
      <c r="M591" s="68"/>
      <c r="N591" s="68"/>
      <c r="O591" s="68"/>
    </row>
    <row r="592" customFormat="false" ht="14.25" hidden="false" customHeight="true" outlineLevel="0" collapsed="false">
      <c r="A592" s="72"/>
      <c r="B592" s="72"/>
      <c r="C592" s="72"/>
      <c r="D592" s="73"/>
      <c r="E592" s="72"/>
      <c r="F592" s="72"/>
      <c r="G592" s="73"/>
      <c r="H592" s="73"/>
      <c r="I592" s="73"/>
      <c r="J592" s="68"/>
      <c r="K592" s="68"/>
      <c r="L592" s="68"/>
      <c r="M592" s="68"/>
      <c r="N592" s="68"/>
      <c r="O592" s="68"/>
    </row>
    <row r="593" customFormat="false" ht="14.25" hidden="false" customHeight="true" outlineLevel="0" collapsed="false">
      <c r="A593" s="72"/>
      <c r="B593" s="72"/>
      <c r="C593" s="72"/>
      <c r="D593" s="73"/>
      <c r="E593" s="72"/>
      <c r="F593" s="72"/>
      <c r="G593" s="73"/>
      <c r="H593" s="73"/>
      <c r="I593" s="73"/>
      <c r="J593" s="68"/>
      <c r="K593" s="68"/>
      <c r="L593" s="68"/>
      <c r="M593" s="68"/>
      <c r="N593" s="68"/>
      <c r="O593" s="68"/>
    </row>
    <row r="594" customFormat="false" ht="14.25" hidden="false" customHeight="true" outlineLevel="0" collapsed="false">
      <c r="A594" s="72"/>
      <c r="B594" s="72"/>
      <c r="C594" s="72"/>
      <c r="D594" s="73"/>
      <c r="E594" s="72"/>
      <c r="F594" s="72"/>
      <c r="G594" s="73"/>
      <c r="H594" s="73"/>
      <c r="I594" s="73"/>
      <c r="J594" s="68"/>
      <c r="K594" s="68"/>
      <c r="L594" s="68"/>
      <c r="M594" s="68"/>
      <c r="N594" s="68"/>
      <c r="O594" s="68"/>
    </row>
    <row r="595" customFormat="false" ht="14.25" hidden="false" customHeight="true" outlineLevel="0" collapsed="false">
      <c r="A595" s="72"/>
      <c r="B595" s="72"/>
      <c r="C595" s="72"/>
      <c r="D595" s="73"/>
      <c r="E595" s="72"/>
      <c r="F595" s="72"/>
      <c r="G595" s="73"/>
      <c r="H595" s="73"/>
      <c r="I595" s="73"/>
      <c r="J595" s="68"/>
      <c r="K595" s="68"/>
      <c r="L595" s="68"/>
      <c r="M595" s="68"/>
      <c r="N595" s="68"/>
      <c r="O595" s="68"/>
    </row>
    <row r="596" customFormat="false" ht="14.25" hidden="false" customHeight="true" outlineLevel="0" collapsed="false">
      <c r="A596" s="72"/>
      <c r="B596" s="72"/>
      <c r="C596" s="72"/>
      <c r="D596" s="73"/>
      <c r="E596" s="72"/>
      <c r="F596" s="72"/>
      <c r="G596" s="73"/>
      <c r="H596" s="73"/>
      <c r="I596" s="73"/>
      <c r="J596" s="68"/>
      <c r="K596" s="68"/>
      <c r="L596" s="68"/>
      <c r="M596" s="68"/>
      <c r="N596" s="68"/>
      <c r="O596" s="68"/>
    </row>
    <row r="597" customFormat="false" ht="14.25" hidden="false" customHeight="true" outlineLevel="0" collapsed="false">
      <c r="A597" s="72"/>
      <c r="B597" s="72"/>
      <c r="C597" s="72"/>
      <c r="D597" s="73"/>
      <c r="E597" s="72"/>
      <c r="F597" s="72"/>
      <c r="G597" s="73"/>
      <c r="H597" s="73"/>
      <c r="I597" s="73"/>
      <c r="J597" s="68"/>
      <c r="K597" s="68"/>
      <c r="L597" s="68"/>
      <c r="M597" s="68"/>
      <c r="N597" s="68"/>
      <c r="O597" s="68"/>
    </row>
    <row r="598" customFormat="false" ht="14.25" hidden="false" customHeight="true" outlineLevel="0" collapsed="false">
      <c r="A598" s="72"/>
      <c r="B598" s="72"/>
      <c r="C598" s="72"/>
      <c r="D598" s="73"/>
      <c r="E598" s="72"/>
      <c r="F598" s="72"/>
      <c r="G598" s="73"/>
      <c r="H598" s="73"/>
      <c r="I598" s="73"/>
      <c r="J598" s="68"/>
      <c r="K598" s="68"/>
      <c r="L598" s="68"/>
      <c r="M598" s="68"/>
      <c r="N598" s="68"/>
      <c r="O598" s="68"/>
    </row>
    <row r="599" customFormat="false" ht="14.25" hidden="false" customHeight="true" outlineLevel="0" collapsed="false">
      <c r="A599" s="72"/>
      <c r="B599" s="72"/>
      <c r="C599" s="72"/>
      <c r="D599" s="73"/>
      <c r="E599" s="72"/>
      <c r="F599" s="72"/>
      <c r="G599" s="73"/>
      <c r="H599" s="73"/>
      <c r="I599" s="73"/>
      <c r="J599" s="68"/>
      <c r="K599" s="68"/>
      <c r="L599" s="68"/>
      <c r="M599" s="68"/>
      <c r="N599" s="68"/>
      <c r="O599" s="68"/>
    </row>
    <row r="600" customFormat="false" ht="14.25" hidden="false" customHeight="true" outlineLevel="0" collapsed="false">
      <c r="A600" s="72"/>
      <c r="B600" s="72"/>
      <c r="C600" s="72"/>
      <c r="D600" s="73"/>
      <c r="E600" s="72"/>
      <c r="F600" s="72"/>
      <c r="G600" s="73"/>
      <c r="H600" s="73"/>
      <c r="I600" s="73"/>
      <c r="J600" s="68"/>
      <c r="K600" s="68"/>
      <c r="L600" s="68"/>
      <c r="M600" s="68"/>
      <c r="N600" s="68"/>
      <c r="O600" s="68"/>
    </row>
    <row r="601" customFormat="false" ht="14.25" hidden="false" customHeight="true" outlineLevel="0" collapsed="false">
      <c r="A601" s="72"/>
      <c r="B601" s="72"/>
      <c r="C601" s="72"/>
      <c r="D601" s="73"/>
      <c r="E601" s="72"/>
      <c r="F601" s="72"/>
      <c r="G601" s="73"/>
      <c r="H601" s="73"/>
      <c r="I601" s="73"/>
      <c r="J601" s="68"/>
      <c r="K601" s="68"/>
      <c r="L601" s="68"/>
      <c r="M601" s="68"/>
      <c r="N601" s="68"/>
      <c r="O601" s="68"/>
    </row>
    <row r="602" customFormat="false" ht="14.25" hidden="false" customHeight="true" outlineLevel="0" collapsed="false">
      <c r="A602" s="72"/>
      <c r="B602" s="72"/>
      <c r="C602" s="72"/>
      <c r="D602" s="73"/>
      <c r="E602" s="72"/>
      <c r="F602" s="72"/>
      <c r="G602" s="73"/>
      <c r="H602" s="73"/>
      <c r="I602" s="73"/>
      <c r="J602" s="68"/>
      <c r="K602" s="68"/>
      <c r="L602" s="68"/>
      <c r="M602" s="68"/>
      <c r="N602" s="68"/>
      <c r="O602" s="68"/>
    </row>
    <row r="603" customFormat="false" ht="14.25" hidden="false" customHeight="true" outlineLevel="0" collapsed="false">
      <c r="A603" s="72"/>
      <c r="B603" s="72"/>
      <c r="C603" s="72"/>
      <c r="D603" s="73"/>
      <c r="E603" s="72"/>
      <c r="F603" s="72"/>
      <c r="G603" s="73"/>
      <c r="H603" s="73"/>
      <c r="I603" s="73"/>
      <c r="J603" s="68"/>
      <c r="K603" s="68"/>
      <c r="L603" s="68"/>
      <c r="M603" s="68"/>
      <c r="N603" s="68"/>
      <c r="O603" s="68"/>
    </row>
    <row r="604" customFormat="false" ht="14.25" hidden="false" customHeight="true" outlineLevel="0" collapsed="false">
      <c r="A604" s="72"/>
      <c r="B604" s="72"/>
      <c r="C604" s="72"/>
      <c r="D604" s="73"/>
      <c r="E604" s="72"/>
      <c r="F604" s="72"/>
      <c r="G604" s="73"/>
      <c r="H604" s="73"/>
      <c r="I604" s="73"/>
      <c r="J604" s="68"/>
      <c r="K604" s="68"/>
      <c r="L604" s="68"/>
      <c r="M604" s="68"/>
      <c r="N604" s="68"/>
      <c r="O604" s="68"/>
    </row>
    <row r="605" customFormat="false" ht="14.25" hidden="false" customHeight="true" outlineLevel="0" collapsed="false">
      <c r="A605" s="72"/>
      <c r="B605" s="72"/>
      <c r="C605" s="72"/>
      <c r="D605" s="73"/>
      <c r="E605" s="72"/>
      <c r="F605" s="72"/>
      <c r="G605" s="73"/>
      <c r="H605" s="73"/>
      <c r="I605" s="73"/>
      <c r="J605" s="68"/>
      <c r="K605" s="68"/>
      <c r="L605" s="68"/>
      <c r="M605" s="68"/>
      <c r="N605" s="68"/>
      <c r="O605" s="68"/>
    </row>
    <row r="606" customFormat="false" ht="14.25" hidden="false" customHeight="true" outlineLevel="0" collapsed="false">
      <c r="A606" s="72"/>
      <c r="B606" s="72"/>
      <c r="C606" s="72"/>
      <c r="D606" s="73"/>
      <c r="E606" s="72"/>
      <c r="F606" s="72"/>
      <c r="G606" s="73"/>
      <c r="H606" s="73"/>
      <c r="I606" s="73"/>
      <c r="J606" s="68"/>
      <c r="K606" s="68"/>
      <c r="L606" s="68"/>
      <c r="M606" s="68"/>
      <c r="N606" s="68"/>
      <c r="O606" s="68"/>
    </row>
    <row r="607" customFormat="false" ht="14.25" hidden="false" customHeight="true" outlineLevel="0" collapsed="false">
      <c r="A607" s="72"/>
      <c r="B607" s="72"/>
      <c r="C607" s="72"/>
      <c r="D607" s="73"/>
      <c r="E607" s="72"/>
      <c r="F607" s="72"/>
      <c r="G607" s="73"/>
      <c r="H607" s="73"/>
      <c r="I607" s="73"/>
      <c r="J607" s="68"/>
      <c r="K607" s="68"/>
      <c r="L607" s="68"/>
      <c r="M607" s="68"/>
      <c r="N607" s="68"/>
      <c r="O607" s="68"/>
    </row>
    <row r="608" customFormat="false" ht="14.25" hidden="false" customHeight="true" outlineLevel="0" collapsed="false">
      <c r="A608" s="72"/>
      <c r="B608" s="72"/>
      <c r="C608" s="72"/>
      <c r="D608" s="73"/>
      <c r="E608" s="72"/>
      <c r="F608" s="72"/>
      <c r="G608" s="73"/>
      <c r="H608" s="73"/>
      <c r="I608" s="73"/>
      <c r="J608" s="68"/>
      <c r="K608" s="68"/>
      <c r="L608" s="68"/>
      <c r="M608" s="68"/>
      <c r="N608" s="68"/>
      <c r="O608" s="68"/>
    </row>
    <row r="609" customFormat="false" ht="14.25" hidden="false" customHeight="true" outlineLevel="0" collapsed="false">
      <c r="A609" s="72"/>
      <c r="B609" s="72"/>
      <c r="C609" s="72"/>
      <c r="D609" s="73"/>
      <c r="E609" s="72"/>
      <c r="F609" s="72"/>
      <c r="G609" s="73"/>
      <c r="H609" s="73"/>
      <c r="I609" s="73"/>
      <c r="J609" s="68"/>
      <c r="K609" s="68"/>
      <c r="L609" s="68"/>
      <c r="M609" s="68"/>
      <c r="N609" s="68"/>
      <c r="O609" s="68"/>
    </row>
    <row r="610" customFormat="false" ht="14.25" hidden="false" customHeight="true" outlineLevel="0" collapsed="false">
      <c r="A610" s="72"/>
      <c r="B610" s="72"/>
      <c r="C610" s="72"/>
      <c r="D610" s="73"/>
      <c r="E610" s="72"/>
      <c r="F610" s="72"/>
      <c r="G610" s="73"/>
      <c r="H610" s="73"/>
      <c r="I610" s="73"/>
      <c r="J610" s="68"/>
      <c r="K610" s="68"/>
      <c r="L610" s="68"/>
      <c r="M610" s="68"/>
      <c r="N610" s="68"/>
      <c r="O610" s="68"/>
    </row>
    <row r="611" customFormat="false" ht="14.25" hidden="false" customHeight="true" outlineLevel="0" collapsed="false">
      <c r="A611" s="72"/>
      <c r="B611" s="72"/>
      <c r="C611" s="72"/>
      <c r="D611" s="73"/>
      <c r="E611" s="72"/>
      <c r="F611" s="72"/>
      <c r="G611" s="73"/>
      <c r="H611" s="73"/>
      <c r="I611" s="73"/>
      <c r="J611" s="68"/>
      <c r="K611" s="68"/>
      <c r="L611" s="68"/>
      <c r="M611" s="68"/>
      <c r="N611" s="68"/>
      <c r="O611" s="68"/>
    </row>
    <row r="612" customFormat="false" ht="14.25" hidden="false" customHeight="true" outlineLevel="0" collapsed="false">
      <c r="A612" s="72"/>
      <c r="B612" s="72"/>
      <c r="C612" s="72"/>
      <c r="D612" s="73"/>
      <c r="E612" s="72"/>
      <c r="F612" s="72"/>
      <c r="G612" s="73"/>
      <c r="H612" s="73"/>
      <c r="I612" s="73"/>
      <c r="J612" s="68"/>
      <c r="K612" s="68"/>
      <c r="L612" s="68"/>
      <c r="M612" s="68"/>
      <c r="N612" s="68"/>
      <c r="O612" s="68"/>
    </row>
    <row r="613" customFormat="false" ht="14.25" hidden="false" customHeight="true" outlineLevel="0" collapsed="false">
      <c r="A613" s="72"/>
      <c r="B613" s="72"/>
      <c r="C613" s="72"/>
      <c r="D613" s="73"/>
      <c r="E613" s="72"/>
      <c r="F613" s="72"/>
      <c r="G613" s="73"/>
      <c r="H613" s="73"/>
      <c r="I613" s="73"/>
      <c r="J613" s="68"/>
      <c r="K613" s="68"/>
      <c r="L613" s="68"/>
      <c r="M613" s="68"/>
      <c r="N613" s="68"/>
      <c r="O613" s="68"/>
    </row>
    <row r="614" customFormat="false" ht="14.25" hidden="false" customHeight="true" outlineLevel="0" collapsed="false">
      <c r="A614" s="72"/>
      <c r="B614" s="72"/>
      <c r="C614" s="72"/>
      <c r="D614" s="73"/>
      <c r="E614" s="72"/>
      <c r="F614" s="72"/>
      <c r="G614" s="73"/>
      <c r="H614" s="73"/>
      <c r="I614" s="73"/>
      <c r="J614" s="68"/>
      <c r="K614" s="68"/>
      <c r="L614" s="68"/>
      <c r="M614" s="68"/>
      <c r="N614" s="68"/>
      <c r="O614" s="68"/>
    </row>
    <row r="615" customFormat="false" ht="14.25" hidden="false" customHeight="true" outlineLevel="0" collapsed="false">
      <c r="A615" s="72"/>
      <c r="B615" s="72"/>
      <c r="C615" s="72"/>
      <c r="D615" s="73"/>
      <c r="E615" s="72"/>
      <c r="F615" s="72"/>
      <c r="G615" s="73"/>
      <c r="H615" s="73"/>
      <c r="I615" s="73"/>
      <c r="J615" s="68"/>
      <c r="K615" s="68"/>
      <c r="L615" s="68"/>
      <c r="M615" s="68"/>
      <c r="N615" s="68"/>
      <c r="O615" s="68"/>
    </row>
    <row r="616" customFormat="false" ht="14.25" hidden="false" customHeight="true" outlineLevel="0" collapsed="false">
      <c r="A616" s="72"/>
      <c r="B616" s="72"/>
      <c r="C616" s="72"/>
      <c r="D616" s="73"/>
      <c r="E616" s="72"/>
      <c r="F616" s="72"/>
      <c r="G616" s="73"/>
      <c r="H616" s="73"/>
      <c r="I616" s="73"/>
      <c r="J616" s="68"/>
      <c r="K616" s="68"/>
      <c r="L616" s="68"/>
      <c r="M616" s="68"/>
      <c r="N616" s="68"/>
      <c r="O616" s="68"/>
    </row>
    <row r="617" customFormat="false" ht="14.25" hidden="false" customHeight="true" outlineLevel="0" collapsed="false">
      <c r="A617" s="72"/>
      <c r="B617" s="72"/>
      <c r="C617" s="72"/>
      <c r="D617" s="73"/>
      <c r="E617" s="72"/>
      <c r="F617" s="72"/>
      <c r="G617" s="73"/>
      <c r="H617" s="73"/>
      <c r="I617" s="73"/>
      <c r="J617" s="68"/>
      <c r="K617" s="68"/>
      <c r="L617" s="68"/>
      <c r="M617" s="68"/>
      <c r="N617" s="68"/>
      <c r="O617" s="68"/>
    </row>
    <row r="618" customFormat="false" ht="14.25" hidden="false" customHeight="true" outlineLevel="0" collapsed="false">
      <c r="A618" s="72"/>
      <c r="B618" s="72"/>
      <c r="C618" s="72"/>
      <c r="D618" s="73"/>
      <c r="E618" s="72"/>
      <c r="F618" s="72"/>
      <c r="G618" s="73"/>
      <c r="H618" s="73"/>
      <c r="I618" s="73"/>
      <c r="J618" s="68"/>
      <c r="K618" s="68"/>
      <c r="L618" s="68"/>
      <c r="M618" s="68"/>
      <c r="N618" s="68"/>
      <c r="O618" s="68"/>
    </row>
    <row r="619" customFormat="false" ht="14.25" hidden="false" customHeight="true" outlineLevel="0" collapsed="false">
      <c r="A619" s="72"/>
      <c r="B619" s="72"/>
      <c r="C619" s="72"/>
      <c r="D619" s="73"/>
      <c r="E619" s="72"/>
      <c r="F619" s="72"/>
      <c r="G619" s="73"/>
      <c r="H619" s="73"/>
      <c r="I619" s="73"/>
      <c r="J619" s="68"/>
      <c r="K619" s="68"/>
      <c r="L619" s="68"/>
      <c r="M619" s="68"/>
      <c r="N619" s="68"/>
      <c r="O619" s="68"/>
    </row>
    <row r="620" customFormat="false" ht="14.25" hidden="false" customHeight="true" outlineLevel="0" collapsed="false">
      <c r="A620" s="72"/>
      <c r="B620" s="72"/>
      <c r="C620" s="72"/>
      <c r="D620" s="73"/>
      <c r="E620" s="72"/>
      <c r="F620" s="72"/>
      <c r="G620" s="73"/>
      <c r="H620" s="73"/>
      <c r="I620" s="73"/>
      <c r="J620" s="68"/>
      <c r="K620" s="68"/>
      <c r="L620" s="68"/>
      <c r="M620" s="68"/>
      <c r="N620" s="68"/>
      <c r="O620" s="68"/>
    </row>
    <row r="621" customFormat="false" ht="14.25" hidden="false" customHeight="true" outlineLevel="0" collapsed="false">
      <c r="A621" s="72"/>
      <c r="B621" s="72"/>
      <c r="C621" s="72"/>
      <c r="D621" s="73"/>
      <c r="E621" s="72"/>
      <c r="F621" s="72"/>
      <c r="G621" s="73"/>
      <c r="H621" s="73"/>
      <c r="I621" s="73"/>
      <c r="J621" s="68"/>
      <c r="K621" s="68"/>
      <c r="L621" s="68"/>
      <c r="M621" s="68"/>
      <c r="N621" s="68"/>
      <c r="O621" s="68"/>
    </row>
    <row r="622" customFormat="false" ht="14.25" hidden="false" customHeight="true" outlineLevel="0" collapsed="false">
      <c r="A622" s="72"/>
      <c r="B622" s="72"/>
      <c r="C622" s="72"/>
      <c r="D622" s="73"/>
      <c r="E622" s="72"/>
      <c r="F622" s="72"/>
      <c r="G622" s="73"/>
      <c r="H622" s="73"/>
      <c r="I622" s="73"/>
      <c r="J622" s="68"/>
      <c r="K622" s="68"/>
      <c r="L622" s="68"/>
      <c r="M622" s="68"/>
      <c r="N622" s="68"/>
      <c r="O622" s="68"/>
    </row>
    <row r="623" customFormat="false" ht="14.25" hidden="false" customHeight="true" outlineLevel="0" collapsed="false">
      <c r="A623" s="72"/>
      <c r="B623" s="72"/>
      <c r="C623" s="72"/>
      <c r="D623" s="73"/>
      <c r="E623" s="72"/>
      <c r="F623" s="72"/>
      <c r="G623" s="73"/>
      <c r="H623" s="73"/>
      <c r="I623" s="73"/>
      <c r="J623" s="68"/>
      <c r="K623" s="68"/>
      <c r="L623" s="68"/>
      <c r="M623" s="68"/>
      <c r="N623" s="68"/>
      <c r="O623" s="68"/>
    </row>
    <row r="624" customFormat="false" ht="14.25" hidden="false" customHeight="true" outlineLevel="0" collapsed="false">
      <c r="A624" s="72"/>
      <c r="B624" s="72"/>
      <c r="C624" s="72"/>
      <c r="D624" s="73"/>
      <c r="E624" s="72"/>
      <c r="F624" s="72"/>
      <c r="G624" s="73"/>
      <c r="H624" s="73"/>
      <c r="I624" s="73"/>
      <c r="J624" s="68"/>
      <c r="K624" s="68"/>
      <c r="L624" s="68"/>
      <c r="M624" s="68"/>
      <c r="N624" s="68"/>
      <c r="O624" s="68"/>
    </row>
    <row r="625" customFormat="false" ht="14.25" hidden="false" customHeight="true" outlineLevel="0" collapsed="false">
      <c r="A625" s="72"/>
      <c r="B625" s="72"/>
      <c r="C625" s="72"/>
      <c r="D625" s="73"/>
      <c r="E625" s="72"/>
      <c r="F625" s="72"/>
      <c r="G625" s="73"/>
      <c r="H625" s="73"/>
      <c r="I625" s="73"/>
      <c r="J625" s="68"/>
      <c r="K625" s="68"/>
      <c r="L625" s="68"/>
      <c r="M625" s="68"/>
      <c r="N625" s="68"/>
      <c r="O625" s="68"/>
    </row>
    <row r="626" customFormat="false" ht="14.25" hidden="false" customHeight="true" outlineLevel="0" collapsed="false">
      <c r="A626" s="72"/>
      <c r="B626" s="72"/>
      <c r="C626" s="72"/>
      <c r="D626" s="73"/>
      <c r="E626" s="72"/>
      <c r="F626" s="72"/>
      <c r="G626" s="73"/>
      <c r="H626" s="73"/>
      <c r="I626" s="73"/>
      <c r="J626" s="68"/>
      <c r="K626" s="68"/>
      <c r="L626" s="68"/>
      <c r="M626" s="68"/>
      <c r="N626" s="68"/>
      <c r="O626" s="68"/>
    </row>
    <row r="627" customFormat="false" ht="14.25" hidden="false" customHeight="true" outlineLevel="0" collapsed="false">
      <c r="A627" s="72"/>
      <c r="B627" s="72"/>
      <c r="C627" s="72"/>
      <c r="D627" s="73"/>
      <c r="E627" s="72"/>
      <c r="F627" s="72"/>
      <c r="G627" s="73"/>
      <c r="H627" s="73"/>
      <c r="I627" s="73"/>
      <c r="J627" s="68"/>
      <c r="K627" s="68"/>
      <c r="L627" s="68"/>
      <c r="M627" s="68"/>
      <c r="N627" s="68"/>
      <c r="O627" s="68"/>
    </row>
    <row r="628" customFormat="false" ht="14.25" hidden="false" customHeight="true" outlineLevel="0" collapsed="false">
      <c r="A628" s="72"/>
      <c r="B628" s="72"/>
      <c r="C628" s="72"/>
      <c r="D628" s="73"/>
      <c r="E628" s="72"/>
      <c r="F628" s="72"/>
      <c r="G628" s="73"/>
      <c r="H628" s="73"/>
      <c r="I628" s="73"/>
      <c r="J628" s="68"/>
      <c r="K628" s="68"/>
      <c r="L628" s="68"/>
      <c r="M628" s="68"/>
      <c r="N628" s="68"/>
      <c r="O628" s="68"/>
    </row>
    <row r="629" customFormat="false" ht="14.25" hidden="false" customHeight="true" outlineLevel="0" collapsed="false">
      <c r="A629" s="72"/>
      <c r="B629" s="72"/>
      <c r="C629" s="72"/>
      <c r="D629" s="73"/>
      <c r="E629" s="72"/>
      <c r="F629" s="72"/>
      <c r="G629" s="73"/>
      <c r="H629" s="73"/>
      <c r="I629" s="73"/>
      <c r="J629" s="68"/>
      <c r="K629" s="68"/>
      <c r="L629" s="68"/>
      <c r="M629" s="68"/>
      <c r="N629" s="68"/>
      <c r="O629" s="68"/>
    </row>
    <row r="630" customFormat="false" ht="14.25" hidden="false" customHeight="true" outlineLevel="0" collapsed="false">
      <c r="A630" s="72"/>
      <c r="B630" s="72"/>
      <c r="C630" s="72"/>
      <c r="D630" s="73"/>
      <c r="E630" s="72"/>
      <c r="F630" s="72"/>
      <c r="G630" s="73"/>
      <c r="H630" s="73"/>
      <c r="I630" s="73"/>
      <c r="J630" s="68"/>
      <c r="K630" s="68"/>
      <c r="L630" s="68"/>
      <c r="M630" s="68"/>
      <c r="N630" s="68"/>
      <c r="O630" s="68"/>
    </row>
    <row r="631" customFormat="false" ht="14.25" hidden="false" customHeight="true" outlineLevel="0" collapsed="false">
      <c r="A631" s="72"/>
      <c r="B631" s="72"/>
      <c r="C631" s="72"/>
      <c r="D631" s="73"/>
      <c r="E631" s="72"/>
      <c r="F631" s="72"/>
      <c r="G631" s="73"/>
      <c r="H631" s="73"/>
      <c r="I631" s="73"/>
      <c r="J631" s="68"/>
      <c r="K631" s="68"/>
      <c r="L631" s="68"/>
      <c r="M631" s="68"/>
      <c r="N631" s="68"/>
      <c r="O631" s="68"/>
    </row>
    <row r="632" customFormat="false" ht="14.25" hidden="false" customHeight="true" outlineLevel="0" collapsed="false">
      <c r="A632" s="72"/>
      <c r="B632" s="72"/>
      <c r="C632" s="72"/>
      <c r="D632" s="73"/>
      <c r="E632" s="72"/>
      <c r="F632" s="72"/>
      <c r="G632" s="73"/>
      <c r="H632" s="73"/>
      <c r="I632" s="73"/>
      <c r="J632" s="68"/>
      <c r="K632" s="68"/>
      <c r="L632" s="68"/>
      <c r="M632" s="68"/>
      <c r="N632" s="68"/>
      <c r="O632" s="68"/>
    </row>
    <row r="633" customFormat="false" ht="14.25" hidden="false" customHeight="true" outlineLevel="0" collapsed="false">
      <c r="A633" s="72"/>
      <c r="B633" s="72"/>
      <c r="C633" s="72"/>
      <c r="D633" s="73"/>
      <c r="E633" s="72"/>
      <c r="F633" s="72"/>
      <c r="G633" s="73"/>
      <c r="H633" s="73"/>
      <c r="I633" s="73"/>
      <c r="J633" s="68"/>
      <c r="K633" s="68"/>
      <c r="L633" s="68"/>
      <c r="M633" s="68"/>
      <c r="N633" s="68"/>
      <c r="O633" s="68"/>
    </row>
    <row r="634" customFormat="false" ht="14.25" hidden="false" customHeight="true" outlineLevel="0" collapsed="false">
      <c r="A634" s="72"/>
      <c r="B634" s="72"/>
      <c r="C634" s="72"/>
      <c r="D634" s="73"/>
      <c r="E634" s="72"/>
      <c r="F634" s="72"/>
      <c r="G634" s="73"/>
      <c r="H634" s="73"/>
      <c r="I634" s="73"/>
      <c r="J634" s="68"/>
      <c r="K634" s="68"/>
      <c r="L634" s="68"/>
      <c r="M634" s="68"/>
      <c r="N634" s="68"/>
      <c r="O634" s="68"/>
    </row>
    <row r="635" customFormat="false" ht="14.25" hidden="false" customHeight="true" outlineLevel="0" collapsed="false">
      <c r="A635" s="72"/>
      <c r="B635" s="72"/>
      <c r="C635" s="72"/>
      <c r="D635" s="73"/>
      <c r="E635" s="72"/>
      <c r="F635" s="72"/>
      <c r="G635" s="73"/>
      <c r="H635" s="73"/>
      <c r="I635" s="73"/>
      <c r="J635" s="68"/>
      <c r="K635" s="68"/>
      <c r="L635" s="68"/>
      <c r="M635" s="68"/>
      <c r="N635" s="68"/>
      <c r="O635" s="68"/>
    </row>
    <row r="636" customFormat="false" ht="14.25" hidden="false" customHeight="true" outlineLevel="0" collapsed="false">
      <c r="A636" s="72"/>
      <c r="B636" s="72"/>
      <c r="C636" s="72"/>
      <c r="D636" s="73"/>
      <c r="E636" s="72"/>
      <c r="F636" s="72"/>
      <c r="G636" s="73"/>
      <c r="H636" s="73"/>
      <c r="I636" s="73"/>
      <c r="J636" s="68"/>
      <c r="K636" s="68"/>
      <c r="L636" s="68"/>
      <c r="M636" s="68"/>
      <c r="N636" s="68"/>
      <c r="O636" s="68"/>
    </row>
    <row r="637" customFormat="false" ht="14.25" hidden="false" customHeight="true" outlineLevel="0" collapsed="false">
      <c r="A637" s="72"/>
      <c r="B637" s="72"/>
      <c r="C637" s="72"/>
      <c r="D637" s="73"/>
      <c r="E637" s="72"/>
      <c r="F637" s="72"/>
      <c r="G637" s="73"/>
      <c r="H637" s="73"/>
      <c r="I637" s="73"/>
      <c r="J637" s="68"/>
      <c r="K637" s="68"/>
      <c r="L637" s="68"/>
      <c r="M637" s="68"/>
      <c r="N637" s="68"/>
      <c r="O637" s="68"/>
    </row>
    <row r="638" customFormat="false" ht="14.25" hidden="false" customHeight="true" outlineLevel="0" collapsed="false">
      <c r="A638" s="72"/>
      <c r="B638" s="72"/>
      <c r="C638" s="72"/>
      <c r="D638" s="73"/>
      <c r="E638" s="72"/>
      <c r="F638" s="72"/>
      <c r="G638" s="73"/>
      <c r="H638" s="73"/>
      <c r="I638" s="73"/>
      <c r="J638" s="68"/>
      <c r="K638" s="68"/>
      <c r="L638" s="68"/>
      <c r="M638" s="68"/>
      <c r="N638" s="68"/>
      <c r="O638" s="68"/>
    </row>
    <row r="639" customFormat="false" ht="14.25" hidden="false" customHeight="true" outlineLevel="0" collapsed="false">
      <c r="A639" s="72"/>
      <c r="B639" s="72"/>
      <c r="C639" s="72"/>
      <c r="D639" s="73"/>
      <c r="E639" s="72"/>
      <c r="F639" s="72"/>
      <c r="G639" s="73"/>
      <c r="H639" s="73"/>
      <c r="I639" s="73"/>
      <c r="J639" s="68"/>
      <c r="K639" s="68"/>
      <c r="L639" s="68"/>
      <c r="M639" s="68"/>
      <c r="N639" s="68"/>
      <c r="O639" s="68"/>
    </row>
    <row r="640" customFormat="false" ht="14.25" hidden="false" customHeight="true" outlineLevel="0" collapsed="false">
      <c r="A640" s="72"/>
      <c r="B640" s="72"/>
      <c r="C640" s="72"/>
      <c r="D640" s="73"/>
      <c r="E640" s="72"/>
      <c r="F640" s="72"/>
      <c r="G640" s="73"/>
      <c r="H640" s="73"/>
      <c r="I640" s="73"/>
      <c r="J640" s="68"/>
      <c r="K640" s="68"/>
      <c r="L640" s="68"/>
      <c r="M640" s="68"/>
      <c r="N640" s="68"/>
      <c r="O640" s="68"/>
    </row>
    <row r="641" customFormat="false" ht="14.25" hidden="false" customHeight="true" outlineLevel="0" collapsed="false">
      <c r="A641" s="72"/>
      <c r="B641" s="72"/>
      <c r="C641" s="72"/>
      <c r="D641" s="73"/>
      <c r="E641" s="72"/>
      <c r="F641" s="72"/>
      <c r="G641" s="73"/>
      <c r="H641" s="73"/>
      <c r="I641" s="73"/>
      <c r="J641" s="68"/>
      <c r="K641" s="68"/>
      <c r="L641" s="68"/>
      <c r="M641" s="68"/>
      <c r="N641" s="68"/>
      <c r="O641" s="68"/>
    </row>
    <row r="642" customFormat="false" ht="14.25" hidden="false" customHeight="true" outlineLevel="0" collapsed="false">
      <c r="A642" s="72"/>
      <c r="B642" s="72"/>
      <c r="C642" s="72"/>
      <c r="D642" s="73"/>
      <c r="E642" s="72"/>
      <c r="F642" s="72"/>
      <c r="G642" s="73"/>
      <c r="H642" s="73"/>
      <c r="I642" s="73"/>
      <c r="J642" s="68"/>
      <c r="K642" s="68"/>
      <c r="L642" s="68"/>
      <c r="M642" s="68"/>
      <c r="N642" s="68"/>
      <c r="O642" s="68"/>
    </row>
    <row r="643" customFormat="false" ht="14.25" hidden="false" customHeight="true" outlineLevel="0" collapsed="false">
      <c r="A643" s="72"/>
      <c r="B643" s="72"/>
      <c r="C643" s="72"/>
      <c r="D643" s="73"/>
      <c r="E643" s="72"/>
      <c r="F643" s="72"/>
      <c r="G643" s="73"/>
      <c r="H643" s="73"/>
      <c r="I643" s="73"/>
      <c r="J643" s="68"/>
      <c r="K643" s="68"/>
      <c r="L643" s="68"/>
      <c r="M643" s="68"/>
      <c r="N643" s="68"/>
      <c r="O643" s="68"/>
    </row>
    <row r="644" customFormat="false" ht="14.25" hidden="false" customHeight="true" outlineLevel="0" collapsed="false">
      <c r="A644" s="72"/>
      <c r="B644" s="72"/>
      <c r="C644" s="72"/>
      <c r="D644" s="73"/>
      <c r="E644" s="72"/>
      <c r="F644" s="72"/>
      <c r="G644" s="73"/>
      <c r="H644" s="73"/>
      <c r="I644" s="73"/>
      <c r="J644" s="68"/>
      <c r="K644" s="68"/>
      <c r="L644" s="68"/>
      <c r="M644" s="68"/>
      <c r="N644" s="68"/>
      <c r="O644" s="68"/>
    </row>
    <row r="645" customFormat="false" ht="14.25" hidden="false" customHeight="true" outlineLevel="0" collapsed="false">
      <c r="A645" s="72"/>
      <c r="B645" s="72"/>
      <c r="C645" s="72"/>
      <c r="D645" s="73"/>
      <c r="E645" s="72"/>
      <c r="F645" s="72"/>
      <c r="G645" s="73"/>
      <c r="H645" s="73"/>
      <c r="I645" s="73"/>
      <c r="J645" s="68"/>
      <c r="K645" s="68"/>
      <c r="L645" s="68"/>
      <c r="M645" s="68"/>
      <c r="N645" s="68"/>
      <c r="O645" s="68"/>
    </row>
    <row r="646" customFormat="false" ht="14.25" hidden="false" customHeight="true" outlineLevel="0" collapsed="false">
      <c r="A646" s="72"/>
      <c r="B646" s="72"/>
      <c r="C646" s="72"/>
      <c r="D646" s="73"/>
      <c r="E646" s="72"/>
      <c r="F646" s="72"/>
      <c r="G646" s="73"/>
      <c r="H646" s="73"/>
      <c r="I646" s="73"/>
      <c r="J646" s="68"/>
      <c r="K646" s="68"/>
      <c r="L646" s="68"/>
      <c r="M646" s="68"/>
      <c r="N646" s="68"/>
      <c r="O646" s="68"/>
    </row>
    <row r="647" customFormat="false" ht="14.25" hidden="false" customHeight="true" outlineLevel="0" collapsed="false">
      <c r="A647" s="72"/>
      <c r="B647" s="72"/>
      <c r="C647" s="72"/>
      <c r="D647" s="73"/>
      <c r="E647" s="72"/>
      <c r="F647" s="72"/>
      <c r="G647" s="73"/>
      <c r="H647" s="73"/>
      <c r="I647" s="73"/>
      <c r="J647" s="68"/>
      <c r="K647" s="68"/>
      <c r="L647" s="68"/>
      <c r="M647" s="68"/>
      <c r="N647" s="68"/>
      <c r="O647" s="68"/>
    </row>
    <row r="648" customFormat="false" ht="14.25" hidden="false" customHeight="true" outlineLevel="0" collapsed="false">
      <c r="A648" s="72"/>
      <c r="B648" s="72"/>
      <c r="C648" s="72"/>
      <c r="D648" s="73"/>
      <c r="E648" s="72"/>
      <c r="F648" s="72"/>
      <c r="G648" s="73"/>
      <c r="H648" s="73"/>
      <c r="I648" s="73"/>
      <c r="J648" s="68"/>
      <c r="K648" s="68"/>
      <c r="L648" s="68"/>
      <c r="M648" s="68"/>
      <c r="N648" s="68"/>
      <c r="O648" s="68"/>
    </row>
    <row r="649" customFormat="false" ht="14.25" hidden="false" customHeight="true" outlineLevel="0" collapsed="false">
      <c r="A649" s="72"/>
      <c r="B649" s="72"/>
      <c r="C649" s="72"/>
      <c r="D649" s="73"/>
      <c r="E649" s="72"/>
      <c r="F649" s="72"/>
      <c r="G649" s="73"/>
      <c r="H649" s="73"/>
      <c r="I649" s="73"/>
      <c r="J649" s="68"/>
      <c r="K649" s="68"/>
      <c r="L649" s="68"/>
      <c r="M649" s="68"/>
      <c r="N649" s="68"/>
      <c r="O649" s="68"/>
    </row>
    <row r="650" customFormat="false" ht="14.25" hidden="false" customHeight="true" outlineLevel="0" collapsed="false">
      <c r="A650" s="72"/>
      <c r="B650" s="72"/>
      <c r="C650" s="72"/>
      <c r="D650" s="73"/>
      <c r="E650" s="72"/>
      <c r="F650" s="72"/>
      <c r="G650" s="73"/>
      <c r="H650" s="73"/>
      <c r="I650" s="73"/>
      <c r="J650" s="68"/>
      <c r="K650" s="68"/>
      <c r="L650" s="68"/>
      <c r="M650" s="68"/>
      <c r="N650" s="68"/>
      <c r="O650" s="68"/>
    </row>
    <row r="651" customFormat="false" ht="14.25" hidden="false" customHeight="true" outlineLevel="0" collapsed="false">
      <c r="A651" s="72"/>
      <c r="B651" s="72"/>
      <c r="C651" s="72"/>
      <c r="D651" s="73"/>
      <c r="E651" s="72"/>
      <c r="F651" s="72"/>
      <c r="G651" s="73"/>
      <c r="H651" s="73"/>
      <c r="I651" s="73"/>
      <c r="J651" s="68"/>
      <c r="K651" s="68"/>
      <c r="L651" s="68"/>
      <c r="M651" s="68"/>
      <c r="N651" s="68"/>
      <c r="O651" s="68"/>
    </row>
    <row r="652" customFormat="false" ht="14.25" hidden="false" customHeight="true" outlineLevel="0" collapsed="false">
      <c r="A652" s="72"/>
      <c r="B652" s="72"/>
      <c r="C652" s="72"/>
      <c r="D652" s="73"/>
      <c r="E652" s="72"/>
      <c r="F652" s="72"/>
      <c r="G652" s="73"/>
      <c r="H652" s="73"/>
      <c r="I652" s="73"/>
      <c r="J652" s="68"/>
      <c r="K652" s="68"/>
      <c r="L652" s="68"/>
      <c r="M652" s="68"/>
      <c r="N652" s="68"/>
      <c r="O652" s="68"/>
    </row>
    <row r="653" customFormat="false" ht="14.25" hidden="false" customHeight="true" outlineLevel="0" collapsed="false">
      <c r="A653" s="72"/>
      <c r="B653" s="72"/>
      <c r="C653" s="72"/>
      <c r="D653" s="73"/>
      <c r="E653" s="72"/>
      <c r="F653" s="72"/>
      <c r="G653" s="73"/>
      <c r="H653" s="73"/>
      <c r="I653" s="73"/>
      <c r="J653" s="68"/>
      <c r="K653" s="68"/>
      <c r="L653" s="68"/>
      <c r="M653" s="68"/>
      <c r="N653" s="68"/>
      <c r="O653" s="68"/>
    </row>
    <row r="654" customFormat="false" ht="14.25" hidden="false" customHeight="true" outlineLevel="0" collapsed="false">
      <c r="A654" s="72"/>
      <c r="B654" s="72"/>
      <c r="C654" s="72"/>
      <c r="D654" s="73"/>
      <c r="E654" s="72"/>
      <c r="F654" s="72"/>
      <c r="G654" s="73"/>
      <c r="H654" s="73"/>
      <c r="I654" s="73"/>
      <c r="J654" s="68"/>
      <c r="K654" s="68"/>
      <c r="L654" s="68"/>
      <c r="M654" s="68"/>
      <c r="N654" s="68"/>
      <c r="O654" s="68"/>
    </row>
    <row r="655" customFormat="false" ht="14.25" hidden="false" customHeight="true" outlineLevel="0" collapsed="false">
      <c r="A655" s="72"/>
      <c r="B655" s="72"/>
      <c r="C655" s="72"/>
      <c r="D655" s="73"/>
      <c r="E655" s="72"/>
      <c r="F655" s="72"/>
      <c r="G655" s="73"/>
      <c r="H655" s="73"/>
      <c r="I655" s="73"/>
      <c r="J655" s="68"/>
      <c r="K655" s="68"/>
      <c r="L655" s="68"/>
      <c r="M655" s="68"/>
      <c r="N655" s="68"/>
      <c r="O655" s="68"/>
    </row>
    <row r="656" customFormat="false" ht="14.25" hidden="false" customHeight="true" outlineLevel="0" collapsed="false">
      <c r="A656" s="72"/>
      <c r="B656" s="72"/>
      <c r="C656" s="72"/>
      <c r="D656" s="73"/>
      <c r="E656" s="72"/>
      <c r="F656" s="72"/>
      <c r="G656" s="73"/>
      <c r="H656" s="73"/>
      <c r="I656" s="73"/>
      <c r="J656" s="68"/>
      <c r="K656" s="68"/>
      <c r="L656" s="68"/>
      <c r="M656" s="68"/>
      <c r="N656" s="68"/>
      <c r="O656" s="68"/>
    </row>
    <row r="657" customFormat="false" ht="14.25" hidden="false" customHeight="true" outlineLevel="0" collapsed="false">
      <c r="A657" s="72"/>
      <c r="B657" s="72"/>
      <c r="C657" s="72"/>
      <c r="D657" s="73"/>
      <c r="E657" s="72"/>
      <c r="F657" s="72"/>
      <c r="G657" s="73"/>
      <c r="H657" s="73"/>
      <c r="I657" s="73"/>
      <c r="J657" s="68"/>
      <c r="K657" s="68"/>
      <c r="L657" s="68"/>
      <c r="M657" s="68"/>
      <c r="N657" s="68"/>
      <c r="O657" s="68"/>
    </row>
    <row r="658" customFormat="false" ht="14.25" hidden="false" customHeight="true" outlineLevel="0" collapsed="false">
      <c r="A658" s="72"/>
      <c r="B658" s="72"/>
      <c r="C658" s="72"/>
      <c r="D658" s="73"/>
      <c r="E658" s="72"/>
      <c r="F658" s="72"/>
      <c r="G658" s="73"/>
      <c r="H658" s="73"/>
      <c r="I658" s="73"/>
      <c r="J658" s="68"/>
      <c r="K658" s="68"/>
      <c r="L658" s="68"/>
      <c r="M658" s="68"/>
      <c r="N658" s="68"/>
      <c r="O658" s="68"/>
    </row>
    <row r="659" customFormat="false" ht="14.25" hidden="false" customHeight="true" outlineLevel="0" collapsed="false">
      <c r="A659" s="72"/>
      <c r="B659" s="72"/>
      <c r="C659" s="72"/>
      <c r="D659" s="73"/>
      <c r="E659" s="72"/>
      <c r="F659" s="72"/>
      <c r="G659" s="73"/>
      <c r="H659" s="73"/>
      <c r="I659" s="73"/>
      <c r="J659" s="68"/>
      <c r="K659" s="68"/>
      <c r="L659" s="68"/>
      <c r="M659" s="68"/>
      <c r="N659" s="68"/>
      <c r="O659" s="68"/>
    </row>
    <row r="660" customFormat="false" ht="14.25" hidden="false" customHeight="true" outlineLevel="0" collapsed="false">
      <c r="A660" s="72"/>
      <c r="B660" s="72"/>
      <c r="C660" s="72"/>
      <c r="D660" s="73"/>
      <c r="E660" s="72"/>
      <c r="F660" s="72"/>
      <c r="G660" s="73"/>
      <c r="H660" s="73"/>
      <c r="I660" s="73"/>
      <c r="J660" s="68"/>
      <c r="K660" s="68"/>
      <c r="L660" s="68"/>
      <c r="M660" s="68"/>
      <c r="N660" s="68"/>
      <c r="O660" s="68"/>
    </row>
    <row r="661" customFormat="false" ht="14.25" hidden="false" customHeight="true" outlineLevel="0" collapsed="false">
      <c r="A661" s="72"/>
      <c r="B661" s="72"/>
      <c r="C661" s="72"/>
      <c r="D661" s="73"/>
      <c r="E661" s="72"/>
      <c r="F661" s="72"/>
      <c r="G661" s="73"/>
      <c r="H661" s="73"/>
      <c r="I661" s="73"/>
      <c r="J661" s="68"/>
      <c r="K661" s="68"/>
      <c r="L661" s="68"/>
      <c r="M661" s="68"/>
      <c r="N661" s="68"/>
      <c r="O661" s="68"/>
    </row>
    <row r="662" customFormat="false" ht="14.25" hidden="false" customHeight="true" outlineLevel="0" collapsed="false">
      <c r="A662" s="72"/>
      <c r="B662" s="72"/>
      <c r="C662" s="72"/>
      <c r="D662" s="73"/>
      <c r="E662" s="72"/>
      <c r="F662" s="72"/>
      <c r="G662" s="73"/>
      <c r="H662" s="73"/>
      <c r="I662" s="73"/>
      <c r="J662" s="68"/>
      <c r="K662" s="68"/>
      <c r="L662" s="68"/>
      <c r="M662" s="68"/>
      <c r="N662" s="68"/>
      <c r="O662" s="68"/>
    </row>
    <row r="663" customFormat="false" ht="14.25" hidden="false" customHeight="true" outlineLevel="0" collapsed="false">
      <c r="A663" s="72"/>
      <c r="B663" s="72"/>
      <c r="C663" s="72"/>
      <c r="D663" s="73"/>
      <c r="E663" s="72"/>
      <c r="F663" s="72"/>
      <c r="G663" s="73"/>
      <c r="H663" s="73"/>
      <c r="I663" s="73"/>
      <c r="J663" s="68"/>
      <c r="K663" s="68"/>
      <c r="L663" s="68"/>
      <c r="M663" s="68"/>
      <c r="N663" s="68"/>
      <c r="O663" s="68"/>
    </row>
    <row r="664" customFormat="false" ht="14.25" hidden="false" customHeight="true" outlineLevel="0" collapsed="false">
      <c r="A664" s="72"/>
      <c r="B664" s="72"/>
      <c r="C664" s="72"/>
      <c r="D664" s="73"/>
      <c r="E664" s="72"/>
      <c r="F664" s="72"/>
      <c r="G664" s="73"/>
      <c r="H664" s="73"/>
      <c r="I664" s="73"/>
      <c r="J664" s="68"/>
      <c r="K664" s="68"/>
      <c r="L664" s="68"/>
      <c r="M664" s="68"/>
      <c r="N664" s="68"/>
      <c r="O664" s="68"/>
    </row>
    <row r="665" customFormat="false" ht="14.25" hidden="false" customHeight="true" outlineLevel="0" collapsed="false">
      <c r="A665" s="72"/>
      <c r="B665" s="72"/>
      <c r="C665" s="72"/>
      <c r="D665" s="73"/>
      <c r="E665" s="72"/>
      <c r="F665" s="72"/>
      <c r="G665" s="73"/>
      <c r="H665" s="73"/>
      <c r="I665" s="73"/>
      <c r="J665" s="68"/>
      <c r="K665" s="68"/>
      <c r="L665" s="68"/>
      <c r="M665" s="68"/>
      <c r="N665" s="68"/>
      <c r="O665" s="68"/>
    </row>
    <row r="666" customFormat="false" ht="14.25" hidden="false" customHeight="true" outlineLevel="0" collapsed="false">
      <c r="A666" s="72"/>
      <c r="B666" s="72"/>
      <c r="C666" s="72"/>
      <c r="D666" s="73"/>
      <c r="E666" s="72"/>
      <c r="F666" s="72"/>
      <c r="G666" s="73"/>
      <c r="H666" s="73"/>
      <c r="I666" s="73"/>
      <c r="J666" s="68"/>
      <c r="K666" s="68"/>
      <c r="L666" s="68"/>
      <c r="M666" s="68"/>
      <c r="N666" s="68"/>
      <c r="O666" s="68"/>
    </row>
    <row r="667" customFormat="false" ht="14.25" hidden="false" customHeight="true" outlineLevel="0" collapsed="false">
      <c r="A667" s="72"/>
      <c r="B667" s="72"/>
      <c r="C667" s="72"/>
      <c r="D667" s="73"/>
      <c r="E667" s="72"/>
      <c r="F667" s="72"/>
      <c r="G667" s="73"/>
      <c r="H667" s="73"/>
      <c r="I667" s="73"/>
      <c r="J667" s="68"/>
      <c r="K667" s="68"/>
      <c r="L667" s="68"/>
      <c r="M667" s="68"/>
      <c r="N667" s="68"/>
      <c r="O667" s="68"/>
    </row>
    <row r="668" customFormat="false" ht="14.25" hidden="false" customHeight="true" outlineLevel="0" collapsed="false">
      <c r="A668" s="72"/>
      <c r="B668" s="72"/>
      <c r="C668" s="72"/>
      <c r="D668" s="73"/>
      <c r="E668" s="72"/>
      <c r="F668" s="72"/>
      <c r="G668" s="73"/>
      <c r="H668" s="73"/>
      <c r="I668" s="73"/>
      <c r="J668" s="68"/>
      <c r="K668" s="68"/>
      <c r="L668" s="68"/>
      <c r="M668" s="68"/>
      <c r="N668" s="68"/>
      <c r="O668" s="68"/>
    </row>
    <row r="669" customFormat="false" ht="14.25" hidden="false" customHeight="true" outlineLevel="0" collapsed="false">
      <c r="A669" s="72"/>
      <c r="B669" s="72"/>
      <c r="C669" s="72"/>
      <c r="D669" s="73"/>
      <c r="E669" s="72"/>
      <c r="F669" s="72"/>
      <c r="G669" s="73"/>
      <c r="H669" s="73"/>
      <c r="I669" s="73"/>
      <c r="J669" s="68"/>
      <c r="K669" s="68"/>
      <c r="L669" s="68"/>
      <c r="M669" s="68"/>
      <c r="N669" s="68"/>
      <c r="O669" s="68"/>
    </row>
    <row r="670" customFormat="false" ht="14.25" hidden="false" customHeight="true" outlineLevel="0" collapsed="false">
      <c r="A670" s="72"/>
      <c r="B670" s="72"/>
      <c r="C670" s="72"/>
      <c r="D670" s="73"/>
      <c r="E670" s="72"/>
      <c r="F670" s="72"/>
      <c r="G670" s="73"/>
      <c r="H670" s="73"/>
      <c r="I670" s="73"/>
      <c r="J670" s="68"/>
      <c r="K670" s="68"/>
      <c r="L670" s="68"/>
      <c r="M670" s="68"/>
      <c r="N670" s="68"/>
      <c r="O670" s="68"/>
    </row>
    <row r="671" customFormat="false" ht="14.25" hidden="false" customHeight="true" outlineLevel="0" collapsed="false">
      <c r="A671" s="72"/>
      <c r="B671" s="72"/>
      <c r="C671" s="72"/>
      <c r="D671" s="73"/>
      <c r="E671" s="72"/>
      <c r="F671" s="72"/>
      <c r="G671" s="73"/>
      <c r="H671" s="73"/>
      <c r="I671" s="73"/>
      <c r="J671" s="68"/>
      <c r="K671" s="68"/>
      <c r="L671" s="68"/>
      <c r="M671" s="68"/>
      <c r="N671" s="68"/>
      <c r="O671" s="68"/>
    </row>
    <row r="672" customFormat="false" ht="14.25" hidden="false" customHeight="true" outlineLevel="0" collapsed="false">
      <c r="A672" s="72"/>
      <c r="B672" s="72"/>
      <c r="C672" s="72"/>
      <c r="D672" s="73"/>
      <c r="E672" s="72"/>
      <c r="F672" s="72"/>
      <c r="G672" s="73"/>
      <c r="H672" s="73"/>
      <c r="I672" s="73"/>
      <c r="J672" s="68"/>
      <c r="K672" s="68"/>
      <c r="L672" s="68"/>
      <c r="M672" s="68"/>
      <c r="N672" s="68"/>
      <c r="O672" s="68"/>
    </row>
    <row r="673" customFormat="false" ht="14.25" hidden="false" customHeight="true" outlineLevel="0" collapsed="false">
      <c r="A673" s="72"/>
      <c r="B673" s="72"/>
      <c r="C673" s="72"/>
      <c r="D673" s="73"/>
      <c r="E673" s="72"/>
      <c r="F673" s="72"/>
      <c r="G673" s="73"/>
      <c r="H673" s="73"/>
      <c r="I673" s="73"/>
      <c r="J673" s="68"/>
      <c r="K673" s="68"/>
      <c r="L673" s="68"/>
      <c r="M673" s="68"/>
      <c r="N673" s="68"/>
      <c r="O673" s="68"/>
    </row>
    <row r="674" customFormat="false" ht="14.25" hidden="false" customHeight="true" outlineLevel="0" collapsed="false">
      <c r="A674" s="72"/>
      <c r="B674" s="72"/>
      <c r="C674" s="72"/>
      <c r="D674" s="73"/>
      <c r="E674" s="72"/>
      <c r="F674" s="72"/>
      <c r="G674" s="73"/>
      <c r="H674" s="73"/>
      <c r="I674" s="73"/>
      <c r="J674" s="68"/>
      <c r="K674" s="68"/>
      <c r="L674" s="68"/>
      <c r="M674" s="68"/>
      <c r="N674" s="68"/>
      <c r="O674" s="68"/>
    </row>
    <row r="675" customFormat="false" ht="14.25" hidden="false" customHeight="true" outlineLevel="0" collapsed="false">
      <c r="A675" s="72"/>
      <c r="B675" s="72"/>
      <c r="C675" s="72"/>
      <c r="D675" s="73"/>
      <c r="E675" s="72"/>
      <c r="F675" s="72"/>
      <c r="G675" s="73"/>
      <c r="H675" s="73"/>
      <c r="I675" s="73"/>
      <c r="J675" s="68"/>
      <c r="K675" s="68"/>
      <c r="L675" s="68"/>
      <c r="M675" s="68"/>
      <c r="N675" s="68"/>
      <c r="O675" s="68"/>
    </row>
    <row r="676" customFormat="false" ht="14.25" hidden="false" customHeight="true" outlineLevel="0" collapsed="false">
      <c r="A676" s="72"/>
      <c r="B676" s="72"/>
      <c r="C676" s="72"/>
      <c r="D676" s="73"/>
      <c r="E676" s="72"/>
      <c r="F676" s="72"/>
      <c r="G676" s="73"/>
      <c r="H676" s="73"/>
      <c r="I676" s="73"/>
      <c r="J676" s="68"/>
      <c r="K676" s="68"/>
      <c r="L676" s="68"/>
      <c r="M676" s="68"/>
      <c r="N676" s="68"/>
      <c r="O676" s="68"/>
    </row>
    <row r="677" customFormat="false" ht="14.25" hidden="false" customHeight="true" outlineLevel="0" collapsed="false">
      <c r="A677" s="72"/>
      <c r="B677" s="72"/>
      <c r="C677" s="72"/>
      <c r="D677" s="73"/>
      <c r="E677" s="72"/>
      <c r="F677" s="72"/>
      <c r="G677" s="73"/>
      <c r="H677" s="73"/>
      <c r="I677" s="73"/>
      <c r="J677" s="68"/>
      <c r="K677" s="68"/>
      <c r="L677" s="68"/>
      <c r="M677" s="68"/>
      <c r="N677" s="68"/>
      <c r="O677" s="68"/>
    </row>
    <row r="678" customFormat="false" ht="14.25" hidden="false" customHeight="true" outlineLevel="0" collapsed="false">
      <c r="A678" s="72"/>
      <c r="B678" s="72"/>
      <c r="C678" s="72"/>
      <c r="D678" s="73"/>
      <c r="E678" s="72"/>
      <c r="F678" s="72"/>
      <c r="G678" s="73"/>
      <c r="H678" s="73"/>
      <c r="I678" s="73"/>
      <c r="J678" s="68"/>
      <c r="K678" s="68"/>
      <c r="L678" s="68"/>
      <c r="M678" s="68"/>
      <c r="N678" s="68"/>
      <c r="O678" s="68"/>
    </row>
    <row r="679" customFormat="false" ht="14.25" hidden="false" customHeight="true" outlineLevel="0" collapsed="false">
      <c r="A679" s="72"/>
      <c r="B679" s="72"/>
      <c r="C679" s="72"/>
      <c r="D679" s="73"/>
      <c r="E679" s="72"/>
      <c r="F679" s="72"/>
      <c r="G679" s="73"/>
      <c r="H679" s="73"/>
      <c r="I679" s="73"/>
      <c r="J679" s="68"/>
      <c r="K679" s="68"/>
      <c r="L679" s="68"/>
      <c r="M679" s="68"/>
      <c r="N679" s="68"/>
      <c r="O679" s="68"/>
    </row>
    <row r="680" customFormat="false" ht="14.25" hidden="false" customHeight="true" outlineLevel="0" collapsed="false">
      <c r="A680" s="72"/>
      <c r="B680" s="72"/>
      <c r="C680" s="72"/>
      <c r="D680" s="73"/>
      <c r="E680" s="72"/>
      <c r="F680" s="72"/>
      <c r="G680" s="73"/>
      <c r="H680" s="73"/>
      <c r="I680" s="73"/>
      <c r="J680" s="68"/>
      <c r="K680" s="68"/>
      <c r="L680" s="68"/>
      <c r="M680" s="68"/>
      <c r="N680" s="68"/>
      <c r="O680" s="68"/>
    </row>
    <row r="681" customFormat="false" ht="14.25" hidden="false" customHeight="true" outlineLevel="0" collapsed="false">
      <c r="A681" s="72"/>
      <c r="B681" s="72"/>
      <c r="C681" s="72"/>
      <c r="D681" s="73"/>
      <c r="E681" s="72"/>
      <c r="F681" s="72"/>
      <c r="G681" s="73"/>
      <c r="H681" s="73"/>
      <c r="I681" s="73"/>
      <c r="J681" s="68"/>
      <c r="K681" s="68"/>
      <c r="L681" s="68"/>
      <c r="M681" s="68"/>
      <c r="N681" s="68"/>
      <c r="O681" s="68"/>
    </row>
    <row r="682" customFormat="false" ht="14.25" hidden="false" customHeight="true" outlineLevel="0" collapsed="false">
      <c r="A682" s="72"/>
      <c r="B682" s="72"/>
      <c r="C682" s="72"/>
      <c r="D682" s="73"/>
      <c r="E682" s="72"/>
      <c r="F682" s="72"/>
      <c r="G682" s="73"/>
      <c r="H682" s="73"/>
      <c r="I682" s="73"/>
      <c r="J682" s="68"/>
      <c r="K682" s="68"/>
      <c r="L682" s="68"/>
      <c r="M682" s="68"/>
      <c r="N682" s="68"/>
      <c r="O682" s="68"/>
    </row>
    <row r="683" customFormat="false" ht="14.25" hidden="false" customHeight="true" outlineLevel="0" collapsed="false">
      <c r="A683" s="72"/>
      <c r="B683" s="72"/>
      <c r="C683" s="72"/>
      <c r="D683" s="73"/>
      <c r="E683" s="72"/>
      <c r="F683" s="72"/>
      <c r="G683" s="73"/>
      <c r="H683" s="73"/>
      <c r="I683" s="73"/>
      <c r="J683" s="68"/>
      <c r="K683" s="68"/>
      <c r="L683" s="68"/>
      <c r="M683" s="68"/>
      <c r="N683" s="68"/>
      <c r="O683" s="68"/>
    </row>
    <row r="684" customFormat="false" ht="14.25" hidden="false" customHeight="true" outlineLevel="0" collapsed="false">
      <c r="A684" s="72"/>
      <c r="B684" s="72"/>
      <c r="C684" s="72"/>
      <c r="D684" s="73"/>
      <c r="E684" s="72"/>
      <c r="F684" s="72"/>
      <c r="G684" s="73"/>
      <c r="H684" s="73"/>
      <c r="I684" s="73"/>
      <c r="J684" s="68"/>
      <c r="K684" s="68"/>
      <c r="L684" s="68"/>
      <c r="M684" s="68"/>
      <c r="N684" s="68"/>
      <c r="O684" s="68"/>
    </row>
    <row r="685" customFormat="false" ht="14.25" hidden="false" customHeight="true" outlineLevel="0" collapsed="false">
      <c r="A685" s="72"/>
      <c r="B685" s="72"/>
      <c r="C685" s="72"/>
      <c r="D685" s="73"/>
      <c r="E685" s="72"/>
      <c r="F685" s="72"/>
      <c r="G685" s="73"/>
      <c r="H685" s="73"/>
      <c r="I685" s="73"/>
      <c r="J685" s="68"/>
      <c r="K685" s="68"/>
      <c r="L685" s="68"/>
      <c r="M685" s="68"/>
      <c r="N685" s="68"/>
      <c r="O685" s="68"/>
    </row>
    <row r="686" customFormat="false" ht="14.25" hidden="false" customHeight="true" outlineLevel="0" collapsed="false">
      <c r="A686" s="72"/>
      <c r="B686" s="72"/>
      <c r="C686" s="72"/>
      <c r="D686" s="73"/>
      <c r="E686" s="72"/>
      <c r="F686" s="72"/>
      <c r="G686" s="73"/>
      <c r="H686" s="73"/>
      <c r="I686" s="73"/>
      <c r="J686" s="68"/>
      <c r="K686" s="68"/>
      <c r="L686" s="68"/>
      <c r="M686" s="68"/>
      <c r="N686" s="68"/>
      <c r="O686" s="68"/>
    </row>
    <row r="687" customFormat="false" ht="14.25" hidden="false" customHeight="true" outlineLevel="0" collapsed="false">
      <c r="A687" s="72"/>
      <c r="B687" s="72"/>
      <c r="C687" s="72"/>
      <c r="D687" s="73"/>
      <c r="E687" s="72"/>
      <c r="F687" s="72"/>
      <c r="G687" s="73"/>
      <c r="H687" s="73"/>
      <c r="I687" s="73"/>
      <c r="J687" s="68"/>
      <c r="K687" s="68"/>
      <c r="L687" s="68"/>
      <c r="M687" s="68"/>
      <c r="N687" s="68"/>
      <c r="O687" s="68"/>
    </row>
    <row r="688" customFormat="false" ht="14.25" hidden="false" customHeight="true" outlineLevel="0" collapsed="false">
      <c r="A688" s="72"/>
      <c r="B688" s="72"/>
      <c r="C688" s="72"/>
      <c r="D688" s="73"/>
      <c r="E688" s="72"/>
      <c r="F688" s="72"/>
      <c r="G688" s="73"/>
      <c r="H688" s="73"/>
      <c r="I688" s="73"/>
      <c r="J688" s="68"/>
      <c r="K688" s="68"/>
      <c r="L688" s="68"/>
      <c r="M688" s="68"/>
      <c r="N688" s="68"/>
      <c r="O688" s="68"/>
    </row>
    <row r="689" customFormat="false" ht="14.25" hidden="false" customHeight="true" outlineLevel="0" collapsed="false">
      <c r="A689" s="72"/>
      <c r="B689" s="72"/>
      <c r="C689" s="72"/>
      <c r="D689" s="73"/>
      <c r="E689" s="72"/>
      <c r="F689" s="72"/>
      <c r="G689" s="73"/>
      <c r="H689" s="73"/>
      <c r="I689" s="73"/>
      <c r="J689" s="68"/>
      <c r="K689" s="68"/>
      <c r="L689" s="68"/>
      <c r="M689" s="68"/>
      <c r="N689" s="68"/>
      <c r="O689" s="68"/>
    </row>
    <row r="690" customFormat="false" ht="14.25" hidden="false" customHeight="true" outlineLevel="0" collapsed="false">
      <c r="A690" s="72"/>
      <c r="B690" s="72"/>
      <c r="C690" s="72"/>
      <c r="D690" s="73"/>
      <c r="E690" s="72"/>
      <c r="F690" s="72"/>
      <c r="G690" s="73"/>
      <c r="H690" s="73"/>
      <c r="I690" s="73"/>
      <c r="J690" s="68"/>
      <c r="K690" s="68"/>
      <c r="L690" s="68"/>
      <c r="M690" s="68"/>
      <c r="N690" s="68"/>
      <c r="O690" s="68"/>
    </row>
    <row r="691" customFormat="false" ht="14.25" hidden="false" customHeight="true" outlineLevel="0" collapsed="false">
      <c r="A691" s="72"/>
      <c r="B691" s="72"/>
      <c r="C691" s="72"/>
      <c r="D691" s="73"/>
      <c r="E691" s="72"/>
      <c r="F691" s="72"/>
      <c r="G691" s="73"/>
      <c r="H691" s="73"/>
      <c r="I691" s="73"/>
      <c r="J691" s="68"/>
      <c r="K691" s="68"/>
      <c r="L691" s="68"/>
      <c r="M691" s="68"/>
      <c r="N691" s="68"/>
      <c r="O691" s="68"/>
    </row>
    <row r="692" customFormat="false" ht="14.25" hidden="false" customHeight="true" outlineLevel="0" collapsed="false">
      <c r="A692" s="72"/>
      <c r="B692" s="72"/>
      <c r="C692" s="72"/>
      <c r="D692" s="73"/>
      <c r="E692" s="72"/>
      <c r="F692" s="72"/>
      <c r="G692" s="73"/>
      <c r="H692" s="73"/>
      <c r="I692" s="73"/>
      <c r="J692" s="68"/>
      <c r="K692" s="68"/>
      <c r="L692" s="68"/>
      <c r="M692" s="68"/>
      <c r="N692" s="68"/>
      <c r="O692" s="68"/>
    </row>
    <row r="693" customFormat="false" ht="14.25" hidden="false" customHeight="true" outlineLevel="0" collapsed="false">
      <c r="A693" s="72"/>
      <c r="B693" s="72"/>
      <c r="C693" s="72"/>
      <c r="D693" s="73"/>
      <c r="E693" s="72"/>
      <c r="F693" s="72"/>
      <c r="G693" s="73"/>
      <c r="H693" s="73"/>
      <c r="I693" s="73"/>
      <c r="J693" s="68"/>
      <c r="K693" s="68"/>
      <c r="L693" s="68"/>
      <c r="M693" s="68"/>
      <c r="N693" s="68"/>
      <c r="O693" s="68"/>
    </row>
    <row r="694" customFormat="false" ht="14.25" hidden="false" customHeight="true" outlineLevel="0" collapsed="false">
      <c r="A694" s="72"/>
      <c r="B694" s="72"/>
      <c r="C694" s="72"/>
      <c r="D694" s="73"/>
      <c r="E694" s="72"/>
      <c r="F694" s="72"/>
      <c r="G694" s="73"/>
      <c r="H694" s="73"/>
      <c r="I694" s="73"/>
      <c r="J694" s="68"/>
      <c r="K694" s="68"/>
      <c r="L694" s="68"/>
      <c r="M694" s="68"/>
      <c r="N694" s="68"/>
      <c r="O694" s="68"/>
    </row>
    <row r="695" customFormat="false" ht="14.25" hidden="false" customHeight="true" outlineLevel="0" collapsed="false">
      <c r="A695" s="72"/>
      <c r="B695" s="72"/>
      <c r="C695" s="72"/>
      <c r="D695" s="73"/>
      <c r="E695" s="72"/>
      <c r="F695" s="72"/>
      <c r="G695" s="73"/>
      <c r="H695" s="73"/>
      <c r="I695" s="73"/>
      <c r="J695" s="68"/>
      <c r="K695" s="68"/>
      <c r="L695" s="68"/>
      <c r="M695" s="68"/>
      <c r="N695" s="68"/>
      <c r="O695" s="68"/>
    </row>
    <row r="696" customFormat="false" ht="14.25" hidden="false" customHeight="true" outlineLevel="0" collapsed="false">
      <c r="A696" s="72"/>
      <c r="B696" s="72"/>
      <c r="C696" s="72"/>
      <c r="D696" s="73"/>
      <c r="E696" s="72"/>
      <c r="F696" s="72"/>
      <c r="G696" s="73"/>
      <c r="H696" s="73"/>
      <c r="I696" s="73"/>
      <c r="J696" s="68"/>
      <c r="K696" s="68"/>
      <c r="L696" s="68"/>
      <c r="M696" s="68"/>
      <c r="N696" s="68"/>
      <c r="O696" s="68"/>
    </row>
    <row r="697" customFormat="false" ht="14.25" hidden="false" customHeight="true" outlineLevel="0" collapsed="false">
      <c r="A697" s="72"/>
      <c r="B697" s="72"/>
      <c r="C697" s="72"/>
      <c r="D697" s="73"/>
      <c r="E697" s="72"/>
      <c r="F697" s="72"/>
      <c r="G697" s="73"/>
      <c r="H697" s="73"/>
      <c r="I697" s="73"/>
      <c r="J697" s="68"/>
      <c r="K697" s="68"/>
      <c r="L697" s="68"/>
      <c r="M697" s="68"/>
      <c r="N697" s="68"/>
      <c r="O697" s="68"/>
    </row>
    <row r="698" customFormat="false" ht="14.25" hidden="false" customHeight="true" outlineLevel="0" collapsed="false">
      <c r="A698" s="72"/>
      <c r="B698" s="72"/>
      <c r="C698" s="72"/>
      <c r="D698" s="73"/>
      <c r="E698" s="72"/>
      <c r="F698" s="72"/>
      <c r="G698" s="73"/>
      <c r="H698" s="73"/>
      <c r="I698" s="73"/>
      <c r="J698" s="68"/>
      <c r="K698" s="68"/>
      <c r="L698" s="68"/>
      <c r="M698" s="68"/>
      <c r="N698" s="68"/>
      <c r="O698" s="68"/>
    </row>
    <row r="699" customFormat="false" ht="14.25" hidden="false" customHeight="true" outlineLevel="0" collapsed="false">
      <c r="A699" s="72"/>
      <c r="B699" s="72"/>
      <c r="C699" s="72"/>
      <c r="D699" s="73"/>
      <c r="E699" s="72"/>
      <c r="F699" s="72"/>
      <c r="G699" s="73"/>
      <c r="H699" s="73"/>
      <c r="I699" s="73"/>
      <c r="J699" s="68"/>
      <c r="K699" s="68"/>
      <c r="L699" s="68"/>
      <c r="M699" s="68"/>
      <c r="N699" s="68"/>
      <c r="O699" s="68"/>
    </row>
    <row r="700" customFormat="false" ht="14.25" hidden="false" customHeight="true" outlineLevel="0" collapsed="false">
      <c r="A700" s="72"/>
      <c r="B700" s="72"/>
      <c r="C700" s="72"/>
      <c r="D700" s="73"/>
      <c r="E700" s="72"/>
      <c r="F700" s="72"/>
      <c r="G700" s="73"/>
      <c r="H700" s="73"/>
      <c r="I700" s="73"/>
      <c r="J700" s="68"/>
      <c r="K700" s="68"/>
      <c r="L700" s="68"/>
      <c r="M700" s="68"/>
      <c r="N700" s="68"/>
      <c r="O700" s="68"/>
    </row>
    <row r="701" customFormat="false" ht="14.25" hidden="false" customHeight="true" outlineLevel="0" collapsed="false">
      <c r="A701" s="72"/>
      <c r="B701" s="72"/>
      <c r="C701" s="72"/>
      <c r="D701" s="73"/>
      <c r="E701" s="72"/>
      <c r="F701" s="72"/>
      <c r="G701" s="73"/>
      <c r="H701" s="73"/>
      <c r="I701" s="73"/>
      <c r="J701" s="68"/>
      <c r="K701" s="68"/>
      <c r="L701" s="68"/>
      <c r="M701" s="68"/>
      <c r="N701" s="68"/>
      <c r="O701" s="68"/>
    </row>
    <row r="702" customFormat="false" ht="14.25" hidden="false" customHeight="true" outlineLevel="0" collapsed="false">
      <c r="A702" s="72"/>
      <c r="B702" s="72"/>
      <c r="C702" s="72"/>
      <c r="D702" s="73"/>
      <c r="E702" s="72"/>
      <c r="F702" s="72"/>
      <c r="G702" s="73"/>
      <c r="H702" s="73"/>
      <c r="I702" s="73"/>
      <c r="J702" s="68"/>
      <c r="K702" s="68"/>
      <c r="L702" s="68"/>
      <c r="M702" s="68"/>
      <c r="N702" s="68"/>
      <c r="O702" s="68"/>
    </row>
    <row r="703" customFormat="false" ht="14.25" hidden="false" customHeight="true" outlineLevel="0" collapsed="false">
      <c r="A703" s="72"/>
      <c r="B703" s="72"/>
      <c r="C703" s="72"/>
      <c r="D703" s="73"/>
      <c r="E703" s="72"/>
      <c r="F703" s="72"/>
      <c r="G703" s="73"/>
      <c r="H703" s="73"/>
      <c r="I703" s="73"/>
      <c r="J703" s="68"/>
      <c r="K703" s="68"/>
      <c r="L703" s="68"/>
      <c r="M703" s="68"/>
      <c r="N703" s="68"/>
      <c r="O703" s="68"/>
    </row>
    <row r="704" customFormat="false" ht="14.25" hidden="false" customHeight="true" outlineLevel="0" collapsed="false">
      <c r="A704" s="72"/>
      <c r="B704" s="72"/>
      <c r="C704" s="72"/>
      <c r="D704" s="73"/>
      <c r="E704" s="72"/>
      <c r="F704" s="72"/>
      <c r="G704" s="73"/>
      <c r="H704" s="73"/>
      <c r="I704" s="73"/>
      <c r="J704" s="68"/>
      <c r="K704" s="68"/>
      <c r="L704" s="68"/>
      <c r="M704" s="68"/>
      <c r="N704" s="68"/>
      <c r="O704" s="68"/>
    </row>
    <row r="705" customFormat="false" ht="14.25" hidden="false" customHeight="true" outlineLevel="0" collapsed="false">
      <c r="A705" s="72"/>
      <c r="B705" s="72"/>
      <c r="C705" s="72"/>
      <c r="D705" s="73"/>
      <c r="E705" s="72"/>
      <c r="F705" s="72"/>
      <c r="G705" s="73"/>
      <c r="H705" s="73"/>
      <c r="I705" s="73"/>
      <c r="J705" s="68"/>
      <c r="K705" s="68"/>
      <c r="L705" s="68"/>
      <c r="M705" s="68"/>
      <c r="N705" s="68"/>
      <c r="O705" s="68"/>
    </row>
    <row r="706" customFormat="false" ht="14.25" hidden="false" customHeight="true" outlineLevel="0" collapsed="false">
      <c r="A706" s="72"/>
      <c r="B706" s="72"/>
      <c r="C706" s="72"/>
      <c r="D706" s="73"/>
      <c r="E706" s="72"/>
      <c r="F706" s="72"/>
      <c r="G706" s="73"/>
      <c r="H706" s="73"/>
      <c r="I706" s="73"/>
      <c r="J706" s="68"/>
      <c r="K706" s="68"/>
      <c r="L706" s="68"/>
      <c r="M706" s="68"/>
      <c r="N706" s="68"/>
      <c r="O706" s="68"/>
    </row>
    <row r="707" customFormat="false" ht="14.25" hidden="false" customHeight="true" outlineLevel="0" collapsed="false">
      <c r="A707" s="72"/>
      <c r="B707" s="72"/>
      <c r="C707" s="72"/>
      <c r="D707" s="73"/>
      <c r="E707" s="72"/>
      <c r="F707" s="72"/>
      <c r="G707" s="73"/>
      <c r="H707" s="73"/>
      <c r="I707" s="73"/>
      <c r="J707" s="68"/>
      <c r="K707" s="68"/>
      <c r="L707" s="68"/>
      <c r="M707" s="68"/>
      <c r="N707" s="68"/>
      <c r="O707" s="68"/>
    </row>
    <row r="708" customFormat="false" ht="14.25" hidden="false" customHeight="true" outlineLevel="0" collapsed="false">
      <c r="A708" s="72"/>
      <c r="B708" s="72"/>
      <c r="C708" s="72"/>
      <c r="D708" s="73"/>
      <c r="E708" s="72"/>
      <c r="F708" s="72"/>
      <c r="G708" s="73"/>
      <c r="H708" s="73"/>
      <c r="I708" s="73"/>
      <c r="J708" s="68"/>
      <c r="K708" s="68"/>
      <c r="L708" s="68"/>
      <c r="M708" s="68"/>
      <c r="N708" s="68"/>
      <c r="O708" s="68"/>
    </row>
    <row r="709" customFormat="false" ht="14.25" hidden="false" customHeight="true" outlineLevel="0" collapsed="false">
      <c r="A709" s="72"/>
      <c r="B709" s="72"/>
      <c r="C709" s="72"/>
      <c r="D709" s="73"/>
      <c r="E709" s="72"/>
      <c r="F709" s="72"/>
      <c r="G709" s="73"/>
      <c r="H709" s="73"/>
      <c r="I709" s="73"/>
      <c r="J709" s="68"/>
      <c r="K709" s="68"/>
      <c r="L709" s="68"/>
      <c r="M709" s="68"/>
      <c r="N709" s="68"/>
      <c r="O709" s="68"/>
    </row>
    <row r="710" customFormat="false" ht="14.25" hidden="false" customHeight="true" outlineLevel="0" collapsed="false">
      <c r="A710" s="72"/>
      <c r="B710" s="72"/>
      <c r="C710" s="72"/>
      <c r="D710" s="73"/>
      <c r="E710" s="72"/>
      <c r="F710" s="72"/>
      <c r="G710" s="73"/>
      <c r="H710" s="73"/>
      <c r="I710" s="73"/>
      <c r="J710" s="68"/>
      <c r="K710" s="68"/>
      <c r="L710" s="68"/>
      <c r="M710" s="68"/>
      <c r="N710" s="68"/>
      <c r="O710" s="68"/>
    </row>
    <row r="711" customFormat="false" ht="14.25" hidden="false" customHeight="true" outlineLevel="0" collapsed="false">
      <c r="A711" s="72"/>
      <c r="B711" s="72"/>
      <c r="C711" s="72"/>
      <c r="D711" s="73"/>
      <c r="E711" s="72"/>
      <c r="F711" s="72"/>
      <c r="G711" s="73"/>
      <c r="H711" s="73"/>
      <c r="I711" s="73"/>
      <c r="J711" s="68"/>
      <c r="K711" s="68"/>
      <c r="L711" s="68"/>
      <c r="M711" s="68"/>
      <c r="N711" s="68"/>
      <c r="O711" s="68"/>
    </row>
    <row r="712" customFormat="false" ht="14.25" hidden="false" customHeight="true" outlineLevel="0" collapsed="false">
      <c r="A712" s="72"/>
      <c r="B712" s="72"/>
      <c r="C712" s="72"/>
      <c r="D712" s="73"/>
      <c r="E712" s="72"/>
      <c r="F712" s="72"/>
      <c r="G712" s="73"/>
      <c r="H712" s="73"/>
      <c r="I712" s="73"/>
      <c r="J712" s="68"/>
      <c r="K712" s="68"/>
      <c r="L712" s="68"/>
      <c r="M712" s="68"/>
      <c r="N712" s="68"/>
      <c r="O712" s="68"/>
    </row>
    <row r="713" customFormat="false" ht="14.25" hidden="false" customHeight="true" outlineLevel="0" collapsed="false">
      <c r="A713" s="72"/>
      <c r="B713" s="72"/>
      <c r="C713" s="72"/>
      <c r="D713" s="73"/>
      <c r="E713" s="72"/>
      <c r="F713" s="72"/>
      <c r="G713" s="73"/>
      <c r="H713" s="73"/>
      <c r="I713" s="73"/>
      <c r="J713" s="68"/>
      <c r="K713" s="68"/>
      <c r="L713" s="68"/>
      <c r="M713" s="68"/>
      <c r="N713" s="68"/>
      <c r="O713" s="68"/>
    </row>
    <row r="714" customFormat="false" ht="14.25" hidden="false" customHeight="true" outlineLevel="0" collapsed="false">
      <c r="A714" s="72"/>
      <c r="B714" s="72"/>
      <c r="C714" s="72"/>
      <c r="D714" s="73"/>
      <c r="E714" s="72"/>
      <c r="F714" s="72"/>
      <c r="G714" s="73"/>
      <c r="H714" s="73"/>
      <c r="I714" s="73"/>
      <c r="J714" s="68"/>
      <c r="K714" s="68"/>
      <c r="L714" s="68"/>
      <c r="M714" s="68"/>
      <c r="N714" s="68"/>
      <c r="O714" s="68"/>
    </row>
    <row r="715" customFormat="false" ht="14.25" hidden="false" customHeight="true" outlineLevel="0" collapsed="false">
      <c r="A715" s="72"/>
      <c r="B715" s="72"/>
      <c r="C715" s="72"/>
      <c r="D715" s="73"/>
      <c r="E715" s="72"/>
      <c r="F715" s="72"/>
      <c r="G715" s="73"/>
      <c r="H715" s="73"/>
      <c r="I715" s="73"/>
      <c r="J715" s="68"/>
      <c r="K715" s="68"/>
      <c r="L715" s="68"/>
      <c r="M715" s="68"/>
      <c r="N715" s="68"/>
      <c r="O715" s="68"/>
    </row>
    <row r="716" customFormat="false" ht="14.25" hidden="false" customHeight="true" outlineLevel="0" collapsed="false">
      <c r="A716" s="72"/>
      <c r="B716" s="72"/>
      <c r="C716" s="72"/>
      <c r="D716" s="73"/>
      <c r="E716" s="72"/>
      <c r="F716" s="72"/>
      <c r="G716" s="73"/>
      <c r="H716" s="73"/>
      <c r="I716" s="73"/>
      <c r="J716" s="68"/>
      <c r="K716" s="68"/>
      <c r="L716" s="68"/>
      <c r="M716" s="68"/>
      <c r="N716" s="68"/>
      <c r="O716" s="68"/>
    </row>
    <row r="717" customFormat="false" ht="14.25" hidden="false" customHeight="true" outlineLevel="0" collapsed="false">
      <c r="A717" s="72"/>
      <c r="B717" s="72"/>
      <c r="C717" s="72"/>
      <c r="D717" s="73"/>
      <c r="E717" s="72"/>
      <c r="F717" s="72"/>
      <c r="G717" s="73"/>
      <c r="H717" s="73"/>
      <c r="I717" s="73"/>
      <c r="J717" s="68"/>
      <c r="K717" s="68"/>
      <c r="L717" s="68"/>
      <c r="M717" s="68"/>
      <c r="N717" s="68"/>
      <c r="O717" s="68"/>
    </row>
    <row r="718" customFormat="false" ht="14.25" hidden="false" customHeight="true" outlineLevel="0" collapsed="false">
      <c r="A718" s="72"/>
      <c r="B718" s="72"/>
      <c r="C718" s="72"/>
      <c r="D718" s="73"/>
      <c r="E718" s="72"/>
      <c r="F718" s="72"/>
      <c r="G718" s="73"/>
      <c r="H718" s="73"/>
      <c r="I718" s="73"/>
      <c r="J718" s="68"/>
      <c r="K718" s="68"/>
      <c r="L718" s="68"/>
      <c r="M718" s="68"/>
      <c r="N718" s="68"/>
      <c r="O718" s="68"/>
    </row>
    <row r="719" customFormat="false" ht="14.25" hidden="false" customHeight="true" outlineLevel="0" collapsed="false">
      <c r="A719" s="72"/>
      <c r="B719" s="72"/>
      <c r="C719" s="72"/>
      <c r="D719" s="73"/>
      <c r="E719" s="72"/>
      <c r="F719" s="72"/>
      <c r="G719" s="73"/>
      <c r="H719" s="73"/>
      <c r="I719" s="73"/>
      <c r="J719" s="68"/>
      <c r="K719" s="68"/>
      <c r="L719" s="68"/>
      <c r="M719" s="68"/>
      <c r="N719" s="68"/>
      <c r="O719" s="68"/>
    </row>
    <row r="720" customFormat="false" ht="14.25" hidden="false" customHeight="true" outlineLevel="0" collapsed="false">
      <c r="A720" s="72"/>
      <c r="B720" s="72"/>
      <c r="C720" s="72"/>
      <c r="D720" s="73"/>
      <c r="E720" s="72"/>
      <c r="F720" s="72"/>
      <c r="G720" s="73"/>
      <c r="H720" s="73"/>
      <c r="I720" s="73"/>
      <c r="J720" s="68"/>
      <c r="K720" s="68"/>
      <c r="L720" s="68"/>
      <c r="M720" s="68"/>
      <c r="N720" s="68"/>
      <c r="O720" s="68"/>
    </row>
    <row r="721" customFormat="false" ht="14.25" hidden="false" customHeight="true" outlineLevel="0" collapsed="false">
      <c r="A721" s="72"/>
      <c r="B721" s="72"/>
      <c r="C721" s="72"/>
      <c r="D721" s="73"/>
      <c r="E721" s="72"/>
      <c r="F721" s="72"/>
      <c r="G721" s="73"/>
      <c r="H721" s="73"/>
      <c r="I721" s="73"/>
      <c r="J721" s="68"/>
      <c r="K721" s="68"/>
      <c r="L721" s="68"/>
      <c r="M721" s="68"/>
      <c r="N721" s="68"/>
      <c r="O721" s="68"/>
    </row>
    <row r="722" customFormat="false" ht="14.25" hidden="false" customHeight="true" outlineLevel="0" collapsed="false">
      <c r="A722" s="72"/>
      <c r="B722" s="72"/>
      <c r="C722" s="72"/>
      <c r="D722" s="73"/>
      <c r="E722" s="72"/>
      <c r="F722" s="72"/>
      <c r="G722" s="73"/>
      <c r="H722" s="73"/>
      <c r="I722" s="73"/>
      <c r="J722" s="68"/>
      <c r="K722" s="68"/>
      <c r="L722" s="68"/>
      <c r="M722" s="68"/>
      <c r="N722" s="68"/>
      <c r="O722" s="68"/>
    </row>
    <row r="723" customFormat="false" ht="14.25" hidden="false" customHeight="true" outlineLevel="0" collapsed="false">
      <c r="A723" s="72"/>
      <c r="B723" s="72"/>
      <c r="C723" s="72"/>
      <c r="D723" s="73"/>
      <c r="E723" s="72"/>
      <c r="F723" s="72"/>
      <c r="G723" s="73"/>
      <c r="H723" s="73"/>
      <c r="I723" s="73"/>
      <c r="J723" s="68"/>
      <c r="K723" s="68"/>
      <c r="L723" s="68"/>
      <c r="M723" s="68"/>
      <c r="N723" s="68"/>
      <c r="O723" s="68"/>
    </row>
    <row r="724" customFormat="false" ht="14.25" hidden="false" customHeight="true" outlineLevel="0" collapsed="false">
      <c r="A724" s="72"/>
      <c r="B724" s="72"/>
      <c r="C724" s="72"/>
      <c r="D724" s="73"/>
      <c r="E724" s="72"/>
      <c r="F724" s="72"/>
      <c r="G724" s="73"/>
      <c r="H724" s="73"/>
      <c r="I724" s="73"/>
      <c r="J724" s="68"/>
      <c r="K724" s="68"/>
      <c r="L724" s="68"/>
      <c r="M724" s="68"/>
      <c r="N724" s="68"/>
      <c r="O724" s="68"/>
    </row>
    <row r="725" customFormat="false" ht="14.25" hidden="false" customHeight="true" outlineLevel="0" collapsed="false">
      <c r="A725" s="72"/>
      <c r="B725" s="72"/>
      <c r="C725" s="72"/>
      <c r="D725" s="73"/>
      <c r="E725" s="72"/>
      <c r="F725" s="72"/>
      <c r="G725" s="73"/>
      <c r="H725" s="73"/>
      <c r="I725" s="73"/>
      <c r="J725" s="68"/>
      <c r="K725" s="68"/>
      <c r="L725" s="68"/>
      <c r="M725" s="68"/>
      <c r="N725" s="68"/>
      <c r="O725" s="68"/>
    </row>
    <row r="726" customFormat="false" ht="14.25" hidden="false" customHeight="true" outlineLevel="0" collapsed="false">
      <c r="A726" s="72"/>
      <c r="B726" s="72"/>
      <c r="C726" s="72"/>
      <c r="D726" s="73"/>
      <c r="E726" s="72"/>
      <c r="F726" s="72"/>
      <c r="G726" s="73"/>
      <c r="H726" s="73"/>
      <c r="I726" s="73"/>
      <c r="J726" s="68"/>
      <c r="K726" s="68"/>
      <c r="L726" s="68"/>
      <c r="M726" s="68"/>
      <c r="N726" s="68"/>
      <c r="O726" s="68"/>
    </row>
    <row r="727" customFormat="false" ht="14.25" hidden="false" customHeight="true" outlineLevel="0" collapsed="false">
      <c r="A727" s="72"/>
      <c r="B727" s="72"/>
      <c r="C727" s="72"/>
      <c r="D727" s="73"/>
      <c r="E727" s="72"/>
      <c r="F727" s="72"/>
      <c r="G727" s="73"/>
      <c r="H727" s="73"/>
      <c r="I727" s="73"/>
      <c r="J727" s="68"/>
      <c r="K727" s="68"/>
      <c r="L727" s="68"/>
      <c r="M727" s="68"/>
      <c r="N727" s="68"/>
      <c r="O727" s="68"/>
    </row>
    <row r="728" customFormat="false" ht="14.25" hidden="false" customHeight="true" outlineLevel="0" collapsed="false">
      <c r="A728" s="72"/>
      <c r="B728" s="72"/>
      <c r="C728" s="72"/>
      <c r="D728" s="73"/>
      <c r="E728" s="72"/>
      <c r="F728" s="72"/>
      <c r="G728" s="73"/>
      <c r="H728" s="73"/>
      <c r="I728" s="73"/>
      <c r="J728" s="68"/>
      <c r="K728" s="68"/>
      <c r="L728" s="68"/>
      <c r="M728" s="68"/>
      <c r="N728" s="68"/>
      <c r="O728" s="68"/>
    </row>
    <row r="729" customFormat="false" ht="14.25" hidden="false" customHeight="true" outlineLevel="0" collapsed="false">
      <c r="A729" s="72"/>
      <c r="B729" s="72"/>
      <c r="C729" s="72"/>
      <c r="D729" s="73"/>
      <c r="E729" s="72"/>
      <c r="F729" s="72"/>
      <c r="G729" s="73"/>
      <c r="H729" s="73"/>
      <c r="I729" s="73"/>
      <c r="J729" s="68"/>
      <c r="K729" s="68"/>
      <c r="L729" s="68"/>
      <c r="M729" s="68"/>
      <c r="N729" s="68"/>
      <c r="O729" s="68"/>
    </row>
    <row r="730" customFormat="false" ht="14.25" hidden="false" customHeight="true" outlineLevel="0" collapsed="false">
      <c r="A730" s="72"/>
      <c r="B730" s="72"/>
      <c r="C730" s="72"/>
      <c r="D730" s="73"/>
      <c r="E730" s="72"/>
      <c r="F730" s="72"/>
      <c r="G730" s="73"/>
      <c r="H730" s="73"/>
      <c r="I730" s="73"/>
      <c r="J730" s="68"/>
      <c r="K730" s="68"/>
      <c r="L730" s="68"/>
      <c r="M730" s="68"/>
      <c r="N730" s="68"/>
      <c r="O730" s="68"/>
    </row>
    <row r="731" customFormat="false" ht="14.25" hidden="false" customHeight="true" outlineLevel="0" collapsed="false">
      <c r="A731" s="72"/>
      <c r="B731" s="72"/>
      <c r="C731" s="72"/>
      <c r="D731" s="73"/>
      <c r="E731" s="72"/>
      <c r="F731" s="72"/>
      <c r="G731" s="73"/>
      <c r="H731" s="73"/>
      <c r="I731" s="73"/>
      <c r="J731" s="68"/>
      <c r="K731" s="68"/>
      <c r="L731" s="68"/>
      <c r="M731" s="68"/>
      <c r="N731" s="68"/>
      <c r="O731" s="68"/>
    </row>
    <row r="732" customFormat="false" ht="14.25" hidden="false" customHeight="true" outlineLevel="0" collapsed="false">
      <c r="A732" s="72"/>
      <c r="B732" s="72"/>
      <c r="C732" s="72"/>
      <c r="D732" s="73"/>
      <c r="E732" s="72"/>
      <c r="F732" s="72"/>
      <c r="G732" s="73"/>
      <c r="H732" s="73"/>
      <c r="I732" s="73"/>
      <c r="J732" s="68"/>
      <c r="K732" s="68"/>
      <c r="L732" s="68"/>
      <c r="M732" s="68"/>
      <c r="N732" s="68"/>
      <c r="O732" s="68"/>
    </row>
    <row r="733" customFormat="false" ht="14.25" hidden="false" customHeight="true" outlineLevel="0" collapsed="false">
      <c r="A733" s="72"/>
      <c r="B733" s="72"/>
      <c r="C733" s="72"/>
      <c r="D733" s="73"/>
      <c r="E733" s="72"/>
      <c r="F733" s="72"/>
      <c r="G733" s="73"/>
      <c r="H733" s="73"/>
      <c r="I733" s="73"/>
      <c r="J733" s="68"/>
      <c r="K733" s="68"/>
      <c r="L733" s="68"/>
      <c r="M733" s="68"/>
      <c r="N733" s="68"/>
      <c r="O733" s="68"/>
    </row>
    <row r="734" customFormat="false" ht="14.25" hidden="false" customHeight="true" outlineLevel="0" collapsed="false">
      <c r="A734" s="72"/>
      <c r="B734" s="72"/>
      <c r="C734" s="72"/>
      <c r="D734" s="73"/>
      <c r="E734" s="72"/>
      <c r="F734" s="72"/>
      <c r="G734" s="73"/>
      <c r="H734" s="73"/>
      <c r="I734" s="73"/>
      <c r="J734" s="68"/>
      <c r="K734" s="68"/>
      <c r="L734" s="68"/>
      <c r="M734" s="68"/>
      <c r="N734" s="68"/>
      <c r="O734" s="68"/>
    </row>
    <row r="735" customFormat="false" ht="14.25" hidden="false" customHeight="true" outlineLevel="0" collapsed="false">
      <c r="A735" s="72"/>
      <c r="B735" s="72"/>
      <c r="C735" s="72"/>
      <c r="D735" s="73"/>
      <c r="E735" s="72"/>
      <c r="F735" s="72"/>
      <c r="G735" s="73"/>
      <c r="H735" s="73"/>
      <c r="I735" s="73"/>
      <c r="J735" s="68"/>
      <c r="K735" s="68"/>
      <c r="L735" s="68"/>
      <c r="M735" s="68"/>
      <c r="N735" s="68"/>
      <c r="O735" s="68"/>
    </row>
    <row r="736" customFormat="false" ht="14.25" hidden="false" customHeight="true" outlineLevel="0" collapsed="false">
      <c r="A736" s="72"/>
      <c r="B736" s="72"/>
      <c r="C736" s="72"/>
      <c r="D736" s="73"/>
      <c r="E736" s="72"/>
      <c r="F736" s="72"/>
      <c r="G736" s="73"/>
      <c r="H736" s="73"/>
      <c r="I736" s="73"/>
      <c r="J736" s="68"/>
      <c r="K736" s="68"/>
      <c r="L736" s="68"/>
      <c r="M736" s="68"/>
      <c r="N736" s="68"/>
      <c r="O736" s="68"/>
    </row>
    <row r="737" customFormat="false" ht="14.25" hidden="false" customHeight="true" outlineLevel="0" collapsed="false">
      <c r="A737" s="72"/>
      <c r="B737" s="72"/>
      <c r="C737" s="72"/>
      <c r="D737" s="73"/>
      <c r="E737" s="72"/>
      <c r="F737" s="72"/>
      <c r="G737" s="73"/>
      <c r="H737" s="73"/>
      <c r="I737" s="73"/>
      <c r="J737" s="68"/>
      <c r="K737" s="68"/>
      <c r="L737" s="68"/>
      <c r="M737" s="68"/>
      <c r="N737" s="68"/>
      <c r="O737" s="68"/>
    </row>
    <row r="738" customFormat="false" ht="14.25" hidden="false" customHeight="true" outlineLevel="0" collapsed="false">
      <c r="A738" s="72"/>
      <c r="B738" s="72"/>
      <c r="C738" s="72"/>
      <c r="D738" s="73"/>
      <c r="E738" s="72"/>
      <c r="F738" s="72"/>
      <c r="G738" s="73"/>
      <c r="H738" s="73"/>
      <c r="I738" s="73"/>
      <c r="J738" s="68"/>
      <c r="K738" s="68"/>
      <c r="L738" s="68"/>
      <c r="M738" s="68"/>
      <c r="N738" s="68"/>
      <c r="O738" s="68"/>
    </row>
    <row r="739" customFormat="false" ht="14.25" hidden="false" customHeight="true" outlineLevel="0" collapsed="false">
      <c r="A739" s="72"/>
      <c r="B739" s="72"/>
      <c r="C739" s="72"/>
      <c r="D739" s="73"/>
      <c r="E739" s="72"/>
      <c r="F739" s="72"/>
      <c r="G739" s="73"/>
      <c r="H739" s="73"/>
      <c r="I739" s="73"/>
      <c r="J739" s="68"/>
      <c r="K739" s="68"/>
      <c r="L739" s="68"/>
      <c r="M739" s="68"/>
      <c r="N739" s="68"/>
      <c r="O739" s="68"/>
    </row>
    <row r="740" customFormat="false" ht="14.25" hidden="false" customHeight="true" outlineLevel="0" collapsed="false">
      <c r="A740" s="72"/>
      <c r="B740" s="72"/>
      <c r="C740" s="72"/>
      <c r="D740" s="73"/>
      <c r="E740" s="72"/>
      <c r="F740" s="72"/>
      <c r="G740" s="73"/>
      <c r="H740" s="73"/>
      <c r="I740" s="73"/>
      <c r="J740" s="68"/>
      <c r="K740" s="68"/>
      <c r="L740" s="68"/>
      <c r="M740" s="68"/>
      <c r="N740" s="68"/>
      <c r="O740" s="68"/>
    </row>
    <row r="741" customFormat="false" ht="14.25" hidden="false" customHeight="true" outlineLevel="0" collapsed="false">
      <c r="A741" s="72"/>
      <c r="B741" s="72"/>
      <c r="C741" s="72"/>
      <c r="D741" s="73"/>
      <c r="E741" s="72"/>
      <c r="F741" s="72"/>
      <c r="G741" s="73"/>
      <c r="H741" s="73"/>
      <c r="I741" s="73"/>
      <c r="J741" s="68"/>
      <c r="K741" s="68"/>
      <c r="L741" s="68"/>
      <c r="M741" s="68"/>
      <c r="N741" s="68"/>
      <c r="O741" s="68"/>
    </row>
    <row r="742" customFormat="false" ht="14.25" hidden="false" customHeight="true" outlineLevel="0" collapsed="false">
      <c r="A742" s="72"/>
      <c r="B742" s="72"/>
      <c r="C742" s="72"/>
      <c r="D742" s="73"/>
      <c r="E742" s="72"/>
      <c r="F742" s="72"/>
      <c r="G742" s="73"/>
      <c r="H742" s="73"/>
      <c r="I742" s="73"/>
      <c r="J742" s="68"/>
      <c r="K742" s="68"/>
      <c r="L742" s="68"/>
      <c r="M742" s="68"/>
      <c r="N742" s="68"/>
      <c r="O742" s="68"/>
    </row>
    <row r="743" customFormat="false" ht="14.25" hidden="false" customHeight="true" outlineLevel="0" collapsed="false">
      <c r="A743" s="72"/>
      <c r="B743" s="72"/>
      <c r="C743" s="72"/>
      <c r="D743" s="73"/>
      <c r="E743" s="72"/>
      <c r="F743" s="72"/>
      <c r="G743" s="73"/>
      <c r="H743" s="73"/>
      <c r="I743" s="73"/>
      <c r="J743" s="68"/>
      <c r="K743" s="68"/>
      <c r="L743" s="68"/>
      <c r="M743" s="68"/>
      <c r="N743" s="68"/>
      <c r="O743" s="68"/>
    </row>
    <row r="744" customFormat="false" ht="14.25" hidden="false" customHeight="true" outlineLevel="0" collapsed="false">
      <c r="A744" s="72"/>
      <c r="B744" s="72"/>
      <c r="C744" s="72"/>
      <c r="D744" s="73"/>
      <c r="E744" s="72"/>
      <c r="F744" s="72"/>
      <c r="G744" s="73"/>
      <c r="H744" s="73"/>
      <c r="I744" s="73"/>
      <c r="J744" s="68"/>
      <c r="K744" s="68"/>
      <c r="L744" s="68"/>
      <c r="M744" s="68"/>
      <c r="N744" s="68"/>
      <c r="O744" s="68"/>
    </row>
    <row r="745" customFormat="false" ht="14.25" hidden="false" customHeight="true" outlineLevel="0" collapsed="false">
      <c r="A745" s="72"/>
      <c r="B745" s="72"/>
      <c r="C745" s="72"/>
      <c r="D745" s="73"/>
      <c r="E745" s="72"/>
      <c r="F745" s="72"/>
      <c r="G745" s="73"/>
      <c r="H745" s="73"/>
      <c r="I745" s="73"/>
      <c r="J745" s="68"/>
      <c r="K745" s="68"/>
      <c r="L745" s="68"/>
      <c r="M745" s="68"/>
      <c r="N745" s="68"/>
      <c r="O745" s="68"/>
    </row>
    <row r="746" customFormat="false" ht="14.25" hidden="false" customHeight="true" outlineLevel="0" collapsed="false">
      <c r="A746" s="72"/>
      <c r="B746" s="72"/>
      <c r="C746" s="72"/>
      <c r="D746" s="73"/>
      <c r="E746" s="72"/>
      <c r="F746" s="72"/>
      <c r="G746" s="73"/>
      <c r="H746" s="73"/>
      <c r="I746" s="73"/>
      <c r="J746" s="68"/>
      <c r="K746" s="68"/>
      <c r="L746" s="68"/>
      <c r="M746" s="68"/>
      <c r="N746" s="68"/>
      <c r="O746" s="68"/>
    </row>
    <row r="747" customFormat="false" ht="14.25" hidden="false" customHeight="true" outlineLevel="0" collapsed="false">
      <c r="A747" s="72"/>
      <c r="B747" s="72"/>
      <c r="C747" s="72"/>
      <c r="D747" s="73"/>
      <c r="E747" s="72"/>
      <c r="F747" s="72"/>
      <c r="G747" s="73"/>
      <c r="H747" s="73"/>
      <c r="I747" s="73"/>
      <c r="J747" s="68"/>
      <c r="K747" s="68"/>
      <c r="L747" s="68"/>
      <c r="M747" s="68"/>
      <c r="N747" s="68"/>
      <c r="O747" s="68"/>
    </row>
    <row r="748" customFormat="false" ht="14.25" hidden="false" customHeight="true" outlineLevel="0" collapsed="false">
      <c r="A748" s="72"/>
      <c r="B748" s="72"/>
      <c r="C748" s="72"/>
      <c r="D748" s="73"/>
      <c r="E748" s="72"/>
      <c r="F748" s="72"/>
      <c r="G748" s="73"/>
      <c r="H748" s="73"/>
      <c r="I748" s="73"/>
      <c r="J748" s="68"/>
      <c r="K748" s="68"/>
      <c r="L748" s="68"/>
      <c r="M748" s="68"/>
      <c r="N748" s="68"/>
      <c r="O748" s="68"/>
    </row>
    <row r="749" customFormat="false" ht="14.25" hidden="false" customHeight="true" outlineLevel="0" collapsed="false">
      <c r="A749" s="72"/>
      <c r="B749" s="72"/>
      <c r="C749" s="72"/>
      <c r="D749" s="73"/>
      <c r="E749" s="72"/>
      <c r="F749" s="72"/>
      <c r="G749" s="73"/>
      <c r="H749" s="73"/>
      <c r="I749" s="73"/>
      <c r="J749" s="68"/>
      <c r="K749" s="68"/>
      <c r="L749" s="68"/>
      <c r="M749" s="68"/>
      <c r="N749" s="68"/>
      <c r="O749" s="68"/>
    </row>
    <row r="750" customFormat="false" ht="14.25" hidden="false" customHeight="true" outlineLevel="0" collapsed="false">
      <c r="A750" s="72"/>
      <c r="B750" s="72"/>
      <c r="C750" s="72"/>
      <c r="D750" s="73"/>
      <c r="E750" s="72"/>
      <c r="F750" s="72"/>
      <c r="G750" s="73"/>
      <c r="H750" s="73"/>
      <c r="I750" s="73"/>
      <c r="J750" s="68"/>
      <c r="K750" s="68"/>
      <c r="L750" s="68"/>
      <c r="M750" s="68"/>
      <c r="N750" s="68"/>
      <c r="O750" s="68"/>
    </row>
    <row r="751" customFormat="false" ht="14.25" hidden="false" customHeight="true" outlineLevel="0" collapsed="false">
      <c r="A751" s="72"/>
      <c r="B751" s="72"/>
      <c r="C751" s="72"/>
      <c r="D751" s="73"/>
      <c r="E751" s="72"/>
      <c r="F751" s="72"/>
      <c r="G751" s="73"/>
      <c r="H751" s="73"/>
      <c r="I751" s="73"/>
      <c r="J751" s="68"/>
      <c r="K751" s="68"/>
      <c r="L751" s="68"/>
      <c r="M751" s="68"/>
      <c r="N751" s="68"/>
      <c r="O751" s="68"/>
    </row>
    <row r="752" customFormat="false" ht="14.25" hidden="false" customHeight="true" outlineLevel="0" collapsed="false">
      <c r="A752" s="72"/>
      <c r="B752" s="72"/>
      <c r="C752" s="72"/>
      <c r="D752" s="73"/>
      <c r="E752" s="72"/>
      <c r="F752" s="72"/>
      <c r="G752" s="73"/>
      <c r="H752" s="73"/>
      <c r="I752" s="73"/>
      <c r="J752" s="68"/>
      <c r="K752" s="68"/>
      <c r="L752" s="68"/>
      <c r="M752" s="68"/>
      <c r="N752" s="68"/>
      <c r="O752" s="68"/>
    </row>
    <row r="753" customFormat="false" ht="14.25" hidden="false" customHeight="true" outlineLevel="0" collapsed="false">
      <c r="A753" s="72"/>
      <c r="B753" s="72"/>
      <c r="C753" s="72"/>
      <c r="D753" s="73"/>
      <c r="E753" s="72"/>
      <c r="F753" s="72"/>
      <c r="G753" s="73"/>
      <c r="H753" s="73"/>
      <c r="I753" s="73"/>
      <c r="J753" s="68"/>
      <c r="K753" s="68"/>
      <c r="L753" s="68"/>
      <c r="M753" s="68"/>
      <c r="N753" s="68"/>
      <c r="O753" s="68"/>
    </row>
    <row r="754" customFormat="false" ht="14.25" hidden="false" customHeight="true" outlineLevel="0" collapsed="false">
      <c r="A754" s="72"/>
      <c r="B754" s="72"/>
      <c r="C754" s="72"/>
      <c r="D754" s="73"/>
      <c r="E754" s="72"/>
      <c r="F754" s="72"/>
      <c r="G754" s="73"/>
      <c r="H754" s="73"/>
      <c r="I754" s="73"/>
      <c r="J754" s="68"/>
      <c r="K754" s="68"/>
      <c r="L754" s="68"/>
      <c r="M754" s="68"/>
      <c r="N754" s="68"/>
      <c r="O754" s="68"/>
    </row>
    <row r="755" customFormat="false" ht="14.25" hidden="false" customHeight="true" outlineLevel="0" collapsed="false">
      <c r="A755" s="72"/>
      <c r="B755" s="72"/>
      <c r="C755" s="72"/>
      <c r="D755" s="73"/>
      <c r="E755" s="72"/>
      <c r="F755" s="72"/>
      <c r="G755" s="73"/>
      <c r="H755" s="73"/>
      <c r="I755" s="73"/>
      <c r="J755" s="68"/>
      <c r="K755" s="68"/>
      <c r="L755" s="68"/>
      <c r="M755" s="68"/>
      <c r="N755" s="68"/>
      <c r="O755" s="68"/>
    </row>
    <row r="756" customFormat="false" ht="14.25" hidden="false" customHeight="true" outlineLevel="0" collapsed="false">
      <c r="A756" s="72"/>
      <c r="B756" s="72"/>
      <c r="C756" s="72"/>
      <c r="D756" s="73"/>
      <c r="E756" s="72"/>
      <c r="F756" s="72"/>
      <c r="G756" s="73"/>
      <c r="H756" s="73"/>
      <c r="I756" s="73"/>
      <c r="J756" s="68"/>
      <c r="K756" s="68"/>
      <c r="L756" s="68"/>
      <c r="M756" s="68"/>
      <c r="N756" s="68"/>
      <c r="O756" s="68"/>
    </row>
    <row r="757" customFormat="false" ht="14.25" hidden="false" customHeight="true" outlineLevel="0" collapsed="false">
      <c r="A757" s="72"/>
      <c r="B757" s="72"/>
      <c r="C757" s="72"/>
      <c r="D757" s="73"/>
      <c r="E757" s="72"/>
      <c r="F757" s="72"/>
      <c r="G757" s="73"/>
      <c r="H757" s="73"/>
      <c r="I757" s="73"/>
      <c r="J757" s="68"/>
      <c r="K757" s="68"/>
      <c r="L757" s="68"/>
      <c r="M757" s="68"/>
      <c r="N757" s="68"/>
      <c r="O757" s="68"/>
    </row>
    <row r="758" customFormat="false" ht="14.25" hidden="false" customHeight="true" outlineLevel="0" collapsed="false">
      <c r="A758" s="72"/>
      <c r="B758" s="72"/>
      <c r="C758" s="72"/>
      <c r="D758" s="73"/>
      <c r="E758" s="72"/>
      <c r="F758" s="72"/>
      <c r="G758" s="73"/>
      <c r="H758" s="73"/>
      <c r="I758" s="73"/>
      <c r="J758" s="68"/>
      <c r="K758" s="68"/>
      <c r="L758" s="68"/>
      <c r="M758" s="68"/>
      <c r="N758" s="68"/>
      <c r="O758" s="68"/>
    </row>
    <row r="759" customFormat="false" ht="14.25" hidden="false" customHeight="true" outlineLevel="0" collapsed="false">
      <c r="A759" s="72"/>
      <c r="B759" s="72"/>
      <c r="C759" s="72"/>
      <c r="D759" s="73"/>
      <c r="E759" s="72"/>
      <c r="F759" s="72"/>
      <c r="G759" s="73"/>
      <c r="H759" s="73"/>
      <c r="I759" s="73"/>
      <c r="J759" s="68"/>
      <c r="K759" s="68"/>
      <c r="L759" s="68"/>
      <c r="M759" s="68"/>
      <c r="N759" s="68"/>
      <c r="O759" s="68"/>
    </row>
    <row r="760" customFormat="false" ht="14.25" hidden="false" customHeight="true" outlineLevel="0" collapsed="false">
      <c r="A760" s="72"/>
      <c r="B760" s="72"/>
      <c r="C760" s="72"/>
      <c r="D760" s="73"/>
      <c r="E760" s="72"/>
      <c r="F760" s="72"/>
      <c r="G760" s="73"/>
      <c r="H760" s="73"/>
      <c r="I760" s="73"/>
      <c r="J760" s="68"/>
      <c r="K760" s="68"/>
      <c r="L760" s="68"/>
      <c r="M760" s="68"/>
      <c r="N760" s="68"/>
      <c r="O760" s="68"/>
    </row>
    <row r="761" customFormat="false" ht="14.25" hidden="false" customHeight="true" outlineLevel="0" collapsed="false">
      <c r="A761" s="72"/>
      <c r="B761" s="72"/>
      <c r="C761" s="72"/>
      <c r="D761" s="73"/>
      <c r="E761" s="72"/>
      <c r="F761" s="72"/>
      <c r="G761" s="73"/>
      <c r="H761" s="73"/>
      <c r="I761" s="73"/>
      <c r="J761" s="68"/>
      <c r="K761" s="68"/>
      <c r="L761" s="68"/>
      <c r="M761" s="68"/>
      <c r="N761" s="68"/>
      <c r="O761" s="68"/>
    </row>
    <row r="762" customFormat="false" ht="14.25" hidden="false" customHeight="true" outlineLevel="0" collapsed="false">
      <c r="A762" s="72"/>
      <c r="B762" s="72"/>
      <c r="C762" s="72"/>
      <c r="D762" s="73"/>
      <c r="E762" s="72"/>
      <c r="F762" s="72"/>
      <c r="G762" s="73"/>
      <c r="H762" s="73"/>
      <c r="I762" s="73"/>
      <c r="J762" s="68"/>
      <c r="K762" s="68"/>
      <c r="L762" s="68"/>
      <c r="M762" s="68"/>
      <c r="N762" s="68"/>
      <c r="O762" s="68"/>
    </row>
    <row r="763" customFormat="false" ht="14.25" hidden="false" customHeight="true" outlineLevel="0" collapsed="false">
      <c r="A763" s="72"/>
      <c r="B763" s="72"/>
      <c r="C763" s="72"/>
      <c r="D763" s="73"/>
      <c r="E763" s="72"/>
      <c r="F763" s="72"/>
      <c r="G763" s="73"/>
      <c r="H763" s="73"/>
      <c r="I763" s="73"/>
      <c r="J763" s="68"/>
      <c r="K763" s="68"/>
      <c r="L763" s="68"/>
      <c r="M763" s="68"/>
      <c r="N763" s="68"/>
      <c r="O763" s="68"/>
    </row>
    <row r="764" customFormat="false" ht="14.25" hidden="false" customHeight="true" outlineLevel="0" collapsed="false">
      <c r="A764" s="72"/>
      <c r="B764" s="72"/>
      <c r="C764" s="72"/>
      <c r="D764" s="73"/>
      <c r="E764" s="72"/>
      <c r="F764" s="72"/>
      <c r="G764" s="73"/>
      <c r="H764" s="73"/>
      <c r="I764" s="73"/>
      <c r="J764" s="68"/>
      <c r="K764" s="68"/>
      <c r="L764" s="68"/>
      <c r="M764" s="68"/>
      <c r="N764" s="68"/>
      <c r="O764" s="68"/>
    </row>
    <row r="765" customFormat="false" ht="14.25" hidden="false" customHeight="true" outlineLevel="0" collapsed="false">
      <c r="A765" s="72"/>
      <c r="B765" s="72"/>
      <c r="C765" s="72"/>
      <c r="D765" s="73"/>
      <c r="E765" s="72"/>
      <c r="F765" s="72"/>
      <c r="G765" s="73"/>
      <c r="H765" s="73"/>
      <c r="I765" s="73"/>
      <c r="J765" s="68"/>
      <c r="K765" s="68"/>
      <c r="L765" s="68"/>
      <c r="M765" s="68"/>
      <c r="N765" s="68"/>
      <c r="O765" s="68"/>
    </row>
    <row r="766" customFormat="false" ht="14.25" hidden="false" customHeight="true" outlineLevel="0" collapsed="false">
      <c r="A766" s="72"/>
      <c r="B766" s="72"/>
      <c r="C766" s="72"/>
      <c r="D766" s="73"/>
      <c r="E766" s="72"/>
      <c r="F766" s="72"/>
      <c r="G766" s="73"/>
      <c r="H766" s="73"/>
      <c r="I766" s="73"/>
      <c r="J766" s="68"/>
      <c r="K766" s="68"/>
      <c r="L766" s="68"/>
      <c r="M766" s="68"/>
      <c r="N766" s="68"/>
      <c r="O766" s="68"/>
    </row>
    <row r="767" customFormat="false" ht="14.25" hidden="false" customHeight="true" outlineLevel="0" collapsed="false">
      <c r="A767" s="72"/>
      <c r="B767" s="72"/>
      <c r="C767" s="72"/>
      <c r="D767" s="73"/>
      <c r="E767" s="72"/>
      <c r="F767" s="72"/>
      <c r="G767" s="73"/>
      <c r="H767" s="73"/>
      <c r="I767" s="73"/>
      <c r="J767" s="68"/>
      <c r="K767" s="68"/>
      <c r="L767" s="68"/>
      <c r="M767" s="68"/>
      <c r="N767" s="68"/>
      <c r="O767" s="68"/>
    </row>
    <row r="768" customFormat="false" ht="14.25" hidden="false" customHeight="true" outlineLevel="0" collapsed="false">
      <c r="A768" s="72"/>
      <c r="B768" s="72"/>
      <c r="C768" s="72"/>
      <c r="D768" s="73"/>
      <c r="E768" s="72"/>
      <c r="F768" s="72"/>
      <c r="G768" s="73"/>
      <c r="H768" s="73"/>
      <c r="I768" s="73"/>
      <c r="J768" s="68"/>
      <c r="K768" s="68"/>
      <c r="L768" s="68"/>
      <c r="M768" s="68"/>
      <c r="N768" s="68"/>
      <c r="O768" s="68"/>
    </row>
    <row r="769" customFormat="false" ht="14.25" hidden="false" customHeight="true" outlineLevel="0" collapsed="false">
      <c r="A769" s="72"/>
      <c r="B769" s="72"/>
      <c r="C769" s="72"/>
      <c r="D769" s="73"/>
      <c r="E769" s="72"/>
      <c r="F769" s="72"/>
      <c r="G769" s="73"/>
      <c r="H769" s="73"/>
      <c r="I769" s="73"/>
      <c r="J769" s="68"/>
      <c r="K769" s="68"/>
      <c r="L769" s="68"/>
      <c r="M769" s="68"/>
      <c r="N769" s="68"/>
      <c r="O769" s="68"/>
    </row>
    <row r="770" customFormat="false" ht="14.25" hidden="false" customHeight="true" outlineLevel="0" collapsed="false">
      <c r="A770" s="72"/>
      <c r="B770" s="72"/>
      <c r="C770" s="72"/>
      <c r="D770" s="73"/>
      <c r="E770" s="72"/>
      <c r="F770" s="72"/>
      <c r="G770" s="73"/>
      <c r="H770" s="73"/>
      <c r="I770" s="73"/>
      <c r="J770" s="68"/>
      <c r="K770" s="68"/>
      <c r="L770" s="68"/>
      <c r="M770" s="68"/>
      <c r="N770" s="68"/>
      <c r="O770" s="68"/>
    </row>
    <row r="771" customFormat="false" ht="14.25" hidden="false" customHeight="true" outlineLevel="0" collapsed="false">
      <c r="A771" s="72"/>
      <c r="B771" s="72"/>
      <c r="C771" s="72"/>
      <c r="D771" s="73"/>
      <c r="E771" s="72"/>
      <c r="F771" s="72"/>
      <c r="G771" s="73"/>
      <c r="H771" s="73"/>
      <c r="I771" s="73"/>
      <c r="J771" s="68"/>
      <c r="K771" s="68"/>
      <c r="L771" s="68"/>
      <c r="M771" s="68"/>
      <c r="N771" s="68"/>
      <c r="O771" s="68"/>
    </row>
    <row r="772" customFormat="false" ht="14.25" hidden="false" customHeight="true" outlineLevel="0" collapsed="false">
      <c r="A772" s="72"/>
      <c r="B772" s="72"/>
      <c r="C772" s="72"/>
      <c r="D772" s="73"/>
      <c r="E772" s="72"/>
      <c r="F772" s="72"/>
      <c r="G772" s="73"/>
      <c r="H772" s="73"/>
      <c r="I772" s="73"/>
      <c r="J772" s="68"/>
      <c r="K772" s="68"/>
      <c r="L772" s="68"/>
      <c r="M772" s="68"/>
      <c r="N772" s="68"/>
      <c r="O772" s="68"/>
    </row>
    <row r="773" customFormat="false" ht="14.25" hidden="false" customHeight="true" outlineLevel="0" collapsed="false">
      <c r="A773" s="72"/>
      <c r="B773" s="72"/>
      <c r="C773" s="72"/>
      <c r="D773" s="73"/>
      <c r="E773" s="72"/>
      <c r="F773" s="72"/>
      <c r="G773" s="73"/>
      <c r="H773" s="73"/>
      <c r="I773" s="73"/>
      <c r="J773" s="68"/>
      <c r="K773" s="68"/>
      <c r="L773" s="68"/>
      <c r="M773" s="68"/>
      <c r="N773" s="68"/>
      <c r="O773" s="68"/>
    </row>
    <row r="774" customFormat="false" ht="14.25" hidden="false" customHeight="true" outlineLevel="0" collapsed="false">
      <c r="A774" s="72"/>
      <c r="B774" s="72"/>
      <c r="C774" s="72"/>
      <c r="D774" s="73"/>
      <c r="E774" s="72"/>
      <c r="F774" s="72"/>
      <c r="G774" s="73"/>
      <c r="H774" s="73"/>
      <c r="I774" s="73"/>
      <c r="J774" s="68"/>
      <c r="K774" s="68"/>
      <c r="L774" s="68"/>
      <c r="M774" s="68"/>
      <c r="N774" s="68"/>
      <c r="O774" s="68"/>
    </row>
    <row r="775" customFormat="false" ht="14.25" hidden="false" customHeight="true" outlineLevel="0" collapsed="false">
      <c r="A775" s="72"/>
      <c r="B775" s="72"/>
      <c r="C775" s="72"/>
      <c r="D775" s="73"/>
      <c r="E775" s="72"/>
      <c r="F775" s="72"/>
      <c r="G775" s="73"/>
      <c r="H775" s="73"/>
      <c r="I775" s="73"/>
      <c r="J775" s="68"/>
      <c r="K775" s="68"/>
      <c r="L775" s="68"/>
      <c r="M775" s="68"/>
      <c r="N775" s="68"/>
      <c r="O775" s="68"/>
    </row>
    <row r="776" customFormat="false" ht="14.25" hidden="false" customHeight="true" outlineLevel="0" collapsed="false">
      <c r="A776" s="72"/>
      <c r="B776" s="72"/>
      <c r="C776" s="72"/>
      <c r="D776" s="73"/>
      <c r="E776" s="72"/>
      <c r="F776" s="72"/>
      <c r="G776" s="73"/>
      <c r="H776" s="73"/>
      <c r="I776" s="73"/>
      <c r="J776" s="68"/>
      <c r="K776" s="68"/>
      <c r="L776" s="68"/>
      <c r="M776" s="68"/>
      <c r="N776" s="68"/>
      <c r="O776" s="68"/>
    </row>
    <row r="777" customFormat="false" ht="14.25" hidden="false" customHeight="true" outlineLevel="0" collapsed="false">
      <c r="A777" s="72"/>
      <c r="B777" s="72"/>
      <c r="C777" s="72"/>
      <c r="D777" s="73"/>
      <c r="E777" s="72"/>
      <c r="F777" s="72"/>
      <c r="G777" s="73"/>
      <c r="H777" s="73"/>
      <c r="I777" s="73"/>
      <c r="J777" s="68"/>
      <c r="K777" s="68"/>
      <c r="L777" s="68"/>
      <c r="M777" s="68"/>
      <c r="N777" s="68"/>
      <c r="O777" s="68"/>
    </row>
    <row r="778" customFormat="false" ht="14.25" hidden="false" customHeight="true" outlineLevel="0" collapsed="false">
      <c r="A778" s="72"/>
      <c r="B778" s="72"/>
      <c r="C778" s="72"/>
      <c r="D778" s="73"/>
      <c r="E778" s="72"/>
      <c r="F778" s="72"/>
      <c r="G778" s="73"/>
      <c r="H778" s="73"/>
      <c r="I778" s="73"/>
      <c r="J778" s="68"/>
      <c r="K778" s="68"/>
      <c r="L778" s="68"/>
      <c r="M778" s="68"/>
      <c r="N778" s="68"/>
      <c r="O778" s="68"/>
    </row>
    <row r="779" customFormat="false" ht="14.25" hidden="false" customHeight="true" outlineLevel="0" collapsed="false">
      <c r="A779" s="72"/>
      <c r="B779" s="72"/>
      <c r="C779" s="72"/>
      <c r="D779" s="73"/>
      <c r="E779" s="72"/>
      <c r="F779" s="72"/>
      <c r="G779" s="73"/>
      <c r="H779" s="73"/>
      <c r="I779" s="73"/>
      <c r="J779" s="68"/>
      <c r="K779" s="68"/>
      <c r="L779" s="68"/>
      <c r="M779" s="68"/>
      <c r="N779" s="68"/>
      <c r="O779" s="68"/>
    </row>
    <row r="780" customFormat="false" ht="14.25" hidden="false" customHeight="true" outlineLevel="0" collapsed="false">
      <c r="A780" s="72"/>
      <c r="B780" s="72"/>
      <c r="C780" s="72"/>
      <c r="D780" s="73"/>
      <c r="E780" s="72"/>
      <c r="F780" s="72"/>
      <c r="G780" s="73"/>
      <c r="H780" s="73"/>
      <c r="I780" s="73"/>
      <c r="J780" s="68"/>
      <c r="K780" s="68"/>
      <c r="L780" s="68"/>
      <c r="M780" s="68"/>
      <c r="N780" s="68"/>
      <c r="O780" s="68"/>
    </row>
    <row r="781" customFormat="false" ht="14.25" hidden="false" customHeight="true" outlineLevel="0" collapsed="false">
      <c r="A781" s="72"/>
      <c r="B781" s="72"/>
      <c r="C781" s="72"/>
      <c r="D781" s="73"/>
      <c r="E781" s="72"/>
      <c r="F781" s="72"/>
      <c r="G781" s="73"/>
      <c r="H781" s="73"/>
      <c r="I781" s="73"/>
      <c r="J781" s="68"/>
      <c r="K781" s="68"/>
      <c r="L781" s="68"/>
      <c r="M781" s="68"/>
      <c r="N781" s="68"/>
      <c r="O781" s="68"/>
    </row>
    <row r="782" customFormat="false" ht="14.25" hidden="false" customHeight="true" outlineLevel="0" collapsed="false">
      <c r="A782" s="72"/>
      <c r="B782" s="72"/>
      <c r="C782" s="72"/>
      <c r="D782" s="73"/>
      <c r="E782" s="72"/>
      <c r="F782" s="72"/>
      <c r="G782" s="73"/>
      <c r="H782" s="73"/>
      <c r="I782" s="73"/>
      <c r="J782" s="68"/>
      <c r="K782" s="68"/>
      <c r="L782" s="68"/>
      <c r="M782" s="68"/>
      <c r="N782" s="68"/>
      <c r="O782" s="68"/>
    </row>
    <row r="783" customFormat="false" ht="14.25" hidden="false" customHeight="true" outlineLevel="0" collapsed="false">
      <c r="A783" s="72"/>
      <c r="B783" s="72"/>
      <c r="C783" s="72"/>
      <c r="D783" s="73"/>
      <c r="E783" s="72"/>
      <c r="F783" s="72"/>
      <c r="G783" s="73"/>
      <c r="H783" s="73"/>
      <c r="I783" s="73"/>
      <c r="J783" s="68"/>
      <c r="K783" s="68"/>
      <c r="L783" s="68"/>
      <c r="M783" s="68"/>
      <c r="N783" s="68"/>
      <c r="O783" s="68"/>
    </row>
    <row r="784" customFormat="false" ht="14.25" hidden="false" customHeight="true" outlineLevel="0" collapsed="false">
      <c r="A784" s="72"/>
      <c r="B784" s="72"/>
      <c r="C784" s="72"/>
      <c r="D784" s="73"/>
      <c r="E784" s="72"/>
      <c r="F784" s="72"/>
      <c r="G784" s="73"/>
      <c r="H784" s="73"/>
      <c r="I784" s="73"/>
      <c r="J784" s="68"/>
      <c r="K784" s="68"/>
      <c r="L784" s="68"/>
      <c r="M784" s="68"/>
      <c r="N784" s="68"/>
      <c r="O784" s="68"/>
    </row>
    <row r="785" customFormat="false" ht="14.25" hidden="false" customHeight="true" outlineLevel="0" collapsed="false">
      <c r="A785" s="72"/>
      <c r="B785" s="72"/>
      <c r="C785" s="72"/>
      <c r="D785" s="73"/>
      <c r="E785" s="72"/>
      <c r="F785" s="72"/>
      <c r="G785" s="73"/>
      <c r="H785" s="73"/>
      <c r="I785" s="73"/>
      <c r="J785" s="68"/>
      <c r="K785" s="68"/>
      <c r="L785" s="68"/>
      <c r="M785" s="68"/>
      <c r="N785" s="68"/>
      <c r="O785" s="68"/>
    </row>
    <row r="786" customFormat="false" ht="14.25" hidden="false" customHeight="true" outlineLevel="0" collapsed="false">
      <c r="A786" s="72"/>
      <c r="B786" s="72"/>
      <c r="C786" s="72"/>
      <c r="D786" s="73"/>
      <c r="E786" s="72"/>
      <c r="F786" s="72"/>
      <c r="G786" s="73"/>
      <c r="H786" s="73"/>
      <c r="I786" s="73"/>
      <c r="J786" s="68"/>
      <c r="K786" s="68"/>
      <c r="L786" s="68"/>
      <c r="M786" s="68"/>
      <c r="N786" s="68"/>
      <c r="O786" s="68"/>
    </row>
    <row r="787" customFormat="false" ht="14.25" hidden="false" customHeight="true" outlineLevel="0" collapsed="false">
      <c r="A787" s="72"/>
      <c r="B787" s="72"/>
      <c r="C787" s="72"/>
      <c r="D787" s="73"/>
      <c r="E787" s="72"/>
      <c r="F787" s="72"/>
      <c r="G787" s="73"/>
      <c r="H787" s="73"/>
      <c r="I787" s="73"/>
      <c r="J787" s="68"/>
      <c r="K787" s="68"/>
      <c r="L787" s="68"/>
      <c r="M787" s="68"/>
      <c r="N787" s="68"/>
      <c r="O787" s="68"/>
    </row>
    <row r="788" customFormat="false" ht="14.25" hidden="false" customHeight="true" outlineLevel="0" collapsed="false">
      <c r="A788" s="72"/>
      <c r="B788" s="72"/>
      <c r="C788" s="72"/>
      <c r="D788" s="73"/>
      <c r="E788" s="72"/>
      <c r="F788" s="72"/>
      <c r="G788" s="73"/>
      <c r="H788" s="73"/>
      <c r="I788" s="73"/>
      <c r="J788" s="68"/>
      <c r="K788" s="68"/>
      <c r="L788" s="68"/>
      <c r="M788" s="68"/>
      <c r="N788" s="68"/>
      <c r="O788" s="68"/>
    </row>
    <row r="789" customFormat="false" ht="14.25" hidden="false" customHeight="true" outlineLevel="0" collapsed="false">
      <c r="A789" s="72"/>
      <c r="B789" s="72"/>
      <c r="C789" s="72"/>
      <c r="D789" s="73"/>
      <c r="E789" s="72"/>
      <c r="F789" s="72"/>
      <c r="G789" s="73"/>
      <c r="H789" s="73"/>
      <c r="I789" s="73"/>
      <c r="J789" s="68"/>
      <c r="K789" s="68"/>
      <c r="L789" s="68"/>
      <c r="M789" s="68"/>
      <c r="N789" s="68"/>
      <c r="O789" s="68"/>
    </row>
    <row r="790" customFormat="false" ht="14.25" hidden="false" customHeight="true" outlineLevel="0" collapsed="false">
      <c r="A790" s="72"/>
      <c r="B790" s="72"/>
      <c r="C790" s="72"/>
      <c r="D790" s="73"/>
      <c r="E790" s="72"/>
      <c r="F790" s="72"/>
      <c r="G790" s="73"/>
      <c r="H790" s="73"/>
      <c r="I790" s="73"/>
      <c r="J790" s="68"/>
      <c r="K790" s="68"/>
      <c r="L790" s="68"/>
      <c r="M790" s="68"/>
      <c r="N790" s="68"/>
      <c r="O790" s="68"/>
    </row>
    <row r="791" customFormat="false" ht="14.25" hidden="false" customHeight="true" outlineLevel="0" collapsed="false">
      <c r="A791" s="72"/>
      <c r="B791" s="72"/>
      <c r="C791" s="72"/>
      <c r="D791" s="73"/>
      <c r="E791" s="72"/>
      <c r="F791" s="72"/>
      <c r="G791" s="73"/>
      <c r="H791" s="73"/>
      <c r="I791" s="73"/>
      <c r="J791" s="68"/>
      <c r="K791" s="68"/>
      <c r="L791" s="68"/>
      <c r="M791" s="68"/>
      <c r="N791" s="68"/>
      <c r="O791" s="68"/>
    </row>
    <row r="792" customFormat="false" ht="14.25" hidden="false" customHeight="true" outlineLevel="0" collapsed="false">
      <c r="A792" s="72"/>
      <c r="B792" s="72"/>
      <c r="C792" s="72"/>
      <c r="D792" s="73"/>
      <c r="E792" s="72"/>
      <c r="F792" s="72"/>
      <c r="G792" s="73"/>
      <c r="H792" s="73"/>
      <c r="I792" s="73"/>
      <c r="J792" s="68"/>
      <c r="K792" s="68"/>
      <c r="L792" s="68"/>
      <c r="M792" s="68"/>
      <c r="N792" s="68"/>
      <c r="O792" s="68"/>
    </row>
    <row r="793" customFormat="false" ht="14.25" hidden="false" customHeight="true" outlineLevel="0" collapsed="false">
      <c r="A793" s="72"/>
      <c r="B793" s="72"/>
      <c r="C793" s="72"/>
      <c r="D793" s="73"/>
      <c r="E793" s="72"/>
      <c r="F793" s="72"/>
      <c r="G793" s="73"/>
      <c r="H793" s="73"/>
      <c r="I793" s="73"/>
      <c r="J793" s="68"/>
      <c r="K793" s="68"/>
      <c r="L793" s="68"/>
      <c r="M793" s="68"/>
      <c r="N793" s="68"/>
      <c r="O793" s="68"/>
    </row>
    <row r="794" customFormat="false" ht="14.25" hidden="false" customHeight="true" outlineLevel="0" collapsed="false">
      <c r="A794" s="72"/>
      <c r="B794" s="72"/>
      <c r="C794" s="72"/>
      <c r="D794" s="73"/>
      <c r="E794" s="72"/>
      <c r="F794" s="72"/>
      <c r="G794" s="73"/>
      <c r="H794" s="73"/>
      <c r="I794" s="73"/>
      <c r="J794" s="68"/>
      <c r="K794" s="68"/>
      <c r="L794" s="68"/>
      <c r="M794" s="68"/>
      <c r="N794" s="68"/>
      <c r="O794" s="68"/>
    </row>
    <row r="795" customFormat="false" ht="14.25" hidden="false" customHeight="true" outlineLevel="0" collapsed="false">
      <c r="A795" s="72"/>
      <c r="B795" s="72"/>
      <c r="C795" s="72"/>
      <c r="D795" s="73"/>
      <c r="E795" s="72"/>
      <c r="F795" s="72"/>
      <c r="G795" s="73"/>
      <c r="H795" s="73"/>
      <c r="I795" s="73"/>
      <c r="J795" s="68"/>
      <c r="K795" s="68"/>
      <c r="L795" s="68"/>
      <c r="M795" s="68"/>
      <c r="N795" s="68"/>
      <c r="O795" s="68"/>
    </row>
    <row r="796" customFormat="false" ht="14.25" hidden="false" customHeight="true" outlineLevel="0" collapsed="false">
      <c r="A796" s="72"/>
      <c r="B796" s="72"/>
      <c r="C796" s="72"/>
      <c r="D796" s="73"/>
      <c r="E796" s="72"/>
      <c r="F796" s="72"/>
      <c r="G796" s="73"/>
      <c r="H796" s="73"/>
      <c r="I796" s="73"/>
      <c r="J796" s="68"/>
      <c r="K796" s="68"/>
      <c r="L796" s="68"/>
      <c r="M796" s="68"/>
      <c r="N796" s="68"/>
      <c r="O796" s="68"/>
    </row>
    <row r="797" customFormat="false" ht="14.25" hidden="false" customHeight="true" outlineLevel="0" collapsed="false">
      <c r="A797" s="72"/>
      <c r="B797" s="72"/>
      <c r="C797" s="72"/>
      <c r="D797" s="73"/>
      <c r="E797" s="72"/>
      <c r="F797" s="72"/>
      <c r="G797" s="73"/>
      <c r="H797" s="73"/>
      <c r="I797" s="73"/>
      <c r="J797" s="68"/>
      <c r="K797" s="68"/>
      <c r="L797" s="68"/>
      <c r="M797" s="68"/>
      <c r="N797" s="68"/>
      <c r="O797" s="68"/>
    </row>
    <row r="798" customFormat="false" ht="14.25" hidden="false" customHeight="true" outlineLevel="0" collapsed="false">
      <c r="A798" s="72"/>
      <c r="B798" s="72"/>
      <c r="C798" s="72"/>
      <c r="D798" s="73"/>
      <c r="E798" s="72"/>
      <c r="F798" s="72"/>
      <c r="G798" s="73"/>
      <c r="H798" s="73"/>
      <c r="I798" s="73"/>
      <c r="J798" s="68"/>
      <c r="K798" s="68"/>
      <c r="L798" s="68"/>
      <c r="M798" s="68"/>
      <c r="N798" s="68"/>
      <c r="O798" s="68"/>
    </row>
    <row r="799" customFormat="false" ht="14.25" hidden="false" customHeight="true" outlineLevel="0" collapsed="false">
      <c r="A799" s="72"/>
      <c r="B799" s="72"/>
      <c r="C799" s="72"/>
      <c r="D799" s="73"/>
      <c r="E799" s="72"/>
      <c r="F799" s="72"/>
      <c r="G799" s="73"/>
      <c r="H799" s="73"/>
      <c r="I799" s="73"/>
      <c r="J799" s="68"/>
      <c r="K799" s="68"/>
      <c r="L799" s="68"/>
      <c r="M799" s="68"/>
      <c r="N799" s="68"/>
      <c r="O799" s="68"/>
    </row>
    <row r="800" customFormat="false" ht="14.25" hidden="false" customHeight="true" outlineLevel="0" collapsed="false">
      <c r="A800" s="72"/>
      <c r="B800" s="72"/>
      <c r="C800" s="72"/>
      <c r="D800" s="73"/>
      <c r="E800" s="72"/>
      <c r="F800" s="72"/>
      <c r="G800" s="73"/>
      <c r="H800" s="73"/>
      <c r="I800" s="73"/>
      <c r="J800" s="68"/>
      <c r="K800" s="68"/>
      <c r="L800" s="68"/>
      <c r="M800" s="68"/>
      <c r="N800" s="68"/>
      <c r="O800" s="68"/>
    </row>
    <row r="801" customFormat="false" ht="14.25" hidden="false" customHeight="true" outlineLevel="0" collapsed="false">
      <c r="A801" s="72"/>
      <c r="B801" s="72"/>
      <c r="C801" s="72"/>
      <c r="D801" s="73"/>
      <c r="E801" s="72"/>
      <c r="F801" s="72"/>
      <c r="G801" s="73"/>
      <c r="H801" s="73"/>
      <c r="I801" s="73"/>
      <c r="J801" s="68"/>
      <c r="K801" s="68"/>
      <c r="L801" s="68"/>
      <c r="M801" s="68"/>
      <c r="N801" s="68"/>
      <c r="O801" s="68"/>
    </row>
    <row r="802" customFormat="false" ht="14.25" hidden="false" customHeight="true" outlineLevel="0" collapsed="false">
      <c r="A802" s="72"/>
      <c r="B802" s="72"/>
      <c r="C802" s="72"/>
      <c r="D802" s="73"/>
      <c r="E802" s="72"/>
      <c r="F802" s="72"/>
      <c r="G802" s="73"/>
      <c r="H802" s="73"/>
      <c r="I802" s="73"/>
      <c r="J802" s="68"/>
      <c r="K802" s="68"/>
      <c r="L802" s="68"/>
      <c r="M802" s="68"/>
      <c r="N802" s="68"/>
      <c r="O802" s="68"/>
    </row>
    <row r="803" customFormat="false" ht="14.25" hidden="false" customHeight="true" outlineLevel="0" collapsed="false">
      <c r="A803" s="72"/>
      <c r="B803" s="72"/>
      <c r="C803" s="72"/>
      <c r="D803" s="73"/>
      <c r="E803" s="72"/>
      <c r="F803" s="72"/>
      <c r="G803" s="73"/>
      <c r="H803" s="73"/>
      <c r="I803" s="73"/>
      <c r="J803" s="68"/>
      <c r="K803" s="68"/>
      <c r="L803" s="68"/>
      <c r="M803" s="68"/>
      <c r="N803" s="68"/>
      <c r="O803" s="68"/>
    </row>
    <row r="804" customFormat="false" ht="14.25" hidden="false" customHeight="true" outlineLevel="0" collapsed="false">
      <c r="A804" s="72"/>
      <c r="B804" s="72"/>
      <c r="C804" s="72"/>
      <c r="D804" s="73"/>
      <c r="E804" s="72"/>
      <c r="F804" s="72"/>
      <c r="G804" s="73"/>
      <c r="H804" s="73"/>
      <c r="I804" s="73"/>
      <c r="J804" s="68"/>
      <c r="K804" s="68"/>
      <c r="L804" s="68"/>
      <c r="M804" s="68"/>
      <c r="N804" s="68"/>
      <c r="O804" s="68"/>
    </row>
    <row r="805" customFormat="false" ht="14.25" hidden="false" customHeight="true" outlineLevel="0" collapsed="false">
      <c r="A805" s="72"/>
      <c r="B805" s="72"/>
      <c r="C805" s="72"/>
      <c r="D805" s="73"/>
      <c r="E805" s="72"/>
      <c r="F805" s="72"/>
      <c r="G805" s="73"/>
      <c r="H805" s="73"/>
      <c r="I805" s="73"/>
      <c r="J805" s="68"/>
      <c r="K805" s="68"/>
      <c r="L805" s="68"/>
      <c r="M805" s="68"/>
      <c r="N805" s="68"/>
      <c r="O805" s="68"/>
    </row>
    <row r="806" customFormat="false" ht="14.25" hidden="false" customHeight="true" outlineLevel="0" collapsed="false">
      <c r="A806" s="72"/>
      <c r="B806" s="72"/>
      <c r="C806" s="72"/>
      <c r="D806" s="73"/>
      <c r="E806" s="72"/>
      <c r="F806" s="72"/>
      <c r="G806" s="73"/>
      <c r="H806" s="73"/>
      <c r="I806" s="73"/>
      <c r="J806" s="68"/>
      <c r="K806" s="68"/>
      <c r="L806" s="68"/>
      <c r="M806" s="68"/>
      <c r="N806" s="68"/>
      <c r="O806" s="68"/>
    </row>
    <row r="807" customFormat="false" ht="14.25" hidden="false" customHeight="true" outlineLevel="0" collapsed="false">
      <c r="A807" s="72"/>
      <c r="B807" s="72"/>
      <c r="C807" s="72"/>
      <c r="D807" s="73"/>
      <c r="E807" s="72"/>
      <c r="F807" s="72"/>
      <c r="G807" s="73"/>
      <c r="H807" s="73"/>
      <c r="I807" s="73"/>
      <c r="J807" s="68"/>
      <c r="K807" s="68"/>
      <c r="L807" s="68"/>
      <c r="M807" s="68"/>
      <c r="N807" s="68"/>
      <c r="O807" s="68"/>
    </row>
    <row r="808" customFormat="false" ht="14.25" hidden="false" customHeight="true" outlineLevel="0" collapsed="false">
      <c r="A808" s="72"/>
      <c r="B808" s="72"/>
      <c r="C808" s="72"/>
      <c r="D808" s="73"/>
      <c r="E808" s="72"/>
      <c r="F808" s="72"/>
      <c r="G808" s="73"/>
      <c r="H808" s="73"/>
      <c r="I808" s="73"/>
      <c r="J808" s="68"/>
      <c r="K808" s="68"/>
      <c r="L808" s="68"/>
      <c r="M808" s="68"/>
      <c r="N808" s="68"/>
      <c r="O808" s="68"/>
    </row>
    <row r="809" customFormat="false" ht="14.25" hidden="false" customHeight="true" outlineLevel="0" collapsed="false">
      <c r="A809" s="72"/>
      <c r="B809" s="72"/>
      <c r="C809" s="72"/>
      <c r="D809" s="73"/>
      <c r="E809" s="72"/>
      <c r="F809" s="72"/>
      <c r="G809" s="73"/>
      <c r="H809" s="73"/>
      <c r="I809" s="73"/>
      <c r="J809" s="68"/>
      <c r="K809" s="68"/>
      <c r="L809" s="68"/>
      <c r="M809" s="68"/>
      <c r="N809" s="68"/>
      <c r="O809" s="68"/>
    </row>
    <row r="810" customFormat="false" ht="14.25" hidden="false" customHeight="true" outlineLevel="0" collapsed="false">
      <c r="A810" s="72"/>
      <c r="B810" s="72"/>
      <c r="C810" s="72"/>
      <c r="D810" s="73"/>
      <c r="E810" s="72"/>
      <c r="F810" s="72"/>
      <c r="G810" s="73"/>
      <c r="H810" s="73"/>
      <c r="I810" s="73"/>
      <c r="J810" s="68"/>
      <c r="K810" s="68"/>
      <c r="L810" s="68"/>
      <c r="M810" s="68"/>
      <c r="N810" s="68"/>
      <c r="O810" s="68"/>
    </row>
    <row r="811" customFormat="false" ht="14.25" hidden="false" customHeight="true" outlineLevel="0" collapsed="false">
      <c r="A811" s="72"/>
      <c r="B811" s="72"/>
      <c r="C811" s="72"/>
      <c r="D811" s="73"/>
      <c r="E811" s="72"/>
      <c r="F811" s="72"/>
      <c r="G811" s="73"/>
      <c r="H811" s="73"/>
      <c r="I811" s="73"/>
      <c r="J811" s="68"/>
      <c r="K811" s="68"/>
      <c r="L811" s="68"/>
      <c r="M811" s="68"/>
      <c r="N811" s="68"/>
      <c r="O811" s="68"/>
    </row>
    <row r="812" customFormat="false" ht="14.25" hidden="false" customHeight="true" outlineLevel="0" collapsed="false">
      <c r="A812" s="72"/>
      <c r="B812" s="72"/>
      <c r="C812" s="72"/>
      <c r="D812" s="73"/>
      <c r="E812" s="72"/>
      <c r="F812" s="72"/>
      <c r="G812" s="73"/>
      <c r="H812" s="73"/>
      <c r="I812" s="73"/>
      <c r="J812" s="68"/>
      <c r="K812" s="68"/>
      <c r="L812" s="68"/>
      <c r="M812" s="68"/>
      <c r="N812" s="68"/>
      <c r="O812" s="68"/>
    </row>
    <row r="813" customFormat="false" ht="14.25" hidden="false" customHeight="true" outlineLevel="0" collapsed="false">
      <c r="A813" s="72"/>
      <c r="B813" s="72"/>
      <c r="C813" s="72"/>
      <c r="D813" s="73"/>
      <c r="E813" s="72"/>
      <c r="F813" s="72"/>
      <c r="G813" s="73"/>
      <c r="H813" s="73"/>
      <c r="I813" s="73"/>
      <c r="J813" s="68"/>
      <c r="K813" s="68"/>
      <c r="L813" s="68"/>
      <c r="M813" s="68"/>
      <c r="N813" s="68"/>
      <c r="O813" s="68"/>
    </row>
    <row r="814" customFormat="false" ht="14.25" hidden="false" customHeight="true" outlineLevel="0" collapsed="false">
      <c r="A814" s="72"/>
      <c r="B814" s="72"/>
      <c r="C814" s="72"/>
      <c r="D814" s="73"/>
      <c r="E814" s="72"/>
      <c r="F814" s="72"/>
      <c r="G814" s="73"/>
      <c r="H814" s="73"/>
      <c r="I814" s="73"/>
      <c r="J814" s="68"/>
      <c r="K814" s="68"/>
      <c r="L814" s="68"/>
      <c r="M814" s="68"/>
      <c r="N814" s="68"/>
      <c r="O814" s="68"/>
    </row>
    <row r="815" customFormat="false" ht="14.25" hidden="false" customHeight="true" outlineLevel="0" collapsed="false">
      <c r="A815" s="72"/>
      <c r="B815" s="72"/>
      <c r="C815" s="72"/>
      <c r="D815" s="73"/>
      <c r="E815" s="72"/>
      <c r="F815" s="72"/>
      <c r="G815" s="73"/>
      <c r="H815" s="73"/>
      <c r="I815" s="73"/>
      <c r="J815" s="68"/>
      <c r="K815" s="68"/>
      <c r="L815" s="68"/>
      <c r="M815" s="68"/>
      <c r="N815" s="68"/>
      <c r="O815" s="68"/>
    </row>
    <row r="816" customFormat="false" ht="14.25" hidden="false" customHeight="true" outlineLevel="0" collapsed="false">
      <c r="A816" s="72"/>
      <c r="B816" s="72"/>
      <c r="C816" s="72"/>
      <c r="D816" s="73"/>
      <c r="E816" s="72"/>
      <c r="F816" s="72"/>
      <c r="G816" s="73"/>
      <c r="H816" s="73"/>
      <c r="I816" s="73"/>
      <c r="J816" s="68"/>
      <c r="K816" s="68"/>
      <c r="L816" s="68"/>
      <c r="M816" s="68"/>
      <c r="N816" s="68"/>
      <c r="O816" s="68"/>
    </row>
    <row r="817" customFormat="false" ht="14.25" hidden="false" customHeight="true" outlineLevel="0" collapsed="false">
      <c r="A817" s="72"/>
      <c r="B817" s="72"/>
      <c r="C817" s="72"/>
      <c r="D817" s="73"/>
      <c r="E817" s="72"/>
      <c r="F817" s="72"/>
      <c r="G817" s="73"/>
      <c r="H817" s="73"/>
      <c r="I817" s="73"/>
      <c r="J817" s="68"/>
      <c r="K817" s="68"/>
      <c r="L817" s="68"/>
      <c r="M817" s="68"/>
      <c r="N817" s="68"/>
      <c r="O817" s="68"/>
    </row>
    <row r="818" customFormat="false" ht="14.25" hidden="false" customHeight="true" outlineLevel="0" collapsed="false">
      <c r="A818" s="72"/>
      <c r="B818" s="72"/>
      <c r="C818" s="72"/>
      <c r="D818" s="73"/>
      <c r="E818" s="72"/>
      <c r="F818" s="72"/>
      <c r="G818" s="73"/>
      <c r="H818" s="73"/>
      <c r="I818" s="73"/>
      <c r="J818" s="68"/>
      <c r="K818" s="68"/>
      <c r="L818" s="68"/>
      <c r="M818" s="68"/>
      <c r="N818" s="68"/>
      <c r="O818" s="68"/>
    </row>
    <row r="819" customFormat="false" ht="14.25" hidden="false" customHeight="true" outlineLevel="0" collapsed="false">
      <c r="A819" s="72"/>
      <c r="B819" s="72"/>
      <c r="C819" s="72"/>
      <c r="D819" s="73"/>
      <c r="E819" s="72"/>
      <c r="F819" s="72"/>
      <c r="G819" s="73"/>
      <c r="H819" s="73"/>
      <c r="I819" s="73"/>
      <c r="J819" s="68"/>
      <c r="K819" s="68"/>
      <c r="L819" s="68"/>
      <c r="M819" s="68"/>
      <c r="N819" s="68"/>
      <c r="O819" s="68"/>
    </row>
    <row r="820" customFormat="false" ht="14.25" hidden="false" customHeight="true" outlineLevel="0" collapsed="false">
      <c r="A820" s="72"/>
      <c r="B820" s="72"/>
      <c r="C820" s="72"/>
      <c r="D820" s="73"/>
      <c r="E820" s="72"/>
      <c r="F820" s="72"/>
      <c r="G820" s="73"/>
      <c r="H820" s="73"/>
      <c r="I820" s="73"/>
      <c r="J820" s="68"/>
      <c r="K820" s="68"/>
      <c r="L820" s="68"/>
      <c r="M820" s="68"/>
      <c r="N820" s="68"/>
      <c r="O820" s="68"/>
    </row>
    <row r="821" customFormat="false" ht="14.25" hidden="false" customHeight="true" outlineLevel="0" collapsed="false">
      <c r="A821" s="72"/>
      <c r="B821" s="72"/>
      <c r="C821" s="72"/>
      <c r="D821" s="73"/>
      <c r="E821" s="72"/>
      <c r="F821" s="72"/>
      <c r="G821" s="73"/>
      <c r="H821" s="73"/>
      <c r="I821" s="73"/>
      <c r="J821" s="68"/>
      <c r="K821" s="68"/>
      <c r="L821" s="68"/>
      <c r="M821" s="68"/>
      <c r="N821" s="68"/>
      <c r="O821" s="68"/>
    </row>
    <row r="822" customFormat="false" ht="14.25" hidden="false" customHeight="true" outlineLevel="0" collapsed="false">
      <c r="A822" s="72"/>
      <c r="B822" s="72"/>
      <c r="C822" s="72"/>
      <c r="D822" s="73"/>
      <c r="E822" s="72"/>
      <c r="F822" s="72"/>
      <c r="G822" s="73"/>
      <c r="H822" s="73"/>
      <c r="I822" s="73"/>
      <c r="J822" s="68"/>
      <c r="K822" s="68"/>
      <c r="L822" s="68"/>
      <c r="M822" s="68"/>
      <c r="N822" s="68"/>
      <c r="O822" s="68"/>
    </row>
    <row r="823" customFormat="false" ht="14.25" hidden="false" customHeight="true" outlineLevel="0" collapsed="false">
      <c r="A823" s="72"/>
      <c r="B823" s="72"/>
      <c r="C823" s="72"/>
      <c r="D823" s="73"/>
      <c r="E823" s="72"/>
      <c r="F823" s="72"/>
      <c r="G823" s="73"/>
      <c r="H823" s="73"/>
      <c r="I823" s="73"/>
      <c r="J823" s="68"/>
      <c r="K823" s="68"/>
      <c r="L823" s="68"/>
      <c r="M823" s="68"/>
      <c r="N823" s="68"/>
      <c r="O823" s="68"/>
    </row>
    <row r="824" customFormat="false" ht="14.25" hidden="false" customHeight="true" outlineLevel="0" collapsed="false">
      <c r="A824" s="72"/>
      <c r="B824" s="72"/>
      <c r="C824" s="72"/>
      <c r="D824" s="73"/>
      <c r="E824" s="72"/>
      <c r="F824" s="72"/>
      <c r="G824" s="73"/>
      <c r="H824" s="73"/>
      <c r="I824" s="73"/>
      <c r="J824" s="68"/>
      <c r="K824" s="68"/>
      <c r="L824" s="68"/>
      <c r="M824" s="68"/>
      <c r="N824" s="68"/>
      <c r="O824" s="68"/>
    </row>
    <row r="825" customFormat="false" ht="14.25" hidden="false" customHeight="true" outlineLevel="0" collapsed="false">
      <c r="A825" s="72"/>
      <c r="B825" s="72"/>
      <c r="C825" s="72"/>
      <c r="D825" s="73"/>
      <c r="E825" s="72"/>
      <c r="F825" s="72"/>
      <c r="G825" s="73"/>
      <c r="H825" s="73"/>
      <c r="I825" s="73"/>
      <c r="J825" s="68"/>
      <c r="K825" s="68"/>
      <c r="L825" s="68"/>
      <c r="M825" s="68"/>
      <c r="N825" s="68"/>
      <c r="O825" s="68"/>
    </row>
    <row r="826" customFormat="false" ht="14.25" hidden="false" customHeight="true" outlineLevel="0" collapsed="false">
      <c r="A826" s="72"/>
      <c r="B826" s="72"/>
      <c r="C826" s="72"/>
      <c r="D826" s="73"/>
      <c r="E826" s="72"/>
      <c r="F826" s="72"/>
      <c r="G826" s="73"/>
      <c r="H826" s="73"/>
      <c r="I826" s="73"/>
      <c r="J826" s="68"/>
      <c r="K826" s="68"/>
      <c r="L826" s="68"/>
      <c r="M826" s="68"/>
      <c r="N826" s="68"/>
      <c r="O826" s="68"/>
    </row>
    <row r="827" customFormat="false" ht="14.25" hidden="false" customHeight="true" outlineLevel="0" collapsed="false">
      <c r="A827" s="72"/>
      <c r="B827" s="72"/>
      <c r="C827" s="72"/>
      <c r="D827" s="73"/>
      <c r="E827" s="72"/>
      <c r="F827" s="72"/>
      <c r="G827" s="73"/>
      <c r="H827" s="73"/>
      <c r="I827" s="73"/>
      <c r="J827" s="68"/>
      <c r="K827" s="68"/>
      <c r="L827" s="68"/>
      <c r="M827" s="68"/>
      <c r="N827" s="68"/>
      <c r="O827" s="68"/>
    </row>
    <row r="828" customFormat="false" ht="14.25" hidden="false" customHeight="true" outlineLevel="0" collapsed="false">
      <c r="A828" s="72"/>
      <c r="B828" s="72"/>
      <c r="C828" s="72"/>
      <c r="D828" s="73"/>
      <c r="E828" s="72"/>
      <c r="F828" s="72"/>
      <c r="G828" s="73"/>
      <c r="H828" s="73"/>
      <c r="I828" s="73"/>
      <c r="J828" s="68"/>
      <c r="K828" s="68"/>
      <c r="L828" s="68"/>
      <c r="M828" s="68"/>
      <c r="N828" s="68"/>
      <c r="O828" s="68"/>
    </row>
    <row r="829" customFormat="false" ht="14.25" hidden="false" customHeight="true" outlineLevel="0" collapsed="false">
      <c r="A829" s="72"/>
      <c r="B829" s="72"/>
      <c r="C829" s="72"/>
      <c r="D829" s="73"/>
      <c r="E829" s="72"/>
      <c r="F829" s="72"/>
      <c r="G829" s="73"/>
      <c r="H829" s="73"/>
      <c r="I829" s="73"/>
      <c r="J829" s="68"/>
      <c r="K829" s="68"/>
      <c r="L829" s="68"/>
      <c r="M829" s="68"/>
      <c r="N829" s="68"/>
      <c r="O829" s="68"/>
    </row>
    <row r="830" customFormat="false" ht="14.25" hidden="false" customHeight="true" outlineLevel="0" collapsed="false">
      <c r="A830" s="72"/>
      <c r="B830" s="72"/>
      <c r="C830" s="72"/>
      <c r="D830" s="73"/>
      <c r="E830" s="72"/>
      <c r="F830" s="72"/>
      <c r="G830" s="73"/>
      <c r="H830" s="73"/>
      <c r="I830" s="73"/>
      <c r="J830" s="68"/>
      <c r="K830" s="68"/>
      <c r="L830" s="68"/>
      <c r="M830" s="68"/>
      <c r="N830" s="68"/>
      <c r="O830" s="68"/>
    </row>
    <row r="831" customFormat="false" ht="14.25" hidden="false" customHeight="true" outlineLevel="0" collapsed="false">
      <c r="A831" s="72"/>
      <c r="B831" s="72"/>
      <c r="C831" s="72"/>
      <c r="D831" s="73"/>
      <c r="E831" s="72"/>
      <c r="F831" s="72"/>
      <c r="G831" s="73"/>
      <c r="H831" s="73"/>
      <c r="I831" s="73"/>
      <c r="J831" s="68"/>
      <c r="K831" s="68"/>
      <c r="L831" s="68"/>
      <c r="M831" s="68"/>
      <c r="N831" s="68"/>
      <c r="O831" s="68"/>
    </row>
    <row r="832" customFormat="false" ht="14.25" hidden="false" customHeight="true" outlineLevel="0" collapsed="false">
      <c r="A832" s="72"/>
      <c r="B832" s="72"/>
      <c r="C832" s="72"/>
      <c r="D832" s="73"/>
      <c r="E832" s="72"/>
      <c r="F832" s="72"/>
      <c r="G832" s="73"/>
      <c r="H832" s="73"/>
      <c r="I832" s="73"/>
      <c r="J832" s="68"/>
      <c r="K832" s="68"/>
      <c r="L832" s="68"/>
      <c r="M832" s="68"/>
      <c r="N832" s="68"/>
      <c r="O832" s="68"/>
    </row>
    <row r="833" customFormat="false" ht="14.25" hidden="false" customHeight="true" outlineLevel="0" collapsed="false">
      <c r="A833" s="72"/>
      <c r="B833" s="72"/>
      <c r="C833" s="72"/>
      <c r="D833" s="73"/>
      <c r="E833" s="72"/>
      <c r="F833" s="72"/>
      <c r="G833" s="73"/>
      <c r="H833" s="73"/>
      <c r="I833" s="73"/>
      <c r="J833" s="68"/>
      <c r="K833" s="68"/>
      <c r="L833" s="68"/>
      <c r="M833" s="68"/>
      <c r="N833" s="68"/>
      <c r="O833" s="68"/>
    </row>
    <row r="834" customFormat="false" ht="14.25" hidden="false" customHeight="true" outlineLevel="0" collapsed="false">
      <c r="A834" s="72"/>
      <c r="B834" s="72"/>
      <c r="C834" s="72"/>
      <c r="D834" s="73"/>
      <c r="E834" s="72"/>
      <c r="F834" s="72"/>
      <c r="G834" s="73"/>
      <c r="H834" s="73"/>
      <c r="I834" s="73"/>
      <c r="J834" s="68"/>
      <c r="K834" s="68"/>
      <c r="L834" s="68"/>
      <c r="M834" s="68"/>
      <c r="N834" s="68"/>
      <c r="O834" s="68"/>
    </row>
    <row r="835" customFormat="false" ht="14.25" hidden="false" customHeight="true" outlineLevel="0" collapsed="false">
      <c r="A835" s="72"/>
      <c r="B835" s="72"/>
      <c r="C835" s="72"/>
      <c r="D835" s="73"/>
      <c r="E835" s="72"/>
      <c r="F835" s="72"/>
      <c r="G835" s="73"/>
      <c r="H835" s="73"/>
      <c r="I835" s="73"/>
      <c r="J835" s="68"/>
      <c r="K835" s="68"/>
      <c r="L835" s="68"/>
      <c r="M835" s="68"/>
      <c r="N835" s="68"/>
      <c r="O835" s="68"/>
    </row>
    <row r="836" customFormat="false" ht="14.25" hidden="false" customHeight="true" outlineLevel="0" collapsed="false">
      <c r="A836" s="72"/>
      <c r="B836" s="72"/>
      <c r="C836" s="72"/>
      <c r="D836" s="73"/>
      <c r="E836" s="72"/>
      <c r="F836" s="72"/>
      <c r="G836" s="73"/>
      <c r="H836" s="73"/>
      <c r="I836" s="73"/>
      <c r="J836" s="68"/>
      <c r="K836" s="68"/>
      <c r="L836" s="68"/>
      <c r="M836" s="68"/>
      <c r="N836" s="68"/>
      <c r="O836" s="68"/>
    </row>
    <row r="837" customFormat="false" ht="14.25" hidden="false" customHeight="true" outlineLevel="0" collapsed="false">
      <c r="A837" s="72"/>
      <c r="B837" s="72"/>
      <c r="C837" s="72"/>
      <c r="D837" s="73"/>
      <c r="E837" s="72"/>
      <c r="F837" s="72"/>
      <c r="G837" s="73"/>
      <c r="H837" s="73"/>
      <c r="I837" s="73"/>
      <c r="J837" s="68"/>
      <c r="K837" s="68"/>
      <c r="L837" s="68"/>
      <c r="M837" s="68"/>
      <c r="N837" s="68"/>
      <c r="O837" s="68"/>
    </row>
    <row r="838" customFormat="false" ht="14.25" hidden="false" customHeight="true" outlineLevel="0" collapsed="false">
      <c r="A838" s="72"/>
      <c r="B838" s="72"/>
      <c r="C838" s="72"/>
      <c r="D838" s="73"/>
      <c r="E838" s="72"/>
      <c r="F838" s="72"/>
      <c r="G838" s="73"/>
      <c r="H838" s="73"/>
      <c r="I838" s="73"/>
      <c r="J838" s="68"/>
      <c r="K838" s="68"/>
      <c r="L838" s="68"/>
      <c r="M838" s="68"/>
      <c r="N838" s="68"/>
      <c r="O838" s="68"/>
    </row>
    <row r="839" customFormat="false" ht="14.25" hidden="false" customHeight="true" outlineLevel="0" collapsed="false">
      <c r="A839" s="72"/>
      <c r="B839" s="72"/>
      <c r="C839" s="72"/>
      <c r="D839" s="73"/>
      <c r="E839" s="72"/>
      <c r="F839" s="72"/>
      <c r="G839" s="73"/>
      <c r="H839" s="73"/>
      <c r="I839" s="73"/>
      <c r="J839" s="68"/>
      <c r="K839" s="68"/>
      <c r="L839" s="68"/>
      <c r="M839" s="68"/>
      <c r="N839" s="68"/>
      <c r="O839" s="68"/>
    </row>
    <row r="840" customFormat="false" ht="14.25" hidden="false" customHeight="true" outlineLevel="0" collapsed="false">
      <c r="A840" s="72"/>
      <c r="B840" s="72"/>
      <c r="C840" s="72"/>
      <c r="D840" s="73"/>
      <c r="E840" s="72"/>
      <c r="F840" s="72"/>
      <c r="G840" s="73"/>
      <c r="H840" s="73"/>
      <c r="I840" s="73"/>
      <c r="J840" s="68"/>
      <c r="K840" s="68"/>
      <c r="L840" s="68"/>
      <c r="M840" s="68"/>
      <c r="N840" s="68"/>
      <c r="O840" s="68"/>
    </row>
    <row r="841" customFormat="false" ht="14.25" hidden="false" customHeight="true" outlineLevel="0" collapsed="false">
      <c r="A841" s="72"/>
      <c r="B841" s="72"/>
      <c r="C841" s="72"/>
      <c r="D841" s="73"/>
      <c r="E841" s="72"/>
      <c r="F841" s="72"/>
      <c r="G841" s="73"/>
      <c r="H841" s="73"/>
      <c r="I841" s="73"/>
      <c r="J841" s="68"/>
      <c r="K841" s="68"/>
      <c r="L841" s="68"/>
      <c r="M841" s="68"/>
      <c r="N841" s="68"/>
      <c r="O841" s="68"/>
    </row>
    <row r="842" customFormat="false" ht="14.25" hidden="false" customHeight="true" outlineLevel="0" collapsed="false">
      <c r="A842" s="72"/>
      <c r="B842" s="72"/>
      <c r="C842" s="72"/>
      <c r="D842" s="73"/>
      <c r="E842" s="72"/>
      <c r="F842" s="72"/>
      <c r="G842" s="73"/>
      <c r="H842" s="73"/>
      <c r="I842" s="73"/>
      <c r="J842" s="68"/>
      <c r="K842" s="68"/>
      <c r="L842" s="68"/>
      <c r="M842" s="68"/>
      <c r="N842" s="68"/>
      <c r="O842" s="68"/>
    </row>
    <row r="843" customFormat="false" ht="14.25" hidden="false" customHeight="true" outlineLevel="0" collapsed="false">
      <c r="A843" s="72"/>
      <c r="B843" s="72"/>
      <c r="C843" s="72"/>
      <c r="D843" s="73"/>
      <c r="E843" s="72"/>
      <c r="F843" s="72"/>
      <c r="G843" s="73"/>
      <c r="H843" s="73"/>
      <c r="I843" s="73"/>
      <c r="J843" s="68"/>
      <c r="K843" s="68"/>
      <c r="L843" s="68"/>
      <c r="M843" s="68"/>
      <c r="N843" s="68"/>
      <c r="O843" s="68"/>
    </row>
    <row r="844" customFormat="false" ht="14.25" hidden="false" customHeight="true" outlineLevel="0" collapsed="false">
      <c r="A844" s="72"/>
      <c r="B844" s="72"/>
      <c r="C844" s="72"/>
      <c r="D844" s="73"/>
      <c r="E844" s="72"/>
      <c r="F844" s="72"/>
      <c r="G844" s="73"/>
      <c r="H844" s="73"/>
      <c r="I844" s="73"/>
      <c r="J844" s="68"/>
      <c r="K844" s="68"/>
      <c r="L844" s="68"/>
      <c r="M844" s="68"/>
      <c r="N844" s="68"/>
      <c r="O844" s="68"/>
    </row>
    <row r="845" customFormat="false" ht="14.25" hidden="false" customHeight="true" outlineLevel="0" collapsed="false">
      <c r="A845" s="72"/>
      <c r="B845" s="72"/>
      <c r="C845" s="72"/>
      <c r="D845" s="73"/>
      <c r="E845" s="72"/>
      <c r="F845" s="72"/>
      <c r="G845" s="73"/>
      <c r="H845" s="73"/>
      <c r="I845" s="73"/>
      <c r="J845" s="68"/>
      <c r="K845" s="68"/>
      <c r="L845" s="68"/>
      <c r="M845" s="68"/>
      <c r="N845" s="68"/>
      <c r="O845" s="68"/>
    </row>
    <row r="846" customFormat="false" ht="14.25" hidden="false" customHeight="true" outlineLevel="0" collapsed="false">
      <c r="A846" s="72"/>
      <c r="B846" s="72"/>
      <c r="C846" s="72"/>
      <c r="D846" s="73"/>
      <c r="E846" s="72"/>
      <c r="F846" s="72"/>
      <c r="G846" s="73"/>
      <c r="H846" s="73"/>
      <c r="I846" s="73"/>
      <c r="J846" s="68"/>
      <c r="K846" s="68"/>
      <c r="L846" s="68"/>
      <c r="M846" s="68"/>
      <c r="N846" s="68"/>
      <c r="O846" s="68"/>
    </row>
    <row r="847" customFormat="false" ht="14.25" hidden="false" customHeight="true" outlineLevel="0" collapsed="false">
      <c r="A847" s="72"/>
      <c r="B847" s="72"/>
      <c r="C847" s="72"/>
      <c r="D847" s="73"/>
      <c r="E847" s="72"/>
      <c r="F847" s="72"/>
      <c r="G847" s="73"/>
      <c r="H847" s="73"/>
      <c r="I847" s="73"/>
      <c r="J847" s="68"/>
      <c r="K847" s="68"/>
      <c r="L847" s="68"/>
      <c r="M847" s="68"/>
      <c r="N847" s="68"/>
      <c r="O847" s="68"/>
    </row>
    <row r="848" customFormat="false" ht="14.25" hidden="false" customHeight="true" outlineLevel="0" collapsed="false">
      <c r="A848" s="72"/>
      <c r="B848" s="72"/>
      <c r="C848" s="72"/>
      <c r="D848" s="73"/>
      <c r="E848" s="72"/>
      <c r="F848" s="72"/>
      <c r="G848" s="73"/>
      <c r="H848" s="73"/>
      <c r="I848" s="73"/>
      <c r="J848" s="68"/>
      <c r="K848" s="68"/>
      <c r="L848" s="68"/>
      <c r="M848" s="68"/>
      <c r="N848" s="68"/>
      <c r="O848" s="68"/>
    </row>
    <row r="849" customFormat="false" ht="14.25" hidden="false" customHeight="true" outlineLevel="0" collapsed="false">
      <c r="A849" s="72"/>
      <c r="B849" s="72"/>
      <c r="C849" s="72"/>
      <c r="D849" s="73"/>
      <c r="E849" s="72"/>
      <c r="F849" s="72"/>
      <c r="G849" s="73"/>
      <c r="H849" s="73"/>
      <c r="I849" s="73"/>
      <c r="J849" s="68"/>
      <c r="K849" s="68"/>
      <c r="L849" s="68"/>
      <c r="M849" s="68"/>
      <c r="N849" s="68"/>
      <c r="O849" s="68"/>
    </row>
    <row r="850" customFormat="false" ht="14.25" hidden="false" customHeight="true" outlineLevel="0" collapsed="false">
      <c r="A850" s="72"/>
      <c r="B850" s="72"/>
      <c r="C850" s="72"/>
      <c r="D850" s="73"/>
      <c r="E850" s="72"/>
      <c r="F850" s="72"/>
      <c r="G850" s="73"/>
      <c r="H850" s="73"/>
      <c r="I850" s="73"/>
      <c r="J850" s="68"/>
      <c r="K850" s="68"/>
      <c r="L850" s="68"/>
      <c r="M850" s="68"/>
      <c r="N850" s="68"/>
      <c r="O850" s="68"/>
    </row>
    <row r="851" customFormat="false" ht="14.25" hidden="false" customHeight="true" outlineLevel="0" collapsed="false">
      <c r="A851" s="72"/>
      <c r="B851" s="72"/>
      <c r="C851" s="72"/>
      <c r="D851" s="73"/>
      <c r="E851" s="72"/>
      <c r="F851" s="72"/>
      <c r="G851" s="73"/>
      <c r="H851" s="73"/>
      <c r="I851" s="73"/>
      <c r="J851" s="68"/>
      <c r="K851" s="68"/>
      <c r="L851" s="68"/>
      <c r="M851" s="68"/>
      <c r="N851" s="68"/>
      <c r="O851" s="68"/>
    </row>
    <row r="852" customFormat="false" ht="14.25" hidden="false" customHeight="true" outlineLevel="0" collapsed="false">
      <c r="A852" s="72"/>
      <c r="B852" s="72"/>
      <c r="C852" s="72"/>
      <c r="D852" s="73"/>
      <c r="E852" s="72"/>
      <c r="F852" s="72"/>
      <c r="G852" s="73"/>
      <c r="H852" s="73"/>
      <c r="I852" s="73"/>
      <c r="J852" s="68"/>
      <c r="K852" s="68"/>
      <c r="L852" s="68"/>
      <c r="M852" s="68"/>
      <c r="N852" s="68"/>
      <c r="O852" s="68"/>
    </row>
    <row r="853" customFormat="false" ht="14.25" hidden="false" customHeight="true" outlineLevel="0" collapsed="false">
      <c r="A853" s="72"/>
      <c r="B853" s="72"/>
      <c r="C853" s="72"/>
      <c r="D853" s="73"/>
      <c r="E853" s="72"/>
      <c r="F853" s="72"/>
      <c r="G853" s="73"/>
      <c r="H853" s="73"/>
      <c r="I853" s="73"/>
      <c r="J853" s="68"/>
      <c r="K853" s="68"/>
      <c r="L853" s="68"/>
      <c r="M853" s="68"/>
      <c r="N853" s="68"/>
      <c r="O853" s="68"/>
    </row>
    <row r="854" customFormat="false" ht="14.25" hidden="false" customHeight="true" outlineLevel="0" collapsed="false">
      <c r="A854" s="72"/>
      <c r="B854" s="72"/>
      <c r="C854" s="72"/>
      <c r="D854" s="73"/>
      <c r="E854" s="72"/>
      <c r="F854" s="72"/>
      <c r="G854" s="73"/>
      <c r="H854" s="73"/>
      <c r="I854" s="73"/>
      <c r="J854" s="68"/>
      <c r="K854" s="68"/>
      <c r="L854" s="68"/>
      <c r="M854" s="68"/>
      <c r="N854" s="68"/>
      <c r="O854" s="68"/>
    </row>
    <row r="855" customFormat="false" ht="14.25" hidden="false" customHeight="true" outlineLevel="0" collapsed="false">
      <c r="A855" s="72"/>
      <c r="B855" s="72"/>
      <c r="C855" s="72"/>
      <c r="D855" s="73"/>
      <c r="E855" s="72"/>
      <c r="F855" s="72"/>
      <c r="G855" s="73"/>
      <c r="H855" s="73"/>
      <c r="I855" s="73"/>
      <c r="J855" s="68"/>
      <c r="K855" s="68"/>
      <c r="L855" s="68"/>
      <c r="M855" s="68"/>
      <c r="N855" s="68"/>
      <c r="O855" s="68"/>
    </row>
    <row r="856" customFormat="false" ht="14.25" hidden="false" customHeight="true" outlineLevel="0" collapsed="false">
      <c r="A856" s="72"/>
      <c r="B856" s="72"/>
      <c r="C856" s="72"/>
      <c r="D856" s="73"/>
      <c r="E856" s="72"/>
      <c r="F856" s="72"/>
      <c r="G856" s="73"/>
      <c r="H856" s="73"/>
      <c r="I856" s="73"/>
      <c r="J856" s="68"/>
      <c r="K856" s="68"/>
      <c r="L856" s="68"/>
      <c r="M856" s="68"/>
      <c r="N856" s="68"/>
      <c r="O856" s="68"/>
    </row>
    <row r="857" customFormat="false" ht="14.25" hidden="false" customHeight="true" outlineLevel="0" collapsed="false">
      <c r="A857" s="72"/>
      <c r="B857" s="72"/>
      <c r="C857" s="72"/>
      <c r="D857" s="73"/>
      <c r="E857" s="72"/>
      <c r="F857" s="72"/>
      <c r="G857" s="73"/>
      <c r="H857" s="73"/>
      <c r="I857" s="73"/>
      <c r="J857" s="68"/>
      <c r="K857" s="68"/>
      <c r="L857" s="68"/>
      <c r="M857" s="68"/>
      <c r="N857" s="68"/>
      <c r="O857" s="68"/>
    </row>
    <row r="858" customFormat="false" ht="14.25" hidden="false" customHeight="true" outlineLevel="0" collapsed="false">
      <c r="A858" s="72"/>
      <c r="B858" s="72"/>
      <c r="C858" s="72"/>
      <c r="D858" s="73"/>
      <c r="E858" s="72"/>
      <c r="F858" s="72"/>
      <c r="G858" s="73"/>
      <c r="H858" s="73"/>
      <c r="I858" s="73"/>
      <c r="J858" s="68"/>
      <c r="K858" s="68"/>
      <c r="L858" s="68"/>
      <c r="M858" s="68"/>
      <c r="N858" s="68"/>
      <c r="O858" s="68"/>
    </row>
    <row r="859" customFormat="false" ht="14.25" hidden="false" customHeight="true" outlineLevel="0" collapsed="false">
      <c r="A859" s="72"/>
      <c r="B859" s="72"/>
      <c r="C859" s="72"/>
      <c r="D859" s="73"/>
      <c r="E859" s="72"/>
      <c r="F859" s="72"/>
      <c r="G859" s="73"/>
      <c r="H859" s="73"/>
      <c r="I859" s="73"/>
      <c r="J859" s="68"/>
      <c r="K859" s="68"/>
      <c r="L859" s="68"/>
      <c r="M859" s="68"/>
      <c r="N859" s="68"/>
      <c r="O859" s="68"/>
    </row>
    <row r="860" customFormat="false" ht="14.25" hidden="false" customHeight="true" outlineLevel="0" collapsed="false">
      <c r="A860" s="72"/>
      <c r="B860" s="72"/>
      <c r="C860" s="72"/>
      <c r="D860" s="73"/>
      <c r="E860" s="72"/>
      <c r="F860" s="72"/>
      <c r="G860" s="73"/>
      <c r="H860" s="73"/>
      <c r="I860" s="73"/>
      <c r="J860" s="68"/>
      <c r="K860" s="68"/>
      <c r="L860" s="68"/>
      <c r="M860" s="68"/>
      <c r="N860" s="68"/>
      <c r="O860" s="68"/>
    </row>
    <row r="861" customFormat="false" ht="14.25" hidden="false" customHeight="true" outlineLevel="0" collapsed="false">
      <c r="A861" s="72"/>
      <c r="B861" s="72"/>
      <c r="C861" s="72"/>
      <c r="D861" s="73"/>
      <c r="E861" s="72"/>
      <c r="F861" s="72"/>
      <c r="G861" s="73"/>
      <c r="H861" s="73"/>
      <c r="I861" s="73"/>
      <c r="J861" s="68"/>
      <c r="K861" s="68"/>
      <c r="L861" s="68"/>
      <c r="M861" s="68"/>
      <c r="N861" s="68"/>
      <c r="O861" s="68"/>
    </row>
    <row r="862" customFormat="false" ht="14.25" hidden="false" customHeight="true" outlineLevel="0" collapsed="false">
      <c r="A862" s="72"/>
      <c r="B862" s="72"/>
      <c r="C862" s="72"/>
      <c r="D862" s="73"/>
      <c r="E862" s="72"/>
      <c r="F862" s="72"/>
      <c r="G862" s="73"/>
      <c r="H862" s="73"/>
      <c r="I862" s="73"/>
      <c r="J862" s="68"/>
      <c r="K862" s="68"/>
      <c r="L862" s="68"/>
      <c r="M862" s="68"/>
      <c r="N862" s="68"/>
      <c r="O862" s="68"/>
    </row>
    <row r="863" customFormat="false" ht="14.25" hidden="false" customHeight="true" outlineLevel="0" collapsed="false">
      <c r="A863" s="72"/>
      <c r="B863" s="72"/>
      <c r="C863" s="72"/>
      <c r="D863" s="73"/>
      <c r="E863" s="72"/>
      <c r="F863" s="72"/>
      <c r="G863" s="73"/>
      <c r="H863" s="73"/>
      <c r="I863" s="73"/>
      <c r="J863" s="68"/>
      <c r="K863" s="68"/>
      <c r="L863" s="68"/>
      <c r="M863" s="68"/>
      <c r="N863" s="68"/>
      <c r="O863" s="68"/>
    </row>
    <row r="864" customFormat="false" ht="14.25" hidden="false" customHeight="true" outlineLevel="0" collapsed="false">
      <c r="A864" s="72"/>
      <c r="B864" s="72"/>
      <c r="C864" s="72"/>
      <c r="D864" s="73"/>
      <c r="E864" s="72"/>
      <c r="F864" s="72"/>
      <c r="G864" s="73"/>
      <c r="H864" s="73"/>
      <c r="I864" s="73"/>
      <c r="J864" s="68"/>
      <c r="K864" s="68"/>
      <c r="L864" s="68"/>
      <c r="M864" s="68"/>
      <c r="N864" s="68"/>
      <c r="O864" s="68"/>
    </row>
    <row r="865" customFormat="false" ht="14.25" hidden="false" customHeight="true" outlineLevel="0" collapsed="false">
      <c r="A865" s="72"/>
      <c r="B865" s="72"/>
      <c r="C865" s="72"/>
      <c r="D865" s="73"/>
      <c r="E865" s="72"/>
      <c r="F865" s="72"/>
      <c r="G865" s="73"/>
      <c r="H865" s="73"/>
      <c r="I865" s="73"/>
      <c r="J865" s="68"/>
      <c r="K865" s="68"/>
      <c r="L865" s="68"/>
      <c r="M865" s="68"/>
      <c r="N865" s="68"/>
      <c r="O865" s="68"/>
    </row>
    <row r="866" customFormat="false" ht="14.25" hidden="false" customHeight="true" outlineLevel="0" collapsed="false">
      <c r="A866" s="72"/>
      <c r="B866" s="72"/>
      <c r="C866" s="72"/>
      <c r="D866" s="73"/>
      <c r="E866" s="72"/>
      <c r="F866" s="72"/>
      <c r="G866" s="73"/>
      <c r="H866" s="73"/>
      <c r="I866" s="73"/>
      <c r="J866" s="68"/>
      <c r="K866" s="68"/>
      <c r="L866" s="68"/>
      <c r="M866" s="68"/>
      <c r="N866" s="68"/>
      <c r="O866" s="68"/>
    </row>
    <row r="867" customFormat="false" ht="14.25" hidden="false" customHeight="true" outlineLevel="0" collapsed="false">
      <c r="A867" s="72"/>
      <c r="B867" s="72"/>
      <c r="C867" s="72"/>
      <c r="D867" s="73"/>
      <c r="E867" s="72"/>
      <c r="F867" s="72"/>
      <c r="G867" s="73"/>
      <c r="H867" s="73"/>
      <c r="I867" s="73"/>
      <c r="J867" s="68"/>
      <c r="K867" s="68"/>
      <c r="L867" s="68"/>
      <c r="M867" s="68"/>
      <c r="N867" s="68"/>
      <c r="O867" s="68"/>
    </row>
    <row r="868" customFormat="false" ht="14.25" hidden="false" customHeight="true" outlineLevel="0" collapsed="false">
      <c r="A868" s="72"/>
      <c r="B868" s="72"/>
      <c r="C868" s="72"/>
      <c r="D868" s="73"/>
      <c r="E868" s="72"/>
      <c r="F868" s="72"/>
      <c r="G868" s="73"/>
      <c r="H868" s="73"/>
      <c r="I868" s="73"/>
      <c r="J868" s="68"/>
      <c r="K868" s="68"/>
      <c r="L868" s="68"/>
      <c r="M868" s="68"/>
      <c r="N868" s="68"/>
      <c r="O868" s="68"/>
    </row>
    <row r="869" customFormat="false" ht="14.25" hidden="false" customHeight="true" outlineLevel="0" collapsed="false">
      <c r="A869" s="72"/>
      <c r="B869" s="72"/>
      <c r="C869" s="72"/>
      <c r="D869" s="73"/>
      <c r="E869" s="72"/>
      <c r="F869" s="72"/>
      <c r="G869" s="73"/>
      <c r="H869" s="73"/>
      <c r="I869" s="73"/>
      <c r="J869" s="68"/>
      <c r="K869" s="68"/>
      <c r="L869" s="68"/>
      <c r="M869" s="68"/>
      <c r="N869" s="68"/>
      <c r="O869" s="68"/>
    </row>
    <row r="870" customFormat="false" ht="14.25" hidden="false" customHeight="true" outlineLevel="0" collapsed="false">
      <c r="A870" s="72"/>
      <c r="B870" s="72"/>
      <c r="C870" s="72"/>
      <c r="D870" s="73"/>
      <c r="E870" s="72"/>
      <c r="F870" s="72"/>
      <c r="G870" s="73"/>
      <c r="H870" s="73"/>
      <c r="I870" s="73"/>
      <c r="J870" s="68"/>
      <c r="K870" s="68"/>
      <c r="L870" s="68"/>
      <c r="M870" s="68"/>
      <c r="N870" s="68"/>
      <c r="O870" s="68"/>
    </row>
    <row r="871" customFormat="false" ht="14.25" hidden="false" customHeight="true" outlineLevel="0" collapsed="false">
      <c r="A871" s="72"/>
      <c r="B871" s="72"/>
      <c r="C871" s="72"/>
      <c r="D871" s="73"/>
      <c r="E871" s="72"/>
      <c r="F871" s="72"/>
      <c r="G871" s="73"/>
      <c r="H871" s="73"/>
      <c r="I871" s="73"/>
      <c r="J871" s="68"/>
      <c r="K871" s="68"/>
      <c r="L871" s="68"/>
      <c r="M871" s="68"/>
      <c r="N871" s="68"/>
      <c r="O871" s="68"/>
    </row>
    <row r="872" customFormat="false" ht="14.25" hidden="false" customHeight="true" outlineLevel="0" collapsed="false">
      <c r="A872" s="72"/>
      <c r="B872" s="72"/>
      <c r="C872" s="72"/>
      <c r="D872" s="73"/>
      <c r="E872" s="72"/>
      <c r="F872" s="72"/>
      <c r="G872" s="73"/>
      <c r="H872" s="73"/>
      <c r="I872" s="73"/>
      <c r="J872" s="68"/>
      <c r="K872" s="68"/>
      <c r="L872" s="68"/>
      <c r="M872" s="68"/>
      <c r="N872" s="68"/>
      <c r="O872" s="68"/>
    </row>
    <row r="873" customFormat="false" ht="14.25" hidden="false" customHeight="true" outlineLevel="0" collapsed="false">
      <c r="A873" s="72"/>
      <c r="B873" s="72"/>
      <c r="C873" s="72"/>
      <c r="D873" s="73"/>
      <c r="E873" s="72"/>
      <c r="F873" s="72"/>
      <c r="G873" s="73"/>
      <c r="H873" s="73"/>
      <c r="I873" s="73"/>
      <c r="J873" s="68"/>
      <c r="K873" s="68"/>
      <c r="L873" s="68"/>
      <c r="M873" s="68"/>
      <c r="N873" s="68"/>
      <c r="O873" s="68"/>
    </row>
    <row r="874" customFormat="false" ht="14.25" hidden="false" customHeight="true" outlineLevel="0" collapsed="false">
      <c r="A874" s="72"/>
      <c r="B874" s="72"/>
      <c r="C874" s="72"/>
      <c r="D874" s="73"/>
      <c r="E874" s="72"/>
      <c r="F874" s="72"/>
      <c r="G874" s="73"/>
      <c r="H874" s="73"/>
      <c r="I874" s="73"/>
      <c r="J874" s="68"/>
      <c r="K874" s="68"/>
      <c r="L874" s="68"/>
      <c r="M874" s="68"/>
      <c r="N874" s="68"/>
      <c r="O874" s="68"/>
    </row>
    <row r="875" customFormat="false" ht="14.25" hidden="false" customHeight="true" outlineLevel="0" collapsed="false">
      <c r="A875" s="72"/>
      <c r="B875" s="72"/>
      <c r="C875" s="72"/>
      <c r="D875" s="73"/>
      <c r="E875" s="72"/>
      <c r="F875" s="72"/>
      <c r="G875" s="73"/>
      <c r="H875" s="73"/>
      <c r="I875" s="73"/>
      <c r="J875" s="68"/>
      <c r="K875" s="68"/>
      <c r="L875" s="68"/>
      <c r="M875" s="68"/>
      <c r="N875" s="68"/>
      <c r="O875" s="68"/>
    </row>
    <row r="876" customFormat="false" ht="14.25" hidden="false" customHeight="true" outlineLevel="0" collapsed="false">
      <c r="A876" s="72"/>
      <c r="B876" s="72"/>
      <c r="C876" s="72"/>
      <c r="D876" s="73"/>
      <c r="E876" s="72"/>
      <c r="F876" s="72"/>
      <c r="G876" s="73"/>
      <c r="H876" s="73"/>
      <c r="I876" s="73"/>
      <c r="J876" s="68"/>
      <c r="K876" s="68"/>
      <c r="L876" s="68"/>
      <c r="M876" s="68"/>
      <c r="N876" s="68"/>
      <c r="O876" s="68"/>
    </row>
    <row r="877" customFormat="false" ht="14.25" hidden="false" customHeight="true" outlineLevel="0" collapsed="false">
      <c r="A877" s="72"/>
      <c r="B877" s="72"/>
      <c r="C877" s="72"/>
      <c r="D877" s="73"/>
      <c r="E877" s="72"/>
      <c r="F877" s="72"/>
      <c r="G877" s="73"/>
      <c r="H877" s="73"/>
      <c r="I877" s="73"/>
      <c r="J877" s="68"/>
      <c r="K877" s="68"/>
      <c r="L877" s="68"/>
      <c r="M877" s="68"/>
      <c r="N877" s="68"/>
      <c r="O877" s="68"/>
    </row>
    <row r="878" customFormat="false" ht="14.25" hidden="false" customHeight="true" outlineLevel="0" collapsed="false">
      <c r="A878" s="72"/>
      <c r="B878" s="72"/>
      <c r="C878" s="72"/>
      <c r="D878" s="73"/>
      <c r="E878" s="72"/>
      <c r="F878" s="72"/>
      <c r="G878" s="73"/>
      <c r="H878" s="73"/>
      <c r="I878" s="73"/>
      <c r="J878" s="68"/>
      <c r="K878" s="68"/>
      <c r="L878" s="68"/>
      <c r="M878" s="68"/>
      <c r="N878" s="68"/>
      <c r="O878" s="68"/>
    </row>
    <row r="879" customFormat="false" ht="14.25" hidden="false" customHeight="true" outlineLevel="0" collapsed="false">
      <c r="A879" s="72"/>
      <c r="B879" s="72"/>
      <c r="C879" s="72"/>
      <c r="D879" s="73"/>
      <c r="E879" s="72"/>
      <c r="F879" s="72"/>
      <c r="G879" s="73"/>
      <c r="H879" s="73"/>
      <c r="I879" s="73"/>
      <c r="J879" s="68"/>
      <c r="K879" s="68"/>
      <c r="L879" s="68"/>
      <c r="M879" s="68"/>
      <c r="N879" s="68"/>
      <c r="O879" s="68"/>
    </row>
    <row r="880" customFormat="false" ht="14.25" hidden="false" customHeight="true" outlineLevel="0" collapsed="false">
      <c r="A880" s="72"/>
      <c r="B880" s="72"/>
      <c r="C880" s="72"/>
      <c r="D880" s="73"/>
      <c r="E880" s="72"/>
      <c r="F880" s="72"/>
      <c r="G880" s="73"/>
      <c r="H880" s="73"/>
      <c r="I880" s="73"/>
      <c r="J880" s="68"/>
      <c r="K880" s="68"/>
      <c r="L880" s="68"/>
      <c r="M880" s="68"/>
      <c r="N880" s="68"/>
      <c r="O880" s="68"/>
    </row>
    <row r="881" customFormat="false" ht="14.25" hidden="false" customHeight="true" outlineLevel="0" collapsed="false">
      <c r="A881" s="72"/>
      <c r="B881" s="72"/>
      <c r="C881" s="72"/>
      <c r="D881" s="73"/>
      <c r="E881" s="72"/>
      <c r="F881" s="72"/>
      <c r="G881" s="73"/>
      <c r="H881" s="73"/>
      <c r="I881" s="73"/>
      <c r="J881" s="68"/>
      <c r="K881" s="68"/>
      <c r="L881" s="68"/>
      <c r="M881" s="68"/>
      <c r="N881" s="68"/>
      <c r="O881" s="68"/>
    </row>
    <row r="882" customFormat="false" ht="14.25" hidden="false" customHeight="true" outlineLevel="0" collapsed="false">
      <c r="A882" s="72"/>
      <c r="B882" s="72"/>
      <c r="C882" s="72"/>
      <c r="D882" s="73"/>
      <c r="E882" s="72"/>
      <c r="F882" s="72"/>
      <c r="G882" s="73"/>
      <c r="H882" s="73"/>
      <c r="I882" s="73"/>
      <c r="J882" s="68"/>
      <c r="K882" s="68"/>
      <c r="L882" s="68"/>
      <c r="M882" s="68"/>
      <c r="N882" s="68"/>
      <c r="O882" s="68"/>
    </row>
    <row r="883" customFormat="false" ht="14.25" hidden="false" customHeight="true" outlineLevel="0" collapsed="false">
      <c r="A883" s="72"/>
      <c r="B883" s="72"/>
      <c r="C883" s="72"/>
      <c r="D883" s="73"/>
      <c r="E883" s="72"/>
      <c r="F883" s="72"/>
      <c r="G883" s="73"/>
      <c r="H883" s="73"/>
      <c r="I883" s="73"/>
      <c r="J883" s="68"/>
      <c r="K883" s="68"/>
      <c r="L883" s="68"/>
      <c r="M883" s="68"/>
      <c r="N883" s="68"/>
      <c r="O883" s="68"/>
    </row>
    <row r="884" customFormat="false" ht="14.25" hidden="false" customHeight="true" outlineLevel="0" collapsed="false">
      <c r="A884" s="72"/>
      <c r="B884" s="72"/>
      <c r="C884" s="72"/>
      <c r="D884" s="73"/>
      <c r="E884" s="72"/>
      <c r="F884" s="72"/>
      <c r="G884" s="73"/>
      <c r="H884" s="73"/>
      <c r="I884" s="73"/>
      <c r="J884" s="68"/>
      <c r="K884" s="68"/>
      <c r="L884" s="68"/>
      <c r="M884" s="68"/>
      <c r="N884" s="68"/>
      <c r="O884" s="68"/>
    </row>
    <row r="885" customFormat="false" ht="14.25" hidden="false" customHeight="true" outlineLevel="0" collapsed="false">
      <c r="A885" s="72"/>
      <c r="B885" s="72"/>
      <c r="C885" s="72"/>
      <c r="D885" s="73"/>
      <c r="E885" s="72"/>
      <c r="F885" s="72"/>
      <c r="G885" s="73"/>
      <c r="H885" s="73"/>
      <c r="I885" s="73"/>
      <c r="J885" s="68"/>
      <c r="K885" s="68"/>
      <c r="L885" s="68"/>
      <c r="M885" s="68"/>
      <c r="N885" s="68"/>
      <c r="O885" s="68"/>
    </row>
    <row r="886" customFormat="false" ht="14.25" hidden="false" customHeight="true" outlineLevel="0" collapsed="false">
      <c r="A886" s="72"/>
      <c r="B886" s="72"/>
      <c r="C886" s="72"/>
      <c r="D886" s="73"/>
      <c r="E886" s="72"/>
      <c r="F886" s="72"/>
      <c r="G886" s="73"/>
      <c r="H886" s="73"/>
      <c r="I886" s="73"/>
      <c r="J886" s="68"/>
      <c r="K886" s="68"/>
      <c r="L886" s="68"/>
      <c r="M886" s="68"/>
      <c r="N886" s="68"/>
      <c r="O886" s="68"/>
    </row>
    <row r="887" customFormat="false" ht="14.25" hidden="false" customHeight="true" outlineLevel="0" collapsed="false">
      <c r="A887" s="72"/>
      <c r="B887" s="72"/>
      <c r="C887" s="72"/>
      <c r="D887" s="73"/>
      <c r="E887" s="72"/>
      <c r="F887" s="72"/>
      <c r="G887" s="73"/>
      <c r="H887" s="73"/>
      <c r="I887" s="73"/>
      <c r="J887" s="68"/>
      <c r="K887" s="68"/>
      <c r="L887" s="68"/>
      <c r="M887" s="68"/>
      <c r="N887" s="68"/>
      <c r="O887" s="68"/>
    </row>
    <row r="888" customFormat="false" ht="14.25" hidden="false" customHeight="true" outlineLevel="0" collapsed="false">
      <c r="A888" s="72"/>
      <c r="B888" s="72"/>
      <c r="C888" s="72"/>
      <c r="D888" s="73"/>
      <c r="E888" s="72"/>
      <c r="F888" s="72"/>
      <c r="G888" s="73"/>
      <c r="H888" s="73"/>
      <c r="I888" s="73"/>
      <c r="J888" s="68"/>
      <c r="K888" s="68"/>
      <c r="L888" s="68"/>
      <c r="M888" s="68"/>
      <c r="N888" s="68"/>
      <c r="O888" s="68"/>
    </row>
    <row r="889" customFormat="false" ht="14.25" hidden="false" customHeight="true" outlineLevel="0" collapsed="false">
      <c r="A889" s="72"/>
      <c r="B889" s="72"/>
      <c r="C889" s="72"/>
      <c r="D889" s="73"/>
      <c r="E889" s="72"/>
      <c r="F889" s="72"/>
      <c r="G889" s="73"/>
      <c r="H889" s="73"/>
      <c r="I889" s="73"/>
      <c r="J889" s="68"/>
      <c r="K889" s="68"/>
      <c r="L889" s="68"/>
      <c r="M889" s="68"/>
      <c r="N889" s="68"/>
      <c r="O889" s="68"/>
    </row>
    <row r="890" customFormat="false" ht="14.25" hidden="false" customHeight="true" outlineLevel="0" collapsed="false">
      <c r="A890" s="72"/>
      <c r="B890" s="72"/>
      <c r="C890" s="72"/>
      <c r="D890" s="73"/>
      <c r="E890" s="72"/>
      <c r="F890" s="72"/>
      <c r="G890" s="73"/>
      <c r="H890" s="73"/>
      <c r="I890" s="73"/>
      <c r="J890" s="68"/>
      <c r="K890" s="68"/>
      <c r="L890" s="68"/>
      <c r="M890" s="68"/>
      <c r="N890" s="68"/>
      <c r="O890" s="68"/>
    </row>
    <row r="891" customFormat="false" ht="14.25" hidden="false" customHeight="true" outlineLevel="0" collapsed="false">
      <c r="A891" s="72"/>
      <c r="B891" s="72"/>
      <c r="C891" s="72"/>
      <c r="D891" s="73"/>
      <c r="E891" s="72"/>
      <c r="F891" s="72"/>
      <c r="G891" s="73"/>
      <c r="H891" s="73"/>
      <c r="I891" s="73"/>
      <c r="J891" s="68"/>
      <c r="K891" s="68"/>
      <c r="L891" s="68"/>
      <c r="M891" s="68"/>
      <c r="N891" s="68"/>
      <c r="O891" s="68"/>
    </row>
    <row r="892" customFormat="false" ht="14.25" hidden="false" customHeight="true" outlineLevel="0" collapsed="false">
      <c r="A892" s="72"/>
      <c r="B892" s="72"/>
      <c r="C892" s="72"/>
      <c r="D892" s="73"/>
      <c r="E892" s="72"/>
      <c r="F892" s="72"/>
      <c r="G892" s="73"/>
      <c r="H892" s="73"/>
      <c r="I892" s="73"/>
      <c r="J892" s="68"/>
      <c r="K892" s="68"/>
      <c r="L892" s="68"/>
      <c r="M892" s="68"/>
      <c r="N892" s="68"/>
      <c r="O892" s="68"/>
    </row>
    <row r="893" customFormat="false" ht="14.25" hidden="false" customHeight="true" outlineLevel="0" collapsed="false">
      <c r="A893" s="72"/>
      <c r="B893" s="72"/>
      <c r="C893" s="72"/>
      <c r="D893" s="73"/>
      <c r="E893" s="72"/>
      <c r="F893" s="72"/>
      <c r="G893" s="73"/>
      <c r="H893" s="73"/>
      <c r="I893" s="73"/>
      <c r="J893" s="68"/>
      <c r="K893" s="68"/>
      <c r="L893" s="68"/>
      <c r="M893" s="68"/>
      <c r="N893" s="68"/>
      <c r="O893" s="68"/>
    </row>
    <row r="894" customFormat="false" ht="14.25" hidden="false" customHeight="true" outlineLevel="0" collapsed="false">
      <c r="A894" s="72"/>
      <c r="B894" s="72"/>
      <c r="C894" s="72"/>
      <c r="D894" s="73"/>
      <c r="E894" s="72"/>
      <c r="F894" s="72"/>
      <c r="G894" s="73"/>
      <c r="H894" s="73"/>
      <c r="I894" s="73"/>
      <c r="J894" s="68"/>
      <c r="K894" s="68"/>
      <c r="L894" s="68"/>
      <c r="M894" s="68"/>
      <c r="N894" s="68"/>
      <c r="O894" s="68"/>
    </row>
    <row r="895" customFormat="false" ht="14.25" hidden="false" customHeight="true" outlineLevel="0" collapsed="false">
      <c r="A895" s="72"/>
      <c r="B895" s="72"/>
      <c r="C895" s="72"/>
      <c r="D895" s="73"/>
      <c r="E895" s="72"/>
      <c r="F895" s="72"/>
      <c r="G895" s="73"/>
      <c r="H895" s="73"/>
      <c r="I895" s="73"/>
      <c r="J895" s="68"/>
      <c r="K895" s="68"/>
      <c r="L895" s="68"/>
      <c r="M895" s="68"/>
      <c r="N895" s="68"/>
      <c r="O895" s="68"/>
    </row>
    <row r="896" customFormat="false" ht="14.25" hidden="false" customHeight="true" outlineLevel="0" collapsed="false">
      <c r="A896" s="72"/>
      <c r="B896" s="72"/>
      <c r="C896" s="72"/>
      <c r="D896" s="73"/>
      <c r="E896" s="72"/>
      <c r="F896" s="72"/>
      <c r="G896" s="73"/>
      <c r="H896" s="73"/>
      <c r="I896" s="73"/>
      <c r="J896" s="68"/>
      <c r="K896" s="68"/>
      <c r="L896" s="68"/>
      <c r="M896" s="68"/>
      <c r="N896" s="68"/>
      <c r="O896" s="68"/>
    </row>
    <row r="897" customFormat="false" ht="14.25" hidden="false" customHeight="true" outlineLevel="0" collapsed="false">
      <c r="A897" s="1" t="s">
        <v>88</v>
      </c>
      <c r="B897" s="1" t="s">
        <v>275</v>
      </c>
      <c r="C897" s="1" t="s">
        <v>307</v>
      </c>
      <c r="D897" s="1" t="s">
        <v>373</v>
      </c>
      <c r="E897" s="1" t="s">
        <v>274</v>
      </c>
      <c r="F897" s="1" t="n">
        <v>1</v>
      </c>
      <c r="G897" s="1" t="n">
        <v>3304.69</v>
      </c>
      <c r="H897" s="1" t="n">
        <f aca="false">F897*G897</f>
        <v>3304.69</v>
      </c>
      <c r="I897" s="1" t="s">
        <v>441</v>
      </c>
    </row>
    <row r="898" customFormat="false" ht="14.25" hidden="false" customHeight="true" outlineLevel="0" collapsed="false">
      <c r="A898" s="1" t="s">
        <v>88</v>
      </c>
      <c r="B898" s="1" t="s">
        <v>275</v>
      </c>
      <c r="C898" s="1" t="s">
        <v>307</v>
      </c>
      <c r="D898" s="1" t="s">
        <v>368</v>
      </c>
      <c r="E898" s="1" t="s">
        <v>283</v>
      </c>
      <c r="F898" s="1" t="n">
        <v>1</v>
      </c>
      <c r="G898" s="1" t="n">
        <v>8567.27</v>
      </c>
      <c r="H898" s="1" t="n">
        <f aca="false">F898*G898</f>
        <v>8567.27</v>
      </c>
      <c r="I898" s="1" t="s">
        <v>442</v>
      </c>
    </row>
    <row r="899" customFormat="false" ht="14.25" hidden="false" customHeight="true" outlineLevel="0" collapsed="false">
      <c r="A899" s="1" t="s">
        <v>88</v>
      </c>
      <c r="B899" s="1" t="s">
        <v>275</v>
      </c>
      <c r="C899" s="1" t="s">
        <v>307</v>
      </c>
      <c r="D899" s="1" t="s">
        <v>378</v>
      </c>
      <c r="E899" s="1" t="s">
        <v>280</v>
      </c>
      <c r="F899" s="1" t="n">
        <v>1</v>
      </c>
      <c r="G899" s="1" t="n">
        <v>11513.08</v>
      </c>
      <c r="H899" s="1" t="n">
        <f aca="false">F899*G899</f>
        <v>11513.08</v>
      </c>
      <c r="I899" s="1" t="s">
        <v>443</v>
      </c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4" activeCellId="0" sqref="A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2"/>
    <col collapsed="false" customWidth="true" hidden="false" outlineLevel="0" max="3" min="3" style="1" width="46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7" min="6" style="1" width="16"/>
    <col collapsed="false" customWidth="true" hidden="false" outlineLevel="0" max="8" min="8" style="1" width="60"/>
  </cols>
  <sheetData>
    <row r="1" customFormat="false" ht="15" hidden="false" customHeight="true" outlineLevel="0" collapsed="false">
      <c r="A1" s="79" t="s">
        <v>444</v>
      </c>
    </row>
    <row r="2" customFormat="false" ht="15" hidden="false" customHeight="true" outlineLevel="0" collapsed="false">
      <c r="A2" s="80" t="s">
        <v>445</v>
      </c>
    </row>
    <row r="4" customFormat="false" ht="15" hidden="false" customHeight="true" outlineLevel="0" collapsed="false">
      <c r="A4" s="81" t="s">
        <v>9</v>
      </c>
      <c r="B4" s="81" t="s">
        <v>24</v>
      </c>
      <c r="C4" s="81" t="s">
        <v>151</v>
      </c>
      <c r="D4" s="81" t="s">
        <v>3</v>
      </c>
      <c r="E4" s="81" t="s">
        <v>152</v>
      </c>
      <c r="F4" s="81" t="s">
        <v>153</v>
      </c>
      <c r="G4" s="81" t="s">
        <v>446</v>
      </c>
      <c r="H4" s="81" t="s">
        <v>447</v>
      </c>
    </row>
    <row r="5" customFormat="false" ht="15" hidden="false" customHeight="true" outlineLevel="0" collapsed="false">
      <c r="A5" s="1" t="s">
        <v>448</v>
      </c>
      <c r="B5" s="1" t="s">
        <v>449</v>
      </c>
      <c r="C5" s="1" t="s">
        <v>450</v>
      </c>
      <c r="D5" s="1" t="s">
        <v>289</v>
      </c>
      <c r="E5" s="82" t="n">
        <v>13402</v>
      </c>
      <c r="F5" s="26" t="n">
        <v>0.187098400414136</v>
      </c>
      <c r="G5" s="26" t="n">
        <v>2507.49276235025</v>
      </c>
      <c r="H5" s="1" t="s">
        <v>451</v>
      </c>
    </row>
    <row r="6" customFormat="false" ht="15" hidden="false" customHeight="true" outlineLevel="0" collapsed="false">
      <c r="A6" s="1" t="s">
        <v>448</v>
      </c>
      <c r="B6" s="1" t="s">
        <v>452</v>
      </c>
      <c r="C6" s="1" t="s">
        <v>86</v>
      </c>
      <c r="D6" s="1" t="s">
        <v>289</v>
      </c>
      <c r="E6" s="82" t="n">
        <v>13402</v>
      </c>
      <c r="F6" s="26" t="n">
        <v>0.208713221370437</v>
      </c>
      <c r="G6" s="26" t="n">
        <v>2797.1745928066</v>
      </c>
      <c r="H6" s="1" t="s">
        <v>451</v>
      </c>
    </row>
    <row r="7" customFormat="false" ht="15" hidden="false" customHeight="true" outlineLevel="0" collapsed="false">
      <c r="A7" s="1" t="s">
        <v>448</v>
      </c>
      <c r="B7" s="1" t="s">
        <v>453</v>
      </c>
      <c r="C7" s="1" t="s">
        <v>454</v>
      </c>
      <c r="D7" s="1" t="s">
        <v>287</v>
      </c>
      <c r="E7" s="82" t="n">
        <v>0</v>
      </c>
      <c r="F7" s="26" t="n">
        <v>0</v>
      </c>
      <c r="G7" s="26" t="n">
        <v>0</v>
      </c>
      <c r="H7" s="1" t="s">
        <v>455</v>
      </c>
    </row>
    <row r="8" customFormat="false" ht="15" hidden="false" customHeight="true" outlineLevel="0" collapsed="false">
      <c r="A8" s="1" t="s">
        <v>448</v>
      </c>
      <c r="B8" s="1" t="s">
        <v>453</v>
      </c>
      <c r="C8" s="1" t="s">
        <v>456</v>
      </c>
      <c r="D8" s="1" t="s">
        <v>287</v>
      </c>
      <c r="E8" s="82" t="n">
        <v>16</v>
      </c>
      <c r="F8" s="26" t="n">
        <v>2.85</v>
      </c>
      <c r="G8" s="26" t="n">
        <v>45.6</v>
      </c>
      <c r="H8" s="1" t="s">
        <v>457</v>
      </c>
    </row>
    <row r="9" customFormat="false" ht="15" hidden="false" customHeight="true" outlineLevel="0" collapsed="false">
      <c r="A9" s="1" t="s">
        <v>448</v>
      </c>
      <c r="B9" s="1" t="s">
        <v>453</v>
      </c>
      <c r="C9" s="1" t="s">
        <v>454</v>
      </c>
      <c r="D9" s="1" t="s">
        <v>289</v>
      </c>
      <c r="E9" s="82" t="n">
        <v>0</v>
      </c>
      <c r="F9" s="26" t="n">
        <v>0</v>
      </c>
      <c r="G9" s="26" t="n">
        <v>0</v>
      </c>
      <c r="H9" s="1" t="s">
        <v>458</v>
      </c>
    </row>
    <row r="10" customFormat="false" ht="15" hidden="false" customHeight="true" outlineLevel="0" collapsed="false">
      <c r="A10" s="1" t="s">
        <v>448</v>
      </c>
      <c r="B10" s="1" t="s">
        <v>453</v>
      </c>
      <c r="C10" s="1" t="s">
        <v>459</v>
      </c>
      <c r="D10" s="1" t="s">
        <v>289</v>
      </c>
      <c r="E10" s="82" t="n">
        <v>0</v>
      </c>
      <c r="F10" s="26" t="n">
        <v>0</v>
      </c>
      <c r="G10" s="26" t="n">
        <v>0</v>
      </c>
      <c r="H10" s="1" t="s">
        <v>460</v>
      </c>
    </row>
    <row r="11" customFormat="false" ht="15" hidden="false" customHeight="true" outlineLevel="0" collapsed="false">
      <c r="A11" s="1" t="s">
        <v>448</v>
      </c>
      <c r="B11" s="1" t="s">
        <v>453</v>
      </c>
      <c r="C11" s="1" t="s">
        <v>454</v>
      </c>
      <c r="D11" s="1" t="s">
        <v>293</v>
      </c>
      <c r="E11" s="82" t="n">
        <v>0</v>
      </c>
      <c r="F11" s="26" t="n">
        <v>0</v>
      </c>
      <c r="G11" s="26" t="n">
        <v>0</v>
      </c>
      <c r="H11" s="1" t="s">
        <v>458</v>
      </c>
    </row>
    <row r="12" customFormat="false" ht="15" hidden="false" customHeight="true" outlineLevel="0" collapsed="false">
      <c r="A12" s="1" t="s">
        <v>448</v>
      </c>
      <c r="B12" s="1" t="s">
        <v>453</v>
      </c>
      <c r="C12" s="1" t="s">
        <v>456</v>
      </c>
      <c r="D12" s="1" t="s">
        <v>293</v>
      </c>
      <c r="E12" s="82" t="n">
        <v>10</v>
      </c>
      <c r="F12" s="26" t="n">
        <v>2.85</v>
      </c>
      <c r="G12" s="26" t="n">
        <v>28.5</v>
      </c>
      <c r="H12" s="1" t="s">
        <v>457</v>
      </c>
    </row>
    <row r="13" customFormat="false" ht="15" hidden="false" customHeight="true" outlineLevel="0" collapsed="false">
      <c r="A13" s="1" t="s">
        <v>448</v>
      </c>
      <c r="B13" s="1" t="s">
        <v>453</v>
      </c>
      <c r="C13" s="1" t="s">
        <v>454</v>
      </c>
      <c r="D13" s="1" t="s">
        <v>290</v>
      </c>
      <c r="E13" s="82" t="n">
        <v>0</v>
      </c>
      <c r="F13" s="26" t="n">
        <v>0</v>
      </c>
      <c r="G13" s="26" t="n">
        <v>0</v>
      </c>
      <c r="H13" s="1" t="s">
        <v>455</v>
      </c>
    </row>
    <row r="14" customFormat="false" ht="15" hidden="false" customHeight="true" outlineLevel="0" collapsed="false">
      <c r="A14" s="1" t="s">
        <v>448</v>
      </c>
      <c r="B14" s="1" t="s">
        <v>453</v>
      </c>
      <c r="C14" s="1" t="s">
        <v>456</v>
      </c>
      <c r="D14" s="1" t="s">
        <v>290</v>
      </c>
      <c r="E14" s="82" t="n">
        <v>0</v>
      </c>
      <c r="F14" s="26" t="n">
        <v>0</v>
      </c>
      <c r="G14" s="26" t="n">
        <v>0</v>
      </c>
      <c r="H14" s="1" t="s">
        <v>461</v>
      </c>
    </row>
    <row r="15" customFormat="false" ht="15" hidden="false" customHeight="true" outlineLevel="0" collapsed="false">
      <c r="A15" s="1" t="s">
        <v>448</v>
      </c>
      <c r="B15" s="1" t="s">
        <v>453</v>
      </c>
      <c r="C15" s="1" t="s">
        <v>454</v>
      </c>
      <c r="D15" s="1" t="s">
        <v>284</v>
      </c>
      <c r="E15" s="82" t="n">
        <v>0</v>
      </c>
      <c r="F15" s="26" t="n">
        <v>0</v>
      </c>
      <c r="G15" s="26" t="n">
        <v>0</v>
      </c>
      <c r="H15" s="1" t="s">
        <v>462</v>
      </c>
    </row>
    <row r="16" customFormat="false" ht="15" hidden="false" customHeight="true" outlineLevel="0" collapsed="false">
      <c r="A16" s="1" t="s">
        <v>448</v>
      </c>
      <c r="B16" s="1" t="s">
        <v>453</v>
      </c>
      <c r="C16" s="1" t="s">
        <v>456</v>
      </c>
      <c r="D16" s="1" t="s">
        <v>284</v>
      </c>
      <c r="E16" s="82" t="n">
        <v>20</v>
      </c>
      <c r="F16" s="26" t="n">
        <v>2.85</v>
      </c>
      <c r="G16" s="26" t="n">
        <v>57</v>
      </c>
      <c r="H16" s="1" t="s">
        <v>457</v>
      </c>
    </row>
    <row r="17" customFormat="false" ht="15" hidden="false" customHeight="true" outlineLevel="0" collapsed="false">
      <c r="A17" s="1" t="s">
        <v>448</v>
      </c>
      <c r="B17" s="1" t="s">
        <v>453</v>
      </c>
      <c r="C17" s="1" t="s">
        <v>454</v>
      </c>
      <c r="D17" s="1" t="s">
        <v>285</v>
      </c>
      <c r="E17" s="82" t="n">
        <v>0</v>
      </c>
      <c r="F17" s="26" t="n">
        <v>0</v>
      </c>
      <c r="G17" s="26" t="n">
        <v>0</v>
      </c>
      <c r="H17" s="1" t="s">
        <v>458</v>
      </c>
    </row>
    <row r="18" customFormat="false" ht="15" hidden="false" customHeight="true" outlineLevel="0" collapsed="false">
      <c r="A18" s="1" t="s">
        <v>448</v>
      </c>
      <c r="B18" s="1" t="s">
        <v>78</v>
      </c>
      <c r="C18" s="1" t="s">
        <v>463</v>
      </c>
      <c r="D18" s="1" t="s">
        <v>293</v>
      </c>
      <c r="E18" s="82" t="n">
        <v>3650</v>
      </c>
      <c r="F18" s="26" t="n">
        <v>0.457702446918301</v>
      </c>
      <c r="G18" s="26" t="n">
        <v>1670.6139312518</v>
      </c>
      <c r="H18" s="1" t="s">
        <v>451</v>
      </c>
    </row>
    <row r="19" customFormat="false" ht="15" hidden="false" customHeight="true" outlineLevel="0" collapsed="false">
      <c r="A19" s="1" t="s">
        <v>448</v>
      </c>
      <c r="B19" s="1" t="s">
        <v>78</v>
      </c>
      <c r="C19" s="1" t="s">
        <v>463</v>
      </c>
      <c r="D19" s="1" t="s">
        <v>290</v>
      </c>
      <c r="E19" s="82" t="n">
        <v>6396</v>
      </c>
      <c r="F19" s="26" t="n">
        <v>0.457702446918301</v>
      </c>
      <c r="G19" s="26" t="n">
        <v>2927.46485048945</v>
      </c>
      <c r="H19" s="1" t="s">
        <v>451</v>
      </c>
    </row>
    <row r="20" customFormat="false" ht="15" hidden="false" customHeight="true" outlineLevel="0" collapsed="false">
      <c r="A20" s="1" t="s">
        <v>448</v>
      </c>
      <c r="B20" s="1" t="s">
        <v>78</v>
      </c>
      <c r="C20" s="1" t="s">
        <v>463</v>
      </c>
      <c r="D20" s="1" t="s">
        <v>284</v>
      </c>
      <c r="E20" s="82" t="n">
        <v>14331</v>
      </c>
      <c r="F20" s="26" t="n">
        <v>0.457702446918301</v>
      </c>
      <c r="G20" s="26" t="n">
        <v>6559.33376678617</v>
      </c>
      <c r="H20" s="1" t="s">
        <v>451</v>
      </c>
    </row>
    <row r="21" customFormat="false" ht="15" hidden="false" customHeight="true" outlineLevel="0" collapsed="false">
      <c r="A21" s="1" t="s">
        <v>448</v>
      </c>
      <c r="B21" s="1" t="s">
        <v>78</v>
      </c>
      <c r="C21" s="1" t="s">
        <v>463</v>
      </c>
      <c r="D21" s="1" t="s">
        <v>282</v>
      </c>
      <c r="E21" s="82" t="n">
        <v>4782</v>
      </c>
      <c r="F21" s="26" t="n">
        <v>0.457702446918301</v>
      </c>
      <c r="G21" s="26" t="n">
        <v>2188.73310116332</v>
      </c>
      <c r="H21" s="1" t="s">
        <v>451</v>
      </c>
    </row>
    <row r="22" customFormat="false" ht="15" hidden="false" customHeight="true" outlineLevel="0" collapsed="false">
      <c r="A22" s="1" t="s">
        <v>448</v>
      </c>
      <c r="B22" s="1" t="s">
        <v>464</v>
      </c>
      <c r="C22" s="1" t="s">
        <v>465</v>
      </c>
      <c r="D22" s="1" t="s">
        <v>275</v>
      </c>
      <c r="E22" s="82" t="n">
        <v>6246</v>
      </c>
      <c r="F22" s="26" t="n">
        <v>1.86</v>
      </c>
      <c r="G22" s="26" t="n">
        <v>11617.56</v>
      </c>
      <c r="H22" s="1" t="s">
        <v>466</v>
      </c>
    </row>
    <row r="23" customFormat="false" ht="15" hidden="false" customHeight="true" outlineLevel="0" collapsed="false">
      <c r="A23" s="1" t="s">
        <v>448</v>
      </c>
      <c r="B23" s="1" t="s">
        <v>464</v>
      </c>
      <c r="C23" s="1" t="s">
        <v>465</v>
      </c>
      <c r="D23" s="1" t="s">
        <v>287</v>
      </c>
      <c r="E23" s="82" t="n">
        <v>296</v>
      </c>
      <c r="F23" s="26" t="n">
        <v>1.86</v>
      </c>
      <c r="G23" s="26" t="n">
        <v>550.56</v>
      </c>
      <c r="H23" s="1" t="s">
        <v>466</v>
      </c>
    </row>
    <row r="24" customFormat="false" ht="15" hidden="false" customHeight="true" outlineLevel="0" collapsed="false">
      <c r="A24" s="1" t="s">
        <v>448</v>
      </c>
      <c r="B24" s="1" t="s">
        <v>464</v>
      </c>
      <c r="C24" s="1" t="s">
        <v>467</v>
      </c>
      <c r="D24" s="1" t="s">
        <v>287</v>
      </c>
      <c r="E24" s="82" t="n">
        <v>2</v>
      </c>
      <c r="F24" s="26" t="n">
        <v>383.56</v>
      </c>
      <c r="G24" s="26" t="n">
        <v>767.12</v>
      </c>
      <c r="H24" s="1" t="s">
        <v>468</v>
      </c>
    </row>
    <row r="25" customFormat="false" ht="15" hidden="false" customHeight="true" outlineLevel="0" collapsed="false">
      <c r="A25" s="1" t="s">
        <v>448</v>
      </c>
      <c r="B25" s="1" t="s">
        <v>464</v>
      </c>
      <c r="C25" s="1" t="s">
        <v>469</v>
      </c>
      <c r="D25" s="1" t="s">
        <v>287</v>
      </c>
      <c r="E25" s="82" t="n">
        <v>0</v>
      </c>
      <c r="F25" s="26" t="n">
        <v>0</v>
      </c>
      <c r="G25" s="26" t="n">
        <v>0</v>
      </c>
      <c r="H25" s="1" t="s">
        <v>470</v>
      </c>
    </row>
    <row r="26" customFormat="false" ht="15" hidden="false" customHeight="true" outlineLevel="0" collapsed="false">
      <c r="A26" s="1" t="s">
        <v>448</v>
      </c>
      <c r="B26" s="1" t="s">
        <v>464</v>
      </c>
      <c r="C26" s="1" t="s">
        <v>471</v>
      </c>
      <c r="D26" s="1" t="s">
        <v>287</v>
      </c>
      <c r="E26" s="82" t="n">
        <v>3</v>
      </c>
      <c r="F26" s="26" t="n">
        <v>300.37</v>
      </c>
      <c r="G26" s="26" t="n">
        <v>901.11</v>
      </c>
      <c r="H26" s="1" t="s">
        <v>472</v>
      </c>
    </row>
    <row r="27" customFormat="false" ht="15" hidden="false" customHeight="true" outlineLevel="0" collapsed="false">
      <c r="A27" s="1" t="s">
        <v>448</v>
      </c>
      <c r="B27" s="1" t="s">
        <v>464</v>
      </c>
      <c r="C27" s="1" t="s">
        <v>473</v>
      </c>
      <c r="D27" s="1" t="s">
        <v>287</v>
      </c>
      <c r="E27" s="82" t="n">
        <v>-1</v>
      </c>
      <c r="F27" s="26" t="n">
        <v>812.42</v>
      </c>
      <c r="G27" s="26" t="n">
        <v>-812.42</v>
      </c>
      <c r="H27" s="1" t="s">
        <v>474</v>
      </c>
    </row>
    <row r="28" customFormat="false" ht="15" hidden="false" customHeight="true" outlineLevel="0" collapsed="false">
      <c r="A28" s="1" t="s">
        <v>448</v>
      </c>
      <c r="B28" s="1" t="s">
        <v>464</v>
      </c>
      <c r="C28" s="1" t="s">
        <v>473</v>
      </c>
      <c r="D28" s="1" t="s">
        <v>287</v>
      </c>
      <c r="E28" s="82" t="n">
        <v>-1</v>
      </c>
      <c r="F28" s="26" t="n">
        <v>4015.98</v>
      </c>
      <c r="G28" s="26" t="n">
        <v>-4015.98</v>
      </c>
      <c r="H28" s="1" t="s">
        <v>475</v>
      </c>
    </row>
    <row r="29" customFormat="false" ht="15" hidden="false" customHeight="true" outlineLevel="0" collapsed="false">
      <c r="A29" s="1" t="s">
        <v>448</v>
      </c>
      <c r="B29" s="1" t="s">
        <v>464</v>
      </c>
      <c r="C29" s="1" t="s">
        <v>476</v>
      </c>
      <c r="D29" s="1" t="s">
        <v>287</v>
      </c>
      <c r="E29" s="82" t="n">
        <v>0</v>
      </c>
      <c r="F29" s="26" t="n">
        <v>0</v>
      </c>
      <c r="G29" s="26" t="n">
        <v>0</v>
      </c>
      <c r="H29" s="1" t="s">
        <v>477</v>
      </c>
    </row>
    <row r="30" customFormat="false" ht="15" hidden="false" customHeight="true" outlineLevel="0" collapsed="false">
      <c r="A30" s="1" t="s">
        <v>448</v>
      </c>
      <c r="B30" s="1" t="s">
        <v>464</v>
      </c>
      <c r="C30" s="1" t="s">
        <v>478</v>
      </c>
      <c r="D30" s="1" t="s">
        <v>287</v>
      </c>
      <c r="E30" s="82" t="n">
        <v>0</v>
      </c>
      <c r="F30" s="26" t="n">
        <v>0</v>
      </c>
      <c r="G30" s="26" t="n">
        <v>0</v>
      </c>
      <c r="H30" s="1" t="s">
        <v>477</v>
      </c>
    </row>
    <row r="31" customFormat="false" ht="15" hidden="false" customHeight="true" outlineLevel="0" collapsed="false">
      <c r="A31" s="1" t="s">
        <v>448</v>
      </c>
      <c r="B31" s="1" t="s">
        <v>464</v>
      </c>
      <c r="C31" s="1" t="s">
        <v>479</v>
      </c>
      <c r="D31" s="1" t="s">
        <v>287</v>
      </c>
      <c r="E31" s="82" t="n">
        <v>0</v>
      </c>
      <c r="F31" s="26" t="n">
        <v>0</v>
      </c>
      <c r="G31" s="26" t="n">
        <v>0</v>
      </c>
      <c r="H31" s="1" t="s">
        <v>477</v>
      </c>
    </row>
    <row r="32" customFormat="false" ht="15" hidden="false" customHeight="true" outlineLevel="0" collapsed="false">
      <c r="A32" s="1" t="s">
        <v>448</v>
      </c>
      <c r="B32" s="1" t="s">
        <v>464</v>
      </c>
      <c r="C32" s="1" t="s">
        <v>480</v>
      </c>
      <c r="D32" s="1" t="s">
        <v>287</v>
      </c>
      <c r="E32" s="82" t="n">
        <v>0</v>
      </c>
      <c r="F32" s="26" t="n">
        <v>0</v>
      </c>
      <c r="G32" s="26" t="n">
        <v>0</v>
      </c>
      <c r="H32" s="1" t="s">
        <v>477</v>
      </c>
    </row>
    <row r="33" customFormat="false" ht="15" hidden="false" customHeight="true" outlineLevel="0" collapsed="false">
      <c r="A33" s="1" t="s">
        <v>448</v>
      </c>
      <c r="B33" s="1" t="s">
        <v>464</v>
      </c>
      <c r="C33" s="1" t="s">
        <v>481</v>
      </c>
      <c r="D33" s="1" t="s">
        <v>287</v>
      </c>
      <c r="E33" s="82" t="n">
        <v>0</v>
      </c>
      <c r="F33" s="26" t="n">
        <v>0</v>
      </c>
      <c r="G33" s="26" t="n">
        <v>0</v>
      </c>
      <c r="H33" s="1" t="s">
        <v>477</v>
      </c>
    </row>
    <row r="34" customFormat="false" ht="15" hidden="false" customHeight="true" outlineLevel="0" collapsed="false">
      <c r="A34" s="1" t="s">
        <v>448</v>
      </c>
      <c r="B34" s="1" t="s">
        <v>464</v>
      </c>
      <c r="C34" s="1" t="s">
        <v>482</v>
      </c>
      <c r="D34" s="1" t="s">
        <v>289</v>
      </c>
      <c r="E34" s="82" t="n">
        <v>1</v>
      </c>
      <c r="F34" s="26" t="n">
        <v>33.5</v>
      </c>
      <c r="G34" s="26" t="n">
        <v>33.5</v>
      </c>
      <c r="H34" s="1" t="s">
        <v>483</v>
      </c>
    </row>
    <row r="35" customFormat="false" ht="15" hidden="false" customHeight="true" outlineLevel="0" collapsed="false">
      <c r="A35" s="1" t="s">
        <v>448</v>
      </c>
      <c r="B35" s="1" t="s">
        <v>464</v>
      </c>
      <c r="C35" s="1" t="s">
        <v>482</v>
      </c>
      <c r="D35" s="1" t="s">
        <v>289</v>
      </c>
      <c r="E35" s="82" t="n">
        <v>1</v>
      </c>
      <c r="F35" s="26" t="n">
        <v>22</v>
      </c>
      <c r="G35" s="26" t="n">
        <v>22</v>
      </c>
      <c r="H35" s="1" t="s">
        <v>484</v>
      </c>
    </row>
    <row r="36" customFormat="false" ht="15" hidden="false" customHeight="true" outlineLevel="0" collapsed="false">
      <c r="A36" s="1" t="s">
        <v>448</v>
      </c>
      <c r="B36" s="1" t="s">
        <v>464</v>
      </c>
      <c r="C36" s="1" t="s">
        <v>465</v>
      </c>
      <c r="D36" s="1" t="s">
        <v>289</v>
      </c>
      <c r="E36" s="82" t="n">
        <v>328</v>
      </c>
      <c r="F36" s="26" t="n">
        <v>1.86</v>
      </c>
      <c r="G36" s="26" t="n">
        <v>610.08</v>
      </c>
      <c r="H36" s="1" t="s">
        <v>466</v>
      </c>
    </row>
    <row r="37" customFormat="false" ht="15" hidden="false" customHeight="true" outlineLevel="0" collapsed="false">
      <c r="A37" s="1" t="s">
        <v>448</v>
      </c>
      <c r="B37" s="1" t="s">
        <v>464</v>
      </c>
      <c r="C37" s="1" t="s">
        <v>467</v>
      </c>
      <c r="D37" s="1" t="s">
        <v>289</v>
      </c>
      <c r="E37" s="82" t="n">
        <v>5</v>
      </c>
      <c r="F37" s="26" t="n">
        <v>383.56</v>
      </c>
      <c r="G37" s="26" t="n">
        <v>1917.8</v>
      </c>
      <c r="H37" s="1" t="s">
        <v>485</v>
      </c>
    </row>
    <row r="38" customFormat="false" ht="15" hidden="false" customHeight="true" outlineLevel="0" collapsed="false">
      <c r="A38" s="1" t="s">
        <v>448</v>
      </c>
      <c r="B38" s="1" t="s">
        <v>464</v>
      </c>
      <c r="C38" s="1" t="s">
        <v>469</v>
      </c>
      <c r="D38" s="1" t="s">
        <v>289</v>
      </c>
      <c r="E38" s="82" t="n">
        <v>1</v>
      </c>
      <c r="F38" s="26" t="n">
        <v>338.53</v>
      </c>
      <c r="G38" s="26" t="n">
        <v>338.53</v>
      </c>
      <c r="H38" s="1" t="s">
        <v>486</v>
      </c>
    </row>
    <row r="39" customFormat="false" ht="15" hidden="false" customHeight="true" outlineLevel="0" collapsed="false">
      <c r="A39" s="1" t="s">
        <v>448</v>
      </c>
      <c r="B39" s="1" t="s">
        <v>464</v>
      </c>
      <c r="C39" s="1" t="s">
        <v>471</v>
      </c>
      <c r="D39" s="1" t="s">
        <v>289</v>
      </c>
      <c r="E39" s="82" t="n">
        <v>1</v>
      </c>
      <c r="F39" s="26" t="n">
        <v>400.26</v>
      </c>
      <c r="G39" s="26" t="n">
        <v>400.26</v>
      </c>
      <c r="H39" s="1" t="s">
        <v>487</v>
      </c>
    </row>
    <row r="40" customFormat="false" ht="15" hidden="false" customHeight="true" outlineLevel="0" collapsed="false">
      <c r="A40" s="1" t="s">
        <v>448</v>
      </c>
      <c r="B40" s="1" t="s">
        <v>464</v>
      </c>
      <c r="C40" s="1" t="s">
        <v>473</v>
      </c>
      <c r="D40" s="1" t="s">
        <v>289</v>
      </c>
      <c r="E40" s="82" t="n">
        <v>1</v>
      </c>
      <c r="F40" s="26" t="n">
        <v>268.13</v>
      </c>
      <c r="G40" s="26" t="n">
        <v>268.13</v>
      </c>
      <c r="H40" s="1" t="s">
        <v>488</v>
      </c>
    </row>
    <row r="41" customFormat="false" ht="15" hidden="false" customHeight="true" outlineLevel="0" collapsed="false">
      <c r="A41" s="1" t="s">
        <v>448</v>
      </c>
      <c r="B41" s="1" t="s">
        <v>464</v>
      </c>
      <c r="C41" s="1" t="s">
        <v>473</v>
      </c>
      <c r="D41" s="1" t="s">
        <v>289</v>
      </c>
      <c r="E41" s="82" t="n">
        <v>52</v>
      </c>
      <c r="F41" s="26" t="n">
        <v>20.06</v>
      </c>
      <c r="G41" s="26" t="n">
        <v>1043.12</v>
      </c>
      <c r="H41" s="1" t="s">
        <v>489</v>
      </c>
    </row>
    <row r="42" customFormat="false" ht="15" hidden="false" customHeight="true" outlineLevel="0" collapsed="false">
      <c r="A42" s="1" t="s">
        <v>448</v>
      </c>
      <c r="B42" s="1" t="s">
        <v>464</v>
      </c>
      <c r="C42" s="1" t="s">
        <v>490</v>
      </c>
      <c r="D42" s="1" t="s">
        <v>289</v>
      </c>
      <c r="E42" s="82" t="n">
        <v>0</v>
      </c>
      <c r="F42" s="26" t="n">
        <v>0</v>
      </c>
      <c r="G42" s="26" t="n">
        <v>0</v>
      </c>
      <c r="H42" s="1" t="s">
        <v>477</v>
      </c>
    </row>
    <row r="43" customFormat="false" ht="15" hidden="false" customHeight="true" outlineLevel="0" collapsed="false">
      <c r="A43" s="1" t="s">
        <v>448</v>
      </c>
      <c r="B43" s="1" t="s">
        <v>464</v>
      </c>
      <c r="C43" s="1" t="s">
        <v>478</v>
      </c>
      <c r="D43" s="1" t="s">
        <v>289</v>
      </c>
      <c r="E43" s="82" t="n">
        <v>1</v>
      </c>
      <c r="F43" s="26" t="n">
        <v>0</v>
      </c>
      <c r="G43" s="26" t="n">
        <v>0</v>
      </c>
      <c r="H43" s="1" t="s">
        <v>477</v>
      </c>
    </row>
    <row r="44" customFormat="false" ht="15" hidden="false" customHeight="true" outlineLevel="0" collapsed="false">
      <c r="A44" s="1" t="s">
        <v>448</v>
      </c>
      <c r="B44" s="1" t="s">
        <v>464</v>
      </c>
      <c r="C44" s="1" t="s">
        <v>491</v>
      </c>
      <c r="D44" s="1" t="s">
        <v>289</v>
      </c>
      <c r="E44" s="82" t="n">
        <v>0</v>
      </c>
      <c r="F44" s="26" t="n">
        <v>0</v>
      </c>
      <c r="G44" s="26" t="n">
        <v>0</v>
      </c>
      <c r="H44" s="1" t="s">
        <v>477</v>
      </c>
    </row>
    <row r="45" customFormat="false" ht="15" hidden="false" customHeight="true" outlineLevel="0" collapsed="false">
      <c r="A45" s="1" t="s">
        <v>448</v>
      </c>
      <c r="B45" s="1" t="s">
        <v>464</v>
      </c>
      <c r="C45" s="1" t="s">
        <v>492</v>
      </c>
      <c r="D45" s="1" t="s">
        <v>289</v>
      </c>
      <c r="E45" s="82" t="n">
        <v>1</v>
      </c>
      <c r="F45" s="26" t="n">
        <v>0</v>
      </c>
      <c r="G45" s="26" t="n">
        <v>0</v>
      </c>
      <c r="H45" s="1" t="s">
        <v>477</v>
      </c>
    </row>
    <row r="46" customFormat="false" ht="15" hidden="false" customHeight="true" outlineLevel="0" collapsed="false">
      <c r="A46" s="1" t="s">
        <v>448</v>
      </c>
      <c r="B46" s="1" t="s">
        <v>464</v>
      </c>
      <c r="C46" s="1" t="s">
        <v>493</v>
      </c>
      <c r="D46" s="1" t="s">
        <v>289</v>
      </c>
      <c r="E46" s="82" t="n">
        <v>0</v>
      </c>
      <c r="F46" s="26" t="n">
        <v>0</v>
      </c>
      <c r="G46" s="26" t="n">
        <v>0</v>
      </c>
      <c r="H46" s="1" t="s">
        <v>477</v>
      </c>
    </row>
    <row r="47" customFormat="false" ht="15" hidden="false" customHeight="true" outlineLevel="0" collapsed="false">
      <c r="A47" s="1" t="s">
        <v>448</v>
      </c>
      <c r="B47" s="1" t="s">
        <v>464</v>
      </c>
      <c r="C47" s="1" t="s">
        <v>494</v>
      </c>
      <c r="D47" s="1" t="s">
        <v>289</v>
      </c>
      <c r="E47" s="82" t="n">
        <v>0</v>
      </c>
      <c r="F47" s="26" t="n">
        <v>0</v>
      </c>
      <c r="G47" s="26" t="n">
        <v>0</v>
      </c>
      <c r="H47" s="1" t="s">
        <v>477</v>
      </c>
    </row>
    <row r="48" customFormat="false" ht="15" hidden="false" customHeight="true" outlineLevel="0" collapsed="false">
      <c r="A48" s="1" t="s">
        <v>448</v>
      </c>
      <c r="B48" s="1" t="s">
        <v>464</v>
      </c>
      <c r="C48" s="1" t="s">
        <v>465</v>
      </c>
      <c r="D48" s="1" t="s">
        <v>293</v>
      </c>
      <c r="E48" s="82" t="n">
        <v>236</v>
      </c>
      <c r="F48" s="26" t="n">
        <v>1.86</v>
      </c>
      <c r="G48" s="26" t="n">
        <v>438.96</v>
      </c>
      <c r="H48" s="1" t="s">
        <v>466</v>
      </c>
    </row>
    <row r="49" customFormat="false" ht="15" hidden="false" customHeight="true" outlineLevel="0" collapsed="false">
      <c r="A49" s="1" t="s">
        <v>448</v>
      </c>
      <c r="B49" s="1" t="s">
        <v>464</v>
      </c>
      <c r="C49" s="1" t="s">
        <v>467</v>
      </c>
      <c r="D49" s="1" t="s">
        <v>293</v>
      </c>
      <c r="E49" s="82" t="n">
        <v>0</v>
      </c>
      <c r="F49" s="26" t="n">
        <v>0</v>
      </c>
      <c r="G49" s="26" t="n">
        <v>0</v>
      </c>
      <c r="H49" s="1" t="s">
        <v>468</v>
      </c>
    </row>
    <row r="50" customFormat="false" ht="15" hidden="false" customHeight="true" outlineLevel="0" collapsed="false">
      <c r="A50" s="1" t="s">
        <v>448</v>
      </c>
      <c r="B50" s="1" t="s">
        <v>464</v>
      </c>
      <c r="C50" s="1" t="s">
        <v>469</v>
      </c>
      <c r="D50" s="1" t="s">
        <v>293</v>
      </c>
      <c r="E50" s="82" t="n">
        <v>2</v>
      </c>
      <c r="F50" s="26" t="n">
        <v>338.53</v>
      </c>
      <c r="G50" s="26" t="n">
        <v>677.06</v>
      </c>
      <c r="H50" s="1" t="s">
        <v>468</v>
      </c>
    </row>
    <row r="51" customFormat="false" ht="15" hidden="false" customHeight="true" outlineLevel="0" collapsed="false">
      <c r="A51" s="1" t="s">
        <v>448</v>
      </c>
      <c r="B51" s="1" t="s">
        <v>464</v>
      </c>
      <c r="C51" s="1" t="s">
        <v>471</v>
      </c>
      <c r="D51" s="1" t="s">
        <v>293</v>
      </c>
      <c r="E51" s="82" t="n">
        <v>1</v>
      </c>
      <c r="F51" s="26" t="n">
        <v>300.37</v>
      </c>
      <c r="G51" s="26" t="n">
        <v>300.37</v>
      </c>
      <c r="H51" s="1" t="s">
        <v>495</v>
      </c>
    </row>
    <row r="52" customFormat="false" ht="15" hidden="false" customHeight="true" outlineLevel="0" collapsed="false">
      <c r="A52" s="1" t="s">
        <v>448</v>
      </c>
      <c r="B52" s="1" t="s">
        <v>464</v>
      </c>
      <c r="C52" s="1" t="s">
        <v>478</v>
      </c>
      <c r="D52" s="1" t="s">
        <v>293</v>
      </c>
      <c r="E52" s="82" t="n">
        <v>1</v>
      </c>
      <c r="F52" s="26" t="n">
        <v>0</v>
      </c>
      <c r="G52" s="26" t="n">
        <v>0</v>
      </c>
      <c r="H52" s="1" t="s">
        <v>477</v>
      </c>
    </row>
    <row r="53" customFormat="false" ht="15" hidden="false" customHeight="true" outlineLevel="0" collapsed="false">
      <c r="A53" s="1" t="s">
        <v>448</v>
      </c>
      <c r="B53" s="1" t="s">
        <v>464</v>
      </c>
      <c r="C53" s="1" t="s">
        <v>496</v>
      </c>
      <c r="D53" s="1" t="s">
        <v>293</v>
      </c>
      <c r="E53" s="82" t="n">
        <v>1</v>
      </c>
      <c r="F53" s="26" t="n">
        <v>0</v>
      </c>
      <c r="G53" s="26" t="n">
        <v>0</v>
      </c>
      <c r="H53" s="1" t="s">
        <v>477</v>
      </c>
    </row>
    <row r="54" customFormat="false" ht="15" hidden="false" customHeight="true" outlineLevel="0" collapsed="false">
      <c r="A54" s="1" t="s">
        <v>448</v>
      </c>
      <c r="B54" s="1" t="s">
        <v>464</v>
      </c>
      <c r="C54" s="1" t="s">
        <v>497</v>
      </c>
      <c r="D54" s="1" t="s">
        <v>293</v>
      </c>
      <c r="E54" s="82" t="n">
        <v>0</v>
      </c>
      <c r="F54" s="26" t="n">
        <v>0</v>
      </c>
      <c r="G54" s="26" t="n">
        <v>0</v>
      </c>
      <c r="H54" s="1" t="s">
        <v>477</v>
      </c>
    </row>
    <row r="55" customFormat="false" ht="15" hidden="false" customHeight="true" outlineLevel="0" collapsed="false">
      <c r="A55" s="1" t="s">
        <v>448</v>
      </c>
      <c r="B55" s="1" t="s">
        <v>464</v>
      </c>
      <c r="C55" s="1" t="s">
        <v>498</v>
      </c>
      <c r="D55" s="1" t="s">
        <v>293</v>
      </c>
      <c r="E55" s="82" t="n">
        <v>0</v>
      </c>
      <c r="F55" s="26" t="n">
        <v>0</v>
      </c>
      <c r="G55" s="26" t="n">
        <v>0</v>
      </c>
      <c r="H55" s="1" t="s">
        <v>477</v>
      </c>
    </row>
    <row r="56" customFormat="false" ht="15" hidden="false" customHeight="true" outlineLevel="0" collapsed="false">
      <c r="A56" s="1" t="s">
        <v>448</v>
      </c>
      <c r="B56" s="1" t="s">
        <v>464</v>
      </c>
      <c r="C56" s="1" t="s">
        <v>465</v>
      </c>
      <c r="D56" s="1" t="s">
        <v>290</v>
      </c>
      <c r="E56" s="82" t="n">
        <v>666</v>
      </c>
      <c r="F56" s="26" t="n">
        <v>1.86</v>
      </c>
      <c r="G56" s="26" t="n">
        <v>1238.76</v>
      </c>
      <c r="H56" s="1" t="s">
        <v>466</v>
      </c>
    </row>
    <row r="57" customFormat="false" ht="15" hidden="false" customHeight="true" outlineLevel="0" collapsed="false">
      <c r="A57" s="1" t="s">
        <v>448</v>
      </c>
      <c r="B57" s="1" t="s">
        <v>464</v>
      </c>
      <c r="C57" s="1" t="s">
        <v>467</v>
      </c>
      <c r="D57" s="1" t="s">
        <v>290</v>
      </c>
      <c r="E57" s="82" t="n">
        <v>4</v>
      </c>
      <c r="F57" s="26" t="n">
        <v>383.56</v>
      </c>
      <c r="G57" s="26" t="n">
        <v>1534.24</v>
      </c>
      <c r="H57" s="1" t="s">
        <v>499</v>
      </c>
    </row>
    <row r="58" customFormat="false" ht="15" hidden="false" customHeight="true" outlineLevel="0" collapsed="false">
      <c r="A58" s="1" t="s">
        <v>448</v>
      </c>
      <c r="B58" s="1" t="s">
        <v>464</v>
      </c>
      <c r="C58" s="1" t="s">
        <v>469</v>
      </c>
      <c r="D58" s="1" t="s">
        <v>290</v>
      </c>
      <c r="E58" s="82" t="n">
        <v>4</v>
      </c>
      <c r="F58" s="26" t="n">
        <v>338.53</v>
      </c>
      <c r="G58" s="26" t="n">
        <v>1354.12</v>
      </c>
      <c r="H58" s="1" t="s">
        <v>500</v>
      </c>
    </row>
    <row r="59" customFormat="false" ht="15" hidden="false" customHeight="true" outlineLevel="0" collapsed="false">
      <c r="A59" s="1" t="s">
        <v>448</v>
      </c>
      <c r="B59" s="1" t="s">
        <v>464</v>
      </c>
      <c r="C59" s="1" t="s">
        <v>471</v>
      </c>
      <c r="D59" s="1" t="s">
        <v>290</v>
      </c>
      <c r="E59" s="82" t="n">
        <v>2</v>
      </c>
      <c r="F59" s="26" t="n">
        <v>400.26</v>
      </c>
      <c r="G59" s="26" t="n">
        <v>800.52</v>
      </c>
      <c r="H59" s="1" t="s">
        <v>501</v>
      </c>
    </row>
    <row r="60" customFormat="false" ht="15" hidden="false" customHeight="true" outlineLevel="0" collapsed="false">
      <c r="A60" s="1" t="s">
        <v>448</v>
      </c>
      <c r="B60" s="1" t="s">
        <v>464</v>
      </c>
      <c r="C60" s="1" t="s">
        <v>473</v>
      </c>
      <c r="D60" s="1" t="s">
        <v>290</v>
      </c>
      <c r="E60" s="82" t="n">
        <v>1</v>
      </c>
      <c r="F60" s="26" t="n">
        <v>588.98</v>
      </c>
      <c r="G60" s="26" t="n">
        <v>588.98</v>
      </c>
      <c r="H60" s="1" t="s">
        <v>502</v>
      </c>
    </row>
    <row r="61" customFormat="false" ht="15" hidden="false" customHeight="true" outlineLevel="0" collapsed="false">
      <c r="A61" s="1" t="s">
        <v>448</v>
      </c>
      <c r="B61" s="1" t="s">
        <v>464</v>
      </c>
      <c r="C61" s="1" t="s">
        <v>473</v>
      </c>
      <c r="D61" s="1" t="s">
        <v>290</v>
      </c>
      <c r="E61" s="82" t="n">
        <v>149</v>
      </c>
      <c r="F61" s="26" t="n">
        <v>20.06</v>
      </c>
      <c r="G61" s="26" t="n">
        <v>2988.94</v>
      </c>
      <c r="H61" s="1" t="s">
        <v>503</v>
      </c>
    </row>
    <row r="62" customFormat="false" ht="15" hidden="false" customHeight="true" outlineLevel="0" collapsed="false">
      <c r="A62" s="1" t="s">
        <v>448</v>
      </c>
      <c r="B62" s="1" t="s">
        <v>464</v>
      </c>
      <c r="C62" s="1" t="s">
        <v>504</v>
      </c>
      <c r="D62" s="1" t="s">
        <v>290</v>
      </c>
      <c r="E62" s="82" t="n">
        <v>2</v>
      </c>
      <c r="F62" s="26" t="n">
        <v>0</v>
      </c>
      <c r="G62" s="26" t="n">
        <v>0</v>
      </c>
      <c r="H62" s="1" t="s">
        <v>477</v>
      </c>
    </row>
    <row r="63" customFormat="false" ht="15" hidden="false" customHeight="true" outlineLevel="0" collapsed="false">
      <c r="A63" s="1" t="s">
        <v>448</v>
      </c>
      <c r="B63" s="1" t="s">
        <v>464</v>
      </c>
      <c r="C63" s="1" t="s">
        <v>505</v>
      </c>
      <c r="D63" s="1" t="s">
        <v>290</v>
      </c>
      <c r="E63" s="82" t="n">
        <v>0</v>
      </c>
      <c r="F63" s="26" t="n">
        <v>0</v>
      </c>
      <c r="G63" s="26" t="n">
        <v>0</v>
      </c>
      <c r="H63" s="1" t="s">
        <v>477</v>
      </c>
    </row>
    <row r="64" customFormat="false" ht="15" hidden="false" customHeight="true" outlineLevel="0" collapsed="false">
      <c r="A64" s="1" t="s">
        <v>448</v>
      </c>
      <c r="B64" s="1" t="s">
        <v>464</v>
      </c>
      <c r="C64" s="1" t="s">
        <v>506</v>
      </c>
      <c r="D64" s="1" t="s">
        <v>290</v>
      </c>
      <c r="E64" s="82" t="n">
        <v>2</v>
      </c>
      <c r="F64" s="26" t="n">
        <v>0</v>
      </c>
      <c r="G64" s="26" t="n">
        <v>0</v>
      </c>
      <c r="H64" s="1" t="s">
        <v>477</v>
      </c>
    </row>
    <row r="65" customFormat="false" ht="15" hidden="false" customHeight="true" outlineLevel="0" collapsed="false">
      <c r="A65" s="1" t="s">
        <v>448</v>
      </c>
      <c r="B65" s="1" t="s">
        <v>464</v>
      </c>
      <c r="C65" s="1" t="s">
        <v>507</v>
      </c>
      <c r="D65" s="1" t="s">
        <v>290</v>
      </c>
      <c r="E65" s="82" t="n">
        <v>0</v>
      </c>
      <c r="F65" s="26" t="n">
        <v>0</v>
      </c>
      <c r="G65" s="26" t="n">
        <v>0</v>
      </c>
      <c r="H65" s="1" t="s">
        <v>477</v>
      </c>
    </row>
    <row r="66" customFormat="false" ht="15" hidden="false" customHeight="true" outlineLevel="0" collapsed="false">
      <c r="A66" s="1" t="s">
        <v>448</v>
      </c>
      <c r="B66" s="1" t="s">
        <v>464</v>
      </c>
      <c r="C66" s="1" t="s">
        <v>465</v>
      </c>
      <c r="D66" s="1" t="s">
        <v>284</v>
      </c>
      <c r="E66" s="82" t="n">
        <v>537</v>
      </c>
      <c r="F66" s="26" t="n">
        <v>1.86</v>
      </c>
      <c r="G66" s="26" t="n">
        <v>998.82</v>
      </c>
      <c r="H66" s="1" t="s">
        <v>466</v>
      </c>
    </row>
    <row r="67" customFormat="false" ht="15" hidden="false" customHeight="true" outlineLevel="0" collapsed="false">
      <c r="A67" s="1" t="s">
        <v>448</v>
      </c>
      <c r="B67" s="1" t="s">
        <v>464</v>
      </c>
      <c r="C67" s="1" t="s">
        <v>467</v>
      </c>
      <c r="D67" s="1" t="s">
        <v>284</v>
      </c>
      <c r="E67" s="82" t="n">
        <v>1</v>
      </c>
      <c r="F67" s="26" t="n">
        <v>383.56</v>
      </c>
      <c r="G67" s="26" t="n">
        <v>383.56</v>
      </c>
      <c r="H67" s="1" t="s">
        <v>508</v>
      </c>
    </row>
    <row r="68" customFormat="false" ht="15" hidden="false" customHeight="true" outlineLevel="0" collapsed="false">
      <c r="A68" s="1" t="s">
        <v>448</v>
      </c>
      <c r="B68" s="1" t="s">
        <v>464</v>
      </c>
      <c r="C68" s="1" t="s">
        <v>469</v>
      </c>
      <c r="D68" s="1" t="s">
        <v>284</v>
      </c>
      <c r="E68" s="82" t="n">
        <v>4</v>
      </c>
      <c r="F68" s="26" t="n">
        <v>338.53</v>
      </c>
      <c r="G68" s="26" t="n">
        <v>1354.12</v>
      </c>
      <c r="H68" s="1" t="s">
        <v>509</v>
      </c>
    </row>
    <row r="69" customFormat="false" ht="15" hidden="false" customHeight="true" outlineLevel="0" collapsed="false">
      <c r="A69" s="1" t="s">
        <v>448</v>
      </c>
      <c r="B69" s="1" t="s">
        <v>464</v>
      </c>
      <c r="C69" s="1" t="s">
        <v>471</v>
      </c>
      <c r="D69" s="1" t="s">
        <v>284</v>
      </c>
      <c r="E69" s="82" t="n">
        <v>1</v>
      </c>
      <c r="F69" s="26" t="n">
        <v>400.26</v>
      </c>
      <c r="G69" s="26" t="n">
        <v>400.26</v>
      </c>
      <c r="H69" s="1" t="s">
        <v>510</v>
      </c>
    </row>
    <row r="70" customFormat="false" ht="15" hidden="false" customHeight="true" outlineLevel="0" collapsed="false">
      <c r="A70" s="1" t="s">
        <v>448</v>
      </c>
      <c r="B70" s="1" t="s">
        <v>464</v>
      </c>
      <c r="C70" s="1" t="s">
        <v>511</v>
      </c>
      <c r="D70" s="1" t="s">
        <v>284</v>
      </c>
      <c r="E70" s="82" t="n">
        <v>1</v>
      </c>
      <c r="F70" s="26" t="n">
        <v>434.14</v>
      </c>
      <c r="G70" s="26" t="n">
        <v>434.14</v>
      </c>
      <c r="H70" s="1" t="s">
        <v>512</v>
      </c>
    </row>
    <row r="71" customFormat="false" ht="15" hidden="false" customHeight="true" outlineLevel="0" collapsed="false">
      <c r="A71" s="1" t="s">
        <v>448</v>
      </c>
      <c r="B71" s="1" t="s">
        <v>464</v>
      </c>
      <c r="C71" s="1" t="s">
        <v>511</v>
      </c>
      <c r="D71" s="1" t="s">
        <v>284</v>
      </c>
      <c r="E71" s="82" t="n">
        <v>9</v>
      </c>
      <c r="F71" s="26" t="n">
        <v>9.7</v>
      </c>
      <c r="G71" s="26" t="n">
        <v>87.3</v>
      </c>
      <c r="H71" s="1" t="s">
        <v>489</v>
      </c>
    </row>
    <row r="72" customFormat="false" ht="15" hidden="false" customHeight="true" outlineLevel="0" collapsed="false">
      <c r="A72" s="1" t="s">
        <v>448</v>
      </c>
      <c r="B72" s="1" t="s">
        <v>464</v>
      </c>
      <c r="C72" s="1" t="s">
        <v>478</v>
      </c>
      <c r="D72" s="1" t="s">
        <v>284</v>
      </c>
      <c r="E72" s="82" t="n">
        <v>15</v>
      </c>
      <c r="F72" s="26" t="n">
        <v>0</v>
      </c>
      <c r="G72" s="26" t="n">
        <v>0</v>
      </c>
      <c r="H72" s="1" t="s">
        <v>477</v>
      </c>
    </row>
    <row r="73" customFormat="false" ht="15" hidden="false" customHeight="true" outlineLevel="0" collapsed="false">
      <c r="A73" s="1" t="s">
        <v>448</v>
      </c>
      <c r="B73" s="1" t="s">
        <v>464</v>
      </c>
      <c r="C73" s="1" t="s">
        <v>513</v>
      </c>
      <c r="D73" s="1" t="s">
        <v>284</v>
      </c>
      <c r="E73" s="82" t="n">
        <v>0</v>
      </c>
      <c r="F73" s="26" t="n">
        <v>0</v>
      </c>
      <c r="G73" s="26" t="n">
        <v>0</v>
      </c>
      <c r="H73" s="1" t="s">
        <v>477</v>
      </c>
    </row>
    <row r="74" customFormat="false" ht="15" hidden="false" customHeight="true" outlineLevel="0" collapsed="false">
      <c r="A74" s="1" t="s">
        <v>448</v>
      </c>
      <c r="B74" s="1" t="s">
        <v>464</v>
      </c>
      <c r="C74" s="1" t="s">
        <v>514</v>
      </c>
      <c r="D74" s="1" t="s">
        <v>284</v>
      </c>
      <c r="E74" s="82" t="n">
        <v>0</v>
      </c>
      <c r="F74" s="26" t="n">
        <v>0</v>
      </c>
      <c r="G74" s="26" t="n">
        <v>0</v>
      </c>
      <c r="H74" s="1" t="s">
        <v>477</v>
      </c>
    </row>
    <row r="75" customFormat="false" ht="15" hidden="false" customHeight="true" outlineLevel="0" collapsed="false">
      <c r="A75" s="1" t="s">
        <v>448</v>
      </c>
      <c r="B75" s="1" t="s">
        <v>464</v>
      </c>
      <c r="C75" s="1" t="s">
        <v>515</v>
      </c>
      <c r="D75" s="1" t="s">
        <v>284</v>
      </c>
      <c r="E75" s="82" t="n">
        <v>0</v>
      </c>
      <c r="F75" s="26" t="n">
        <v>0</v>
      </c>
      <c r="G75" s="26" t="n">
        <v>0</v>
      </c>
      <c r="H75" s="1" t="s">
        <v>477</v>
      </c>
    </row>
    <row r="76" customFormat="false" ht="15" hidden="false" customHeight="true" outlineLevel="0" collapsed="false">
      <c r="A76" s="1" t="s">
        <v>448</v>
      </c>
      <c r="B76" s="1" t="s">
        <v>464</v>
      </c>
      <c r="C76" s="1" t="s">
        <v>465</v>
      </c>
      <c r="D76" s="1" t="s">
        <v>285</v>
      </c>
      <c r="E76" s="82" t="n">
        <v>163</v>
      </c>
      <c r="F76" s="26" t="n">
        <v>1.86</v>
      </c>
      <c r="G76" s="26" t="n">
        <v>303.18</v>
      </c>
      <c r="H76" s="1" t="s">
        <v>466</v>
      </c>
    </row>
    <row r="77" customFormat="false" ht="15" hidden="false" customHeight="true" outlineLevel="0" collapsed="false">
      <c r="A77" s="1" t="s">
        <v>448</v>
      </c>
      <c r="B77" s="1" t="s">
        <v>464</v>
      </c>
      <c r="C77" s="1" t="s">
        <v>467</v>
      </c>
      <c r="D77" s="1" t="s">
        <v>285</v>
      </c>
      <c r="E77" s="82" t="n">
        <v>1</v>
      </c>
      <c r="F77" s="26" t="n">
        <v>383.56</v>
      </c>
      <c r="G77" s="26" t="n">
        <v>383.56</v>
      </c>
      <c r="H77" s="1" t="s">
        <v>516</v>
      </c>
    </row>
    <row r="78" customFormat="false" ht="15" hidden="false" customHeight="true" outlineLevel="0" collapsed="false">
      <c r="A78" s="1" t="s">
        <v>448</v>
      </c>
      <c r="B78" s="1" t="s">
        <v>464</v>
      </c>
      <c r="C78" s="1" t="s">
        <v>469</v>
      </c>
      <c r="D78" s="1" t="s">
        <v>285</v>
      </c>
      <c r="E78" s="82" t="n">
        <v>0</v>
      </c>
      <c r="F78" s="26" t="n">
        <v>0</v>
      </c>
      <c r="G78" s="26" t="n">
        <v>0</v>
      </c>
      <c r="H78" s="1" t="s">
        <v>517</v>
      </c>
    </row>
    <row r="79" customFormat="false" ht="15" hidden="false" customHeight="true" outlineLevel="0" collapsed="false">
      <c r="A79" s="1" t="s">
        <v>448</v>
      </c>
      <c r="B79" s="1" t="s">
        <v>464</v>
      </c>
      <c r="C79" s="1" t="s">
        <v>471</v>
      </c>
      <c r="D79" s="1" t="s">
        <v>285</v>
      </c>
      <c r="E79" s="82" t="n">
        <v>1</v>
      </c>
      <c r="F79" s="26" t="n">
        <v>400.26</v>
      </c>
      <c r="G79" s="26" t="n">
        <v>400.26</v>
      </c>
      <c r="H79" s="1" t="s">
        <v>468</v>
      </c>
    </row>
    <row r="80" customFormat="false" ht="15" hidden="false" customHeight="true" outlineLevel="0" collapsed="false">
      <c r="A80" s="1" t="s">
        <v>448</v>
      </c>
      <c r="B80" s="1" t="s">
        <v>464</v>
      </c>
      <c r="C80" s="1" t="s">
        <v>511</v>
      </c>
      <c r="D80" s="1" t="s">
        <v>285</v>
      </c>
      <c r="E80" s="82" t="n">
        <v>1</v>
      </c>
      <c r="F80" s="26" t="n">
        <v>867</v>
      </c>
      <c r="G80" s="26" t="n">
        <v>867</v>
      </c>
      <c r="H80" s="1" t="s">
        <v>518</v>
      </c>
    </row>
    <row r="81" customFormat="false" ht="15" hidden="false" customHeight="true" outlineLevel="0" collapsed="false">
      <c r="A81" s="1" t="s">
        <v>448</v>
      </c>
      <c r="B81" s="1" t="s">
        <v>464</v>
      </c>
      <c r="C81" s="1" t="s">
        <v>511</v>
      </c>
      <c r="D81" s="1" t="s">
        <v>285</v>
      </c>
      <c r="E81" s="82" t="n">
        <v>21</v>
      </c>
      <c r="F81" s="26" t="n">
        <v>9.7</v>
      </c>
      <c r="G81" s="26" t="n">
        <v>203.7</v>
      </c>
      <c r="H81" s="1" t="s">
        <v>489</v>
      </c>
    </row>
    <row r="82" customFormat="false" ht="15" hidden="false" customHeight="true" outlineLevel="0" collapsed="false">
      <c r="A82" s="1" t="s">
        <v>448</v>
      </c>
      <c r="B82" s="1" t="s">
        <v>464</v>
      </c>
      <c r="C82" s="1" t="s">
        <v>478</v>
      </c>
      <c r="D82" s="1" t="s">
        <v>285</v>
      </c>
      <c r="E82" s="82" t="n">
        <v>0</v>
      </c>
      <c r="F82" s="26" t="n">
        <v>0</v>
      </c>
      <c r="G82" s="26" t="n">
        <v>0</v>
      </c>
      <c r="H82" s="1" t="s">
        <v>477</v>
      </c>
    </row>
    <row r="83" customFormat="false" ht="15" hidden="false" customHeight="true" outlineLevel="0" collapsed="false">
      <c r="A83" s="1" t="s">
        <v>448</v>
      </c>
      <c r="B83" s="1" t="s">
        <v>464</v>
      </c>
      <c r="C83" s="1" t="s">
        <v>519</v>
      </c>
      <c r="D83" s="1" t="s">
        <v>285</v>
      </c>
      <c r="E83" s="82" t="n">
        <v>0</v>
      </c>
      <c r="F83" s="26" t="n">
        <v>0</v>
      </c>
      <c r="G83" s="26" t="n">
        <v>0</v>
      </c>
      <c r="H83" s="1" t="s">
        <v>477</v>
      </c>
    </row>
    <row r="84" customFormat="false" ht="15" hidden="false" customHeight="true" outlineLevel="0" collapsed="false">
      <c r="A84" s="1" t="s">
        <v>448</v>
      </c>
      <c r="B84" s="1" t="s">
        <v>464</v>
      </c>
      <c r="C84" s="1" t="s">
        <v>465</v>
      </c>
      <c r="D84" s="1" t="s">
        <v>282</v>
      </c>
      <c r="E84" s="82" t="n">
        <v>378</v>
      </c>
      <c r="F84" s="26" t="n">
        <v>1.86</v>
      </c>
      <c r="G84" s="26" t="n">
        <v>703.08</v>
      </c>
      <c r="H84" s="1" t="s">
        <v>466</v>
      </c>
    </row>
    <row r="85" customFormat="false" ht="15" hidden="false" customHeight="true" outlineLevel="0" collapsed="false">
      <c r="A85" s="1" t="s">
        <v>448</v>
      </c>
      <c r="B85" s="1" t="s">
        <v>464</v>
      </c>
      <c r="C85" s="1" t="s">
        <v>467</v>
      </c>
      <c r="D85" s="1" t="s">
        <v>282</v>
      </c>
      <c r="E85" s="82" t="n">
        <v>1</v>
      </c>
      <c r="F85" s="26" t="n">
        <v>383.56</v>
      </c>
      <c r="G85" s="26" t="n">
        <v>383.56</v>
      </c>
      <c r="H85" s="1" t="s">
        <v>520</v>
      </c>
    </row>
    <row r="86" customFormat="false" ht="15" hidden="false" customHeight="true" outlineLevel="0" collapsed="false">
      <c r="A86" s="1" t="s">
        <v>448</v>
      </c>
      <c r="B86" s="1" t="s">
        <v>464</v>
      </c>
      <c r="C86" s="1" t="s">
        <v>469</v>
      </c>
      <c r="D86" s="1" t="s">
        <v>282</v>
      </c>
      <c r="E86" s="82" t="n">
        <v>2</v>
      </c>
      <c r="F86" s="26" t="n">
        <v>338.53</v>
      </c>
      <c r="G86" s="26" t="n">
        <v>677.06</v>
      </c>
      <c r="H86" s="1" t="s">
        <v>521</v>
      </c>
    </row>
    <row r="87" customFormat="false" ht="15" hidden="false" customHeight="true" outlineLevel="0" collapsed="false">
      <c r="A87" s="1" t="s">
        <v>448</v>
      </c>
      <c r="B87" s="1" t="s">
        <v>464</v>
      </c>
      <c r="C87" s="1" t="s">
        <v>471</v>
      </c>
      <c r="D87" s="1" t="s">
        <v>282</v>
      </c>
      <c r="E87" s="82" t="n">
        <v>2</v>
      </c>
      <c r="F87" s="26" t="n">
        <v>400.26</v>
      </c>
      <c r="G87" s="26" t="n">
        <v>800.52</v>
      </c>
      <c r="H87" s="1" t="s">
        <v>522</v>
      </c>
    </row>
    <row r="88" customFormat="false" ht="15" hidden="false" customHeight="true" outlineLevel="0" collapsed="false">
      <c r="A88" s="1" t="s">
        <v>448</v>
      </c>
      <c r="B88" s="1" t="s">
        <v>464</v>
      </c>
      <c r="C88" s="1" t="s">
        <v>478</v>
      </c>
      <c r="D88" s="1" t="s">
        <v>282</v>
      </c>
      <c r="E88" s="82" t="n">
        <v>4</v>
      </c>
      <c r="F88" s="26" t="n">
        <v>0</v>
      </c>
      <c r="G88" s="26" t="n">
        <v>0</v>
      </c>
      <c r="H88" s="1" t="s">
        <v>477</v>
      </c>
    </row>
    <row r="89" customFormat="false" ht="15" hidden="false" customHeight="true" outlineLevel="0" collapsed="false">
      <c r="A89" s="1" t="s">
        <v>448</v>
      </c>
      <c r="B89" s="1" t="s">
        <v>464</v>
      </c>
      <c r="C89" s="1" t="s">
        <v>523</v>
      </c>
      <c r="D89" s="1" t="s">
        <v>282</v>
      </c>
      <c r="E89" s="82" t="n">
        <v>0</v>
      </c>
      <c r="F89" s="26" t="n">
        <v>0</v>
      </c>
      <c r="G89" s="26" t="n">
        <v>0</v>
      </c>
      <c r="H89" s="1" t="s">
        <v>477</v>
      </c>
    </row>
    <row r="90" customFormat="false" ht="15" hidden="false" customHeight="true" outlineLevel="0" collapsed="false">
      <c r="A90" s="1" t="s">
        <v>448</v>
      </c>
      <c r="B90" s="1" t="s">
        <v>464</v>
      </c>
      <c r="C90" s="1" t="s">
        <v>524</v>
      </c>
      <c r="D90" s="1" t="s">
        <v>282</v>
      </c>
      <c r="E90" s="82" t="n">
        <v>-15</v>
      </c>
      <c r="F90" s="26" t="n">
        <v>0</v>
      </c>
      <c r="G90" s="26" t="n">
        <v>0</v>
      </c>
      <c r="H90" s="1" t="s">
        <v>477</v>
      </c>
    </row>
    <row r="91" customFormat="false" ht="15" hidden="false" customHeight="true" outlineLevel="0" collapsed="false">
      <c r="A91" s="1" t="s">
        <v>448</v>
      </c>
      <c r="B91" s="1" t="s">
        <v>464</v>
      </c>
      <c r="C91" s="1" t="s">
        <v>525</v>
      </c>
      <c r="D91" s="1" t="s">
        <v>282</v>
      </c>
      <c r="E91" s="82" t="n">
        <v>0</v>
      </c>
      <c r="F91" s="26" t="n">
        <v>0</v>
      </c>
      <c r="G91" s="26" t="n">
        <v>0</v>
      </c>
      <c r="H91" s="1" t="s">
        <v>477</v>
      </c>
    </row>
    <row r="92" customFormat="false" ht="15" hidden="false" customHeight="true" outlineLevel="0" collapsed="false">
      <c r="A92" s="1" t="s">
        <v>448</v>
      </c>
      <c r="B92" s="1" t="s">
        <v>464</v>
      </c>
      <c r="C92" s="1" t="s">
        <v>526</v>
      </c>
      <c r="D92" s="1" t="s">
        <v>282</v>
      </c>
      <c r="E92" s="82" t="n">
        <v>0</v>
      </c>
      <c r="F92" s="26" t="n">
        <v>0</v>
      </c>
      <c r="G92" s="26" t="n">
        <v>0</v>
      </c>
      <c r="H92" s="1" t="s">
        <v>477</v>
      </c>
    </row>
    <row r="93" customFormat="false" ht="15" hidden="false" customHeight="true" outlineLevel="0" collapsed="false">
      <c r="A93" s="1" t="s">
        <v>448</v>
      </c>
      <c r="B93" s="1" t="s">
        <v>143</v>
      </c>
      <c r="C93" s="1" t="s">
        <v>527</v>
      </c>
      <c r="D93" s="1" t="s">
        <v>287</v>
      </c>
      <c r="E93" s="82" t="n">
        <v>6280</v>
      </c>
      <c r="F93" s="26" t="n">
        <v>0.178624545023269</v>
      </c>
      <c r="G93" s="26" t="n">
        <v>1121.76214274613</v>
      </c>
      <c r="H93" s="1" t="s">
        <v>451</v>
      </c>
    </row>
    <row r="94" customFormat="false" ht="15" hidden="false" customHeight="true" outlineLevel="0" collapsed="false">
      <c r="A94" s="1" t="s">
        <v>448</v>
      </c>
      <c r="B94" s="1" t="s">
        <v>143</v>
      </c>
      <c r="C94" s="1" t="s">
        <v>527</v>
      </c>
      <c r="D94" s="1" t="s">
        <v>289</v>
      </c>
      <c r="E94" s="82" t="n">
        <v>13402</v>
      </c>
      <c r="F94" s="26" t="n">
        <v>0.178624545023269</v>
      </c>
      <c r="G94" s="26" t="n">
        <v>2393.92615240185</v>
      </c>
      <c r="H94" s="1" t="s">
        <v>451</v>
      </c>
    </row>
    <row r="95" customFormat="false" ht="15" hidden="false" customHeight="true" outlineLevel="0" collapsed="false">
      <c r="A95" s="1" t="s">
        <v>448</v>
      </c>
      <c r="B95" s="1" t="s">
        <v>143</v>
      </c>
      <c r="C95" s="1" t="s">
        <v>527</v>
      </c>
      <c r="D95" s="1" t="s">
        <v>293</v>
      </c>
      <c r="E95" s="82" t="n">
        <v>3650</v>
      </c>
      <c r="F95" s="26" t="n">
        <v>0.178624545023269</v>
      </c>
      <c r="G95" s="26" t="n">
        <v>651.979589334932</v>
      </c>
      <c r="H95" s="1" t="s">
        <v>451</v>
      </c>
    </row>
    <row r="96" customFormat="false" ht="15" hidden="false" customHeight="true" outlineLevel="0" collapsed="false">
      <c r="A96" s="1" t="s">
        <v>448</v>
      </c>
      <c r="B96" s="1" t="s">
        <v>143</v>
      </c>
      <c r="C96" s="1" t="s">
        <v>527</v>
      </c>
      <c r="D96" s="1" t="s">
        <v>290</v>
      </c>
      <c r="E96" s="82" t="n">
        <v>6396</v>
      </c>
      <c r="F96" s="26" t="n">
        <v>0.178624545023269</v>
      </c>
      <c r="G96" s="26" t="n">
        <v>1142.48258996883</v>
      </c>
      <c r="H96" s="1" t="s">
        <v>451</v>
      </c>
    </row>
    <row r="97" customFormat="false" ht="15" hidden="false" customHeight="true" outlineLevel="0" collapsed="false">
      <c r="A97" s="1" t="s">
        <v>448</v>
      </c>
      <c r="B97" s="1" t="s">
        <v>143</v>
      </c>
      <c r="C97" s="1" t="s">
        <v>527</v>
      </c>
      <c r="D97" s="1" t="s">
        <v>284</v>
      </c>
      <c r="E97" s="82" t="n">
        <v>14331</v>
      </c>
      <c r="F97" s="26" t="n">
        <v>0.178624545023269</v>
      </c>
      <c r="G97" s="26" t="n">
        <v>2559.86835472847</v>
      </c>
      <c r="H97" s="1" t="s">
        <v>451</v>
      </c>
    </row>
    <row r="98" customFormat="false" ht="15" hidden="false" customHeight="true" outlineLevel="0" collapsed="false">
      <c r="A98" s="1" t="s">
        <v>448</v>
      </c>
      <c r="B98" s="1" t="s">
        <v>143</v>
      </c>
      <c r="C98" s="1" t="s">
        <v>527</v>
      </c>
      <c r="D98" s="1" t="s">
        <v>285</v>
      </c>
      <c r="E98" s="82" t="n">
        <v>4730</v>
      </c>
      <c r="F98" s="26" t="n">
        <v>0.178624545023269</v>
      </c>
      <c r="G98" s="26" t="n">
        <v>844.894097960063</v>
      </c>
      <c r="H98" s="1" t="s">
        <v>451</v>
      </c>
    </row>
    <row r="99" customFormat="false" ht="15" hidden="false" customHeight="true" outlineLevel="0" collapsed="false">
      <c r="A99" s="1" t="s">
        <v>448</v>
      </c>
      <c r="B99" s="1" t="s">
        <v>143</v>
      </c>
      <c r="C99" s="1" t="s">
        <v>527</v>
      </c>
      <c r="D99" s="1" t="s">
        <v>282</v>
      </c>
      <c r="E99" s="82" t="n">
        <v>4782</v>
      </c>
      <c r="F99" s="26" t="n">
        <v>0.178624545023269</v>
      </c>
      <c r="G99" s="26" t="n">
        <v>854.182574301273</v>
      </c>
      <c r="H99" s="1" t="s">
        <v>451</v>
      </c>
    </row>
    <row r="100" customFormat="false" ht="15" hidden="false" customHeight="true" outlineLevel="0" collapsed="false">
      <c r="A100" s="1" t="s">
        <v>448</v>
      </c>
      <c r="B100" s="1" t="s">
        <v>141</v>
      </c>
      <c r="C100" s="1" t="s">
        <v>528</v>
      </c>
      <c r="D100" s="1" t="s">
        <v>289</v>
      </c>
      <c r="E100" s="82" t="n">
        <v>13402</v>
      </c>
      <c r="F100" s="26" t="n">
        <v>0.0871424396912673</v>
      </c>
      <c r="G100" s="26" t="n">
        <v>1167.88297674237</v>
      </c>
      <c r="H100" s="1" t="s">
        <v>451</v>
      </c>
    </row>
    <row r="101" customFormat="false" ht="15" hidden="false" customHeight="true" outlineLevel="0" collapsed="false">
      <c r="A101" s="1" t="s">
        <v>448</v>
      </c>
      <c r="B101" s="1" t="s">
        <v>45</v>
      </c>
      <c r="C101" s="1" t="s">
        <v>529</v>
      </c>
      <c r="D101" s="1" t="s">
        <v>287</v>
      </c>
      <c r="E101" s="82" t="n">
        <v>1</v>
      </c>
      <c r="F101" s="26" t="n">
        <v>9145.68</v>
      </c>
      <c r="G101" s="26" t="n">
        <v>9145.68</v>
      </c>
      <c r="H101" s="1" t="s">
        <v>530</v>
      </c>
    </row>
    <row r="102" customFormat="false" ht="15" hidden="false" customHeight="true" outlineLevel="0" collapsed="false">
      <c r="A102" s="1" t="s">
        <v>448</v>
      </c>
      <c r="B102" s="1" t="s">
        <v>45</v>
      </c>
      <c r="C102" s="1" t="s">
        <v>529</v>
      </c>
      <c r="D102" s="1" t="s">
        <v>293</v>
      </c>
      <c r="E102" s="82" t="n">
        <v>1</v>
      </c>
      <c r="F102" s="26" t="n">
        <v>3372.11</v>
      </c>
      <c r="G102" s="26" t="n">
        <v>3372.11</v>
      </c>
      <c r="H102" s="1" t="s">
        <v>530</v>
      </c>
    </row>
    <row r="103" customFormat="false" ht="15" hidden="false" customHeight="true" outlineLevel="0" collapsed="false">
      <c r="A103" s="1" t="s">
        <v>448</v>
      </c>
      <c r="B103" s="1" t="s">
        <v>45</v>
      </c>
      <c r="C103" s="1" t="s">
        <v>529</v>
      </c>
      <c r="D103" s="1" t="s">
        <v>285</v>
      </c>
      <c r="E103" s="82" t="n">
        <v>1</v>
      </c>
      <c r="F103" s="26" t="n">
        <v>15695.77</v>
      </c>
      <c r="G103" s="26" t="n">
        <v>15695.77</v>
      </c>
      <c r="H103" s="1" t="s">
        <v>530</v>
      </c>
    </row>
    <row r="104" customFormat="false" ht="15" hidden="false" customHeight="true" outlineLevel="0" collapsed="false">
      <c r="A104" s="1" t="s">
        <v>448</v>
      </c>
      <c r="B104" s="1" t="s">
        <v>45</v>
      </c>
      <c r="C104" s="1" t="s">
        <v>531</v>
      </c>
      <c r="D104" s="1" t="s">
        <v>282</v>
      </c>
      <c r="E104" s="82" t="n">
        <v>0</v>
      </c>
      <c r="F104" s="26" t="n">
        <v>0</v>
      </c>
      <c r="G104" s="26" t="n">
        <v>0</v>
      </c>
      <c r="H104" s="1" t="s">
        <v>532</v>
      </c>
    </row>
    <row r="105" customFormat="false" ht="15" hidden="false" customHeight="true" outlineLevel="0" collapsed="false">
      <c r="A105" s="1" t="s">
        <v>448</v>
      </c>
      <c r="B105" s="1" t="s">
        <v>50</v>
      </c>
      <c r="C105" s="1" t="s">
        <v>533</v>
      </c>
      <c r="D105" s="1" t="s">
        <v>287</v>
      </c>
      <c r="E105" s="82" t="n">
        <v>1</v>
      </c>
      <c r="F105" s="26" t="n">
        <v>1128</v>
      </c>
      <c r="G105" s="26" t="n">
        <v>1128</v>
      </c>
      <c r="H105" s="1" t="s">
        <v>534</v>
      </c>
    </row>
    <row r="106" customFormat="false" ht="15" hidden="false" customHeight="true" outlineLevel="0" collapsed="false">
      <c r="A106" s="1" t="s">
        <v>448</v>
      </c>
      <c r="B106" s="1" t="s">
        <v>50</v>
      </c>
      <c r="C106" s="1" t="s">
        <v>533</v>
      </c>
      <c r="D106" s="1" t="s">
        <v>293</v>
      </c>
      <c r="E106" s="82" t="n">
        <v>1</v>
      </c>
      <c r="F106" s="26" t="n">
        <v>676.8</v>
      </c>
      <c r="G106" s="26" t="n">
        <v>676.8</v>
      </c>
      <c r="H106" s="1" t="s">
        <v>534</v>
      </c>
    </row>
    <row r="107" customFormat="false" ht="15" hidden="false" customHeight="true" outlineLevel="0" collapsed="false">
      <c r="A107" s="1" t="s">
        <v>448</v>
      </c>
      <c r="B107" s="1" t="s">
        <v>50</v>
      </c>
      <c r="C107" s="1" t="s">
        <v>533</v>
      </c>
      <c r="D107" s="1" t="s">
        <v>290</v>
      </c>
      <c r="E107" s="82" t="n">
        <v>1</v>
      </c>
      <c r="F107" s="26" t="n">
        <v>676.8</v>
      </c>
      <c r="G107" s="26" t="n">
        <v>676.8</v>
      </c>
      <c r="H107" s="1" t="s">
        <v>535</v>
      </c>
    </row>
    <row r="108" customFormat="false" ht="15" hidden="false" customHeight="true" outlineLevel="0" collapsed="false">
      <c r="A108" s="1" t="s">
        <v>448</v>
      </c>
      <c r="B108" s="1" t="s">
        <v>50</v>
      </c>
      <c r="C108" s="1" t="s">
        <v>533</v>
      </c>
      <c r="D108" s="1" t="s">
        <v>290</v>
      </c>
      <c r="E108" s="82" t="n">
        <v>1</v>
      </c>
      <c r="F108" s="26" t="n">
        <v>338.4</v>
      </c>
      <c r="G108" s="26" t="n">
        <v>338.4</v>
      </c>
      <c r="H108" s="1" t="s">
        <v>534</v>
      </c>
    </row>
    <row r="109" customFormat="false" ht="15" hidden="false" customHeight="true" outlineLevel="0" collapsed="false">
      <c r="A109" s="1" t="s">
        <v>448</v>
      </c>
      <c r="B109" s="1" t="s">
        <v>50</v>
      </c>
      <c r="C109" s="1" t="s">
        <v>533</v>
      </c>
      <c r="D109" s="1" t="s">
        <v>284</v>
      </c>
      <c r="E109" s="82" t="n">
        <v>1</v>
      </c>
      <c r="F109" s="26" t="n">
        <v>676.8</v>
      </c>
      <c r="G109" s="26" t="n">
        <v>676.8</v>
      </c>
      <c r="H109" s="1" t="s">
        <v>536</v>
      </c>
    </row>
    <row r="110" customFormat="false" ht="15" hidden="false" customHeight="true" outlineLevel="0" collapsed="false">
      <c r="A110" s="1" t="s">
        <v>448</v>
      </c>
      <c r="B110" s="1" t="s">
        <v>50</v>
      </c>
      <c r="C110" s="1" t="s">
        <v>533</v>
      </c>
      <c r="D110" s="1" t="s">
        <v>284</v>
      </c>
      <c r="E110" s="82" t="n">
        <v>1</v>
      </c>
      <c r="F110" s="26" t="n">
        <v>2387.6</v>
      </c>
      <c r="G110" s="26" t="n">
        <v>2387.6</v>
      </c>
      <c r="H110" s="1" t="s">
        <v>534</v>
      </c>
    </row>
    <row r="111" customFormat="false" ht="15" hidden="false" customHeight="true" outlineLevel="0" collapsed="false">
      <c r="A111" s="1" t="s">
        <v>448</v>
      </c>
      <c r="B111" s="1" t="s">
        <v>50</v>
      </c>
      <c r="C111" s="1" t="s">
        <v>533</v>
      </c>
      <c r="D111" s="1" t="s">
        <v>285</v>
      </c>
      <c r="E111" s="82" t="n">
        <v>1</v>
      </c>
      <c r="F111" s="26" t="n">
        <v>676.8</v>
      </c>
      <c r="G111" s="26" t="n">
        <v>676.8</v>
      </c>
      <c r="H111" s="1" t="s">
        <v>534</v>
      </c>
    </row>
    <row r="112" customFormat="false" ht="15" hidden="false" customHeight="true" outlineLevel="0" collapsed="false">
      <c r="A112" s="1" t="s">
        <v>448</v>
      </c>
      <c r="B112" s="1" t="s">
        <v>50</v>
      </c>
      <c r="C112" s="1" t="s">
        <v>533</v>
      </c>
      <c r="D112" s="1" t="s">
        <v>282</v>
      </c>
      <c r="E112" s="82" t="n">
        <v>1</v>
      </c>
      <c r="F112" s="26" t="n">
        <v>569.64</v>
      </c>
      <c r="G112" s="26" t="n">
        <v>569.64</v>
      </c>
      <c r="H112" s="1" t="s">
        <v>534</v>
      </c>
    </row>
    <row r="113" customFormat="false" ht="15" hidden="false" customHeight="true" outlineLevel="0" collapsed="false">
      <c r="A113" s="1" t="s">
        <v>448</v>
      </c>
      <c r="B113" s="1" t="s">
        <v>537</v>
      </c>
      <c r="C113" s="1" t="s">
        <v>538</v>
      </c>
      <c r="D113" s="1" t="s">
        <v>287</v>
      </c>
      <c r="E113" s="82" t="n">
        <v>0</v>
      </c>
      <c r="F113" s="26" t="n">
        <v>0</v>
      </c>
      <c r="G113" s="26" t="n">
        <v>0</v>
      </c>
      <c r="H113" s="1" t="s">
        <v>539</v>
      </c>
    </row>
    <row r="114" customFormat="false" ht="15" hidden="false" customHeight="true" outlineLevel="0" collapsed="false">
      <c r="A114" s="1" t="s">
        <v>448</v>
      </c>
      <c r="B114" s="1" t="s">
        <v>537</v>
      </c>
      <c r="C114" s="1" t="s">
        <v>540</v>
      </c>
      <c r="D114" s="1" t="s">
        <v>287</v>
      </c>
      <c r="E114" s="82" t="n">
        <v>0</v>
      </c>
      <c r="F114" s="26" t="n">
        <v>0</v>
      </c>
      <c r="G114" s="26" t="n">
        <v>0</v>
      </c>
      <c r="H114" s="1" t="s">
        <v>541</v>
      </c>
    </row>
    <row r="115" customFormat="false" ht="15" hidden="false" customHeight="true" outlineLevel="0" collapsed="false">
      <c r="A115" s="1" t="s">
        <v>448</v>
      </c>
      <c r="B115" s="1" t="s">
        <v>537</v>
      </c>
      <c r="C115" s="1" t="s">
        <v>542</v>
      </c>
      <c r="D115" s="1" t="s">
        <v>287</v>
      </c>
      <c r="E115" s="82" t="n">
        <v>10</v>
      </c>
      <c r="F115" s="26" t="n">
        <v>20</v>
      </c>
      <c r="G115" s="26" t="n">
        <v>200</v>
      </c>
      <c r="H115" s="1" t="s">
        <v>543</v>
      </c>
    </row>
    <row r="116" customFormat="false" ht="15" hidden="false" customHeight="true" outlineLevel="0" collapsed="false">
      <c r="A116" s="1" t="s">
        <v>448</v>
      </c>
      <c r="B116" s="1" t="s">
        <v>537</v>
      </c>
      <c r="C116" s="1" t="s">
        <v>544</v>
      </c>
      <c r="D116" s="1" t="s">
        <v>287</v>
      </c>
      <c r="E116" s="82" t="n">
        <v>0</v>
      </c>
      <c r="F116" s="26" t="n">
        <v>0</v>
      </c>
      <c r="G116" s="26" t="n">
        <v>0</v>
      </c>
      <c r="H116" s="1" t="s">
        <v>545</v>
      </c>
    </row>
    <row r="117" customFormat="false" ht="15" hidden="false" customHeight="true" outlineLevel="0" collapsed="false">
      <c r="A117" s="1" t="s">
        <v>448</v>
      </c>
      <c r="B117" s="1" t="s">
        <v>537</v>
      </c>
      <c r="C117" s="1" t="s">
        <v>546</v>
      </c>
      <c r="D117" s="1" t="s">
        <v>287</v>
      </c>
      <c r="E117" s="82" t="n">
        <v>0</v>
      </c>
      <c r="F117" s="26" t="n">
        <v>0</v>
      </c>
      <c r="G117" s="26" t="n">
        <v>0</v>
      </c>
      <c r="H117" s="1" t="s">
        <v>547</v>
      </c>
    </row>
    <row r="118" customFormat="false" ht="15" hidden="false" customHeight="true" outlineLevel="0" collapsed="false">
      <c r="A118" s="1" t="s">
        <v>448</v>
      </c>
      <c r="B118" s="1" t="s">
        <v>537</v>
      </c>
      <c r="C118" s="1" t="s">
        <v>544</v>
      </c>
      <c r="D118" s="1" t="s">
        <v>289</v>
      </c>
      <c r="E118" s="82" t="n">
        <v>1</v>
      </c>
      <c r="F118" s="26" t="n">
        <v>1112.18</v>
      </c>
      <c r="G118" s="26" t="n">
        <v>1112.18</v>
      </c>
      <c r="H118" s="1" t="s">
        <v>545</v>
      </c>
    </row>
    <row r="119" customFormat="false" ht="15" hidden="false" customHeight="true" outlineLevel="0" collapsed="false">
      <c r="A119" s="1" t="s">
        <v>448</v>
      </c>
      <c r="B119" s="1" t="s">
        <v>537</v>
      </c>
      <c r="C119" s="1" t="s">
        <v>542</v>
      </c>
      <c r="D119" s="1" t="s">
        <v>293</v>
      </c>
      <c r="E119" s="82" t="n">
        <v>3</v>
      </c>
      <c r="F119" s="26" t="n">
        <v>20</v>
      </c>
      <c r="G119" s="26" t="n">
        <v>60</v>
      </c>
      <c r="H119" s="1" t="s">
        <v>543</v>
      </c>
    </row>
    <row r="120" customFormat="false" ht="15" hidden="false" customHeight="true" outlineLevel="0" collapsed="false">
      <c r="A120" s="1" t="s">
        <v>448</v>
      </c>
      <c r="B120" s="1" t="s">
        <v>537</v>
      </c>
      <c r="C120" s="1" t="s">
        <v>544</v>
      </c>
      <c r="D120" s="1" t="s">
        <v>293</v>
      </c>
      <c r="E120" s="82" t="n">
        <v>1</v>
      </c>
      <c r="F120" s="26" t="n">
        <v>387.64</v>
      </c>
      <c r="G120" s="26" t="n">
        <v>387.64</v>
      </c>
      <c r="H120" s="1" t="s">
        <v>545</v>
      </c>
    </row>
    <row r="121" customFormat="false" ht="15" hidden="false" customHeight="true" outlineLevel="0" collapsed="false">
      <c r="A121" s="1" t="s">
        <v>448</v>
      </c>
      <c r="B121" s="1" t="s">
        <v>537</v>
      </c>
      <c r="C121" s="1" t="s">
        <v>546</v>
      </c>
      <c r="D121" s="1" t="s">
        <v>293</v>
      </c>
      <c r="E121" s="82" t="n">
        <v>0</v>
      </c>
      <c r="F121" s="26" t="n">
        <v>0</v>
      </c>
      <c r="G121" s="26" t="n">
        <v>0</v>
      </c>
      <c r="H121" s="1" t="s">
        <v>547</v>
      </c>
    </row>
    <row r="122" customFormat="false" ht="15" hidden="false" customHeight="true" outlineLevel="0" collapsed="false">
      <c r="A122" s="1" t="s">
        <v>448</v>
      </c>
      <c r="B122" s="1" t="s">
        <v>537</v>
      </c>
      <c r="C122" s="1" t="s">
        <v>538</v>
      </c>
      <c r="D122" s="1" t="s">
        <v>290</v>
      </c>
      <c r="E122" s="82" t="n">
        <v>0</v>
      </c>
      <c r="F122" s="26" t="n">
        <v>0</v>
      </c>
      <c r="G122" s="26" t="n">
        <v>0</v>
      </c>
      <c r="H122" s="1" t="s">
        <v>548</v>
      </c>
    </row>
    <row r="123" customFormat="false" ht="15" hidden="false" customHeight="true" outlineLevel="0" collapsed="false">
      <c r="A123" s="1" t="s">
        <v>448</v>
      </c>
      <c r="B123" s="1" t="s">
        <v>537</v>
      </c>
      <c r="C123" s="1" t="s">
        <v>540</v>
      </c>
      <c r="D123" s="1" t="s">
        <v>290</v>
      </c>
      <c r="E123" s="82" t="n">
        <v>0</v>
      </c>
      <c r="F123" s="26" t="n">
        <v>0</v>
      </c>
      <c r="G123" s="26" t="n">
        <v>0</v>
      </c>
      <c r="H123" s="1" t="s">
        <v>549</v>
      </c>
    </row>
    <row r="124" customFormat="false" ht="15" hidden="false" customHeight="true" outlineLevel="0" collapsed="false">
      <c r="A124" s="1" t="s">
        <v>448</v>
      </c>
      <c r="B124" s="1" t="s">
        <v>537</v>
      </c>
      <c r="C124" s="1" t="s">
        <v>550</v>
      </c>
      <c r="D124" s="1" t="s">
        <v>290</v>
      </c>
      <c r="E124" s="82" t="n">
        <v>0</v>
      </c>
      <c r="F124" s="26" t="n">
        <v>0</v>
      </c>
      <c r="G124" s="26" t="n">
        <v>0</v>
      </c>
      <c r="H124" s="1" t="s">
        <v>547</v>
      </c>
    </row>
    <row r="125" customFormat="false" ht="15" hidden="false" customHeight="true" outlineLevel="0" collapsed="false">
      <c r="A125" s="1" t="s">
        <v>448</v>
      </c>
      <c r="B125" s="1" t="s">
        <v>537</v>
      </c>
      <c r="C125" s="1" t="s">
        <v>542</v>
      </c>
      <c r="D125" s="1" t="s">
        <v>290</v>
      </c>
      <c r="E125" s="82" t="n">
        <v>13</v>
      </c>
      <c r="F125" s="26" t="n">
        <v>20</v>
      </c>
      <c r="G125" s="26" t="n">
        <v>260</v>
      </c>
      <c r="H125" s="1" t="s">
        <v>543</v>
      </c>
    </row>
    <row r="126" customFormat="false" ht="15" hidden="false" customHeight="true" outlineLevel="0" collapsed="false">
      <c r="A126" s="1" t="s">
        <v>448</v>
      </c>
      <c r="B126" s="1" t="s">
        <v>537</v>
      </c>
      <c r="C126" s="1" t="s">
        <v>544</v>
      </c>
      <c r="D126" s="1" t="s">
        <v>290</v>
      </c>
      <c r="E126" s="82" t="n">
        <v>0</v>
      </c>
      <c r="F126" s="26" t="n">
        <v>0</v>
      </c>
      <c r="G126" s="26" t="n">
        <v>0</v>
      </c>
      <c r="H126" s="1" t="s">
        <v>545</v>
      </c>
    </row>
    <row r="127" customFormat="false" ht="15" hidden="false" customHeight="true" outlineLevel="0" collapsed="false">
      <c r="A127" s="1" t="s">
        <v>448</v>
      </c>
      <c r="B127" s="1" t="s">
        <v>537</v>
      </c>
      <c r="C127" s="1" t="s">
        <v>546</v>
      </c>
      <c r="D127" s="1" t="s">
        <v>290</v>
      </c>
      <c r="E127" s="82" t="n">
        <v>0</v>
      </c>
      <c r="F127" s="26" t="n">
        <v>0</v>
      </c>
      <c r="G127" s="26" t="n">
        <v>0</v>
      </c>
      <c r="H127" s="1" t="s">
        <v>547</v>
      </c>
    </row>
    <row r="128" customFormat="false" ht="15" hidden="false" customHeight="true" outlineLevel="0" collapsed="false">
      <c r="A128" s="1" t="s">
        <v>448</v>
      </c>
      <c r="B128" s="1" t="s">
        <v>537</v>
      </c>
      <c r="C128" s="1" t="s">
        <v>542</v>
      </c>
      <c r="D128" s="1" t="s">
        <v>284</v>
      </c>
      <c r="E128" s="82" t="n">
        <v>19</v>
      </c>
      <c r="F128" s="26" t="n">
        <v>20</v>
      </c>
      <c r="G128" s="26" t="n">
        <v>380</v>
      </c>
      <c r="H128" s="1" t="s">
        <v>543</v>
      </c>
    </row>
    <row r="129" customFormat="false" ht="15" hidden="false" customHeight="true" outlineLevel="0" collapsed="false">
      <c r="A129" s="1" t="s">
        <v>448</v>
      </c>
      <c r="B129" s="1" t="s">
        <v>537</v>
      </c>
      <c r="C129" s="1" t="s">
        <v>544</v>
      </c>
      <c r="D129" s="1" t="s">
        <v>284</v>
      </c>
      <c r="E129" s="82" t="n">
        <v>1</v>
      </c>
      <c r="F129" s="26" t="n">
        <v>1092.02</v>
      </c>
      <c r="G129" s="26" t="n">
        <v>1092.02</v>
      </c>
      <c r="H129" s="1" t="s">
        <v>545</v>
      </c>
    </row>
    <row r="130" customFormat="false" ht="15" hidden="false" customHeight="true" outlineLevel="0" collapsed="false">
      <c r="A130" s="1" t="s">
        <v>448</v>
      </c>
      <c r="B130" s="1" t="s">
        <v>537</v>
      </c>
      <c r="C130" s="1" t="s">
        <v>551</v>
      </c>
      <c r="D130" s="1" t="s">
        <v>284</v>
      </c>
      <c r="E130" s="82" t="n">
        <v>1</v>
      </c>
      <c r="F130" s="26" t="n">
        <v>1326.53</v>
      </c>
      <c r="G130" s="26" t="n">
        <v>1326.53</v>
      </c>
      <c r="H130" s="1" t="s">
        <v>547</v>
      </c>
    </row>
    <row r="131" customFormat="false" ht="15" hidden="false" customHeight="true" outlineLevel="0" collapsed="false">
      <c r="A131" s="1" t="s">
        <v>448</v>
      </c>
      <c r="B131" s="1" t="s">
        <v>537</v>
      </c>
      <c r="C131" s="1" t="s">
        <v>550</v>
      </c>
      <c r="D131" s="1" t="s">
        <v>285</v>
      </c>
      <c r="E131" s="82" t="n">
        <v>0</v>
      </c>
      <c r="F131" s="26" t="n">
        <v>0</v>
      </c>
      <c r="G131" s="26" t="n">
        <v>0</v>
      </c>
      <c r="H131" s="1" t="s">
        <v>552</v>
      </c>
    </row>
    <row r="132" customFormat="false" ht="15" hidden="false" customHeight="true" outlineLevel="0" collapsed="false">
      <c r="A132" s="1" t="s">
        <v>448</v>
      </c>
      <c r="B132" s="1" t="s">
        <v>537</v>
      </c>
      <c r="C132" s="1" t="s">
        <v>542</v>
      </c>
      <c r="D132" s="1" t="s">
        <v>285</v>
      </c>
      <c r="E132" s="82" t="n">
        <v>4</v>
      </c>
      <c r="F132" s="26" t="n">
        <v>20</v>
      </c>
      <c r="G132" s="26" t="n">
        <v>80</v>
      </c>
      <c r="H132" s="1" t="s">
        <v>543</v>
      </c>
    </row>
    <row r="133" customFormat="false" ht="15" hidden="false" customHeight="true" outlineLevel="0" collapsed="false">
      <c r="A133" s="1" t="s">
        <v>448</v>
      </c>
      <c r="B133" s="1" t="s">
        <v>537</v>
      </c>
      <c r="C133" s="1" t="s">
        <v>544</v>
      </c>
      <c r="D133" s="1" t="s">
        <v>285</v>
      </c>
      <c r="E133" s="82" t="n">
        <v>0</v>
      </c>
      <c r="F133" s="26" t="n">
        <v>0</v>
      </c>
      <c r="G133" s="26" t="n">
        <v>0</v>
      </c>
      <c r="H133" s="1" t="s">
        <v>545</v>
      </c>
    </row>
    <row r="134" customFormat="false" ht="15" hidden="false" customHeight="true" outlineLevel="0" collapsed="false">
      <c r="A134" s="1" t="s">
        <v>448</v>
      </c>
      <c r="B134" s="1" t="s">
        <v>537</v>
      </c>
      <c r="C134" s="1" t="s">
        <v>551</v>
      </c>
      <c r="D134" s="1" t="s">
        <v>285</v>
      </c>
      <c r="E134" s="82" t="n">
        <v>1</v>
      </c>
      <c r="F134" s="26" t="n">
        <v>366.53</v>
      </c>
      <c r="G134" s="26" t="n">
        <v>366.53</v>
      </c>
      <c r="H134" s="1" t="s">
        <v>547</v>
      </c>
    </row>
    <row r="135" customFormat="false" ht="15" hidden="false" customHeight="true" outlineLevel="0" collapsed="false">
      <c r="A135" s="1" t="s">
        <v>448</v>
      </c>
      <c r="B135" s="1" t="s">
        <v>537</v>
      </c>
      <c r="C135" s="1" t="s">
        <v>538</v>
      </c>
      <c r="D135" s="1" t="s">
        <v>282</v>
      </c>
      <c r="E135" s="82" t="n">
        <v>0</v>
      </c>
      <c r="F135" s="26" t="n">
        <v>0</v>
      </c>
      <c r="G135" s="26" t="n">
        <v>0</v>
      </c>
      <c r="H135" s="1" t="s">
        <v>553</v>
      </c>
    </row>
    <row r="136" customFormat="false" ht="15" hidden="false" customHeight="true" outlineLevel="0" collapsed="false">
      <c r="A136" s="1" t="s">
        <v>448</v>
      </c>
      <c r="B136" s="1" t="s">
        <v>537</v>
      </c>
      <c r="C136" s="1" t="s">
        <v>542</v>
      </c>
      <c r="D136" s="1" t="s">
        <v>282</v>
      </c>
      <c r="E136" s="82" t="n">
        <v>8</v>
      </c>
      <c r="F136" s="26" t="n">
        <v>20</v>
      </c>
      <c r="G136" s="26" t="n">
        <v>160</v>
      </c>
      <c r="H136" s="1" t="s">
        <v>543</v>
      </c>
    </row>
    <row r="137" customFormat="false" ht="15" hidden="false" customHeight="true" outlineLevel="0" collapsed="false">
      <c r="A137" s="1" t="s">
        <v>448</v>
      </c>
      <c r="B137" s="1" t="s">
        <v>537</v>
      </c>
      <c r="C137" s="1" t="s">
        <v>544</v>
      </c>
      <c r="D137" s="1" t="s">
        <v>282</v>
      </c>
      <c r="E137" s="82" t="n">
        <v>1</v>
      </c>
      <c r="F137" s="26" t="n">
        <v>643.2</v>
      </c>
      <c r="G137" s="26" t="n">
        <v>643.2</v>
      </c>
      <c r="H137" s="1" t="s">
        <v>545</v>
      </c>
    </row>
    <row r="138" customFormat="false" ht="15" hidden="false" customHeight="true" outlineLevel="0" collapsed="false">
      <c r="A138" s="1" t="s">
        <v>448</v>
      </c>
      <c r="B138" s="1" t="s">
        <v>537</v>
      </c>
      <c r="C138" s="1" t="s">
        <v>546</v>
      </c>
      <c r="D138" s="1" t="s">
        <v>282</v>
      </c>
      <c r="E138" s="82" t="n">
        <v>1</v>
      </c>
      <c r="F138" s="26" t="n">
        <v>664.27</v>
      </c>
      <c r="G138" s="26" t="n">
        <v>664.27</v>
      </c>
      <c r="H138" s="1" t="s">
        <v>547</v>
      </c>
    </row>
    <row r="139" customFormat="false" ht="15" hidden="false" customHeight="true" outlineLevel="0" collapsed="false">
      <c r="A139" s="1" t="s">
        <v>448</v>
      </c>
      <c r="B139" s="1" t="s">
        <v>554</v>
      </c>
      <c r="C139" s="1" t="s">
        <v>555</v>
      </c>
      <c r="D139" s="1" t="s">
        <v>287</v>
      </c>
      <c r="E139" s="82" t="n">
        <v>0</v>
      </c>
      <c r="F139" s="26" t="n">
        <v>0</v>
      </c>
      <c r="G139" s="26" t="n">
        <v>0</v>
      </c>
      <c r="H139" s="1" t="s">
        <v>556</v>
      </c>
    </row>
    <row r="140" customFormat="false" ht="15" hidden="false" customHeight="true" outlineLevel="0" collapsed="false">
      <c r="A140" s="1" t="s">
        <v>448</v>
      </c>
      <c r="B140" s="1" t="s">
        <v>554</v>
      </c>
      <c r="C140" s="1" t="s">
        <v>557</v>
      </c>
      <c r="D140" s="1" t="s">
        <v>287</v>
      </c>
      <c r="E140" s="82" t="n">
        <v>0</v>
      </c>
      <c r="F140" s="26" t="n">
        <v>0</v>
      </c>
      <c r="G140" s="26" t="n">
        <v>0</v>
      </c>
      <c r="H140" s="1" t="s">
        <v>558</v>
      </c>
    </row>
    <row r="141" customFormat="false" ht="15" hidden="false" customHeight="true" outlineLevel="0" collapsed="false">
      <c r="A141" s="1" t="s">
        <v>448</v>
      </c>
      <c r="B141" s="1" t="s">
        <v>554</v>
      </c>
      <c r="C141" s="1" t="s">
        <v>559</v>
      </c>
      <c r="D141" s="1" t="s">
        <v>287</v>
      </c>
      <c r="E141" s="82" t="n">
        <v>0</v>
      </c>
      <c r="F141" s="26" t="n">
        <v>0</v>
      </c>
      <c r="G141" s="26" t="n">
        <v>0</v>
      </c>
      <c r="H141" s="1" t="s">
        <v>560</v>
      </c>
    </row>
    <row r="142" customFormat="false" ht="15" hidden="false" customHeight="true" outlineLevel="0" collapsed="false">
      <c r="A142" s="1" t="s">
        <v>448</v>
      </c>
      <c r="B142" s="1" t="s">
        <v>554</v>
      </c>
      <c r="C142" s="1" t="s">
        <v>561</v>
      </c>
      <c r="D142" s="1" t="s">
        <v>287</v>
      </c>
      <c r="E142" s="82" t="n">
        <v>0</v>
      </c>
      <c r="F142" s="26" t="n">
        <v>0</v>
      </c>
      <c r="G142" s="26" t="n">
        <v>0</v>
      </c>
      <c r="H142" s="1" t="s">
        <v>562</v>
      </c>
    </row>
    <row r="143" customFormat="false" ht="15" hidden="false" customHeight="true" outlineLevel="0" collapsed="false">
      <c r="A143" s="1" t="s">
        <v>448</v>
      </c>
      <c r="B143" s="1" t="s">
        <v>554</v>
      </c>
      <c r="C143" s="1" t="s">
        <v>563</v>
      </c>
      <c r="D143" s="1" t="s">
        <v>289</v>
      </c>
      <c r="E143" s="82" t="n">
        <v>1</v>
      </c>
      <c r="F143" s="26" t="n">
        <v>315.66</v>
      </c>
      <c r="G143" s="26" t="n">
        <v>315.66</v>
      </c>
      <c r="H143" s="1" t="s">
        <v>564</v>
      </c>
    </row>
    <row r="144" customFormat="false" ht="15" hidden="false" customHeight="true" outlineLevel="0" collapsed="false">
      <c r="A144" s="1" t="s">
        <v>448</v>
      </c>
      <c r="B144" s="1" t="s">
        <v>554</v>
      </c>
      <c r="C144" s="1" t="s">
        <v>565</v>
      </c>
      <c r="D144" s="1" t="s">
        <v>289</v>
      </c>
      <c r="E144" s="82" t="n">
        <v>0</v>
      </c>
      <c r="F144" s="26" t="n">
        <v>0</v>
      </c>
      <c r="G144" s="26" t="n">
        <v>0</v>
      </c>
      <c r="H144" s="1" t="s">
        <v>566</v>
      </c>
    </row>
    <row r="145" customFormat="false" ht="15" hidden="false" customHeight="true" outlineLevel="0" collapsed="false">
      <c r="A145" s="1" t="s">
        <v>448</v>
      </c>
      <c r="B145" s="1" t="s">
        <v>554</v>
      </c>
      <c r="C145" s="1" t="s">
        <v>567</v>
      </c>
      <c r="D145" s="1" t="s">
        <v>293</v>
      </c>
      <c r="E145" s="82" t="n">
        <v>1</v>
      </c>
      <c r="F145" s="26" t="n">
        <v>64.68</v>
      </c>
      <c r="G145" s="26" t="n">
        <v>64.68</v>
      </c>
      <c r="H145" s="1" t="s">
        <v>568</v>
      </c>
    </row>
    <row r="146" customFormat="false" ht="15" hidden="false" customHeight="true" outlineLevel="0" collapsed="false">
      <c r="A146" s="1" t="s">
        <v>448</v>
      </c>
      <c r="B146" s="1" t="s">
        <v>554</v>
      </c>
      <c r="C146" s="1" t="s">
        <v>569</v>
      </c>
      <c r="D146" s="1" t="s">
        <v>293</v>
      </c>
      <c r="E146" s="82" t="n">
        <v>-1</v>
      </c>
      <c r="F146" s="26" t="n">
        <v>2120.72</v>
      </c>
      <c r="G146" s="26" t="n">
        <v>-2120.72</v>
      </c>
      <c r="H146" s="1" t="s">
        <v>570</v>
      </c>
    </row>
    <row r="147" customFormat="false" ht="15" hidden="false" customHeight="true" outlineLevel="0" collapsed="false">
      <c r="A147" s="1" t="s">
        <v>448</v>
      </c>
      <c r="B147" s="1" t="s">
        <v>554</v>
      </c>
      <c r="C147" s="1" t="s">
        <v>571</v>
      </c>
      <c r="D147" s="1" t="s">
        <v>293</v>
      </c>
      <c r="E147" s="82" t="n">
        <v>0</v>
      </c>
      <c r="F147" s="26" t="n">
        <v>0</v>
      </c>
      <c r="G147" s="26" t="n">
        <v>0</v>
      </c>
      <c r="H147" s="1" t="s">
        <v>564</v>
      </c>
    </row>
    <row r="148" customFormat="false" ht="15" hidden="false" customHeight="true" outlineLevel="0" collapsed="false">
      <c r="A148" s="1" t="s">
        <v>448</v>
      </c>
      <c r="B148" s="1" t="s">
        <v>554</v>
      </c>
      <c r="C148" s="1" t="s">
        <v>572</v>
      </c>
      <c r="D148" s="1" t="s">
        <v>293</v>
      </c>
      <c r="E148" s="82" t="n">
        <v>1</v>
      </c>
      <c r="F148" s="26" t="n">
        <v>310.32</v>
      </c>
      <c r="G148" s="26" t="n">
        <v>310.32</v>
      </c>
      <c r="H148" s="1" t="s">
        <v>573</v>
      </c>
    </row>
    <row r="149" customFormat="false" ht="15" hidden="false" customHeight="true" outlineLevel="0" collapsed="false">
      <c r="A149" s="1" t="s">
        <v>448</v>
      </c>
      <c r="B149" s="1" t="s">
        <v>554</v>
      </c>
      <c r="C149" s="1" t="s">
        <v>574</v>
      </c>
      <c r="D149" s="1" t="s">
        <v>293</v>
      </c>
      <c r="E149" s="82" t="n">
        <v>-1</v>
      </c>
      <c r="F149" s="26" t="n">
        <v>4279.74</v>
      </c>
      <c r="G149" s="26" t="n">
        <v>-4279.74</v>
      </c>
      <c r="H149" s="1" t="s">
        <v>573</v>
      </c>
    </row>
    <row r="150" customFormat="false" ht="15" hidden="false" customHeight="true" outlineLevel="0" collapsed="false">
      <c r="A150" s="1" t="s">
        <v>448</v>
      </c>
      <c r="B150" s="1" t="s">
        <v>554</v>
      </c>
      <c r="C150" s="1" t="s">
        <v>575</v>
      </c>
      <c r="D150" s="1" t="s">
        <v>293</v>
      </c>
      <c r="E150" s="82" t="n">
        <v>1</v>
      </c>
      <c r="F150" s="26" t="n">
        <v>1612.93</v>
      </c>
      <c r="G150" s="26" t="n">
        <v>1612.93</v>
      </c>
      <c r="H150" s="1" t="s">
        <v>576</v>
      </c>
    </row>
    <row r="151" customFormat="false" ht="15" hidden="false" customHeight="true" outlineLevel="0" collapsed="false">
      <c r="A151" s="1" t="s">
        <v>448</v>
      </c>
      <c r="B151" s="1" t="s">
        <v>554</v>
      </c>
      <c r="C151" s="1" t="s">
        <v>577</v>
      </c>
      <c r="D151" s="1" t="s">
        <v>290</v>
      </c>
      <c r="E151" s="82" t="n">
        <v>0</v>
      </c>
      <c r="F151" s="26" t="n">
        <v>0</v>
      </c>
      <c r="G151" s="26" t="n">
        <v>0</v>
      </c>
      <c r="H151" s="1" t="s">
        <v>564</v>
      </c>
    </row>
    <row r="152" customFormat="false" ht="15" hidden="false" customHeight="true" outlineLevel="0" collapsed="false">
      <c r="A152" s="1" t="s">
        <v>448</v>
      </c>
      <c r="B152" s="1" t="s">
        <v>554</v>
      </c>
      <c r="C152" s="1" t="s">
        <v>578</v>
      </c>
      <c r="D152" s="1" t="s">
        <v>290</v>
      </c>
      <c r="E152" s="82" t="n">
        <v>0</v>
      </c>
      <c r="F152" s="26" t="n">
        <v>0</v>
      </c>
      <c r="G152" s="26" t="n">
        <v>0</v>
      </c>
      <c r="H152" s="1" t="s">
        <v>579</v>
      </c>
    </row>
    <row r="153" customFormat="false" ht="15" hidden="false" customHeight="true" outlineLevel="0" collapsed="false">
      <c r="A153" s="1" t="s">
        <v>448</v>
      </c>
      <c r="B153" s="1" t="s">
        <v>554</v>
      </c>
      <c r="C153" s="1" t="s">
        <v>580</v>
      </c>
      <c r="D153" s="1" t="s">
        <v>284</v>
      </c>
      <c r="E153" s="82" t="n">
        <v>0</v>
      </c>
      <c r="F153" s="26" t="n">
        <v>0</v>
      </c>
      <c r="G153" s="26" t="n">
        <v>0</v>
      </c>
      <c r="H153" s="1" t="s">
        <v>581</v>
      </c>
    </row>
    <row r="154" customFormat="false" ht="15" hidden="false" customHeight="true" outlineLevel="0" collapsed="false">
      <c r="A154" s="1" t="s">
        <v>448</v>
      </c>
      <c r="B154" s="1" t="s">
        <v>554</v>
      </c>
      <c r="C154" s="1" t="s">
        <v>582</v>
      </c>
      <c r="D154" s="1" t="s">
        <v>284</v>
      </c>
      <c r="E154" s="82" t="n">
        <v>0</v>
      </c>
      <c r="F154" s="26" t="n">
        <v>0</v>
      </c>
      <c r="G154" s="26" t="n">
        <v>0</v>
      </c>
      <c r="H154" s="1" t="s">
        <v>556</v>
      </c>
    </row>
    <row r="155" customFormat="false" ht="15" hidden="false" customHeight="true" outlineLevel="0" collapsed="false">
      <c r="A155" s="1" t="s">
        <v>448</v>
      </c>
      <c r="B155" s="1" t="s">
        <v>554</v>
      </c>
      <c r="C155" s="1" t="s">
        <v>583</v>
      </c>
      <c r="D155" s="1" t="s">
        <v>284</v>
      </c>
      <c r="E155" s="82" t="n">
        <v>0</v>
      </c>
      <c r="F155" s="26" t="n">
        <v>0</v>
      </c>
      <c r="G155" s="26" t="n">
        <v>0</v>
      </c>
      <c r="H155" s="1" t="s">
        <v>560</v>
      </c>
    </row>
    <row r="156" customFormat="false" ht="15" hidden="false" customHeight="true" outlineLevel="0" collapsed="false">
      <c r="A156" s="1" t="s">
        <v>448</v>
      </c>
      <c r="B156" s="1" t="s">
        <v>554</v>
      </c>
      <c r="C156" s="1" t="s">
        <v>584</v>
      </c>
      <c r="D156" s="1" t="s">
        <v>284</v>
      </c>
      <c r="E156" s="82" t="n">
        <v>0</v>
      </c>
      <c r="F156" s="26" t="n">
        <v>0</v>
      </c>
      <c r="G156" s="26" t="n">
        <v>0</v>
      </c>
      <c r="H156" s="1" t="s">
        <v>566</v>
      </c>
    </row>
    <row r="157" customFormat="false" ht="15" hidden="false" customHeight="true" outlineLevel="0" collapsed="false">
      <c r="A157" s="1" t="s">
        <v>448</v>
      </c>
      <c r="B157" s="1" t="s">
        <v>554</v>
      </c>
      <c r="C157" s="1" t="s">
        <v>580</v>
      </c>
      <c r="D157" s="1" t="s">
        <v>285</v>
      </c>
      <c r="E157" s="82" t="n">
        <v>0</v>
      </c>
      <c r="F157" s="26" t="n">
        <v>0</v>
      </c>
      <c r="G157" s="26" t="n">
        <v>0</v>
      </c>
      <c r="H157" s="1" t="s">
        <v>564</v>
      </c>
    </row>
    <row r="158" customFormat="false" ht="15" hidden="false" customHeight="true" outlineLevel="0" collapsed="false">
      <c r="A158" s="1" t="s">
        <v>448</v>
      </c>
      <c r="B158" s="1" t="s">
        <v>554</v>
      </c>
      <c r="C158" s="1" t="s">
        <v>585</v>
      </c>
      <c r="D158" s="1" t="s">
        <v>285</v>
      </c>
      <c r="E158" s="82" t="n">
        <v>0</v>
      </c>
      <c r="F158" s="26" t="n">
        <v>0</v>
      </c>
      <c r="G158" s="26" t="n">
        <v>0</v>
      </c>
      <c r="H158" s="1" t="s">
        <v>564</v>
      </c>
    </row>
    <row r="159" customFormat="false" ht="15" hidden="false" customHeight="true" outlineLevel="0" collapsed="false">
      <c r="A159" s="1" t="s">
        <v>448</v>
      </c>
      <c r="B159" s="1" t="s">
        <v>554</v>
      </c>
      <c r="C159" s="1" t="s">
        <v>586</v>
      </c>
      <c r="D159" s="1" t="s">
        <v>285</v>
      </c>
      <c r="E159" s="82" t="n">
        <v>0</v>
      </c>
      <c r="F159" s="26" t="n">
        <v>0</v>
      </c>
      <c r="G159" s="26" t="n">
        <v>0</v>
      </c>
      <c r="H159" s="1" t="s">
        <v>579</v>
      </c>
    </row>
    <row r="160" customFormat="false" ht="15" hidden="false" customHeight="true" outlineLevel="0" collapsed="false">
      <c r="A160" s="1" t="s">
        <v>448</v>
      </c>
      <c r="B160" s="1" t="s">
        <v>554</v>
      </c>
      <c r="C160" s="1" t="s">
        <v>584</v>
      </c>
      <c r="D160" s="1" t="s">
        <v>285</v>
      </c>
      <c r="E160" s="82" t="n">
        <v>0</v>
      </c>
      <c r="F160" s="26" t="n">
        <v>0</v>
      </c>
      <c r="G160" s="26" t="n">
        <v>0</v>
      </c>
      <c r="H160" s="1" t="s">
        <v>587</v>
      </c>
    </row>
    <row r="161" customFormat="false" ht="15" hidden="false" customHeight="true" outlineLevel="0" collapsed="false">
      <c r="A161" s="1" t="s">
        <v>448</v>
      </c>
      <c r="B161" s="1" t="s">
        <v>554</v>
      </c>
      <c r="C161" s="1" t="s">
        <v>588</v>
      </c>
      <c r="D161" s="1" t="s">
        <v>282</v>
      </c>
      <c r="E161" s="82" t="n">
        <v>4782</v>
      </c>
      <c r="F161" s="26" t="n">
        <v>0.31</v>
      </c>
      <c r="G161" s="26" t="n">
        <v>1482.42</v>
      </c>
      <c r="H161" s="1" t="s">
        <v>451</v>
      </c>
    </row>
    <row r="162" customFormat="false" ht="15" hidden="false" customHeight="true" outlineLevel="0" collapsed="false">
      <c r="A162" s="1" t="s">
        <v>448</v>
      </c>
      <c r="B162" s="1" t="s">
        <v>554</v>
      </c>
      <c r="C162" s="1" t="s">
        <v>589</v>
      </c>
      <c r="D162" s="1" t="s">
        <v>282</v>
      </c>
      <c r="E162" s="82" t="n">
        <v>1</v>
      </c>
      <c r="F162" s="26" t="n">
        <v>2480.38</v>
      </c>
      <c r="G162" s="26" t="n">
        <v>2480.38</v>
      </c>
      <c r="H162" s="1" t="s">
        <v>564</v>
      </c>
    </row>
    <row r="163" customFormat="false" ht="15" hidden="false" customHeight="true" outlineLevel="0" collapsed="false">
      <c r="A163" s="1" t="s">
        <v>448</v>
      </c>
      <c r="B163" s="1" t="s">
        <v>554</v>
      </c>
      <c r="C163" s="1" t="s">
        <v>590</v>
      </c>
      <c r="D163" s="1" t="s">
        <v>282</v>
      </c>
      <c r="E163" s="82" t="n">
        <v>0</v>
      </c>
      <c r="F163" s="26" t="n">
        <v>0</v>
      </c>
      <c r="G163" s="26" t="n">
        <v>0</v>
      </c>
      <c r="H163" s="1" t="s">
        <v>564</v>
      </c>
    </row>
    <row r="164" customFormat="false" ht="15" hidden="false" customHeight="true" outlineLevel="0" collapsed="false">
      <c r="A164" s="1" t="s">
        <v>448</v>
      </c>
      <c r="B164" s="1" t="s">
        <v>554</v>
      </c>
      <c r="C164" s="1" t="s">
        <v>591</v>
      </c>
      <c r="D164" s="1" t="s">
        <v>282</v>
      </c>
      <c r="E164" s="82" t="n">
        <v>1</v>
      </c>
      <c r="F164" s="26" t="n">
        <v>13877.08</v>
      </c>
      <c r="G164" s="26" t="n">
        <v>13877.08</v>
      </c>
      <c r="H164" s="1" t="s">
        <v>587</v>
      </c>
    </row>
    <row r="165" customFormat="false" ht="15" hidden="false" customHeight="true" outlineLevel="0" collapsed="false">
      <c r="A165" s="1" t="s">
        <v>448</v>
      </c>
      <c r="B165" s="1" t="s">
        <v>554</v>
      </c>
      <c r="C165" s="1" t="s">
        <v>592</v>
      </c>
      <c r="D165" s="1" t="s">
        <v>282</v>
      </c>
      <c r="E165" s="82" t="n">
        <v>0</v>
      </c>
      <c r="F165" s="26" t="n">
        <v>0</v>
      </c>
      <c r="G165" s="26" t="n">
        <v>0</v>
      </c>
      <c r="H165" s="1" t="s">
        <v>579</v>
      </c>
    </row>
    <row r="166" customFormat="false" ht="15" hidden="false" customHeight="true" outlineLevel="0" collapsed="false">
      <c r="A166" s="1" t="s">
        <v>448</v>
      </c>
      <c r="B166" s="1" t="s">
        <v>593</v>
      </c>
      <c r="C166" s="1" t="s">
        <v>594</v>
      </c>
      <c r="D166" s="1" t="s">
        <v>289</v>
      </c>
      <c r="E166" s="82" t="n">
        <v>1</v>
      </c>
      <c r="F166" s="26" t="n">
        <v>238.88</v>
      </c>
      <c r="G166" s="26" t="n">
        <v>238.88</v>
      </c>
      <c r="H166" s="1" t="s">
        <v>595</v>
      </c>
    </row>
    <row r="167" customFormat="false" ht="15" hidden="false" customHeight="true" outlineLevel="0" collapsed="false">
      <c r="A167" s="1" t="s">
        <v>448</v>
      </c>
      <c r="B167" s="1" t="s">
        <v>593</v>
      </c>
      <c r="C167" s="1" t="s">
        <v>596</v>
      </c>
      <c r="D167" s="1" t="s">
        <v>289</v>
      </c>
      <c r="E167" s="82" t="n">
        <v>1</v>
      </c>
      <c r="F167" s="26" t="n">
        <v>609.17</v>
      </c>
      <c r="G167" s="26" t="n">
        <v>609.17</v>
      </c>
      <c r="H167" s="1" t="s">
        <v>595</v>
      </c>
    </row>
    <row r="168" customFormat="false" ht="15" hidden="false" customHeight="true" outlineLevel="0" collapsed="false">
      <c r="A168" s="1" t="s">
        <v>448</v>
      </c>
      <c r="B168" s="1" t="s">
        <v>593</v>
      </c>
      <c r="C168" s="1" t="s">
        <v>597</v>
      </c>
      <c r="D168" s="1" t="s">
        <v>289</v>
      </c>
      <c r="E168" s="82" t="n">
        <v>1</v>
      </c>
      <c r="F168" s="26" t="n">
        <v>510</v>
      </c>
      <c r="G168" s="26" t="n">
        <v>510</v>
      </c>
      <c r="H168" s="1" t="s">
        <v>595</v>
      </c>
    </row>
    <row r="169" customFormat="false" ht="15" hidden="false" customHeight="true" outlineLevel="0" collapsed="false">
      <c r="A169" s="1" t="s">
        <v>448</v>
      </c>
      <c r="B169" s="1" t="s">
        <v>593</v>
      </c>
      <c r="C169" s="1" t="s">
        <v>598</v>
      </c>
      <c r="D169" s="1" t="s">
        <v>289</v>
      </c>
      <c r="E169" s="82" t="n">
        <v>1</v>
      </c>
      <c r="F169" s="26" t="n">
        <v>333.1</v>
      </c>
      <c r="G169" s="26" t="n">
        <v>333.1</v>
      </c>
      <c r="H169" s="1" t="s">
        <v>599</v>
      </c>
    </row>
    <row r="170" customFormat="false" ht="15" hidden="false" customHeight="true" outlineLevel="0" collapsed="false">
      <c r="A170" s="1" t="s">
        <v>448</v>
      </c>
      <c r="B170" s="1" t="s">
        <v>593</v>
      </c>
      <c r="C170" s="1" t="s">
        <v>600</v>
      </c>
      <c r="D170" s="1" t="s">
        <v>289</v>
      </c>
      <c r="E170" s="82" t="n">
        <v>1</v>
      </c>
      <c r="F170" s="26" t="n">
        <v>1833.24</v>
      </c>
      <c r="G170" s="26" t="n">
        <v>1833.24</v>
      </c>
      <c r="H170" s="1" t="s">
        <v>595</v>
      </c>
    </row>
    <row r="171" customFormat="false" ht="15" hidden="false" customHeight="true" outlineLevel="0" collapsed="false">
      <c r="A171" s="1" t="s">
        <v>448</v>
      </c>
      <c r="B171" s="1" t="s">
        <v>593</v>
      </c>
      <c r="C171" s="1" t="s">
        <v>601</v>
      </c>
      <c r="D171" s="1" t="s">
        <v>289</v>
      </c>
      <c r="E171" s="82" t="n">
        <v>1</v>
      </c>
      <c r="F171" s="26" t="n">
        <v>2973.2</v>
      </c>
      <c r="G171" s="26" t="n">
        <v>2973.2</v>
      </c>
      <c r="H171" s="1" t="s">
        <v>595</v>
      </c>
    </row>
    <row r="172" customFormat="false" ht="15" hidden="false" customHeight="true" outlineLevel="0" collapsed="false">
      <c r="A172" s="1" t="s">
        <v>448</v>
      </c>
      <c r="B172" s="1" t="s">
        <v>593</v>
      </c>
      <c r="C172" s="1" t="s">
        <v>602</v>
      </c>
      <c r="D172" s="1" t="s">
        <v>289</v>
      </c>
      <c r="E172" s="82" t="n">
        <v>1</v>
      </c>
      <c r="F172" s="26" t="n">
        <v>7615.46</v>
      </c>
      <c r="G172" s="26" t="n">
        <v>7615.46</v>
      </c>
      <c r="H172" s="1" t="s">
        <v>595</v>
      </c>
    </row>
    <row r="173" customFormat="false" ht="15" hidden="false" customHeight="true" outlineLevel="0" collapsed="false">
      <c r="A173" s="1" t="s">
        <v>448</v>
      </c>
      <c r="B173" s="1" t="s">
        <v>593</v>
      </c>
      <c r="C173" s="1" t="s">
        <v>603</v>
      </c>
      <c r="D173" s="1" t="s">
        <v>290</v>
      </c>
      <c r="E173" s="82" t="n">
        <v>-1</v>
      </c>
      <c r="F173" s="26" t="n">
        <v>837.25</v>
      </c>
      <c r="G173" s="26" t="n">
        <v>-837.25</v>
      </c>
      <c r="H173" s="1" t="s">
        <v>604</v>
      </c>
    </row>
    <row r="174" customFormat="false" ht="15" hidden="false" customHeight="true" outlineLevel="0" collapsed="false">
      <c r="A174" s="1" t="s">
        <v>448</v>
      </c>
      <c r="B174" s="1" t="s">
        <v>593</v>
      </c>
      <c r="C174" s="1" t="s">
        <v>594</v>
      </c>
      <c r="D174" s="1" t="s">
        <v>290</v>
      </c>
      <c r="E174" s="82" t="n">
        <v>-1</v>
      </c>
      <c r="F174" s="26" t="n">
        <v>238.88</v>
      </c>
      <c r="G174" s="26" t="n">
        <v>-238.88</v>
      </c>
      <c r="H174" s="1" t="s">
        <v>595</v>
      </c>
    </row>
    <row r="175" customFormat="false" ht="15" hidden="false" customHeight="true" outlineLevel="0" collapsed="false">
      <c r="A175" s="1" t="s">
        <v>448</v>
      </c>
      <c r="B175" s="1" t="s">
        <v>593</v>
      </c>
      <c r="C175" s="1" t="s">
        <v>594</v>
      </c>
      <c r="D175" s="1" t="s">
        <v>290</v>
      </c>
      <c r="E175" s="82" t="n">
        <v>1</v>
      </c>
      <c r="F175" s="26" t="n">
        <v>34.83</v>
      </c>
      <c r="G175" s="26" t="n">
        <v>34.83</v>
      </c>
      <c r="H175" s="1" t="s">
        <v>605</v>
      </c>
    </row>
    <row r="176" customFormat="false" ht="15" hidden="false" customHeight="true" outlineLevel="0" collapsed="false">
      <c r="A176" s="1" t="s">
        <v>448</v>
      </c>
      <c r="B176" s="1" t="s">
        <v>593</v>
      </c>
      <c r="C176" s="1" t="s">
        <v>482</v>
      </c>
      <c r="D176" s="1" t="s">
        <v>282</v>
      </c>
      <c r="E176" s="82" t="n">
        <v>1</v>
      </c>
      <c r="F176" s="26" t="n">
        <v>25.5</v>
      </c>
      <c r="G176" s="26" t="n">
        <v>25.5</v>
      </c>
      <c r="H176" s="1" t="s">
        <v>606</v>
      </c>
    </row>
    <row r="177" customFormat="false" ht="15" hidden="false" customHeight="true" outlineLevel="0" collapsed="false">
      <c r="A177" s="1" t="s">
        <v>448</v>
      </c>
      <c r="B177" s="1" t="s">
        <v>593</v>
      </c>
      <c r="C177" s="1" t="s">
        <v>597</v>
      </c>
      <c r="D177" s="1" t="s">
        <v>282</v>
      </c>
      <c r="E177" s="82" t="n">
        <v>1</v>
      </c>
      <c r="F177" s="26" t="n">
        <v>67.33</v>
      </c>
      <c r="G177" s="26" t="n">
        <v>67.33</v>
      </c>
      <c r="H177" s="1" t="s">
        <v>607</v>
      </c>
    </row>
    <row r="178" customFormat="false" ht="15" hidden="false" customHeight="true" outlineLevel="0" collapsed="false">
      <c r="A178" s="1" t="s">
        <v>448</v>
      </c>
      <c r="B178" s="1" t="s">
        <v>593</v>
      </c>
      <c r="C178" s="1" t="s">
        <v>597</v>
      </c>
      <c r="D178" s="1" t="s">
        <v>282</v>
      </c>
      <c r="E178" s="82" t="n">
        <v>-1</v>
      </c>
      <c r="F178" s="26" t="n">
        <v>510</v>
      </c>
      <c r="G178" s="26" t="n">
        <v>-510</v>
      </c>
      <c r="H178" s="1" t="s">
        <v>595</v>
      </c>
    </row>
    <row r="179" customFormat="false" ht="15" hidden="false" customHeight="true" outlineLevel="0" collapsed="false">
      <c r="A179" s="1" t="s">
        <v>448</v>
      </c>
      <c r="B179" s="1" t="s">
        <v>47</v>
      </c>
      <c r="C179" s="1" t="s">
        <v>608</v>
      </c>
      <c r="D179" s="1" t="s">
        <v>287</v>
      </c>
      <c r="E179" s="82" t="n">
        <v>1</v>
      </c>
      <c r="F179" s="26" t="n">
        <v>7780.43</v>
      </c>
      <c r="G179" s="26" t="n">
        <v>7780.43</v>
      </c>
      <c r="H179" s="1" t="s">
        <v>609</v>
      </c>
    </row>
    <row r="180" customFormat="false" ht="15" hidden="false" customHeight="true" outlineLevel="0" collapsed="false">
      <c r="A180" s="1" t="s">
        <v>448</v>
      </c>
      <c r="B180" s="1" t="s">
        <v>47</v>
      </c>
      <c r="C180" s="1" t="s">
        <v>608</v>
      </c>
      <c r="D180" s="1" t="s">
        <v>289</v>
      </c>
      <c r="E180" s="82" t="n">
        <v>1</v>
      </c>
      <c r="F180" s="26" t="n">
        <v>2777.71</v>
      </c>
      <c r="G180" s="26" t="n">
        <v>2777.71</v>
      </c>
      <c r="H180" s="1" t="s">
        <v>610</v>
      </c>
    </row>
    <row r="181" customFormat="false" ht="15" hidden="false" customHeight="true" outlineLevel="0" collapsed="false">
      <c r="A181" s="1" t="s">
        <v>448</v>
      </c>
      <c r="B181" s="1" t="s">
        <v>47</v>
      </c>
      <c r="C181" s="1" t="s">
        <v>608</v>
      </c>
      <c r="D181" s="1" t="s">
        <v>293</v>
      </c>
      <c r="E181" s="82" t="n">
        <v>0</v>
      </c>
      <c r="F181" s="26" t="n">
        <v>0</v>
      </c>
      <c r="G181" s="26" t="n">
        <v>0</v>
      </c>
      <c r="H181" s="1" t="s">
        <v>611</v>
      </c>
    </row>
    <row r="182" customFormat="false" ht="15" hidden="false" customHeight="true" outlineLevel="0" collapsed="false">
      <c r="A182" s="1" t="s">
        <v>448</v>
      </c>
      <c r="B182" s="1" t="s">
        <v>47</v>
      </c>
      <c r="C182" s="1" t="s">
        <v>608</v>
      </c>
      <c r="D182" s="1" t="s">
        <v>290</v>
      </c>
      <c r="E182" s="82" t="n">
        <v>1</v>
      </c>
      <c r="F182" s="26" t="n">
        <v>4438.18</v>
      </c>
      <c r="G182" s="26" t="n">
        <v>4438.18</v>
      </c>
      <c r="H182" s="1" t="s">
        <v>612</v>
      </c>
    </row>
    <row r="183" customFormat="false" ht="15" hidden="false" customHeight="true" outlineLevel="0" collapsed="false">
      <c r="A183" s="1" t="s">
        <v>448</v>
      </c>
      <c r="B183" s="1" t="s">
        <v>47</v>
      </c>
      <c r="C183" s="1" t="s">
        <v>608</v>
      </c>
      <c r="D183" s="1" t="s">
        <v>284</v>
      </c>
      <c r="E183" s="82" t="n">
        <v>1</v>
      </c>
      <c r="F183" s="26" t="n">
        <v>5054.07</v>
      </c>
      <c r="G183" s="26" t="n">
        <v>5054.07</v>
      </c>
      <c r="H183" s="1" t="s">
        <v>613</v>
      </c>
    </row>
    <row r="184" customFormat="false" ht="15" hidden="false" customHeight="true" outlineLevel="0" collapsed="false">
      <c r="A184" s="1" t="s">
        <v>448</v>
      </c>
      <c r="B184" s="1" t="s">
        <v>47</v>
      </c>
      <c r="C184" s="1" t="s">
        <v>608</v>
      </c>
      <c r="D184" s="1" t="s">
        <v>285</v>
      </c>
      <c r="E184" s="82" t="n">
        <v>0</v>
      </c>
      <c r="F184" s="26" t="n">
        <v>0</v>
      </c>
      <c r="G184" s="26" t="n">
        <v>0</v>
      </c>
      <c r="H184" s="1" t="s">
        <v>611</v>
      </c>
    </row>
    <row r="185" customFormat="false" ht="15" hidden="false" customHeight="true" outlineLevel="0" collapsed="false">
      <c r="A185" s="1" t="s">
        <v>448</v>
      </c>
      <c r="B185" s="1" t="s">
        <v>47</v>
      </c>
      <c r="C185" s="1" t="s">
        <v>608</v>
      </c>
      <c r="D185" s="1" t="s">
        <v>282</v>
      </c>
      <c r="E185" s="82" t="n">
        <v>1</v>
      </c>
      <c r="F185" s="26" t="n">
        <v>1379.96</v>
      </c>
      <c r="G185" s="26" t="n">
        <v>1379.96</v>
      </c>
      <c r="H185" s="1" t="s">
        <v>614</v>
      </c>
    </row>
    <row r="186" customFormat="false" ht="15" hidden="false" customHeight="true" outlineLevel="0" collapsed="false">
      <c r="A186" s="1" t="s">
        <v>448</v>
      </c>
      <c r="B186" s="1" t="s">
        <v>85</v>
      </c>
      <c r="C186" s="1" t="s">
        <v>615</v>
      </c>
      <c r="D186" s="1" t="s">
        <v>275</v>
      </c>
      <c r="E186" s="82" t="n">
        <v>1</v>
      </c>
      <c r="F186" s="26" t="n">
        <v>404.4</v>
      </c>
      <c r="G186" s="26" t="n">
        <v>404.4</v>
      </c>
      <c r="H186" s="1" t="s">
        <v>616</v>
      </c>
    </row>
    <row r="187" customFormat="false" ht="15" hidden="false" customHeight="true" outlineLevel="0" collapsed="false">
      <c r="A187" s="1" t="s">
        <v>448</v>
      </c>
      <c r="B187" s="1" t="s">
        <v>85</v>
      </c>
      <c r="C187" s="1" t="s">
        <v>615</v>
      </c>
      <c r="D187" s="1" t="s">
        <v>275</v>
      </c>
      <c r="E187" s="82" t="n">
        <v>139</v>
      </c>
      <c r="F187" s="26" t="n">
        <v>124.1</v>
      </c>
      <c r="G187" s="26" t="n">
        <v>17249.9</v>
      </c>
      <c r="H187" s="1" t="s">
        <v>617</v>
      </c>
    </row>
    <row r="188" customFormat="false" ht="15" hidden="false" customHeight="true" outlineLevel="0" collapsed="false">
      <c r="A188" s="1" t="s">
        <v>448</v>
      </c>
      <c r="B188" s="1" t="s">
        <v>85</v>
      </c>
      <c r="C188" s="1" t="s">
        <v>615</v>
      </c>
      <c r="D188" s="1" t="s">
        <v>287</v>
      </c>
      <c r="E188" s="82" t="n">
        <v>3</v>
      </c>
      <c r="F188" s="26" t="n">
        <v>143.82</v>
      </c>
      <c r="G188" s="26" t="n">
        <v>431.46</v>
      </c>
      <c r="H188" s="1" t="s">
        <v>617</v>
      </c>
    </row>
    <row r="189" customFormat="false" ht="15" hidden="false" customHeight="true" outlineLevel="0" collapsed="false">
      <c r="A189" s="1" t="s">
        <v>448</v>
      </c>
      <c r="B189" s="1" t="s">
        <v>85</v>
      </c>
      <c r="C189" s="1" t="s">
        <v>615</v>
      </c>
      <c r="D189" s="1" t="s">
        <v>289</v>
      </c>
      <c r="E189" s="82" t="n">
        <v>12</v>
      </c>
      <c r="F189" s="26" t="n">
        <v>133.21</v>
      </c>
      <c r="G189" s="26" t="n">
        <v>1598.52</v>
      </c>
      <c r="H189" s="1" t="s">
        <v>617</v>
      </c>
    </row>
    <row r="190" customFormat="false" ht="15" hidden="false" customHeight="true" outlineLevel="0" collapsed="false">
      <c r="A190" s="1" t="s">
        <v>448</v>
      </c>
      <c r="B190" s="1" t="s">
        <v>85</v>
      </c>
      <c r="C190" s="1" t="s">
        <v>615</v>
      </c>
      <c r="D190" s="1" t="s">
        <v>293</v>
      </c>
      <c r="E190" s="82" t="n">
        <v>15</v>
      </c>
      <c r="F190" s="26" t="n">
        <v>151.02</v>
      </c>
      <c r="G190" s="26" t="n">
        <v>2265.3</v>
      </c>
      <c r="H190" s="1" t="s">
        <v>617</v>
      </c>
    </row>
    <row r="191" customFormat="false" ht="15" hidden="false" customHeight="true" outlineLevel="0" collapsed="false">
      <c r="A191" s="1" t="s">
        <v>448</v>
      </c>
      <c r="B191" s="1" t="s">
        <v>85</v>
      </c>
      <c r="C191" s="1" t="s">
        <v>615</v>
      </c>
      <c r="D191" s="1" t="s">
        <v>290</v>
      </c>
      <c r="E191" s="82" t="n">
        <v>20</v>
      </c>
      <c r="F191" s="26" t="n">
        <v>151.92</v>
      </c>
      <c r="G191" s="26" t="n">
        <v>3038.4</v>
      </c>
      <c r="H191" s="1" t="s">
        <v>617</v>
      </c>
    </row>
    <row r="192" customFormat="false" ht="15" hidden="false" customHeight="true" outlineLevel="0" collapsed="false">
      <c r="A192" s="1" t="s">
        <v>448</v>
      </c>
      <c r="B192" s="1" t="s">
        <v>85</v>
      </c>
      <c r="C192" s="1" t="s">
        <v>615</v>
      </c>
      <c r="D192" s="1" t="s">
        <v>284</v>
      </c>
      <c r="E192" s="82" t="n">
        <v>10</v>
      </c>
      <c r="F192" s="26" t="n">
        <v>151.02</v>
      </c>
      <c r="G192" s="26" t="n">
        <v>1510.2</v>
      </c>
      <c r="H192" s="1" t="s">
        <v>617</v>
      </c>
    </row>
    <row r="193" customFormat="false" ht="15" hidden="false" customHeight="true" outlineLevel="0" collapsed="false">
      <c r="A193" s="1" t="s">
        <v>448</v>
      </c>
      <c r="B193" s="1" t="s">
        <v>85</v>
      </c>
      <c r="C193" s="1" t="s">
        <v>615</v>
      </c>
      <c r="D193" s="1" t="s">
        <v>285</v>
      </c>
      <c r="E193" s="82" t="n">
        <v>1</v>
      </c>
      <c r="F193" s="26" t="n">
        <v>143.82</v>
      </c>
      <c r="G193" s="26" t="n">
        <v>143.82</v>
      </c>
      <c r="H193" s="1" t="s">
        <v>617</v>
      </c>
    </row>
    <row r="194" customFormat="false" ht="15" hidden="false" customHeight="true" outlineLevel="0" collapsed="false">
      <c r="A194" s="1" t="s">
        <v>448</v>
      </c>
      <c r="B194" s="1" t="s">
        <v>85</v>
      </c>
      <c r="C194" s="1" t="s">
        <v>615</v>
      </c>
      <c r="D194" s="1" t="s">
        <v>282</v>
      </c>
      <c r="E194" s="82" t="n">
        <v>9</v>
      </c>
      <c r="F194" s="26" t="n">
        <v>123.18</v>
      </c>
      <c r="G194" s="26" t="n">
        <v>1108.62</v>
      </c>
      <c r="H194" s="1" t="s">
        <v>617</v>
      </c>
    </row>
    <row r="195" customFormat="false" ht="15" hidden="false" customHeight="true" outlineLevel="0" collapsed="false">
      <c r="A195" s="1" t="s">
        <v>448</v>
      </c>
      <c r="B195" s="1" t="s">
        <v>32</v>
      </c>
      <c r="C195" s="1" t="s">
        <v>618</v>
      </c>
      <c r="D195" s="1" t="s">
        <v>287</v>
      </c>
      <c r="E195" s="82" t="n">
        <v>1</v>
      </c>
      <c r="F195" s="26" t="n">
        <v>209</v>
      </c>
      <c r="G195" s="26" t="n">
        <v>209</v>
      </c>
      <c r="H195" s="1" t="s">
        <v>619</v>
      </c>
    </row>
    <row r="196" customFormat="false" ht="15" hidden="false" customHeight="true" outlineLevel="0" collapsed="false">
      <c r="A196" s="1" t="s">
        <v>448</v>
      </c>
      <c r="B196" s="1" t="s">
        <v>32</v>
      </c>
      <c r="C196" s="1" t="s">
        <v>620</v>
      </c>
      <c r="D196" s="1" t="s">
        <v>287</v>
      </c>
      <c r="E196" s="82" t="n">
        <v>1</v>
      </c>
      <c r="F196" s="26" t="n">
        <v>419.64</v>
      </c>
      <c r="G196" s="26" t="n">
        <v>419.64</v>
      </c>
      <c r="H196" s="1" t="s">
        <v>621</v>
      </c>
    </row>
    <row r="197" customFormat="false" ht="15" hidden="false" customHeight="true" outlineLevel="0" collapsed="false">
      <c r="A197" s="1" t="s">
        <v>448</v>
      </c>
      <c r="B197" s="1" t="s">
        <v>32</v>
      </c>
      <c r="C197" s="1" t="s">
        <v>618</v>
      </c>
      <c r="D197" s="1" t="s">
        <v>293</v>
      </c>
      <c r="E197" s="82" t="n">
        <v>0</v>
      </c>
      <c r="F197" s="26" t="n">
        <v>0</v>
      </c>
      <c r="G197" s="26" t="n">
        <v>0</v>
      </c>
      <c r="H197" s="1" t="s">
        <v>619</v>
      </c>
    </row>
    <row r="198" customFormat="false" ht="15" hidden="false" customHeight="true" outlineLevel="0" collapsed="false">
      <c r="A198" s="1" t="s">
        <v>448</v>
      </c>
      <c r="B198" s="1" t="s">
        <v>32</v>
      </c>
      <c r="C198" s="1" t="s">
        <v>620</v>
      </c>
      <c r="D198" s="1" t="s">
        <v>293</v>
      </c>
      <c r="E198" s="82" t="n">
        <v>0</v>
      </c>
      <c r="F198" s="26" t="n">
        <v>0</v>
      </c>
      <c r="G198" s="26" t="n">
        <v>0</v>
      </c>
      <c r="H198" s="1" t="s">
        <v>622</v>
      </c>
    </row>
    <row r="199" customFormat="false" ht="15" hidden="false" customHeight="true" outlineLevel="0" collapsed="false">
      <c r="A199" s="1" t="s">
        <v>448</v>
      </c>
      <c r="B199" s="1" t="s">
        <v>32</v>
      </c>
      <c r="C199" s="1" t="s">
        <v>618</v>
      </c>
      <c r="D199" s="1" t="s">
        <v>290</v>
      </c>
      <c r="E199" s="82" t="n">
        <v>1</v>
      </c>
      <c r="F199" s="26" t="n">
        <v>280</v>
      </c>
      <c r="G199" s="26" t="n">
        <v>280</v>
      </c>
      <c r="H199" s="1" t="s">
        <v>619</v>
      </c>
    </row>
    <row r="200" customFormat="false" ht="15" hidden="false" customHeight="true" outlineLevel="0" collapsed="false">
      <c r="A200" s="1" t="s">
        <v>448</v>
      </c>
      <c r="B200" s="1" t="s">
        <v>32</v>
      </c>
      <c r="C200" s="1" t="s">
        <v>618</v>
      </c>
      <c r="D200" s="1" t="s">
        <v>290</v>
      </c>
      <c r="E200" s="82" t="n">
        <v>0</v>
      </c>
      <c r="F200" s="26" t="n">
        <v>0</v>
      </c>
      <c r="G200" s="26" t="n">
        <v>0</v>
      </c>
      <c r="H200" s="1" t="s">
        <v>619</v>
      </c>
    </row>
    <row r="201" customFormat="false" ht="15" hidden="false" customHeight="true" outlineLevel="0" collapsed="false">
      <c r="A201" s="1" t="s">
        <v>448</v>
      </c>
      <c r="B201" s="1" t="s">
        <v>32</v>
      </c>
      <c r="C201" s="1" t="s">
        <v>618</v>
      </c>
      <c r="D201" s="1" t="s">
        <v>284</v>
      </c>
      <c r="E201" s="82" t="n">
        <v>1</v>
      </c>
      <c r="F201" s="26" t="n">
        <v>492</v>
      </c>
      <c r="G201" s="26" t="n">
        <v>492</v>
      </c>
      <c r="H201" s="1" t="s">
        <v>619</v>
      </c>
    </row>
    <row r="202" customFormat="false" ht="15" hidden="false" customHeight="true" outlineLevel="0" collapsed="false">
      <c r="A202" s="1" t="s">
        <v>448</v>
      </c>
      <c r="B202" s="1" t="s">
        <v>32</v>
      </c>
      <c r="C202" s="1" t="s">
        <v>620</v>
      </c>
      <c r="D202" s="1" t="s">
        <v>284</v>
      </c>
      <c r="E202" s="82" t="n">
        <v>1</v>
      </c>
      <c r="F202" s="26" t="n">
        <v>668.79</v>
      </c>
      <c r="G202" s="26" t="n">
        <v>668.79</v>
      </c>
      <c r="H202" s="1" t="s">
        <v>621</v>
      </c>
    </row>
    <row r="203" customFormat="false" ht="15" hidden="false" customHeight="true" outlineLevel="0" collapsed="false">
      <c r="A203" s="1" t="s">
        <v>448</v>
      </c>
      <c r="B203" s="1" t="s">
        <v>32</v>
      </c>
      <c r="C203" s="1" t="s">
        <v>618</v>
      </c>
      <c r="D203" s="1" t="s">
        <v>285</v>
      </c>
      <c r="E203" s="82" t="n">
        <v>0</v>
      </c>
      <c r="F203" s="26" t="n">
        <v>0</v>
      </c>
      <c r="G203" s="26" t="n">
        <v>0</v>
      </c>
      <c r="H203" s="1" t="s">
        <v>619</v>
      </c>
    </row>
    <row r="204" customFormat="false" ht="15" hidden="false" customHeight="true" outlineLevel="0" collapsed="false">
      <c r="A204" s="1" t="s">
        <v>448</v>
      </c>
      <c r="B204" s="1" t="s">
        <v>32</v>
      </c>
      <c r="C204" s="1" t="s">
        <v>618</v>
      </c>
      <c r="D204" s="1" t="s">
        <v>282</v>
      </c>
      <c r="E204" s="82" t="n">
        <v>1</v>
      </c>
      <c r="F204" s="26" t="n">
        <v>204</v>
      </c>
      <c r="G204" s="26" t="n">
        <v>204</v>
      </c>
      <c r="H204" s="1" t="s">
        <v>619</v>
      </c>
    </row>
    <row r="205" customFormat="false" ht="15" hidden="false" customHeight="true" outlineLevel="0" collapsed="false">
      <c r="A205" s="1" t="s">
        <v>448</v>
      </c>
      <c r="B205" s="1" t="s">
        <v>32</v>
      </c>
      <c r="C205" s="1" t="s">
        <v>620</v>
      </c>
      <c r="D205" s="1" t="s">
        <v>282</v>
      </c>
      <c r="E205" s="82" t="n">
        <v>1</v>
      </c>
      <c r="F205" s="26" t="n">
        <v>348.7</v>
      </c>
      <c r="G205" s="26" t="n">
        <v>348.7</v>
      </c>
      <c r="H205" s="1" t="s">
        <v>623</v>
      </c>
    </row>
    <row r="206" customFormat="false" ht="15" hidden="false" customHeight="true" outlineLevel="0" collapsed="false">
      <c r="A206" s="1" t="s">
        <v>448</v>
      </c>
      <c r="B206" s="1" t="s">
        <v>624</v>
      </c>
      <c r="C206" s="1" t="s">
        <v>625</v>
      </c>
      <c r="D206" s="1" t="s">
        <v>289</v>
      </c>
      <c r="E206" s="82" t="n">
        <v>13402</v>
      </c>
      <c r="F206" s="26" t="n">
        <v>2.21459650529971</v>
      </c>
      <c r="G206" s="26" t="n">
        <v>29680.0223640267</v>
      </c>
      <c r="H206" s="1" t="s">
        <v>451</v>
      </c>
    </row>
    <row r="207" customFormat="false" ht="15" hidden="false" customHeight="true" outlineLevel="0" collapsed="false">
      <c r="A207" s="1" t="s">
        <v>448</v>
      </c>
      <c r="B207" s="1" t="s">
        <v>44</v>
      </c>
      <c r="C207" s="1" t="s">
        <v>626</v>
      </c>
      <c r="D207" s="1" t="s">
        <v>287</v>
      </c>
      <c r="E207" s="82" t="n">
        <v>0</v>
      </c>
      <c r="F207" s="26" t="n">
        <v>0</v>
      </c>
      <c r="G207" s="26" t="n">
        <v>0</v>
      </c>
      <c r="H207" s="1" t="s">
        <v>627</v>
      </c>
    </row>
    <row r="208" customFormat="false" ht="15" hidden="false" customHeight="true" outlineLevel="0" collapsed="false">
      <c r="A208" s="1" t="s">
        <v>448</v>
      </c>
      <c r="B208" s="1" t="s">
        <v>44</v>
      </c>
      <c r="C208" s="1" t="s">
        <v>626</v>
      </c>
      <c r="D208" s="1" t="s">
        <v>287</v>
      </c>
      <c r="E208" s="82" t="n">
        <v>1</v>
      </c>
      <c r="F208" s="26" t="n">
        <v>13006.38</v>
      </c>
      <c r="G208" s="26" t="n">
        <v>13006.38</v>
      </c>
      <c r="H208" s="1" t="s">
        <v>628</v>
      </c>
    </row>
    <row r="209" customFormat="false" ht="15" hidden="false" customHeight="true" outlineLevel="0" collapsed="false">
      <c r="A209" s="1" t="s">
        <v>448</v>
      </c>
      <c r="B209" s="1" t="s">
        <v>44</v>
      </c>
      <c r="C209" s="1" t="s">
        <v>626</v>
      </c>
      <c r="D209" s="1" t="s">
        <v>289</v>
      </c>
      <c r="E209" s="82" t="n">
        <v>0</v>
      </c>
      <c r="F209" s="26" t="n">
        <v>0</v>
      </c>
      <c r="G209" s="26" t="n">
        <v>0</v>
      </c>
      <c r="H209" s="1" t="s">
        <v>628</v>
      </c>
    </row>
    <row r="210" customFormat="false" ht="15" hidden="false" customHeight="true" outlineLevel="0" collapsed="false">
      <c r="A210" s="1" t="s">
        <v>448</v>
      </c>
      <c r="B210" s="1" t="s">
        <v>44</v>
      </c>
      <c r="C210" s="1" t="s">
        <v>629</v>
      </c>
      <c r="D210" s="1" t="s">
        <v>289</v>
      </c>
      <c r="E210" s="82" t="n">
        <v>0</v>
      </c>
      <c r="F210" s="26" t="n">
        <v>0</v>
      </c>
      <c r="G210" s="26" t="n">
        <v>0</v>
      </c>
      <c r="H210" s="1" t="s">
        <v>630</v>
      </c>
    </row>
    <row r="211" customFormat="false" ht="15" hidden="false" customHeight="true" outlineLevel="0" collapsed="false">
      <c r="A211" s="1" t="s">
        <v>448</v>
      </c>
      <c r="B211" s="1" t="s">
        <v>44</v>
      </c>
      <c r="C211" s="1" t="s">
        <v>631</v>
      </c>
      <c r="D211" s="1" t="s">
        <v>289</v>
      </c>
      <c r="E211" s="82" t="n">
        <v>0</v>
      </c>
      <c r="F211" s="26" t="n">
        <v>0</v>
      </c>
      <c r="G211" s="26" t="n">
        <v>0</v>
      </c>
      <c r="H211" s="1" t="s">
        <v>632</v>
      </c>
    </row>
    <row r="212" customFormat="false" ht="15" hidden="false" customHeight="true" outlineLevel="0" collapsed="false">
      <c r="A212" s="1" t="s">
        <v>448</v>
      </c>
      <c r="B212" s="1" t="s">
        <v>44</v>
      </c>
      <c r="C212" s="1" t="s">
        <v>633</v>
      </c>
      <c r="D212" s="1" t="s">
        <v>289</v>
      </c>
      <c r="E212" s="82" t="n">
        <v>0</v>
      </c>
      <c r="F212" s="26" t="n">
        <v>0</v>
      </c>
      <c r="G212" s="26" t="n">
        <v>0</v>
      </c>
      <c r="H212" s="1" t="s">
        <v>634</v>
      </c>
    </row>
    <row r="213" customFormat="false" ht="15" hidden="false" customHeight="true" outlineLevel="0" collapsed="false">
      <c r="A213" s="1" t="s">
        <v>448</v>
      </c>
      <c r="B213" s="1" t="s">
        <v>44</v>
      </c>
      <c r="C213" s="1" t="s">
        <v>626</v>
      </c>
      <c r="D213" s="1" t="s">
        <v>293</v>
      </c>
      <c r="E213" s="82" t="n">
        <v>0</v>
      </c>
      <c r="F213" s="26" t="n">
        <v>0</v>
      </c>
      <c r="G213" s="26" t="n">
        <v>0</v>
      </c>
      <c r="H213" s="1" t="s">
        <v>627</v>
      </c>
    </row>
    <row r="214" customFormat="false" ht="15" hidden="false" customHeight="true" outlineLevel="0" collapsed="false">
      <c r="A214" s="1" t="s">
        <v>448</v>
      </c>
      <c r="B214" s="1" t="s">
        <v>44</v>
      </c>
      <c r="C214" s="1" t="s">
        <v>626</v>
      </c>
      <c r="D214" s="1" t="s">
        <v>293</v>
      </c>
      <c r="E214" s="82" t="n">
        <v>1</v>
      </c>
      <c r="F214" s="26" t="n">
        <v>1234.54</v>
      </c>
      <c r="G214" s="26" t="n">
        <v>1234.54</v>
      </c>
      <c r="H214" s="1" t="s">
        <v>628</v>
      </c>
    </row>
    <row r="215" customFormat="false" ht="15" hidden="false" customHeight="true" outlineLevel="0" collapsed="false">
      <c r="A215" s="1" t="s">
        <v>448</v>
      </c>
      <c r="B215" s="1" t="s">
        <v>44</v>
      </c>
      <c r="C215" s="1" t="s">
        <v>635</v>
      </c>
      <c r="D215" s="1" t="s">
        <v>293</v>
      </c>
      <c r="E215" s="82" t="n">
        <v>0</v>
      </c>
      <c r="F215" s="26" t="n">
        <v>0</v>
      </c>
      <c r="G215" s="26" t="n">
        <v>0</v>
      </c>
      <c r="H215" s="1" t="s">
        <v>630</v>
      </c>
    </row>
    <row r="216" customFormat="false" ht="15" hidden="false" customHeight="true" outlineLevel="0" collapsed="false">
      <c r="A216" s="1" t="s">
        <v>448</v>
      </c>
      <c r="B216" s="1" t="s">
        <v>44</v>
      </c>
      <c r="C216" s="1" t="s">
        <v>636</v>
      </c>
      <c r="D216" s="1" t="s">
        <v>293</v>
      </c>
      <c r="E216" s="82" t="n">
        <v>0</v>
      </c>
      <c r="F216" s="26" t="n">
        <v>0</v>
      </c>
      <c r="G216" s="26" t="n">
        <v>0</v>
      </c>
      <c r="H216" s="1" t="s">
        <v>634</v>
      </c>
    </row>
    <row r="217" customFormat="false" ht="15" hidden="false" customHeight="true" outlineLevel="0" collapsed="false">
      <c r="A217" s="1" t="s">
        <v>448</v>
      </c>
      <c r="B217" s="1" t="s">
        <v>44</v>
      </c>
      <c r="C217" s="1" t="s">
        <v>626</v>
      </c>
      <c r="D217" s="1" t="s">
        <v>290</v>
      </c>
      <c r="E217" s="82" t="n">
        <v>-1</v>
      </c>
      <c r="F217" s="26" t="n">
        <v>1580.87</v>
      </c>
      <c r="G217" s="26" t="n">
        <v>-1580.87</v>
      </c>
      <c r="H217" s="1" t="s">
        <v>627</v>
      </c>
    </row>
    <row r="218" customFormat="false" ht="15" hidden="false" customHeight="true" outlineLevel="0" collapsed="false">
      <c r="A218" s="1" t="s">
        <v>448</v>
      </c>
      <c r="B218" s="1" t="s">
        <v>44</v>
      </c>
      <c r="C218" s="1" t="s">
        <v>626</v>
      </c>
      <c r="D218" s="1" t="s">
        <v>290</v>
      </c>
      <c r="E218" s="82" t="n">
        <v>1</v>
      </c>
      <c r="F218" s="26" t="n">
        <v>577</v>
      </c>
      <c r="G218" s="26" t="n">
        <v>577</v>
      </c>
      <c r="H218" s="1" t="s">
        <v>628</v>
      </c>
    </row>
    <row r="219" customFormat="false" ht="15" hidden="false" customHeight="true" outlineLevel="0" collapsed="false">
      <c r="A219" s="1" t="s">
        <v>448</v>
      </c>
      <c r="B219" s="1" t="s">
        <v>44</v>
      </c>
      <c r="C219" s="1" t="s">
        <v>637</v>
      </c>
      <c r="D219" s="1" t="s">
        <v>290</v>
      </c>
      <c r="E219" s="82" t="n">
        <v>0</v>
      </c>
      <c r="F219" s="26" t="n">
        <v>0</v>
      </c>
      <c r="G219" s="26" t="n">
        <v>0</v>
      </c>
      <c r="H219" s="1" t="s">
        <v>630</v>
      </c>
    </row>
    <row r="220" customFormat="false" ht="15" hidden="false" customHeight="true" outlineLevel="0" collapsed="false">
      <c r="A220" s="1" t="s">
        <v>448</v>
      </c>
      <c r="B220" s="1" t="s">
        <v>44</v>
      </c>
      <c r="C220" s="1" t="s">
        <v>638</v>
      </c>
      <c r="D220" s="1" t="s">
        <v>290</v>
      </c>
      <c r="E220" s="82" t="n">
        <v>0</v>
      </c>
      <c r="F220" s="26" t="n">
        <v>0</v>
      </c>
      <c r="G220" s="26" t="n">
        <v>0</v>
      </c>
      <c r="H220" s="1" t="s">
        <v>630</v>
      </c>
    </row>
    <row r="221" customFormat="false" ht="15" hidden="false" customHeight="true" outlineLevel="0" collapsed="false">
      <c r="A221" s="1" t="s">
        <v>448</v>
      </c>
      <c r="B221" s="1" t="s">
        <v>44</v>
      </c>
      <c r="C221" s="1" t="s">
        <v>639</v>
      </c>
      <c r="D221" s="1" t="s">
        <v>290</v>
      </c>
      <c r="E221" s="82" t="n">
        <v>0</v>
      </c>
      <c r="F221" s="26" t="n">
        <v>0</v>
      </c>
      <c r="G221" s="26" t="n">
        <v>0</v>
      </c>
      <c r="H221" s="1" t="s">
        <v>634</v>
      </c>
    </row>
    <row r="222" customFormat="false" ht="15" hidden="false" customHeight="true" outlineLevel="0" collapsed="false">
      <c r="A222" s="1" t="s">
        <v>448</v>
      </c>
      <c r="B222" s="1" t="s">
        <v>44</v>
      </c>
      <c r="C222" s="1" t="s">
        <v>640</v>
      </c>
      <c r="D222" s="1" t="s">
        <v>290</v>
      </c>
      <c r="E222" s="82" t="n">
        <v>0</v>
      </c>
      <c r="F222" s="26" t="n">
        <v>0</v>
      </c>
      <c r="G222" s="26" t="n">
        <v>0</v>
      </c>
      <c r="H222" s="1" t="s">
        <v>634</v>
      </c>
    </row>
    <row r="223" customFormat="false" ht="15" hidden="false" customHeight="true" outlineLevel="0" collapsed="false">
      <c r="A223" s="1" t="s">
        <v>448</v>
      </c>
      <c r="B223" s="1" t="s">
        <v>44</v>
      </c>
      <c r="C223" s="1" t="s">
        <v>626</v>
      </c>
      <c r="D223" s="1" t="s">
        <v>284</v>
      </c>
      <c r="E223" s="82" t="n">
        <v>-1</v>
      </c>
      <c r="F223" s="26" t="n">
        <v>1333.53</v>
      </c>
      <c r="G223" s="26" t="n">
        <v>-1333.53</v>
      </c>
      <c r="H223" s="1" t="s">
        <v>627</v>
      </c>
    </row>
    <row r="224" customFormat="false" ht="15" hidden="false" customHeight="true" outlineLevel="0" collapsed="false">
      <c r="A224" s="1" t="s">
        <v>448</v>
      </c>
      <c r="B224" s="1" t="s">
        <v>44</v>
      </c>
      <c r="C224" s="1" t="s">
        <v>626</v>
      </c>
      <c r="D224" s="1" t="s">
        <v>284</v>
      </c>
      <c r="E224" s="82" t="n">
        <v>1</v>
      </c>
      <c r="F224" s="26" t="n">
        <v>3555.83</v>
      </c>
      <c r="G224" s="26" t="n">
        <v>3555.83</v>
      </c>
      <c r="H224" s="1" t="s">
        <v>628</v>
      </c>
    </row>
    <row r="225" customFormat="false" ht="15" hidden="false" customHeight="true" outlineLevel="0" collapsed="false">
      <c r="A225" s="1" t="s">
        <v>448</v>
      </c>
      <c r="B225" s="1" t="s">
        <v>44</v>
      </c>
      <c r="C225" s="1" t="s">
        <v>638</v>
      </c>
      <c r="D225" s="1" t="s">
        <v>284</v>
      </c>
      <c r="E225" s="82" t="n">
        <v>0</v>
      </c>
      <c r="F225" s="26" t="n">
        <v>0</v>
      </c>
      <c r="G225" s="26" t="n">
        <v>0</v>
      </c>
      <c r="H225" s="1" t="s">
        <v>634</v>
      </c>
    </row>
    <row r="226" customFormat="false" ht="15" hidden="false" customHeight="true" outlineLevel="0" collapsed="false">
      <c r="A226" s="1" t="s">
        <v>448</v>
      </c>
      <c r="B226" s="1" t="s">
        <v>44</v>
      </c>
      <c r="C226" s="1" t="s">
        <v>639</v>
      </c>
      <c r="D226" s="1" t="s">
        <v>284</v>
      </c>
      <c r="E226" s="82" t="n">
        <v>0</v>
      </c>
      <c r="F226" s="26" t="n">
        <v>0</v>
      </c>
      <c r="G226" s="26" t="n">
        <v>0</v>
      </c>
      <c r="H226" s="1" t="s">
        <v>634</v>
      </c>
    </row>
    <row r="227" customFormat="false" ht="15" hidden="false" customHeight="true" outlineLevel="0" collapsed="false">
      <c r="A227" s="1" t="s">
        <v>448</v>
      </c>
      <c r="B227" s="1" t="s">
        <v>44</v>
      </c>
      <c r="C227" s="1" t="s">
        <v>626</v>
      </c>
      <c r="D227" s="1" t="s">
        <v>285</v>
      </c>
      <c r="E227" s="82" t="n">
        <v>1</v>
      </c>
      <c r="F227" s="26" t="n">
        <v>1957.68</v>
      </c>
      <c r="G227" s="26" t="n">
        <v>1957.68</v>
      </c>
      <c r="H227" s="1" t="s">
        <v>628</v>
      </c>
    </row>
    <row r="228" customFormat="false" ht="15" hidden="false" customHeight="true" outlineLevel="0" collapsed="false">
      <c r="A228" s="1" t="s">
        <v>448</v>
      </c>
      <c r="B228" s="1" t="s">
        <v>44</v>
      </c>
      <c r="C228" s="1" t="s">
        <v>626</v>
      </c>
      <c r="D228" s="1" t="s">
        <v>285</v>
      </c>
      <c r="E228" s="82" t="n">
        <v>0</v>
      </c>
      <c r="F228" s="26" t="n">
        <v>0</v>
      </c>
      <c r="G228" s="26" t="n">
        <v>0</v>
      </c>
      <c r="H228" s="1" t="s">
        <v>627</v>
      </c>
    </row>
    <row r="229" customFormat="false" ht="15" hidden="false" customHeight="true" outlineLevel="0" collapsed="false">
      <c r="A229" s="1" t="s">
        <v>448</v>
      </c>
      <c r="B229" s="1" t="s">
        <v>44</v>
      </c>
      <c r="C229" s="1" t="s">
        <v>626</v>
      </c>
      <c r="D229" s="1" t="s">
        <v>282</v>
      </c>
      <c r="E229" s="82" t="n">
        <v>1</v>
      </c>
      <c r="F229" s="26" t="n">
        <v>3624.23</v>
      </c>
      <c r="G229" s="26" t="n">
        <v>3624.23</v>
      </c>
      <c r="H229" s="1" t="s">
        <v>628</v>
      </c>
    </row>
    <row r="230" customFormat="false" ht="15" hidden="false" customHeight="true" outlineLevel="0" collapsed="false">
      <c r="A230" s="1" t="s">
        <v>448</v>
      </c>
      <c r="B230" s="1" t="s">
        <v>44</v>
      </c>
      <c r="C230" s="1" t="s">
        <v>626</v>
      </c>
      <c r="D230" s="1" t="s">
        <v>282</v>
      </c>
      <c r="E230" s="82" t="n">
        <v>-1</v>
      </c>
      <c r="F230" s="26" t="n">
        <v>494.68</v>
      </c>
      <c r="G230" s="26" t="n">
        <v>-494.68</v>
      </c>
      <c r="H230" s="1" t="s">
        <v>627</v>
      </c>
    </row>
    <row r="231" customFormat="false" ht="15" hidden="false" customHeight="true" outlineLevel="0" collapsed="false">
      <c r="A231" s="1" t="s">
        <v>448</v>
      </c>
      <c r="B231" s="1" t="s">
        <v>44</v>
      </c>
      <c r="C231" s="1" t="s">
        <v>641</v>
      </c>
      <c r="D231" s="1" t="s">
        <v>282</v>
      </c>
      <c r="E231" s="82" t="n">
        <v>0</v>
      </c>
      <c r="F231" s="26" t="n">
        <v>0</v>
      </c>
      <c r="G231" s="26" t="n">
        <v>0</v>
      </c>
      <c r="H231" s="1" t="s">
        <v>630</v>
      </c>
    </row>
    <row r="232" customFormat="false" ht="15" hidden="false" customHeight="true" outlineLevel="0" collapsed="false">
      <c r="A232" s="1" t="s">
        <v>448</v>
      </c>
      <c r="B232" s="1" t="s">
        <v>44</v>
      </c>
      <c r="C232" s="1" t="s">
        <v>636</v>
      </c>
      <c r="D232" s="1" t="s">
        <v>282</v>
      </c>
      <c r="E232" s="82" t="n">
        <v>0</v>
      </c>
      <c r="F232" s="26" t="n">
        <v>0</v>
      </c>
      <c r="G232" s="26" t="n">
        <v>0</v>
      </c>
      <c r="H232" s="1" t="s">
        <v>634</v>
      </c>
    </row>
    <row r="233" customFormat="false" ht="15" hidden="false" customHeight="true" outlineLevel="0" collapsed="false">
      <c r="A233" s="1" t="s">
        <v>448</v>
      </c>
      <c r="B233" s="1" t="s">
        <v>87</v>
      </c>
      <c r="C233" s="1" t="s">
        <v>642</v>
      </c>
      <c r="D233" s="1" t="s">
        <v>287</v>
      </c>
      <c r="E233" s="82" t="n">
        <v>2</v>
      </c>
      <c r="F233" s="26" t="n">
        <v>50</v>
      </c>
      <c r="G233" s="26" t="n">
        <v>100</v>
      </c>
      <c r="H233" s="1" t="s">
        <v>643</v>
      </c>
    </row>
    <row r="234" customFormat="false" ht="15" hidden="false" customHeight="true" outlineLevel="0" collapsed="false">
      <c r="A234" s="1" t="s">
        <v>448</v>
      </c>
      <c r="B234" s="1" t="s">
        <v>87</v>
      </c>
      <c r="C234" s="1" t="s">
        <v>642</v>
      </c>
      <c r="D234" s="1" t="s">
        <v>293</v>
      </c>
      <c r="E234" s="82" t="n">
        <v>1</v>
      </c>
      <c r="F234" s="26" t="n">
        <v>10</v>
      </c>
      <c r="G234" s="26" t="n">
        <v>10</v>
      </c>
      <c r="H234" s="1" t="s">
        <v>643</v>
      </c>
    </row>
    <row r="235" customFormat="false" ht="15" hidden="false" customHeight="true" outlineLevel="0" collapsed="false">
      <c r="A235" s="1" t="s">
        <v>448</v>
      </c>
      <c r="B235" s="1" t="s">
        <v>87</v>
      </c>
      <c r="C235" s="1" t="s">
        <v>642</v>
      </c>
      <c r="D235" s="1" t="s">
        <v>290</v>
      </c>
      <c r="E235" s="82" t="n">
        <v>1</v>
      </c>
      <c r="F235" s="26" t="n">
        <v>10</v>
      </c>
      <c r="G235" s="26" t="n">
        <v>10</v>
      </c>
      <c r="H235" s="1" t="s">
        <v>643</v>
      </c>
    </row>
    <row r="236" customFormat="false" ht="15" hidden="false" customHeight="true" outlineLevel="0" collapsed="false">
      <c r="A236" s="1" t="s">
        <v>448</v>
      </c>
      <c r="B236" s="1" t="s">
        <v>87</v>
      </c>
      <c r="C236" s="1" t="s">
        <v>642</v>
      </c>
      <c r="D236" s="1" t="s">
        <v>290</v>
      </c>
      <c r="E236" s="82" t="n">
        <v>5</v>
      </c>
      <c r="F236" s="26" t="n">
        <v>50</v>
      </c>
      <c r="G236" s="26" t="n">
        <v>250</v>
      </c>
      <c r="H236" s="1" t="s">
        <v>643</v>
      </c>
    </row>
    <row r="237" customFormat="false" ht="15" hidden="false" customHeight="true" outlineLevel="0" collapsed="false">
      <c r="A237" s="1" t="s">
        <v>448</v>
      </c>
      <c r="B237" s="1" t="s">
        <v>87</v>
      </c>
      <c r="C237" s="1" t="s">
        <v>642</v>
      </c>
      <c r="D237" s="1" t="s">
        <v>284</v>
      </c>
      <c r="E237" s="82" t="n">
        <v>2</v>
      </c>
      <c r="F237" s="26" t="n">
        <v>50</v>
      </c>
      <c r="G237" s="26" t="n">
        <v>100</v>
      </c>
      <c r="H237" s="1" t="s">
        <v>643</v>
      </c>
    </row>
    <row r="238" customFormat="false" ht="15" hidden="false" customHeight="true" outlineLevel="0" collapsed="false">
      <c r="A238" s="1" t="s">
        <v>448</v>
      </c>
      <c r="B238" s="1" t="s">
        <v>87</v>
      </c>
      <c r="C238" s="1" t="s">
        <v>642</v>
      </c>
      <c r="D238" s="1" t="s">
        <v>285</v>
      </c>
      <c r="E238" s="82" t="n">
        <v>1</v>
      </c>
      <c r="F238" s="26" t="n">
        <v>50</v>
      </c>
      <c r="G238" s="26" t="n">
        <v>50</v>
      </c>
      <c r="H238" s="1" t="s">
        <v>643</v>
      </c>
    </row>
    <row r="239" customFormat="false" ht="15" hidden="false" customHeight="true" outlineLevel="0" collapsed="false">
      <c r="A239" s="1" t="s">
        <v>448</v>
      </c>
      <c r="B239" s="1" t="s">
        <v>87</v>
      </c>
      <c r="C239" s="1" t="s">
        <v>642</v>
      </c>
      <c r="D239" s="1" t="s">
        <v>282</v>
      </c>
      <c r="E239" s="82" t="n">
        <v>1</v>
      </c>
      <c r="F239" s="26" t="n">
        <v>90</v>
      </c>
      <c r="G239" s="26" t="n">
        <v>90</v>
      </c>
      <c r="H239" s="1" t="s">
        <v>643</v>
      </c>
    </row>
    <row r="240" customFormat="false" ht="15" hidden="false" customHeight="true" outlineLevel="0" collapsed="false">
      <c r="A240" s="1" t="s">
        <v>448</v>
      </c>
      <c r="B240" s="1" t="s">
        <v>87</v>
      </c>
      <c r="C240" s="1" t="s">
        <v>642</v>
      </c>
      <c r="D240" s="1" t="s">
        <v>282</v>
      </c>
      <c r="E240" s="82" t="n">
        <v>2</v>
      </c>
      <c r="F240" s="26" t="n">
        <v>10</v>
      </c>
      <c r="G240" s="26" t="n">
        <v>20</v>
      </c>
      <c r="H240" s="1" t="s">
        <v>643</v>
      </c>
    </row>
    <row r="241" customFormat="false" ht="15" hidden="false" customHeight="true" outlineLevel="0" collapsed="false">
      <c r="A241" s="1" t="s">
        <v>448</v>
      </c>
      <c r="B241" s="1" t="s">
        <v>87</v>
      </c>
      <c r="C241" s="1" t="s">
        <v>642</v>
      </c>
      <c r="D241" s="1" t="s">
        <v>282</v>
      </c>
      <c r="E241" s="82" t="n">
        <v>3</v>
      </c>
      <c r="F241" s="26" t="n">
        <v>50</v>
      </c>
      <c r="G241" s="26" t="n">
        <v>150</v>
      </c>
      <c r="H241" s="1" t="s">
        <v>643</v>
      </c>
    </row>
    <row r="242" customFormat="false" ht="15" hidden="false" customHeight="true" outlineLevel="0" collapsed="false">
      <c r="A242" s="1" t="s">
        <v>644</v>
      </c>
      <c r="B242" s="1" t="s">
        <v>449</v>
      </c>
      <c r="C242" s="1" t="s">
        <v>450</v>
      </c>
      <c r="D242" s="1" t="s">
        <v>289</v>
      </c>
      <c r="E242" s="82" t="n">
        <v>13402</v>
      </c>
      <c r="F242" s="26" t="n">
        <v>0.369625478903327</v>
      </c>
      <c r="G242" s="26" t="n">
        <v>4953.72066826238</v>
      </c>
      <c r="H242" s="1" t="s">
        <v>451</v>
      </c>
    </row>
    <row r="243" customFormat="false" ht="15" hidden="false" customHeight="true" outlineLevel="0" collapsed="false">
      <c r="A243" s="1" t="s">
        <v>644</v>
      </c>
      <c r="B243" s="1" t="s">
        <v>452</v>
      </c>
      <c r="C243" s="1" t="s">
        <v>86</v>
      </c>
      <c r="D243" s="1" t="s">
        <v>289</v>
      </c>
      <c r="E243" s="82" t="n">
        <v>13402</v>
      </c>
      <c r="F243" s="26" t="n">
        <v>0.213162125376571</v>
      </c>
      <c r="G243" s="26" t="n">
        <v>2856.7988042968</v>
      </c>
      <c r="H243" s="1" t="s">
        <v>451</v>
      </c>
    </row>
    <row r="244" customFormat="false" ht="15" hidden="false" customHeight="true" outlineLevel="0" collapsed="false">
      <c r="A244" s="1" t="s">
        <v>644</v>
      </c>
      <c r="B244" s="1" t="s">
        <v>453</v>
      </c>
      <c r="C244" s="1" t="s">
        <v>454</v>
      </c>
      <c r="D244" s="1" t="s">
        <v>275</v>
      </c>
      <c r="E244" s="82" t="n">
        <v>1</v>
      </c>
      <c r="F244" s="26" t="n">
        <v>1391.04</v>
      </c>
      <c r="G244" s="26" t="n">
        <v>1391.04</v>
      </c>
      <c r="H244" s="1" t="s">
        <v>645</v>
      </c>
    </row>
    <row r="245" customFormat="false" ht="15" hidden="false" customHeight="true" outlineLevel="0" collapsed="false">
      <c r="A245" s="1" t="s">
        <v>644</v>
      </c>
      <c r="B245" s="1" t="s">
        <v>453</v>
      </c>
      <c r="C245" s="1" t="s">
        <v>456</v>
      </c>
      <c r="D245" s="1" t="s">
        <v>275</v>
      </c>
      <c r="E245" s="82" t="n">
        <v>1</v>
      </c>
      <c r="F245" s="26" t="n">
        <v>6752.06</v>
      </c>
      <c r="G245" s="26" t="n">
        <v>6752.06</v>
      </c>
      <c r="H245" s="1" t="s">
        <v>645</v>
      </c>
    </row>
    <row r="246" customFormat="false" ht="15" hidden="false" customHeight="true" outlineLevel="0" collapsed="false">
      <c r="A246" s="1" t="s">
        <v>644</v>
      </c>
      <c r="B246" s="1" t="s">
        <v>453</v>
      </c>
      <c r="C246" s="1" t="s">
        <v>454</v>
      </c>
      <c r="D246" s="1" t="s">
        <v>287</v>
      </c>
      <c r="E246" s="82" t="n">
        <v>0</v>
      </c>
      <c r="F246" s="26" t="n">
        <v>0</v>
      </c>
      <c r="G246" s="26" t="n">
        <v>0</v>
      </c>
      <c r="H246" s="1" t="s">
        <v>455</v>
      </c>
    </row>
    <row r="247" customFormat="false" ht="15" hidden="false" customHeight="true" outlineLevel="0" collapsed="false">
      <c r="A247" s="1" t="s">
        <v>644</v>
      </c>
      <c r="B247" s="1" t="s">
        <v>453</v>
      </c>
      <c r="C247" s="1" t="s">
        <v>456</v>
      </c>
      <c r="D247" s="1" t="s">
        <v>287</v>
      </c>
      <c r="E247" s="82" t="n">
        <v>1</v>
      </c>
      <c r="F247" s="26" t="n">
        <v>71.25</v>
      </c>
      <c r="G247" s="26" t="n">
        <v>71.25</v>
      </c>
      <c r="H247" s="1" t="s">
        <v>645</v>
      </c>
    </row>
    <row r="248" customFormat="false" ht="15" hidden="false" customHeight="true" outlineLevel="0" collapsed="false">
      <c r="A248" s="1" t="s">
        <v>644</v>
      </c>
      <c r="B248" s="1" t="s">
        <v>453</v>
      </c>
      <c r="C248" s="1" t="s">
        <v>454</v>
      </c>
      <c r="D248" s="1" t="s">
        <v>289</v>
      </c>
      <c r="E248" s="82" t="n">
        <v>0</v>
      </c>
      <c r="F248" s="26" t="n">
        <v>0</v>
      </c>
      <c r="G248" s="26" t="n">
        <v>0</v>
      </c>
      <c r="H248" s="1" t="s">
        <v>458</v>
      </c>
    </row>
    <row r="249" customFormat="false" ht="15" hidden="false" customHeight="true" outlineLevel="0" collapsed="false">
      <c r="A249" s="1" t="s">
        <v>644</v>
      </c>
      <c r="B249" s="1" t="s">
        <v>453</v>
      </c>
      <c r="C249" s="1" t="s">
        <v>459</v>
      </c>
      <c r="D249" s="1" t="s">
        <v>289</v>
      </c>
      <c r="E249" s="82" t="n">
        <v>0</v>
      </c>
      <c r="F249" s="26" t="n">
        <v>0</v>
      </c>
      <c r="G249" s="26" t="n">
        <v>0</v>
      </c>
      <c r="H249" s="1" t="s">
        <v>460</v>
      </c>
    </row>
    <row r="250" customFormat="false" ht="15" hidden="false" customHeight="true" outlineLevel="0" collapsed="false">
      <c r="A250" s="1" t="s">
        <v>644</v>
      </c>
      <c r="B250" s="1" t="s">
        <v>453</v>
      </c>
      <c r="C250" s="1" t="s">
        <v>454</v>
      </c>
      <c r="D250" s="1" t="s">
        <v>293</v>
      </c>
      <c r="E250" s="82" t="n">
        <v>0</v>
      </c>
      <c r="F250" s="26" t="n">
        <v>0</v>
      </c>
      <c r="G250" s="26" t="n">
        <v>0</v>
      </c>
      <c r="H250" s="1" t="s">
        <v>458</v>
      </c>
    </row>
    <row r="251" customFormat="false" ht="15" hidden="false" customHeight="true" outlineLevel="0" collapsed="false">
      <c r="A251" s="1" t="s">
        <v>644</v>
      </c>
      <c r="B251" s="1" t="s">
        <v>453</v>
      </c>
      <c r="C251" s="1" t="s">
        <v>456</v>
      </c>
      <c r="D251" s="1" t="s">
        <v>293</v>
      </c>
      <c r="E251" s="82" t="n">
        <v>1</v>
      </c>
      <c r="F251" s="26" t="n">
        <v>38.5</v>
      </c>
      <c r="G251" s="26" t="n">
        <v>38.5</v>
      </c>
      <c r="H251" s="1" t="s">
        <v>645</v>
      </c>
    </row>
    <row r="252" customFormat="false" ht="15" hidden="false" customHeight="true" outlineLevel="0" collapsed="false">
      <c r="A252" s="1" t="s">
        <v>644</v>
      </c>
      <c r="B252" s="1" t="s">
        <v>453</v>
      </c>
      <c r="C252" s="1" t="s">
        <v>454</v>
      </c>
      <c r="D252" s="1" t="s">
        <v>290</v>
      </c>
      <c r="E252" s="82" t="n">
        <v>0</v>
      </c>
      <c r="F252" s="26" t="n">
        <v>0</v>
      </c>
      <c r="G252" s="26" t="n">
        <v>0</v>
      </c>
      <c r="H252" s="1" t="s">
        <v>455</v>
      </c>
    </row>
    <row r="253" customFormat="false" ht="15" hidden="false" customHeight="true" outlineLevel="0" collapsed="false">
      <c r="A253" s="1" t="s">
        <v>644</v>
      </c>
      <c r="B253" s="1" t="s">
        <v>453</v>
      </c>
      <c r="C253" s="1" t="s">
        <v>456</v>
      </c>
      <c r="D253" s="1" t="s">
        <v>290</v>
      </c>
      <c r="E253" s="82" t="n">
        <v>0</v>
      </c>
      <c r="F253" s="26" t="n">
        <v>0</v>
      </c>
      <c r="G253" s="26" t="n">
        <v>0</v>
      </c>
      <c r="H253" s="1" t="s">
        <v>461</v>
      </c>
    </row>
    <row r="254" customFormat="false" ht="15" hidden="false" customHeight="true" outlineLevel="0" collapsed="false">
      <c r="A254" s="1" t="s">
        <v>644</v>
      </c>
      <c r="B254" s="1" t="s">
        <v>453</v>
      </c>
      <c r="C254" s="1" t="s">
        <v>454</v>
      </c>
      <c r="D254" s="1" t="s">
        <v>284</v>
      </c>
      <c r="E254" s="82" t="n">
        <v>0</v>
      </c>
      <c r="F254" s="26" t="n">
        <v>0</v>
      </c>
      <c r="G254" s="26" t="n">
        <v>0</v>
      </c>
      <c r="H254" s="1" t="s">
        <v>462</v>
      </c>
    </row>
    <row r="255" customFormat="false" ht="15" hidden="false" customHeight="true" outlineLevel="0" collapsed="false">
      <c r="A255" s="1" t="s">
        <v>644</v>
      </c>
      <c r="B255" s="1" t="s">
        <v>453</v>
      </c>
      <c r="C255" s="1" t="s">
        <v>456</v>
      </c>
      <c r="D255" s="1" t="s">
        <v>284</v>
      </c>
      <c r="E255" s="82" t="n">
        <v>1</v>
      </c>
      <c r="F255" s="26" t="n">
        <v>114</v>
      </c>
      <c r="G255" s="26" t="n">
        <v>114</v>
      </c>
      <c r="H255" s="1" t="s">
        <v>645</v>
      </c>
    </row>
    <row r="256" customFormat="false" ht="15" hidden="false" customHeight="true" outlineLevel="0" collapsed="false">
      <c r="A256" s="1" t="s">
        <v>644</v>
      </c>
      <c r="B256" s="1" t="s">
        <v>453</v>
      </c>
      <c r="C256" s="1" t="s">
        <v>456</v>
      </c>
      <c r="D256" s="1" t="s">
        <v>284</v>
      </c>
      <c r="E256" s="82" t="n">
        <v>0</v>
      </c>
      <c r="F256" s="26" t="n">
        <v>0</v>
      </c>
      <c r="G256" s="26" t="n">
        <v>0</v>
      </c>
      <c r="H256" s="1" t="s">
        <v>457</v>
      </c>
    </row>
    <row r="257" customFormat="false" ht="15" hidden="false" customHeight="true" outlineLevel="0" collapsed="false">
      <c r="A257" s="1" t="s">
        <v>644</v>
      </c>
      <c r="B257" s="1" t="s">
        <v>453</v>
      </c>
      <c r="C257" s="1" t="s">
        <v>454</v>
      </c>
      <c r="D257" s="1" t="s">
        <v>285</v>
      </c>
      <c r="E257" s="82" t="n">
        <v>0</v>
      </c>
      <c r="F257" s="26" t="n">
        <v>0</v>
      </c>
      <c r="G257" s="26" t="n">
        <v>0</v>
      </c>
      <c r="H257" s="1" t="s">
        <v>458</v>
      </c>
    </row>
    <row r="258" customFormat="false" ht="15" hidden="false" customHeight="true" outlineLevel="0" collapsed="false">
      <c r="A258" s="1" t="s">
        <v>644</v>
      </c>
      <c r="B258" s="1" t="s">
        <v>78</v>
      </c>
      <c r="C258" s="1" t="s">
        <v>463</v>
      </c>
      <c r="D258" s="1" t="s">
        <v>293</v>
      </c>
      <c r="E258" s="82" t="n">
        <v>3650</v>
      </c>
      <c r="F258" s="26" t="n">
        <v>0.4347261411092</v>
      </c>
      <c r="G258" s="26" t="n">
        <v>1586.750415</v>
      </c>
      <c r="H258" s="1" t="s">
        <v>451</v>
      </c>
    </row>
    <row r="259" customFormat="false" ht="15" hidden="false" customHeight="true" outlineLevel="0" collapsed="false">
      <c r="A259" s="1" t="s">
        <v>644</v>
      </c>
      <c r="B259" s="1" t="s">
        <v>78</v>
      </c>
      <c r="C259" s="1" t="s">
        <v>463</v>
      </c>
      <c r="D259" s="1" t="s">
        <v>290</v>
      </c>
      <c r="E259" s="82" t="n">
        <v>6396</v>
      </c>
      <c r="F259" s="26" t="n">
        <v>0.4347261411092</v>
      </c>
      <c r="G259" s="26" t="n">
        <v>2780.508399</v>
      </c>
      <c r="H259" s="1" t="s">
        <v>451</v>
      </c>
    </row>
    <row r="260" customFormat="false" ht="15" hidden="false" customHeight="true" outlineLevel="0" collapsed="false">
      <c r="A260" s="1" t="s">
        <v>644</v>
      </c>
      <c r="B260" s="1" t="s">
        <v>78</v>
      </c>
      <c r="C260" s="1" t="s">
        <v>463</v>
      </c>
      <c r="D260" s="1" t="s">
        <v>284</v>
      </c>
      <c r="E260" s="82" t="n">
        <v>14331</v>
      </c>
      <c r="F260" s="26" t="n">
        <v>0.4347261411092</v>
      </c>
      <c r="G260" s="26" t="n">
        <v>6230.060328</v>
      </c>
      <c r="H260" s="1" t="s">
        <v>451</v>
      </c>
    </row>
    <row r="261" customFormat="false" ht="15" hidden="false" customHeight="true" outlineLevel="0" collapsed="false">
      <c r="A261" s="1" t="s">
        <v>644</v>
      </c>
      <c r="B261" s="1" t="s">
        <v>78</v>
      </c>
      <c r="C261" s="1" t="s">
        <v>463</v>
      </c>
      <c r="D261" s="1" t="s">
        <v>282</v>
      </c>
      <c r="E261" s="82" t="n">
        <v>4782</v>
      </c>
      <c r="F261" s="26" t="n">
        <v>0.4347261411092</v>
      </c>
      <c r="G261" s="26" t="n">
        <v>2078.860407</v>
      </c>
      <c r="H261" s="1" t="s">
        <v>451</v>
      </c>
    </row>
    <row r="262" customFormat="false" ht="15" hidden="false" customHeight="true" outlineLevel="0" collapsed="false">
      <c r="A262" s="1" t="s">
        <v>644</v>
      </c>
      <c r="B262" s="1" t="s">
        <v>464</v>
      </c>
      <c r="C262" s="1" t="s">
        <v>465</v>
      </c>
      <c r="D262" s="1" t="s">
        <v>275</v>
      </c>
      <c r="E262" s="82" t="n">
        <v>4995</v>
      </c>
      <c r="F262" s="26" t="n">
        <v>1.86</v>
      </c>
      <c r="G262" s="26" t="n">
        <v>9290.7</v>
      </c>
      <c r="H262" s="1" t="s">
        <v>646</v>
      </c>
    </row>
    <row r="263" customFormat="false" ht="15" hidden="false" customHeight="true" outlineLevel="0" collapsed="false">
      <c r="A263" s="1" t="s">
        <v>644</v>
      </c>
      <c r="B263" s="1" t="s">
        <v>464</v>
      </c>
      <c r="C263" s="1" t="s">
        <v>465</v>
      </c>
      <c r="D263" s="1" t="s">
        <v>287</v>
      </c>
      <c r="E263" s="82" t="n">
        <v>305</v>
      </c>
      <c r="F263" s="26" t="n">
        <v>1.86</v>
      </c>
      <c r="G263" s="26" t="n">
        <v>567.3</v>
      </c>
      <c r="H263" s="1" t="s">
        <v>646</v>
      </c>
    </row>
    <row r="264" customFormat="false" ht="15" hidden="false" customHeight="true" outlineLevel="0" collapsed="false">
      <c r="A264" s="1" t="s">
        <v>644</v>
      </c>
      <c r="B264" s="1" t="s">
        <v>464</v>
      </c>
      <c r="C264" s="1" t="s">
        <v>467</v>
      </c>
      <c r="D264" s="1" t="s">
        <v>287</v>
      </c>
      <c r="E264" s="82" t="n">
        <v>2</v>
      </c>
      <c r="F264" s="26" t="n">
        <v>383.56</v>
      </c>
      <c r="G264" s="26" t="n">
        <v>767.12</v>
      </c>
      <c r="H264" s="1" t="s">
        <v>468</v>
      </c>
    </row>
    <row r="265" customFormat="false" ht="15" hidden="false" customHeight="true" outlineLevel="0" collapsed="false">
      <c r="A265" s="1" t="s">
        <v>644</v>
      </c>
      <c r="B265" s="1" t="s">
        <v>464</v>
      </c>
      <c r="C265" s="1" t="s">
        <v>469</v>
      </c>
      <c r="D265" s="1" t="s">
        <v>287</v>
      </c>
      <c r="E265" s="82" t="n">
        <v>0</v>
      </c>
      <c r="F265" s="26" t="n">
        <v>0</v>
      </c>
      <c r="G265" s="26" t="n">
        <v>0</v>
      </c>
      <c r="H265" s="1" t="s">
        <v>470</v>
      </c>
    </row>
    <row r="266" customFormat="false" ht="15" hidden="false" customHeight="true" outlineLevel="0" collapsed="false">
      <c r="A266" s="1" t="s">
        <v>644</v>
      </c>
      <c r="B266" s="1" t="s">
        <v>464</v>
      </c>
      <c r="C266" s="1" t="s">
        <v>471</v>
      </c>
      <c r="D266" s="1" t="s">
        <v>287</v>
      </c>
      <c r="E266" s="82" t="n">
        <v>0</v>
      </c>
      <c r="F266" s="26" t="n">
        <v>0</v>
      </c>
      <c r="G266" s="26" t="n">
        <v>0</v>
      </c>
      <c r="H266" s="1" t="s">
        <v>472</v>
      </c>
    </row>
    <row r="267" customFormat="false" ht="15" hidden="false" customHeight="true" outlineLevel="0" collapsed="false">
      <c r="A267" s="1" t="s">
        <v>644</v>
      </c>
      <c r="B267" s="1" t="s">
        <v>464</v>
      </c>
      <c r="C267" s="1" t="s">
        <v>473</v>
      </c>
      <c r="D267" s="1" t="s">
        <v>287</v>
      </c>
      <c r="E267" s="82" t="n">
        <v>-1</v>
      </c>
      <c r="F267" s="26" t="n">
        <v>774.2</v>
      </c>
      <c r="G267" s="26" t="n">
        <v>-774.2</v>
      </c>
      <c r="H267" s="1" t="s">
        <v>474</v>
      </c>
    </row>
    <row r="268" customFormat="false" ht="15" hidden="false" customHeight="true" outlineLevel="0" collapsed="false">
      <c r="A268" s="1" t="s">
        <v>644</v>
      </c>
      <c r="B268" s="1" t="s">
        <v>464</v>
      </c>
      <c r="C268" s="1" t="s">
        <v>473</v>
      </c>
      <c r="D268" s="1" t="s">
        <v>287</v>
      </c>
      <c r="E268" s="82" t="n">
        <v>-1</v>
      </c>
      <c r="F268" s="26" t="n">
        <v>4167</v>
      </c>
      <c r="G268" s="26" t="n">
        <v>-4167</v>
      </c>
      <c r="H268" s="1" t="s">
        <v>475</v>
      </c>
    </row>
    <row r="269" customFormat="false" ht="15" hidden="false" customHeight="true" outlineLevel="0" collapsed="false">
      <c r="A269" s="1" t="s">
        <v>644</v>
      </c>
      <c r="B269" s="1" t="s">
        <v>464</v>
      </c>
      <c r="C269" s="1" t="s">
        <v>476</v>
      </c>
      <c r="D269" s="1" t="s">
        <v>287</v>
      </c>
      <c r="E269" s="82" t="n">
        <v>3</v>
      </c>
      <c r="F269" s="26" t="n">
        <v>0</v>
      </c>
      <c r="G269" s="26" t="n">
        <v>0</v>
      </c>
      <c r="H269" s="1" t="s">
        <v>477</v>
      </c>
    </row>
    <row r="270" customFormat="false" ht="15" hidden="false" customHeight="true" outlineLevel="0" collapsed="false">
      <c r="A270" s="1" t="s">
        <v>644</v>
      </c>
      <c r="B270" s="1" t="s">
        <v>464</v>
      </c>
      <c r="C270" s="1" t="s">
        <v>478</v>
      </c>
      <c r="D270" s="1" t="s">
        <v>287</v>
      </c>
      <c r="E270" s="82" t="n">
        <v>0</v>
      </c>
      <c r="F270" s="26" t="n">
        <v>0</v>
      </c>
      <c r="G270" s="26" t="n">
        <v>0</v>
      </c>
      <c r="H270" s="1" t="s">
        <v>477</v>
      </c>
    </row>
    <row r="271" customFormat="false" ht="15" hidden="false" customHeight="true" outlineLevel="0" collapsed="false">
      <c r="A271" s="1" t="s">
        <v>644</v>
      </c>
      <c r="B271" s="1" t="s">
        <v>464</v>
      </c>
      <c r="C271" s="1" t="s">
        <v>479</v>
      </c>
      <c r="D271" s="1" t="s">
        <v>287</v>
      </c>
      <c r="E271" s="82" t="n">
        <v>0</v>
      </c>
      <c r="F271" s="26" t="n">
        <v>0</v>
      </c>
      <c r="G271" s="26" t="n">
        <v>0</v>
      </c>
      <c r="H271" s="1" t="s">
        <v>477</v>
      </c>
    </row>
    <row r="272" customFormat="false" ht="15" hidden="false" customHeight="true" outlineLevel="0" collapsed="false">
      <c r="A272" s="1" t="s">
        <v>644</v>
      </c>
      <c r="B272" s="1" t="s">
        <v>464</v>
      </c>
      <c r="C272" s="1" t="s">
        <v>480</v>
      </c>
      <c r="D272" s="1" t="s">
        <v>287</v>
      </c>
      <c r="E272" s="82" t="n">
        <v>5</v>
      </c>
      <c r="F272" s="26" t="n">
        <v>0</v>
      </c>
      <c r="G272" s="26" t="n">
        <v>0</v>
      </c>
      <c r="H272" s="1" t="s">
        <v>477</v>
      </c>
    </row>
    <row r="273" customFormat="false" ht="15" hidden="false" customHeight="true" outlineLevel="0" collapsed="false">
      <c r="A273" s="1" t="s">
        <v>644</v>
      </c>
      <c r="B273" s="1" t="s">
        <v>464</v>
      </c>
      <c r="C273" s="1" t="s">
        <v>481</v>
      </c>
      <c r="D273" s="1" t="s">
        <v>287</v>
      </c>
      <c r="E273" s="82" t="n">
        <v>0</v>
      </c>
      <c r="F273" s="26" t="n">
        <v>0</v>
      </c>
      <c r="G273" s="26" t="n">
        <v>0</v>
      </c>
      <c r="H273" s="1" t="s">
        <v>477</v>
      </c>
    </row>
    <row r="274" customFormat="false" ht="15" hidden="false" customHeight="true" outlineLevel="0" collapsed="false">
      <c r="A274" s="1" t="s">
        <v>644</v>
      </c>
      <c r="B274" s="1" t="s">
        <v>464</v>
      </c>
      <c r="C274" s="1" t="s">
        <v>482</v>
      </c>
      <c r="D274" s="1" t="s">
        <v>289</v>
      </c>
      <c r="E274" s="82" t="n">
        <v>1</v>
      </c>
      <c r="F274" s="26" t="n">
        <v>33.5</v>
      </c>
      <c r="G274" s="26" t="n">
        <v>33.5</v>
      </c>
      <c r="H274" s="1" t="s">
        <v>483</v>
      </c>
    </row>
    <row r="275" customFormat="false" ht="15" hidden="false" customHeight="true" outlineLevel="0" collapsed="false">
      <c r="A275" s="1" t="s">
        <v>644</v>
      </c>
      <c r="B275" s="1" t="s">
        <v>464</v>
      </c>
      <c r="C275" s="1" t="s">
        <v>482</v>
      </c>
      <c r="D275" s="1" t="s">
        <v>289</v>
      </c>
      <c r="E275" s="82" t="n">
        <v>1</v>
      </c>
      <c r="F275" s="26" t="n">
        <v>22</v>
      </c>
      <c r="G275" s="26" t="n">
        <v>22</v>
      </c>
      <c r="H275" s="1" t="s">
        <v>484</v>
      </c>
    </row>
    <row r="276" customFormat="false" ht="15" hidden="false" customHeight="true" outlineLevel="0" collapsed="false">
      <c r="A276" s="1" t="s">
        <v>644</v>
      </c>
      <c r="B276" s="1" t="s">
        <v>464</v>
      </c>
      <c r="C276" s="1" t="s">
        <v>465</v>
      </c>
      <c r="D276" s="1" t="s">
        <v>289</v>
      </c>
      <c r="E276" s="82" t="n">
        <v>322</v>
      </c>
      <c r="F276" s="26" t="n">
        <v>1.86</v>
      </c>
      <c r="G276" s="26" t="n">
        <v>598.92</v>
      </c>
      <c r="H276" s="1" t="s">
        <v>646</v>
      </c>
    </row>
    <row r="277" customFormat="false" ht="15" hidden="false" customHeight="true" outlineLevel="0" collapsed="false">
      <c r="A277" s="1" t="s">
        <v>644</v>
      </c>
      <c r="B277" s="1" t="s">
        <v>464</v>
      </c>
      <c r="C277" s="1" t="s">
        <v>467</v>
      </c>
      <c r="D277" s="1" t="s">
        <v>289</v>
      </c>
      <c r="E277" s="82" t="n">
        <v>5</v>
      </c>
      <c r="F277" s="26" t="n">
        <v>383.56</v>
      </c>
      <c r="G277" s="26" t="n">
        <v>1917.8</v>
      </c>
      <c r="H277" s="1" t="s">
        <v>485</v>
      </c>
    </row>
    <row r="278" customFormat="false" ht="15" hidden="false" customHeight="true" outlineLevel="0" collapsed="false">
      <c r="A278" s="1" t="s">
        <v>644</v>
      </c>
      <c r="B278" s="1" t="s">
        <v>464</v>
      </c>
      <c r="C278" s="1" t="s">
        <v>469</v>
      </c>
      <c r="D278" s="1" t="s">
        <v>289</v>
      </c>
      <c r="E278" s="82" t="n">
        <v>1</v>
      </c>
      <c r="F278" s="26" t="n">
        <v>338.53</v>
      </c>
      <c r="G278" s="26" t="n">
        <v>338.53</v>
      </c>
      <c r="H278" s="1" t="s">
        <v>486</v>
      </c>
    </row>
    <row r="279" customFormat="false" ht="15" hidden="false" customHeight="true" outlineLevel="0" collapsed="false">
      <c r="A279" s="1" t="s">
        <v>644</v>
      </c>
      <c r="B279" s="1" t="s">
        <v>464</v>
      </c>
      <c r="C279" s="1" t="s">
        <v>471</v>
      </c>
      <c r="D279" s="1" t="s">
        <v>289</v>
      </c>
      <c r="E279" s="82" t="n">
        <v>1</v>
      </c>
      <c r="F279" s="26" t="n">
        <v>400.26</v>
      </c>
      <c r="G279" s="26" t="n">
        <v>400.26</v>
      </c>
      <c r="H279" s="1" t="s">
        <v>487</v>
      </c>
    </row>
    <row r="280" customFormat="false" ht="15" hidden="false" customHeight="true" outlineLevel="0" collapsed="false">
      <c r="A280" s="1" t="s">
        <v>644</v>
      </c>
      <c r="B280" s="1" t="s">
        <v>464</v>
      </c>
      <c r="C280" s="1" t="s">
        <v>473</v>
      </c>
      <c r="D280" s="1" t="s">
        <v>289</v>
      </c>
      <c r="E280" s="82" t="n">
        <v>1</v>
      </c>
      <c r="F280" s="26" t="n">
        <v>324</v>
      </c>
      <c r="G280" s="26" t="n">
        <v>324</v>
      </c>
      <c r="H280" s="1" t="s">
        <v>488</v>
      </c>
    </row>
    <row r="281" customFormat="false" ht="15" hidden="false" customHeight="true" outlineLevel="0" collapsed="false">
      <c r="A281" s="1" t="s">
        <v>644</v>
      </c>
      <c r="B281" s="1" t="s">
        <v>464</v>
      </c>
      <c r="C281" s="1" t="s">
        <v>473</v>
      </c>
      <c r="D281" s="1" t="s">
        <v>289</v>
      </c>
      <c r="E281" s="82" t="n">
        <v>64</v>
      </c>
      <c r="F281" s="26" t="n">
        <v>23.15</v>
      </c>
      <c r="G281" s="26" t="n">
        <v>1481.6</v>
      </c>
      <c r="H281" s="1" t="s">
        <v>489</v>
      </c>
    </row>
    <row r="282" customFormat="false" ht="15" hidden="false" customHeight="true" outlineLevel="0" collapsed="false">
      <c r="A282" s="1" t="s">
        <v>644</v>
      </c>
      <c r="B282" s="1" t="s">
        <v>464</v>
      </c>
      <c r="C282" s="1" t="s">
        <v>490</v>
      </c>
      <c r="D282" s="1" t="s">
        <v>289</v>
      </c>
      <c r="E282" s="82" t="n">
        <v>3</v>
      </c>
      <c r="F282" s="26" t="n">
        <v>0</v>
      </c>
      <c r="G282" s="26" t="n">
        <v>0</v>
      </c>
      <c r="H282" s="1" t="s">
        <v>477</v>
      </c>
    </row>
    <row r="283" customFormat="false" ht="15" hidden="false" customHeight="true" outlineLevel="0" collapsed="false">
      <c r="A283" s="1" t="s">
        <v>644</v>
      </c>
      <c r="B283" s="1" t="s">
        <v>464</v>
      </c>
      <c r="C283" s="1" t="s">
        <v>478</v>
      </c>
      <c r="D283" s="1" t="s">
        <v>289</v>
      </c>
      <c r="E283" s="82" t="n">
        <v>1</v>
      </c>
      <c r="F283" s="26" t="n">
        <v>0</v>
      </c>
      <c r="G283" s="26" t="n">
        <v>0</v>
      </c>
      <c r="H283" s="1" t="s">
        <v>477</v>
      </c>
    </row>
    <row r="284" customFormat="false" ht="15" hidden="false" customHeight="true" outlineLevel="0" collapsed="false">
      <c r="A284" s="1" t="s">
        <v>644</v>
      </c>
      <c r="B284" s="1" t="s">
        <v>464</v>
      </c>
      <c r="C284" s="1" t="s">
        <v>491</v>
      </c>
      <c r="D284" s="1" t="s">
        <v>289</v>
      </c>
      <c r="E284" s="82" t="n">
        <v>0</v>
      </c>
      <c r="F284" s="26" t="n">
        <v>0</v>
      </c>
      <c r="G284" s="26" t="n">
        <v>0</v>
      </c>
      <c r="H284" s="1" t="s">
        <v>477</v>
      </c>
    </row>
    <row r="285" customFormat="false" ht="15" hidden="false" customHeight="true" outlineLevel="0" collapsed="false">
      <c r="A285" s="1" t="s">
        <v>644</v>
      </c>
      <c r="B285" s="1" t="s">
        <v>464</v>
      </c>
      <c r="C285" s="1" t="s">
        <v>492</v>
      </c>
      <c r="D285" s="1" t="s">
        <v>289</v>
      </c>
      <c r="E285" s="82" t="n">
        <v>2</v>
      </c>
      <c r="F285" s="26" t="n">
        <v>0</v>
      </c>
      <c r="G285" s="26" t="n">
        <v>0</v>
      </c>
      <c r="H285" s="1" t="s">
        <v>477</v>
      </c>
    </row>
    <row r="286" customFormat="false" ht="15" hidden="false" customHeight="true" outlineLevel="0" collapsed="false">
      <c r="A286" s="1" t="s">
        <v>644</v>
      </c>
      <c r="B286" s="1" t="s">
        <v>464</v>
      </c>
      <c r="C286" s="1" t="s">
        <v>493</v>
      </c>
      <c r="D286" s="1" t="s">
        <v>289</v>
      </c>
      <c r="E286" s="82" t="n">
        <v>5</v>
      </c>
      <c r="F286" s="26" t="n">
        <v>0</v>
      </c>
      <c r="G286" s="26" t="n">
        <v>0</v>
      </c>
      <c r="H286" s="1" t="s">
        <v>477</v>
      </c>
    </row>
    <row r="287" customFormat="false" ht="15" hidden="false" customHeight="true" outlineLevel="0" collapsed="false">
      <c r="A287" s="1" t="s">
        <v>644</v>
      </c>
      <c r="B287" s="1" t="s">
        <v>464</v>
      </c>
      <c r="C287" s="1" t="s">
        <v>494</v>
      </c>
      <c r="D287" s="1" t="s">
        <v>289</v>
      </c>
      <c r="E287" s="82" t="n">
        <v>0</v>
      </c>
      <c r="F287" s="26" t="n">
        <v>0</v>
      </c>
      <c r="G287" s="26" t="n">
        <v>0</v>
      </c>
      <c r="H287" s="1" t="s">
        <v>477</v>
      </c>
    </row>
    <row r="288" customFormat="false" ht="15" hidden="false" customHeight="true" outlineLevel="0" collapsed="false">
      <c r="A288" s="1" t="s">
        <v>644</v>
      </c>
      <c r="B288" s="1" t="s">
        <v>464</v>
      </c>
      <c r="C288" s="1" t="s">
        <v>465</v>
      </c>
      <c r="D288" s="1" t="s">
        <v>293</v>
      </c>
      <c r="E288" s="82" t="n">
        <v>240</v>
      </c>
      <c r="F288" s="26" t="n">
        <v>1.86</v>
      </c>
      <c r="G288" s="26" t="n">
        <v>446.4</v>
      </c>
      <c r="H288" s="1" t="s">
        <v>646</v>
      </c>
    </row>
    <row r="289" customFormat="false" ht="15" hidden="false" customHeight="true" outlineLevel="0" collapsed="false">
      <c r="A289" s="1" t="s">
        <v>644</v>
      </c>
      <c r="B289" s="1" t="s">
        <v>464</v>
      </c>
      <c r="C289" s="1" t="s">
        <v>467</v>
      </c>
      <c r="D289" s="1" t="s">
        <v>293</v>
      </c>
      <c r="E289" s="82" t="n">
        <v>0</v>
      </c>
      <c r="F289" s="26" t="n">
        <v>0</v>
      </c>
      <c r="G289" s="26" t="n">
        <v>0</v>
      </c>
      <c r="H289" s="1" t="s">
        <v>468</v>
      </c>
    </row>
    <row r="290" customFormat="false" ht="15" hidden="false" customHeight="true" outlineLevel="0" collapsed="false">
      <c r="A290" s="1" t="s">
        <v>644</v>
      </c>
      <c r="B290" s="1" t="s">
        <v>464</v>
      </c>
      <c r="C290" s="1" t="s">
        <v>469</v>
      </c>
      <c r="D290" s="1" t="s">
        <v>293</v>
      </c>
      <c r="E290" s="82" t="n">
        <v>2</v>
      </c>
      <c r="F290" s="26" t="n">
        <v>338.53</v>
      </c>
      <c r="G290" s="26" t="n">
        <v>677.06</v>
      </c>
      <c r="H290" s="1" t="s">
        <v>468</v>
      </c>
    </row>
    <row r="291" customFormat="false" ht="15" hidden="false" customHeight="true" outlineLevel="0" collapsed="false">
      <c r="A291" s="1" t="s">
        <v>644</v>
      </c>
      <c r="B291" s="1" t="s">
        <v>464</v>
      </c>
      <c r="C291" s="1" t="s">
        <v>471</v>
      </c>
      <c r="D291" s="1" t="s">
        <v>293</v>
      </c>
      <c r="E291" s="82" t="n">
        <v>0</v>
      </c>
      <c r="F291" s="26" t="n">
        <v>0</v>
      </c>
      <c r="G291" s="26" t="n">
        <v>0</v>
      </c>
      <c r="H291" s="1" t="s">
        <v>495</v>
      </c>
    </row>
    <row r="292" customFormat="false" ht="15" hidden="false" customHeight="true" outlineLevel="0" collapsed="false">
      <c r="A292" s="1" t="s">
        <v>644</v>
      </c>
      <c r="B292" s="1" t="s">
        <v>464</v>
      </c>
      <c r="C292" s="1" t="s">
        <v>478</v>
      </c>
      <c r="D292" s="1" t="s">
        <v>293</v>
      </c>
      <c r="E292" s="82" t="n">
        <v>1</v>
      </c>
      <c r="F292" s="26" t="n">
        <v>0</v>
      </c>
      <c r="G292" s="26" t="n">
        <v>0</v>
      </c>
      <c r="H292" s="1" t="s">
        <v>477</v>
      </c>
    </row>
    <row r="293" customFormat="false" ht="15" hidden="false" customHeight="true" outlineLevel="0" collapsed="false">
      <c r="A293" s="1" t="s">
        <v>644</v>
      </c>
      <c r="B293" s="1" t="s">
        <v>464</v>
      </c>
      <c r="C293" s="1" t="s">
        <v>496</v>
      </c>
      <c r="D293" s="1" t="s">
        <v>293</v>
      </c>
      <c r="E293" s="82" t="n">
        <v>3</v>
      </c>
      <c r="F293" s="26" t="n">
        <v>0</v>
      </c>
      <c r="G293" s="26" t="n">
        <v>0</v>
      </c>
      <c r="H293" s="1" t="s">
        <v>477</v>
      </c>
    </row>
    <row r="294" customFormat="false" ht="15" hidden="false" customHeight="true" outlineLevel="0" collapsed="false">
      <c r="A294" s="1" t="s">
        <v>644</v>
      </c>
      <c r="B294" s="1" t="s">
        <v>464</v>
      </c>
      <c r="C294" s="1" t="s">
        <v>497</v>
      </c>
      <c r="D294" s="1" t="s">
        <v>293</v>
      </c>
      <c r="E294" s="82" t="n">
        <v>0</v>
      </c>
      <c r="F294" s="26" t="n">
        <v>0</v>
      </c>
      <c r="G294" s="26" t="n">
        <v>0</v>
      </c>
      <c r="H294" s="1" t="s">
        <v>477</v>
      </c>
    </row>
    <row r="295" customFormat="false" ht="15" hidden="false" customHeight="true" outlineLevel="0" collapsed="false">
      <c r="A295" s="1" t="s">
        <v>644</v>
      </c>
      <c r="B295" s="1" t="s">
        <v>464</v>
      </c>
      <c r="C295" s="1" t="s">
        <v>498</v>
      </c>
      <c r="D295" s="1" t="s">
        <v>293</v>
      </c>
      <c r="E295" s="82" t="n">
        <v>0</v>
      </c>
      <c r="F295" s="26" t="n">
        <v>0</v>
      </c>
      <c r="G295" s="26" t="n">
        <v>0</v>
      </c>
      <c r="H295" s="1" t="s">
        <v>477</v>
      </c>
    </row>
    <row r="296" customFormat="false" ht="15" hidden="false" customHeight="true" outlineLevel="0" collapsed="false">
      <c r="A296" s="1" t="s">
        <v>644</v>
      </c>
      <c r="B296" s="1" t="s">
        <v>464</v>
      </c>
      <c r="C296" s="1" t="s">
        <v>465</v>
      </c>
      <c r="D296" s="1" t="s">
        <v>290</v>
      </c>
      <c r="E296" s="82" t="n">
        <v>679</v>
      </c>
      <c r="F296" s="26" t="n">
        <v>1.86</v>
      </c>
      <c r="G296" s="26" t="n">
        <v>1262.94</v>
      </c>
      <c r="H296" s="1" t="s">
        <v>646</v>
      </c>
    </row>
    <row r="297" customFormat="false" ht="15" hidden="false" customHeight="true" outlineLevel="0" collapsed="false">
      <c r="A297" s="1" t="s">
        <v>644</v>
      </c>
      <c r="B297" s="1" t="s">
        <v>464</v>
      </c>
      <c r="C297" s="1" t="s">
        <v>467</v>
      </c>
      <c r="D297" s="1" t="s">
        <v>290</v>
      </c>
      <c r="E297" s="82" t="n">
        <v>4</v>
      </c>
      <c r="F297" s="26" t="n">
        <v>383.56</v>
      </c>
      <c r="G297" s="26" t="n">
        <v>1534.24</v>
      </c>
      <c r="H297" s="1" t="s">
        <v>499</v>
      </c>
    </row>
    <row r="298" customFormat="false" ht="15" hidden="false" customHeight="true" outlineLevel="0" collapsed="false">
      <c r="A298" s="1" t="s">
        <v>644</v>
      </c>
      <c r="B298" s="1" t="s">
        <v>464</v>
      </c>
      <c r="C298" s="1" t="s">
        <v>469</v>
      </c>
      <c r="D298" s="1" t="s">
        <v>290</v>
      </c>
      <c r="E298" s="82" t="n">
        <v>4</v>
      </c>
      <c r="F298" s="26" t="n">
        <v>338.53</v>
      </c>
      <c r="G298" s="26" t="n">
        <v>1354.12</v>
      </c>
      <c r="H298" s="1" t="s">
        <v>500</v>
      </c>
    </row>
    <row r="299" customFormat="false" ht="15" hidden="false" customHeight="true" outlineLevel="0" collapsed="false">
      <c r="A299" s="1" t="s">
        <v>644</v>
      </c>
      <c r="B299" s="1" t="s">
        <v>464</v>
      </c>
      <c r="C299" s="1" t="s">
        <v>471</v>
      </c>
      <c r="D299" s="1" t="s">
        <v>290</v>
      </c>
      <c r="E299" s="82" t="n">
        <v>2</v>
      </c>
      <c r="F299" s="26" t="n">
        <v>400.26</v>
      </c>
      <c r="G299" s="26" t="n">
        <v>800.52</v>
      </c>
      <c r="H299" s="1" t="s">
        <v>501</v>
      </c>
    </row>
    <row r="300" customFormat="false" ht="15" hidden="false" customHeight="true" outlineLevel="0" collapsed="false">
      <c r="A300" s="1" t="s">
        <v>644</v>
      </c>
      <c r="B300" s="1" t="s">
        <v>464</v>
      </c>
      <c r="C300" s="1" t="s">
        <v>473</v>
      </c>
      <c r="D300" s="1" t="s">
        <v>290</v>
      </c>
      <c r="E300" s="82" t="n">
        <v>1</v>
      </c>
      <c r="F300" s="26" t="n">
        <v>448</v>
      </c>
      <c r="G300" s="26" t="n">
        <v>448</v>
      </c>
      <c r="H300" s="1" t="s">
        <v>502</v>
      </c>
    </row>
    <row r="301" customFormat="false" ht="15" hidden="false" customHeight="true" outlineLevel="0" collapsed="false">
      <c r="A301" s="1" t="s">
        <v>644</v>
      </c>
      <c r="B301" s="1" t="s">
        <v>464</v>
      </c>
      <c r="C301" s="1" t="s">
        <v>473</v>
      </c>
      <c r="D301" s="1" t="s">
        <v>290</v>
      </c>
      <c r="E301" s="82" t="n">
        <v>116</v>
      </c>
      <c r="F301" s="26" t="n">
        <v>23.15</v>
      </c>
      <c r="G301" s="26" t="n">
        <v>2685.4</v>
      </c>
      <c r="H301" s="1" t="s">
        <v>503</v>
      </c>
    </row>
    <row r="302" customFormat="false" ht="15" hidden="false" customHeight="true" outlineLevel="0" collapsed="false">
      <c r="A302" s="1" t="s">
        <v>644</v>
      </c>
      <c r="B302" s="1" t="s">
        <v>464</v>
      </c>
      <c r="C302" s="1" t="s">
        <v>504</v>
      </c>
      <c r="D302" s="1" t="s">
        <v>290</v>
      </c>
      <c r="E302" s="82" t="n">
        <v>2</v>
      </c>
      <c r="F302" s="26" t="n">
        <v>0</v>
      </c>
      <c r="G302" s="26" t="n">
        <v>0</v>
      </c>
      <c r="H302" s="1" t="s">
        <v>477</v>
      </c>
    </row>
    <row r="303" customFormat="false" ht="15" hidden="false" customHeight="true" outlineLevel="0" collapsed="false">
      <c r="A303" s="1" t="s">
        <v>644</v>
      </c>
      <c r="B303" s="1" t="s">
        <v>464</v>
      </c>
      <c r="C303" s="1" t="s">
        <v>505</v>
      </c>
      <c r="D303" s="1" t="s">
        <v>290</v>
      </c>
      <c r="E303" s="82" t="n">
        <v>0</v>
      </c>
      <c r="F303" s="26" t="n">
        <v>0</v>
      </c>
      <c r="G303" s="26" t="n">
        <v>0</v>
      </c>
      <c r="H303" s="1" t="s">
        <v>477</v>
      </c>
    </row>
    <row r="304" customFormat="false" ht="15" hidden="false" customHeight="true" outlineLevel="0" collapsed="false">
      <c r="A304" s="1" t="s">
        <v>644</v>
      </c>
      <c r="B304" s="1" t="s">
        <v>464</v>
      </c>
      <c r="C304" s="1" t="s">
        <v>506</v>
      </c>
      <c r="D304" s="1" t="s">
        <v>290</v>
      </c>
      <c r="E304" s="82" t="n">
        <v>0</v>
      </c>
      <c r="F304" s="26" t="n">
        <v>0</v>
      </c>
      <c r="G304" s="26" t="n">
        <v>0</v>
      </c>
      <c r="H304" s="1" t="s">
        <v>477</v>
      </c>
    </row>
    <row r="305" customFormat="false" ht="15" hidden="false" customHeight="true" outlineLevel="0" collapsed="false">
      <c r="A305" s="1" t="s">
        <v>644</v>
      </c>
      <c r="B305" s="1" t="s">
        <v>464</v>
      </c>
      <c r="C305" s="1" t="s">
        <v>507</v>
      </c>
      <c r="D305" s="1" t="s">
        <v>290</v>
      </c>
      <c r="E305" s="82" t="n">
        <v>0</v>
      </c>
      <c r="F305" s="26" t="n">
        <v>0</v>
      </c>
      <c r="G305" s="26" t="n">
        <v>0</v>
      </c>
      <c r="H305" s="1" t="s">
        <v>477</v>
      </c>
    </row>
    <row r="306" customFormat="false" ht="15" hidden="false" customHeight="true" outlineLevel="0" collapsed="false">
      <c r="A306" s="1" t="s">
        <v>644</v>
      </c>
      <c r="B306" s="1" t="s">
        <v>464</v>
      </c>
      <c r="C306" s="1" t="s">
        <v>465</v>
      </c>
      <c r="D306" s="1" t="s">
        <v>284</v>
      </c>
      <c r="E306" s="82" t="n">
        <v>508</v>
      </c>
      <c r="F306" s="26" t="n">
        <v>1.86</v>
      </c>
      <c r="G306" s="26" t="n">
        <v>944.88</v>
      </c>
      <c r="H306" s="1" t="s">
        <v>646</v>
      </c>
    </row>
    <row r="307" customFormat="false" ht="15" hidden="false" customHeight="true" outlineLevel="0" collapsed="false">
      <c r="A307" s="1" t="s">
        <v>644</v>
      </c>
      <c r="B307" s="1" t="s">
        <v>464</v>
      </c>
      <c r="C307" s="1" t="s">
        <v>467</v>
      </c>
      <c r="D307" s="1" t="s">
        <v>284</v>
      </c>
      <c r="E307" s="82" t="n">
        <v>1</v>
      </c>
      <c r="F307" s="26" t="n">
        <v>383.56</v>
      </c>
      <c r="G307" s="26" t="n">
        <v>383.56</v>
      </c>
      <c r="H307" s="1" t="s">
        <v>508</v>
      </c>
    </row>
    <row r="308" customFormat="false" ht="15" hidden="false" customHeight="true" outlineLevel="0" collapsed="false">
      <c r="A308" s="1" t="s">
        <v>644</v>
      </c>
      <c r="B308" s="1" t="s">
        <v>464</v>
      </c>
      <c r="C308" s="1" t="s">
        <v>469</v>
      </c>
      <c r="D308" s="1" t="s">
        <v>284</v>
      </c>
      <c r="E308" s="82" t="n">
        <v>4</v>
      </c>
      <c r="F308" s="26" t="n">
        <v>338.53</v>
      </c>
      <c r="G308" s="26" t="n">
        <v>1354.12</v>
      </c>
      <c r="H308" s="1" t="s">
        <v>509</v>
      </c>
    </row>
    <row r="309" customFormat="false" ht="15" hidden="false" customHeight="true" outlineLevel="0" collapsed="false">
      <c r="A309" s="1" t="s">
        <v>644</v>
      </c>
      <c r="B309" s="1" t="s">
        <v>464</v>
      </c>
      <c r="C309" s="1" t="s">
        <v>471</v>
      </c>
      <c r="D309" s="1" t="s">
        <v>284</v>
      </c>
      <c r="E309" s="82" t="n">
        <v>1</v>
      </c>
      <c r="F309" s="26" t="n">
        <v>400.26</v>
      </c>
      <c r="G309" s="26" t="n">
        <v>400.26</v>
      </c>
      <c r="H309" s="1" t="s">
        <v>510</v>
      </c>
    </row>
    <row r="310" customFormat="false" ht="15" hidden="false" customHeight="true" outlineLevel="0" collapsed="false">
      <c r="A310" s="1" t="s">
        <v>644</v>
      </c>
      <c r="B310" s="1" t="s">
        <v>464</v>
      </c>
      <c r="C310" s="1" t="s">
        <v>511</v>
      </c>
      <c r="D310" s="1" t="s">
        <v>284</v>
      </c>
      <c r="E310" s="82" t="n">
        <v>1</v>
      </c>
      <c r="F310" s="26" t="n">
        <v>443</v>
      </c>
      <c r="G310" s="26" t="n">
        <v>443</v>
      </c>
      <c r="H310" s="1" t="s">
        <v>512</v>
      </c>
    </row>
    <row r="311" customFormat="false" ht="15" hidden="false" customHeight="true" outlineLevel="0" collapsed="false">
      <c r="A311" s="1" t="s">
        <v>644</v>
      </c>
      <c r="B311" s="1" t="s">
        <v>464</v>
      </c>
      <c r="C311" s="1" t="s">
        <v>511</v>
      </c>
      <c r="D311" s="1" t="s">
        <v>284</v>
      </c>
      <c r="E311" s="82" t="n">
        <v>182</v>
      </c>
      <c r="F311" s="26" t="n">
        <v>12.34</v>
      </c>
      <c r="G311" s="26" t="n">
        <v>2245.88</v>
      </c>
      <c r="H311" s="1" t="s">
        <v>489</v>
      </c>
    </row>
    <row r="312" customFormat="false" ht="15" hidden="false" customHeight="true" outlineLevel="0" collapsed="false">
      <c r="A312" s="1" t="s">
        <v>644</v>
      </c>
      <c r="B312" s="1" t="s">
        <v>464</v>
      </c>
      <c r="C312" s="1" t="s">
        <v>478</v>
      </c>
      <c r="D312" s="1" t="s">
        <v>284</v>
      </c>
      <c r="E312" s="82" t="n">
        <v>15</v>
      </c>
      <c r="F312" s="26" t="n">
        <v>0</v>
      </c>
      <c r="G312" s="26" t="n">
        <v>0</v>
      </c>
      <c r="H312" s="1" t="s">
        <v>477</v>
      </c>
    </row>
    <row r="313" customFormat="false" ht="15" hidden="false" customHeight="true" outlineLevel="0" collapsed="false">
      <c r="A313" s="1" t="s">
        <v>644</v>
      </c>
      <c r="B313" s="1" t="s">
        <v>464</v>
      </c>
      <c r="C313" s="1" t="s">
        <v>513</v>
      </c>
      <c r="D313" s="1" t="s">
        <v>284</v>
      </c>
      <c r="E313" s="82" t="n">
        <v>0</v>
      </c>
      <c r="F313" s="26" t="n">
        <v>0</v>
      </c>
      <c r="G313" s="26" t="n">
        <v>0</v>
      </c>
      <c r="H313" s="1" t="s">
        <v>477</v>
      </c>
    </row>
    <row r="314" customFormat="false" ht="15" hidden="false" customHeight="true" outlineLevel="0" collapsed="false">
      <c r="A314" s="1" t="s">
        <v>644</v>
      </c>
      <c r="B314" s="1" t="s">
        <v>464</v>
      </c>
      <c r="C314" s="1" t="s">
        <v>514</v>
      </c>
      <c r="D314" s="1" t="s">
        <v>284</v>
      </c>
      <c r="E314" s="82" t="n">
        <v>0</v>
      </c>
      <c r="F314" s="26" t="n">
        <v>0</v>
      </c>
      <c r="G314" s="26" t="n">
        <v>0</v>
      </c>
      <c r="H314" s="1" t="s">
        <v>477</v>
      </c>
    </row>
    <row r="315" customFormat="false" ht="15" hidden="false" customHeight="true" outlineLevel="0" collapsed="false">
      <c r="A315" s="1" t="s">
        <v>644</v>
      </c>
      <c r="B315" s="1" t="s">
        <v>464</v>
      </c>
      <c r="C315" s="1" t="s">
        <v>515</v>
      </c>
      <c r="D315" s="1" t="s">
        <v>284</v>
      </c>
      <c r="E315" s="82" t="n">
        <v>0</v>
      </c>
      <c r="F315" s="26" t="n">
        <v>0</v>
      </c>
      <c r="G315" s="26" t="n">
        <v>0</v>
      </c>
      <c r="H315" s="1" t="s">
        <v>477</v>
      </c>
    </row>
    <row r="316" customFormat="false" ht="15" hidden="false" customHeight="true" outlineLevel="0" collapsed="false">
      <c r="A316" s="1" t="s">
        <v>644</v>
      </c>
      <c r="B316" s="1" t="s">
        <v>464</v>
      </c>
      <c r="C316" s="1" t="s">
        <v>465</v>
      </c>
      <c r="D316" s="1" t="s">
        <v>285</v>
      </c>
      <c r="E316" s="82" t="n">
        <v>111</v>
      </c>
      <c r="F316" s="26" t="n">
        <v>1.86</v>
      </c>
      <c r="G316" s="26" t="n">
        <v>206.46</v>
      </c>
      <c r="H316" s="1" t="s">
        <v>646</v>
      </c>
    </row>
    <row r="317" customFormat="false" ht="15" hidden="false" customHeight="true" outlineLevel="0" collapsed="false">
      <c r="A317" s="1" t="s">
        <v>644</v>
      </c>
      <c r="B317" s="1" t="s">
        <v>464</v>
      </c>
      <c r="C317" s="1" t="s">
        <v>467</v>
      </c>
      <c r="D317" s="1" t="s">
        <v>285</v>
      </c>
      <c r="E317" s="82" t="n">
        <v>1</v>
      </c>
      <c r="F317" s="26" t="n">
        <v>383.56</v>
      </c>
      <c r="G317" s="26" t="n">
        <v>383.56</v>
      </c>
      <c r="H317" s="1" t="s">
        <v>516</v>
      </c>
    </row>
    <row r="318" customFormat="false" ht="15" hidden="false" customHeight="true" outlineLevel="0" collapsed="false">
      <c r="A318" s="1" t="s">
        <v>644</v>
      </c>
      <c r="B318" s="1" t="s">
        <v>464</v>
      </c>
      <c r="C318" s="1" t="s">
        <v>469</v>
      </c>
      <c r="D318" s="1" t="s">
        <v>285</v>
      </c>
      <c r="E318" s="82" t="n">
        <v>0</v>
      </c>
      <c r="F318" s="26" t="n">
        <v>0</v>
      </c>
      <c r="G318" s="26" t="n">
        <v>0</v>
      </c>
      <c r="H318" s="1" t="s">
        <v>517</v>
      </c>
    </row>
    <row r="319" customFormat="false" ht="15" hidden="false" customHeight="true" outlineLevel="0" collapsed="false">
      <c r="A319" s="1" t="s">
        <v>644</v>
      </c>
      <c r="B319" s="1" t="s">
        <v>464</v>
      </c>
      <c r="C319" s="1" t="s">
        <v>471</v>
      </c>
      <c r="D319" s="1" t="s">
        <v>285</v>
      </c>
      <c r="E319" s="82" t="n">
        <v>1</v>
      </c>
      <c r="F319" s="26" t="n">
        <v>400.26</v>
      </c>
      <c r="G319" s="26" t="n">
        <v>400.26</v>
      </c>
      <c r="H319" s="1" t="s">
        <v>468</v>
      </c>
    </row>
    <row r="320" customFormat="false" ht="15" hidden="false" customHeight="true" outlineLevel="0" collapsed="false">
      <c r="A320" s="1" t="s">
        <v>644</v>
      </c>
      <c r="B320" s="1" t="s">
        <v>464</v>
      </c>
      <c r="C320" s="1" t="s">
        <v>511</v>
      </c>
      <c r="D320" s="1" t="s">
        <v>285</v>
      </c>
      <c r="E320" s="82" t="n">
        <v>1</v>
      </c>
      <c r="F320" s="26" t="n">
        <v>867</v>
      </c>
      <c r="G320" s="26" t="n">
        <v>867</v>
      </c>
      <c r="H320" s="1" t="s">
        <v>518</v>
      </c>
    </row>
    <row r="321" customFormat="false" ht="15" hidden="false" customHeight="true" outlineLevel="0" collapsed="false">
      <c r="A321" s="1" t="s">
        <v>644</v>
      </c>
      <c r="B321" s="1" t="s">
        <v>464</v>
      </c>
      <c r="C321" s="1" t="s">
        <v>511</v>
      </c>
      <c r="D321" s="1" t="s">
        <v>285</v>
      </c>
      <c r="E321" s="82" t="n">
        <v>96</v>
      </c>
      <c r="F321" s="26" t="n">
        <v>12.34</v>
      </c>
      <c r="G321" s="26" t="n">
        <v>1184.64</v>
      </c>
      <c r="H321" s="1" t="s">
        <v>489</v>
      </c>
    </row>
    <row r="322" customFormat="false" ht="15" hidden="false" customHeight="true" outlineLevel="0" collapsed="false">
      <c r="A322" s="1" t="s">
        <v>644</v>
      </c>
      <c r="B322" s="1" t="s">
        <v>464</v>
      </c>
      <c r="C322" s="1" t="s">
        <v>478</v>
      </c>
      <c r="D322" s="1" t="s">
        <v>285</v>
      </c>
      <c r="E322" s="82" t="n">
        <v>1</v>
      </c>
      <c r="F322" s="26" t="n">
        <v>0</v>
      </c>
      <c r="G322" s="26" t="n">
        <v>0</v>
      </c>
      <c r="H322" s="1" t="s">
        <v>477</v>
      </c>
    </row>
    <row r="323" customFormat="false" ht="15" hidden="false" customHeight="true" outlineLevel="0" collapsed="false">
      <c r="A323" s="1" t="s">
        <v>644</v>
      </c>
      <c r="B323" s="1" t="s">
        <v>464</v>
      </c>
      <c r="C323" s="1" t="s">
        <v>519</v>
      </c>
      <c r="D323" s="1" t="s">
        <v>285</v>
      </c>
      <c r="E323" s="82" t="n">
        <v>2</v>
      </c>
      <c r="F323" s="26" t="n">
        <v>0</v>
      </c>
      <c r="G323" s="26" t="n">
        <v>0</v>
      </c>
      <c r="H323" s="1" t="s">
        <v>477</v>
      </c>
    </row>
    <row r="324" customFormat="false" ht="15" hidden="false" customHeight="true" outlineLevel="0" collapsed="false">
      <c r="A324" s="1" t="s">
        <v>644</v>
      </c>
      <c r="B324" s="1" t="s">
        <v>464</v>
      </c>
      <c r="C324" s="1" t="s">
        <v>482</v>
      </c>
      <c r="D324" s="1" t="s">
        <v>282</v>
      </c>
      <c r="E324" s="82" t="n">
        <v>1</v>
      </c>
      <c r="F324" s="26" t="n">
        <v>25.5</v>
      </c>
      <c r="G324" s="26" t="n">
        <v>25.5</v>
      </c>
      <c r="H324" s="1" t="s">
        <v>606</v>
      </c>
    </row>
    <row r="325" customFormat="false" ht="15" hidden="false" customHeight="true" outlineLevel="0" collapsed="false">
      <c r="A325" s="1" t="s">
        <v>644</v>
      </c>
      <c r="B325" s="1" t="s">
        <v>464</v>
      </c>
      <c r="C325" s="1" t="s">
        <v>465</v>
      </c>
      <c r="D325" s="1" t="s">
        <v>282</v>
      </c>
      <c r="E325" s="82" t="n">
        <v>285</v>
      </c>
      <c r="F325" s="26" t="n">
        <v>1.86</v>
      </c>
      <c r="G325" s="26" t="n">
        <v>530.1</v>
      </c>
      <c r="H325" s="1" t="s">
        <v>646</v>
      </c>
    </row>
    <row r="326" customFormat="false" ht="15" hidden="false" customHeight="true" outlineLevel="0" collapsed="false">
      <c r="A326" s="1" t="s">
        <v>644</v>
      </c>
      <c r="B326" s="1" t="s">
        <v>464</v>
      </c>
      <c r="C326" s="1" t="s">
        <v>465</v>
      </c>
      <c r="D326" s="1" t="s">
        <v>282</v>
      </c>
      <c r="E326" s="82" t="n">
        <v>0</v>
      </c>
      <c r="F326" s="26" t="n">
        <v>0</v>
      </c>
      <c r="G326" s="26" t="n">
        <v>0</v>
      </c>
      <c r="H326" s="1" t="s">
        <v>466</v>
      </c>
    </row>
    <row r="327" customFormat="false" ht="15" hidden="false" customHeight="true" outlineLevel="0" collapsed="false">
      <c r="A327" s="1" t="s">
        <v>644</v>
      </c>
      <c r="B327" s="1" t="s">
        <v>464</v>
      </c>
      <c r="C327" s="1" t="s">
        <v>467</v>
      </c>
      <c r="D327" s="1" t="s">
        <v>282</v>
      </c>
      <c r="E327" s="82" t="n">
        <v>1</v>
      </c>
      <c r="F327" s="26" t="n">
        <v>383.56</v>
      </c>
      <c r="G327" s="26" t="n">
        <v>383.56</v>
      </c>
      <c r="H327" s="1" t="s">
        <v>520</v>
      </c>
    </row>
    <row r="328" customFormat="false" ht="15" hidden="false" customHeight="true" outlineLevel="0" collapsed="false">
      <c r="A328" s="1" t="s">
        <v>644</v>
      </c>
      <c r="B328" s="1" t="s">
        <v>464</v>
      </c>
      <c r="C328" s="1" t="s">
        <v>469</v>
      </c>
      <c r="D328" s="1" t="s">
        <v>282</v>
      </c>
      <c r="E328" s="82" t="n">
        <v>2</v>
      </c>
      <c r="F328" s="26" t="n">
        <v>338.53</v>
      </c>
      <c r="G328" s="26" t="n">
        <v>677.06</v>
      </c>
      <c r="H328" s="1" t="s">
        <v>521</v>
      </c>
    </row>
    <row r="329" customFormat="false" ht="15" hidden="false" customHeight="true" outlineLevel="0" collapsed="false">
      <c r="A329" s="1" t="s">
        <v>644</v>
      </c>
      <c r="B329" s="1" t="s">
        <v>464</v>
      </c>
      <c r="C329" s="1" t="s">
        <v>471</v>
      </c>
      <c r="D329" s="1" t="s">
        <v>282</v>
      </c>
      <c r="E329" s="82" t="n">
        <v>2</v>
      </c>
      <c r="F329" s="26" t="n">
        <v>400.26</v>
      </c>
      <c r="G329" s="26" t="n">
        <v>800.52</v>
      </c>
      <c r="H329" s="1" t="s">
        <v>522</v>
      </c>
    </row>
    <row r="330" customFormat="false" ht="15" hidden="false" customHeight="true" outlineLevel="0" collapsed="false">
      <c r="A330" s="1" t="s">
        <v>644</v>
      </c>
      <c r="B330" s="1" t="s">
        <v>464</v>
      </c>
      <c r="C330" s="1" t="s">
        <v>478</v>
      </c>
      <c r="D330" s="1" t="s">
        <v>282</v>
      </c>
      <c r="E330" s="82" t="n">
        <v>4</v>
      </c>
      <c r="F330" s="26" t="n">
        <v>0</v>
      </c>
      <c r="G330" s="26" t="n">
        <v>0</v>
      </c>
      <c r="H330" s="1" t="s">
        <v>477</v>
      </c>
    </row>
    <row r="331" customFormat="false" ht="15" hidden="false" customHeight="true" outlineLevel="0" collapsed="false">
      <c r="A331" s="1" t="s">
        <v>644</v>
      </c>
      <c r="B331" s="1" t="s">
        <v>464</v>
      </c>
      <c r="C331" s="1" t="s">
        <v>523</v>
      </c>
      <c r="D331" s="1" t="s">
        <v>282</v>
      </c>
      <c r="E331" s="82" t="n">
        <v>0</v>
      </c>
      <c r="F331" s="26" t="n">
        <v>0</v>
      </c>
      <c r="G331" s="26" t="n">
        <v>0</v>
      </c>
      <c r="H331" s="1" t="s">
        <v>477</v>
      </c>
    </row>
    <row r="332" customFormat="false" ht="15" hidden="false" customHeight="true" outlineLevel="0" collapsed="false">
      <c r="A332" s="1" t="s">
        <v>644</v>
      </c>
      <c r="B332" s="1" t="s">
        <v>464</v>
      </c>
      <c r="C332" s="1" t="s">
        <v>524</v>
      </c>
      <c r="D332" s="1" t="s">
        <v>282</v>
      </c>
      <c r="E332" s="82" t="n">
        <v>-15</v>
      </c>
      <c r="F332" s="26" t="n">
        <v>0</v>
      </c>
      <c r="G332" s="26" t="n">
        <v>0</v>
      </c>
      <c r="H332" s="1" t="s">
        <v>477</v>
      </c>
    </row>
    <row r="333" customFormat="false" ht="15" hidden="false" customHeight="true" outlineLevel="0" collapsed="false">
      <c r="A333" s="1" t="s">
        <v>644</v>
      </c>
      <c r="B333" s="1" t="s">
        <v>464</v>
      </c>
      <c r="C333" s="1" t="s">
        <v>525</v>
      </c>
      <c r="D333" s="1" t="s">
        <v>282</v>
      </c>
      <c r="E333" s="82" t="n">
        <v>0</v>
      </c>
      <c r="F333" s="26" t="n">
        <v>0</v>
      </c>
      <c r="G333" s="26" t="n">
        <v>0</v>
      </c>
      <c r="H333" s="1" t="s">
        <v>477</v>
      </c>
    </row>
    <row r="334" customFormat="false" ht="15" hidden="false" customHeight="true" outlineLevel="0" collapsed="false">
      <c r="A334" s="1" t="s">
        <v>644</v>
      </c>
      <c r="B334" s="1" t="s">
        <v>464</v>
      </c>
      <c r="C334" s="1" t="s">
        <v>526</v>
      </c>
      <c r="D334" s="1" t="s">
        <v>282</v>
      </c>
      <c r="E334" s="82" t="n">
        <v>0</v>
      </c>
      <c r="F334" s="26" t="n">
        <v>0</v>
      </c>
      <c r="G334" s="26" t="n">
        <v>0</v>
      </c>
      <c r="H334" s="1" t="s">
        <v>477</v>
      </c>
    </row>
    <row r="335" customFormat="false" ht="15" hidden="false" customHeight="true" outlineLevel="0" collapsed="false">
      <c r="A335" s="1" t="s">
        <v>644</v>
      </c>
      <c r="B335" s="1" t="s">
        <v>143</v>
      </c>
      <c r="C335" s="1" t="s">
        <v>527</v>
      </c>
      <c r="D335" s="1" t="s">
        <v>287</v>
      </c>
      <c r="E335" s="82" t="n">
        <v>6280</v>
      </c>
      <c r="F335" s="26" t="n">
        <v>0.212371943123151</v>
      </c>
      <c r="G335" s="26" t="n">
        <v>1333.69580281339</v>
      </c>
      <c r="H335" s="1" t="s">
        <v>451</v>
      </c>
    </row>
    <row r="336" customFormat="false" ht="15" hidden="false" customHeight="true" outlineLevel="0" collapsed="false">
      <c r="A336" s="1" t="s">
        <v>644</v>
      </c>
      <c r="B336" s="1" t="s">
        <v>143</v>
      </c>
      <c r="C336" s="1" t="s">
        <v>527</v>
      </c>
      <c r="D336" s="1" t="s">
        <v>289</v>
      </c>
      <c r="E336" s="82" t="n">
        <v>13402</v>
      </c>
      <c r="F336" s="26" t="n">
        <v>0.212371943123151</v>
      </c>
      <c r="G336" s="26" t="n">
        <v>2846.20878173647</v>
      </c>
      <c r="H336" s="1" t="s">
        <v>451</v>
      </c>
    </row>
    <row r="337" customFormat="false" ht="15" hidden="false" customHeight="true" outlineLevel="0" collapsed="false">
      <c r="A337" s="1" t="s">
        <v>644</v>
      </c>
      <c r="B337" s="1" t="s">
        <v>143</v>
      </c>
      <c r="C337" s="1" t="s">
        <v>527</v>
      </c>
      <c r="D337" s="1" t="s">
        <v>293</v>
      </c>
      <c r="E337" s="82" t="n">
        <v>3650</v>
      </c>
      <c r="F337" s="26" t="n">
        <v>0.212371943123151</v>
      </c>
      <c r="G337" s="26" t="n">
        <v>775.157592399501</v>
      </c>
      <c r="H337" s="1" t="s">
        <v>451</v>
      </c>
    </row>
    <row r="338" customFormat="false" ht="15" hidden="false" customHeight="true" outlineLevel="0" collapsed="false">
      <c r="A338" s="1" t="s">
        <v>644</v>
      </c>
      <c r="B338" s="1" t="s">
        <v>143</v>
      </c>
      <c r="C338" s="1" t="s">
        <v>527</v>
      </c>
      <c r="D338" s="1" t="s">
        <v>290</v>
      </c>
      <c r="E338" s="82" t="n">
        <v>6396</v>
      </c>
      <c r="F338" s="26" t="n">
        <v>0.212371943123151</v>
      </c>
      <c r="G338" s="26" t="n">
        <v>1358.33094821567</v>
      </c>
      <c r="H338" s="1" t="s">
        <v>451</v>
      </c>
    </row>
    <row r="339" customFormat="false" ht="15" hidden="false" customHeight="true" outlineLevel="0" collapsed="false">
      <c r="A339" s="1" t="s">
        <v>644</v>
      </c>
      <c r="B339" s="1" t="s">
        <v>143</v>
      </c>
      <c r="C339" s="1" t="s">
        <v>527</v>
      </c>
      <c r="D339" s="1" t="s">
        <v>284</v>
      </c>
      <c r="E339" s="82" t="n">
        <v>14331</v>
      </c>
      <c r="F339" s="26" t="n">
        <v>0.212371943123151</v>
      </c>
      <c r="G339" s="26" t="n">
        <v>3043.50231689788</v>
      </c>
      <c r="H339" s="1" t="s">
        <v>451</v>
      </c>
    </row>
    <row r="340" customFormat="false" ht="15" hidden="false" customHeight="true" outlineLevel="0" collapsed="false">
      <c r="A340" s="1" t="s">
        <v>644</v>
      </c>
      <c r="B340" s="1" t="s">
        <v>143</v>
      </c>
      <c r="C340" s="1" t="s">
        <v>527</v>
      </c>
      <c r="D340" s="1" t="s">
        <v>285</v>
      </c>
      <c r="E340" s="82" t="n">
        <v>4730</v>
      </c>
      <c r="F340" s="26" t="n">
        <v>0.212371943123151</v>
      </c>
      <c r="G340" s="26" t="n">
        <v>1004.5192909725</v>
      </c>
      <c r="H340" s="1" t="s">
        <v>451</v>
      </c>
    </row>
    <row r="341" customFormat="false" ht="15" hidden="false" customHeight="true" outlineLevel="0" collapsed="false">
      <c r="A341" s="1" t="s">
        <v>644</v>
      </c>
      <c r="B341" s="1" t="s">
        <v>143</v>
      </c>
      <c r="C341" s="1" t="s">
        <v>527</v>
      </c>
      <c r="D341" s="1" t="s">
        <v>282</v>
      </c>
      <c r="E341" s="82" t="n">
        <v>4782</v>
      </c>
      <c r="F341" s="26" t="n">
        <v>0.212371943123151</v>
      </c>
      <c r="G341" s="26" t="n">
        <v>1015.56263201491</v>
      </c>
      <c r="H341" s="1" t="s">
        <v>451</v>
      </c>
    </row>
    <row r="342" customFormat="false" ht="15" hidden="false" customHeight="true" outlineLevel="0" collapsed="false">
      <c r="A342" s="1" t="s">
        <v>644</v>
      </c>
      <c r="B342" s="1" t="s">
        <v>141</v>
      </c>
      <c r="C342" s="1" t="s">
        <v>528</v>
      </c>
      <c r="D342" s="1" t="s">
        <v>289</v>
      </c>
      <c r="E342" s="82" t="n">
        <v>13402</v>
      </c>
      <c r="F342" s="26" t="n">
        <v>0.0959225828032635</v>
      </c>
      <c r="G342" s="26" t="n">
        <v>1285.554455</v>
      </c>
      <c r="H342" s="1" t="s">
        <v>451</v>
      </c>
    </row>
    <row r="343" customFormat="false" ht="15" hidden="false" customHeight="true" outlineLevel="0" collapsed="false">
      <c r="A343" s="1" t="s">
        <v>644</v>
      </c>
      <c r="B343" s="1" t="s">
        <v>45</v>
      </c>
      <c r="C343" s="1" t="s">
        <v>529</v>
      </c>
      <c r="D343" s="1" t="s">
        <v>287</v>
      </c>
      <c r="E343" s="82" t="n">
        <v>1</v>
      </c>
      <c r="F343" s="26" t="n">
        <v>9145.68</v>
      </c>
      <c r="G343" s="26" t="n">
        <v>9145.68</v>
      </c>
      <c r="H343" s="1" t="s">
        <v>530</v>
      </c>
    </row>
    <row r="344" customFormat="false" ht="15" hidden="false" customHeight="true" outlineLevel="0" collapsed="false">
      <c r="A344" s="1" t="s">
        <v>644</v>
      </c>
      <c r="B344" s="1" t="s">
        <v>45</v>
      </c>
      <c r="C344" s="1" t="s">
        <v>529</v>
      </c>
      <c r="D344" s="1" t="s">
        <v>293</v>
      </c>
      <c r="E344" s="82" t="n">
        <v>1</v>
      </c>
      <c r="F344" s="26" t="n">
        <v>3372.11</v>
      </c>
      <c r="G344" s="26" t="n">
        <v>3372.11</v>
      </c>
      <c r="H344" s="1" t="s">
        <v>530</v>
      </c>
    </row>
    <row r="345" customFormat="false" ht="15" hidden="false" customHeight="true" outlineLevel="0" collapsed="false">
      <c r="A345" s="1" t="s">
        <v>644</v>
      </c>
      <c r="B345" s="1" t="s">
        <v>45</v>
      </c>
      <c r="C345" s="1" t="s">
        <v>529</v>
      </c>
      <c r="D345" s="1" t="s">
        <v>285</v>
      </c>
      <c r="E345" s="82" t="n">
        <v>1</v>
      </c>
      <c r="F345" s="26" t="n">
        <v>15695.77</v>
      </c>
      <c r="G345" s="26" t="n">
        <v>15695.77</v>
      </c>
      <c r="H345" s="1" t="s">
        <v>530</v>
      </c>
    </row>
    <row r="346" customFormat="false" ht="15" hidden="false" customHeight="true" outlineLevel="0" collapsed="false">
      <c r="A346" s="1" t="s">
        <v>644</v>
      </c>
      <c r="B346" s="1" t="s">
        <v>45</v>
      </c>
      <c r="C346" s="1" t="s">
        <v>531</v>
      </c>
      <c r="D346" s="1" t="s">
        <v>282</v>
      </c>
      <c r="E346" s="82" t="n">
        <v>0</v>
      </c>
      <c r="F346" s="26" t="n">
        <v>0</v>
      </c>
      <c r="G346" s="26" t="n">
        <v>0</v>
      </c>
      <c r="H346" s="1" t="s">
        <v>532</v>
      </c>
    </row>
    <row r="347" customFormat="false" ht="15" hidden="false" customHeight="true" outlineLevel="0" collapsed="false">
      <c r="A347" s="1" t="s">
        <v>644</v>
      </c>
      <c r="B347" s="1" t="s">
        <v>45</v>
      </c>
      <c r="C347" s="1" t="s">
        <v>608</v>
      </c>
      <c r="D347" s="1" t="s">
        <v>282</v>
      </c>
      <c r="E347" s="82" t="n">
        <v>1</v>
      </c>
      <c r="F347" s="26" t="n">
        <v>22320</v>
      </c>
      <c r="G347" s="26" t="n">
        <v>22320</v>
      </c>
      <c r="H347" s="1" t="s">
        <v>647</v>
      </c>
    </row>
    <row r="348" customFormat="false" ht="15" hidden="false" customHeight="true" outlineLevel="0" collapsed="false">
      <c r="A348" s="1" t="s">
        <v>644</v>
      </c>
      <c r="B348" s="1" t="s">
        <v>50</v>
      </c>
      <c r="C348" s="1" t="s">
        <v>533</v>
      </c>
      <c r="D348" s="1" t="s">
        <v>287</v>
      </c>
      <c r="E348" s="82" t="n">
        <v>1</v>
      </c>
      <c r="F348" s="26" t="n">
        <v>676.8</v>
      </c>
      <c r="G348" s="26" t="n">
        <v>676.8</v>
      </c>
      <c r="H348" s="1" t="s">
        <v>534</v>
      </c>
    </row>
    <row r="349" customFormat="false" ht="15" hidden="false" customHeight="true" outlineLevel="0" collapsed="false">
      <c r="A349" s="1" t="s">
        <v>644</v>
      </c>
      <c r="B349" s="1" t="s">
        <v>50</v>
      </c>
      <c r="C349" s="1" t="s">
        <v>533</v>
      </c>
      <c r="D349" s="1" t="s">
        <v>293</v>
      </c>
      <c r="E349" s="82" t="n">
        <v>1</v>
      </c>
      <c r="F349" s="26" t="n">
        <v>676.8</v>
      </c>
      <c r="G349" s="26" t="n">
        <v>676.8</v>
      </c>
      <c r="H349" s="1" t="s">
        <v>534</v>
      </c>
    </row>
    <row r="350" customFormat="false" ht="15" hidden="false" customHeight="true" outlineLevel="0" collapsed="false">
      <c r="A350" s="1" t="s">
        <v>644</v>
      </c>
      <c r="B350" s="1" t="s">
        <v>50</v>
      </c>
      <c r="C350" s="1" t="s">
        <v>533</v>
      </c>
      <c r="D350" s="1" t="s">
        <v>290</v>
      </c>
      <c r="E350" s="82" t="n">
        <v>1</v>
      </c>
      <c r="F350" s="26" t="n">
        <v>676.8</v>
      </c>
      <c r="G350" s="26" t="n">
        <v>676.8</v>
      </c>
      <c r="H350" s="1" t="s">
        <v>535</v>
      </c>
    </row>
    <row r="351" customFormat="false" ht="15" hidden="false" customHeight="true" outlineLevel="0" collapsed="false">
      <c r="A351" s="1" t="s">
        <v>644</v>
      </c>
      <c r="B351" s="1" t="s">
        <v>50</v>
      </c>
      <c r="C351" s="1" t="s">
        <v>533</v>
      </c>
      <c r="D351" s="1" t="s">
        <v>284</v>
      </c>
      <c r="E351" s="82" t="n">
        <v>1</v>
      </c>
      <c r="F351" s="26" t="n">
        <v>676.8</v>
      </c>
      <c r="G351" s="26" t="n">
        <v>676.8</v>
      </c>
      <c r="H351" s="1" t="s">
        <v>536</v>
      </c>
    </row>
    <row r="352" customFormat="false" ht="15" hidden="false" customHeight="true" outlineLevel="0" collapsed="false">
      <c r="A352" s="1" t="s">
        <v>644</v>
      </c>
      <c r="B352" s="1" t="s">
        <v>50</v>
      </c>
      <c r="C352" s="1" t="s">
        <v>533</v>
      </c>
      <c r="D352" s="1" t="s">
        <v>285</v>
      </c>
      <c r="E352" s="82" t="n">
        <v>1</v>
      </c>
      <c r="F352" s="26" t="n">
        <v>676.8</v>
      </c>
      <c r="G352" s="26" t="n">
        <v>676.8</v>
      </c>
      <c r="H352" s="1" t="s">
        <v>534</v>
      </c>
    </row>
    <row r="353" customFormat="false" ht="15" hidden="false" customHeight="true" outlineLevel="0" collapsed="false">
      <c r="A353" s="1" t="s">
        <v>644</v>
      </c>
      <c r="B353" s="1" t="s">
        <v>50</v>
      </c>
      <c r="C353" s="1" t="s">
        <v>533</v>
      </c>
      <c r="D353" s="1" t="s">
        <v>282</v>
      </c>
      <c r="E353" s="82" t="n">
        <v>1</v>
      </c>
      <c r="F353" s="26" t="n">
        <v>676.8</v>
      </c>
      <c r="G353" s="26" t="n">
        <v>676.8</v>
      </c>
      <c r="H353" s="1" t="s">
        <v>534</v>
      </c>
    </row>
    <row r="354" customFormat="false" ht="15" hidden="false" customHeight="true" outlineLevel="0" collapsed="false">
      <c r="A354" s="1" t="s">
        <v>644</v>
      </c>
      <c r="B354" s="1" t="s">
        <v>537</v>
      </c>
      <c r="C354" s="1" t="s">
        <v>538</v>
      </c>
      <c r="D354" s="1" t="s">
        <v>287</v>
      </c>
      <c r="E354" s="82" t="n">
        <v>0</v>
      </c>
      <c r="F354" s="26" t="n">
        <v>0</v>
      </c>
      <c r="G354" s="26" t="n">
        <v>0</v>
      </c>
      <c r="H354" s="1" t="s">
        <v>539</v>
      </c>
    </row>
    <row r="355" customFormat="false" ht="15" hidden="false" customHeight="true" outlineLevel="0" collapsed="false">
      <c r="A355" s="1" t="s">
        <v>644</v>
      </c>
      <c r="B355" s="1" t="s">
        <v>537</v>
      </c>
      <c r="C355" s="1" t="s">
        <v>540</v>
      </c>
      <c r="D355" s="1" t="s">
        <v>287</v>
      </c>
      <c r="E355" s="82" t="n">
        <v>0</v>
      </c>
      <c r="F355" s="26" t="n">
        <v>0</v>
      </c>
      <c r="G355" s="26" t="n">
        <v>0</v>
      </c>
      <c r="H355" s="1" t="s">
        <v>541</v>
      </c>
    </row>
    <row r="356" customFormat="false" ht="15" hidden="false" customHeight="true" outlineLevel="0" collapsed="false">
      <c r="A356" s="1" t="s">
        <v>644</v>
      </c>
      <c r="B356" s="1" t="s">
        <v>537</v>
      </c>
      <c r="C356" s="1" t="s">
        <v>542</v>
      </c>
      <c r="D356" s="1" t="s">
        <v>287</v>
      </c>
      <c r="E356" s="82" t="n">
        <v>10</v>
      </c>
      <c r="F356" s="26" t="n">
        <v>20</v>
      </c>
      <c r="G356" s="26" t="n">
        <v>200</v>
      </c>
      <c r="H356" s="1" t="s">
        <v>543</v>
      </c>
    </row>
    <row r="357" customFormat="false" ht="15" hidden="false" customHeight="true" outlineLevel="0" collapsed="false">
      <c r="A357" s="1" t="s">
        <v>644</v>
      </c>
      <c r="B357" s="1" t="s">
        <v>537</v>
      </c>
      <c r="C357" s="1" t="s">
        <v>544</v>
      </c>
      <c r="D357" s="1" t="s">
        <v>287</v>
      </c>
      <c r="E357" s="82" t="n">
        <v>1</v>
      </c>
      <c r="F357" s="26" t="n">
        <v>745.21</v>
      </c>
      <c r="G357" s="26" t="n">
        <v>745.21</v>
      </c>
      <c r="H357" s="1" t="s">
        <v>545</v>
      </c>
    </row>
    <row r="358" customFormat="false" ht="15" hidden="false" customHeight="true" outlineLevel="0" collapsed="false">
      <c r="A358" s="1" t="s">
        <v>644</v>
      </c>
      <c r="B358" s="1" t="s">
        <v>537</v>
      </c>
      <c r="C358" s="1" t="s">
        <v>546</v>
      </c>
      <c r="D358" s="1" t="s">
        <v>287</v>
      </c>
      <c r="E358" s="82" t="n">
        <v>0</v>
      </c>
      <c r="F358" s="26" t="n">
        <v>0</v>
      </c>
      <c r="G358" s="26" t="n">
        <v>0</v>
      </c>
      <c r="H358" s="1" t="s">
        <v>547</v>
      </c>
    </row>
    <row r="359" customFormat="false" ht="15" hidden="false" customHeight="true" outlineLevel="0" collapsed="false">
      <c r="A359" s="1" t="s">
        <v>644</v>
      </c>
      <c r="B359" s="1" t="s">
        <v>537</v>
      </c>
      <c r="C359" s="1" t="s">
        <v>544</v>
      </c>
      <c r="D359" s="1" t="s">
        <v>289</v>
      </c>
      <c r="E359" s="82" t="n">
        <v>0</v>
      </c>
      <c r="F359" s="26" t="n">
        <v>0</v>
      </c>
      <c r="G359" s="26" t="n">
        <v>0</v>
      </c>
      <c r="H359" s="1" t="s">
        <v>545</v>
      </c>
    </row>
    <row r="360" customFormat="false" ht="15" hidden="false" customHeight="true" outlineLevel="0" collapsed="false">
      <c r="A360" s="1" t="s">
        <v>644</v>
      </c>
      <c r="B360" s="1" t="s">
        <v>537</v>
      </c>
      <c r="C360" s="1" t="s">
        <v>542</v>
      </c>
      <c r="D360" s="1" t="s">
        <v>293</v>
      </c>
      <c r="E360" s="82" t="n">
        <v>3</v>
      </c>
      <c r="F360" s="26" t="n">
        <v>20</v>
      </c>
      <c r="G360" s="26" t="n">
        <v>60</v>
      </c>
      <c r="H360" s="1" t="s">
        <v>543</v>
      </c>
    </row>
    <row r="361" customFormat="false" ht="15" hidden="false" customHeight="true" outlineLevel="0" collapsed="false">
      <c r="A361" s="1" t="s">
        <v>644</v>
      </c>
      <c r="B361" s="1" t="s">
        <v>537</v>
      </c>
      <c r="C361" s="1" t="s">
        <v>544</v>
      </c>
      <c r="D361" s="1" t="s">
        <v>293</v>
      </c>
      <c r="E361" s="82" t="n">
        <v>1</v>
      </c>
      <c r="F361" s="26" t="n">
        <v>373.15</v>
      </c>
      <c r="G361" s="26" t="n">
        <v>373.15</v>
      </c>
      <c r="H361" s="1" t="s">
        <v>545</v>
      </c>
    </row>
    <row r="362" customFormat="false" ht="15" hidden="false" customHeight="true" outlineLevel="0" collapsed="false">
      <c r="A362" s="1" t="s">
        <v>644</v>
      </c>
      <c r="B362" s="1" t="s">
        <v>537</v>
      </c>
      <c r="C362" s="1" t="s">
        <v>546</v>
      </c>
      <c r="D362" s="1" t="s">
        <v>293</v>
      </c>
      <c r="E362" s="82" t="n">
        <v>0</v>
      </c>
      <c r="F362" s="26" t="n">
        <v>0</v>
      </c>
      <c r="G362" s="26" t="n">
        <v>0</v>
      </c>
      <c r="H362" s="1" t="s">
        <v>547</v>
      </c>
    </row>
    <row r="363" customFormat="false" ht="15" hidden="false" customHeight="true" outlineLevel="0" collapsed="false">
      <c r="A363" s="1" t="s">
        <v>644</v>
      </c>
      <c r="B363" s="1" t="s">
        <v>537</v>
      </c>
      <c r="C363" s="1" t="s">
        <v>538</v>
      </c>
      <c r="D363" s="1" t="s">
        <v>290</v>
      </c>
      <c r="E363" s="82" t="n">
        <v>0</v>
      </c>
      <c r="F363" s="26" t="n">
        <v>0</v>
      </c>
      <c r="G363" s="26" t="n">
        <v>0</v>
      </c>
      <c r="H363" s="1" t="s">
        <v>548</v>
      </c>
    </row>
    <row r="364" customFormat="false" ht="15" hidden="false" customHeight="true" outlineLevel="0" collapsed="false">
      <c r="A364" s="1" t="s">
        <v>644</v>
      </c>
      <c r="B364" s="1" t="s">
        <v>537</v>
      </c>
      <c r="C364" s="1" t="s">
        <v>540</v>
      </c>
      <c r="D364" s="1" t="s">
        <v>290</v>
      </c>
      <c r="E364" s="82" t="n">
        <v>0</v>
      </c>
      <c r="F364" s="26" t="n">
        <v>0</v>
      </c>
      <c r="G364" s="26" t="n">
        <v>0</v>
      </c>
      <c r="H364" s="1" t="s">
        <v>549</v>
      </c>
    </row>
    <row r="365" customFormat="false" ht="15" hidden="false" customHeight="true" outlineLevel="0" collapsed="false">
      <c r="A365" s="1" t="s">
        <v>644</v>
      </c>
      <c r="B365" s="1" t="s">
        <v>537</v>
      </c>
      <c r="C365" s="1" t="s">
        <v>550</v>
      </c>
      <c r="D365" s="1" t="s">
        <v>290</v>
      </c>
      <c r="E365" s="82" t="n">
        <v>0</v>
      </c>
      <c r="F365" s="26" t="n">
        <v>0</v>
      </c>
      <c r="G365" s="26" t="n">
        <v>0</v>
      </c>
      <c r="H365" s="1" t="s">
        <v>547</v>
      </c>
    </row>
    <row r="366" customFormat="false" ht="15" hidden="false" customHeight="true" outlineLevel="0" collapsed="false">
      <c r="A366" s="1" t="s">
        <v>644</v>
      </c>
      <c r="B366" s="1" t="s">
        <v>537</v>
      </c>
      <c r="C366" s="1" t="s">
        <v>542</v>
      </c>
      <c r="D366" s="1" t="s">
        <v>290</v>
      </c>
      <c r="E366" s="82" t="n">
        <v>13</v>
      </c>
      <c r="F366" s="26" t="n">
        <v>20</v>
      </c>
      <c r="G366" s="26" t="n">
        <v>260</v>
      </c>
      <c r="H366" s="1" t="s">
        <v>543</v>
      </c>
    </row>
    <row r="367" customFormat="false" ht="15" hidden="false" customHeight="true" outlineLevel="0" collapsed="false">
      <c r="A367" s="1" t="s">
        <v>644</v>
      </c>
      <c r="B367" s="1" t="s">
        <v>537</v>
      </c>
      <c r="C367" s="1" t="s">
        <v>544</v>
      </c>
      <c r="D367" s="1" t="s">
        <v>290</v>
      </c>
      <c r="E367" s="82" t="n">
        <v>0</v>
      </c>
      <c r="F367" s="26" t="n">
        <v>0</v>
      </c>
      <c r="G367" s="26" t="n">
        <v>0</v>
      </c>
      <c r="H367" s="1" t="s">
        <v>545</v>
      </c>
    </row>
    <row r="368" customFormat="false" ht="15" hidden="false" customHeight="true" outlineLevel="0" collapsed="false">
      <c r="A368" s="1" t="s">
        <v>644</v>
      </c>
      <c r="B368" s="1" t="s">
        <v>537</v>
      </c>
      <c r="C368" s="1" t="s">
        <v>546</v>
      </c>
      <c r="D368" s="1" t="s">
        <v>290</v>
      </c>
      <c r="E368" s="82" t="n">
        <v>0</v>
      </c>
      <c r="F368" s="26" t="n">
        <v>0</v>
      </c>
      <c r="G368" s="26" t="n">
        <v>0</v>
      </c>
      <c r="H368" s="1" t="s">
        <v>547</v>
      </c>
    </row>
    <row r="369" customFormat="false" ht="15" hidden="false" customHeight="true" outlineLevel="0" collapsed="false">
      <c r="A369" s="1" t="s">
        <v>644</v>
      </c>
      <c r="B369" s="1" t="s">
        <v>537</v>
      </c>
      <c r="C369" s="1" t="s">
        <v>542</v>
      </c>
      <c r="D369" s="1" t="s">
        <v>284</v>
      </c>
      <c r="E369" s="82" t="n">
        <v>19</v>
      </c>
      <c r="F369" s="26" t="n">
        <v>20</v>
      </c>
      <c r="G369" s="26" t="n">
        <v>380</v>
      </c>
      <c r="H369" s="1" t="s">
        <v>543</v>
      </c>
    </row>
    <row r="370" customFormat="false" ht="15" hidden="false" customHeight="true" outlineLevel="0" collapsed="false">
      <c r="A370" s="1" t="s">
        <v>644</v>
      </c>
      <c r="B370" s="1" t="s">
        <v>537</v>
      </c>
      <c r="C370" s="1" t="s">
        <v>544</v>
      </c>
      <c r="D370" s="1" t="s">
        <v>284</v>
      </c>
      <c r="E370" s="82" t="n">
        <v>1</v>
      </c>
      <c r="F370" s="26" t="n">
        <v>1381.14</v>
      </c>
      <c r="G370" s="26" t="n">
        <v>1381.14</v>
      </c>
      <c r="H370" s="1" t="s">
        <v>545</v>
      </c>
    </row>
    <row r="371" customFormat="false" ht="15" hidden="false" customHeight="true" outlineLevel="0" collapsed="false">
      <c r="A371" s="1" t="s">
        <v>644</v>
      </c>
      <c r="B371" s="1" t="s">
        <v>537</v>
      </c>
      <c r="C371" s="1" t="s">
        <v>551</v>
      </c>
      <c r="D371" s="1" t="s">
        <v>284</v>
      </c>
      <c r="E371" s="82" t="n">
        <v>0</v>
      </c>
      <c r="F371" s="26" t="n">
        <v>0</v>
      </c>
      <c r="G371" s="26" t="n">
        <v>0</v>
      </c>
      <c r="H371" s="1" t="s">
        <v>547</v>
      </c>
    </row>
    <row r="372" customFormat="false" ht="15" hidden="false" customHeight="true" outlineLevel="0" collapsed="false">
      <c r="A372" s="1" t="s">
        <v>644</v>
      </c>
      <c r="B372" s="1" t="s">
        <v>537</v>
      </c>
      <c r="C372" s="1" t="s">
        <v>550</v>
      </c>
      <c r="D372" s="1" t="s">
        <v>285</v>
      </c>
      <c r="E372" s="82" t="n">
        <v>0</v>
      </c>
      <c r="F372" s="26" t="n">
        <v>0</v>
      </c>
      <c r="G372" s="26" t="n">
        <v>0</v>
      </c>
      <c r="H372" s="1" t="s">
        <v>552</v>
      </c>
    </row>
    <row r="373" customFormat="false" ht="15" hidden="false" customHeight="true" outlineLevel="0" collapsed="false">
      <c r="A373" s="1" t="s">
        <v>644</v>
      </c>
      <c r="B373" s="1" t="s">
        <v>537</v>
      </c>
      <c r="C373" s="1" t="s">
        <v>542</v>
      </c>
      <c r="D373" s="1" t="s">
        <v>285</v>
      </c>
      <c r="E373" s="82" t="n">
        <v>4</v>
      </c>
      <c r="F373" s="26" t="n">
        <v>20</v>
      </c>
      <c r="G373" s="26" t="n">
        <v>80</v>
      </c>
      <c r="H373" s="1" t="s">
        <v>543</v>
      </c>
    </row>
    <row r="374" customFormat="false" ht="15" hidden="false" customHeight="true" outlineLevel="0" collapsed="false">
      <c r="A374" s="1" t="s">
        <v>644</v>
      </c>
      <c r="B374" s="1" t="s">
        <v>537</v>
      </c>
      <c r="C374" s="1" t="s">
        <v>544</v>
      </c>
      <c r="D374" s="1" t="s">
        <v>285</v>
      </c>
      <c r="E374" s="82" t="n">
        <v>0</v>
      </c>
      <c r="F374" s="26" t="n">
        <v>0</v>
      </c>
      <c r="G374" s="26" t="n">
        <v>0</v>
      </c>
      <c r="H374" s="1" t="s">
        <v>545</v>
      </c>
    </row>
    <row r="375" customFormat="false" ht="15" hidden="false" customHeight="true" outlineLevel="0" collapsed="false">
      <c r="A375" s="1" t="s">
        <v>644</v>
      </c>
      <c r="B375" s="1" t="s">
        <v>537</v>
      </c>
      <c r="C375" s="1" t="s">
        <v>551</v>
      </c>
      <c r="D375" s="1" t="s">
        <v>285</v>
      </c>
      <c r="E375" s="82" t="n">
        <v>0</v>
      </c>
      <c r="F375" s="26" t="n">
        <v>0</v>
      </c>
      <c r="G375" s="26" t="n">
        <v>0</v>
      </c>
      <c r="H375" s="1" t="s">
        <v>547</v>
      </c>
    </row>
    <row r="376" customFormat="false" ht="15" hidden="false" customHeight="true" outlineLevel="0" collapsed="false">
      <c r="A376" s="1" t="s">
        <v>644</v>
      </c>
      <c r="B376" s="1" t="s">
        <v>537</v>
      </c>
      <c r="C376" s="1" t="s">
        <v>538</v>
      </c>
      <c r="D376" s="1" t="s">
        <v>282</v>
      </c>
      <c r="E376" s="82" t="n">
        <v>0</v>
      </c>
      <c r="F376" s="26" t="n">
        <v>0</v>
      </c>
      <c r="G376" s="26" t="n">
        <v>0</v>
      </c>
      <c r="H376" s="1" t="s">
        <v>553</v>
      </c>
    </row>
    <row r="377" customFormat="false" ht="15" hidden="false" customHeight="true" outlineLevel="0" collapsed="false">
      <c r="A377" s="1" t="s">
        <v>644</v>
      </c>
      <c r="B377" s="1" t="s">
        <v>537</v>
      </c>
      <c r="C377" s="1" t="s">
        <v>542</v>
      </c>
      <c r="D377" s="1" t="s">
        <v>282</v>
      </c>
      <c r="E377" s="82" t="n">
        <v>8</v>
      </c>
      <c r="F377" s="26" t="n">
        <v>20</v>
      </c>
      <c r="G377" s="26" t="n">
        <v>160</v>
      </c>
      <c r="H377" s="1" t="s">
        <v>543</v>
      </c>
    </row>
    <row r="378" customFormat="false" ht="15" hidden="false" customHeight="true" outlineLevel="0" collapsed="false">
      <c r="A378" s="1" t="s">
        <v>644</v>
      </c>
      <c r="B378" s="1" t="s">
        <v>537</v>
      </c>
      <c r="C378" s="1" t="s">
        <v>544</v>
      </c>
      <c r="D378" s="1" t="s">
        <v>282</v>
      </c>
      <c r="E378" s="82" t="n">
        <v>1</v>
      </c>
      <c r="F378" s="26" t="n">
        <v>414.35</v>
      </c>
      <c r="G378" s="26" t="n">
        <v>414.35</v>
      </c>
      <c r="H378" s="1" t="s">
        <v>545</v>
      </c>
    </row>
    <row r="379" customFormat="false" ht="15" hidden="false" customHeight="true" outlineLevel="0" collapsed="false">
      <c r="A379" s="1" t="s">
        <v>644</v>
      </c>
      <c r="B379" s="1" t="s">
        <v>537</v>
      </c>
      <c r="C379" s="1" t="s">
        <v>546</v>
      </c>
      <c r="D379" s="1" t="s">
        <v>282</v>
      </c>
      <c r="E379" s="82" t="n">
        <v>0</v>
      </c>
      <c r="F379" s="26" t="n">
        <v>0</v>
      </c>
      <c r="G379" s="26" t="n">
        <v>0</v>
      </c>
      <c r="H379" s="1" t="s">
        <v>547</v>
      </c>
    </row>
    <row r="380" customFormat="false" ht="15" hidden="false" customHeight="true" outlineLevel="0" collapsed="false">
      <c r="A380" s="1" t="s">
        <v>644</v>
      </c>
      <c r="B380" s="1" t="s">
        <v>554</v>
      </c>
      <c r="C380" s="1" t="s">
        <v>555</v>
      </c>
      <c r="D380" s="1" t="s">
        <v>287</v>
      </c>
      <c r="E380" s="82" t="n">
        <v>0</v>
      </c>
      <c r="F380" s="26" t="n">
        <v>0</v>
      </c>
      <c r="G380" s="26" t="n">
        <v>0</v>
      </c>
      <c r="H380" s="1" t="s">
        <v>556</v>
      </c>
    </row>
    <row r="381" customFormat="false" ht="15" hidden="false" customHeight="true" outlineLevel="0" collapsed="false">
      <c r="A381" s="1" t="s">
        <v>644</v>
      </c>
      <c r="B381" s="1" t="s">
        <v>554</v>
      </c>
      <c r="C381" s="1" t="s">
        <v>557</v>
      </c>
      <c r="D381" s="1" t="s">
        <v>287</v>
      </c>
      <c r="E381" s="82" t="n">
        <v>0</v>
      </c>
      <c r="F381" s="26" t="n">
        <v>0</v>
      </c>
      <c r="G381" s="26" t="n">
        <v>0</v>
      </c>
      <c r="H381" s="1" t="s">
        <v>558</v>
      </c>
    </row>
    <row r="382" customFormat="false" ht="15" hidden="false" customHeight="true" outlineLevel="0" collapsed="false">
      <c r="A382" s="1" t="s">
        <v>644</v>
      </c>
      <c r="B382" s="1" t="s">
        <v>554</v>
      </c>
      <c r="C382" s="1" t="s">
        <v>559</v>
      </c>
      <c r="D382" s="1" t="s">
        <v>287</v>
      </c>
      <c r="E382" s="82" t="n">
        <v>0</v>
      </c>
      <c r="F382" s="26" t="n">
        <v>0</v>
      </c>
      <c r="G382" s="26" t="n">
        <v>0</v>
      </c>
      <c r="H382" s="1" t="s">
        <v>560</v>
      </c>
    </row>
    <row r="383" customFormat="false" ht="15" hidden="false" customHeight="true" outlineLevel="0" collapsed="false">
      <c r="A383" s="1" t="s">
        <v>644</v>
      </c>
      <c r="B383" s="1" t="s">
        <v>554</v>
      </c>
      <c r="C383" s="1" t="s">
        <v>561</v>
      </c>
      <c r="D383" s="1" t="s">
        <v>287</v>
      </c>
      <c r="E383" s="82" t="n">
        <v>0</v>
      </c>
      <c r="F383" s="26" t="n">
        <v>0</v>
      </c>
      <c r="G383" s="26" t="n">
        <v>0</v>
      </c>
      <c r="H383" s="1" t="s">
        <v>562</v>
      </c>
    </row>
    <row r="384" customFormat="false" ht="15" hidden="false" customHeight="true" outlineLevel="0" collapsed="false">
      <c r="A384" s="1" t="s">
        <v>644</v>
      </c>
      <c r="B384" s="1" t="s">
        <v>554</v>
      </c>
      <c r="C384" s="1" t="s">
        <v>563</v>
      </c>
      <c r="D384" s="1" t="s">
        <v>289</v>
      </c>
      <c r="E384" s="82" t="n">
        <v>1</v>
      </c>
      <c r="F384" s="26" t="n">
        <v>315.66</v>
      </c>
      <c r="G384" s="26" t="n">
        <v>315.66</v>
      </c>
      <c r="H384" s="1" t="s">
        <v>564</v>
      </c>
    </row>
    <row r="385" customFormat="false" ht="15" hidden="false" customHeight="true" outlineLevel="0" collapsed="false">
      <c r="A385" s="1" t="s">
        <v>644</v>
      </c>
      <c r="B385" s="1" t="s">
        <v>554</v>
      </c>
      <c r="C385" s="1" t="s">
        <v>565</v>
      </c>
      <c r="D385" s="1" t="s">
        <v>289</v>
      </c>
      <c r="E385" s="82" t="n">
        <v>1</v>
      </c>
      <c r="F385" s="26" t="n">
        <v>345.94</v>
      </c>
      <c r="G385" s="26" t="n">
        <v>345.94</v>
      </c>
      <c r="H385" s="1" t="s">
        <v>566</v>
      </c>
    </row>
    <row r="386" customFormat="false" ht="15" hidden="false" customHeight="true" outlineLevel="0" collapsed="false">
      <c r="A386" s="1" t="s">
        <v>644</v>
      </c>
      <c r="B386" s="1" t="s">
        <v>554</v>
      </c>
      <c r="C386" s="1" t="s">
        <v>567</v>
      </c>
      <c r="D386" s="1" t="s">
        <v>293</v>
      </c>
      <c r="E386" s="82" t="n">
        <v>0</v>
      </c>
      <c r="F386" s="26" t="n">
        <v>0</v>
      </c>
      <c r="G386" s="26" t="n">
        <v>0</v>
      </c>
      <c r="H386" s="1" t="s">
        <v>568</v>
      </c>
    </row>
    <row r="387" customFormat="false" ht="15" hidden="false" customHeight="true" outlineLevel="0" collapsed="false">
      <c r="A387" s="1" t="s">
        <v>644</v>
      </c>
      <c r="B387" s="1" t="s">
        <v>554</v>
      </c>
      <c r="C387" s="1" t="s">
        <v>569</v>
      </c>
      <c r="D387" s="1" t="s">
        <v>293</v>
      </c>
      <c r="E387" s="82" t="n">
        <v>0</v>
      </c>
      <c r="F387" s="26" t="n">
        <v>0</v>
      </c>
      <c r="G387" s="26" t="n">
        <v>0</v>
      </c>
      <c r="H387" s="1" t="s">
        <v>570</v>
      </c>
    </row>
    <row r="388" customFormat="false" ht="15" hidden="false" customHeight="true" outlineLevel="0" collapsed="false">
      <c r="A388" s="1" t="s">
        <v>644</v>
      </c>
      <c r="B388" s="1" t="s">
        <v>554</v>
      </c>
      <c r="C388" s="1" t="s">
        <v>571</v>
      </c>
      <c r="D388" s="1" t="s">
        <v>293</v>
      </c>
      <c r="E388" s="82" t="n">
        <v>0</v>
      </c>
      <c r="F388" s="26" t="n">
        <v>0</v>
      </c>
      <c r="G388" s="26" t="n">
        <v>0</v>
      </c>
      <c r="H388" s="1" t="s">
        <v>564</v>
      </c>
    </row>
    <row r="389" customFormat="false" ht="15" hidden="false" customHeight="true" outlineLevel="0" collapsed="false">
      <c r="A389" s="1" t="s">
        <v>644</v>
      </c>
      <c r="B389" s="1" t="s">
        <v>554</v>
      </c>
      <c r="C389" s="1" t="s">
        <v>572</v>
      </c>
      <c r="D389" s="1" t="s">
        <v>293</v>
      </c>
      <c r="E389" s="82" t="n">
        <v>0</v>
      </c>
      <c r="F389" s="26" t="n">
        <v>0</v>
      </c>
      <c r="G389" s="26" t="n">
        <v>0</v>
      </c>
      <c r="H389" s="1" t="s">
        <v>573</v>
      </c>
    </row>
    <row r="390" customFormat="false" ht="15" hidden="false" customHeight="true" outlineLevel="0" collapsed="false">
      <c r="A390" s="1" t="s">
        <v>644</v>
      </c>
      <c r="B390" s="1" t="s">
        <v>554</v>
      </c>
      <c r="C390" s="1" t="s">
        <v>574</v>
      </c>
      <c r="D390" s="1" t="s">
        <v>293</v>
      </c>
      <c r="E390" s="82" t="n">
        <v>0</v>
      </c>
      <c r="F390" s="26" t="n">
        <v>0</v>
      </c>
      <c r="G390" s="26" t="n">
        <v>0</v>
      </c>
      <c r="H390" s="1" t="s">
        <v>573</v>
      </c>
    </row>
    <row r="391" customFormat="false" ht="15" hidden="false" customHeight="true" outlineLevel="0" collapsed="false">
      <c r="A391" s="1" t="s">
        <v>644</v>
      </c>
      <c r="B391" s="1" t="s">
        <v>554</v>
      </c>
      <c r="C391" s="1" t="s">
        <v>575</v>
      </c>
      <c r="D391" s="1" t="s">
        <v>293</v>
      </c>
      <c r="E391" s="82" t="n">
        <v>1</v>
      </c>
      <c r="F391" s="26" t="n">
        <v>2438.04</v>
      </c>
      <c r="G391" s="26" t="n">
        <v>2438.04</v>
      </c>
      <c r="H391" s="1" t="s">
        <v>576</v>
      </c>
    </row>
    <row r="392" customFormat="false" ht="15" hidden="false" customHeight="true" outlineLevel="0" collapsed="false">
      <c r="A392" s="1" t="s">
        <v>644</v>
      </c>
      <c r="B392" s="1" t="s">
        <v>554</v>
      </c>
      <c r="C392" s="1" t="s">
        <v>577</v>
      </c>
      <c r="D392" s="1" t="s">
        <v>290</v>
      </c>
      <c r="E392" s="82" t="n">
        <v>0</v>
      </c>
      <c r="F392" s="26" t="n">
        <v>0</v>
      </c>
      <c r="G392" s="26" t="n">
        <v>0</v>
      </c>
      <c r="H392" s="1" t="s">
        <v>564</v>
      </c>
    </row>
    <row r="393" customFormat="false" ht="15" hidden="false" customHeight="true" outlineLevel="0" collapsed="false">
      <c r="A393" s="1" t="s">
        <v>644</v>
      </c>
      <c r="B393" s="1" t="s">
        <v>554</v>
      </c>
      <c r="C393" s="1" t="s">
        <v>578</v>
      </c>
      <c r="D393" s="1" t="s">
        <v>290</v>
      </c>
      <c r="E393" s="82" t="n">
        <v>0</v>
      </c>
      <c r="F393" s="26" t="n">
        <v>0</v>
      </c>
      <c r="G393" s="26" t="n">
        <v>0</v>
      </c>
      <c r="H393" s="1" t="s">
        <v>579</v>
      </c>
    </row>
    <row r="394" customFormat="false" ht="15" hidden="false" customHeight="true" outlineLevel="0" collapsed="false">
      <c r="A394" s="1" t="s">
        <v>644</v>
      </c>
      <c r="B394" s="1" t="s">
        <v>554</v>
      </c>
      <c r="C394" s="1" t="s">
        <v>580</v>
      </c>
      <c r="D394" s="1" t="s">
        <v>284</v>
      </c>
      <c r="E394" s="82" t="n">
        <v>0</v>
      </c>
      <c r="F394" s="26" t="n">
        <v>0</v>
      </c>
      <c r="G394" s="26" t="n">
        <v>0</v>
      </c>
      <c r="H394" s="1" t="s">
        <v>581</v>
      </c>
    </row>
    <row r="395" customFormat="false" ht="15" hidden="false" customHeight="true" outlineLevel="0" collapsed="false">
      <c r="A395" s="1" t="s">
        <v>644</v>
      </c>
      <c r="B395" s="1" t="s">
        <v>554</v>
      </c>
      <c r="C395" s="1" t="s">
        <v>582</v>
      </c>
      <c r="D395" s="1" t="s">
        <v>284</v>
      </c>
      <c r="E395" s="82" t="n">
        <v>0</v>
      </c>
      <c r="F395" s="26" t="n">
        <v>0</v>
      </c>
      <c r="G395" s="26" t="n">
        <v>0</v>
      </c>
      <c r="H395" s="1" t="s">
        <v>556</v>
      </c>
    </row>
    <row r="396" customFormat="false" ht="15" hidden="false" customHeight="true" outlineLevel="0" collapsed="false">
      <c r="A396" s="1" t="s">
        <v>644</v>
      </c>
      <c r="B396" s="1" t="s">
        <v>554</v>
      </c>
      <c r="C396" s="1" t="s">
        <v>583</v>
      </c>
      <c r="D396" s="1" t="s">
        <v>284</v>
      </c>
      <c r="E396" s="82" t="n">
        <v>0</v>
      </c>
      <c r="F396" s="26" t="n">
        <v>0</v>
      </c>
      <c r="G396" s="26" t="n">
        <v>0</v>
      </c>
      <c r="H396" s="1" t="s">
        <v>560</v>
      </c>
    </row>
    <row r="397" customFormat="false" ht="15" hidden="false" customHeight="true" outlineLevel="0" collapsed="false">
      <c r="A397" s="1" t="s">
        <v>644</v>
      </c>
      <c r="B397" s="1" t="s">
        <v>554</v>
      </c>
      <c r="C397" s="1" t="s">
        <v>584</v>
      </c>
      <c r="D397" s="1" t="s">
        <v>284</v>
      </c>
      <c r="E397" s="82" t="n">
        <v>0</v>
      </c>
      <c r="F397" s="26" t="n">
        <v>0</v>
      </c>
      <c r="G397" s="26" t="n">
        <v>0</v>
      </c>
      <c r="H397" s="1" t="s">
        <v>566</v>
      </c>
    </row>
    <row r="398" customFormat="false" ht="15" hidden="false" customHeight="true" outlineLevel="0" collapsed="false">
      <c r="A398" s="1" t="s">
        <v>644</v>
      </c>
      <c r="B398" s="1" t="s">
        <v>554</v>
      </c>
      <c r="C398" s="1" t="s">
        <v>580</v>
      </c>
      <c r="D398" s="1" t="s">
        <v>285</v>
      </c>
      <c r="E398" s="82" t="n">
        <v>0</v>
      </c>
      <c r="F398" s="26" t="n">
        <v>0</v>
      </c>
      <c r="G398" s="26" t="n">
        <v>0</v>
      </c>
      <c r="H398" s="1" t="s">
        <v>564</v>
      </c>
    </row>
    <row r="399" customFormat="false" ht="15" hidden="false" customHeight="true" outlineLevel="0" collapsed="false">
      <c r="A399" s="1" t="s">
        <v>644</v>
      </c>
      <c r="B399" s="1" t="s">
        <v>554</v>
      </c>
      <c r="C399" s="1" t="s">
        <v>585</v>
      </c>
      <c r="D399" s="1" t="s">
        <v>285</v>
      </c>
      <c r="E399" s="82" t="n">
        <v>0</v>
      </c>
      <c r="F399" s="26" t="n">
        <v>0</v>
      </c>
      <c r="G399" s="26" t="n">
        <v>0</v>
      </c>
      <c r="H399" s="1" t="s">
        <v>564</v>
      </c>
    </row>
    <row r="400" customFormat="false" ht="15" hidden="false" customHeight="true" outlineLevel="0" collapsed="false">
      <c r="A400" s="1" t="s">
        <v>644</v>
      </c>
      <c r="B400" s="1" t="s">
        <v>554</v>
      </c>
      <c r="C400" s="1" t="s">
        <v>586</v>
      </c>
      <c r="D400" s="1" t="s">
        <v>285</v>
      </c>
      <c r="E400" s="82" t="n">
        <v>0</v>
      </c>
      <c r="F400" s="26" t="n">
        <v>0</v>
      </c>
      <c r="G400" s="26" t="n">
        <v>0</v>
      </c>
      <c r="H400" s="1" t="s">
        <v>579</v>
      </c>
    </row>
    <row r="401" customFormat="false" ht="15" hidden="false" customHeight="true" outlineLevel="0" collapsed="false">
      <c r="A401" s="1" t="s">
        <v>644</v>
      </c>
      <c r="B401" s="1" t="s">
        <v>554</v>
      </c>
      <c r="C401" s="1" t="s">
        <v>584</v>
      </c>
      <c r="D401" s="1" t="s">
        <v>285</v>
      </c>
      <c r="E401" s="82" t="n">
        <v>0</v>
      </c>
      <c r="F401" s="26" t="n">
        <v>0</v>
      </c>
      <c r="G401" s="26" t="n">
        <v>0</v>
      </c>
      <c r="H401" s="1" t="s">
        <v>587</v>
      </c>
    </row>
    <row r="402" customFormat="false" ht="15" hidden="false" customHeight="true" outlineLevel="0" collapsed="false">
      <c r="A402" s="1" t="s">
        <v>644</v>
      </c>
      <c r="B402" s="1" t="s">
        <v>554</v>
      </c>
      <c r="C402" s="1" t="s">
        <v>588</v>
      </c>
      <c r="D402" s="1" t="s">
        <v>282</v>
      </c>
      <c r="E402" s="82" t="n">
        <v>4782</v>
      </c>
      <c r="F402" s="26" t="n">
        <v>1.01</v>
      </c>
      <c r="G402" s="26" t="n">
        <v>4829.82</v>
      </c>
      <c r="H402" s="1" t="s">
        <v>451</v>
      </c>
    </row>
    <row r="403" customFormat="false" ht="15" hidden="false" customHeight="true" outlineLevel="0" collapsed="false">
      <c r="A403" s="1" t="s">
        <v>644</v>
      </c>
      <c r="B403" s="1" t="s">
        <v>554</v>
      </c>
      <c r="C403" s="1" t="s">
        <v>589</v>
      </c>
      <c r="D403" s="1" t="s">
        <v>282</v>
      </c>
      <c r="E403" s="82" t="n">
        <v>1</v>
      </c>
      <c r="F403" s="26" t="n">
        <v>2480.38</v>
      </c>
      <c r="G403" s="26" t="n">
        <v>2480.38</v>
      </c>
      <c r="H403" s="1" t="s">
        <v>564</v>
      </c>
    </row>
    <row r="404" customFormat="false" ht="15" hidden="false" customHeight="true" outlineLevel="0" collapsed="false">
      <c r="A404" s="1" t="s">
        <v>644</v>
      </c>
      <c r="B404" s="1" t="s">
        <v>554</v>
      </c>
      <c r="C404" s="1" t="s">
        <v>590</v>
      </c>
      <c r="D404" s="1" t="s">
        <v>282</v>
      </c>
      <c r="E404" s="82" t="n">
        <v>0</v>
      </c>
      <c r="F404" s="26" t="n">
        <v>0</v>
      </c>
      <c r="G404" s="26" t="n">
        <v>0</v>
      </c>
      <c r="H404" s="1" t="s">
        <v>564</v>
      </c>
    </row>
    <row r="405" customFormat="false" ht="15" hidden="false" customHeight="true" outlineLevel="0" collapsed="false">
      <c r="A405" s="1" t="s">
        <v>644</v>
      </c>
      <c r="B405" s="1" t="s">
        <v>554</v>
      </c>
      <c r="C405" s="1" t="s">
        <v>591</v>
      </c>
      <c r="D405" s="1" t="s">
        <v>282</v>
      </c>
      <c r="E405" s="82" t="n">
        <v>1</v>
      </c>
      <c r="F405" s="26" t="n">
        <v>13877.08</v>
      </c>
      <c r="G405" s="26" t="n">
        <v>13877.08</v>
      </c>
      <c r="H405" s="1" t="s">
        <v>587</v>
      </c>
    </row>
    <row r="406" customFormat="false" ht="15" hidden="false" customHeight="true" outlineLevel="0" collapsed="false">
      <c r="A406" s="1" t="s">
        <v>644</v>
      </c>
      <c r="B406" s="1" t="s">
        <v>554</v>
      </c>
      <c r="C406" s="1" t="s">
        <v>592</v>
      </c>
      <c r="D406" s="1" t="s">
        <v>282</v>
      </c>
      <c r="E406" s="82" t="n">
        <v>0</v>
      </c>
      <c r="F406" s="26" t="n">
        <v>0</v>
      </c>
      <c r="G406" s="26" t="n">
        <v>0</v>
      </c>
      <c r="H406" s="1" t="s">
        <v>579</v>
      </c>
    </row>
    <row r="407" customFormat="false" ht="15" hidden="false" customHeight="true" outlineLevel="0" collapsed="false">
      <c r="A407" s="1" t="s">
        <v>644</v>
      </c>
      <c r="B407" s="1" t="s">
        <v>593</v>
      </c>
      <c r="C407" s="1" t="s">
        <v>594</v>
      </c>
      <c r="D407" s="1" t="s">
        <v>289</v>
      </c>
      <c r="E407" s="82" t="n">
        <v>1</v>
      </c>
      <c r="F407" s="26" t="n">
        <v>238.88</v>
      </c>
      <c r="G407" s="26" t="n">
        <v>238.88</v>
      </c>
      <c r="H407" s="1" t="s">
        <v>599</v>
      </c>
    </row>
    <row r="408" customFormat="false" ht="15" hidden="false" customHeight="true" outlineLevel="0" collapsed="false">
      <c r="A408" s="1" t="s">
        <v>644</v>
      </c>
      <c r="B408" s="1" t="s">
        <v>593</v>
      </c>
      <c r="C408" s="1" t="s">
        <v>596</v>
      </c>
      <c r="D408" s="1" t="s">
        <v>289</v>
      </c>
      <c r="E408" s="82" t="n">
        <v>1</v>
      </c>
      <c r="F408" s="26" t="n">
        <v>609.17</v>
      </c>
      <c r="G408" s="26" t="n">
        <v>609.17</v>
      </c>
      <c r="H408" s="1" t="s">
        <v>599</v>
      </c>
    </row>
    <row r="409" customFormat="false" ht="15" hidden="false" customHeight="true" outlineLevel="0" collapsed="false">
      <c r="A409" s="1" t="s">
        <v>644</v>
      </c>
      <c r="B409" s="1" t="s">
        <v>593</v>
      </c>
      <c r="C409" s="1" t="s">
        <v>597</v>
      </c>
      <c r="D409" s="1" t="s">
        <v>289</v>
      </c>
      <c r="E409" s="82" t="n">
        <v>1</v>
      </c>
      <c r="F409" s="26" t="n">
        <v>510</v>
      </c>
      <c r="G409" s="26" t="n">
        <v>510</v>
      </c>
      <c r="H409" s="1" t="s">
        <v>599</v>
      </c>
    </row>
    <row r="410" customFormat="false" ht="15" hidden="false" customHeight="true" outlineLevel="0" collapsed="false">
      <c r="A410" s="1" t="s">
        <v>644</v>
      </c>
      <c r="B410" s="1" t="s">
        <v>593</v>
      </c>
      <c r="C410" s="1" t="s">
        <v>598</v>
      </c>
      <c r="D410" s="1" t="s">
        <v>289</v>
      </c>
      <c r="E410" s="82" t="n">
        <v>1</v>
      </c>
      <c r="F410" s="26" t="n">
        <v>333.1</v>
      </c>
      <c r="G410" s="26" t="n">
        <v>333.1</v>
      </c>
      <c r="H410" s="1" t="s">
        <v>648</v>
      </c>
    </row>
    <row r="411" customFormat="false" ht="15" hidden="false" customHeight="true" outlineLevel="0" collapsed="false">
      <c r="A411" s="1" t="s">
        <v>644</v>
      </c>
      <c r="B411" s="1" t="s">
        <v>593</v>
      </c>
      <c r="C411" s="1" t="s">
        <v>600</v>
      </c>
      <c r="D411" s="1" t="s">
        <v>289</v>
      </c>
      <c r="E411" s="82" t="n">
        <v>1</v>
      </c>
      <c r="F411" s="26" t="n">
        <v>1833.24</v>
      </c>
      <c r="G411" s="26" t="n">
        <v>1833.24</v>
      </c>
      <c r="H411" s="1" t="s">
        <v>599</v>
      </c>
    </row>
    <row r="412" customFormat="false" ht="15" hidden="false" customHeight="true" outlineLevel="0" collapsed="false">
      <c r="A412" s="1" t="s">
        <v>644</v>
      </c>
      <c r="B412" s="1" t="s">
        <v>593</v>
      </c>
      <c r="C412" s="1" t="s">
        <v>601</v>
      </c>
      <c r="D412" s="1" t="s">
        <v>289</v>
      </c>
      <c r="E412" s="82" t="n">
        <v>1</v>
      </c>
      <c r="F412" s="26" t="n">
        <v>2973.2</v>
      </c>
      <c r="G412" s="26" t="n">
        <v>2973.2</v>
      </c>
      <c r="H412" s="1" t="s">
        <v>599</v>
      </c>
    </row>
    <row r="413" customFormat="false" ht="15" hidden="false" customHeight="true" outlineLevel="0" collapsed="false">
      <c r="A413" s="1" t="s">
        <v>644</v>
      </c>
      <c r="B413" s="1" t="s">
        <v>593</v>
      </c>
      <c r="C413" s="1" t="s">
        <v>602</v>
      </c>
      <c r="D413" s="1" t="s">
        <v>289</v>
      </c>
      <c r="E413" s="82" t="n">
        <v>1</v>
      </c>
      <c r="F413" s="26" t="n">
        <v>7615.46</v>
      </c>
      <c r="G413" s="26" t="n">
        <v>7615.46</v>
      </c>
      <c r="H413" s="1" t="s">
        <v>599</v>
      </c>
    </row>
    <row r="414" customFormat="false" ht="15" hidden="false" customHeight="true" outlineLevel="0" collapsed="false">
      <c r="A414" s="1" t="s">
        <v>644</v>
      </c>
      <c r="B414" s="1" t="s">
        <v>593</v>
      </c>
      <c r="C414" s="1" t="s">
        <v>603</v>
      </c>
      <c r="D414" s="1" t="s">
        <v>290</v>
      </c>
      <c r="E414" s="82" t="n">
        <v>-1</v>
      </c>
      <c r="F414" s="26" t="n">
        <v>837.25</v>
      </c>
      <c r="G414" s="26" t="n">
        <v>-837.25</v>
      </c>
      <c r="H414" s="1" t="s">
        <v>604</v>
      </c>
    </row>
    <row r="415" customFormat="false" ht="15" hidden="false" customHeight="true" outlineLevel="0" collapsed="false">
      <c r="A415" s="1" t="s">
        <v>644</v>
      </c>
      <c r="B415" s="1" t="s">
        <v>593</v>
      </c>
      <c r="C415" s="1" t="s">
        <v>594</v>
      </c>
      <c r="D415" s="1" t="s">
        <v>290</v>
      </c>
      <c r="E415" s="82" t="n">
        <v>-1</v>
      </c>
      <c r="F415" s="26" t="n">
        <v>238.88</v>
      </c>
      <c r="G415" s="26" t="n">
        <v>-238.88</v>
      </c>
      <c r="H415" s="1" t="s">
        <v>605</v>
      </c>
    </row>
    <row r="416" customFormat="false" ht="15" hidden="false" customHeight="true" outlineLevel="0" collapsed="false">
      <c r="A416" s="1" t="s">
        <v>644</v>
      </c>
      <c r="B416" s="1" t="s">
        <v>593</v>
      </c>
      <c r="C416" s="1" t="s">
        <v>597</v>
      </c>
      <c r="D416" s="1" t="s">
        <v>282</v>
      </c>
      <c r="E416" s="82" t="n">
        <v>1</v>
      </c>
      <c r="F416" s="26" t="n">
        <v>67.33</v>
      </c>
      <c r="G416" s="26" t="n">
        <v>67.33</v>
      </c>
      <c r="H416" s="1" t="s">
        <v>607</v>
      </c>
    </row>
    <row r="417" customFormat="false" ht="15" hidden="false" customHeight="true" outlineLevel="0" collapsed="false">
      <c r="A417" s="1" t="s">
        <v>644</v>
      </c>
      <c r="B417" s="1" t="s">
        <v>593</v>
      </c>
      <c r="C417" s="1" t="s">
        <v>597</v>
      </c>
      <c r="D417" s="1" t="s">
        <v>282</v>
      </c>
      <c r="E417" s="82" t="n">
        <v>-1</v>
      </c>
      <c r="F417" s="26" t="n">
        <v>510</v>
      </c>
      <c r="G417" s="26" t="n">
        <v>-510</v>
      </c>
      <c r="H417" s="1" t="s">
        <v>599</v>
      </c>
    </row>
    <row r="418" customFormat="false" ht="15" hidden="false" customHeight="true" outlineLevel="0" collapsed="false">
      <c r="A418" s="1" t="s">
        <v>644</v>
      </c>
      <c r="B418" s="1" t="s">
        <v>47</v>
      </c>
      <c r="C418" s="1" t="s">
        <v>608</v>
      </c>
      <c r="D418" s="1" t="s">
        <v>287</v>
      </c>
      <c r="E418" s="82" t="n">
        <v>1</v>
      </c>
      <c r="F418" s="26" t="n">
        <v>1583.45</v>
      </c>
      <c r="G418" s="26" t="n">
        <v>1583.45</v>
      </c>
      <c r="H418" s="1" t="s">
        <v>649</v>
      </c>
    </row>
    <row r="419" customFormat="false" ht="15" hidden="false" customHeight="true" outlineLevel="0" collapsed="false">
      <c r="A419" s="1" t="s">
        <v>644</v>
      </c>
      <c r="B419" s="1" t="s">
        <v>47</v>
      </c>
      <c r="C419" s="1" t="s">
        <v>608</v>
      </c>
      <c r="D419" s="1" t="s">
        <v>289</v>
      </c>
      <c r="E419" s="82" t="n">
        <v>1</v>
      </c>
      <c r="F419" s="26" t="n">
        <v>1138.52</v>
      </c>
      <c r="G419" s="26" t="n">
        <v>1138.52</v>
      </c>
      <c r="H419" s="1" t="s">
        <v>650</v>
      </c>
    </row>
    <row r="420" customFormat="false" ht="15" hidden="false" customHeight="true" outlineLevel="0" collapsed="false">
      <c r="A420" s="1" t="s">
        <v>644</v>
      </c>
      <c r="B420" s="1" t="s">
        <v>47</v>
      </c>
      <c r="C420" s="1" t="s">
        <v>608</v>
      </c>
      <c r="D420" s="1" t="s">
        <v>293</v>
      </c>
      <c r="E420" s="82" t="n">
        <v>0</v>
      </c>
      <c r="F420" s="26" t="n">
        <v>0</v>
      </c>
      <c r="G420" s="26" t="n">
        <v>0</v>
      </c>
      <c r="H420" s="1" t="s">
        <v>611</v>
      </c>
    </row>
    <row r="421" customFormat="false" ht="15" hidden="false" customHeight="true" outlineLevel="0" collapsed="false">
      <c r="A421" s="1" t="s">
        <v>644</v>
      </c>
      <c r="B421" s="1" t="s">
        <v>47</v>
      </c>
      <c r="C421" s="1" t="s">
        <v>608</v>
      </c>
      <c r="D421" s="1" t="s">
        <v>290</v>
      </c>
      <c r="E421" s="82" t="n">
        <v>1</v>
      </c>
      <c r="F421" s="26" t="n">
        <v>1989.74</v>
      </c>
      <c r="G421" s="26" t="n">
        <v>1989.74</v>
      </c>
      <c r="H421" s="1" t="s">
        <v>651</v>
      </c>
    </row>
    <row r="422" customFormat="false" ht="15" hidden="false" customHeight="true" outlineLevel="0" collapsed="false">
      <c r="A422" s="1" t="s">
        <v>644</v>
      </c>
      <c r="B422" s="1" t="s">
        <v>47</v>
      </c>
      <c r="C422" s="1" t="s">
        <v>608</v>
      </c>
      <c r="D422" s="1" t="s">
        <v>284</v>
      </c>
      <c r="E422" s="82" t="n">
        <v>0</v>
      </c>
      <c r="F422" s="26" t="n">
        <v>0</v>
      </c>
      <c r="G422" s="26" t="n">
        <v>0</v>
      </c>
      <c r="H422" s="1" t="s">
        <v>613</v>
      </c>
    </row>
    <row r="423" customFormat="false" ht="15" hidden="false" customHeight="true" outlineLevel="0" collapsed="false">
      <c r="A423" s="1" t="s">
        <v>644</v>
      </c>
      <c r="B423" s="1" t="s">
        <v>47</v>
      </c>
      <c r="C423" s="1" t="s">
        <v>608</v>
      </c>
      <c r="D423" s="1" t="s">
        <v>285</v>
      </c>
      <c r="E423" s="82" t="n">
        <v>0</v>
      </c>
      <c r="F423" s="26" t="n">
        <v>0</v>
      </c>
      <c r="G423" s="26" t="n">
        <v>0</v>
      </c>
      <c r="H423" s="1" t="s">
        <v>611</v>
      </c>
    </row>
    <row r="424" customFormat="false" ht="15" hidden="false" customHeight="true" outlineLevel="0" collapsed="false">
      <c r="A424" s="1" t="s">
        <v>644</v>
      </c>
      <c r="B424" s="1" t="s">
        <v>85</v>
      </c>
      <c r="C424" s="1" t="s">
        <v>615</v>
      </c>
      <c r="D424" s="1" t="s">
        <v>275</v>
      </c>
      <c r="E424" s="82" t="n">
        <v>119</v>
      </c>
      <c r="F424" s="26" t="n">
        <v>122.31</v>
      </c>
      <c r="G424" s="26" t="n">
        <v>14554.89</v>
      </c>
      <c r="H424" s="1" t="s">
        <v>616</v>
      </c>
    </row>
    <row r="425" customFormat="false" ht="15" hidden="false" customHeight="true" outlineLevel="0" collapsed="false">
      <c r="A425" s="1" t="s">
        <v>644</v>
      </c>
      <c r="B425" s="1" t="s">
        <v>85</v>
      </c>
      <c r="C425" s="1" t="s">
        <v>615</v>
      </c>
      <c r="D425" s="1" t="s">
        <v>287</v>
      </c>
      <c r="E425" s="82" t="n">
        <v>4</v>
      </c>
      <c r="F425" s="26" t="n">
        <v>127.35</v>
      </c>
      <c r="G425" s="26" t="n">
        <v>509.4</v>
      </c>
      <c r="H425" s="1" t="s">
        <v>616</v>
      </c>
    </row>
    <row r="426" customFormat="false" ht="15" hidden="false" customHeight="true" outlineLevel="0" collapsed="false">
      <c r="A426" s="1" t="s">
        <v>644</v>
      </c>
      <c r="B426" s="1" t="s">
        <v>85</v>
      </c>
      <c r="C426" s="1" t="s">
        <v>615</v>
      </c>
      <c r="D426" s="1" t="s">
        <v>289</v>
      </c>
      <c r="E426" s="82" t="n">
        <v>18</v>
      </c>
      <c r="F426" s="26" t="n">
        <v>128.18</v>
      </c>
      <c r="G426" s="26" t="n">
        <v>2307.24</v>
      </c>
      <c r="H426" s="1" t="s">
        <v>616</v>
      </c>
    </row>
    <row r="427" customFormat="false" ht="15" hidden="false" customHeight="true" outlineLevel="0" collapsed="false">
      <c r="A427" s="1" t="s">
        <v>644</v>
      </c>
      <c r="B427" s="1" t="s">
        <v>85</v>
      </c>
      <c r="C427" s="1" t="s">
        <v>615</v>
      </c>
      <c r="D427" s="1" t="s">
        <v>293</v>
      </c>
      <c r="E427" s="82" t="n">
        <v>11</v>
      </c>
      <c r="F427" s="26" t="n">
        <v>122.58</v>
      </c>
      <c r="G427" s="26" t="n">
        <v>1348.38</v>
      </c>
      <c r="H427" s="1" t="s">
        <v>616</v>
      </c>
    </row>
    <row r="428" customFormat="false" ht="15" hidden="false" customHeight="true" outlineLevel="0" collapsed="false">
      <c r="A428" s="1" t="s">
        <v>644</v>
      </c>
      <c r="B428" s="1" t="s">
        <v>85</v>
      </c>
      <c r="C428" s="1" t="s">
        <v>615</v>
      </c>
      <c r="D428" s="1" t="s">
        <v>290</v>
      </c>
      <c r="E428" s="82" t="n">
        <v>20</v>
      </c>
      <c r="F428" s="26" t="n">
        <v>134.1</v>
      </c>
      <c r="G428" s="26" t="n">
        <v>2682</v>
      </c>
      <c r="H428" s="1" t="s">
        <v>616</v>
      </c>
    </row>
    <row r="429" customFormat="false" ht="15" hidden="false" customHeight="true" outlineLevel="0" collapsed="false">
      <c r="A429" s="1" t="s">
        <v>644</v>
      </c>
      <c r="B429" s="1" t="s">
        <v>85</v>
      </c>
      <c r="C429" s="1" t="s">
        <v>615</v>
      </c>
      <c r="D429" s="1" t="s">
        <v>290</v>
      </c>
      <c r="E429" s="82" t="n">
        <v>1</v>
      </c>
      <c r="F429" s="26" t="n">
        <v>119.85</v>
      </c>
      <c r="G429" s="26" t="n">
        <v>119.85</v>
      </c>
      <c r="H429" s="1" t="s">
        <v>652</v>
      </c>
    </row>
    <row r="430" customFormat="false" ht="15" hidden="false" customHeight="true" outlineLevel="0" collapsed="false">
      <c r="A430" s="1" t="s">
        <v>644</v>
      </c>
      <c r="B430" s="1" t="s">
        <v>85</v>
      </c>
      <c r="C430" s="1" t="s">
        <v>615</v>
      </c>
      <c r="D430" s="1" t="s">
        <v>284</v>
      </c>
      <c r="E430" s="82" t="n">
        <v>4</v>
      </c>
      <c r="F430" s="26" t="n">
        <v>119.85</v>
      </c>
      <c r="G430" s="26" t="n">
        <v>479.4</v>
      </c>
      <c r="H430" s="1" t="s">
        <v>616</v>
      </c>
    </row>
    <row r="431" customFormat="false" ht="15" hidden="false" customHeight="true" outlineLevel="0" collapsed="false">
      <c r="A431" s="1" t="s">
        <v>644</v>
      </c>
      <c r="B431" s="1" t="s">
        <v>85</v>
      </c>
      <c r="C431" s="1" t="s">
        <v>615</v>
      </c>
      <c r="D431" s="1" t="s">
        <v>285</v>
      </c>
      <c r="E431" s="82" t="n">
        <v>0</v>
      </c>
      <c r="F431" s="26" t="n">
        <v>0</v>
      </c>
      <c r="G431" s="26" t="n">
        <v>0</v>
      </c>
      <c r="H431" s="1" t="s">
        <v>617</v>
      </c>
    </row>
    <row r="432" customFormat="false" ht="15" hidden="false" customHeight="true" outlineLevel="0" collapsed="false">
      <c r="A432" s="1" t="s">
        <v>644</v>
      </c>
      <c r="B432" s="1" t="s">
        <v>85</v>
      </c>
      <c r="C432" s="1" t="s">
        <v>615</v>
      </c>
      <c r="D432" s="1" t="s">
        <v>282</v>
      </c>
      <c r="E432" s="82" t="n">
        <v>8</v>
      </c>
      <c r="F432" s="26" t="n">
        <v>123.6</v>
      </c>
      <c r="G432" s="26" t="n">
        <v>988.8</v>
      </c>
      <c r="H432" s="1" t="s">
        <v>616</v>
      </c>
    </row>
    <row r="433" customFormat="false" ht="15" hidden="false" customHeight="true" outlineLevel="0" collapsed="false">
      <c r="A433" s="1" t="s">
        <v>644</v>
      </c>
      <c r="B433" s="1" t="s">
        <v>85</v>
      </c>
      <c r="C433" s="1" t="s">
        <v>615</v>
      </c>
      <c r="D433" s="1" t="s">
        <v>282</v>
      </c>
      <c r="E433" s="82" t="n">
        <v>1</v>
      </c>
      <c r="F433" s="26" t="n">
        <v>988.8</v>
      </c>
      <c r="G433" s="26" t="n">
        <v>988.8</v>
      </c>
      <c r="H433" s="1" t="s">
        <v>617</v>
      </c>
    </row>
    <row r="434" customFormat="false" ht="15" hidden="false" customHeight="true" outlineLevel="0" collapsed="false">
      <c r="A434" s="1" t="s">
        <v>644</v>
      </c>
      <c r="B434" s="1" t="s">
        <v>32</v>
      </c>
      <c r="C434" s="1" t="s">
        <v>618</v>
      </c>
      <c r="D434" s="1" t="s">
        <v>287</v>
      </c>
      <c r="E434" s="82" t="n">
        <v>0</v>
      </c>
      <c r="F434" s="26" t="n">
        <v>0</v>
      </c>
      <c r="G434" s="26" t="n">
        <v>0</v>
      </c>
      <c r="H434" s="1" t="s">
        <v>619</v>
      </c>
    </row>
    <row r="435" customFormat="false" ht="15" hidden="false" customHeight="true" outlineLevel="0" collapsed="false">
      <c r="A435" s="1" t="s">
        <v>644</v>
      </c>
      <c r="B435" s="1" t="s">
        <v>32</v>
      </c>
      <c r="C435" s="1" t="s">
        <v>620</v>
      </c>
      <c r="D435" s="1" t="s">
        <v>287</v>
      </c>
      <c r="E435" s="82" t="n">
        <v>0</v>
      </c>
      <c r="F435" s="26" t="n">
        <v>0</v>
      </c>
      <c r="G435" s="26" t="n">
        <v>0</v>
      </c>
      <c r="H435" s="1" t="s">
        <v>621</v>
      </c>
    </row>
    <row r="436" customFormat="false" ht="15" hidden="false" customHeight="true" outlineLevel="0" collapsed="false">
      <c r="A436" s="1" t="s">
        <v>644</v>
      </c>
      <c r="B436" s="1" t="s">
        <v>32</v>
      </c>
      <c r="C436" s="1" t="s">
        <v>618</v>
      </c>
      <c r="D436" s="1" t="s">
        <v>293</v>
      </c>
      <c r="E436" s="82" t="n">
        <v>0</v>
      </c>
      <c r="F436" s="26" t="n">
        <v>0</v>
      </c>
      <c r="G436" s="26" t="n">
        <v>0</v>
      </c>
      <c r="H436" s="1" t="s">
        <v>619</v>
      </c>
    </row>
    <row r="437" customFormat="false" ht="15" hidden="false" customHeight="true" outlineLevel="0" collapsed="false">
      <c r="A437" s="1" t="s">
        <v>644</v>
      </c>
      <c r="B437" s="1" t="s">
        <v>32</v>
      </c>
      <c r="C437" s="1" t="s">
        <v>620</v>
      </c>
      <c r="D437" s="1" t="s">
        <v>293</v>
      </c>
      <c r="E437" s="82" t="n">
        <v>0</v>
      </c>
      <c r="F437" s="26" t="n">
        <v>0</v>
      </c>
      <c r="G437" s="26" t="n">
        <v>0</v>
      </c>
      <c r="H437" s="1" t="s">
        <v>622</v>
      </c>
    </row>
    <row r="438" customFormat="false" ht="15" hidden="false" customHeight="true" outlineLevel="0" collapsed="false">
      <c r="A438" s="1" t="s">
        <v>644</v>
      </c>
      <c r="B438" s="1" t="s">
        <v>32</v>
      </c>
      <c r="C438" s="1" t="s">
        <v>618</v>
      </c>
      <c r="D438" s="1" t="s">
        <v>290</v>
      </c>
      <c r="E438" s="82" t="n">
        <v>0</v>
      </c>
      <c r="F438" s="26" t="n">
        <v>0</v>
      </c>
      <c r="G438" s="26" t="n">
        <v>0</v>
      </c>
      <c r="H438" s="1" t="s">
        <v>619</v>
      </c>
    </row>
    <row r="439" customFormat="false" ht="15" hidden="false" customHeight="true" outlineLevel="0" collapsed="false">
      <c r="A439" s="1" t="s">
        <v>644</v>
      </c>
      <c r="B439" s="1" t="s">
        <v>32</v>
      </c>
      <c r="C439" s="1" t="s">
        <v>618</v>
      </c>
      <c r="D439" s="1" t="s">
        <v>284</v>
      </c>
      <c r="E439" s="82" t="n">
        <v>0</v>
      </c>
      <c r="F439" s="26" t="n">
        <v>0</v>
      </c>
      <c r="G439" s="26" t="n">
        <v>0</v>
      </c>
      <c r="H439" s="1" t="s">
        <v>619</v>
      </c>
    </row>
    <row r="440" customFormat="false" ht="15" hidden="false" customHeight="true" outlineLevel="0" collapsed="false">
      <c r="A440" s="1" t="s">
        <v>644</v>
      </c>
      <c r="B440" s="1" t="s">
        <v>32</v>
      </c>
      <c r="C440" s="1" t="s">
        <v>620</v>
      </c>
      <c r="D440" s="1" t="s">
        <v>284</v>
      </c>
      <c r="E440" s="82" t="n">
        <v>0</v>
      </c>
      <c r="F440" s="26" t="n">
        <v>0</v>
      </c>
      <c r="G440" s="26" t="n">
        <v>0</v>
      </c>
      <c r="H440" s="1" t="s">
        <v>621</v>
      </c>
    </row>
    <row r="441" customFormat="false" ht="15" hidden="false" customHeight="true" outlineLevel="0" collapsed="false">
      <c r="A441" s="1" t="s">
        <v>644</v>
      </c>
      <c r="B441" s="1" t="s">
        <v>32</v>
      </c>
      <c r="C441" s="1" t="s">
        <v>618</v>
      </c>
      <c r="D441" s="1" t="s">
        <v>285</v>
      </c>
      <c r="E441" s="82" t="n">
        <v>0</v>
      </c>
      <c r="F441" s="26" t="n">
        <v>0</v>
      </c>
      <c r="G441" s="26" t="n">
        <v>0</v>
      </c>
      <c r="H441" s="1" t="s">
        <v>619</v>
      </c>
    </row>
    <row r="442" customFormat="false" ht="15" hidden="false" customHeight="true" outlineLevel="0" collapsed="false">
      <c r="A442" s="1" t="s">
        <v>644</v>
      </c>
      <c r="B442" s="1" t="s">
        <v>32</v>
      </c>
      <c r="C442" s="1" t="s">
        <v>618</v>
      </c>
      <c r="D442" s="1" t="s">
        <v>282</v>
      </c>
      <c r="E442" s="82" t="n">
        <v>0</v>
      </c>
      <c r="F442" s="26" t="n">
        <v>0</v>
      </c>
      <c r="G442" s="26" t="n">
        <v>0</v>
      </c>
      <c r="H442" s="1" t="s">
        <v>619</v>
      </c>
    </row>
    <row r="443" customFormat="false" ht="15" hidden="false" customHeight="true" outlineLevel="0" collapsed="false">
      <c r="A443" s="1" t="s">
        <v>644</v>
      </c>
      <c r="B443" s="1" t="s">
        <v>32</v>
      </c>
      <c r="C443" s="1" t="s">
        <v>620</v>
      </c>
      <c r="D443" s="1" t="s">
        <v>282</v>
      </c>
      <c r="E443" s="82" t="n">
        <v>0</v>
      </c>
      <c r="F443" s="26" t="n">
        <v>0</v>
      </c>
      <c r="G443" s="26" t="n">
        <v>0</v>
      </c>
      <c r="H443" s="1" t="s">
        <v>623</v>
      </c>
    </row>
    <row r="444" customFormat="false" ht="15" hidden="false" customHeight="true" outlineLevel="0" collapsed="false">
      <c r="A444" s="1" t="s">
        <v>644</v>
      </c>
      <c r="B444" s="1" t="s">
        <v>624</v>
      </c>
      <c r="C444" s="1" t="s">
        <v>625</v>
      </c>
      <c r="D444" s="1" t="s">
        <v>289</v>
      </c>
      <c r="E444" s="82" t="n">
        <v>13402</v>
      </c>
      <c r="F444" s="26" t="n">
        <v>2.35573300476439</v>
      </c>
      <c r="G444" s="26" t="n">
        <v>31571.53373</v>
      </c>
      <c r="H444" s="1" t="s">
        <v>451</v>
      </c>
    </row>
    <row r="445" customFormat="false" ht="15" hidden="false" customHeight="true" outlineLevel="0" collapsed="false">
      <c r="A445" s="1" t="s">
        <v>644</v>
      </c>
      <c r="B445" s="1" t="s">
        <v>44</v>
      </c>
      <c r="C445" s="1" t="s">
        <v>626</v>
      </c>
      <c r="D445" s="1" t="s">
        <v>287</v>
      </c>
      <c r="E445" s="82" t="n">
        <v>1</v>
      </c>
      <c r="F445" s="26" t="n">
        <v>4343.82</v>
      </c>
      <c r="G445" s="26" t="n">
        <v>4343.82</v>
      </c>
      <c r="H445" s="1" t="s">
        <v>653</v>
      </c>
    </row>
    <row r="446" customFormat="false" ht="15" hidden="false" customHeight="true" outlineLevel="0" collapsed="false">
      <c r="A446" s="1" t="s">
        <v>644</v>
      </c>
      <c r="B446" s="1" t="s">
        <v>44</v>
      </c>
      <c r="C446" s="1" t="s">
        <v>626</v>
      </c>
      <c r="D446" s="1" t="s">
        <v>289</v>
      </c>
      <c r="E446" s="82" t="n">
        <v>1</v>
      </c>
      <c r="F446" s="26" t="n">
        <v>4773.1</v>
      </c>
      <c r="G446" s="26" t="n">
        <v>4773.1</v>
      </c>
      <c r="H446" s="1" t="s">
        <v>653</v>
      </c>
    </row>
    <row r="447" customFormat="false" ht="15" hidden="false" customHeight="true" outlineLevel="0" collapsed="false">
      <c r="A447" s="1" t="s">
        <v>644</v>
      </c>
      <c r="B447" s="1" t="s">
        <v>44</v>
      </c>
      <c r="C447" s="1" t="s">
        <v>629</v>
      </c>
      <c r="D447" s="1" t="s">
        <v>289</v>
      </c>
      <c r="E447" s="82" t="n">
        <v>0</v>
      </c>
      <c r="F447" s="26" t="n">
        <v>0</v>
      </c>
      <c r="G447" s="26" t="n">
        <v>0</v>
      </c>
      <c r="H447" s="1" t="s">
        <v>630</v>
      </c>
    </row>
    <row r="448" customFormat="false" ht="15" hidden="false" customHeight="true" outlineLevel="0" collapsed="false">
      <c r="A448" s="1" t="s">
        <v>644</v>
      </c>
      <c r="B448" s="1" t="s">
        <v>44</v>
      </c>
      <c r="C448" s="1" t="s">
        <v>631</v>
      </c>
      <c r="D448" s="1" t="s">
        <v>289</v>
      </c>
      <c r="E448" s="82" t="n">
        <v>0</v>
      </c>
      <c r="F448" s="26" t="n">
        <v>0</v>
      </c>
      <c r="G448" s="26" t="n">
        <v>0</v>
      </c>
      <c r="H448" s="1" t="s">
        <v>632</v>
      </c>
    </row>
    <row r="449" customFormat="false" ht="15" hidden="false" customHeight="true" outlineLevel="0" collapsed="false">
      <c r="A449" s="1" t="s">
        <v>644</v>
      </c>
      <c r="B449" s="1" t="s">
        <v>44</v>
      </c>
      <c r="C449" s="1" t="s">
        <v>633</v>
      </c>
      <c r="D449" s="1" t="s">
        <v>289</v>
      </c>
      <c r="E449" s="82" t="n">
        <v>0</v>
      </c>
      <c r="F449" s="26" t="n">
        <v>0</v>
      </c>
      <c r="G449" s="26" t="n">
        <v>0</v>
      </c>
      <c r="H449" s="1" t="s">
        <v>634</v>
      </c>
    </row>
    <row r="450" customFormat="false" ht="15" hidden="false" customHeight="true" outlineLevel="0" collapsed="false">
      <c r="A450" s="1" t="s">
        <v>644</v>
      </c>
      <c r="B450" s="1" t="s">
        <v>44</v>
      </c>
      <c r="C450" s="1" t="s">
        <v>626</v>
      </c>
      <c r="D450" s="1" t="s">
        <v>293</v>
      </c>
      <c r="E450" s="82" t="n">
        <v>1</v>
      </c>
      <c r="F450" s="26" t="n">
        <v>1019.8</v>
      </c>
      <c r="G450" s="26" t="n">
        <v>1019.8</v>
      </c>
      <c r="H450" s="1" t="s">
        <v>653</v>
      </c>
    </row>
    <row r="451" customFormat="false" ht="15" hidden="false" customHeight="true" outlineLevel="0" collapsed="false">
      <c r="A451" s="1" t="s">
        <v>644</v>
      </c>
      <c r="B451" s="1" t="s">
        <v>44</v>
      </c>
      <c r="C451" s="1" t="s">
        <v>626</v>
      </c>
      <c r="D451" s="1" t="s">
        <v>293</v>
      </c>
      <c r="E451" s="82" t="n">
        <v>0</v>
      </c>
      <c r="F451" s="26" t="n">
        <v>0</v>
      </c>
      <c r="G451" s="26" t="n">
        <v>0</v>
      </c>
      <c r="H451" s="1" t="s">
        <v>628</v>
      </c>
    </row>
    <row r="452" customFormat="false" ht="15" hidden="false" customHeight="true" outlineLevel="0" collapsed="false">
      <c r="A452" s="1" t="s">
        <v>644</v>
      </c>
      <c r="B452" s="1" t="s">
        <v>44</v>
      </c>
      <c r="C452" s="1" t="s">
        <v>635</v>
      </c>
      <c r="D452" s="1" t="s">
        <v>293</v>
      </c>
      <c r="E452" s="82" t="n">
        <v>0</v>
      </c>
      <c r="F452" s="26" t="n">
        <v>0</v>
      </c>
      <c r="G452" s="26" t="n">
        <v>0</v>
      </c>
      <c r="H452" s="1" t="s">
        <v>630</v>
      </c>
    </row>
    <row r="453" customFormat="false" ht="15" hidden="false" customHeight="true" outlineLevel="0" collapsed="false">
      <c r="A453" s="1" t="s">
        <v>644</v>
      </c>
      <c r="B453" s="1" t="s">
        <v>44</v>
      </c>
      <c r="C453" s="1" t="s">
        <v>636</v>
      </c>
      <c r="D453" s="1" t="s">
        <v>293</v>
      </c>
      <c r="E453" s="82" t="n">
        <v>0</v>
      </c>
      <c r="F453" s="26" t="n">
        <v>0</v>
      </c>
      <c r="G453" s="26" t="n">
        <v>0</v>
      </c>
      <c r="H453" s="1" t="s">
        <v>634</v>
      </c>
    </row>
    <row r="454" customFormat="false" ht="15" hidden="false" customHeight="true" outlineLevel="0" collapsed="false">
      <c r="A454" s="1" t="s">
        <v>644</v>
      </c>
      <c r="B454" s="1" t="s">
        <v>44</v>
      </c>
      <c r="C454" s="1" t="s">
        <v>626</v>
      </c>
      <c r="D454" s="1" t="s">
        <v>290</v>
      </c>
      <c r="E454" s="82" t="n">
        <v>1</v>
      </c>
      <c r="F454" s="26" t="n">
        <v>2399.73</v>
      </c>
      <c r="G454" s="26" t="n">
        <v>2399.73</v>
      </c>
      <c r="H454" s="1" t="s">
        <v>653</v>
      </c>
    </row>
    <row r="455" customFormat="false" ht="15" hidden="false" customHeight="true" outlineLevel="0" collapsed="false">
      <c r="A455" s="1" t="s">
        <v>644</v>
      </c>
      <c r="B455" s="1" t="s">
        <v>44</v>
      </c>
      <c r="C455" s="1" t="s">
        <v>637</v>
      </c>
      <c r="D455" s="1" t="s">
        <v>290</v>
      </c>
      <c r="E455" s="82" t="n">
        <v>0</v>
      </c>
      <c r="F455" s="26" t="n">
        <v>0</v>
      </c>
      <c r="G455" s="26" t="n">
        <v>0</v>
      </c>
      <c r="H455" s="1" t="s">
        <v>630</v>
      </c>
    </row>
    <row r="456" customFormat="false" ht="15" hidden="false" customHeight="true" outlineLevel="0" collapsed="false">
      <c r="A456" s="1" t="s">
        <v>644</v>
      </c>
      <c r="B456" s="1" t="s">
        <v>44</v>
      </c>
      <c r="C456" s="1" t="s">
        <v>638</v>
      </c>
      <c r="D456" s="1" t="s">
        <v>290</v>
      </c>
      <c r="E456" s="82" t="n">
        <v>0</v>
      </c>
      <c r="F456" s="26" t="n">
        <v>0</v>
      </c>
      <c r="G456" s="26" t="n">
        <v>0</v>
      </c>
      <c r="H456" s="1" t="s">
        <v>630</v>
      </c>
    </row>
    <row r="457" customFormat="false" ht="15" hidden="false" customHeight="true" outlineLevel="0" collapsed="false">
      <c r="A457" s="1" t="s">
        <v>644</v>
      </c>
      <c r="B457" s="1" t="s">
        <v>44</v>
      </c>
      <c r="C457" s="1" t="s">
        <v>639</v>
      </c>
      <c r="D457" s="1" t="s">
        <v>290</v>
      </c>
      <c r="E457" s="82" t="n">
        <v>0</v>
      </c>
      <c r="F457" s="26" t="n">
        <v>0</v>
      </c>
      <c r="G457" s="26" t="n">
        <v>0</v>
      </c>
      <c r="H457" s="1" t="s">
        <v>634</v>
      </c>
    </row>
    <row r="458" customFormat="false" ht="15" hidden="false" customHeight="true" outlineLevel="0" collapsed="false">
      <c r="A458" s="1" t="s">
        <v>644</v>
      </c>
      <c r="B458" s="1" t="s">
        <v>44</v>
      </c>
      <c r="C458" s="1" t="s">
        <v>640</v>
      </c>
      <c r="D458" s="1" t="s">
        <v>290</v>
      </c>
      <c r="E458" s="82" t="n">
        <v>0</v>
      </c>
      <c r="F458" s="26" t="n">
        <v>0</v>
      </c>
      <c r="G458" s="26" t="n">
        <v>0</v>
      </c>
      <c r="H458" s="1" t="s">
        <v>634</v>
      </c>
    </row>
    <row r="459" customFormat="false" ht="15" hidden="false" customHeight="true" outlineLevel="0" collapsed="false">
      <c r="A459" s="1" t="s">
        <v>644</v>
      </c>
      <c r="B459" s="1" t="s">
        <v>44</v>
      </c>
      <c r="C459" s="1" t="s">
        <v>626</v>
      </c>
      <c r="D459" s="1" t="s">
        <v>284</v>
      </c>
      <c r="E459" s="82" t="n">
        <v>0</v>
      </c>
      <c r="F459" s="26" t="n">
        <v>0</v>
      </c>
      <c r="G459" s="26" t="n">
        <v>0</v>
      </c>
      <c r="H459" s="1" t="s">
        <v>627</v>
      </c>
    </row>
    <row r="460" customFormat="false" ht="15" hidden="false" customHeight="true" outlineLevel="0" collapsed="false">
      <c r="A460" s="1" t="s">
        <v>644</v>
      </c>
      <c r="B460" s="1" t="s">
        <v>44</v>
      </c>
      <c r="C460" s="1" t="s">
        <v>626</v>
      </c>
      <c r="D460" s="1" t="s">
        <v>284</v>
      </c>
      <c r="E460" s="82" t="n">
        <v>1</v>
      </c>
      <c r="F460" s="26" t="n">
        <v>4808.82</v>
      </c>
      <c r="G460" s="26" t="n">
        <v>4808.82</v>
      </c>
      <c r="H460" s="1" t="s">
        <v>628</v>
      </c>
    </row>
    <row r="461" customFormat="false" ht="15" hidden="false" customHeight="true" outlineLevel="0" collapsed="false">
      <c r="A461" s="1" t="s">
        <v>644</v>
      </c>
      <c r="B461" s="1" t="s">
        <v>44</v>
      </c>
      <c r="C461" s="1" t="s">
        <v>638</v>
      </c>
      <c r="D461" s="1" t="s">
        <v>284</v>
      </c>
      <c r="E461" s="82" t="n">
        <v>0</v>
      </c>
      <c r="F461" s="26" t="n">
        <v>0</v>
      </c>
      <c r="G461" s="26" t="n">
        <v>0</v>
      </c>
      <c r="H461" s="1" t="s">
        <v>634</v>
      </c>
    </row>
    <row r="462" customFormat="false" ht="15" hidden="false" customHeight="true" outlineLevel="0" collapsed="false">
      <c r="A462" s="1" t="s">
        <v>644</v>
      </c>
      <c r="B462" s="1" t="s">
        <v>44</v>
      </c>
      <c r="C462" s="1" t="s">
        <v>639</v>
      </c>
      <c r="D462" s="1" t="s">
        <v>284</v>
      </c>
      <c r="E462" s="82" t="n">
        <v>0</v>
      </c>
      <c r="F462" s="26" t="n">
        <v>0</v>
      </c>
      <c r="G462" s="26" t="n">
        <v>0</v>
      </c>
      <c r="H462" s="1" t="s">
        <v>634</v>
      </c>
    </row>
    <row r="463" customFormat="false" ht="15" hidden="false" customHeight="true" outlineLevel="0" collapsed="false">
      <c r="A463" s="1" t="s">
        <v>644</v>
      </c>
      <c r="B463" s="1" t="s">
        <v>44</v>
      </c>
      <c r="C463" s="1" t="s">
        <v>626</v>
      </c>
      <c r="D463" s="1" t="s">
        <v>285</v>
      </c>
      <c r="E463" s="82" t="n">
        <v>1</v>
      </c>
      <c r="F463" s="26" t="n">
        <v>111.44</v>
      </c>
      <c r="G463" s="26" t="n">
        <v>111.44</v>
      </c>
      <c r="H463" s="1" t="s">
        <v>653</v>
      </c>
    </row>
    <row r="464" customFormat="false" ht="15" hidden="false" customHeight="true" outlineLevel="0" collapsed="false">
      <c r="A464" s="1" t="s">
        <v>644</v>
      </c>
      <c r="B464" s="1" t="s">
        <v>44</v>
      </c>
      <c r="C464" s="1" t="s">
        <v>626</v>
      </c>
      <c r="D464" s="1" t="s">
        <v>285</v>
      </c>
      <c r="E464" s="82" t="n">
        <v>0</v>
      </c>
      <c r="F464" s="26" t="n">
        <v>0</v>
      </c>
      <c r="G464" s="26" t="n">
        <v>0</v>
      </c>
      <c r="H464" s="1" t="s">
        <v>627</v>
      </c>
    </row>
    <row r="465" customFormat="false" ht="15" hidden="false" customHeight="true" outlineLevel="0" collapsed="false">
      <c r="A465" s="1" t="s">
        <v>644</v>
      </c>
      <c r="B465" s="1" t="s">
        <v>44</v>
      </c>
      <c r="C465" s="1" t="s">
        <v>626</v>
      </c>
      <c r="D465" s="1" t="s">
        <v>282</v>
      </c>
      <c r="E465" s="82" t="n">
        <v>1</v>
      </c>
      <c r="F465" s="26" t="n">
        <v>4028.26</v>
      </c>
      <c r="G465" s="26" t="n">
        <v>4028.26</v>
      </c>
      <c r="H465" s="1" t="s">
        <v>653</v>
      </c>
    </row>
    <row r="466" customFormat="false" ht="15" hidden="false" customHeight="true" outlineLevel="0" collapsed="false">
      <c r="A466" s="1" t="s">
        <v>644</v>
      </c>
      <c r="B466" s="1" t="s">
        <v>44</v>
      </c>
      <c r="C466" s="1" t="s">
        <v>626</v>
      </c>
      <c r="D466" s="1" t="s">
        <v>282</v>
      </c>
      <c r="E466" s="82" t="n">
        <v>0</v>
      </c>
      <c r="F466" s="26" t="n">
        <v>0</v>
      </c>
      <c r="G466" s="26" t="n">
        <v>0</v>
      </c>
      <c r="H466" s="1" t="s">
        <v>627</v>
      </c>
    </row>
    <row r="467" customFormat="false" ht="15" hidden="false" customHeight="true" outlineLevel="0" collapsed="false">
      <c r="A467" s="1" t="s">
        <v>644</v>
      </c>
      <c r="B467" s="1" t="s">
        <v>44</v>
      </c>
      <c r="C467" s="1" t="s">
        <v>641</v>
      </c>
      <c r="D467" s="1" t="s">
        <v>282</v>
      </c>
      <c r="E467" s="82" t="n">
        <v>0</v>
      </c>
      <c r="F467" s="26" t="n">
        <v>0</v>
      </c>
      <c r="G467" s="26" t="n">
        <v>0</v>
      </c>
      <c r="H467" s="1" t="s">
        <v>630</v>
      </c>
    </row>
    <row r="468" customFormat="false" ht="15" hidden="false" customHeight="true" outlineLevel="0" collapsed="false">
      <c r="A468" s="1" t="s">
        <v>644</v>
      </c>
      <c r="B468" s="1" t="s">
        <v>44</v>
      </c>
      <c r="C468" s="1" t="s">
        <v>636</v>
      </c>
      <c r="D468" s="1" t="s">
        <v>282</v>
      </c>
      <c r="E468" s="82" t="n">
        <v>0</v>
      </c>
      <c r="F468" s="26" t="n">
        <v>0</v>
      </c>
      <c r="G468" s="26" t="n">
        <v>0</v>
      </c>
      <c r="H468" s="1" t="s">
        <v>634</v>
      </c>
    </row>
    <row r="469" customFormat="false" ht="15" hidden="false" customHeight="true" outlineLevel="0" collapsed="false">
      <c r="A469" s="1" t="s">
        <v>644</v>
      </c>
      <c r="B469" s="1" t="s">
        <v>87</v>
      </c>
      <c r="C469" s="1" t="s">
        <v>642</v>
      </c>
      <c r="D469" s="1" t="s">
        <v>287</v>
      </c>
      <c r="E469" s="82" t="n">
        <v>2</v>
      </c>
      <c r="F469" s="26" t="n">
        <v>50</v>
      </c>
      <c r="G469" s="26" t="n">
        <v>100</v>
      </c>
      <c r="H469" s="1" t="s">
        <v>643</v>
      </c>
    </row>
    <row r="470" customFormat="false" ht="15" hidden="false" customHeight="true" outlineLevel="0" collapsed="false">
      <c r="A470" s="1" t="s">
        <v>644</v>
      </c>
      <c r="B470" s="1" t="s">
        <v>87</v>
      </c>
      <c r="C470" s="1" t="s">
        <v>642</v>
      </c>
      <c r="D470" s="1" t="s">
        <v>293</v>
      </c>
      <c r="E470" s="82" t="n">
        <v>1</v>
      </c>
      <c r="F470" s="26" t="n">
        <v>10</v>
      </c>
      <c r="G470" s="26" t="n">
        <v>10</v>
      </c>
      <c r="H470" s="1" t="s">
        <v>643</v>
      </c>
    </row>
    <row r="471" customFormat="false" ht="15" hidden="false" customHeight="true" outlineLevel="0" collapsed="false">
      <c r="A471" s="1" t="s">
        <v>644</v>
      </c>
      <c r="B471" s="1" t="s">
        <v>87</v>
      </c>
      <c r="C471" s="1" t="s">
        <v>642</v>
      </c>
      <c r="D471" s="1" t="s">
        <v>290</v>
      </c>
      <c r="E471" s="82" t="n">
        <v>1</v>
      </c>
      <c r="F471" s="26" t="n">
        <v>10</v>
      </c>
      <c r="G471" s="26" t="n">
        <v>10</v>
      </c>
      <c r="H471" s="1" t="s">
        <v>643</v>
      </c>
    </row>
    <row r="472" customFormat="false" ht="15" hidden="false" customHeight="true" outlineLevel="0" collapsed="false">
      <c r="A472" s="1" t="s">
        <v>644</v>
      </c>
      <c r="B472" s="1" t="s">
        <v>87</v>
      </c>
      <c r="C472" s="1" t="s">
        <v>642</v>
      </c>
      <c r="D472" s="1" t="s">
        <v>290</v>
      </c>
      <c r="E472" s="82" t="n">
        <v>5</v>
      </c>
      <c r="F472" s="26" t="n">
        <v>50</v>
      </c>
      <c r="G472" s="26" t="n">
        <v>250</v>
      </c>
      <c r="H472" s="1" t="s">
        <v>643</v>
      </c>
    </row>
    <row r="473" customFormat="false" ht="15" hidden="false" customHeight="true" outlineLevel="0" collapsed="false">
      <c r="A473" s="1" t="s">
        <v>644</v>
      </c>
      <c r="B473" s="1" t="s">
        <v>87</v>
      </c>
      <c r="C473" s="1" t="s">
        <v>642</v>
      </c>
      <c r="D473" s="1" t="s">
        <v>284</v>
      </c>
      <c r="E473" s="82" t="n">
        <v>2</v>
      </c>
      <c r="F473" s="26" t="n">
        <v>50</v>
      </c>
      <c r="G473" s="26" t="n">
        <v>100</v>
      </c>
      <c r="H473" s="1" t="s">
        <v>643</v>
      </c>
    </row>
    <row r="474" customFormat="false" ht="15" hidden="false" customHeight="true" outlineLevel="0" collapsed="false">
      <c r="A474" s="1" t="s">
        <v>644</v>
      </c>
      <c r="B474" s="1" t="s">
        <v>87</v>
      </c>
      <c r="C474" s="1" t="s">
        <v>642</v>
      </c>
      <c r="D474" s="1" t="s">
        <v>285</v>
      </c>
      <c r="E474" s="82" t="n">
        <v>1</v>
      </c>
      <c r="F474" s="26" t="n">
        <v>50</v>
      </c>
      <c r="G474" s="26" t="n">
        <v>50</v>
      </c>
      <c r="H474" s="1" t="s">
        <v>643</v>
      </c>
    </row>
    <row r="475" customFormat="false" ht="15" hidden="false" customHeight="true" outlineLevel="0" collapsed="false">
      <c r="A475" s="1" t="s">
        <v>644</v>
      </c>
      <c r="B475" s="1" t="s">
        <v>87</v>
      </c>
      <c r="C475" s="1" t="s">
        <v>642</v>
      </c>
      <c r="D475" s="1" t="s">
        <v>282</v>
      </c>
      <c r="E475" s="82" t="n">
        <v>1</v>
      </c>
      <c r="F475" s="26" t="n">
        <v>90</v>
      </c>
      <c r="G475" s="26" t="n">
        <v>90</v>
      </c>
      <c r="H475" s="1" t="s">
        <v>643</v>
      </c>
    </row>
    <row r="476" customFormat="false" ht="15" hidden="false" customHeight="true" outlineLevel="0" collapsed="false">
      <c r="A476" s="1" t="s">
        <v>644</v>
      </c>
      <c r="B476" s="1" t="s">
        <v>87</v>
      </c>
      <c r="C476" s="1" t="s">
        <v>642</v>
      </c>
      <c r="D476" s="1" t="s">
        <v>282</v>
      </c>
      <c r="E476" s="82" t="n">
        <v>2</v>
      </c>
      <c r="F476" s="26" t="n">
        <v>10</v>
      </c>
      <c r="G476" s="26" t="n">
        <v>20</v>
      </c>
      <c r="H476" s="1" t="s">
        <v>643</v>
      </c>
    </row>
    <row r="477" customFormat="false" ht="15" hidden="false" customHeight="true" outlineLevel="0" collapsed="false">
      <c r="A477" s="1" t="s">
        <v>644</v>
      </c>
      <c r="B477" s="1" t="s">
        <v>87</v>
      </c>
      <c r="C477" s="1" t="s">
        <v>642</v>
      </c>
      <c r="D477" s="1" t="s">
        <v>282</v>
      </c>
      <c r="E477" s="82" t="n">
        <v>3</v>
      </c>
      <c r="F477" s="26" t="n">
        <v>50</v>
      </c>
      <c r="G477" s="26" t="n">
        <v>150</v>
      </c>
      <c r="H477" s="1" t="s">
        <v>643</v>
      </c>
    </row>
    <row r="478" customFormat="false" ht="15" hidden="false" customHeight="true" outlineLevel="0" collapsed="false">
      <c r="A478" s="1" t="s">
        <v>654</v>
      </c>
      <c r="B478" s="1" t="s">
        <v>449</v>
      </c>
      <c r="C478" s="1" t="s">
        <v>450</v>
      </c>
      <c r="D478" s="1" t="s">
        <v>289</v>
      </c>
      <c r="E478" s="82" t="n">
        <v>13418</v>
      </c>
      <c r="F478" s="26" t="n">
        <v>0.427453957585064</v>
      </c>
      <c r="G478" s="26" t="n">
        <v>5735.57720287639</v>
      </c>
      <c r="H478" s="1" t="s">
        <v>451</v>
      </c>
    </row>
    <row r="479" customFormat="false" ht="15" hidden="false" customHeight="true" outlineLevel="0" collapsed="false">
      <c r="A479" s="1" t="s">
        <v>654</v>
      </c>
      <c r="B479" s="1" t="s">
        <v>452</v>
      </c>
      <c r="C479" s="1" t="s">
        <v>86</v>
      </c>
      <c r="D479" s="1" t="s">
        <v>289</v>
      </c>
      <c r="E479" s="82" t="n">
        <v>13418</v>
      </c>
      <c r="F479" s="26" t="n">
        <v>0.266574828615826</v>
      </c>
      <c r="G479" s="26" t="n">
        <v>3576.90105036715</v>
      </c>
      <c r="H479" s="1" t="s">
        <v>451</v>
      </c>
    </row>
    <row r="480" customFormat="false" ht="15" hidden="false" customHeight="true" outlineLevel="0" collapsed="false">
      <c r="A480" s="1" t="s">
        <v>654</v>
      </c>
      <c r="B480" s="1" t="s">
        <v>453</v>
      </c>
      <c r="C480" s="1" t="s">
        <v>454</v>
      </c>
      <c r="D480" s="1" t="s">
        <v>275</v>
      </c>
      <c r="E480" s="82" t="n">
        <v>1</v>
      </c>
      <c r="F480" s="26" t="n">
        <v>1222.09</v>
      </c>
      <c r="G480" s="26" t="n">
        <v>1222.09</v>
      </c>
      <c r="H480" s="1" t="s">
        <v>655</v>
      </c>
    </row>
    <row r="481" customFormat="false" ht="15" hidden="false" customHeight="true" outlineLevel="0" collapsed="false">
      <c r="A481" s="1" t="s">
        <v>654</v>
      </c>
      <c r="B481" s="1" t="s">
        <v>453</v>
      </c>
      <c r="C481" s="1" t="s">
        <v>456</v>
      </c>
      <c r="D481" s="1" t="s">
        <v>275</v>
      </c>
      <c r="E481" s="82" t="n">
        <v>0</v>
      </c>
      <c r="F481" s="26" t="n">
        <v>0</v>
      </c>
      <c r="G481" s="26" t="n">
        <v>0</v>
      </c>
      <c r="H481" s="1" t="s">
        <v>645</v>
      </c>
    </row>
    <row r="482" customFormat="false" ht="15" hidden="false" customHeight="true" outlineLevel="0" collapsed="false">
      <c r="A482" s="1" t="s">
        <v>654</v>
      </c>
      <c r="B482" s="1" t="s">
        <v>453</v>
      </c>
      <c r="C482" s="1" t="s">
        <v>454</v>
      </c>
      <c r="D482" s="1" t="s">
        <v>287</v>
      </c>
      <c r="E482" s="82" t="n">
        <v>0</v>
      </c>
      <c r="F482" s="26" t="n">
        <v>0</v>
      </c>
      <c r="G482" s="26" t="n">
        <v>0</v>
      </c>
      <c r="H482" s="1" t="s">
        <v>455</v>
      </c>
    </row>
    <row r="483" customFormat="false" ht="15" hidden="false" customHeight="true" outlineLevel="0" collapsed="false">
      <c r="A483" s="1" t="s">
        <v>654</v>
      </c>
      <c r="B483" s="1" t="s">
        <v>453</v>
      </c>
      <c r="C483" s="1" t="s">
        <v>456</v>
      </c>
      <c r="D483" s="1" t="s">
        <v>287</v>
      </c>
      <c r="E483" s="82" t="n">
        <v>0</v>
      </c>
      <c r="F483" s="26" t="n">
        <v>0</v>
      </c>
      <c r="G483" s="26" t="n">
        <v>0</v>
      </c>
      <c r="H483" s="1" t="s">
        <v>645</v>
      </c>
    </row>
    <row r="484" customFormat="false" ht="15" hidden="false" customHeight="true" outlineLevel="0" collapsed="false">
      <c r="A484" s="1" t="s">
        <v>654</v>
      </c>
      <c r="B484" s="1" t="s">
        <v>453</v>
      </c>
      <c r="C484" s="1" t="s">
        <v>454</v>
      </c>
      <c r="D484" s="1" t="s">
        <v>289</v>
      </c>
      <c r="E484" s="82" t="n">
        <v>0</v>
      </c>
      <c r="F484" s="26" t="n">
        <v>0</v>
      </c>
      <c r="G484" s="26" t="n">
        <v>0</v>
      </c>
      <c r="H484" s="1" t="s">
        <v>458</v>
      </c>
    </row>
    <row r="485" customFormat="false" ht="15" hidden="false" customHeight="true" outlineLevel="0" collapsed="false">
      <c r="A485" s="1" t="s">
        <v>654</v>
      </c>
      <c r="B485" s="1" t="s">
        <v>453</v>
      </c>
      <c r="C485" s="1" t="s">
        <v>459</v>
      </c>
      <c r="D485" s="1" t="s">
        <v>289</v>
      </c>
      <c r="E485" s="82" t="n">
        <v>0</v>
      </c>
      <c r="F485" s="26" t="n">
        <v>0</v>
      </c>
      <c r="G485" s="26" t="n">
        <v>0</v>
      </c>
      <c r="H485" s="1" t="s">
        <v>460</v>
      </c>
    </row>
    <row r="486" customFormat="false" ht="15" hidden="false" customHeight="true" outlineLevel="0" collapsed="false">
      <c r="A486" s="1" t="s">
        <v>654</v>
      </c>
      <c r="B486" s="1" t="s">
        <v>453</v>
      </c>
      <c r="C486" s="1" t="s">
        <v>454</v>
      </c>
      <c r="D486" s="1" t="s">
        <v>293</v>
      </c>
      <c r="E486" s="82" t="n">
        <v>0</v>
      </c>
      <c r="F486" s="26" t="n">
        <v>0</v>
      </c>
      <c r="G486" s="26" t="n">
        <v>0</v>
      </c>
      <c r="H486" s="1" t="s">
        <v>458</v>
      </c>
    </row>
    <row r="487" customFormat="false" ht="15" hidden="false" customHeight="true" outlineLevel="0" collapsed="false">
      <c r="A487" s="1" t="s">
        <v>654</v>
      </c>
      <c r="B487" s="1" t="s">
        <v>453</v>
      </c>
      <c r="C487" s="1" t="s">
        <v>456</v>
      </c>
      <c r="D487" s="1" t="s">
        <v>293</v>
      </c>
      <c r="E487" s="82" t="n">
        <v>0</v>
      </c>
      <c r="F487" s="26" t="n">
        <v>0</v>
      </c>
      <c r="G487" s="26" t="n">
        <v>0</v>
      </c>
      <c r="H487" s="1" t="s">
        <v>645</v>
      </c>
    </row>
    <row r="488" customFormat="false" ht="15" hidden="false" customHeight="true" outlineLevel="0" collapsed="false">
      <c r="A488" s="1" t="s">
        <v>654</v>
      </c>
      <c r="B488" s="1" t="s">
        <v>453</v>
      </c>
      <c r="C488" s="1" t="s">
        <v>454</v>
      </c>
      <c r="D488" s="1" t="s">
        <v>290</v>
      </c>
      <c r="E488" s="82" t="n">
        <v>0</v>
      </c>
      <c r="F488" s="26" t="n">
        <v>0</v>
      </c>
      <c r="G488" s="26" t="n">
        <v>0</v>
      </c>
      <c r="H488" s="1" t="s">
        <v>455</v>
      </c>
    </row>
    <row r="489" customFormat="false" ht="15" hidden="false" customHeight="true" outlineLevel="0" collapsed="false">
      <c r="A489" s="1" t="s">
        <v>654</v>
      </c>
      <c r="B489" s="1" t="s">
        <v>453</v>
      </c>
      <c r="C489" s="1" t="s">
        <v>456</v>
      </c>
      <c r="D489" s="1" t="s">
        <v>290</v>
      </c>
      <c r="E489" s="82" t="n">
        <v>0</v>
      </c>
      <c r="F489" s="26" t="n">
        <v>0</v>
      </c>
      <c r="G489" s="26" t="n">
        <v>0</v>
      </c>
      <c r="H489" s="1" t="s">
        <v>457</v>
      </c>
    </row>
    <row r="490" customFormat="false" ht="15" hidden="false" customHeight="true" outlineLevel="0" collapsed="false">
      <c r="A490" s="1" t="s">
        <v>654</v>
      </c>
      <c r="B490" s="1" t="s">
        <v>453</v>
      </c>
      <c r="C490" s="1" t="s">
        <v>454</v>
      </c>
      <c r="D490" s="1" t="s">
        <v>284</v>
      </c>
      <c r="E490" s="82" t="n">
        <v>0</v>
      </c>
      <c r="F490" s="26" t="n">
        <v>0</v>
      </c>
      <c r="G490" s="26" t="n">
        <v>0</v>
      </c>
      <c r="H490" s="1" t="s">
        <v>462</v>
      </c>
    </row>
    <row r="491" customFormat="false" ht="15" hidden="false" customHeight="true" outlineLevel="0" collapsed="false">
      <c r="A491" s="1" t="s">
        <v>654</v>
      </c>
      <c r="B491" s="1" t="s">
        <v>453</v>
      </c>
      <c r="C491" s="1" t="s">
        <v>456</v>
      </c>
      <c r="D491" s="1" t="s">
        <v>284</v>
      </c>
      <c r="E491" s="82" t="n">
        <v>0</v>
      </c>
      <c r="F491" s="26" t="n">
        <v>0</v>
      </c>
      <c r="G491" s="26" t="n">
        <v>0</v>
      </c>
      <c r="H491" s="1" t="s">
        <v>645</v>
      </c>
    </row>
    <row r="492" customFormat="false" ht="15" hidden="false" customHeight="true" outlineLevel="0" collapsed="false">
      <c r="A492" s="1" t="s">
        <v>654</v>
      </c>
      <c r="B492" s="1" t="s">
        <v>453</v>
      </c>
      <c r="C492" s="1" t="s">
        <v>454</v>
      </c>
      <c r="D492" s="1" t="s">
        <v>285</v>
      </c>
      <c r="E492" s="82" t="n">
        <v>0</v>
      </c>
      <c r="F492" s="26" t="n">
        <v>0</v>
      </c>
      <c r="G492" s="26" t="n">
        <v>0</v>
      </c>
      <c r="H492" s="1" t="s">
        <v>458</v>
      </c>
    </row>
    <row r="493" customFormat="false" ht="15" hidden="false" customHeight="true" outlineLevel="0" collapsed="false">
      <c r="A493" s="1" t="s">
        <v>654</v>
      </c>
      <c r="B493" s="1" t="s">
        <v>78</v>
      </c>
      <c r="C493" s="1" t="s">
        <v>463</v>
      </c>
      <c r="D493" s="1" t="s">
        <v>293</v>
      </c>
      <c r="E493" s="82" t="n">
        <v>3704</v>
      </c>
      <c r="F493" s="26" t="n">
        <v>0.486320943015659</v>
      </c>
      <c r="G493" s="26" t="n">
        <v>1801.332773</v>
      </c>
      <c r="H493" s="1" t="s">
        <v>451</v>
      </c>
    </row>
    <row r="494" customFormat="false" ht="15" hidden="false" customHeight="true" outlineLevel="0" collapsed="false">
      <c r="A494" s="1" t="s">
        <v>654</v>
      </c>
      <c r="B494" s="1" t="s">
        <v>78</v>
      </c>
      <c r="C494" s="1" t="s">
        <v>463</v>
      </c>
      <c r="D494" s="1" t="s">
        <v>290</v>
      </c>
      <c r="E494" s="82" t="n">
        <v>6434</v>
      </c>
      <c r="F494" s="26" t="n">
        <v>0.486320943015659</v>
      </c>
      <c r="G494" s="26" t="n">
        <v>3128.988947</v>
      </c>
      <c r="H494" s="1" t="s">
        <v>451</v>
      </c>
    </row>
    <row r="495" customFormat="false" ht="15" hidden="false" customHeight="true" outlineLevel="0" collapsed="false">
      <c r="A495" s="1" t="s">
        <v>654</v>
      </c>
      <c r="B495" s="1" t="s">
        <v>78</v>
      </c>
      <c r="C495" s="1" t="s">
        <v>463</v>
      </c>
      <c r="D495" s="1" t="s">
        <v>284</v>
      </c>
      <c r="E495" s="82" t="n">
        <v>14441</v>
      </c>
      <c r="F495" s="26" t="n">
        <v>0.486320943015659</v>
      </c>
      <c r="G495" s="26" t="n">
        <v>7022.960738</v>
      </c>
      <c r="H495" s="1" t="s">
        <v>451</v>
      </c>
    </row>
    <row r="496" customFormat="false" ht="15" hidden="false" customHeight="true" outlineLevel="0" collapsed="false">
      <c r="A496" s="1" t="s">
        <v>654</v>
      </c>
      <c r="B496" s="1" t="s">
        <v>78</v>
      </c>
      <c r="C496" s="1" t="s">
        <v>463</v>
      </c>
      <c r="D496" s="1" t="s">
        <v>282</v>
      </c>
      <c r="E496" s="82" t="n">
        <v>4795</v>
      </c>
      <c r="F496" s="26" t="n">
        <v>0.486320943015659</v>
      </c>
      <c r="G496" s="26" t="n">
        <v>2331.908922</v>
      </c>
      <c r="H496" s="1" t="s">
        <v>451</v>
      </c>
    </row>
    <row r="497" customFormat="false" ht="15" hidden="false" customHeight="true" outlineLevel="0" collapsed="false">
      <c r="A497" s="1" t="s">
        <v>654</v>
      </c>
      <c r="B497" s="1" t="s">
        <v>464</v>
      </c>
      <c r="C497" s="1" t="s">
        <v>465</v>
      </c>
      <c r="D497" s="1" t="s">
        <v>275</v>
      </c>
      <c r="E497" s="82" t="n">
        <v>5160</v>
      </c>
      <c r="F497" s="26" t="n">
        <v>1.86</v>
      </c>
      <c r="G497" s="26" t="n">
        <v>9597.6</v>
      </c>
      <c r="H497" s="1" t="s">
        <v>656</v>
      </c>
    </row>
    <row r="498" customFormat="false" ht="15" hidden="false" customHeight="true" outlineLevel="0" collapsed="false">
      <c r="A498" s="1" t="s">
        <v>654</v>
      </c>
      <c r="B498" s="1" t="s">
        <v>464</v>
      </c>
      <c r="C498" s="1" t="s">
        <v>465</v>
      </c>
      <c r="D498" s="1" t="s">
        <v>287</v>
      </c>
      <c r="E498" s="82" t="n">
        <v>333</v>
      </c>
      <c r="F498" s="26" t="n">
        <v>1.86</v>
      </c>
      <c r="G498" s="26" t="n">
        <v>619.38</v>
      </c>
      <c r="H498" s="1" t="s">
        <v>656</v>
      </c>
    </row>
    <row r="499" customFormat="false" ht="15" hidden="false" customHeight="true" outlineLevel="0" collapsed="false">
      <c r="A499" s="1" t="s">
        <v>654</v>
      </c>
      <c r="B499" s="1" t="s">
        <v>464</v>
      </c>
      <c r="C499" s="1" t="s">
        <v>657</v>
      </c>
      <c r="D499" s="1" t="s">
        <v>287</v>
      </c>
      <c r="E499" s="82" t="n">
        <v>-1</v>
      </c>
      <c r="F499" s="26" t="n">
        <v>350</v>
      </c>
      <c r="G499" s="26" t="n">
        <v>-350</v>
      </c>
      <c r="H499" s="1" t="s">
        <v>658</v>
      </c>
    </row>
    <row r="500" customFormat="false" ht="15" hidden="false" customHeight="true" outlineLevel="0" collapsed="false">
      <c r="A500" s="1" t="s">
        <v>654</v>
      </c>
      <c r="B500" s="1" t="s">
        <v>464</v>
      </c>
      <c r="C500" s="1" t="s">
        <v>659</v>
      </c>
      <c r="D500" s="1" t="s">
        <v>287</v>
      </c>
      <c r="E500" s="82" t="n">
        <v>-1</v>
      </c>
      <c r="F500" s="26" t="n">
        <v>206.78</v>
      </c>
      <c r="G500" s="26" t="n">
        <v>-206.78</v>
      </c>
      <c r="H500" s="1" t="s">
        <v>660</v>
      </c>
    </row>
    <row r="501" customFormat="false" ht="15" hidden="false" customHeight="true" outlineLevel="0" collapsed="false">
      <c r="A501" s="1" t="s">
        <v>654</v>
      </c>
      <c r="B501" s="1" t="s">
        <v>464</v>
      </c>
      <c r="C501" s="1" t="s">
        <v>467</v>
      </c>
      <c r="D501" s="1" t="s">
        <v>287</v>
      </c>
      <c r="E501" s="82" t="n">
        <v>0</v>
      </c>
      <c r="F501" s="26" t="n">
        <v>0</v>
      </c>
      <c r="G501" s="26" t="n">
        <v>0</v>
      </c>
      <c r="H501" s="1" t="s">
        <v>468</v>
      </c>
    </row>
    <row r="502" customFormat="false" ht="15" hidden="false" customHeight="true" outlineLevel="0" collapsed="false">
      <c r="A502" s="1" t="s">
        <v>654</v>
      </c>
      <c r="B502" s="1" t="s">
        <v>464</v>
      </c>
      <c r="C502" s="1" t="s">
        <v>469</v>
      </c>
      <c r="D502" s="1" t="s">
        <v>287</v>
      </c>
      <c r="E502" s="82" t="n">
        <v>1</v>
      </c>
      <c r="F502" s="26" t="n">
        <v>439.28</v>
      </c>
      <c r="G502" s="26" t="n">
        <v>439.28</v>
      </c>
      <c r="H502" s="1" t="s">
        <v>470</v>
      </c>
    </row>
    <row r="503" customFormat="false" ht="15" hidden="false" customHeight="true" outlineLevel="0" collapsed="false">
      <c r="A503" s="1" t="s">
        <v>654</v>
      </c>
      <c r="B503" s="1" t="s">
        <v>464</v>
      </c>
      <c r="C503" s="1" t="s">
        <v>471</v>
      </c>
      <c r="D503" s="1" t="s">
        <v>287</v>
      </c>
      <c r="E503" s="82" t="n">
        <v>0</v>
      </c>
      <c r="F503" s="26" t="n">
        <v>0</v>
      </c>
      <c r="G503" s="26" t="n">
        <v>0</v>
      </c>
      <c r="H503" s="1" t="s">
        <v>470</v>
      </c>
    </row>
    <row r="504" customFormat="false" ht="15" hidden="false" customHeight="true" outlineLevel="0" collapsed="false">
      <c r="A504" s="1" t="s">
        <v>654</v>
      </c>
      <c r="B504" s="1" t="s">
        <v>464</v>
      </c>
      <c r="C504" s="1" t="s">
        <v>473</v>
      </c>
      <c r="D504" s="1" t="s">
        <v>287</v>
      </c>
      <c r="E504" s="82" t="n">
        <v>-1</v>
      </c>
      <c r="F504" s="26" t="n">
        <v>756.56</v>
      </c>
      <c r="G504" s="26" t="n">
        <v>-756.56</v>
      </c>
      <c r="H504" s="1" t="s">
        <v>474</v>
      </c>
    </row>
    <row r="505" customFormat="false" ht="15" hidden="false" customHeight="true" outlineLevel="0" collapsed="false">
      <c r="A505" s="1" t="s">
        <v>654</v>
      </c>
      <c r="B505" s="1" t="s">
        <v>464</v>
      </c>
      <c r="C505" s="1" t="s">
        <v>473</v>
      </c>
      <c r="D505" s="1" t="s">
        <v>287</v>
      </c>
      <c r="E505" s="82" t="n">
        <v>-1</v>
      </c>
      <c r="F505" s="26" t="n">
        <v>4211.32</v>
      </c>
      <c r="G505" s="26" t="n">
        <v>-4211.32</v>
      </c>
      <c r="H505" s="1" t="s">
        <v>475</v>
      </c>
    </row>
    <row r="506" customFormat="false" ht="15" hidden="false" customHeight="true" outlineLevel="0" collapsed="false">
      <c r="A506" s="1" t="s">
        <v>654</v>
      </c>
      <c r="B506" s="1" t="s">
        <v>464</v>
      </c>
      <c r="C506" s="1" t="s">
        <v>476</v>
      </c>
      <c r="D506" s="1" t="s">
        <v>287</v>
      </c>
      <c r="E506" s="82" t="n">
        <v>-5</v>
      </c>
      <c r="F506" s="26" t="n">
        <v>410.699645390071</v>
      </c>
      <c r="G506" s="26" t="n">
        <v>-2053.49822695035</v>
      </c>
      <c r="H506" s="1" t="s">
        <v>661</v>
      </c>
    </row>
    <row r="507" customFormat="false" ht="15" hidden="false" customHeight="true" outlineLevel="0" collapsed="false">
      <c r="A507" s="1" t="s">
        <v>654</v>
      </c>
      <c r="B507" s="1" t="s">
        <v>464</v>
      </c>
      <c r="C507" s="1" t="s">
        <v>478</v>
      </c>
      <c r="D507" s="1" t="s">
        <v>287</v>
      </c>
      <c r="E507" s="82" t="n">
        <v>0</v>
      </c>
      <c r="F507" s="26" t="n">
        <v>0</v>
      </c>
      <c r="G507" s="26" t="n">
        <v>0</v>
      </c>
      <c r="H507" s="1" t="s">
        <v>477</v>
      </c>
    </row>
    <row r="508" customFormat="false" ht="15" hidden="false" customHeight="true" outlineLevel="0" collapsed="false">
      <c r="A508" s="1" t="s">
        <v>654</v>
      </c>
      <c r="B508" s="1" t="s">
        <v>464</v>
      </c>
      <c r="C508" s="1" t="s">
        <v>479</v>
      </c>
      <c r="D508" s="1" t="s">
        <v>287</v>
      </c>
      <c r="E508" s="82" t="n">
        <v>0</v>
      </c>
      <c r="F508" s="26" t="n">
        <v>0</v>
      </c>
      <c r="G508" s="26" t="n">
        <v>0</v>
      </c>
      <c r="H508" s="1" t="s">
        <v>477</v>
      </c>
    </row>
    <row r="509" customFormat="false" ht="15" hidden="false" customHeight="true" outlineLevel="0" collapsed="false">
      <c r="A509" s="1" t="s">
        <v>654</v>
      </c>
      <c r="B509" s="1" t="s">
        <v>464</v>
      </c>
      <c r="C509" s="1" t="s">
        <v>480</v>
      </c>
      <c r="D509" s="1" t="s">
        <v>287</v>
      </c>
      <c r="E509" s="82" t="n">
        <v>3</v>
      </c>
      <c r="F509" s="26" t="n">
        <v>278.600873702422</v>
      </c>
      <c r="G509" s="26" t="n">
        <v>835.802621107267</v>
      </c>
      <c r="H509" s="1" t="s">
        <v>661</v>
      </c>
    </row>
    <row r="510" customFormat="false" ht="15" hidden="false" customHeight="true" outlineLevel="0" collapsed="false">
      <c r="A510" s="1" t="s">
        <v>654</v>
      </c>
      <c r="B510" s="1" t="s">
        <v>464</v>
      </c>
      <c r="C510" s="1" t="s">
        <v>481</v>
      </c>
      <c r="D510" s="1" t="s">
        <v>287</v>
      </c>
      <c r="E510" s="82" t="n">
        <v>0</v>
      </c>
      <c r="F510" s="26" t="n">
        <v>0</v>
      </c>
      <c r="G510" s="26" t="n">
        <v>0</v>
      </c>
      <c r="H510" s="1" t="s">
        <v>477</v>
      </c>
    </row>
    <row r="511" customFormat="false" ht="15" hidden="false" customHeight="true" outlineLevel="0" collapsed="false">
      <c r="A511" s="1" t="s">
        <v>654</v>
      </c>
      <c r="B511" s="1" t="s">
        <v>464</v>
      </c>
      <c r="C511" s="1" t="s">
        <v>482</v>
      </c>
      <c r="D511" s="1" t="s">
        <v>289</v>
      </c>
      <c r="E511" s="82" t="n">
        <v>1</v>
      </c>
      <c r="F511" s="26" t="n">
        <v>33.5</v>
      </c>
      <c r="G511" s="26" t="n">
        <v>33.5</v>
      </c>
      <c r="H511" s="1" t="s">
        <v>483</v>
      </c>
    </row>
    <row r="512" customFormat="false" ht="15" hidden="false" customHeight="true" outlineLevel="0" collapsed="false">
      <c r="A512" s="1" t="s">
        <v>654</v>
      </c>
      <c r="B512" s="1" t="s">
        <v>464</v>
      </c>
      <c r="C512" s="1" t="s">
        <v>482</v>
      </c>
      <c r="D512" s="1" t="s">
        <v>289</v>
      </c>
      <c r="E512" s="82" t="n">
        <v>1</v>
      </c>
      <c r="F512" s="26" t="n">
        <v>22</v>
      </c>
      <c r="G512" s="26" t="n">
        <v>22</v>
      </c>
      <c r="H512" s="1" t="s">
        <v>484</v>
      </c>
    </row>
    <row r="513" customFormat="false" ht="15" hidden="false" customHeight="true" outlineLevel="0" collapsed="false">
      <c r="A513" s="1" t="s">
        <v>654</v>
      </c>
      <c r="B513" s="1" t="s">
        <v>464</v>
      </c>
      <c r="C513" s="1" t="s">
        <v>465</v>
      </c>
      <c r="D513" s="1" t="s">
        <v>289</v>
      </c>
      <c r="E513" s="82" t="n">
        <v>258</v>
      </c>
      <c r="F513" s="26" t="n">
        <v>1.86</v>
      </c>
      <c r="G513" s="26" t="n">
        <v>479.88</v>
      </c>
      <c r="H513" s="1" t="s">
        <v>656</v>
      </c>
    </row>
    <row r="514" customFormat="false" ht="15" hidden="false" customHeight="true" outlineLevel="0" collapsed="false">
      <c r="A514" s="1" t="s">
        <v>654</v>
      </c>
      <c r="B514" s="1" t="s">
        <v>464</v>
      </c>
      <c r="C514" s="1" t="s">
        <v>657</v>
      </c>
      <c r="D514" s="1" t="s">
        <v>289</v>
      </c>
      <c r="E514" s="82" t="n">
        <v>1</v>
      </c>
      <c r="F514" s="26" t="n">
        <v>350</v>
      </c>
      <c r="G514" s="26" t="n">
        <v>350</v>
      </c>
      <c r="H514" s="1" t="s">
        <v>662</v>
      </c>
    </row>
    <row r="515" customFormat="false" ht="15" hidden="false" customHeight="true" outlineLevel="0" collapsed="false">
      <c r="A515" s="1" t="s">
        <v>654</v>
      </c>
      <c r="B515" s="1" t="s">
        <v>464</v>
      </c>
      <c r="C515" s="1" t="s">
        <v>467</v>
      </c>
      <c r="D515" s="1" t="s">
        <v>289</v>
      </c>
      <c r="E515" s="82" t="n">
        <v>2</v>
      </c>
      <c r="F515" s="26" t="n">
        <v>393.04</v>
      </c>
      <c r="G515" s="26" t="n">
        <v>786.08</v>
      </c>
      <c r="H515" s="1" t="s">
        <v>470</v>
      </c>
    </row>
    <row r="516" customFormat="false" ht="15" hidden="false" customHeight="true" outlineLevel="0" collapsed="false">
      <c r="A516" s="1" t="s">
        <v>654</v>
      </c>
      <c r="B516" s="1" t="s">
        <v>464</v>
      </c>
      <c r="C516" s="1" t="s">
        <v>469</v>
      </c>
      <c r="D516" s="1" t="s">
        <v>289</v>
      </c>
      <c r="E516" s="82" t="n">
        <v>2</v>
      </c>
      <c r="F516" s="26" t="n">
        <v>439.28</v>
      </c>
      <c r="G516" s="26" t="n">
        <v>878.56</v>
      </c>
      <c r="H516" s="1" t="s">
        <v>470</v>
      </c>
    </row>
    <row r="517" customFormat="false" ht="15" hidden="false" customHeight="true" outlineLevel="0" collapsed="false">
      <c r="A517" s="1" t="s">
        <v>654</v>
      </c>
      <c r="B517" s="1" t="s">
        <v>464</v>
      </c>
      <c r="C517" s="1" t="s">
        <v>471</v>
      </c>
      <c r="D517" s="1" t="s">
        <v>289</v>
      </c>
      <c r="E517" s="82" t="n">
        <v>1</v>
      </c>
      <c r="F517" s="26" t="n">
        <v>407.27</v>
      </c>
      <c r="G517" s="26" t="n">
        <v>407.27</v>
      </c>
      <c r="H517" s="1" t="s">
        <v>470</v>
      </c>
    </row>
    <row r="518" customFormat="false" ht="15" hidden="false" customHeight="true" outlineLevel="0" collapsed="false">
      <c r="A518" s="1" t="s">
        <v>654</v>
      </c>
      <c r="B518" s="1" t="s">
        <v>464</v>
      </c>
      <c r="C518" s="1" t="s">
        <v>473</v>
      </c>
      <c r="D518" s="1" t="s">
        <v>289</v>
      </c>
      <c r="E518" s="82" t="n">
        <v>1</v>
      </c>
      <c r="F518" s="26" t="n">
        <v>206.78</v>
      </c>
      <c r="G518" s="26" t="n">
        <v>206.78</v>
      </c>
      <c r="H518" s="1" t="s">
        <v>663</v>
      </c>
    </row>
    <row r="519" customFormat="false" ht="15" hidden="false" customHeight="true" outlineLevel="0" collapsed="false">
      <c r="A519" s="1" t="s">
        <v>654</v>
      </c>
      <c r="B519" s="1" t="s">
        <v>464</v>
      </c>
      <c r="C519" s="1" t="s">
        <v>473</v>
      </c>
      <c r="D519" s="1" t="s">
        <v>289</v>
      </c>
      <c r="E519" s="82" t="n">
        <v>1</v>
      </c>
      <c r="F519" s="26" t="n">
        <v>317.52</v>
      </c>
      <c r="G519" s="26" t="n">
        <v>317.52</v>
      </c>
      <c r="H519" s="1" t="s">
        <v>488</v>
      </c>
    </row>
    <row r="520" customFormat="false" ht="15" hidden="false" customHeight="true" outlineLevel="0" collapsed="false">
      <c r="A520" s="1" t="s">
        <v>654</v>
      </c>
      <c r="B520" s="1" t="s">
        <v>464</v>
      </c>
      <c r="C520" s="1" t="s">
        <v>473</v>
      </c>
      <c r="D520" s="1" t="s">
        <v>289</v>
      </c>
      <c r="E520" s="82" t="n">
        <v>49</v>
      </c>
      <c r="F520" s="26" t="n">
        <v>33.16</v>
      </c>
      <c r="G520" s="26" t="n">
        <v>1624.84</v>
      </c>
      <c r="H520" s="1" t="s">
        <v>489</v>
      </c>
    </row>
    <row r="521" customFormat="false" ht="15" hidden="false" customHeight="true" outlineLevel="0" collapsed="false">
      <c r="A521" s="1" t="s">
        <v>654</v>
      </c>
      <c r="B521" s="1" t="s">
        <v>464</v>
      </c>
      <c r="C521" s="1" t="s">
        <v>490</v>
      </c>
      <c r="D521" s="1" t="s">
        <v>289</v>
      </c>
      <c r="E521" s="82" t="n">
        <v>5</v>
      </c>
      <c r="F521" s="26" t="n">
        <v>410.699645390071</v>
      </c>
      <c r="G521" s="26" t="n">
        <v>2053.49822695035</v>
      </c>
      <c r="H521" s="1" t="s">
        <v>661</v>
      </c>
    </row>
    <row r="522" customFormat="false" ht="15" hidden="false" customHeight="true" outlineLevel="0" collapsed="false">
      <c r="A522" s="1" t="s">
        <v>654</v>
      </c>
      <c r="B522" s="1" t="s">
        <v>464</v>
      </c>
      <c r="C522" s="1" t="s">
        <v>478</v>
      </c>
      <c r="D522" s="1" t="s">
        <v>289</v>
      </c>
      <c r="E522" s="82" t="n">
        <v>2</v>
      </c>
      <c r="F522" s="26" t="n">
        <v>278.600873702422</v>
      </c>
      <c r="G522" s="26" t="n">
        <v>557.201747404844</v>
      </c>
      <c r="H522" s="1" t="s">
        <v>661</v>
      </c>
    </row>
    <row r="523" customFormat="false" ht="15" hidden="false" customHeight="true" outlineLevel="0" collapsed="false">
      <c r="A523" s="1" t="s">
        <v>654</v>
      </c>
      <c r="B523" s="1" t="s">
        <v>464</v>
      </c>
      <c r="C523" s="1" t="s">
        <v>491</v>
      </c>
      <c r="D523" s="1" t="s">
        <v>289</v>
      </c>
      <c r="E523" s="82" t="n">
        <v>0</v>
      </c>
      <c r="F523" s="26" t="n">
        <v>0</v>
      </c>
      <c r="G523" s="26" t="n">
        <v>0</v>
      </c>
      <c r="H523" s="1" t="s">
        <v>477</v>
      </c>
    </row>
    <row r="524" customFormat="false" ht="15" hidden="false" customHeight="true" outlineLevel="0" collapsed="false">
      <c r="A524" s="1" t="s">
        <v>654</v>
      </c>
      <c r="B524" s="1" t="s">
        <v>464</v>
      </c>
      <c r="C524" s="1" t="s">
        <v>492</v>
      </c>
      <c r="D524" s="1" t="s">
        <v>289</v>
      </c>
      <c r="E524" s="82" t="n">
        <v>-2</v>
      </c>
      <c r="F524" s="26" t="n">
        <v>278.600873702422</v>
      </c>
      <c r="G524" s="26" t="n">
        <v>-557.201747404844</v>
      </c>
      <c r="H524" s="1" t="s">
        <v>661</v>
      </c>
    </row>
    <row r="525" customFormat="false" ht="15" hidden="false" customHeight="true" outlineLevel="0" collapsed="false">
      <c r="A525" s="1" t="s">
        <v>654</v>
      </c>
      <c r="B525" s="1" t="s">
        <v>464</v>
      </c>
      <c r="C525" s="1" t="s">
        <v>493</v>
      </c>
      <c r="D525" s="1" t="s">
        <v>289</v>
      </c>
      <c r="E525" s="82" t="n">
        <v>-3</v>
      </c>
      <c r="F525" s="26" t="n">
        <v>278.600873702422</v>
      </c>
      <c r="G525" s="26" t="n">
        <v>-835.802621107267</v>
      </c>
      <c r="H525" s="1" t="s">
        <v>661</v>
      </c>
    </row>
    <row r="526" customFormat="false" ht="15" hidden="false" customHeight="true" outlineLevel="0" collapsed="false">
      <c r="A526" s="1" t="s">
        <v>654</v>
      </c>
      <c r="B526" s="1" t="s">
        <v>464</v>
      </c>
      <c r="C526" s="1" t="s">
        <v>494</v>
      </c>
      <c r="D526" s="1" t="s">
        <v>289</v>
      </c>
      <c r="E526" s="82" t="n">
        <v>-1</v>
      </c>
      <c r="F526" s="26" t="n">
        <v>278.600873702422</v>
      </c>
      <c r="G526" s="26" t="n">
        <v>-278.600873702422</v>
      </c>
      <c r="H526" s="1" t="s">
        <v>661</v>
      </c>
    </row>
    <row r="527" customFormat="false" ht="15" hidden="false" customHeight="true" outlineLevel="0" collapsed="false">
      <c r="A527" s="1" t="s">
        <v>654</v>
      </c>
      <c r="B527" s="1" t="s">
        <v>464</v>
      </c>
      <c r="C527" s="1" t="s">
        <v>465</v>
      </c>
      <c r="D527" s="1" t="s">
        <v>293</v>
      </c>
      <c r="E527" s="82" t="n">
        <v>266</v>
      </c>
      <c r="F527" s="26" t="n">
        <v>1.86</v>
      </c>
      <c r="G527" s="26" t="n">
        <v>494.76</v>
      </c>
      <c r="H527" s="1" t="s">
        <v>656</v>
      </c>
    </row>
    <row r="528" customFormat="false" ht="15" hidden="false" customHeight="true" outlineLevel="0" collapsed="false">
      <c r="A528" s="1" t="s">
        <v>654</v>
      </c>
      <c r="B528" s="1" t="s">
        <v>464</v>
      </c>
      <c r="C528" s="1" t="s">
        <v>467</v>
      </c>
      <c r="D528" s="1" t="s">
        <v>293</v>
      </c>
      <c r="E528" s="82" t="n">
        <v>1</v>
      </c>
      <c r="F528" s="26" t="n">
        <v>393.04</v>
      </c>
      <c r="G528" s="26" t="n">
        <v>393.04</v>
      </c>
      <c r="H528" s="1" t="s">
        <v>468</v>
      </c>
    </row>
    <row r="529" customFormat="false" ht="15" hidden="false" customHeight="true" outlineLevel="0" collapsed="false">
      <c r="A529" s="1" t="s">
        <v>654</v>
      </c>
      <c r="B529" s="1" t="s">
        <v>464</v>
      </c>
      <c r="C529" s="1" t="s">
        <v>469</v>
      </c>
      <c r="D529" s="1" t="s">
        <v>293</v>
      </c>
      <c r="E529" s="82" t="n">
        <v>1</v>
      </c>
      <c r="F529" s="26" t="n">
        <v>439.28</v>
      </c>
      <c r="G529" s="26" t="n">
        <v>439.28</v>
      </c>
      <c r="H529" s="1" t="s">
        <v>468</v>
      </c>
    </row>
    <row r="530" customFormat="false" ht="15" hidden="false" customHeight="true" outlineLevel="0" collapsed="false">
      <c r="A530" s="1" t="s">
        <v>654</v>
      </c>
      <c r="B530" s="1" t="s">
        <v>464</v>
      </c>
      <c r="C530" s="1" t="s">
        <v>471</v>
      </c>
      <c r="D530" s="1" t="s">
        <v>293</v>
      </c>
      <c r="E530" s="82" t="n">
        <v>0</v>
      </c>
      <c r="F530" s="26" t="n">
        <v>0</v>
      </c>
      <c r="G530" s="26" t="n">
        <v>0</v>
      </c>
      <c r="H530" s="1" t="s">
        <v>470</v>
      </c>
    </row>
    <row r="531" customFormat="false" ht="15" hidden="false" customHeight="true" outlineLevel="0" collapsed="false">
      <c r="A531" s="1" t="s">
        <v>654</v>
      </c>
      <c r="B531" s="1" t="s">
        <v>464</v>
      </c>
      <c r="C531" s="1" t="s">
        <v>478</v>
      </c>
      <c r="D531" s="1" t="s">
        <v>293</v>
      </c>
      <c r="E531" s="82" t="n">
        <v>3</v>
      </c>
      <c r="F531" s="26" t="n">
        <v>278.600873702422</v>
      </c>
      <c r="G531" s="26" t="n">
        <v>835.802621107267</v>
      </c>
      <c r="H531" s="1" t="s">
        <v>661</v>
      </c>
    </row>
    <row r="532" customFormat="false" ht="15" hidden="false" customHeight="true" outlineLevel="0" collapsed="false">
      <c r="A532" s="1" t="s">
        <v>654</v>
      </c>
      <c r="B532" s="1" t="s">
        <v>464</v>
      </c>
      <c r="C532" s="1" t="s">
        <v>496</v>
      </c>
      <c r="D532" s="1" t="s">
        <v>293</v>
      </c>
      <c r="E532" s="82" t="n">
        <v>-1</v>
      </c>
      <c r="F532" s="26" t="n">
        <v>7.02923076923077</v>
      </c>
      <c r="G532" s="26" t="n">
        <v>-7.02923076923077</v>
      </c>
      <c r="H532" s="1" t="s">
        <v>661</v>
      </c>
    </row>
    <row r="533" customFormat="false" ht="15" hidden="false" customHeight="true" outlineLevel="0" collapsed="false">
      <c r="A533" s="1" t="s">
        <v>654</v>
      </c>
      <c r="B533" s="1" t="s">
        <v>464</v>
      </c>
      <c r="C533" s="1" t="s">
        <v>497</v>
      </c>
      <c r="D533" s="1" t="s">
        <v>293</v>
      </c>
      <c r="E533" s="82" t="n">
        <v>0</v>
      </c>
      <c r="F533" s="26" t="n">
        <v>0</v>
      </c>
      <c r="G533" s="26" t="n">
        <v>0</v>
      </c>
    </row>
    <row r="534" customFormat="false" ht="15" hidden="false" customHeight="true" outlineLevel="0" collapsed="false">
      <c r="A534" s="1" t="s">
        <v>654</v>
      </c>
      <c r="B534" s="1" t="s">
        <v>464</v>
      </c>
      <c r="C534" s="1" t="s">
        <v>498</v>
      </c>
      <c r="D534" s="1" t="s">
        <v>293</v>
      </c>
      <c r="E534" s="82" t="n">
        <v>0</v>
      </c>
      <c r="F534" s="26" t="n">
        <v>0</v>
      </c>
      <c r="G534" s="26" t="n">
        <v>0</v>
      </c>
      <c r="H534" s="1" t="s">
        <v>477</v>
      </c>
    </row>
    <row r="535" customFormat="false" ht="15" hidden="false" customHeight="true" outlineLevel="0" collapsed="false">
      <c r="A535" s="1" t="s">
        <v>654</v>
      </c>
      <c r="B535" s="1" t="s">
        <v>464</v>
      </c>
      <c r="C535" s="1" t="s">
        <v>465</v>
      </c>
      <c r="D535" s="1" t="s">
        <v>290</v>
      </c>
      <c r="E535" s="82" t="n">
        <v>601</v>
      </c>
      <c r="F535" s="26" t="n">
        <v>1.86</v>
      </c>
      <c r="G535" s="26" t="n">
        <v>1117.86</v>
      </c>
      <c r="H535" s="1" t="s">
        <v>656</v>
      </c>
    </row>
    <row r="536" customFormat="false" ht="15" hidden="false" customHeight="true" outlineLevel="0" collapsed="false">
      <c r="A536" s="1" t="s">
        <v>654</v>
      </c>
      <c r="B536" s="1" t="s">
        <v>464</v>
      </c>
      <c r="C536" s="1" t="s">
        <v>467</v>
      </c>
      <c r="D536" s="1" t="s">
        <v>290</v>
      </c>
      <c r="E536" s="82" t="n">
        <v>3</v>
      </c>
      <c r="F536" s="26" t="n">
        <v>393.04</v>
      </c>
      <c r="G536" s="26" t="n">
        <v>1179.12</v>
      </c>
      <c r="H536" s="1" t="s">
        <v>664</v>
      </c>
    </row>
    <row r="537" customFormat="false" ht="15" hidden="false" customHeight="true" outlineLevel="0" collapsed="false">
      <c r="A537" s="1" t="s">
        <v>654</v>
      </c>
      <c r="B537" s="1" t="s">
        <v>464</v>
      </c>
      <c r="C537" s="1" t="s">
        <v>469</v>
      </c>
      <c r="D537" s="1" t="s">
        <v>290</v>
      </c>
      <c r="E537" s="82" t="n">
        <v>1</v>
      </c>
      <c r="F537" s="26" t="n">
        <v>439.28</v>
      </c>
      <c r="G537" s="26" t="n">
        <v>439.28</v>
      </c>
      <c r="H537" s="1" t="s">
        <v>665</v>
      </c>
    </row>
    <row r="538" customFormat="false" ht="15" hidden="false" customHeight="true" outlineLevel="0" collapsed="false">
      <c r="A538" s="1" t="s">
        <v>654</v>
      </c>
      <c r="B538" s="1" t="s">
        <v>464</v>
      </c>
      <c r="C538" s="1" t="s">
        <v>471</v>
      </c>
      <c r="D538" s="1" t="s">
        <v>290</v>
      </c>
      <c r="E538" s="82" t="n">
        <v>4</v>
      </c>
      <c r="F538" s="26" t="n">
        <v>407.27</v>
      </c>
      <c r="G538" s="26" t="n">
        <v>1629.08</v>
      </c>
      <c r="H538" s="1" t="s">
        <v>665</v>
      </c>
    </row>
    <row r="539" customFormat="false" ht="15" hidden="false" customHeight="true" outlineLevel="0" collapsed="false">
      <c r="A539" s="1" t="s">
        <v>654</v>
      </c>
      <c r="B539" s="1" t="s">
        <v>464</v>
      </c>
      <c r="C539" s="1" t="s">
        <v>473</v>
      </c>
      <c r="D539" s="1" t="s">
        <v>290</v>
      </c>
      <c r="E539" s="82" t="n">
        <v>1</v>
      </c>
      <c r="F539" s="26" t="n">
        <v>439.04</v>
      </c>
      <c r="G539" s="26" t="n">
        <v>439.04</v>
      </c>
      <c r="H539" s="1" t="s">
        <v>502</v>
      </c>
    </row>
    <row r="540" customFormat="false" ht="15" hidden="false" customHeight="true" outlineLevel="0" collapsed="false">
      <c r="A540" s="1" t="s">
        <v>654</v>
      </c>
      <c r="B540" s="1" t="s">
        <v>464</v>
      </c>
      <c r="C540" s="1" t="s">
        <v>473</v>
      </c>
      <c r="D540" s="1" t="s">
        <v>290</v>
      </c>
      <c r="E540" s="82" t="n">
        <v>78</v>
      </c>
      <c r="F540" s="26" t="n">
        <v>33.16</v>
      </c>
      <c r="G540" s="26" t="n">
        <v>2586.48</v>
      </c>
      <c r="H540" s="1" t="s">
        <v>503</v>
      </c>
    </row>
    <row r="541" customFormat="false" ht="15" hidden="false" customHeight="true" outlineLevel="0" collapsed="false">
      <c r="A541" s="1" t="s">
        <v>654</v>
      </c>
      <c r="B541" s="1" t="s">
        <v>464</v>
      </c>
      <c r="C541" s="1" t="s">
        <v>504</v>
      </c>
      <c r="D541" s="1" t="s">
        <v>290</v>
      </c>
      <c r="E541" s="82" t="n">
        <v>0</v>
      </c>
      <c r="F541" s="26" t="n">
        <v>0</v>
      </c>
      <c r="G541" s="26" t="n">
        <v>0</v>
      </c>
    </row>
    <row r="542" customFormat="false" ht="15" hidden="false" customHeight="true" outlineLevel="0" collapsed="false">
      <c r="A542" s="1" t="s">
        <v>654</v>
      </c>
      <c r="B542" s="1" t="s">
        <v>464</v>
      </c>
      <c r="C542" s="1" t="s">
        <v>505</v>
      </c>
      <c r="D542" s="1" t="s">
        <v>290</v>
      </c>
      <c r="E542" s="82" t="n">
        <v>1</v>
      </c>
      <c r="F542" s="26" t="n">
        <v>278.600873702422</v>
      </c>
      <c r="G542" s="26" t="n">
        <v>278.600873702422</v>
      </c>
      <c r="H542" s="1" t="s">
        <v>661</v>
      </c>
    </row>
    <row r="543" customFormat="false" ht="15" hidden="false" customHeight="true" outlineLevel="0" collapsed="false">
      <c r="A543" s="1" t="s">
        <v>654</v>
      </c>
      <c r="B543" s="1" t="s">
        <v>464</v>
      </c>
      <c r="C543" s="1" t="s">
        <v>506</v>
      </c>
      <c r="D543" s="1" t="s">
        <v>290</v>
      </c>
      <c r="E543" s="82" t="n">
        <v>0</v>
      </c>
      <c r="F543" s="26" t="n">
        <v>0</v>
      </c>
      <c r="G543" s="26" t="n">
        <v>0</v>
      </c>
    </row>
    <row r="544" customFormat="false" ht="15" hidden="false" customHeight="true" outlineLevel="0" collapsed="false">
      <c r="A544" s="1" t="s">
        <v>654</v>
      </c>
      <c r="B544" s="1" t="s">
        <v>464</v>
      </c>
      <c r="C544" s="1" t="s">
        <v>666</v>
      </c>
      <c r="D544" s="1" t="s">
        <v>290</v>
      </c>
      <c r="E544" s="82" t="n">
        <v>1</v>
      </c>
      <c r="F544" s="26" t="n">
        <v>26.326</v>
      </c>
      <c r="G544" s="26" t="n">
        <v>26.326</v>
      </c>
      <c r="H544" s="1" t="s">
        <v>477</v>
      </c>
    </row>
    <row r="545" customFormat="false" ht="15" hidden="false" customHeight="true" outlineLevel="0" collapsed="false">
      <c r="A545" s="1" t="s">
        <v>654</v>
      </c>
      <c r="B545" s="1" t="s">
        <v>464</v>
      </c>
      <c r="C545" s="1" t="s">
        <v>465</v>
      </c>
      <c r="D545" s="1" t="s">
        <v>284</v>
      </c>
      <c r="E545" s="82" t="n">
        <v>461</v>
      </c>
      <c r="F545" s="26" t="n">
        <v>1.86</v>
      </c>
      <c r="G545" s="26" t="n">
        <v>857.46</v>
      </c>
      <c r="H545" s="1" t="s">
        <v>656</v>
      </c>
    </row>
    <row r="546" customFormat="false" ht="15" hidden="false" customHeight="true" outlineLevel="0" collapsed="false">
      <c r="A546" s="1" t="s">
        <v>654</v>
      </c>
      <c r="B546" s="1" t="s">
        <v>464</v>
      </c>
      <c r="C546" s="1" t="s">
        <v>467</v>
      </c>
      <c r="D546" s="1" t="s">
        <v>284</v>
      </c>
      <c r="E546" s="82" t="n">
        <v>4</v>
      </c>
      <c r="F546" s="26" t="n">
        <v>393.04</v>
      </c>
      <c r="G546" s="26" t="n">
        <v>1572.16</v>
      </c>
      <c r="H546" s="1" t="s">
        <v>470</v>
      </c>
    </row>
    <row r="547" customFormat="false" ht="15" hidden="false" customHeight="true" outlineLevel="0" collapsed="false">
      <c r="A547" s="1" t="s">
        <v>654</v>
      </c>
      <c r="B547" s="1" t="s">
        <v>464</v>
      </c>
      <c r="C547" s="1" t="s">
        <v>469</v>
      </c>
      <c r="D547" s="1" t="s">
        <v>284</v>
      </c>
      <c r="E547" s="82" t="n">
        <v>4</v>
      </c>
      <c r="F547" s="26" t="n">
        <v>439.28</v>
      </c>
      <c r="G547" s="26" t="n">
        <v>1757.12</v>
      </c>
      <c r="H547" s="1" t="s">
        <v>667</v>
      </c>
    </row>
    <row r="548" customFormat="false" ht="15" hidden="false" customHeight="true" outlineLevel="0" collapsed="false">
      <c r="A548" s="1" t="s">
        <v>654</v>
      </c>
      <c r="B548" s="1" t="s">
        <v>464</v>
      </c>
      <c r="C548" s="1" t="s">
        <v>471</v>
      </c>
      <c r="D548" s="1" t="s">
        <v>284</v>
      </c>
      <c r="E548" s="82" t="n">
        <v>6</v>
      </c>
      <c r="F548" s="26" t="n">
        <v>407.27</v>
      </c>
      <c r="G548" s="26" t="n">
        <v>2443.62</v>
      </c>
      <c r="H548" s="1" t="s">
        <v>667</v>
      </c>
    </row>
    <row r="549" customFormat="false" ht="15" hidden="false" customHeight="true" outlineLevel="0" collapsed="false">
      <c r="A549" s="1" t="s">
        <v>654</v>
      </c>
      <c r="B549" s="1" t="s">
        <v>464</v>
      </c>
      <c r="C549" s="1" t="s">
        <v>511</v>
      </c>
      <c r="D549" s="1" t="s">
        <v>284</v>
      </c>
      <c r="E549" s="82" t="n">
        <v>1</v>
      </c>
      <c r="F549" s="26" t="n">
        <v>738.92</v>
      </c>
      <c r="G549" s="26" t="n">
        <v>738.92</v>
      </c>
      <c r="H549" s="1" t="s">
        <v>512</v>
      </c>
    </row>
    <row r="550" customFormat="false" ht="15" hidden="false" customHeight="true" outlineLevel="0" collapsed="false">
      <c r="A550" s="1" t="s">
        <v>654</v>
      </c>
      <c r="B550" s="1" t="s">
        <v>464</v>
      </c>
      <c r="C550" s="1" t="s">
        <v>511</v>
      </c>
      <c r="D550" s="1" t="s">
        <v>284</v>
      </c>
      <c r="E550" s="82" t="n">
        <v>25</v>
      </c>
      <c r="F550" s="26" t="n">
        <v>19.53</v>
      </c>
      <c r="G550" s="26" t="n">
        <v>488.25</v>
      </c>
      <c r="H550" s="1" t="s">
        <v>489</v>
      </c>
    </row>
    <row r="551" customFormat="false" ht="15" hidden="false" customHeight="true" outlineLevel="0" collapsed="false">
      <c r="A551" s="1" t="s">
        <v>654</v>
      </c>
      <c r="B551" s="1" t="s">
        <v>464</v>
      </c>
      <c r="C551" s="1" t="s">
        <v>478</v>
      </c>
      <c r="D551" s="1" t="s">
        <v>284</v>
      </c>
      <c r="E551" s="82" t="n">
        <v>21</v>
      </c>
      <c r="F551" s="26" t="n">
        <v>278.600873702422</v>
      </c>
      <c r="G551" s="26" t="n">
        <v>5850.61834775087</v>
      </c>
      <c r="H551" s="1" t="s">
        <v>661</v>
      </c>
    </row>
    <row r="552" customFormat="false" ht="15" hidden="false" customHeight="true" outlineLevel="0" collapsed="false">
      <c r="A552" s="1" t="s">
        <v>654</v>
      </c>
      <c r="B552" s="1" t="s">
        <v>464</v>
      </c>
      <c r="C552" s="1" t="s">
        <v>513</v>
      </c>
      <c r="D552" s="1" t="s">
        <v>284</v>
      </c>
      <c r="E552" s="82" t="n">
        <v>0</v>
      </c>
      <c r="F552" s="26" t="n">
        <v>0</v>
      </c>
      <c r="G552" s="26" t="n">
        <v>0</v>
      </c>
      <c r="H552" s="1" t="s">
        <v>477</v>
      </c>
    </row>
    <row r="553" customFormat="false" ht="15" hidden="false" customHeight="true" outlineLevel="0" collapsed="false">
      <c r="A553" s="1" t="s">
        <v>654</v>
      </c>
      <c r="B553" s="1" t="s">
        <v>464</v>
      </c>
      <c r="C553" s="1" t="s">
        <v>514</v>
      </c>
      <c r="D553" s="1" t="s">
        <v>284</v>
      </c>
      <c r="E553" s="82" t="n">
        <v>0</v>
      </c>
      <c r="F553" s="26" t="n">
        <v>0</v>
      </c>
      <c r="G553" s="26" t="n">
        <v>0</v>
      </c>
      <c r="H553" s="1" t="s">
        <v>477</v>
      </c>
    </row>
    <row r="554" customFormat="false" ht="15" hidden="false" customHeight="true" outlineLevel="0" collapsed="false">
      <c r="A554" s="1" t="s">
        <v>654</v>
      </c>
      <c r="B554" s="1" t="s">
        <v>464</v>
      </c>
      <c r="C554" s="1" t="s">
        <v>515</v>
      </c>
      <c r="D554" s="1" t="s">
        <v>284</v>
      </c>
      <c r="E554" s="82" t="n">
        <v>0</v>
      </c>
      <c r="F554" s="26" t="n">
        <v>0</v>
      </c>
      <c r="G554" s="26" t="n">
        <v>0</v>
      </c>
      <c r="H554" s="1" t="s">
        <v>477</v>
      </c>
    </row>
    <row r="555" customFormat="false" ht="15" hidden="false" customHeight="true" outlineLevel="0" collapsed="false">
      <c r="A555" s="1" t="s">
        <v>654</v>
      </c>
      <c r="B555" s="1" t="s">
        <v>464</v>
      </c>
      <c r="C555" s="1" t="s">
        <v>465</v>
      </c>
      <c r="D555" s="1" t="s">
        <v>285</v>
      </c>
      <c r="E555" s="82" t="n">
        <v>112</v>
      </c>
      <c r="F555" s="26" t="n">
        <v>1.86</v>
      </c>
      <c r="G555" s="26" t="n">
        <v>208.32</v>
      </c>
      <c r="H555" s="1" t="s">
        <v>656</v>
      </c>
    </row>
    <row r="556" customFormat="false" ht="15" hidden="false" customHeight="true" outlineLevel="0" collapsed="false">
      <c r="A556" s="1" t="s">
        <v>654</v>
      </c>
      <c r="B556" s="1" t="s">
        <v>464</v>
      </c>
      <c r="C556" s="1" t="s">
        <v>467</v>
      </c>
      <c r="D556" s="1" t="s">
        <v>285</v>
      </c>
      <c r="E556" s="82" t="n">
        <v>1</v>
      </c>
      <c r="F556" s="26" t="n">
        <v>393.04</v>
      </c>
      <c r="G556" s="26" t="n">
        <v>393.04</v>
      </c>
      <c r="H556" s="1" t="s">
        <v>470</v>
      </c>
    </row>
    <row r="557" customFormat="false" ht="15" hidden="false" customHeight="true" outlineLevel="0" collapsed="false">
      <c r="A557" s="1" t="s">
        <v>654</v>
      </c>
      <c r="B557" s="1" t="s">
        <v>464</v>
      </c>
      <c r="C557" s="1" t="s">
        <v>469</v>
      </c>
      <c r="D557" s="1" t="s">
        <v>285</v>
      </c>
      <c r="E557" s="82" t="n">
        <v>0</v>
      </c>
      <c r="F557" s="26" t="n">
        <v>0</v>
      </c>
      <c r="G557" s="26" t="n">
        <v>0</v>
      </c>
      <c r="H557" s="1" t="s">
        <v>517</v>
      </c>
    </row>
    <row r="558" customFormat="false" ht="15" hidden="false" customHeight="true" outlineLevel="0" collapsed="false">
      <c r="A558" s="1" t="s">
        <v>654</v>
      </c>
      <c r="B558" s="1" t="s">
        <v>464</v>
      </c>
      <c r="C558" s="1" t="s">
        <v>471</v>
      </c>
      <c r="D558" s="1" t="s">
        <v>285</v>
      </c>
      <c r="E558" s="82" t="n">
        <v>0</v>
      </c>
      <c r="F558" s="26" t="n">
        <v>0</v>
      </c>
      <c r="G558" s="26" t="n">
        <v>0</v>
      </c>
      <c r="H558" s="1" t="s">
        <v>468</v>
      </c>
    </row>
    <row r="559" customFormat="false" ht="15" hidden="false" customHeight="true" outlineLevel="0" collapsed="false">
      <c r="A559" s="1" t="s">
        <v>654</v>
      </c>
      <c r="B559" s="1" t="s">
        <v>464</v>
      </c>
      <c r="C559" s="1" t="s">
        <v>511</v>
      </c>
      <c r="D559" s="1" t="s">
        <v>285</v>
      </c>
      <c r="E559" s="82" t="n">
        <v>1</v>
      </c>
      <c r="F559" s="26" t="n">
        <v>607.6</v>
      </c>
      <c r="G559" s="26" t="n">
        <v>607.6</v>
      </c>
      <c r="H559" s="1" t="s">
        <v>518</v>
      </c>
    </row>
    <row r="560" customFormat="false" ht="15" hidden="false" customHeight="true" outlineLevel="0" collapsed="false">
      <c r="A560" s="1" t="s">
        <v>654</v>
      </c>
      <c r="B560" s="1" t="s">
        <v>464</v>
      </c>
      <c r="C560" s="1" t="s">
        <v>511</v>
      </c>
      <c r="D560" s="1" t="s">
        <v>285</v>
      </c>
      <c r="E560" s="82" t="n">
        <v>42</v>
      </c>
      <c r="F560" s="26" t="n">
        <v>19.53</v>
      </c>
      <c r="G560" s="26" t="n">
        <v>820.26</v>
      </c>
      <c r="H560" s="1" t="s">
        <v>489</v>
      </c>
    </row>
    <row r="561" customFormat="false" ht="15" hidden="false" customHeight="true" outlineLevel="0" collapsed="false">
      <c r="A561" s="1" t="s">
        <v>654</v>
      </c>
      <c r="B561" s="1" t="s">
        <v>464</v>
      </c>
      <c r="C561" s="1" t="s">
        <v>478</v>
      </c>
      <c r="D561" s="1" t="s">
        <v>285</v>
      </c>
      <c r="E561" s="82" t="n">
        <v>2</v>
      </c>
      <c r="F561" s="26" t="n">
        <v>278.600873702422</v>
      </c>
      <c r="G561" s="26" t="n">
        <v>557.201747404844</v>
      </c>
      <c r="H561" s="1" t="s">
        <v>661</v>
      </c>
    </row>
    <row r="562" customFormat="false" ht="15" hidden="false" customHeight="true" outlineLevel="0" collapsed="false">
      <c r="A562" s="1" t="s">
        <v>654</v>
      </c>
      <c r="B562" s="1" t="s">
        <v>464</v>
      </c>
      <c r="C562" s="1" t="s">
        <v>519</v>
      </c>
      <c r="D562" s="1" t="s">
        <v>285</v>
      </c>
      <c r="E562" s="82" t="n">
        <v>-1</v>
      </c>
      <c r="F562" s="26" t="n">
        <v>370.462380952381</v>
      </c>
      <c r="G562" s="26" t="n">
        <v>-370.462380952381</v>
      </c>
      <c r="H562" s="1" t="s">
        <v>661</v>
      </c>
    </row>
    <row r="563" customFormat="false" ht="15" hidden="false" customHeight="true" outlineLevel="0" collapsed="false">
      <c r="A563" s="1" t="s">
        <v>654</v>
      </c>
      <c r="B563" s="1" t="s">
        <v>464</v>
      </c>
      <c r="C563" s="1" t="s">
        <v>482</v>
      </c>
      <c r="D563" s="1" t="s">
        <v>282</v>
      </c>
      <c r="E563" s="82" t="n">
        <v>1</v>
      </c>
      <c r="F563" s="26" t="n">
        <v>25.5</v>
      </c>
      <c r="G563" s="26" t="n">
        <v>25.5</v>
      </c>
      <c r="H563" s="1" t="s">
        <v>606</v>
      </c>
    </row>
    <row r="564" customFormat="false" ht="15" hidden="false" customHeight="true" outlineLevel="0" collapsed="false">
      <c r="A564" s="1" t="s">
        <v>654</v>
      </c>
      <c r="B564" s="1" t="s">
        <v>464</v>
      </c>
      <c r="C564" s="1" t="s">
        <v>465</v>
      </c>
      <c r="D564" s="1" t="s">
        <v>282</v>
      </c>
      <c r="E564" s="82" t="n">
        <v>0</v>
      </c>
      <c r="F564" s="26" t="n">
        <v>0</v>
      </c>
      <c r="G564" s="26" t="n">
        <v>0</v>
      </c>
      <c r="H564" s="1" t="s">
        <v>466</v>
      </c>
    </row>
    <row r="565" customFormat="false" ht="15" hidden="false" customHeight="true" outlineLevel="0" collapsed="false">
      <c r="A565" s="1" t="s">
        <v>654</v>
      </c>
      <c r="B565" s="1" t="s">
        <v>464</v>
      </c>
      <c r="C565" s="1" t="s">
        <v>465</v>
      </c>
      <c r="D565" s="1" t="s">
        <v>282</v>
      </c>
      <c r="E565" s="82" t="n">
        <v>261</v>
      </c>
      <c r="F565" s="26" t="n">
        <v>1.86</v>
      </c>
      <c r="G565" s="26" t="n">
        <v>485.46</v>
      </c>
      <c r="H565" s="1" t="s">
        <v>656</v>
      </c>
    </row>
    <row r="566" customFormat="false" ht="15" hidden="false" customHeight="true" outlineLevel="0" collapsed="false">
      <c r="A566" s="1" t="s">
        <v>654</v>
      </c>
      <c r="B566" s="1" t="s">
        <v>464</v>
      </c>
      <c r="C566" s="1" t="s">
        <v>467</v>
      </c>
      <c r="D566" s="1" t="s">
        <v>282</v>
      </c>
      <c r="E566" s="82" t="n">
        <v>3</v>
      </c>
      <c r="F566" s="26" t="n">
        <v>393.04</v>
      </c>
      <c r="G566" s="26" t="n">
        <v>1179.12</v>
      </c>
      <c r="H566" s="1" t="s">
        <v>517</v>
      </c>
    </row>
    <row r="567" customFormat="false" ht="15" hidden="false" customHeight="true" outlineLevel="0" collapsed="false">
      <c r="A567" s="1" t="s">
        <v>654</v>
      </c>
      <c r="B567" s="1" t="s">
        <v>464</v>
      </c>
      <c r="C567" s="1" t="s">
        <v>469</v>
      </c>
      <c r="D567" s="1" t="s">
        <v>282</v>
      </c>
      <c r="E567" s="82" t="n">
        <v>2</v>
      </c>
      <c r="F567" s="26" t="n">
        <v>439.28</v>
      </c>
      <c r="G567" s="26" t="n">
        <v>878.56</v>
      </c>
      <c r="H567" s="1" t="s">
        <v>468</v>
      </c>
    </row>
    <row r="568" customFormat="false" ht="15" hidden="false" customHeight="true" outlineLevel="0" collapsed="false">
      <c r="A568" s="1" t="s">
        <v>654</v>
      </c>
      <c r="B568" s="1" t="s">
        <v>464</v>
      </c>
      <c r="C568" s="1" t="s">
        <v>471</v>
      </c>
      <c r="D568" s="1" t="s">
        <v>282</v>
      </c>
      <c r="E568" s="82" t="n">
        <v>3</v>
      </c>
      <c r="F568" s="26" t="n">
        <v>407.27</v>
      </c>
      <c r="G568" s="26" t="n">
        <v>1221.81</v>
      </c>
      <c r="H568" s="1" t="s">
        <v>517</v>
      </c>
    </row>
    <row r="569" customFormat="false" ht="15" hidden="false" customHeight="true" outlineLevel="0" collapsed="false">
      <c r="A569" s="1" t="s">
        <v>654</v>
      </c>
      <c r="B569" s="1" t="s">
        <v>464</v>
      </c>
      <c r="C569" s="1" t="s">
        <v>478</v>
      </c>
      <c r="D569" s="1" t="s">
        <v>282</v>
      </c>
      <c r="E569" s="82" t="n">
        <v>4</v>
      </c>
      <c r="F569" s="26" t="n">
        <v>278.600873702422</v>
      </c>
      <c r="G569" s="26" t="n">
        <v>1114.40349480969</v>
      </c>
      <c r="H569" s="1" t="s">
        <v>661</v>
      </c>
    </row>
    <row r="570" customFormat="false" ht="15" hidden="false" customHeight="true" outlineLevel="0" collapsed="false">
      <c r="A570" s="1" t="s">
        <v>654</v>
      </c>
      <c r="B570" s="1" t="s">
        <v>464</v>
      </c>
      <c r="C570" s="1" t="s">
        <v>523</v>
      </c>
      <c r="D570" s="1" t="s">
        <v>282</v>
      </c>
      <c r="E570" s="82" t="n">
        <v>0</v>
      </c>
      <c r="F570" s="26" t="n">
        <v>0</v>
      </c>
      <c r="G570" s="26" t="n">
        <v>0</v>
      </c>
    </row>
    <row r="571" customFormat="false" ht="15" hidden="false" customHeight="true" outlineLevel="0" collapsed="false">
      <c r="A571" s="1" t="s">
        <v>654</v>
      </c>
      <c r="B571" s="1" t="s">
        <v>464</v>
      </c>
      <c r="C571" s="1" t="s">
        <v>524</v>
      </c>
      <c r="D571" s="1" t="s">
        <v>282</v>
      </c>
      <c r="E571" s="82" t="n">
        <v>-12</v>
      </c>
      <c r="F571" s="26" t="n">
        <v>26.326</v>
      </c>
      <c r="G571" s="26" t="n">
        <v>-315.912</v>
      </c>
      <c r="H571" s="1" t="s">
        <v>661</v>
      </c>
    </row>
    <row r="572" customFormat="false" ht="15" hidden="false" customHeight="true" outlineLevel="0" collapsed="false">
      <c r="A572" s="1" t="s">
        <v>654</v>
      </c>
      <c r="B572" s="1" t="s">
        <v>464</v>
      </c>
      <c r="C572" s="1" t="s">
        <v>668</v>
      </c>
      <c r="D572" s="1" t="s">
        <v>282</v>
      </c>
      <c r="E572" s="82" t="n">
        <v>-1</v>
      </c>
      <c r="F572" s="26" t="n">
        <v>26.326</v>
      </c>
      <c r="G572" s="26" t="n">
        <v>-26.326</v>
      </c>
      <c r="H572" s="1" t="s">
        <v>477</v>
      </c>
    </row>
    <row r="573" customFormat="false" ht="15" hidden="false" customHeight="true" outlineLevel="0" collapsed="false">
      <c r="A573" s="1" t="s">
        <v>654</v>
      </c>
      <c r="B573" s="1" t="s">
        <v>464</v>
      </c>
      <c r="C573" s="1" t="s">
        <v>526</v>
      </c>
      <c r="D573" s="1" t="s">
        <v>282</v>
      </c>
      <c r="E573" s="82" t="n">
        <v>0</v>
      </c>
      <c r="F573" s="26" t="n">
        <v>0</v>
      </c>
      <c r="G573" s="26" t="n">
        <v>0</v>
      </c>
    </row>
    <row r="574" customFormat="false" ht="15" hidden="false" customHeight="true" outlineLevel="0" collapsed="false">
      <c r="A574" s="1" t="s">
        <v>654</v>
      </c>
      <c r="B574" s="1" t="s">
        <v>143</v>
      </c>
      <c r="C574" s="1" t="s">
        <v>527</v>
      </c>
      <c r="D574" s="1" t="s">
        <v>287</v>
      </c>
      <c r="E574" s="82" t="n">
        <v>6445</v>
      </c>
      <c r="F574" s="26" t="n">
        <v>0.253754640366083</v>
      </c>
      <c r="G574" s="26" t="n">
        <v>1635.4486571594</v>
      </c>
      <c r="H574" s="1" t="s">
        <v>451</v>
      </c>
    </row>
    <row r="575" customFormat="false" ht="15" hidden="false" customHeight="true" outlineLevel="0" collapsed="false">
      <c r="A575" s="1" t="s">
        <v>654</v>
      </c>
      <c r="B575" s="1" t="s">
        <v>143</v>
      </c>
      <c r="C575" s="1" t="s">
        <v>527</v>
      </c>
      <c r="D575" s="1" t="s">
        <v>289</v>
      </c>
      <c r="E575" s="82" t="n">
        <v>13418</v>
      </c>
      <c r="F575" s="26" t="n">
        <v>0.253754640366083</v>
      </c>
      <c r="G575" s="26" t="n">
        <v>3404.8797644321</v>
      </c>
      <c r="H575" s="1" t="s">
        <v>451</v>
      </c>
    </row>
    <row r="576" customFormat="false" ht="15" hidden="false" customHeight="true" outlineLevel="0" collapsed="false">
      <c r="A576" s="1" t="s">
        <v>654</v>
      </c>
      <c r="B576" s="1" t="s">
        <v>143</v>
      </c>
      <c r="C576" s="1" t="s">
        <v>527</v>
      </c>
      <c r="D576" s="1" t="s">
        <v>293</v>
      </c>
      <c r="E576" s="82" t="n">
        <v>3704</v>
      </c>
      <c r="F576" s="26" t="n">
        <v>0.253754640366083</v>
      </c>
      <c r="G576" s="26" t="n">
        <v>939.90718791597</v>
      </c>
      <c r="H576" s="1" t="s">
        <v>451</v>
      </c>
    </row>
    <row r="577" customFormat="false" ht="15" hidden="false" customHeight="true" outlineLevel="0" collapsed="false">
      <c r="A577" s="1" t="s">
        <v>654</v>
      </c>
      <c r="B577" s="1" t="s">
        <v>143</v>
      </c>
      <c r="C577" s="1" t="s">
        <v>527</v>
      </c>
      <c r="D577" s="1" t="s">
        <v>290</v>
      </c>
      <c r="E577" s="82" t="n">
        <v>6434</v>
      </c>
      <c r="F577" s="26" t="n">
        <v>0.253754640366083</v>
      </c>
      <c r="G577" s="26" t="n">
        <v>1632.65735611538</v>
      </c>
      <c r="H577" s="1" t="s">
        <v>451</v>
      </c>
    </row>
    <row r="578" customFormat="false" ht="15" hidden="false" customHeight="true" outlineLevel="0" collapsed="false">
      <c r="A578" s="1" t="s">
        <v>654</v>
      </c>
      <c r="B578" s="1" t="s">
        <v>143</v>
      </c>
      <c r="C578" s="1" t="s">
        <v>527</v>
      </c>
      <c r="D578" s="1" t="s">
        <v>284</v>
      </c>
      <c r="E578" s="82" t="n">
        <v>14441</v>
      </c>
      <c r="F578" s="26" t="n">
        <v>0.253754640366083</v>
      </c>
      <c r="G578" s="26" t="n">
        <v>3664.4707615266</v>
      </c>
      <c r="H578" s="1" t="s">
        <v>451</v>
      </c>
    </row>
    <row r="579" customFormat="false" ht="15" hidden="false" customHeight="true" outlineLevel="0" collapsed="false">
      <c r="A579" s="1" t="s">
        <v>654</v>
      </c>
      <c r="B579" s="1" t="s">
        <v>143</v>
      </c>
      <c r="C579" s="1" t="s">
        <v>527</v>
      </c>
      <c r="D579" s="1" t="s">
        <v>285</v>
      </c>
      <c r="E579" s="82" t="n">
        <v>4749</v>
      </c>
      <c r="F579" s="26" t="n">
        <v>0.253754640366083</v>
      </c>
      <c r="G579" s="26" t="n">
        <v>1205.08078709853</v>
      </c>
      <c r="H579" s="1" t="s">
        <v>451</v>
      </c>
    </row>
    <row r="580" customFormat="false" ht="15" hidden="false" customHeight="true" outlineLevel="0" collapsed="false">
      <c r="A580" s="1" t="s">
        <v>654</v>
      </c>
      <c r="B580" s="1" t="s">
        <v>143</v>
      </c>
      <c r="C580" s="1" t="s">
        <v>527</v>
      </c>
      <c r="D580" s="1" t="s">
        <v>282</v>
      </c>
      <c r="E580" s="82" t="n">
        <v>4795</v>
      </c>
      <c r="F580" s="26" t="n">
        <v>0.253754640366083</v>
      </c>
      <c r="G580" s="26" t="n">
        <v>1216.75350055537</v>
      </c>
      <c r="H580" s="1" t="s">
        <v>451</v>
      </c>
    </row>
    <row r="581" customFormat="false" ht="15" hidden="false" customHeight="true" outlineLevel="0" collapsed="false">
      <c r="A581" s="1" t="s">
        <v>654</v>
      </c>
      <c r="B581" s="1" t="s">
        <v>141</v>
      </c>
      <c r="C581" s="1" t="s">
        <v>528</v>
      </c>
      <c r="D581" s="1" t="s">
        <v>289</v>
      </c>
      <c r="E581" s="82" t="n">
        <v>13418</v>
      </c>
      <c r="F581" s="26" t="n">
        <v>0.105895207936646</v>
      </c>
      <c r="G581" s="26" t="n">
        <v>1420.9019</v>
      </c>
      <c r="H581" s="1" t="s">
        <v>451</v>
      </c>
    </row>
    <row r="582" customFormat="false" ht="15" hidden="false" customHeight="true" outlineLevel="0" collapsed="false">
      <c r="A582" s="1" t="s">
        <v>654</v>
      </c>
      <c r="B582" s="1" t="s">
        <v>45</v>
      </c>
      <c r="C582" s="1" t="s">
        <v>529</v>
      </c>
      <c r="D582" s="1" t="s">
        <v>287</v>
      </c>
      <c r="E582" s="82" t="n">
        <v>1</v>
      </c>
      <c r="F582" s="26" t="n">
        <v>9145.68</v>
      </c>
      <c r="G582" s="26" t="n">
        <v>9145.68</v>
      </c>
      <c r="H582" s="1" t="s">
        <v>530</v>
      </c>
    </row>
    <row r="583" customFormat="false" ht="15" hidden="false" customHeight="true" outlineLevel="0" collapsed="false">
      <c r="A583" s="1" t="s">
        <v>654</v>
      </c>
      <c r="B583" s="1" t="s">
        <v>45</v>
      </c>
      <c r="C583" s="1" t="s">
        <v>529</v>
      </c>
      <c r="D583" s="1" t="s">
        <v>293</v>
      </c>
      <c r="E583" s="82" t="n">
        <v>1</v>
      </c>
      <c r="F583" s="26" t="n">
        <v>3372.11</v>
      </c>
      <c r="G583" s="26" t="n">
        <v>3372.11</v>
      </c>
      <c r="H583" s="1" t="s">
        <v>530</v>
      </c>
    </row>
    <row r="584" customFormat="false" ht="15" hidden="false" customHeight="true" outlineLevel="0" collapsed="false">
      <c r="A584" s="1" t="s">
        <v>654</v>
      </c>
      <c r="B584" s="1" t="s">
        <v>45</v>
      </c>
      <c r="C584" s="1" t="s">
        <v>529</v>
      </c>
      <c r="D584" s="1" t="s">
        <v>285</v>
      </c>
      <c r="E584" s="82" t="n">
        <v>1</v>
      </c>
      <c r="F584" s="26" t="n">
        <v>15695.77</v>
      </c>
      <c r="G584" s="26" t="n">
        <v>15695.77</v>
      </c>
      <c r="H584" s="1" t="s">
        <v>530</v>
      </c>
    </row>
    <row r="585" customFormat="false" ht="15" hidden="false" customHeight="true" outlineLevel="0" collapsed="false">
      <c r="A585" s="1" t="s">
        <v>654</v>
      </c>
      <c r="B585" s="1" t="s">
        <v>45</v>
      </c>
      <c r="C585" s="1" t="s">
        <v>531</v>
      </c>
      <c r="D585" s="1" t="s">
        <v>282</v>
      </c>
      <c r="E585" s="82" t="n">
        <v>0</v>
      </c>
      <c r="F585" s="26" t="n">
        <v>0</v>
      </c>
      <c r="G585" s="26" t="n">
        <v>0</v>
      </c>
      <c r="H585" s="1" t="s">
        <v>532</v>
      </c>
    </row>
    <row r="586" customFormat="false" ht="15" hidden="false" customHeight="true" outlineLevel="0" collapsed="false">
      <c r="A586" s="1" t="s">
        <v>654</v>
      </c>
      <c r="B586" s="1" t="s">
        <v>50</v>
      </c>
      <c r="C586" s="1" t="s">
        <v>533</v>
      </c>
      <c r="D586" s="1" t="s">
        <v>287</v>
      </c>
      <c r="E586" s="82" t="n">
        <v>0</v>
      </c>
      <c r="F586" s="26" t="n">
        <v>0</v>
      </c>
      <c r="G586" s="26" t="n">
        <v>0</v>
      </c>
      <c r="H586" s="1" t="s">
        <v>534</v>
      </c>
    </row>
    <row r="587" customFormat="false" ht="15" hidden="false" customHeight="true" outlineLevel="0" collapsed="false">
      <c r="A587" s="1" t="s">
        <v>654</v>
      </c>
      <c r="B587" s="1" t="s">
        <v>50</v>
      </c>
      <c r="C587" s="1" t="s">
        <v>533</v>
      </c>
      <c r="D587" s="1" t="s">
        <v>293</v>
      </c>
      <c r="E587" s="82" t="n">
        <v>0</v>
      </c>
      <c r="F587" s="26" t="n">
        <v>0</v>
      </c>
      <c r="G587" s="26" t="n">
        <v>0</v>
      </c>
      <c r="H587" s="1" t="s">
        <v>534</v>
      </c>
    </row>
    <row r="588" customFormat="false" ht="15" hidden="false" customHeight="true" outlineLevel="0" collapsed="false">
      <c r="A588" s="1" t="s">
        <v>654</v>
      </c>
      <c r="B588" s="1" t="s">
        <v>50</v>
      </c>
      <c r="C588" s="1" t="s">
        <v>533</v>
      </c>
      <c r="D588" s="1" t="s">
        <v>290</v>
      </c>
      <c r="E588" s="82" t="n">
        <v>0</v>
      </c>
      <c r="F588" s="26" t="n">
        <v>0</v>
      </c>
      <c r="G588" s="26" t="n">
        <v>0</v>
      </c>
      <c r="H588" s="1" t="s">
        <v>535</v>
      </c>
    </row>
    <row r="589" customFormat="false" ht="15" hidden="false" customHeight="true" outlineLevel="0" collapsed="false">
      <c r="A589" s="1" t="s">
        <v>654</v>
      </c>
      <c r="B589" s="1" t="s">
        <v>50</v>
      </c>
      <c r="C589" s="1" t="s">
        <v>533</v>
      </c>
      <c r="D589" s="1" t="s">
        <v>284</v>
      </c>
      <c r="E589" s="82" t="n">
        <v>0</v>
      </c>
      <c r="F589" s="26" t="n">
        <v>0</v>
      </c>
      <c r="G589" s="26" t="n">
        <v>0</v>
      </c>
      <c r="H589" s="1" t="s">
        <v>536</v>
      </c>
    </row>
    <row r="590" customFormat="false" ht="15" hidden="false" customHeight="true" outlineLevel="0" collapsed="false">
      <c r="A590" s="1" t="s">
        <v>654</v>
      </c>
      <c r="B590" s="1" t="s">
        <v>50</v>
      </c>
      <c r="C590" s="1" t="s">
        <v>533</v>
      </c>
      <c r="D590" s="1" t="s">
        <v>285</v>
      </c>
      <c r="E590" s="82" t="n">
        <v>0</v>
      </c>
      <c r="F590" s="26" t="n">
        <v>0</v>
      </c>
      <c r="G590" s="26" t="n">
        <v>0</v>
      </c>
      <c r="H590" s="1" t="s">
        <v>534</v>
      </c>
    </row>
    <row r="591" customFormat="false" ht="15" hidden="false" customHeight="true" outlineLevel="0" collapsed="false">
      <c r="A591" s="1" t="s">
        <v>654</v>
      </c>
      <c r="B591" s="1" t="s">
        <v>50</v>
      </c>
      <c r="C591" s="1" t="s">
        <v>533</v>
      </c>
      <c r="D591" s="1" t="s">
        <v>282</v>
      </c>
      <c r="E591" s="82" t="n">
        <v>0</v>
      </c>
      <c r="F591" s="26" t="n">
        <v>0</v>
      </c>
      <c r="G591" s="26" t="n">
        <v>0</v>
      </c>
      <c r="H591" s="1" t="s">
        <v>534</v>
      </c>
    </row>
    <row r="592" customFormat="false" ht="15" hidden="false" customHeight="true" outlineLevel="0" collapsed="false">
      <c r="A592" s="1" t="s">
        <v>654</v>
      </c>
      <c r="B592" s="1" t="s">
        <v>537</v>
      </c>
      <c r="C592" s="1" t="s">
        <v>538</v>
      </c>
      <c r="D592" s="1" t="s">
        <v>287</v>
      </c>
      <c r="E592" s="82" t="n">
        <v>0</v>
      </c>
      <c r="F592" s="26" t="n">
        <v>0</v>
      </c>
      <c r="G592" s="26" t="n">
        <v>0</v>
      </c>
      <c r="H592" s="1" t="s">
        <v>539</v>
      </c>
    </row>
    <row r="593" customFormat="false" ht="15" hidden="false" customHeight="true" outlineLevel="0" collapsed="false">
      <c r="A593" s="1" t="s">
        <v>654</v>
      </c>
      <c r="B593" s="1" t="s">
        <v>537</v>
      </c>
      <c r="C593" s="1" t="s">
        <v>540</v>
      </c>
      <c r="D593" s="1" t="s">
        <v>287</v>
      </c>
      <c r="E593" s="82" t="n">
        <v>0</v>
      </c>
      <c r="F593" s="26" t="n">
        <v>0</v>
      </c>
      <c r="G593" s="26" t="n">
        <v>0</v>
      </c>
      <c r="H593" s="1" t="s">
        <v>541</v>
      </c>
    </row>
    <row r="594" customFormat="false" ht="15" hidden="false" customHeight="true" outlineLevel="0" collapsed="false">
      <c r="A594" s="1" t="s">
        <v>654</v>
      </c>
      <c r="B594" s="1" t="s">
        <v>537</v>
      </c>
      <c r="C594" s="1" t="s">
        <v>669</v>
      </c>
      <c r="D594" s="1" t="s">
        <v>287</v>
      </c>
      <c r="E594" s="82" t="n">
        <v>1</v>
      </c>
      <c r="F594" s="26" t="n">
        <v>96</v>
      </c>
      <c r="G594" s="26" t="n">
        <v>96</v>
      </c>
      <c r="H594" s="1" t="s">
        <v>670</v>
      </c>
    </row>
    <row r="595" customFormat="false" ht="15" hidden="false" customHeight="true" outlineLevel="0" collapsed="false">
      <c r="A595" s="1" t="s">
        <v>654</v>
      </c>
      <c r="B595" s="1" t="s">
        <v>537</v>
      </c>
      <c r="C595" s="1" t="s">
        <v>542</v>
      </c>
      <c r="D595" s="1" t="s">
        <v>287</v>
      </c>
      <c r="E595" s="82" t="n">
        <v>10</v>
      </c>
      <c r="F595" s="26" t="n">
        <v>20</v>
      </c>
      <c r="G595" s="26" t="n">
        <v>200</v>
      </c>
      <c r="H595" s="1" t="s">
        <v>543</v>
      </c>
    </row>
    <row r="596" customFormat="false" ht="15" hidden="false" customHeight="true" outlineLevel="0" collapsed="false">
      <c r="A596" s="1" t="s">
        <v>654</v>
      </c>
      <c r="B596" s="1" t="s">
        <v>537</v>
      </c>
      <c r="C596" s="1" t="s">
        <v>544</v>
      </c>
      <c r="D596" s="1" t="s">
        <v>287</v>
      </c>
      <c r="E596" s="82" t="n">
        <v>1</v>
      </c>
      <c r="F596" s="26" t="n">
        <v>682.73</v>
      </c>
      <c r="G596" s="26" t="n">
        <v>682.73</v>
      </c>
      <c r="H596" s="1" t="s">
        <v>671</v>
      </c>
    </row>
    <row r="597" customFormat="false" ht="15" hidden="false" customHeight="true" outlineLevel="0" collapsed="false">
      <c r="A597" s="1" t="s">
        <v>654</v>
      </c>
      <c r="B597" s="1" t="s">
        <v>537</v>
      </c>
      <c r="C597" s="1" t="s">
        <v>544</v>
      </c>
      <c r="D597" s="1" t="s">
        <v>287</v>
      </c>
      <c r="E597" s="82" t="n">
        <v>1</v>
      </c>
      <c r="F597" s="26" t="n">
        <v>894.25</v>
      </c>
      <c r="G597" s="26" t="n">
        <v>894.25</v>
      </c>
      <c r="H597" s="1" t="s">
        <v>672</v>
      </c>
    </row>
    <row r="598" customFormat="false" ht="15" hidden="false" customHeight="true" outlineLevel="0" collapsed="false">
      <c r="A598" s="1" t="s">
        <v>654</v>
      </c>
      <c r="B598" s="1" t="s">
        <v>537</v>
      </c>
      <c r="C598" s="1" t="s">
        <v>546</v>
      </c>
      <c r="D598" s="1" t="s">
        <v>287</v>
      </c>
      <c r="E598" s="82" t="n">
        <v>0</v>
      </c>
      <c r="F598" s="26" t="n">
        <v>0</v>
      </c>
      <c r="G598" s="26" t="n">
        <v>0</v>
      </c>
      <c r="H598" s="1" t="s">
        <v>670</v>
      </c>
    </row>
    <row r="599" customFormat="false" ht="15" hidden="false" customHeight="true" outlineLevel="0" collapsed="false">
      <c r="A599" s="1" t="s">
        <v>654</v>
      </c>
      <c r="B599" s="1" t="s">
        <v>537</v>
      </c>
      <c r="C599" s="1" t="s">
        <v>546</v>
      </c>
      <c r="D599" s="1" t="s">
        <v>287</v>
      </c>
      <c r="E599" s="82" t="n">
        <v>1</v>
      </c>
      <c r="F599" s="26" t="n">
        <v>86</v>
      </c>
      <c r="G599" s="26" t="n">
        <v>86</v>
      </c>
      <c r="H599" s="1" t="s">
        <v>672</v>
      </c>
    </row>
    <row r="600" customFormat="false" ht="15" hidden="false" customHeight="true" outlineLevel="0" collapsed="false">
      <c r="A600" s="1" t="s">
        <v>654</v>
      </c>
      <c r="B600" s="1" t="s">
        <v>537</v>
      </c>
      <c r="C600" s="1" t="s">
        <v>544</v>
      </c>
      <c r="D600" s="1" t="s">
        <v>289</v>
      </c>
      <c r="E600" s="82" t="n">
        <v>0</v>
      </c>
      <c r="F600" s="26" t="n">
        <v>0</v>
      </c>
      <c r="G600" s="26" t="n">
        <v>0</v>
      </c>
      <c r="H600" s="1" t="s">
        <v>545</v>
      </c>
    </row>
    <row r="601" customFormat="false" ht="15" hidden="false" customHeight="true" outlineLevel="0" collapsed="false">
      <c r="A601" s="1" t="s">
        <v>654</v>
      </c>
      <c r="B601" s="1" t="s">
        <v>537</v>
      </c>
      <c r="C601" s="1" t="s">
        <v>542</v>
      </c>
      <c r="D601" s="1" t="s">
        <v>293</v>
      </c>
      <c r="E601" s="82" t="n">
        <v>3</v>
      </c>
      <c r="F601" s="26" t="n">
        <v>20</v>
      </c>
      <c r="G601" s="26" t="n">
        <v>60</v>
      </c>
      <c r="H601" s="1" t="s">
        <v>543</v>
      </c>
    </row>
    <row r="602" customFormat="false" ht="15" hidden="false" customHeight="true" outlineLevel="0" collapsed="false">
      <c r="A602" s="1" t="s">
        <v>654</v>
      </c>
      <c r="B602" s="1" t="s">
        <v>537</v>
      </c>
      <c r="C602" s="1" t="s">
        <v>544</v>
      </c>
      <c r="D602" s="1" t="s">
        <v>293</v>
      </c>
      <c r="E602" s="82" t="n">
        <v>1</v>
      </c>
      <c r="F602" s="26" t="n">
        <v>556.03</v>
      </c>
      <c r="G602" s="26" t="n">
        <v>556.03</v>
      </c>
      <c r="H602" s="1" t="s">
        <v>670</v>
      </c>
    </row>
    <row r="603" customFormat="false" ht="15" hidden="false" customHeight="true" outlineLevel="0" collapsed="false">
      <c r="A603" s="1" t="s">
        <v>654</v>
      </c>
      <c r="B603" s="1" t="s">
        <v>537</v>
      </c>
      <c r="C603" s="1" t="s">
        <v>544</v>
      </c>
      <c r="D603" s="1" t="s">
        <v>293</v>
      </c>
      <c r="E603" s="82" t="n">
        <v>1</v>
      </c>
      <c r="F603" s="26" t="n">
        <v>447.78</v>
      </c>
      <c r="G603" s="26" t="n">
        <v>447.78</v>
      </c>
      <c r="H603" s="1" t="s">
        <v>672</v>
      </c>
    </row>
    <row r="604" customFormat="false" ht="15" hidden="false" customHeight="true" outlineLevel="0" collapsed="false">
      <c r="A604" s="1" t="s">
        <v>654</v>
      </c>
      <c r="B604" s="1" t="s">
        <v>537</v>
      </c>
      <c r="C604" s="1" t="s">
        <v>546</v>
      </c>
      <c r="D604" s="1" t="s">
        <v>293</v>
      </c>
      <c r="E604" s="82" t="n">
        <v>0</v>
      </c>
      <c r="F604" s="26" t="n">
        <v>0</v>
      </c>
      <c r="G604" s="26" t="n">
        <v>0</v>
      </c>
      <c r="H604" s="1" t="s">
        <v>547</v>
      </c>
    </row>
    <row r="605" customFormat="false" ht="15" hidden="false" customHeight="true" outlineLevel="0" collapsed="false">
      <c r="A605" s="1" t="s">
        <v>654</v>
      </c>
      <c r="B605" s="1" t="s">
        <v>537</v>
      </c>
      <c r="C605" s="1" t="s">
        <v>538</v>
      </c>
      <c r="D605" s="1" t="s">
        <v>290</v>
      </c>
      <c r="E605" s="82" t="n">
        <v>0</v>
      </c>
      <c r="F605" s="26" t="n">
        <v>0</v>
      </c>
      <c r="G605" s="26" t="n">
        <v>0</v>
      </c>
      <c r="H605" s="1" t="s">
        <v>548</v>
      </c>
    </row>
    <row r="606" customFormat="false" ht="15" hidden="false" customHeight="true" outlineLevel="0" collapsed="false">
      <c r="A606" s="1" t="s">
        <v>654</v>
      </c>
      <c r="B606" s="1" t="s">
        <v>537</v>
      </c>
      <c r="C606" s="1" t="s">
        <v>540</v>
      </c>
      <c r="D606" s="1" t="s">
        <v>290</v>
      </c>
      <c r="E606" s="82" t="n">
        <v>0</v>
      </c>
      <c r="F606" s="26" t="n">
        <v>0</v>
      </c>
      <c r="G606" s="26" t="n">
        <v>0</v>
      </c>
      <c r="H606" s="1" t="s">
        <v>549</v>
      </c>
    </row>
    <row r="607" customFormat="false" ht="15" hidden="false" customHeight="true" outlineLevel="0" collapsed="false">
      <c r="A607" s="1" t="s">
        <v>654</v>
      </c>
      <c r="B607" s="1" t="s">
        <v>537</v>
      </c>
      <c r="C607" s="1" t="s">
        <v>550</v>
      </c>
      <c r="D607" s="1" t="s">
        <v>290</v>
      </c>
      <c r="E607" s="82" t="n">
        <v>0</v>
      </c>
      <c r="F607" s="26" t="n">
        <v>0</v>
      </c>
      <c r="G607" s="26" t="n">
        <v>0</v>
      </c>
      <c r="H607" s="1" t="s">
        <v>670</v>
      </c>
    </row>
    <row r="608" customFormat="false" ht="15" hidden="false" customHeight="true" outlineLevel="0" collapsed="false">
      <c r="A608" s="1" t="s">
        <v>654</v>
      </c>
      <c r="B608" s="1" t="s">
        <v>537</v>
      </c>
      <c r="C608" s="1" t="s">
        <v>550</v>
      </c>
      <c r="D608" s="1" t="s">
        <v>290</v>
      </c>
      <c r="E608" s="82" t="n">
        <v>1</v>
      </c>
      <c r="F608" s="26" t="n">
        <v>1150</v>
      </c>
      <c r="G608" s="26" t="n">
        <v>1150</v>
      </c>
      <c r="H608" s="1" t="s">
        <v>672</v>
      </c>
    </row>
    <row r="609" customFormat="false" ht="15" hidden="false" customHeight="true" outlineLevel="0" collapsed="false">
      <c r="A609" s="1" t="s">
        <v>654</v>
      </c>
      <c r="B609" s="1" t="s">
        <v>537</v>
      </c>
      <c r="C609" s="1" t="s">
        <v>542</v>
      </c>
      <c r="D609" s="1" t="s">
        <v>290</v>
      </c>
      <c r="E609" s="82" t="n">
        <v>13</v>
      </c>
      <c r="F609" s="26" t="n">
        <v>20</v>
      </c>
      <c r="G609" s="26" t="n">
        <v>260</v>
      </c>
      <c r="H609" s="1" t="s">
        <v>543</v>
      </c>
    </row>
    <row r="610" customFormat="false" ht="15" hidden="false" customHeight="true" outlineLevel="0" collapsed="false">
      <c r="A610" s="1" t="s">
        <v>654</v>
      </c>
      <c r="B610" s="1" t="s">
        <v>537</v>
      </c>
      <c r="C610" s="1" t="s">
        <v>544</v>
      </c>
      <c r="D610" s="1" t="s">
        <v>290</v>
      </c>
      <c r="E610" s="82" t="n">
        <v>0</v>
      </c>
      <c r="F610" s="26" t="n">
        <v>0</v>
      </c>
      <c r="G610" s="26" t="n">
        <v>0</v>
      </c>
      <c r="H610" s="1" t="s">
        <v>545</v>
      </c>
    </row>
    <row r="611" customFormat="false" ht="15" hidden="false" customHeight="true" outlineLevel="0" collapsed="false">
      <c r="A611" s="1" t="s">
        <v>654</v>
      </c>
      <c r="B611" s="1" t="s">
        <v>537</v>
      </c>
      <c r="C611" s="1" t="s">
        <v>546</v>
      </c>
      <c r="D611" s="1" t="s">
        <v>290</v>
      </c>
      <c r="E611" s="82" t="n">
        <v>0</v>
      </c>
      <c r="F611" s="26" t="n">
        <v>0</v>
      </c>
      <c r="G611" s="26" t="n">
        <v>0</v>
      </c>
      <c r="H611" s="1" t="s">
        <v>670</v>
      </c>
    </row>
    <row r="612" customFormat="false" ht="15" hidden="false" customHeight="true" outlineLevel="0" collapsed="false">
      <c r="A612" s="1" t="s">
        <v>654</v>
      </c>
      <c r="B612" s="1" t="s">
        <v>537</v>
      </c>
      <c r="C612" s="1" t="s">
        <v>546</v>
      </c>
      <c r="D612" s="1" t="s">
        <v>290</v>
      </c>
      <c r="E612" s="82" t="n">
        <v>1</v>
      </c>
      <c r="F612" s="26" t="n">
        <v>475.21</v>
      </c>
      <c r="G612" s="26" t="n">
        <v>475.21</v>
      </c>
      <c r="H612" s="1" t="s">
        <v>672</v>
      </c>
    </row>
    <row r="613" customFormat="false" ht="15" hidden="false" customHeight="true" outlineLevel="0" collapsed="false">
      <c r="A613" s="1" t="s">
        <v>654</v>
      </c>
      <c r="B613" s="1" t="s">
        <v>537</v>
      </c>
      <c r="C613" s="1" t="s">
        <v>669</v>
      </c>
      <c r="D613" s="1" t="s">
        <v>284</v>
      </c>
      <c r="E613" s="82" t="n">
        <v>1</v>
      </c>
      <c r="F613" s="26" t="n">
        <v>132</v>
      </c>
      <c r="G613" s="26" t="n">
        <v>132</v>
      </c>
      <c r="H613" s="1" t="s">
        <v>670</v>
      </c>
    </row>
    <row r="614" customFormat="false" ht="15" hidden="false" customHeight="true" outlineLevel="0" collapsed="false">
      <c r="A614" s="1" t="s">
        <v>654</v>
      </c>
      <c r="B614" s="1" t="s">
        <v>537</v>
      </c>
      <c r="C614" s="1" t="s">
        <v>542</v>
      </c>
      <c r="D614" s="1" t="s">
        <v>284</v>
      </c>
      <c r="E614" s="82" t="n">
        <v>19</v>
      </c>
      <c r="F614" s="26" t="n">
        <v>20</v>
      </c>
      <c r="G614" s="26" t="n">
        <v>380</v>
      </c>
      <c r="H614" s="1" t="s">
        <v>543</v>
      </c>
    </row>
    <row r="615" customFormat="false" ht="15" hidden="false" customHeight="true" outlineLevel="0" collapsed="false">
      <c r="A615" s="1" t="s">
        <v>654</v>
      </c>
      <c r="B615" s="1" t="s">
        <v>537</v>
      </c>
      <c r="C615" s="1" t="s">
        <v>544</v>
      </c>
      <c r="D615" s="1" t="s">
        <v>284</v>
      </c>
      <c r="E615" s="82" t="n">
        <v>1</v>
      </c>
      <c r="F615" s="26" t="n">
        <v>1035.78</v>
      </c>
      <c r="G615" s="26" t="n">
        <v>1035.78</v>
      </c>
      <c r="H615" s="1" t="s">
        <v>670</v>
      </c>
    </row>
    <row r="616" customFormat="false" ht="15" hidden="false" customHeight="true" outlineLevel="0" collapsed="false">
      <c r="A616" s="1" t="s">
        <v>654</v>
      </c>
      <c r="B616" s="1" t="s">
        <v>537</v>
      </c>
      <c r="C616" s="1" t="s">
        <v>544</v>
      </c>
      <c r="D616" s="1" t="s">
        <v>284</v>
      </c>
      <c r="E616" s="82" t="n">
        <v>1</v>
      </c>
      <c r="F616" s="26" t="n">
        <v>1381.14</v>
      </c>
      <c r="G616" s="26" t="n">
        <v>1381.14</v>
      </c>
      <c r="H616" s="1" t="s">
        <v>672</v>
      </c>
    </row>
    <row r="617" customFormat="false" ht="15" hidden="false" customHeight="true" outlineLevel="0" collapsed="false">
      <c r="A617" s="1" t="s">
        <v>654</v>
      </c>
      <c r="B617" s="1" t="s">
        <v>537</v>
      </c>
      <c r="C617" s="1" t="s">
        <v>551</v>
      </c>
      <c r="D617" s="1" t="s">
        <v>284</v>
      </c>
      <c r="E617" s="82" t="n">
        <v>0</v>
      </c>
      <c r="F617" s="26" t="n">
        <v>0</v>
      </c>
      <c r="G617" s="26" t="n">
        <v>0</v>
      </c>
      <c r="H617" s="1" t="s">
        <v>670</v>
      </c>
    </row>
    <row r="618" customFormat="false" ht="15" hidden="false" customHeight="true" outlineLevel="0" collapsed="false">
      <c r="A618" s="1" t="s">
        <v>654</v>
      </c>
      <c r="B618" s="1" t="s">
        <v>537</v>
      </c>
      <c r="C618" s="1" t="s">
        <v>551</v>
      </c>
      <c r="D618" s="1" t="s">
        <v>284</v>
      </c>
      <c r="E618" s="82" t="n">
        <v>1</v>
      </c>
      <c r="F618" s="26" t="n">
        <v>264</v>
      </c>
      <c r="G618" s="26" t="n">
        <v>264</v>
      </c>
      <c r="H618" s="1" t="s">
        <v>672</v>
      </c>
    </row>
    <row r="619" customFormat="false" ht="15" hidden="false" customHeight="true" outlineLevel="0" collapsed="false">
      <c r="A619" s="1" t="s">
        <v>654</v>
      </c>
      <c r="B619" s="1" t="s">
        <v>537</v>
      </c>
      <c r="C619" s="1" t="s">
        <v>550</v>
      </c>
      <c r="D619" s="1" t="s">
        <v>285</v>
      </c>
      <c r="E619" s="82" t="n">
        <v>0</v>
      </c>
      <c r="F619" s="26" t="n">
        <v>0</v>
      </c>
      <c r="G619" s="26" t="n">
        <v>0</v>
      </c>
      <c r="H619" s="1" t="s">
        <v>552</v>
      </c>
    </row>
    <row r="620" customFormat="false" ht="15" hidden="false" customHeight="true" outlineLevel="0" collapsed="false">
      <c r="A620" s="1" t="s">
        <v>654</v>
      </c>
      <c r="B620" s="1" t="s">
        <v>537</v>
      </c>
      <c r="C620" s="1" t="s">
        <v>542</v>
      </c>
      <c r="D620" s="1" t="s">
        <v>285</v>
      </c>
      <c r="E620" s="82" t="n">
        <v>4</v>
      </c>
      <c r="F620" s="26" t="n">
        <v>20</v>
      </c>
      <c r="G620" s="26" t="n">
        <v>80</v>
      </c>
      <c r="H620" s="1" t="s">
        <v>543</v>
      </c>
    </row>
    <row r="621" customFormat="false" ht="15" hidden="false" customHeight="true" outlineLevel="0" collapsed="false">
      <c r="A621" s="1" t="s">
        <v>654</v>
      </c>
      <c r="B621" s="1" t="s">
        <v>537</v>
      </c>
      <c r="C621" s="1" t="s">
        <v>544</v>
      </c>
      <c r="D621" s="1" t="s">
        <v>285</v>
      </c>
      <c r="E621" s="82" t="n">
        <v>0</v>
      </c>
      <c r="F621" s="26" t="n">
        <v>0</v>
      </c>
      <c r="G621" s="26" t="n">
        <v>0</v>
      </c>
      <c r="H621" s="1" t="s">
        <v>545</v>
      </c>
    </row>
    <row r="622" customFormat="false" ht="15" hidden="false" customHeight="true" outlineLevel="0" collapsed="false">
      <c r="A622" s="1" t="s">
        <v>654</v>
      </c>
      <c r="B622" s="1" t="s">
        <v>537</v>
      </c>
      <c r="C622" s="1" t="s">
        <v>551</v>
      </c>
      <c r="D622" s="1" t="s">
        <v>285</v>
      </c>
      <c r="E622" s="82" t="n">
        <v>0</v>
      </c>
      <c r="F622" s="26" t="n">
        <v>0</v>
      </c>
      <c r="G622" s="26" t="n">
        <v>0</v>
      </c>
      <c r="H622" s="1" t="s">
        <v>547</v>
      </c>
    </row>
    <row r="623" customFormat="false" ht="15" hidden="false" customHeight="true" outlineLevel="0" collapsed="false">
      <c r="A623" s="1" t="s">
        <v>654</v>
      </c>
      <c r="B623" s="1" t="s">
        <v>537</v>
      </c>
      <c r="C623" s="1" t="s">
        <v>538</v>
      </c>
      <c r="D623" s="1" t="s">
        <v>282</v>
      </c>
      <c r="E623" s="82" t="n">
        <v>0</v>
      </c>
      <c r="F623" s="26" t="n">
        <v>0</v>
      </c>
      <c r="G623" s="26" t="n">
        <v>0</v>
      </c>
      <c r="H623" s="1" t="s">
        <v>553</v>
      </c>
    </row>
    <row r="624" customFormat="false" ht="15" hidden="false" customHeight="true" outlineLevel="0" collapsed="false">
      <c r="A624" s="1" t="s">
        <v>654</v>
      </c>
      <c r="B624" s="1" t="s">
        <v>537</v>
      </c>
      <c r="C624" s="1" t="s">
        <v>542</v>
      </c>
      <c r="D624" s="1" t="s">
        <v>282</v>
      </c>
      <c r="E624" s="82" t="n">
        <v>8</v>
      </c>
      <c r="F624" s="26" t="n">
        <v>20</v>
      </c>
      <c r="G624" s="26" t="n">
        <v>160</v>
      </c>
      <c r="H624" s="1" t="s">
        <v>543</v>
      </c>
    </row>
    <row r="625" customFormat="false" ht="15" hidden="false" customHeight="true" outlineLevel="0" collapsed="false">
      <c r="A625" s="1" t="s">
        <v>654</v>
      </c>
      <c r="B625" s="1" t="s">
        <v>537</v>
      </c>
      <c r="C625" s="1" t="s">
        <v>544</v>
      </c>
      <c r="D625" s="1" t="s">
        <v>282</v>
      </c>
      <c r="E625" s="82" t="n">
        <v>1</v>
      </c>
      <c r="F625" s="26" t="n">
        <v>1209.07</v>
      </c>
      <c r="G625" s="26" t="n">
        <v>1209.07</v>
      </c>
      <c r="H625" s="1" t="s">
        <v>670</v>
      </c>
    </row>
    <row r="626" customFormat="false" ht="15" hidden="false" customHeight="true" outlineLevel="0" collapsed="false">
      <c r="A626" s="1" t="s">
        <v>654</v>
      </c>
      <c r="B626" s="1" t="s">
        <v>537</v>
      </c>
      <c r="C626" s="1" t="s">
        <v>544</v>
      </c>
      <c r="D626" s="1" t="s">
        <v>282</v>
      </c>
      <c r="E626" s="82" t="n">
        <v>1</v>
      </c>
      <c r="F626" s="26" t="n">
        <v>497.22</v>
      </c>
      <c r="G626" s="26" t="n">
        <v>497.22</v>
      </c>
      <c r="H626" s="1" t="s">
        <v>672</v>
      </c>
    </row>
    <row r="627" customFormat="false" ht="15" hidden="false" customHeight="true" outlineLevel="0" collapsed="false">
      <c r="A627" s="1" t="s">
        <v>654</v>
      </c>
      <c r="B627" s="1" t="s">
        <v>537</v>
      </c>
      <c r="C627" s="1" t="s">
        <v>546</v>
      </c>
      <c r="D627" s="1" t="s">
        <v>282</v>
      </c>
      <c r="E627" s="82" t="n">
        <v>1</v>
      </c>
      <c r="F627" s="26" t="n">
        <v>230.72</v>
      </c>
      <c r="G627" s="26" t="n">
        <v>230.72</v>
      </c>
      <c r="H627" s="1" t="s">
        <v>670</v>
      </c>
    </row>
    <row r="628" customFormat="false" ht="15" hidden="false" customHeight="true" outlineLevel="0" collapsed="false">
      <c r="A628" s="1" t="s">
        <v>654</v>
      </c>
      <c r="B628" s="1" t="s">
        <v>537</v>
      </c>
      <c r="C628" s="1" t="s">
        <v>546</v>
      </c>
      <c r="D628" s="1" t="s">
        <v>282</v>
      </c>
      <c r="E628" s="82" t="n">
        <v>1</v>
      </c>
      <c r="F628" s="26" t="n">
        <v>381.6</v>
      </c>
      <c r="G628" s="26" t="n">
        <v>381.6</v>
      </c>
      <c r="H628" s="1" t="s">
        <v>672</v>
      </c>
    </row>
    <row r="629" customFormat="false" ht="15" hidden="false" customHeight="true" outlineLevel="0" collapsed="false">
      <c r="A629" s="1" t="s">
        <v>654</v>
      </c>
      <c r="B629" s="1" t="s">
        <v>554</v>
      </c>
      <c r="C629" s="1" t="s">
        <v>673</v>
      </c>
      <c r="D629" s="1" t="s">
        <v>287</v>
      </c>
      <c r="E629" s="82" t="n">
        <v>0</v>
      </c>
      <c r="F629" s="26" t="n">
        <v>0</v>
      </c>
      <c r="G629" s="26" t="n">
        <v>0</v>
      </c>
      <c r="H629" s="1" t="s">
        <v>558</v>
      </c>
    </row>
    <row r="630" customFormat="false" ht="15" hidden="false" customHeight="true" outlineLevel="0" collapsed="false">
      <c r="A630" s="1" t="s">
        <v>654</v>
      </c>
      <c r="B630" s="1" t="s">
        <v>554</v>
      </c>
      <c r="C630" s="1" t="s">
        <v>555</v>
      </c>
      <c r="D630" s="1" t="s">
        <v>287</v>
      </c>
      <c r="E630" s="82" t="n">
        <v>0</v>
      </c>
      <c r="F630" s="26" t="n">
        <v>0</v>
      </c>
      <c r="G630" s="26" t="n">
        <v>0</v>
      </c>
      <c r="H630" s="1" t="s">
        <v>556</v>
      </c>
    </row>
    <row r="631" customFormat="false" ht="15" hidden="false" customHeight="true" outlineLevel="0" collapsed="false">
      <c r="A631" s="1" t="s">
        <v>654</v>
      </c>
      <c r="B631" s="1" t="s">
        <v>554</v>
      </c>
      <c r="C631" s="1" t="s">
        <v>559</v>
      </c>
      <c r="D631" s="1" t="s">
        <v>287</v>
      </c>
      <c r="E631" s="82" t="n">
        <v>0</v>
      </c>
      <c r="F631" s="26" t="n">
        <v>0</v>
      </c>
      <c r="G631" s="26" t="n">
        <v>0</v>
      </c>
      <c r="H631" s="1" t="s">
        <v>560</v>
      </c>
    </row>
    <row r="632" customFormat="false" ht="15" hidden="false" customHeight="true" outlineLevel="0" collapsed="false">
      <c r="A632" s="1" t="s">
        <v>654</v>
      </c>
      <c r="B632" s="1" t="s">
        <v>554</v>
      </c>
      <c r="C632" s="1" t="s">
        <v>674</v>
      </c>
      <c r="D632" s="1" t="s">
        <v>287</v>
      </c>
      <c r="E632" s="82" t="n">
        <v>0</v>
      </c>
      <c r="F632" s="26" t="n">
        <v>0</v>
      </c>
      <c r="G632" s="26" t="n">
        <v>0</v>
      </c>
      <c r="H632" s="1" t="s">
        <v>562</v>
      </c>
    </row>
    <row r="633" customFormat="false" ht="15" hidden="false" customHeight="true" outlineLevel="0" collapsed="false">
      <c r="A633" s="1" t="s">
        <v>654</v>
      </c>
      <c r="B633" s="1" t="s">
        <v>554</v>
      </c>
      <c r="C633" s="1" t="s">
        <v>563</v>
      </c>
      <c r="D633" s="1" t="s">
        <v>289</v>
      </c>
      <c r="E633" s="82" t="n">
        <v>0</v>
      </c>
      <c r="F633" s="26" t="n">
        <v>0</v>
      </c>
      <c r="G633" s="26" t="n">
        <v>0</v>
      </c>
      <c r="H633" s="1" t="s">
        <v>564</v>
      </c>
    </row>
    <row r="634" customFormat="false" ht="15" hidden="false" customHeight="true" outlineLevel="0" collapsed="false">
      <c r="A634" s="1" t="s">
        <v>654</v>
      </c>
      <c r="B634" s="1" t="s">
        <v>554</v>
      </c>
      <c r="C634" s="1" t="s">
        <v>565</v>
      </c>
      <c r="D634" s="1" t="s">
        <v>289</v>
      </c>
      <c r="E634" s="82" t="n">
        <v>0</v>
      </c>
      <c r="F634" s="26" t="n">
        <v>0</v>
      </c>
      <c r="G634" s="26" t="n">
        <v>0</v>
      </c>
      <c r="H634" s="1" t="s">
        <v>566</v>
      </c>
    </row>
    <row r="635" customFormat="false" ht="15" hidden="false" customHeight="true" outlineLevel="0" collapsed="false">
      <c r="A635" s="1" t="s">
        <v>654</v>
      </c>
      <c r="B635" s="1" t="s">
        <v>554</v>
      </c>
      <c r="C635" s="1" t="s">
        <v>567</v>
      </c>
      <c r="D635" s="1" t="s">
        <v>293</v>
      </c>
      <c r="E635" s="82" t="n">
        <v>0</v>
      </c>
      <c r="F635" s="26" t="n">
        <v>0</v>
      </c>
      <c r="G635" s="26" t="n">
        <v>0</v>
      </c>
      <c r="H635" s="1" t="s">
        <v>568</v>
      </c>
    </row>
    <row r="636" customFormat="false" ht="15" hidden="false" customHeight="true" outlineLevel="0" collapsed="false">
      <c r="A636" s="1" t="s">
        <v>654</v>
      </c>
      <c r="B636" s="1" t="s">
        <v>554</v>
      </c>
      <c r="C636" s="1" t="s">
        <v>569</v>
      </c>
      <c r="D636" s="1" t="s">
        <v>293</v>
      </c>
      <c r="E636" s="82" t="n">
        <v>0</v>
      </c>
      <c r="F636" s="26" t="n">
        <v>0</v>
      </c>
      <c r="G636" s="26" t="n">
        <v>0</v>
      </c>
      <c r="H636" s="1" t="s">
        <v>570</v>
      </c>
    </row>
    <row r="637" customFormat="false" ht="15" hidden="false" customHeight="true" outlineLevel="0" collapsed="false">
      <c r="A637" s="1" t="s">
        <v>654</v>
      </c>
      <c r="B637" s="1" t="s">
        <v>554</v>
      </c>
      <c r="C637" s="1" t="s">
        <v>571</v>
      </c>
      <c r="D637" s="1" t="s">
        <v>293</v>
      </c>
      <c r="E637" s="82" t="n">
        <v>0</v>
      </c>
      <c r="F637" s="26" t="n">
        <v>0</v>
      </c>
      <c r="G637" s="26" t="n">
        <v>0</v>
      </c>
      <c r="H637" s="1" t="s">
        <v>564</v>
      </c>
    </row>
    <row r="638" customFormat="false" ht="15" hidden="false" customHeight="true" outlineLevel="0" collapsed="false">
      <c r="A638" s="1" t="s">
        <v>654</v>
      </c>
      <c r="B638" s="1" t="s">
        <v>554</v>
      </c>
      <c r="C638" s="1" t="s">
        <v>572</v>
      </c>
      <c r="D638" s="1" t="s">
        <v>293</v>
      </c>
      <c r="E638" s="82" t="n">
        <v>0</v>
      </c>
      <c r="F638" s="26" t="n">
        <v>0</v>
      </c>
      <c r="G638" s="26" t="n">
        <v>0</v>
      </c>
      <c r="H638" s="1" t="s">
        <v>573</v>
      </c>
    </row>
    <row r="639" customFormat="false" ht="15" hidden="false" customHeight="true" outlineLevel="0" collapsed="false">
      <c r="A639" s="1" t="s">
        <v>654</v>
      </c>
      <c r="B639" s="1" t="s">
        <v>554</v>
      </c>
      <c r="C639" s="1" t="s">
        <v>574</v>
      </c>
      <c r="D639" s="1" t="s">
        <v>293</v>
      </c>
      <c r="E639" s="82" t="n">
        <v>0</v>
      </c>
      <c r="F639" s="26" t="n">
        <v>0</v>
      </c>
      <c r="G639" s="26" t="n">
        <v>0</v>
      </c>
      <c r="H639" s="1" t="s">
        <v>573</v>
      </c>
    </row>
    <row r="640" customFormat="false" ht="15" hidden="false" customHeight="true" outlineLevel="0" collapsed="false">
      <c r="A640" s="1" t="s">
        <v>654</v>
      </c>
      <c r="B640" s="1" t="s">
        <v>554</v>
      </c>
      <c r="C640" s="1" t="s">
        <v>575</v>
      </c>
      <c r="D640" s="1" t="s">
        <v>293</v>
      </c>
      <c r="E640" s="82" t="n">
        <v>1</v>
      </c>
      <c r="F640" s="26" t="n">
        <v>3430.14</v>
      </c>
      <c r="G640" s="26" t="n">
        <v>3430.14</v>
      </c>
      <c r="H640" s="1" t="s">
        <v>576</v>
      </c>
    </row>
    <row r="641" customFormat="false" ht="15" hidden="false" customHeight="true" outlineLevel="0" collapsed="false">
      <c r="A641" s="1" t="s">
        <v>654</v>
      </c>
      <c r="B641" s="1" t="s">
        <v>554</v>
      </c>
      <c r="C641" s="1" t="s">
        <v>577</v>
      </c>
      <c r="D641" s="1" t="s">
        <v>290</v>
      </c>
      <c r="E641" s="82" t="n">
        <v>0</v>
      </c>
      <c r="F641" s="26" t="n">
        <v>0</v>
      </c>
      <c r="G641" s="26" t="n">
        <v>0</v>
      </c>
      <c r="H641" s="1" t="s">
        <v>564</v>
      </c>
    </row>
    <row r="642" customFormat="false" ht="15" hidden="false" customHeight="true" outlineLevel="0" collapsed="false">
      <c r="A642" s="1" t="s">
        <v>654</v>
      </c>
      <c r="B642" s="1" t="s">
        <v>554</v>
      </c>
      <c r="C642" s="1" t="s">
        <v>578</v>
      </c>
      <c r="D642" s="1" t="s">
        <v>290</v>
      </c>
      <c r="E642" s="82" t="n">
        <v>0</v>
      </c>
      <c r="F642" s="26" t="n">
        <v>0</v>
      </c>
      <c r="G642" s="26" t="n">
        <v>0</v>
      </c>
      <c r="H642" s="1" t="s">
        <v>579</v>
      </c>
    </row>
    <row r="643" customFormat="false" ht="15" hidden="false" customHeight="true" outlineLevel="0" collapsed="false">
      <c r="A643" s="1" t="s">
        <v>654</v>
      </c>
      <c r="B643" s="1" t="s">
        <v>554</v>
      </c>
      <c r="C643" s="1" t="s">
        <v>580</v>
      </c>
      <c r="D643" s="1" t="s">
        <v>284</v>
      </c>
      <c r="E643" s="82" t="n">
        <v>0</v>
      </c>
      <c r="F643" s="26" t="n">
        <v>0</v>
      </c>
      <c r="G643" s="26" t="n">
        <v>0</v>
      </c>
      <c r="H643" s="1" t="s">
        <v>581</v>
      </c>
    </row>
    <row r="644" customFormat="false" ht="15" hidden="false" customHeight="true" outlineLevel="0" collapsed="false">
      <c r="A644" s="1" t="s">
        <v>654</v>
      </c>
      <c r="B644" s="1" t="s">
        <v>554</v>
      </c>
      <c r="C644" s="1" t="s">
        <v>582</v>
      </c>
      <c r="D644" s="1" t="s">
        <v>284</v>
      </c>
      <c r="E644" s="82" t="n">
        <v>0</v>
      </c>
      <c r="F644" s="26" t="n">
        <v>0</v>
      </c>
      <c r="G644" s="26" t="n">
        <v>0</v>
      </c>
      <c r="H644" s="1" t="s">
        <v>556</v>
      </c>
    </row>
    <row r="645" customFormat="false" ht="15" hidden="false" customHeight="true" outlineLevel="0" collapsed="false">
      <c r="A645" s="1" t="s">
        <v>654</v>
      </c>
      <c r="B645" s="1" t="s">
        <v>554</v>
      </c>
      <c r="C645" s="1" t="s">
        <v>583</v>
      </c>
      <c r="D645" s="1" t="s">
        <v>284</v>
      </c>
      <c r="E645" s="82" t="n">
        <v>0</v>
      </c>
      <c r="F645" s="26" t="n">
        <v>0</v>
      </c>
      <c r="G645" s="26" t="n">
        <v>0</v>
      </c>
      <c r="H645" s="1" t="s">
        <v>560</v>
      </c>
    </row>
    <row r="646" customFormat="false" ht="15" hidden="false" customHeight="true" outlineLevel="0" collapsed="false">
      <c r="A646" s="1" t="s">
        <v>654</v>
      </c>
      <c r="B646" s="1" t="s">
        <v>554</v>
      </c>
      <c r="C646" s="1" t="s">
        <v>584</v>
      </c>
      <c r="D646" s="1" t="s">
        <v>284</v>
      </c>
      <c r="E646" s="82" t="n">
        <v>0</v>
      </c>
      <c r="F646" s="26" t="n">
        <v>0</v>
      </c>
      <c r="G646" s="26" t="n">
        <v>0</v>
      </c>
      <c r="H646" s="1" t="s">
        <v>566</v>
      </c>
    </row>
    <row r="647" customFormat="false" ht="15" hidden="false" customHeight="true" outlineLevel="0" collapsed="false">
      <c r="A647" s="1" t="s">
        <v>654</v>
      </c>
      <c r="B647" s="1" t="s">
        <v>554</v>
      </c>
      <c r="C647" s="1" t="s">
        <v>580</v>
      </c>
      <c r="D647" s="1" t="s">
        <v>285</v>
      </c>
      <c r="E647" s="82" t="n">
        <v>0</v>
      </c>
      <c r="F647" s="26" t="n">
        <v>0</v>
      </c>
      <c r="G647" s="26" t="n">
        <v>0</v>
      </c>
      <c r="H647" s="1" t="s">
        <v>564</v>
      </c>
    </row>
    <row r="648" customFormat="false" ht="15" hidden="false" customHeight="true" outlineLevel="0" collapsed="false">
      <c r="A648" s="1" t="s">
        <v>654</v>
      </c>
      <c r="B648" s="1" t="s">
        <v>554</v>
      </c>
      <c r="C648" s="1" t="s">
        <v>585</v>
      </c>
      <c r="D648" s="1" t="s">
        <v>285</v>
      </c>
      <c r="E648" s="82" t="n">
        <v>0</v>
      </c>
      <c r="F648" s="26" t="n">
        <v>0</v>
      </c>
      <c r="G648" s="26" t="n">
        <v>0</v>
      </c>
      <c r="H648" s="1" t="s">
        <v>564</v>
      </c>
    </row>
    <row r="649" customFormat="false" ht="15" hidden="false" customHeight="true" outlineLevel="0" collapsed="false">
      <c r="A649" s="1" t="s">
        <v>654</v>
      </c>
      <c r="B649" s="1" t="s">
        <v>554</v>
      </c>
      <c r="C649" s="1" t="s">
        <v>586</v>
      </c>
      <c r="D649" s="1" t="s">
        <v>285</v>
      </c>
      <c r="E649" s="82" t="n">
        <v>0</v>
      </c>
      <c r="F649" s="26" t="n">
        <v>0</v>
      </c>
      <c r="G649" s="26" t="n">
        <v>0</v>
      </c>
      <c r="H649" s="1" t="s">
        <v>579</v>
      </c>
    </row>
    <row r="650" customFormat="false" ht="15" hidden="false" customHeight="true" outlineLevel="0" collapsed="false">
      <c r="A650" s="1" t="s">
        <v>654</v>
      </c>
      <c r="B650" s="1" t="s">
        <v>554</v>
      </c>
      <c r="C650" s="1" t="s">
        <v>584</v>
      </c>
      <c r="D650" s="1" t="s">
        <v>285</v>
      </c>
      <c r="E650" s="82" t="n">
        <v>0</v>
      </c>
      <c r="F650" s="26" t="n">
        <v>0</v>
      </c>
      <c r="G650" s="26" t="n">
        <v>0</v>
      </c>
      <c r="H650" s="1" t="s">
        <v>587</v>
      </c>
    </row>
    <row r="651" customFormat="false" ht="15" hidden="false" customHeight="true" outlineLevel="0" collapsed="false">
      <c r="A651" s="1" t="s">
        <v>654</v>
      </c>
      <c r="B651" s="1" t="s">
        <v>554</v>
      </c>
      <c r="C651" s="1" t="s">
        <v>588</v>
      </c>
      <c r="D651" s="1" t="s">
        <v>282</v>
      </c>
      <c r="E651" s="82" t="n">
        <v>4795</v>
      </c>
      <c r="F651" s="26" t="n">
        <v>0.66</v>
      </c>
      <c r="G651" s="26" t="n">
        <v>3164.7</v>
      </c>
      <c r="H651" s="1" t="s">
        <v>451</v>
      </c>
    </row>
    <row r="652" customFormat="false" ht="15" hidden="false" customHeight="true" outlineLevel="0" collapsed="false">
      <c r="A652" s="1" t="s">
        <v>654</v>
      </c>
      <c r="B652" s="1" t="s">
        <v>554</v>
      </c>
      <c r="C652" s="1" t="s">
        <v>589</v>
      </c>
      <c r="D652" s="1" t="s">
        <v>282</v>
      </c>
      <c r="E652" s="82" t="n">
        <v>1</v>
      </c>
      <c r="F652" s="26" t="n">
        <v>2736.16</v>
      </c>
      <c r="G652" s="26" t="n">
        <v>2736.16</v>
      </c>
      <c r="H652" s="1" t="s">
        <v>564</v>
      </c>
    </row>
    <row r="653" customFormat="false" ht="15" hidden="false" customHeight="true" outlineLevel="0" collapsed="false">
      <c r="A653" s="1" t="s">
        <v>654</v>
      </c>
      <c r="B653" s="1" t="s">
        <v>554</v>
      </c>
      <c r="C653" s="1" t="s">
        <v>590</v>
      </c>
      <c r="D653" s="1" t="s">
        <v>282</v>
      </c>
      <c r="E653" s="82" t="n">
        <v>0</v>
      </c>
      <c r="F653" s="26" t="n">
        <v>0</v>
      </c>
      <c r="G653" s="26" t="n">
        <v>0</v>
      </c>
      <c r="H653" s="1" t="s">
        <v>564</v>
      </c>
    </row>
    <row r="654" customFormat="false" ht="15" hidden="false" customHeight="true" outlineLevel="0" collapsed="false">
      <c r="A654" s="1" t="s">
        <v>654</v>
      </c>
      <c r="B654" s="1" t="s">
        <v>554</v>
      </c>
      <c r="C654" s="1" t="s">
        <v>591</v>
      </c>
      <c r="D654" s="1" t="s">
        <v>282</v>
      </c>
      <c r="E654" s="82" t="n">
        <v>1</v>
      </c>
      <c r="F654" s="26" t="n">
        <v>13845.81</v>
      </c>
      <c r="G654" s="26" t="n">
        <v>13845.81</v>
      </c>
      <c r="H654" s="1" t="s">
        <v>587</v>
      </c>
    </row>
    <row r="655" customFormat="false" ht="15" hidden="false" customHeight="true" outlineLevel="0" collapsed="false">
      <c r="A655" s="1" t="s">
        <v>654</v>
      </c>
      <c r="B655" s="1" t="s">
        <v>554</v>
      </c>
      <c r="C655" s="1" t="s">
        <v>592</v>
      </c>
      <c r="D655" s="1" t="s">
        <v>282</v>
      </c>
      <c r="E655" s="82" t="n">
        <v>0</v>
      </c>
      <c r="F655" s="26" t="n">
        <v>0</v>
      </c>
      <c r="G655" s="26" t="n">
        <v>0</v>
      </c>
      <c r="H655" s="1" t="s">
        <v>579</v>
      </c>
    </row>
    <row r="656" customFormat="false" ht="15" hidden="false" customHeight="true" outlineLevel="0" collapsed="false">
      <c r="A656" s="1" t="s">
        <v>654</v>
      </c>
      <c r="B656" s="1" t="s">
        <v>593</v>
      </c>
      <c r="C656" s="1" t="s">
        <v>594</v>
      </c>
      <c r="D656" s="1" t="s">
        <v>289</v>
      </c>
      <c r="E656" s="82" t="n">
        <v>1</v>
      </c>
      <c r="F656" s="26" t="n">
        <v>238.88</v>
      </c>
      <c r="G656" s="26" t="n">
        <v>238.88</v>
      </c>
      <c r="H656" s="1" t="s">
        <v>648</v>
      </c>
    </row>
    <row r="657" customFormat="false" ht="15" hidden="false" customHeight="true" outlineLevel="0" collapsed="false">
      <c r="A657" s="1" t="s">
        <v>654</v>
      </c>
      <c r="B657" s="1" t="s">
        <v>593</v>
      </c>
      <c r="C657" s="1" t="s">
        <v>596</v>
      </c>
      <c r="D657" s="1" t="s">
        <v>289</v>
      </c>
      <c r="E657" s="82" t="n">
        <v>1</v>
      </c>
      <c r="F657" s="26" t="n">
        <v>609.17</v>
      </c>
      <c r="G657" s="26" t="n">
        <v>609.17</v>
      </c>
      <c r="H657" s="1" t="s">
        <v>648</v>
      </c>
    </row>
    <row r="658" customFormat="false" ht="15" hidden="false" customHeight="true" outlineLevel="0" collapsed="false">
      <c r="A658" s="1" t="s">
        <v>654</v>
      </c>
      <c r="B658" s="1" t="s">
        <v>593</v>
      </c>
      <c r="C658" s="1" t="s">
        <v>597</v>
      </c>
      <c r="D658" s="1" t="s">
        <v>289</v>
      </c>
      <c r="E658" s="82" t="n">
        <v>1</v>
      </c>
      <c r="F658" s="26" t="n">
        <v>510</v>
      </c>
      <c r="G658" s="26" t="n">
        <v>510</v>
      </c>
      <c r="H658" s="1" t="s">
        <v>648</v>
      </c>
    </row>
    <row r="659" customFormat="false" ht="15" hidden="false" customHeight="true" outlineLevel="0" collapsed="false">
      <c r="A659" s="1" t="s">
        <v>654</v>
      </c>
      <c r="B659" s="1" t="s">
        <v>593</v>
      </c>
      <c r="C659" s="1" t="s">
        <v>598</v>
      </c>
      <c r="D659" s="1" t="s">
        <v>289</v>
      </c>
      <c r="E659" s="82" t="n">
        <v>1</v>
      </c>
      <c r="F659" s="26" t="n">
        <v>333.1</v>
      </c>
      <c r="G659" s="26" t="n">
        <v>333.1</v>
      </c>
      <c r="H659" s="1" t="s">
        <v>648</v>
      </c>
    </row>
    <row r="660" customFormat="false" ht="15" hidden="false" customHeight="true" outlineLevel="0" collapsed="false">
      <c r="A660" s="1" t="s">
        <v>654</v>
      </c>
      <c r="B660" s="1" t="s">
        <v>593</v>
      </c>
      <c r="C660" s="1" t="s">
        <v>601</v>
      </c>
      <c r="D660" s="1" t="s">
        <v>289</v>
      </c>
      <c r="E660" s="82" t="n">
        <v>1</v>
      </c>
      <c r="F660" s="26" t="n">
        <v>2973.2</v>
      </c>
      <c r="G660" s="26" t="n">
        <v>2973.2</v>
      </c>
      <c r="H660" s="1" t="s">
        <v>648</v>
      </c>
    </row>
    <row r="661" customFormat="false" ht="15" hidden="false" customHeight="true" outlineLevel="0" collapsed="false">
      <c r="A661" s="1" t="s">
        <v>654</v>
      </c>
      <c r="B661" s="1" t="s">
        <v>593</v>
      </c>
      <c r="C661" s="1" t="s">
        <v>675</v>
      </c>
      <c r="D661" s="1" t="s">
        <v>289</v>
      </c>
      <c r="E661" s="82" t="n">
        <v>1</v>
      </c>
      <c r="F661" s="26" t="n">
        <v>1833.24</v>
      </c>
      <c r="G661" s="26" t="n">
        <v>1833.24</v>
      </c>
      <c r="H661" s="1" t="s">
        <v>648</v>
      </c>
    </row>
    <row r="662" customFormat="false" ht="15" hidden="false" customHeight="true" outlineLevel="0" collapsed="false">
      <c r="A662" s="1" t="s">
        <v>654</v>
      </c>
      <c r="B662" s="1" t="s">
        <v>593</v>
      </c>
      <c r="C662" s="1" t="s">
        <v>602</v>
      </c>
      <c r="D662" s="1" t="s">
        <v>289</v>
      </c>
      <c r="E662" s="82" t="n">
        <v>1</v>
      </c>
      <c r="F662" s="26" t="n">
        <v>7615.46</v>
      </c>
      <c r="G662" s="26" t="n">
        <v>7615.46</v>
      </c>
      <c r="H662" s="1" t="s">
        <v>648</v>
      </c>
    </row>
    <row r="663" customFormat="false" ht="15" hidden="false" customHeight="true" outlineLevel="0" collapsed="false">
      <c r="A663" s="1" t="s">
        <v>654</v>
      </c>
      <c r="B663" s="1" t="s">
        <v>593</v>
      </c>
      <c r="C663" s="1" t="s">
        <v>676</v>
      </c>
      <c r="D663" s="1" t="s">
        <v>290</v>
      </c>
      <c r="E663" s="82" t="n">
        <v>-1</v>
      </c>
      <c r="F663" s="26" t="n">
        <v>1046.56</v>
      </c>
      <c r="G663" s="26" t="n">
        <v>-1046.56</v>
      </c>
      <c r="H663" s="1" t="s">
        <v>677</v>
      </c>
    </row>
    <row r="664" customFormat="false" ht="15" hidden="false" customHeight="true" outlineLevel="0" collapsed="false">
      <c r="A664" s="1" t="s">
        <v>654</v>
      </c>
      <c r="B664" s="1" t="s">
        <v>593</v>
      </c>
      <c r="C664" s="1" t="s">
        <v>594</v>
      </c>
      <c r="D664" s="1" t="s">
        <v>290</v>
      </c>
      <c r="E664" s="82" t="n">
        <v>-1</v>
      </c>
      <c r="F664" s="26" t="n">
        <v>238.88</v>
      </c>
      <c r="G664" s="26" t="n">
        <v>-238.88</v>
      </c>
      <c r="H664" s="1" t="s">
        <v>605</v>
      </c>
    </row>
    <row r="665" customFormat="false" ht="15" hidden="false" customHeight="true" outlineLevel="0" collapsed="false">
      <c r="A665" s="1" t="s">
        <v>654</v>
      </c>
      <c r="B665" s="1" t="s">
        <v>593</v>
      </c>
      <c r="C665" s="1" t="s">
        <v>597</v>
      </c>
      <c r="D665" s="1" t="s">
        <v>282</v>
      </c>
      <c r="E665" s="82" t="n">
        <v>1</v>
      </c>
      <c r="F665" s="26" t="n">
        <v>67.33</v>
      </c>
      <c r="G665" s="26" t="n">
        <v>67.33</v>
      </c>
      <c r="H665" s="1" t="s">
        <v>607</v>
      </c>
    </row>
    <row r="666" customFormat="false" ht="15" hidden="false" customHeight="true" outlineLevel="0" collapsed="false">
      <c r="A666" s="1" t="s">
        <v>654</v>
      </c>
      <c r="B666" s="1" t="s">
        <v>593</v>
      </c>
      <c r="C666" s="1" t="s">
        <v>597</v>
      </c>
      <c r="D666" s="1" t="s">
        <v>282</v>
      </c>
      <c r="E666" s="82" t="n">
        <v>-1</v>
      </c>
      <c r="F666" s="26" t="n">
        <v>510</v>
      </c>
      <c r="G666" s="26" t="n">
        <v>-510</v>
      </c>
      <c r="H666" s="1" t="s">
        <v>648</v>
      </c>
    </row>
    <row r="667" customFormat="false" ht="15" hidden="false" customHeight="true" outlineLevel="0" collapsed="false">
      <c r="A667" s="1" t="s">
        <v>654</v>
      </c>
      <c r="B667" s="1" t="s">
        <v>47</v>
      </c>
      <c r="C667" s="1" t="s">
        <v>608</v>
      </c>
      <c r="D667" s="1" t="s">
        <v>287</v>
      </c>
      <c r="E667" s="82" t="n">
        <v>0</v>
      </c>
      <c r="F667" s="26" t="n">
        <v>0</v>
      </c>
      <c r="G667" s="26" t="n">
        <v>0</v>
      </c>
      <c r="H667" s="1" t="s">
        <v>609</v>
      </c>
    </row>
    <row r="668" customFormat="false" ht="15" hidden="false" customHeight="true" outlineLevel="0" collapsed="false">
      <c r="A668" s="1" t="s">
        <v>654</v>
      </c>
      <c r="B668" s="1" t="s">
        <v>47</v>
      </c>
      <c r="C668" s="1" t="s">
        <v>608</v>
      </c>
      <c r="D668" s="1" t="s">
        <v>289</v>
      </c>
      <c r="E668" s="82" t="n">
        <v>0</v>
      </c>
      <c r="F668" s="26" t="n">
        <v>0</v>
      </c>
      <c r="G668" s="26" t="n">
        <v>0</v>
      </c>
      <c r="H668" s="1" t="s">
        <v>610</v>
      </c>
    </row>
    <row r="669" customFormat="false" ht="15" hidden="false" customHeight="true" outlineLevel="0" collapsed="false">
      <c r="A669" s="1" t="s">
        <v>654</v>
      </c>
      <c r="B669" s="1" t="s">
        <v>47</v>
      </c>
      <c r="C669" s="1" t="s">
        <v>608</v>
      </c>
      <c r="D669" s="1" t="s">
        <v>293</v>
      </c>
      <c r="E669" s="82" t="n">
        <v>0</v>
      </c>
      <c r="F669" s="26" t="n">
        <v>0</v>
      </c>
      <c r="G669" s="26" t="n">
        <v>0</v>
      </c>
      <c r="H669" s="1" t="s">
        <v>611</v>
      </c>
    </row>
    <row r="670" customFormat="false" ht="15" hidden="false" customHeight="true" outlineLevel="0" collapsed="false">
      <c r="A670" s="1" t="s">
        <v>654</v>
      </c>
      <c r="B670" s="1" t="s">
        <v>47</v>
      </c>
      <c r="C670" s="1" t="s">
        <v>608</v>
      </c>
      <c r="D670" s="1" t="s">
        <v>290</v>
      </c>
      <c r="E670" s="82" t="n">
        <v>0</v>
      </c>
      <c r="F670" s="26" t="n">
        <v>0</v>
      </c>
      <c r="G670" s="26" t="n">
        <v>0</v>
      </c>
      <c r="H670" s="1" t="s">
        <v>612</v>
      </c>
    </row>
    <row r="671" customFormat="false" ht="15" hidden="false" customHeight="true" outlineLevel="0" collapsed="false">
      <c r="A671" s="1" t="s">
        <v>654</v>
      </c>
      <c r="B671" s="1" t="s">
        <v>47</v>
      </c>
      <c r="C671" s="1" t="s">
        <v>608</v>
      </c>
      <c r="D671" s="1" t="s">
        <v>284</v>
      </c>
      <c r="E671" s="82" t="n">
        <v>0</v>
      </c>
      <c r="F671" s="26" t="n">
        <v>0</v>
      </c>
      <c r="G671" s="26" t="n">
        <v>0</v>
      </c>
      <c r="H671" s="1" t="s">
        <v>613</v>
      </c>
    </row>
    <row r="672" customFormat="false" ht="15" hidden="false" customHeight="true" outlineLevel="0" collapsed="false">
      <c r="A672" s="1" t="s">
        <v>654</v>
      </c>
      <c r="B672" s="1" t="s">
        <v>47</v>
      </c>
      <c r="C672" s="1" t="s">
        <v>608</v>
      </c>
      <c r="D672" s="1" t="s">
        <v>285</v>
      </c>
      <c r="E672" s="82" t="n">
        <v>0</v>
      </c>
      <c r="F672" s="26" t="n">
        <v>0</v>
      </c>
      <c r="G672" s="26" t="n">
        <v>0</v>
      </c>
      <c r="H672" s="1" t="s">
        <v>611</v>
      </c>
    </row>
    <row r="673" customFormat="false" ht="15" hidden="false" customHeight="true" outlineLevel="0" collapsed="false">
      <c r="A673" s="1" t="s">
        <v>654</v>
      </c>
      <c r="B673" s="1" t="s">
        <v>47</v>
      </c>
      <c r="C673" s="1" t="s">
        <v>608</v>
      </c>
      <c r="D673" s="1" t="s">
        <v>282</v>
      </c>
      <c r="E673" s="82" t="n">
        <v>0</v>
      </c>
      <c r="F673" s="26" t="n">
        <v>0</v>
      </c>
      <c r="G673" s="26" t="n">
        <v>0</v>
      </c>
      <c r="H673" s="1" t="s">
        <v>614</v>
      </c>
    </row>
    <row r="674" customFormat="false" ht="15" hidden="false" customHeight="true" outlineLevel="0" collapsed="false">
      <c r="A674" s="1" t="s">
        <v>654</v>
      </c>
      <c r="B674" s="1" t="s">
        <v>85</v>
      </c>
      <c r="C674" s="1" t="s">
        <v>615</v>
      </c>
      <c r="D674" s="1" t="s">
        <v>275</v>
      </c>
      <c r="E674" s="82" t="n">
        <v>144</v>
      </c>
      <c r="F674" s="26" t="n">
        <v>123.13</v>
      </c>
      <c r="G674" s="26" t="n">
        <v>17730.72</v>
      </c>
      <c r="H674" s="1" t="s">
        <v>652</v>
      </c>
    </row>
    <row r="675" customFormat="false" ht="15" hidden="false" customHeight="true" outlineLevel="0" collapsed="false">
      <c r="A675" s="1" t="s">
        <v>654</v>
      </c>
      <c r="B675" s="1" t="s">
        <v>85</v>
      </c>
      <c r="C675" s="1" t="s">
        <v>615</v>
      </c>
      <c r="D675" s="1" t="s">
        <v>287</v>
      </c>
      <c r="E675" s="82" t="n">
        <v>3</v>
      </c>
      <c r="F675" s="26" t="n">
        <v>155.82</v>
      </c>
      <c r="G675" s="26" t="n">
        <v>467.46</v>
      </c>
      <c r="H675" s="1" t="s">
        <v>652</v>
      </c>
    </row>
    <row r="676" customFormat="false" ht="15" hidden="false" customHeight="true" outlineLevel="0" collapsed="false">
      <c r="A676" s="1" t="s">
        <v>654</v>
      </c>
      <c r="B676" s="1" t="s">
        <v>85</v>
      </c>
      <c r="C676" s="1" t="s">
        <v>615</v>
      </c>
      <c r="D676" s="1" t="s">
        <v>289</v>
      </c>
      <c r="E676" s="82" t="n">
        <v>18</v>
      </c>
      <c r="F676" s="26" t="n">
        <v>139.33</v>
      </c>
      <c r="G676" s="26" t="n">
        <v>2507.94</v>
      </c>
      <c r="H676" s="1" t="s">
        <v>617</v>
      </c>
    </row>
    <row r="677" customFormat="false" ht="15" hidden="false" customHeight="true" outlineLevel="0" collapsed="false">
      <c r="A677" s="1" t="s">
        <v>654</v>
      </c>
      <c r="B677" s="1" t="s">
        <v>85</v>
      </c>
      <c r="C677" s="1" t="s">
        <v>615</v>
      </c>
      <c r="D677" s="1" t="s">
        <v>293</v>
      </c>
      <c r="E677" s="82" t="n">
        <v>15</v>
      </c>
      <c r="F677" s="26" t="n">
        <v>158.22</v>
      </c>
      <c r="G677" s="26" t="n">
        <v>2373.3</v>
      </c>
      <c r="H677" s="1" t="s">
        <v>617</v>
      </c>
    </row>
    <row r="678" customFormat="false" ht="15" hidden="false" customHeight="true" outlineLevel="0" collapsed="false">
      <c r="A678" s="1" t="s">
        <v>654</v>
      </c>
      <c r="B678" s="1" t="s">
        <v>85</v>
      </c>
      <c r="C678" s="1" t="s">
        <v>615</v>
      </c>
      <c r="D678" s="1" t="s">
        <v>290</v>
      </c>
      <c r="E678" s="82" t="n">
        <v>26</v>
      </c>
      <c r="F678" s="26" t="n">
        <v>155.59</v>
      </c>
      <c r="G678" s="26" t="n">
        <v>4045.34</v>
      </c>
      <c r="H678" s="1" t="s">
        <v>617</v>
      </c>
    </row>
    <row r="679" customFormat="false" ht="15" hidden="false" customHeight="true" outlineLevel="0" collapsed="false">
      <c r="A679" s="1" t="s">
        <v>654</v>
      </c>
      <c r="B679" s="1" t="s">
        <v>85</v>
      </c>
      <c r="C679" s="1" t="s">
        <v>615</v>
      </c>
      <c r="D679" s="1" t="s">
        <v>284</v>
      </c>
      <c r="E679" s="82" t="n">
        <v>11</v>
      </c>
      <c r="F679" s="26" t="n">
        <v>106.24</v>
      </c>
      <c r="G679" s="26" t="n">
        <v>1168.64</v>
      </c>
      <c r="H679" s="1" t="s">
        <v>617</v>
      </c>
    </row>
    <row r="680" customFormat="false" ht="15" hidden="false" customHeight="true" outlineLevel="0" collapsed="false">
      <c r="A680" s="1" t="s">
        <v>654</v>
      </c>
      <c r="B680" s="1" t="s">
        <v>85</v>
      </c>
      <c r="C680" s="1" t="s">
        <v>615</v>
      </c>
      <c r="D680" s="1" t="s">
        <v>285</v>
      </c>
      <c r="E680" s="82" t="n">
        <v>2</v>
      </c>
      <c r="F680" s="26" t="n">
        <v>143.82</v>
      </c>
      <c r="G680" s="26" t="n">
        <v>287.64</v>
      </c>
      <c r="H680" s="1" t="s">
        <v>617</v>
      </c>
    </row>
    <row r="681" customFormat="false" ht="15" hidden="false" customHeight="true" outlineLevel="0" collapsed="false">
      <c r="A681" s="1" t="s">
        <v>654</v>
      </c>
      <c r="B681" s="1" t="s">
        <v>85</v>
      </c>
      <c r="C681" s="1" t="s">
        <v>615</v>
      </c>
      <c r="D681" s="1" t="s">
        <v>282</v>
      </c>
      <c r="E681" s="82" t="n">
        <v>10</v>
      </c>
      <c r="F681" s="26" t="n">
        <v>146.53</v>
      </c>
      <c r="G681" s="26" t="n">
        <v>1465.3</v>
      </c>
      <c r="H681" s="1" t="s">
        <v>617</v>
      </c>
    </row>
    <row r="682" customFormat="false" ht="15" hidden="false" customHeight="true" outlineLevel="0" collapsed="false">
      <c r="A682" s="1" t="s">
        <v>654</v>
      </c>
      <c r="B682" s="1" t="s">
        <v>85</v>
      </c>
      <c r="C682" s="1" t="s">
        <v>615</v>
      </c>
      <c r="D682" s="1" t="s">
        <v>282</v>
      </c>
      <c r="E682" s="82" t="n">
        <v>10</v>
      </c>
      <c r="F682" s="26" t="n">
        <v>122.11</v>
      </c>
      <c r="G682" s="26" t="n">
        <v>1221.1</v>
      </c>
      <c r="H682" s="1" t="s">
        <v>652</v>
      </c>
    </row>
    <row r="683" customFormat="false" ht="15" hidden="false" customHeight="true" outlineLevel="0" collapsed="false">
      <c r="A683" s="1" t="s">
        <v>654</v>
      </c>
      <c r="B683" s="1" t="s">
        <v>32</v>
      </c>
      <c r="C683" s="1" t="s">
        <v>618</v>
      </c>
      <c r="D683" s="1" t="s">
        <v>287</v>
      </c>
      <c r="E683" s="82" t="n">
        <v>0</v>
      </c>
      <c r="F683" s="26" t="n">
        <v>0</v>
      </c>
      <c r="G683" s="26" t="n">
        <v>0</v>
      </c>
      <c r="H683" s="1" t="s">
        <v>619</v>
      </c>
    </row>
    <row r="684" customFormat="false" ht="15" hidden="false" customHeight="true" outlineLevel="0" collapsed="false">
      <c r="A684" s="1" t="s">
        <v>654</v>
      </c>
      <c r="B684" s="1" t="s">
        <v>32</v>
      </c>
      <c r="C684" s="1" t="s">
        <v>620</v>
      </c>
      <c r="D684" s="1" t="s">
        <v>287</v>
      </c>
      <c r="E684" s="82" t="n">
        <v>0</v>
      </c>
      <c r="F684" s="26" t="n">
        <v>0</v>
      </c>
      <c r="G684" s="26" t="n">
        <v>0</v>
      </c>
      <c r="H684" s="1" t="s">
        <v>621</v>
      </c>
    </row>
    <row r="685" customFormat="false" ht="15" hidden="false" customHeight="true" outlineLevel="0" collapsed="false">
      <c r="A685" s="1" t="s">
        <v>654</v>
      </c>
      <c r="B685" s="1" t="s">
        <v>32</v>
      </c>
      <c r="C685" s="1" t="s">
        <v>618</v>
      </c>
      <c r="D685" s="1" t="s">
        <v>293</v>
      </c>
      <c r="E685" s="82" t="n">
        <v>0</v>
      </c>
      <c r="F685" s="26" t="n">
        <v>0</v>
      </c>
      <c r="G685" s="26" t="n">
        <v>0</v>
      </c>
      <c r="H685" s="1" t="s">
        <v>619</v>
      </c>
    </row>
    <row r="686" customFormat="false" ht="15" hidden="false" customHeight="true" outlineLevel="0" collapsed="false">
      <c r="A686" s="1" t="s">
        <v>654</v>
      </c>
      <c r="B686" s="1" t="s">
        <v>32</v>
      </c>
      <c r="C686" s="1" t="s">
        <v>620</v>
      </c>
      <c r="D686" s="1" t="s">
        <v>293</v>
      </c>
      <c r="E686" s="82" t="n">
        <v>0</v>
      </c>
      <c r="F686" s="26" t="n">
        <v>0</v>
      </c>
      <c r="G686" s="26" t="n">
        <v>0</v>
      </c>
      <c r="H686" s="1" t="s">
        <v>622</v>
      </c>
    </row>
    <row r="687" customFormat="false" ht="15" hidden="false" customHeight="true" outlineLevel="0" collapsed="false">
      <c r="A687" s="1" t="s">
        <v>654</v>
      </c>
      <c r="B687" s="1" t="s">
        <v>32</v>
      </c>
      <c r="C687" s="1" t="s">
        <v>618</v>
      </c>
      <c r="D687" s="1" t="s">
        <v>290</v>
      </c>
      <c r="E687" s="82" t="n">
        <v>0</v>
      </c>
      <c r="F687" s="26" t="n">
        <v>0</v>
      </c>
      <c r="G687" s="26" t="n">
        <v>0</v>
      </c>
      <c r="H687" s="1" t="s">
        <v>619</v>
      </c>
    </row>
    <row r="688" customFormat="false" ht="15" hidden="false" customHeight="true" outlineLevel="0" collapsed="false">
      <c r="A688" s="1" t="s">
        <v>654</v>
      </c>
      <c r="B688" s="1" t="s">
        <v>32</v>
      </c>
      <c r="C688" s="1" t="s">
        <v>618</v>
      </c>
      <c r="D688" s="1" t="s">
        <v>284</v>
      </c>
      <c r="E688" s="82" t="n">
        <v>0</v>
      </c>
      <c r="F688" s="26" t="n">
        <v>0</v>
      </c>
      <c r="G688" s="26" t="n">
        <v>0</v>
      </c>
      <c r="H688" s="1" t="s">
        <v>619</v>
      </c>
    </row>
    <row r="689" customFormat="false" ht="15" hidden="false" customHeight="true" outlineLevel="0" collapsed="false">
      <c r="A689" s="1" t="s">
        <v>654</v>
      </c>
      <c r="B689" s="1" t="s">
        <v>32</v>
      </c>
      <c r="C689" s="1" t="s">
        <v>620</v>
      </c>
      <c r="D689" s="1" t="s">
        <v>284</v>
      </c>
      <c r="E689" s="82" t="n">
        <v>0</v>
      </c>
      <c r="F689" s="26" t="n">
        <v>0</v>
      </c>
      <c r="G689" s="26" t="n">
        <v>0</v>
      </c>
      <c r="H689" s="1" t="s">
        <v>621</v>
      </c>
    </row>
    <row r="690" customFormat="false" ht="15" hidden="false" customHeight="true" outlineLevel="0" collapsed="false">
      <c r="A690" s="1" t="s">
        <v>654</v>
      </c>
      <c r="B690" s="1" t="s">
        <v>32</v>
      </c>
      <c r="C690" s="1" t="s">
        <v>618</v>
      </c>
      <c r="D690" s="1" t="s">
        <v>285</v>
      </c>
      <c r="E690" s="82" t="n">
        <v>0</v>
      </c>
      <c r="F690" s="26" t="n">
        <v>0</v>
      </c>
      <c r="G690" s="26" t="n">
        <v>0</v>
      </c>
      <c r="H690" s="1" t="s">
        <v>619</v>
      </c>
    </row>
    <row r="691" customFormat="false" ht="15" hidden="false" customHeight="true" outlineLevel="0" collapsed="false">
      <c r="A691" s="1" t="s">
        <v>654</v>
      </c>
      <c r="B691" s="1" t="s">
        <v>32</v>
      </c>
      <c r="C691" s="1" t="s">
        <v>618</v>
      </c>
      <c r="D691" s="1" t="s">
        <v>282</v>
      </c>
      <c r="E691" s="82" t="n">
        <v>0</v>
      </c>
      <c r="F691" s="26" t="n">
        <v>0</v>
      </c>
      <c r="G691" s="26" t="n">
        <v>0</v>
      </c>
      <c r="H691" s="1" t="s">
        <v>619</v>
      </c>
    </row>
    <row r="692" customFormat="false" ht="15" hidden="false" customHeight="true" outlineLevel="0" collapsed="false">
      <c r="A692" s="1" t="s">
        <v>654</v>
      </c>
      <c r="B692" s="1" t="s">
        <v>32</v>
      </c>
      <c r="C692" s="1" t="s">
        <v>620</v>
      </c>
      <c r="D692" s="1" t="s">
        <v>282</v>
      </c>
      <c r="E692" s="82" t="n">
        <v>0</v>
      </c>
      <c r="F692" s="26" t="n">
        <v>0</v>
      </c>
      <c r="G692" s="26" t="n">
        <v>0</v>
      </c>
      <c r="H692" s="1" t="s">
        <v>623</v>
      </c>
    </row>
    <row r="693" customFormat="false" ht="15" hidden="false" customHeight="true" outlineLevel="0" collapsed="false">
      <c r="A693" s="1" t="s">
        <v>654</v>
      </c>
      <c r="B693" s="1" t="s">
        <v>624</v>
      </c>
      <c r="C693" s="1" t="s">
        <v>625</v>
      </c>
      <c r="D693" s="1" t="s">
        <v>289</v>
      </c>
      <c r="E693" s="82" t="n">
        <v>13418</v>
      </c>
      <c r="F693" s="26" t="n">
        <v>2.99991610765306</v>
      </c>
      <c r="G693" s="26" t="n">
        <v>40252.874332</v>
      </c>
      <c r="H693" s="1" t="s">
        <v>451</v>
      </c>
    </row>
    <row r="694" customFormat="false" ht="15" hidden="false" customHeight="true" outlineLevel="0" collapsed="false">
      <c r="A694" s="1" t="s">
        <v>654</v>
      </c>
      <c r="B694" s="1" t="s">
        <v>44</v>
      </c>
      <c r="C694" s="1" t="s">
        <v>626</v>
      </c>
      <c r="D694" s="1" t="s">
        <v>287</v>
      </c>
      <c r="E694" s="82" t="n">
        <v>-1</v>
      </c>
      <c r="F694" s="26" t="n">
        <v>514.86</v>
      </c>
      <c r="G694" s="26" t="n">
        <v>-514.86</v>
      </c>
      <c r="H694" s="1" t="s">
        <v>678</v>
      </c>
    </row>
    <row r="695" customFormat="false" ht="15" hidden="false" customHeight="true" outlineLevel="0" collapsed="false">
      <c r="A695" s="1" t="s">
        <v>654</v>
      </c>
      <c r="B695" s="1" t="s">
        <v>44</v>
      </c>
      <c r="C695" s="1" t="s">
        <v>626</v>
      </c>
      <c r="D695" s="1" t="s">
        <v>289</v>
      </c>
      <c r="E695" s="82" t="n">
        <v>0</v>
      </c>
      <c r="F695" s="26" t="n">
        <v>0</v>
      </c>
      <c r="G695" s="26" t="n">
        <v>0</v>
      </c>
      <c r="H695" s="1" t="s">
        <v>679</v>
      </c>
    </row>
    <row r="696" customFormat="false" ht="15" hidden="false" customHeight="true" outlineLevel="0" collapsed="false">
      <c r="A696" s="1" t="s">
        <v>654</v>
      </c>
      <c r="B696" s="1" t="s">
        <v>44</v>
      </c>
      <c r="C696" s="1" t="s">
        <v>629</v>
      </c>
      <c r="D696" s="1" t="s">
        <v>289</v>
      </c>
      <c r="E696" s="82" t="n">
        <v>0</v>
      </c>
      <c r="F696" s="26" t="n">
        <v>0</v>
      </c>
      <c r="G696" s="26" t="n">
        <v>0</v>
      </c>
      <c r="H696" s="1" t="s">
        <v>630</v>
      </c>
    </row>
    <row r="697" customFormat="false" ht="15" hidden="false" customHeight="true" outlineLevel="0" collapsed="false">
      <c r="A697" s="1" t="s">
        <v>654</v>
      </c>
      <c r="B697" s="1" t="s">
        <v>44</v>
      </c>
      <c r="C697" s="1" t="s">
        <v>631</v>
      </c>
      <c r="D697" s="1" t="s">
        <v>289</v>
      </c>
      <c r="E697" s="82" t="n">
        <v>0</v>
      </c>
      <c r="F697" s="26" t="n">
        <v>0</v>
      </c>
      <c r="G697" s="26" t="n">
        <v>0</v>
      </c>
      <c r="H697" s="1" t="s">
        <v>632</v>
      </c>
    </row>
    <row r="698" customFormat="false" ht="15" hidden="false" customHeight="true" outlineLevel="0" collapsed="false">
      <c r="A698" s="1" t="s">
        <v>654</v>
      </c>
      <c r="B698" s="1" t="s">
        <v>44</v>
      </c>
      <c r="C698" s="1" t="s">
        <v>633</v>
      </c>
      <c r="D698" s="1" t="s">
        <v>289</v>
      </c>
      <c r="E698" s="82" t="n">
        <v>0</v>
      </c>
      <c r="F698" s="26" t="n">
        <v>0</v>
      </c>
      <c r="G698" s="26" t="n">
        <v>0</v>
      </c>
      <c r="H698" s="1" t="s">
        <v>634</v>
      </c>
    </row>
    <row r="699" customFormat="false" ht="15" hidden="false" customHeight="true" outlineLevel="0" collapsed="false">
      <c r="A699" s="1" t="s">
        <v>654</v>
      </c>
      <c r="B699" s="1" t="s">
        <v>44</v>
      </c>
      <c r="C699" s="1" t="s">
        <v>626</v>
      </c>
      <c r="D699" s="1" t="s">
        <v>293</v>
      </c>
      <c r="E699" s="82" t="n">
        <v>1</v>
      </c>
      <c r="F699" s="26" t="n">
        <v>987.11</v>
      </c>
      <c r="G699" s="26" t="n">
        <v>987.11</v>
      </c>
      <c r="H699" s="1" t="s">
        <v>679</v>
      </c>
    </row>
    <row r="700" customFormat="false" ht="15" hidden="false" customHeight="true" outlineLevel="0" collapsed="false">
      <c r="A700" s="1" t="s">
        <v>654</v>
      </c>
      <c r="B700" s="1" t="s">
        <v>44</v>
      </c>
      <c r="C700" s="1" t="s">
        <v>626</v>
      </c>
      <c r="D700" s="1" t="s">
        <v>293</v>
      </c>
      <c r="E700" s="82" t="n">
        <v>0</v>
      </c>
      <c r="F700" s="26" t="n">
        <v>0</v>
      </c>
      <c r="G700" s="26" t="n">
        <v>0</v>
      </c>
      <c r="H700" s="1" t="s">
        <v>628</v>
      </c>
    </row>
    <row r="701" customFormat="false" ht="15" hidden="false" customHeight="true" outlineLevel="0" collapsed="false">
      <c r="A701" s="1" t="s">
        <v>654</v>
      </c>
      <c r="B701" s="1" t="s">
        <v>44</v>
      </c>
      <c r="C701" s="1" t="s">
        <v>635</v>
      </c>
      <c r="D701" s="1" t="s">
        <v>293</v>
      </c>
      <c r="E701" s="82" t="n">
        <v>0</v>
      </c>
      <c r="F701" s="26" t="n">
        <v>0</v>
      </c>
      <c r="G701" s="26" t="n">
        <v>0</v>
      </c>
      <c r="H701" s="1" t="s">
        <v>630</v>
      </c>
    </row>
    <row r="702" customFormat="false" ht="15" hidden="false" customHeight="true" outlineLevel="0" collapsed="false">
      <c r="A702" s="1" t="s">
        <v>654</v>
      </c>
      <c r="B702" s="1" t="s">
        <v>44</v>
      </c>
      <c r="C702" s="1" t="s">
        <v>636</v>
      </c>
      <c r="D702" s="1" t="s">
        <v>293</v>
      </c>
      <c r="E702" s="82" t="n">
        <v>0</v>
      </c>
      <c r="F702" s="26" t="n">
        <v>0</v>
      </c>
      <c r="G702" s="26" t="n">
        <v>0</v>
      </c>
      <c r="H702" s="1" t="s">
        <v>634</v>
      </c>
    </row>
    <row r="703" customFormat="false" ht="15" hidden="false" customHeight="true" outlineLevel="0" collapsed="false">
      <c r="A703" s="1" t="s">
        <v>654</v>
      </c>
      <c r="B703" s="1" t="s">
        <v>44</v>
      </c>
      <c r="C703" s="1" t="s">
        <v>626</v>
      </c>
      <c r="D703" s="1" t="s">
        <v>290</v>
      </c>
      <c r="E703" s="82" t="n">
        <v>1</v>
      </c>
      <c r="F703" s="26" t="n">
        <v>3707.87</v>
      </c>
      <c r="G703" s="26" t="n">
        <v>3707.87</v>
      </c>
      <c r="H703" s="1" t="s">
        <v>679</v>
      </c>
    </row>
    <row r="704" customFormat="false" ht="15" hidden="false" customHeight="true" outlineLevel="0" collapsed="false">
      <c r="A704" s="1" t="s">
        <v>654</v>
      </c>
      <c r="B704" s="1" t="s">
        <v>44</v>
      </c>
      <c r="C704" s="1" t="s">
        <v>637</v>
      </c>
      <c r="D704" s="1" t="s">
        <v>290</v>
      </c>
      <c r="E704" s="82" t="n">
        <v>-1</v>
      </c>
      <c r="F704" s="26" t="n">
        <v>245.98</v>
      </c>
      <c r="G704" s="26" t="n">
        <v>-245.98</v>
      </c>
      <c r="H704" s="1" t="s">
        <v>630</v>
      </c>
    </row>
    <row r="705" customFormat="false" ht="15" hidden="false" customHeight="true" outlineLevel="0" collapsed="false">
      <c r="A705" s="1" t="s">
        <v>654</v>
      </c>
      <c r="B705" s="1" t="s">
        <v>44</v>
      </c>
      <c r="C705" s="1" t="s">
        <v>638</v>
      </c>
      <c r="D705" s="1" t="s">
        <v>290</v>
      </c>
      <c r="E705" s="82" t="n">
        <v>-1</v>
      </c>
      <c r="F705" s="26" t="n">
        <v>451.06</v>
      </c>
      <c r="G705" s="26" t="n">
        <v>-451.06</v>
      </c>
      <c r="H705" s="1" t="s">
        <v>630</v>
      </c>
    </row>
    <row r="706" customFormat="false" ht="15" hidden="false" customHeight="true" outlineLevel="0" collapsed="false">
      <c r="A706" s="1" t="s">
        <v>654</v>
      </c>
      <c r="B706" s="1" t="s">
        <v>44</v>
      </c>
      <c r="C706" s="1" t="s">
        <v>640</v>
      </c>
      <c r="D706" s="1" t="s">
        <v>290</v>
      </c>
      <c r="E706" s="82" t="n">
        <v>-1</v>
      </c>
      <c r="F706" s="26" t="n">
        <v>589.14</v>
      </c>
      <c r="G706" s="26" t="n">
        <v>-589.14</v>
      </c>
      <c r="H706" s="1" t="s">
        <v>634</v>
      </c>
    </row>
    <row r="707" customFormat="false" ht="15" hidden="false" customHeight="true" outlineLevel="0" collapsed="false">
      <c r="A707" s="1" t="s">
        <v>654</v>
      </c>
      <c r="B707" s="1" t="s">
        <v>44</v>
      </c>
      <c r="C707" s="1" t="s">
        <v>640</v>
      </c>
      <c r="D707" s="1" t="s">
        <v>290</v>
      </c>
      <c r="E707" s="82" t="n">
        <v>-1</v>
      </c>
      <c r="F707" s="26" t="n">
        <v>171.62</v>
      </c>
      <c r="G707" s="26" t="n">
        <v>-171.62</v>
      </c>
      <c r="H707" s="1" t="s">
        <v>627</v>
      </c>
    </row>
    <row r="708" customFormat="false" ht="15" hidden="false" customHeight="true" outlineLevel="0" collapsed="false">
      <c r="A708" s="1" t="s">
        <v>654</v>
      </c>
      <c r="B708" s="1" t="s">
        <v>44</v>
      </c>
      <c r="C708" s="1" t="s">
        <v>680</v>
      </c>
      <c r="D708" s="1" t="s">
        <v>290</v>
      </c>
      <c r="E708" s="82" t="n">
        <v>-1</v>
      </c>
      <c r="F708" s="26" t="n">
        <v>158.76</v>
      </c>
      <c r="G708" s="26" t="n">
        <v>-158.76</v>
      </c>
      <c r="H708" s="1" t="s">
        <v>634</v>
      </c>
    </row>
    <row r="709" customFormat="false" ht="15" hidden="false" customHeight="true" outlineLevel="0" collapsed="false">
      <c r="A709" s="1" t="s">
        <v>654</v>
      </c>
      <c r="B709" s="1" t="s">
        <v>44</v>
      </c>
      <c r="C709" s="1" t="s">
        <v>626</v>
      </c>
      <c r="D709" s="1" t="s">
        <v>284</v>
      </c>
      <c r="E709" s="82" t="n">
        <v>1</v>
      </c>
      <c r="F709" s="26" t="n">
        <v>4497.36</v>
      </c>
      <c r="G709" s="26" t="n">
        <v>4497.36</v>
      </c>
      <c r="H709" s="1" t="s">
        <v>628</v>
      </c>
    </row>
    <row r="710" customFormat="false" ht="15" hidden="false" customHeight="true" outlineLevel="0" collapsed="false">
      <c r="A710" s="1" t="s">
        <v>654</v>
      </c>
      <c r="B710" s="1" t="s">
        <v>44</v>
      </c>
      <c r="C710" s="1" t="s">
        <v>626</v>
      </c>
      <c r="D710" s="1" t="s">
        <v>284</v>
      </c>
      <c r="E710" s="82" t="n">
        <v>0</v>
      </c>
      <c r="F710" s="26" t="n">
        <v>0</v>
      </c>
      <c r="G710" s="26" t="n">
        <v>0</v>
      </c>
      <c r="H710" s="1" t="s">
        <v>628</v>
      </c>
    </row>
    <row r="711" customFormat="false" ht="15" hidden="false" customHeight="true" outlineLevel="0" collapsed="false">
      <c r="A711" s="1" t="s">
        <v>654</v>
      </c>
      <c r="B711" s="1" t="s">
        <v>44</v>
      </c>
      <c r="C711" s="1" t="s">
        <v>638</v>
      </c>
      <c r="D711" s="1" t="s">
        <v>284</v>
      </c>
      <c r="E711" s="82" t="n">
        <v>1</v>
      </c>
      <c r="F711" s="26" t="n">
        <v>158.76</v>
      </c>
      <c r="G711" s="26" t="n">
        <v>158.76</v>
      </c>
      <c r="H711" s="1" t="s">
        <v>634</v>
      </c>
    </row>
    <row r="712" customFormat="false" ht="15" hidden="false" customHeight="true" outlineLevel="0" collapsed="false">
      <c r="A712" s="1" t="s">
        <v>654</v>
      </c>
      <c r="B712" s="1" t="s">
        <v>44</v>
      </c>
      <c r="C712" s="1" t="s">
        <v>639</v>
      </c>
      <c r="D712" s="1" t="s">
        <v>284</v>
      </c>
      <c r="E712" s="82" t="n">
        <v>1</v>
      </c>
      <c r="F712" s="26" t="n">
        <v>451.06</v>
      </c>
      <c r="G712" s="26" t="n">
        <v>451.06</v>
      </c>
      <c r="H712" s="1" t="s">
        <v>634</v>
      </c>
    </row>
    <row r="713" customFormat="false" ht="15" hidden="false" customHeight="true" outlineLevel="0" collapsed="false">
      <c r="A713" s="1" t="s">
        <v>654</v>
      </c>
      <c r="B713" s="1" t="s">
        <v>44</v>
      </c>
      <c r="C713" s="1" t="s">
        <v>626</v>
      </c>
      <c r="D713" s="1" t="s">
        <v>285</v>
      </c>
      <c r="E713" s="82" t="n">
        <v>1</v>
      </c>
      <c r="F713" s="26" t="n">
        <v>368.28</v>
      </c>
      <c r="G713" s="26" t="n">
        <v>368.28</v>
      </c>
      <c r="H713" s="1" t="s">
        <v>679</v>
      </c>
    </row>
    <row r="714" customFormat="false" ht="15" hidden="false" customHeight="true" outlineLevel="0" collapsed="false">
      <c r="A714" s="1" t="s">
        <v>654</v>
      </c>
      <c r="B714" s="1" t="s">
        <v>44</v>
      </c>
      <c r="C714" s="1" t="s">
        <v>626</v>
      </c>
      <c r="D714" s="1" t="s">
        <v>285</v>
      </c>
      <c r="E714" s="82" t="n">
        <v>0</v>
      </c>
      <c r="F714" s="26" t="n">
        <v>0</v>
      </c>
      <c r="G714" s="26" t="n">
        <v>0</v>
      </c>
      <c r="H714" s="1" t="s">
        <v>627</v>
      </c>
    </row>
    <row r="715" customFormat="false" ht="15" hidden="false" customHeight="true" outlineLevel="0" collapsed="false">
      <c r="A715" s="1" t="s">
        <v>654</v>
      </c>
      <c r="B715" s="1" t="s">
        <v>44</v>
      </c>
      <c r="C715" s="1" t="s">
        <v>626</v>
      </c>
      <c r="D715" s="1" t="s">
        <v>282</v>
      </c>
      <c r="E715" s="82" t="n">
        <v>1</v>
      </c>
      <c r="F715" s="26" t="n">
        <v>1043.05</v>
      </c>
      <c r="G715" s="26" t="n">
        <v>1043.05</v>
      </c>
      <c r="H715" s="1" t="s">
        <v>679</v>
      </c>
    </row>
    <row r="716" customFormat="false" ht="15" hidden="false" customHeight="true" outlineLevel="0" collapsed="false">
      <c r="A716" s="1" t="s">
        <v>654</v>
      </c>
      <c r="B716" s="1" t="s">
        <v>44</v>
      </c>
      <c r="C716" s="1" t="s">
        <v>626</v>
      </c>
      <c r="D716" s="1" t="s">
        <v>282</v>
      </c>
      <c r="E716" s="82" t="n">
        <v>-1</v>
      </c>
      <c r="F716" s="26" t="n">
        <v>4096.89</v>
      </c>
      <c r="G716" s="26" t="n">
        <v>-4096.89</v>
      </c>
      <c r="H716" s="1" t="s">
        <v>627</v>
      </c>
    </row>
    <row r="717" customFormat="false" ht="15" hidden="false" customHeight="true" outlineLevel="0" collapsed="false">
      <c r="A717" s="1" t="s">
        <v>654</v>
      </c>
      <c r="B717" s="1" t="s">
        <v>44</v>
      </c>
      <c r="C717" s="1" t="s">
        <v>641</v>
      </c>
      <c r="D717" s="1" t="s">
        <v>282</v>
      </c>
      <c r="E717" s="82" t="n">
        <v>0</v>
      </c>
      <c r="F717" s="26" t="n">
        <v>0</v>
      </c>
      <c r="G717" s="26" t="n">
        <v>0</v>
      </c>
      <c r="H717" s="1" t="s">
        <v>630</v>
      </c>
    </row>
    <row r="718" customFormat="false" ht="15" hidden="false" customHeight="true" outlineLevel="0" collapsed="false">
      <c r="A718" s="1" t="s">
        <v>654</v>
      </c>
      <c r="B718" s="1" t="s">
        <v>44</v>
      </c>
      <c r="C718" s="1" t="s">
        <v>636</v>
      </c>
      <c r="D718" s="1" t="s">
        <v>282</v>
      </c>
      <c r="E718" s="82" t="n">
        <v>0</v>
      </c>
      <c r="F718" s="26" t="n">
        <v>0</v>
      </c>
      <c r="G718" s="26" t="n">
        <v>0</v>
      </c>
      <c r="H718" s="1" t="s">
        <v>634</v>
      </c>
    </row>
    <row r="719" customFormat="false" ht="15" hidden="false" customHeight="true" outlineLevel="0" collapsed="false">
      <c r="A719" s="1" t="s">
        <v>654</v>
      </c>
      <c r="B719" s="1" t="s">
        <v>87</v>
      </c>
      <c r="C719" s="1" t="s">
        <v>642</v>
      </c>
      <c r="D719" s="1" t="s">
        <v>287</v>
      </c>
      <c r="E719" s="82" t="n">
        <v>2</v>
      </c>
      <c r="F719" s="26" t="n">
        <v>50</v>
      </c>
      <c r="G719" s="26" t="n">
        <v>100</v>
      </c>
      <c r="H719" s="1" t="s">
        <v>643</v>
      </c>
    </row>
    <row r="720" customFormat="false" ht="15" hidden="false" customHeight="true" outlineLevel="0" collapsed="false">
      <c r="A720" s="1" t="s">
        <v>654</v>
      </c>
      <c r="B720" s="1" t="s">
        <v>87</v>
      </c>
      <c r="C720" s="1" t="s">
        <v>642</v>
      </c>
      <c r="D720" s="1" t="s">
        <v>293</v>
      </c>
      <c r="E720" s="82" t="n">
        <v>1</v>
      </c>
      <c r="F720" s="26" t="n">
        <v>10</v>
      </c>
      <c r="G720" s="26" t="n">
        <v>10</v>
      </c>
      <c r="H720" s="1" t="s">
        <v>643</v>
      </c>
    </row>
    <row r="721" customFormat="false" ht="15" hidden="false" customHeight="true" outlineLevel="0" collapsed="false">
      <c r="A721" s="1" t="s">
        <v>654</v>
      </c>
      <c r="B721" s="1" t="s">
        <v>87</v>
      </c>
      <c r="C721" s="1" t="s">
        <v>642</v>
      </c>
      <c r="D721" s="1" t="s">
        <v>290</v>
      </c>
      <c r="E721" s="82" t="n">
        <v>1</v>
      </c>
      <c r="F721" s="26" t="n">
        <v>10</v>
      </c>
      <c r="G721" s="26" t="n">
        <v>10</v>
      </c>
      <c r="H721" s="1" t="s">
        <v>643</v>
      </c>
    </row>
    <row r="722" customFormat="false" ht="15" hidden="false" customHeight="true" outlineLevel="0" collapsed="false">
      <c r="A722" s="1" t="s">
        <v>654</v>
      </c>
      <c r="B722" s="1" t="s">
        <v>87</v>
      </c>
      <c r="C722" s="1" t="s">
        <v>642</v>
      </c>
      <c r="D722" s="1" t="s">
        <v>290</v>
      </c>
      <c r="E722" s="82" t="n">
        <v>5</v>
      </c>
      <c r="F722" s="26" t="n">
        <v>50</v>
      </c>
      <c r="G722" s="26" t="n">
        <v>250</v>
      </c>
      <c r="H722" s="1" t="s">
        <v>643</v>
      </c>
    </row>
    <row r="723" customFormat="false" ht="15" hidden="false" customHeight="true" outlineLevel="0" collapsed="false">
      <c r="A723" s="1" t="s">
        <v>654</v>
      </c>
      <c r="B723" s="1" t="s">
        <v>87</v>
      </c>
      <c r="C723" s="1" t="s">
        <v>642</v>
      </c>
      <c r="D723" s="1" t="s">
        <v>284</v>
      </c>
      <c r="E723" s="82" t="n">
        <v>2</v>
      </c>
      <c r="F723" s="26" t="n">
        <v>50</v>
      </c>
      <c r="G723" s="26" t="n">
        <v>100</v>
      </c>
      <c r="H723" s="1" t="s">
        <v>643</v>
      </c>
    </row>
    <row r="724" customFormat="false" ht="15" hidden="false" customHeight="true" outlineLevel="0" collapsed="false">
      <c r="A724" s="1" t="s">
        <v>654</v>
      </c>
      <c r="B724" s="1" t="s">
        <v>87</v>
      </c>
      <c r="C724" s="1" t="s">
        <v>642</v>
      </c>
      <c r="D724" s="1" t="s">
        <v>285</v>
      </c>
      <c r="E724" s="82" t="n">
        <v>1</v>
      </c>
      <c r="F724" s="26" t="n">
        <v>50</v>
      </c>
      <c r="G724" s="26" t="n">
        <v>50</v>
      </c>
      <c r="H724" s="1" t="s">
        <v>643</v>
      </c>
    </row>
    <row r="725" customFormat="false" ht="15" hidden="false" customHeight="true" outlineLevel="0" collapsed="false">
      <c r="A725" s="1" t="s">
        <v>654</v>
      </c>
      <c r="B725" s="1" t="s">
        <v>87</v>
      </c>
      <c r="C725" s="1" t="s">
        <v>642</v>
      </c>
      <c r="D725" s="1" t="s">
        <v>282</v>
      </c>
      <c r="E725" s="82" t="n">
        <v>1</v>
      </c>
      <c r="F725" s="26" t="n">
        <v>90</v>
      </c>
      <c r="G725" s="26" t="n">
        <v>90</v>
      </c>
      <c r="H725" s="1" t="s">
        <v>643</v>
      </c>
    </row>
    <row r="726" customFormat="false" ht="15" hidden="false" customHeight="true" outlineLevel="0" collapsed="false">
      <c r="A726" s="1" t="s">
        <v>654</v>
      </c>
      <c r="B726" s="1" t="s">
        <v>87</v>
      </c>
      <c r="C726" s="1" t="s">
        <v>642</v>
      </c>
      <c r="D726" s="1" t="s">
        <v>282</v>
      </c>
      <c r="E726" s="82" t="n">
        <v>2</v>
      </c>
      <c r="F726" s="26" t="n">
        <v>10</v>
      </c>
      <c r="G726" s="26" t="n">
        <v>20</v>
      </c>
      <c r="H726" s="1" t="s">
        <v>643</v>
      </c>
    </row>
    <row r="727" customFormat="false" ht="15" hidden="false" customHeight="true" outlineLevel="0" collapsed="false">
      <c r="A727" s="1" t="s">
        <v>654</v>
      </c>
      <c r="B727" s="1" t="s">
        <v>87</v>
      </c>
      <c r="C727" s="1" t="s">
        <v>642</v>
      </c>
      <c r="D727" s="1" t="s">
        <v>282</v>
      </c>
      <c r="E727" s="82" t="n">
        <v>3</v>
      </c>
      <c r="F727" s="26" t="n">
        <v>50</v>
      </c>
      <c r="G727" s="26" t="n">
        <v>150</v>
      </c>
      <c r="H727" s="1" t="s">
        <v>643</v>
      </c>
    </row>
    <row r="728" customFormat="false" ht="15" hidden="false" customHeight="true" outlineLevel="0" collapsed="false">
      <c r="A728" s="1" t="s">
        <v>681</v>
      </c>
      <c r="B728" s="1" t="s">
        <v>452</v>
      </c>
      <c r="C728" s="1" t="s">
        <v>86</v>
      </c>
      <c r="D728" s="1" t="s">
        <v>289</v>
      </c>
      <c r="E728" s="82" t="n">
        <v>13530</v>
      </c>
      <c r="F728" s="26" t="n">
        <v>0.23</v>
      </c>
      <c r="G728" s="26" t="n">
        <v>3111.9</v>
      </c>
      <c r="H728" s="1" t="s">
        <v>451</v>
      </c>
    </row>
    <row r="729" customFormat="false" ht="15" hidden="false" customHeight="true" outlineLevel="0" collapsed="false">
      <c r="A729" s="1" t="s">
        <v>681</v>
      </c>
      <c r="B729" s="1" t="s">
        <v>453</v>
      </c>
      <c r="C729" s="1" t="s">
        <v>454</v>
      </c>
      <c r="D729" s="1" t="s">
        <v>275</v>
      </c>
      <c r="E729" s="82" t="n">
        <v>0</v>
      </c>
      <c r="F729" s="26" t="n">
        <v>0</v>
      </c>
      <c r="G729" s="26" t="n">
        <v>0</v>
      </c>
      <c r="H729" s="1" t="s">
        <v>655</v>
      </c>
    </row>
    <row r="730" customFormat="false" ht="15" hidden="false" customHeight="true" outlineLevel="0" collapsed="false">
      <c r="A730" s="1" t="s">
        <v>681</v>
      </c>
      <c r="B730" s="1" t="s">
        <v>453</v>
      </c>
      <c r="C730" s="1" t="s">
        <v>456</v>
      </c>
      <c r="D730" s="1" t="s">
        <v>275</v>
      </c>
      <c r="E730" s="82" t="n">
        <v>0</v>
      </c>
      <c r="F730" s="26" t="n">
        <v>0</v>
      </c>
      <c r="G730" s="26" t="n">
        <v>0</v>
      </c>
      <c r="H730" s="1" t="s">
        <v>645</v>
      </c>
    </row>
    <row r="731" customFormat="false" ht="15" hidden="false" customHeight="true" outlineLevel="0" collapsed="false">
      <c r="A731" s="1" t="s">
        <v>681</v>
      </c>
      <c r="B731" s="1" t="s">
        <v>453</v>
      </c>
      <c r="C731" s="1" t="s">
        <v>454</v>
      </c>
      <c r="D731" s="1" t="s">
        <v>287</v>
      </c>
      <c r="E731" s="82" t="n">
        <v>0</v>
      </c>
      <c r="F731" s="26" t="n">
        <v>0</v>
      </c>
      <c r="G731" s="26" t="n">
        <v>0</v>
      </c>
      <c r="H731" s="1" t="s">
        <v>455</v>
      </c>
    </row>
    <row r="732" customFormat="false" ht="15" hidden="false" customHeight="true" outlineLevel="0" collapsed="false">
      <c r="A732" s="1" t="s">
        <v>681</v>
      </c>
      <c r="B732" s="1" t="s">
        <v>453</v>
      </c>
      <c r="C732" s="1" t="s">
        <v>456</v>
      </c>
      <c r="D732" s="1" t="s">
        <v>287</v>
      </c>
      <c r="E732" s="82" t="n">
        <v>0</v>
      </c>
      <c r="F732" s="26" t="n">
        <v>0</v>
      </c>
      <c r="G732" s="26" t="n">
        <v>0</v>
      </c>
      <c r="H732" s="1" t="s">
        <v>645</v>
      </c>
    </row>
    <row r="733" customFormat="false" ht="15" hidden="false" customHeight="true" outlineLevel="0" collapsed="false">
      <c r="A733" s="1" t="s">
        <v>681</v>
      </c>
      <c r="B733" s="1" t="s">
        <v>453</v>
      </c>
      <c r="C733" s="1" t="s">
        <v>454</v>
      </c>
      <c r="D733" s="1" t="s">
        <v>289</v>
      </c>
      <c r="E733" s="82" t="n">
        <v>0</v>
      </c>
      <c r="F733" s="26" t="n">
        <v>0</v>
      </c>
      <c r="G733" s="26" t="n">
        <v>0</v>
      </c>
      <c r="H733" s="1" t="s">
        <v>458</v>
      </c>
    </row>
    <row r="734" customFormat="false" ht="15" hidden="false" customHeight="true" outlineLevel="0" collapsed="false">
      <c r="A734" s="1" t="s">
        <v>681</v>
      </c>
      <c r="B734" s="1" t="s">
        <v>453</v>
      </c>
      <c r="C734" s="1" t="s">
        <v>459</v>
      </c>
      <c r="D734" s="1" t="s">
        <v>289</v>
      </c>
      <c r="E734" s="82" t="n">
        <v>0</v>
      </c>
      <c r="F734" s="26" t="n">
        <v>0</v>
      </c>
      <c r="G734" s="26" t="n">
        <v>0</v>
      </c>
      <c r="H734" s="1" t="s">
        <v>460</v>
      </c>
    </row>
    <row r="735" customFormat="false" ht="15" hidden="false" customHeight="true" outlineLevel="0" collapsed="false">
      <c r="A735" s="1" t="s">
        <v>681</v>
      </c>
      <c r="B735" s="1" t="s">
        <v>453</v>
      </c>
      <c r="C735" s="1" t="s">
        <v>454</v>
      </c>
      <c r="D735" s="1" t="s">
        <v>293</v>
      </c>
      <c r="E735" s="82" t="n">
        <v>0</v>
      </c>
      <c r="F735" s="26" t="n">
        <v>0</v>
      </c>
      <c r="G735" s="26" t="n">
        <v>0</v>
      </c>
      <c r="H735" s="1" t="s">
        <v>458</v>
      </c>
    </row>
    <row r="736" customFormat="false" ht="15" hidden="false" customHeight="true" outlineLevel="0" collapsed="false">
      <c r="A736" s="1" t="s">
        <v>681</v>
      </c>
      <c r="B736" s="1" t="s">
        <v>453</v>
      </c>
      <c r="C736" s="1" t="s">
        <v>456</v>
      </c>
      <c r="D736" s="1" t="s">
        <v>293</v>
      </c>
      <c r="E736" s="82" t="n">
        <v>0</v>
      </c>
      <c r="F736" s="26" t="n">
        <v>0</v>
      </c>
      <c r="G736" s="26" t="n">
        <v>0</v>
      </c>
      <c r="H736" s="1" t="s">
        <v>645</v>
      </c>
    </row>
    <row r="737" customFormat="false" ht="15" hidden="false" customHeight="true" outlineLevel="0" collapsed="false">
      <c r="A737" s="1" t="s">
        <v>681</v>
      </c>
      <c r="B737" s="1" t="s">
        <v>453</v>
      </c>
      <c r="C737" s="1" t="s">
        <v>454</v>
      </c>
      <c r="D737" s="1" t="s">
        <v>290</v>
      </c>
      <c r="E737" s="82" t="n">
        <v>0</v>
      </c>
      <c r="F737" s="26" t="n">
        <v>0</v>
      </c>
      <c r="G737" s="26" t="n">
        <v>0</v>
      </c>
      <c r="H737" s="1" t="s">
        <v>455</v>
      </c>
    </row>
    <row r="738" customFormat="false" ht="15" hidden="false" customHeight="true" outlineLevel="0" collapsed="false">
      <c r="A738" s="1" t="s">
        <v>681</v>
      </c>
      <c r="B738" s="1" t="s">
        <v>453</v>
      </c>
      <c r="C738" s="1" t="s">
        <v>456</v>
      </c>
      <c r="D738" s="1" t="s">
        <v>290</v>
      </c>
      <c r="E738" s="82" t="n">
        <v>0</v>
      </c>
      <c r="F738" s="26" t="n">
        <v>0</v>
      </c>
      <c r="G738" s="26" t="n">
        <v>0</v>
      </c>
      <c r="H738" s="1" t="s">
        <v>457</v>
      </c>
    </row>
    <row r="739" customFormat="false" ht="15" hidden="false" customHeight="true" outlineLevel="0" collapsed="false">
      <c r="A739" s="1" t="s">
        <v>681</v>
      </c>
      <c r="B739" s="1" t="s">
        <v>453</v>
      </c>
      <c r="C739" s="1" t="s">
        <v>454</v>
      </c>
      <c r="D739" s="1" t="s">
        <v>284</v>
      </c>
      <c r="E739" s="82" t="n">
        <v>0</v>
      </c>
      <c r="F739" s="26" t="n">
        <v>0</v>
      </c>
      <c r="G739" s="26" t="n">
        <v>0</v>
      </c>
      <c r="H739" s="1" t="s">
        <v>462</v>
      </c>
    </row>
    <row r="740" customFormat="false" ht="15" hidden="false" customHeight="true" outlineLevel="0" collapsed="false">
      <c r="A740" s="1" t="s">
        <v>681</v>
      </c>
      <c r="B740" s="1" t="s">
        <v>453</v>
      </c>
      <c r="C740" s="1" t="s">
        <v>456</v>
      </c>
      <c r="D740" s="1" t="s">
        <v>284</v>
      </c>
      <c r="E740" s="82" t="n">
        <v>0</v>
      </c>
      <c r="F740" s="26" t="n">
        <v>0</v>
      </c>
      <c r="G740" s="26" t="n">
        <v>0</v>
      </c>
      <c r="H740" s="1" t="s">
        <v>645</v>
      </c>
    </row>
    <row r="741" customFormat="false" ht="15" hidden="false" customHeight="true" outlineLevel="0" collapsed="false">
      <c r="A741" s="1" t="s">
        <v>681</v>
      </c>
      <c r="B741" s="1" t="s">
        <v>453</v>
      </c>
      <c r="C741" s="1" t="s">
        <v>454</v>
      </c>
      <c r="D741" s="1" t="s">
        <v>285</v>
      </c>
      <c r="E741" s="82" t="n">
        <v>0</v>
      </c>
      <c r="F741" s="26" t="n">
        <v>0</v>
      </c>
      <c r="G741" s="26" t="n">
        <v>0</v>
      </c>
      <c r="H741" s="1" t="s">
        <v>458</v>
      </c>
    </row>
    <row r="742" customFormat="false" ht="15" hidden="false" customHeight="true" outlineLevel="0" collapsed="false">
      <c r="A742" s="1" t="s">
        <v>681</v>
      </c>
      <c r="B742" s="1" t="s">
        <v>78</v>
      </c>
      <c r="C742" s="1" t="s">
        <v>463</v>
      </c>
      <c r="D742" s="1" t="s">
        <v>293</v>
      </c>
      <c r="E742" s="82" t="n">
        <v>3765</v>
      </c>
      <c r="F742" s="26" t="n">
        <v>0.39039808527428</v>
      </c>
      <c r="G742" s="26" t="n">
        <v>1469.848791</v>
      </c>
      <c r="H742" s="1" t="s">
        <v>451</v>
      </c>
    </row>
    <row r="743" customFormat="false" ht="15" hidden="false" customHeight="true" outlineLevel="0" collapsed="false">
      <c r="A743" s="1" t="s">
        <v>681</v>
      </c>
      <c r="B743" s="1" t="s">
        <v>78</v>
      </c>
      <c r="C743" s="1" t="s">
        <v>463</v>
      </c>
      <c r="D743" s="1" t="s">
        <v>284</v>
      </c>
      <c r="E743" s="82" t="n">
        <v>14689</v>
      </c>
      <c r="F743" s="26" t="n">
        <v>0.39039808527428</v>
      </c>
      <c r="G743" s="26" t="n">
        <v>5734.557475</v>
      </c>
      <c r="H743" s="1" t="s">
        <v>451</v>
      </c>
    </row>
    <row r="744" customFormat="false" ht="15" hidden="false" customHeight="true" outlineLevel="0" collapsed="false">
      <c r="A744" s="1" t="s">
        <v>681</v>
      </c>
      <c r="B744" s="1" t="s">
        <v>78</v>
      </c>
      <c r="C744" s="1" t="s">
        <v>463</v>
      </c>
      <c r="D744" s="1" t="s">
        <v>282</v>
      </c>
      <c r="E744" s="82" t="n">
        <v>4806</v>
      </c>
      <c r="F744" s="26" t="n">
        <v>0.39039808527428</v>
      </c>
      <c r="G744" s="26" t="n">
        <v>1876.253198</v>
      </c>
      <c r="H744" s="1" t="s">
        <v>451</v>
      </c>
    </row>
    <row r="745" customFormat="false" ht="15" hidden="false" customHeight="true" outlineLevel="0" collapsed="false">
      <c r="A745" s="1" t="s">
        <v>681</v>
      </c>
      <c r="B745" s="1" t="s">
        <v>464</v>
      </c>
      <c r="C745" s="1" t="s">
        <v>465</v>
      </c>
      <c r="D745" s="1" t="s">
        <v>275</v>
      </c>
      <c r="E745" s="82" t="n">
        <v>6438</v>
      </c>
      <c r="F745" s="26" t="n">
        <v>1.86</v>
      </c>
      <c r="G745" s="26" t="n">
        <v>11974.68</v>
      </c>
      <c r="H745" s="1" t="s">
        <v>682</v>
      </c>
    </row>
    <row r="746" customFormat="false" ht="15" hidden="false" customHeight="true" outlineLevel="0" collapsed="false">
      <c r="A746" s="1" t="s">
        <v>681</v>
      </c>
      <c r="B746" s="1" t="s">
        <v>464</v>
      </c>
      <c r="C746" s="1" t="s">
        <v>465</v>
      </c>
      <c r="D746" s="1" t="s">
        <v>287</v>
      </c>
      <c r="E746" s="82" t="n">
        <v>341</v>
      </c>
      <c r="F746" s="26" t="n">
        <v>1.86</v>
      </c>
      <c r="G746" s="26" t="n">
        <v>634.26</v>
      </c>
      <c r="H746" s="1" t="s">
        <v>682</v>
      </c>
    </row>
    <row r="747" customFormat="false" ht="15" hidden="false" customHeight="true" outlineLevel="0" collapsed="false">
      <c r="A747" s="1" t="s">
        <v>681</v>
      </c>
      <c r="B747" s="1" t="s">
        <v>464</v>
      </c>
      <c r="C747" s="1" t="s">
        <v>657</v>
      </c>
      <c r="D747" s="1" t="s">
        <v>287</v>
      </c>
      <c r="E747" s="82" t="n">
        <v>0</v>
      </c>
      <c r="F747" s="26" t="n">
        <v>0</v>
      </c>
      <c r="G747" s="26" t="n">
        <v>0</v>
      </c>
      <c r="H747" s="1" t="s">
        <v>658</v>
      </c>
    </row>
    <row r="748" customFormat="false" ht="15" hidden="false" customHeight="true" outlineLevel="0" collapsed="false">
      <c r="A748" s="1" t="s">
        <v>681</v>
      </c>
      <c r="B748" s="1" t="s">
        <v>464</v>
      </c>
      <c r="C748" s="1" t="s">
        <v>659</v>
      </c>
      <c r="D748" s="1" t="s">
        <v>287</v>
      </c>
      <c r="E748" s="82" t="n">
        <v>0</v>
      </c>
      <c r="F748" s="26" t="n">
        <v>0</v>
      </c>
      <c r="G748" s="26" t="n">
        <v>0</v>
      </c>
      <c r="H748" s="1" t="s">
        <v>660</v>
      </c>
    </row>
    <row r="749" customFormat="false" ht="15" hidden="false" customHeight="true" outlineLevel="0" collapsed="false">
      <c r="A749" s="1" t="s">
        <v>681</v>
      </c>
      <c r="B749" s="1" t="s">
        <v>464</v>
      </c>
      <c r="C749" s="1" t="s">
        <v>473</v>
      </c>
      <c r="D749" s="1" t="s">
        <v>287</v>
      </c>
      <c r="E749" s="82" t="n">
        <v>-1</v>
      </c>
      <c r="F749" s="26" t="n">
        <v>620.34</v>
      </c>
      <c r="G749" s="26" t="n">
        <v>-620.34</v>
      </c>
      <c r="H749" s="1" t="s">
        <v>474</v>
      </c>
    </row>
    <row r="750" customFormat="false" ht="15" hidden="false" customHeight="true" outlineLevel="0" collapsed="false">
      <c r="A750" s="1" t="s">
        <v>681</v>
      </c>
      <c r="B750" s="1" t="s">
        <v>464</v>
      </c>
      <c r="C750" s="1" t="s">
        <v>473</v>
      </c>
      <c r="D750" s="1" t="s">
        <v>287</v>
      </c>
      <c r="E750" s="82" t="n">
        <v>-1</v>
      </c>
      <c r="F750" s="26" t="n">
        <v>2216.95</v>
      </c>
      <c r="G750" s="26" t="n">
        <v>-2216.95</v>
      </c>
      <c r="H750" s="1" t="s">
        <v>475</v>
      </c>
    </row>
    <row r="751" customFormat="false" ht="15" hidden="false" customHeight="true" outlineLevel="0" collapsed="false">
      <c r="A751" s="1" t="s">
        <v>681</v>
      </c>
      <c r="B751" s="1" t="s">
        <v>464</v>
      </c>
      <c r="C751" s="1" t="s">
        <v>476</v>
      </c>
      <c r="D751" s="1" t="s">
        <v>287</v>
      </c>
      <c r="E751" s="82" t="n">
        <v>-1</v>
      </c>
      <c r="F751" s="26" t="n">
        <v>260.108024691358</v>
      </c>
      <c r="G751" s="26" t="n">
        <v>-260.108024691358</v>
      </c>
      <c r="H751" s="1" t="s">
        <v>683</v>
      </c>
    </row>
    <row r="752" customFormat="false" ht="15" hidden="false" customHeight="true" outlineLevel="0" collapsed="false">
      <c r="A752" s="1" t="s">
        <v>681</v>
      </c>
      <c r="B752" s="1" t="s">
        <v>464</v>
      </c>
      <c r="C752" s="1" t="s">
        <v>478</v>
      </c>
      <c r="D752" s="1" t="s">
        <v>287</v>
      </c>
      <c r="E752" s="82" t="n">
        <v>0</v>
      </c>
      <c r="F752" s="26" t="n">
        <v>0</v>
      </c>
      <c r="G752" s="26" t="n">
        <v>0</v>
      </c>
      <c r="H752" s="1" t="s">
        <v>477</v>
      </c>
    </row>
    <row r="753" customFormat="false" ht="15" hidden="false" customHeight="true" outlineLevel="0" collapsed="false">
      <c r="A753" s="1" t="s">
        <v>681</v>
      </c>
      <c r="B753" s="1" t="s">
        <v>464</v>
      </c>
      <c r="C753" s="1" t="s">
        <v>479</v>
      </c>
      <c r="D753" s="1" t="s">
        <v>287</v>
      </c>
      <c r="E753" s="82" t="n">
        <v>0</v>
      </c>
      <c r="F753" s="26" t="n">
        <v>0</v>
      </c>
      <c r="G753" s="26" t="n">
        <v>0</v>
      </c>
      <c r="H753" s="1" t="s">
        <v>477</v>
      </c>
    </row>
    <row r="754" customFormat="false" ht="15" hidden="false" customHeight="true" outlineLevel="0" collapsed="false">
      <c r="A754" s="1" t="s">
        <v>681</v>
      </c>
      <c r="B754" s="1" t="s">
        <v>464</v>
      </c>
      <c r="C754" s="1" t="s">
        <v>480</v>
      </c>
      <c r="D754" s="1" t="s">
        <v>287</v>
      </c>
      <c r="E754" s="82" t="n">
        <v>3</v>
      </c>
      <c r="F754" s="26" t="n">
        <v>221.785743509048</v>
      </c>
      <c r="G754" s="26" t="n">
        <v>665.357230527144</v>
      </c>
      <c r="H754" s="1" t="s">
        <v>683</v>
      </c>
    </row>
    <row r="755" customFormat="false" ht="15" hidden="false" customHeight="true" outlineLevel="0" collapsed="false">
      <c r="A755" s="1" t="s">
        <v>681</v>
      </c>
      <c r="B755" s="1" t="s">
        <v>464</v>
      </c>
      <c r="C755" s="1" t="s">
        <v>481</v>
      </c>
      <c r="D755" s="1" t="s">
        <v>287</v>
      </c>
      <c r="E755" s="82" t="n">
        <v>0</v>
      </c>
      <c r="F755" s="26" t="n">
        <v>0</v>
      </c>
      <c r="G755" s="26" t="n">
        <v>0</v>
      </c>
      <c r="H755" s="1" t="s">
        <v>477</v>
      </c>
    </row>
    <row r="756" customFormat="false" ht="15" hidden="false" customHeight="true" outlineLevel="0" collapsed="false">
      <c r="A756" s="1" t="s">
        <v>681</v>
      </c>
      <c r="B756" s="1" t="s">
        <v>464</v>
      </c>
      <c r="C756" s="1" t="s">
        <v>482</v>
      </c>
      <c r="D756" s="1" t="s">
        <v>289</v>
      </c>
      <c r="E756" s="82" t="n">
        <v>1</v>
      </c>
      <c r="F756" s="26" t="n">
        <v>33.5</v>
      </c>
      <c r="G756" s="26" t="n">
        <v>33.5</v>
      </c>
      <c r="H756" s="1" t="s">
        <v>483</v>
      </c>
    </row>
    <row r="757" customFormat="false" ht="15" hidden="false" customHeight="true" outlineLevel="0" collapsed="false">
      <c r="A757" s="1" t="s">
        <v>681</v>
      </c>
      <c r="B757" s="1" t="s">
        <v>464</v>
      </c>
      <c r="C757" s="1" t="s">
        <v>482</v>
      </c>
      <c r="D757" s="1" t="s">
        <v>289</v>
      </c>
      <c r="E757" s="82" t="n">
        <v>1</v>
      </c>
      <c r="F757" s="26" t="n">
        <v>22</v>
      </c>
      <c r="G757" s="26" t="n">
        <v>22</v>
      </c>
      <c r="H757" s="1" t="s">
        <v>484</v>
      </c>
    </row>
    <row r="758" customFormat="false" ht="15" hidden="false" customHeight="true" outlineLevel="0" collapsed="false">
      <c r="A758" s="1" t="s">
        <v>681</v>
      </c>
      <c r="B758" s="1" t="s">
        <v>464</v>
      </c>
      <c r="C758" s="1" t="s">
        <v>465</v>
      </c>
      <c r="D758" s="1" t="s">
        <v>289</v>
      </c>
      <c r="E758" s="82" t="n">
        <v>312</v>
      </c>
      <c r="F758" s="26" t="n">
        <v>1.86</v>
      </c>
      <c r="G758" s="26" t="n">
        <v>580.32</v>
      </c>
      <c r="H758" s="1" t="s">
        <v>466</v>
      </c>
    </row>
    <row r="759" customFormat="false" ht="15" hidden="false" customHeight="true" outlineLevel="0" collapsed="false">
      <c r="A759" s="1" t="s">
        <v>681</v>
      </c>
      <c r="B759" s="1" t="s">
        <v>464</v>
      </c>
      <c r="C759" s="1" t="s">
        <v>657</v>
      </c>
      <c r="D759" s="1" t="s">
        <v>289</v>
      </c>
      <c r="E759" s="82" t="n">
        <v>0</v>
      </c>
      <c r="F759" s="26" t="n">
        <v>0</v>
      </c>
      <c r="G759" s="26" t="n">
        <v>0</v>
      </c>
      <c r="H759" s="1" t="s">
        <v>662</v>
      </c>
    </row>
    <row r="760" customFormat="false" ht="15" hidden="false" customHeight="true" outlineLevel="0" collapsed="false">
      <c r="A760" s="1" t="s">
        <v>681</v>
      </c>
      <c r="B760" s="1" t="s">
        <v>464</v>
      </c>
      <c r="C760" s="1" t="s">
        <v>473</v>
      </c>
      <c r="D760" s="1" t="s">
        <v>289</v>
      </c>
      <c r="E760" s="82" t="n">
        <v>0</v>
      </c>
      <c r="F760" s="26" t="n">
        <v>0</v>
      </c>
      <c r="G760" s="26" t="n">
        <v>0</v>
      </c>
      <c r="H760" s="1" t="s">
        <v>663</v>
      </c>
    </row>
    <row r="761" customFormat="false" ht="15" hidden="false" customHeight="true" outlineLevel="0" collapsed="false">
      <c r="A761" s="1" t="s">
        <v>681</v>
      </c>
      <c r="B761" s="1" t="s">
        <v>464</v>
      </c>
      <c r="C761" s="1" t="s">
        <v>473</v>
      </c>
      <c r="D761" s="1" t="s">
        <v>289</v>
      </c>
      <c r="E761" s="82" t="n">
        <v>1</v>
      </c>
      <c r="F761" s="26" t="n">
        <v>446.88</v>
      </c>
      <c r="G761" s="26" t="n">
        <v>446.88</v>
      </c>
      <c r="H761" s="1" t="s">
        <v>488</v>
      </c>
    </row>
    <row r="762" customFormat="false" ht="15" hidden="false" customHeight="true" outlineLevel="0" collapsed="false">
      <c r="A762" s="1" t="s">
        <v>681</v>
      </c>
      <c r="B762" s="1" t="s">
        <v>464</v>
      </c>
      <c r="C762" s="1" t="s">
        <v>473</v>
      </c>
      <c r="D762" s="1" t="s">
        <v>289</v>
      </c>
      <c r="E762" s="82" t="n">
        <v>36</v>
      </c>
      <c r="F762" s="26" t="n">
        <v>21.95</v>
      </c>
      <c r="G762" s="26" t="n">
        <v>790.2</v>
      </c>
      <c r="H762" s="1" t="s">
        <v>489</v>
      </c>
    </row>
    <row r="763" customFormat="false" ht="15" hidden="false" customHeight="true" outlineLevel="0" collapsed="false">
      <c r="A763" s="1" t="s">
        <v>681</v>
      </c>
      <c r="B763" s="1" t="s">
        <v>464</v>
      </c>
      <c r="C763" s="1" t="s">
        <v>490</v>
      </c>
      <c r="D763" s="1" t="s">
        <v>289</v>
      </c>
      <c r="E763" s="82" t="n">
        <v>1</v>
      </c>
      <c r="F763" s="26" t="n">
        <v>260.108024691358</v>
      </c>
      <c r="G763" s="26" t="n">
        <v>260.108024691358</v>
      </c>
      <c r="H763" s="1" t="s">
        <v>683</v>
      </c>
    </row>
    <row r="764" customFormat="false" ht="15" hidden="false" customHeight="true" outlineLevel="0" collapsed="false">
      <c r="A764" s="1" t="s">
        <v>681</v>
      </c>
      <c r="B764" s="1" t="s">
        <v>464</v>
      </c>
      <c r="C764" s="1" t="s">
        <v>478</v>
      </c>
      <c r="D764" s="1" t="s">
        <v>289</v>
      </c>
      <c r="E764" s="82" t="n">
        <v>2</v>
      </c>
      <c r="F764" s="26" t="n">
        <v>221.785743509048</v>
      </c>
      <c r="G764" s="26" t="n">
        <v>443.571487018096</v>
      </c>
      <c r="H764" s="1" t="s">
        <v>683</v>
      </c>
    </row>
    <row r="765" customFormat="false" ht="15" hidden="false" customHeight="true" outlineLevel="0" collapsed="false">
      <c r="A765" s="1" t="s">
        <v>681</v>
      </c>
      <c r="B765" s="1" t="s">
        <v>464</v>
      </c>
      <c r="C765" s="1" t="s">
        <v>491</v>
      </c>
      <c r="D765" s="1" t="s">
        <v>289</v>
      </c>
      <c r="E765" s="82" t="n">
        <v>0</v>
      </c>
      <c r="F765" s="26" t="n">
        <v>0</v>
      </c>
      <c r="G765" s="26" t="n">
        <v>0</v>
      </c>
      <c r="H765" s="1" t="s">
        <v>477</v>
      </c>
    </row>
    <row r="766" customFormat="false" ht="15" hidden="false" customHeight="true" outlineLevel="0" collapsed="false">
      <c r="A766" s="1" t="s">
        <v>681</v>
      </c>
      <c r="B766" s="1" t="s">
        <v>464</v>
      </c>
      <c r="C766" s="1" t="s">
        <v>492</v>
      </c>
      <c r="D766" s="1" t="s">
        <v>289</v>
      </c>
      <c r="E766" s="82" t="n">
        <v>-6</v>
      </c>
      <c r="F766" s="26" t="n">
        <v>221.785743509048</v>
      </c>
      <c r="G766" s="26" t="n">
        <v>-1330.71446105429</v>
      </c>
      <c r="H766" s="1" t="s">
        <v>683</v>
      </c>
    </row>
    <row r="767" customFormat="false" ht="15" hidden="false" customHeight="true" outlineLevel="0" collapsed="false">
      <c r="A767" s="1" t="s">
        <v>681</v>
      </c>
      <c r="B767" s="1" t="s">
        <v>464</v>
      </c>
      <c r="C767" s="1" t="s">
        <v>493</v>
      </c>
      <c r="D767" s="1" t="s">
        <v>289</v>
      </c>
      <c r="E767" s="82" t="n">
        <v>-3</v>
      </c>
      <c r="F767" s="26" t="n">
        <v>221.785743509048</v>
      </c>
      <c r="G767" s="26" t="n">
        <v>-665.357230527144</v>
      </c>
      <c r="H767" s="1" t="s">
        <v>683</v>
      </c>
    </row>
    <row r="768" customFormat="false" ht="15" hidden="false" customHeight="true" outlineLevel="0" collapsed="false">
      <c r="A768" s="1" t="s">
        <v>681</v>
      </c>
      <c r="B768" s="1" t="s">
        <v>464</v>
      </c>
      <c r="C768" s="1" t="s">
        <v>494</v>
      </c>
      <c r="D768" s="1" t="s">
        <v>289</v>
      </c>
      <c r="E768" s="82" t="n">
        <v>-2</v>
      </c>
      <c r="F768" s="26" t="n">
        <v>221.785743509048</v>
      </c>
      <c r="G768" s="26" t="n">
        <v>-443.571487018096</v>
      </c>
      <c r="H768" s="1" t="s">
        <v>683</v>
      </c>
    </row>
    <row r="769" customFormat="false" ht="15" hidden="false" customHeight="true" outlineLevel="0" collapsed="false">
      <c r="A769" s="1" t="s">
        <v>681</v>
      </c>
      <c r="B769" s="1" t="s">
        <v>464</v>
      </c>
      <c r="C769" s="1" t="s">
        <v>465</v>
      </c>
      <c r="D769" s="1" t="s">
        <v>293</v>
      </c>
      <c r="E769" s="82" t="n">
        <v>222</v>
      </c>
      <c r="F769" s="26" t="n">
        <v>1.86</v>
      </c>
      <c r="G769" s="26" t="n">
        <v>412.92</v>
      </c>
      <c r="H769" s="1" t="s">
        <v>466</v>
      </c>
    </row>
    <row r="770" customFormat="false" ht="15" hidden="false" customHeight="true" outlineLevel="0" collapsed="false">
      <c r="A770" s="1" t="s">
        <v>681</v>
      </c>
      <c r="B770" s="1" t="s">
        <v>464</v>
      </c>
      <c r="C770" s="1" t="s">
        <v>478</v>
      </c>
      <c r="D770" s="1" t="s">
        <v>293</v>
      </c>
      <c r="E770" s="82" t="n">
        <v>1</v>
      </c>
      <c r="F770" s="26" t="n">
        <v>221.785743509048</v>
      </c>
      <c r="G770" s="26" t="n">
        <v>221.785743509048</v>
      </c>
      <c r="H770" s="1" t="s">
        <v>683</v>
      </c>
    </row>
    <row r="771" customFormat="false" ht="15" hidden="false" customHeight="true" outlineLevel="0" collapsed="false">
      <c r="A771" s="1" t="s">
        <v>681</v>
      </c>
      <c r="B771" s="1" t="s">
        <v>464</v>
      </c>
      <c r="C771" s="1" t="s">
        <v>496</v>
      </c>
      <c r="D771" s="1" t="s">
        <v>293</v>
      </c>
      <c r="E771" s="82" t="n">
        <v>0</v>
      </c>
      <c r="F771" s="26" t="n">
        <v>0</v>
      </c>
      <c r="G771" s="26" t="n">
        <v>0</v>
      </c>
      <c r="H771" s="1" t="s">
        <v>683</v>
      </c>
    </row>
    <row r="772" customFormat="false" ht="15" hidden="false" customHeight="true" outlineLevel="0" collapsed="false">
      <c r="A772" s="1" t="s">
        <v>681</v>
      </c>
      <c r="B772" s="1" t="s">
        <v>464</v>
      </c>
      <c r="C772" s="1" t="s">
        <v>497</v>
      </c>
      <c r="D772" s="1" t="s">
        <v>293</v>
      </c>
      <c r="E772" s="82" t="n">
        <v>0</v>
      </c>
      <c r="F772" s="26" t="n">
        <v>0</v>
      </c>
      <c r="G772" s="26" t="n">
        <v>0</v>
      </c>
    </row>
    <row r="773" customFormat="false" ht="15" hidden="false" customHeight="true" outlineLevel="0" collapsed="false">
      <c r="A773" s="1" t="s">
        <v>681</v>
      </c>
      <c r="B773" s="1" t="s">
        <v>464</v>
      </c>
      <c r="C773" s="1" t="s">
        <v>498</v>
      </c>
      <c r="D773" s="1" t="s">
        <v>293</v>
      </c>
      <c r="E773" s="82" t="n">
        <v>0</v>
      </c>
      <c r="F773" s="26" t="n">
        <v>0</v>
      </c>
      <c r="G773" s="26" t="n">
        <v>0</v>
      </c>
      <c r="H773" s="1" t="s">
        <v>477</v>
      </c>
    </row>
    <row r="774" customFormat="false" ht="15" hidden="false" customHeight="true" outlineLevel="0" collapsed="false">
      <c r="A774" s="1" t="s">
        <v>681</v>
      </c>
      <c r="B774" s="1" t="s">
        <v>464</v>
      </c>
      <c r="C774" s="1" t="s">
        <v>465</v>
      </c>
      <c r="D774" s="1" t="s">
        <v>290</v>
      </c>
      <c r="E774" s="82" t="n">
        <v>669</v>
      </c>
      <c r="F774" s="26" t="n">
        <v>1.86</v>
      </c>
      <c r="G774" s="26" t="n">
        <v>1244.34</v>
      </c>
      <c r="H774" s="1" t="s">
        <v>466</v>
      </c>
    </row>
    <row r="775" customFormat="false" ht="15" hidden="false" customHeight="true" outlineLevel="0" collapsed="false">
      <c r="A775" s="1" t="s">
        <v>681</v>
      </c>
      <c r="B775" s="1" t="s">
        <v>464</v>
      </c>
      <c r="C775" s="1" t="s">
        <v>473</v>
      </c>
      <c r="D775" s="1" t="s">
        <v>290</v>
      </c>
      <c r="E775" s="82" t="n">
        <v>1</v>
      </c>
      <c r="F775" s="26" t="n">
        <v>173.46</v>
      </c>
      <c r="G775" s="26" t="n">
        <v>173.46</v>
      </c>
      <c r="H775" s="1" t="s">
        <v>502</v>
      </c>
    </row>
    <row r="776" customFormat="false" ht="15" hidden="false" customHeight="true" outlineLevel="0" collapsed="false">
      <c r="A776" s="1" t="s">
        <v>681</v>
      </c>
      <c r="B776" s="1" t="s">
        <v>464</v>
      </c>
      <c r="C776" s="1" t="s">
        <v>473</v>
      </c>
      <c r="D776" s="1" t="s">
        <v>290</v>
      </c>
      <c r="E776" s="82" t="n">
        <v>65</v>
      </c>
      <c r="F776" s="26" t="n">
        <v>21.95</v>
      </c>
      <c r="G776" s="26" t="n">
        <v>1426.75</v>
      </c>
      <c r="H776" s="1" t="s">
        <v>503</v>
      </c>
    </row>
    <row r="777" customFormat="false" ht="15" hidden="false" customHeight="true" outlineLevel="0" collapsed="false">
      <c r="A777" s="1" t="s">
        <v>681</v>
      </c>
      <c r="B777" s="1" t="s">
        <v>464</v>
      </c>
      <c r="C777" s="1" t="s">
        <v>504</v>
      </c>
      <c r="D777" s="1" t="s">
        <v>290</v>
      </c>
      <c r="E777" s="82" t="n">
        <v>1</v>
      </c>
      <c r="F777" s="26" t="n">
        <v>221.785743509048</v>
      </c>
      <c r="G777" s="26" t="n">
        <v>221.785743509048</v>
      </c>
      <c r="H777" s="1" t="s">
        <v>683</v>
      </c>
    </row>
    <row r="778" customFormat="false" ht="15" hidden="false" customHeight="true" outlineLevel="0" collapsed="false">
      <c r="A778" s="1" t="s">
        <v>681</v>
      </c>
      <c r="B778" s="1" t="s">
        <v>464</v>
      </c>
      <c r="C778" s="1" t="s">
        <v>505</v>
      </c>
      <c r="D778" s="1" t="s">
        <v>290</v>
      </c>
      <c r="E778" s="82" t="n">
        <v>2</v>
      </c>
      <c r="F778" s="26" t="n">
        <v>221.785743509048</v>
      </c>
      <c r="G778" s="26" t="n">
        <v>443.571487018096</v>
      </c>
      <c r="H778" s="1" t="s">
        <v>683</v>
      </c>
    </row>
    <row r="779" customFormat="false" ht="15" hidden="false" customHeight="true" outlineLevel="0" collapsed="false">
      <c r="A779" s="1" t="s">
        <v>681</v>
      </c>
      <c r="B779" s="1" t="s">
        <v>464</v>
      </c>
      <c r="C779" s="1" t="s">
        <v>506</v>
      </c>
      <c r="D779" s="1" t="s">
        <v>290</v>
      </c>
      <c r="E779" s="82" t="n">
        <v>0</v>
      </c>
      <c r="F779" s="26" t="n">
        <v>0</v>
      </c>
      <c r="G779" s="26" t="n">
        <v>0</v>
      </c>
    </row>
    <row r="780" customFormat="false" ht="15" hidden="false" customHeight="true" outlineLevel="0" collapsed="false">
      <c r="A780" s="1" t="s">
        <v>681</v>
      </c>
      <c r="B780" s="1" t="s">
        <v>464</v>
      </c>
      <c r="C780" s="1" t="s">
        <v>666</v>
      </c>
      <c r="D780" s="1" t="s">
        <v>290</v>
      </c>
      <c r="E780" s="82" t="n">
        <v>0</v>
      </c>
      <c r="F780" s="26" t="n">
        <v>0</v>
      </c>
      <c r="G780" s="26" t="n">
        <v>0</v>
      </c>
      <c r="H780" s="1" t="s">
        <v>683</v>
      </c>
    </row>
    <row r="781" customFormat="false" ht="15" hidden="false" customHeight="true" outlineLevel="0" collapsed="false">
      <c r="A781" s="1" t="s">
        <v>681</v>
      </c>
      <c r="B781" s="1" t="s">
        <v>464</v>
      </c>
      <c r="C781" s="1" t="s">
        <v>465</v>
      </c>
      <c r="D781" s="1" t="s">
        <v>284</v>
      </c>
      <c r="E781" s="82" t="n">
        <v>510</v>
      </c>
      <c r="F781" s="26" t="n">
        <v>1.86</v>
      </c>
      <c r="G781" s="26" t="n">
        <v>948.6</v>
      </c>
      <c r="H781" s="1" t="s">
        <v>466</v>
      </c>
    </row>
    <row r="782" customFormat="false" ht="15" hidden="false" customHeight="true" outlineLevel="0" collapsed="false">
      <c r="A782" s="1" t="s">
        <v>681</v>
      </c>
      <c r="B782" s="1" t="s">
        <v>464</v>
      </c>
      <c r="C782" s="1" t="s">
        <v>511</v>
      </c>
      <c r="D782" s="1" t="s">
        <v>284</v>
      </c>
      <c r="E782" s="82" t="n">
        <v>1</v>
      </c>
      <c r="F782" s="26" t="n">
        <v>542</v>
      </c>
      <c r="G782" s="26" t="n">
        <v>542</v>
      </c>
      <c r="H782" s="1" t="s">
        <v>512</v>
      </c>
    </row>
    <row r="783" customFormat="false" ht="15" hidden="false" customHeight="true" outlineLevel="0" collapsed="false">
      <c r="A783" s="1" t="s">
        <v>681</v>
      </c>
      <c r="B783" s="1" t="s">
        <v>464</v>
      </c>
      <c r="C783" s="1" t="s">
        <v>511</v>
      </c>
      <c r="D783" s="1" t="s">
        <v>284</v>
      </c>
      <c r="E783" s="82" t="n">
        <v>0</v>
      </c>
      <c r="F783" s="26" t="n">
        <v>0</v>
      </c>
      <c r="G783" s="26" t="n">
        <v>0</v>
      </c>
      <c r="H783" s="1" t="s">
        <v>489</v>
      </c>
    </row>
    <row r="784" customFormat="false" ht="15" hidden="false" customHeight="true" outlineLevel="0" collapsed="false">
      <c r="A784" s="1" t="s">
        <v>681</v>
      </c>
      <c r="B784" s="1" t="s">
        <v>464</v>
      </c>
      <c r="C784" s="1" t="s">
        <v>478</v>
      </c>
      <c r="D784" s="1" t="s">
        <v>284</v>
      </c>
      <c r="E784" s="82" t="n">
        <v>6</v>
      </c>
      <c r="F784" s="26" t="n">
        <v>221.785743509048</v>
      </c>
      <c r="G784" s="26" t="n">
        <v>1330.71446105429</v>
      </c>
      <c r="H784" s="1" t="s">
        <v>683</v>
      </c>
    </row>
    <row r="785" customFormat="false" ht="15" hidden="false" customHeight="true" outlineLevel="0" collapsed="false">
      <c r="A785" s="1" t="s">
        <v>681</v>
      </c>
      <c r="B785" s="1" t="s">
        <v>464</v>
      </c>
      <c r="C785" s="1" t="s">
        <v>514</v>
      </c>
      <c r="D785" s="1" t="s">
        <v>284</v>
      </c>
      <c r="E785" s="82" t="n">
        <v>0</v>
      </c>
      <c r="F785" s="26" t="n">
        <v>0</v>
      </c>
      <c r="G785" s="26" t="n">
        <v>0</v>
      </c>
      <c r="H785" s="1" t="s">
        <v>477</v>
      </c>
    </row>
    <row r="786" customFormat="false" ht="15" hidden="false" customHeight="true" outlineLevel="0" collapsed="false">
      <c r="A786" s="1" t="s">
        <v>681</v>
      </c>
      <c r="B786" s="1" t="s">
        <v>464</v>
      </c>
      <c r="C786" s="1" t="s">
        <v>515</v>
      </c>
      <c r="D786" s="1" t="s">
        <v>284</v>
      </c>
      <c r="E786" s="82" t="n">
        <v>0</v>
      </c>
      <c r="F786" s="26" t="n">
        <v>0</v>
      </c>
      <c r="G786" s="26" t="n">
        <v>0</v>
      </c>
      <c r="H786" s="1" t="s">
        <v>477</v>
      </c>
    </row>
    <row r="787" customFormat="false" ht="15" hidden="false" customHeight="true" outlineLevel="0" collapsed="false">
      <c r="A787" s="1" t="s">
        <v>681</v>
      </c>
      <c r="B787" s="1" t="s">
        <v>464</v>
      </c>
      <c r="C787" s="1" t="s">
        <v>684</v>
      </c>
      <c r="D787" s="1" t="s">
        <v>284</v>
      </c>
      <c r="E787" s="82" t="n">
        <v>0</v>
      </c>
      <c r="F787" s="26" t="n">
        <v>0</v>
      </c>
      <c r="G787" s="26" t="n">
        <v>0</v>
      </c>
      <c r="H787" s="1" t="s">
        <v>477</v>
      </c>
    </row>
    <row r="788" customFormat="false" ht="15" hidden="false" customHeight="true" outlineLevel="0" collapsed="false">
      <c r="A788" s="1" t="s">
        <v>681</v>
      </c>
      <c r="B788" s="1" t="s">
        <v>464</v>
      </c>
      <c r="C788" s="1" t="s">
        <v>465</v>
      </c>
      <c r="D788" s="1" t="s">
        <v>285</v>
      </c>
      <c r="E788" s="82" t="n">
        <v>154</v>
      </c>
      <c r="F788" s="26" t="n">
        <v>1.86</v>
      </c>
      <c r="G788" s="26" t="n">
        <v>286.44</v>
      </c>
      <c r="H788" s="1" t="s">
        <v>466</v>
      </c>
    </row>
    <row r="789" customFormat="false" ht="15" hidden="false" customHeight="true" outlineLevel="0" collapsed="false">
      <c r="A789" s="1" t="s">
        <v>681</v>
      </c>
      <c r="B789" s="1" t="s">
        <v>464</v>
      </c>
      <c r="C789" s="1" t="s">
        <v>511</v>
      </c>
      <c r="D789" s="1" t="s">
        <v>285</v>
      </c>
      <c r="E789" s="82" t="n">
        <v>1</v>
      </c>
      <c r="F789" s="26" t="n">
        <v>729</v>
      </c>
      <c r="G789" s="26" t="n">
        <v>729</v>
      </c>
      <c r="H789" s="1" t="s">
        <v>518</v>
      </c>
    </row>
    <row r="790" customFormat="false" ht="15" hidden="false" customHeight="true" outlineLevel="0" collapsed="false">
      <c r="A790" s="1" t="s">
        <v>681</v>
      </c>
      <c r="B790" s="1" t="s">
        <v>464</v>
      </c>
      <c r="C790" s="1" t="s">
        <v>511</v>
      </c>
      <c r="D790" s="1" t="s">
        <v>285</v>
      </c>
      <c r="E790" s="82" t="n">
        <v>35</v>
      </c>
      <c r="F790" s="26" t="n">
        <v>18.52</v>
      </c>
      <c r="G790" s="26" t="n">
        <v>648.2</v>
      </c>
      <c r="H790" s="1" t="s">
        <v>489</v>
      </c>
    </row>
    <row r="791" customFormat="false" ht="15" hidden="false" customHeight="true" outlineLevel="0" collapsed="false">
      <c r="A791" s="1" t="s">
        <v>681</v>
      </c>
      <c r="B791" s="1" t="s">
        <v>464</v>
      </c>
      <c r="C791" s="1" t="s">
        <v>478</v>
      </c>
      <c r="D791" s="1" t="s">
        <v>285</v>
      </c>
      <c r="E791" s="82" t="n">
        <v>0</v>
      </c>
      <c r="F791" s="26" t="n">
        <v>0</v>
      </c>
      <c r="G791" s="26" t="n">
        <v>0</v>
      </c>
      <c r="H791" s="1" t="s">
        <v>477</v>
      </c>
    </row>
    <row r="792" customFormat="false" ht="15" hidden="false" customHeight="true" outlineLevel="0" collapsed="false">
      <c r="A792" s="1" t="s">
        <v>681</v>
      </c>
      <c r="B792" s="1" t="s">
        <v>464</v>
      </c>
      <c r="C792" s="1" t="s">
        <v>519</v>
      </c>
      <c r="D792" s="1" t="s">
        <v>285</v>
      </c>
      <c r="E792" s="82" t="n">
        <v>-1</v>
      </c>
      <c r="F792" s="26" t="n">
        <v>519.806923076923</v>
      </c>
      <c r="G792" s="26" t="n">
        <v>-519.806923076923</v>
      </c>
      <c r="H792" s="1" t="s">
        <v>683</v>
      </c>
    </row>
    <row r="793" customFormat="false" ht="15" hidden="false" customHeight="true" outlineLevel="0" collapsed="false">
      <c r="A793" s="1" t="s">
        <v>681</v>
      </c>
      <c r="B793" s="1" t="s">
        <v>464</v>
      </c>
      <c r="C793" s="1" t="s">
        <v>482</v>
      </c>
      <c r="D793" s="1" t="s">
        <v>282</v>
      </c>
      <c r="E793" s="82" t="n">
        <v>1</v>
      </c>
      <c r="F793" s="26" t="n">
        <v>25.5</v>
      </c>
      <c r="G793" s="26" t="n">
        <v>25.5</v>
      </c>
      <c r="H793" s="1" t="s">
        <v>606</v>
      </c>
    </row>
    <row r="794" customFormat="false" ht="15" hidden="false" customHeight="true" outlineLevel="0" collapsed="false">
      <c r="A794" s="1" t="s">
        <v>681</v>
      </c>
      <c r="B794" s="1" t="s">
        <v>464</v>
      </c>
      <c r="C794" s="1" t="s">
        <v>465</v>
      </c>
      <c r="D794" s="1" t="s">
        <v>282</v>
      </c>
      <c r="E794" s="82" t="n">
        <v>268</v>
      </c>
      <c r="F794" s="26" t="n">
        <v>1.86</v>
      </c>
      <c r="G794" s="26" t="n">
        <v>498.48</v>
      </c>
      <c r="H794" s="1" t="s">
        <v>466</v>
      </c>
    </row>
    <row r="795" customFormat="false" ht="15" hidden="false" customHeight="true" outlineLevel="0" collapsed="false">
      <c r="A795" s="1" t="s">
        <v>681</v>
      </c>
      <c r="B795" s="1" t="s">
        <v>464</v>
      </c>
      <c r="C795" s="1" t="s">
        <v>478</v>
      </c>
      <c r="D795" s="1" t="s">
        <v>282</v>
      </c>
      <c r="E795" s="82" t="n">
        <v>5</v>
      </c>
      <c r="F795" s="26" t="n">
        <v>221.785743509048</v>
      </c>
      <c r="G795" s="26" t="n">
        <v>1108.92871754524</v>
      </c>
      <c r="H795" s="1" t="s">
        <v>685</v>
      </c>
    </row>
    <row r="796" customFormat="false" ht="15" hidden="false" customHeight="true" outlineLevel="0" collapsed="false">
      <c r="A796" s="1" t="s">
        <v>681</v>
      </c>
      <c r="B796" s="1" t="s">
        <v>464</v>
      </c>
      <c r="C796" s="1" t="s">
        <v>523</v>
      </c>
      <c r="D796" s="1" t="s">
        <v>282</v>
      </c>
      <c r="E796" s="82" t="n">
        <v>0</v>
      </c>
      <c r="F796" s="26" t="n">
        <v>0</v>
      </c>
      <c r="G796" s="26" t="n">
        <v>0</v>
      </c>
    </row>
    <row r="797" customFormat="false" ht="15" hidden="false" customHeight="true" outlineLevel="0" collapsed="false">
      <c r="A797" s="1" t="s">
        <v>681</v>
      </c>
      <c r="B797" s="1" t="s">
        <v>464</v>
      </c>
      <c r="C797" s="1" t="s">
        <v>524</v>
      </c>
      <c r="D797" s="1" t="s">
        <v>282</v>
      </c>
      <c r="E797" s="82" t="n">
        <v>-8</v>
      </c>
      <c r="F797" s="26" t="n">
        <v>289.27</v>
      </c>
      <c r="G797" s="26" t="n">
        <v>-2314.16</v>
      </c>
      <c r="H797" s="1" t="s">
        <v>683</v>
      </c>
    </row>
    <row r="798" customFormat="false" ht="15" hidden="false" customHeight="true" outlineLevel="0" collapsed="false">
      <c r="A798" s="1" t="s">
        <v>681</v>
      </c>
      <c r="B798" s="1" t="s">
        <v>464</v>
      </c>
      <c r="C798" s="1" t="s">
        <v>668</v>
      </c>
      <c r="D798" s="1" t="s">
        <v>282</v>
      </c>
      <c r="E798" s="82" t="n">
        <v>0</v>
      </c>
      <c r="F798" s="26" t="n">
        <v>0</v>
      </c>
      <c r="G798" s="26" t="n">
        <v>0</v>
      </c>
      <c r="H798" s="1" t="s">
        <v>477</v>
      </c>
    </row>
    <row r="799" customFormat="false" ht="15" hidden="false" customHeight="true" outlineLevel="0" collapsed="false">
      <c r="A799" s="1" t="s">
        <v>681</v>
      </c>
      <c r="B799" s="1" t="s">
        <v>464</v>
      </c>
      <c r="C799" s="1" t="s">
        <v>526</v>
      </c>
      <c r="D799" s="1" t="s">
        <v>282</v>
      </c>
      <c r="E799" s="82" t="n">
        <v>0</v>
      </c>
      <c r="F799" s="26" t="n">
        <v>0</v>
      </c>
      <c r="G799" s="26" t="n">
        <v>0</v>
      </c>
    </row>
    <row r="800" customFormat="false" ht="15" hidden="false" customHeight="true" outlineLevel="0" collapsed="false">
      <c r="A800" s="1" t="s">
        <v>681</v>
      </c>
      <c r="B800" s="1" t="s">
        <v>143</v>
      </c>
      <c r="C800" s="1" t="s">
        <v>527</v>
      </c>
      <c r="D800" s="1" t="s">
        <v>287</v>
      </c>
      <c r="E800" s="82" t="n">
        <v>6588</v>
      </c>
      <c r="F800" s="26" t="n">
        <v>0.2</v>
      </c>
      <c r="G800" s="26" t="n">
        <v>1317.6</v>
      </c>
      <c r="H800" s="1" t="s">
        <v>451</v>
      </c>
    </row>
    <row r="801" customFormat="false" ht="15" hidden="false" customHeight="true" outlineLevel="0" collapsed="false">
      <c r="A801" s="1" t="s">
        <v>681</v>
      </c>
      <c r="B801" s="1" t="s">
        <v>143</v>
      </c>
      <c r="C801" s="1" t="s">
        <v>527</v>
      </c>
      <c r="D801" s="1" t="s">
        <v>289</v>
      </c>
      <c r="E801" s="82" t="n">
        <v>13530</v>
      </c>
      <c r="F801" s="26" t="n">
        <v>0.2</v>
      </c>
      <c r="G801" s="26" t="n">
        <v>2706</v>
      </c>
      <c r="H801" s="1" t="s">
        <v>451</v>
      </c>
    </row>
    <row r="802" customFormat="false" ht="15" hidden="false" customHeight="true" outlineLevel="0" collapsed="false">
      <c r="A802" s="1" t="s">
        <v>681</v>
      </c>
      <c r="B802" s="1" t="s">
        <v>143</v>
      </c>
      <c r="C802" s="1" t="s">
        <v>527</v>
      </c>
      <c r="D802" s="1" t="s">
        <v>293</v>
      </c>
      <c r="E802" s="82" t="n">
        <v>3765</v>
      </c>
      <c r="F802" s="26" t="n">
        <v>0.2</v>
      </c>
      <c r="G802" s="26" t="n">
        <v>753</v>
      </c>
      <c r="H802" s="1" t="s">
        <v>451</v>
      </c>
    </row>
    <row r="803" customFormat="false" ht="15" hidden="false" customHeight="true" outlineLevel="0" collapsed="false">
      <c r="A803" s="1" t="s">
        <v>681</v>
      </c>
      <c r="B803" s="1" t="s">
        <v>143</v>
      </c>
      <c r="C803" s="1" t="s">
        <v>527</v>
      </c>
      <c r="D803" s="1" t="s">
        <v>290</v>
      </c>
      <c r="E803" s="82" t="n">
        <v>6568</v>
      </c>
      <c r="F803" s="26" t="n">
        <v>0.2</v>
      </c>
      <c r="G803" s="26" t="n">
        <v>1313.6</v>
      </c>
      <c r="H803" s="1" t="s">
        <v>451</v>
      </c>
    </row>
    <row r="804" customFormat="false" ht="15" hidden="false" customHeight="true" outlineLevel="0" collapsed="false">
      <c r="A804" s="1" t="s">
        <v>681</v>
      </c>
      <c r="B804" s="1" t="s">
        <v>143</v>
      </c>
      <c r="C804" s="1" t="s">
        <v>527</v>
      </c>
      <c r="D804" s="1" t="s">
        <v>284</v>
      </c>
      <c r="E804" s="82" t="n">
        <v>14689</v>
      </c>
      <c r="F804" s="26" t="n">
        <v>0.2</v>
      </c>
      <c r="G804" s="26" t="n">
        <v>2937.8</v>
      </c>
      <c r="H804" s="1" t="s">
        <v>451</v>
      </c>
    </row>
    <row r="805" customFormat="false" ht="15" hidden="false" customHeight="true" outlineLevel="0" collapsed="false">
      <c r="A805" s="1" t="s">
        <v>681</v>
      </c>
      <c r="B805" s="1" t="s">
        <v>143</v>
      </c>
      <c r="C805" s="1" t="s">
        <v>527</v>
      </c>
      <c r="D805" s="1" t="s">
        <v>285</v>
      </c>
      <c r="E805" s="82" t="n">
        <v>4805</v>
      </c>
      <c r="F805" s="26" t="n">
        <v>0.2</v>
      </c>
      <c r="G805" s="26" t="n">
        <v>961</v>
      </c>
      <c r="H805" s="1" t="s">
        <v>451</v>
      </c>
    </row>
    <row r="806" customFormat="false" ht="15" hidden="false" customHeight="true" outlineLevel="0" collapsed="false">
      <c r="A806" s="1" t="s">
        <v>681</v>
      </c>
      <c r="B806" s="1" t="s">
        <v>143</v>
      </c>
      <c r="C806" s="1" t="s">
        <v>527</v>
      </c>
      <c r="D806" s="1" t="s">
        <v>282</v>
      </c>
      <c r="E806" s="82" t="n">
        <v>4806</v>
      </c>
      <c r="F806" s="26" t="n">
        <v>0.2</v>
      </c>
      <c r="G806" s="26" t="n">
        <v>961.2</v>
      </c>
      <c r="H806" s="1" t="s">
        <v>451</v>
      </c>
    </row>
    <row r="807" customFormat="false" ht="15" hidden="false" customHeight="true" outlineLevel="0" collapsed="false">
      <c r="A807" s="1" t="s">
        <v>681</v>
      </c>
      <c r="B807" s="1" t="s">
        <v>141</v>
      </c>
      <c r="C807" s="1" t="s">
        <v>528</v>
      </c>
      <c r="D807" s="1" t="s">
        <v>289</v>
      </c>
      <c r="E807" s="82" t="n">
        <v>13530</v>
      </c>
      <c r="F807" s="26" t="n">
        <v>0.101057218436555</v>
      </c>
      <c r="G807" s="26" t="n">
        <v>1367.304165</v>
      </c>
      <c r="H807" s="1" t="s">
        <v>451</v>
      </c>
    </row>
    <row r="808" customFormat="false" ht="15" hidden="false" customHeight="true" outlineLevel="0" collapsed="false">
      <c r="A808" s="1" t="s">
        <v>681</v>
      </c>
      <c r="B808" s="1" t="s">
        <v>45</v>
      </c>
      <c r="C808" s="1" t="s">
        <v>529</v>
      </c>
      <c r="D808" s="1" t="s">
        <v>287</v>
      </c>
      <c r="E808" s="82" t="n">
        <v>1579</v>
      </c>
      <c r="F808" s="26" t="n">
        <v>7.19</v>
      </c>
      <c r="G808" s="26" t="n">
        <v>11353.01</v>
      </c>
      <c r="H808" s="1" t="s">
        <v>530</v>
      </c>
    </row>
    <row r="809" customFormat="false" ht="15" hidden="false" customHeight="true" outlineLevel="0" collapsed="false">
      <c r="A809" s="1" t="s">
        <v>681</v>
      </c>
      <c r="B809" s="1" t="s">
        <v>45</v>
      </c>
      <c r="C809" s="1" t="s">
        <v>529</v>
      </c>
      <c r="D809" s="1" t="s">
        <v>293</v>
      </c>
      <c r="E809" s="82" t="n">
        <v>469</v>
      </c>
      <c r="F809" s="26" t="n">
        <v>7.19</v>
      </c>
      <c r="G809" s="26" t="n">
        <v>3372.11</v>
      </c>
      <c r="H809" s="1" t="s">
        <v>530</v>
      </c>
    </row>
    <row r="810" customFormat="false" ht="15" hidden="false" customHeight="true" outlineLevel="0" collapsed="false">
      <c r="A810" s="1" t="s">
        <v>681</v>
      </c>
      <c r="B810" s="1" t="s">
        <v>45</v>
      </c>
      <c r="C810" s="1" t="s">
        <v>529</v>
      </c>
      <c r="D810" s="1" t="s">
        <v>290</v>
      </c>
      <c r="E810" s="82" t="n">
        <v>727</v>
      </c>
      <c r="F810" s="26" t="n">
        <v>7.20444291609354</v>
      </c>
      <c r="G810" s="26" t="n">
        <v>5237.63</v>
      </c>
      <c r="H810" s="1" t="s">
        <v>530</v>
      </c>
    </row>
    <row r="811" customFormat="false" ht="15" hidden="false" customHeight="true" outlineLevel="0" collapsed="false">
      <c r="A811" s="1" t="s">
        <v>681</v>
      </c>
      <c r="B811" s="1" t="s">
        <v>45</v>
      </c>
      <c r="C811" s="1" t="s">
        <v>529</v>
      </c>
      <c r="D811" s="1" t="s">
        <v>284</v>
      </c>
      <c r="E811" s="82" t="n">
        <v>2981</v>
      </c>
      <c r="F811" s="26" t="n">
        <v>7.19</v>
      </c>
      <c r="G811" s="26" t="n">
        <v>21433.39</v>
      </c>
      <c r="H811" s="1" t="s">
        <v>530</v>
      </c>
    </row>
    <row r="812" customFormat="false" ht="15" hidden="false" customHeight="true" outlineLevel="0" collapsed="false">
      <c r="A812" s="1" t="s">
        <v>681</v>
      </c>
      <c r="B812" s="1" t="s">
        <v>45</v>
      </c>
      <c r="C812" s="1" t="s">
        <v>529</v>
      </c>
      <c r="D812" s="1" t="s">
        <v>285</v>
      </c>
      <c r="E812" s="82" t="n">
        <v>2548</v>
      </c>
      <c r="F812" s="26" t="n">
        <v>7.19859497645212</v>
      </c>
      <c r="G812" s="26" t="n">
        <v>18342.02</v>
      </c>
      <c r="H812" s="1" t="s">
        <v>530</v>
      </c>
    </row>
    <row r="813" customFormat="false" ht="15" hidden="false" customHeight="true" outlineLevel="0" collapsed="false">
      <c r="A813" s="1" t="s">
        <v>681</v>
      </c>
      <c r="B813" s="1" t="s">
        <v>45</v>
      </c>
      <c r="C813" s="1" t="s">
        <v>531</v>
      </c>
      <c r="D813" s="1" t="s">
        <v>282</v>
      </c>
      <c r="E813" s="82" t="n">
        <v>0</v>
      </c>
      <c r="F813" s="26" t="n">
        <v>0</v>
      </c>
      <c r="G813" s="26" t="n">
        <v>0</v>
      </c>
      <c r="H813" s="1" t="s">
        <v>532</v>
      </c>
    </row>
    <row r="814" customFormat="false" ht="15" hidden="false" customHeight="true" outlineLevel="0" collapsed="false">
      <c r="A814" s="1" t="s">
        <v>681</v>
      </c>
      <c r="B814" s="1" t="s">
        <v>45</v>
      </c>
      <c r="C814" s="1" t="s">
        <v>529</v>
      </c>
      <c r="D814" s="1" t="s">
        <v>282</v>
      </c>
      <c r="E814" s="82" t="n">
        <v>1</v>
      </c>
      <c r="F814" s="26" t="n">
        <v>800</v>
      </c>
      <c r="G814" s="26" t="n">
        <v>800</v>
      </c>
      <c r="H814" s="1" t="s">
        <v>530</v>
      </c>
    </row>
    <row r="815" customFormat="false" ht="15" hidden="false" customHeight="true" outlineLevel="0" collapsed="false">
      <c r="A815" s="1" t="s">
        <v>681</v>
      </c>
      <c r="B815" s="1" t="s">
        <v>50</v>
      </c>
      <c r="C815" s="1" t="s">
        <v>533</v>
      </c>
      <c r="D815" s="1" t="s">
        <v>287</v>
      </c>
      <c r="E815" s="82" t="n">
        <v>0</v>
      </c>
      <c r="F815" s="26" t="n">
        <v>0</v>
      </c>
      <c r="G815" s="26" t="n">
        <v>0</v>
      </c>
      <c r="H815" s="1" t="s">
        <v>534</v>
      </c>
    </row>
    <row r="816" customFormat="false" ht="15" hidden="false" customHeight="true" outlineLevel="0" collapsed="false">
      <c r="A816" s="1" t="s">
        <v>681</v>
      </c>
      <c r="B816" s="1" t="s">
        <v>50</v>
      </c>
      <c r="C816" s="1" t="s">
        <v>533</v>
      </c>
      <c r="D816" s="1" t="s">
        <v>293</v>
      </c>
      <c r="E816" s="82" t="n">
        <v>0</v>
      </c>
      <c r="F816" s="26" t="n">
        <v>0</v>
      </c>
      <c r="G816" s="26" t="n">
        <v>0</v>
      </c>
      <c r="H816" s="1" t="s">
        <v>534</v>
      </c>
    </row>
    <row r="817" customFormat="false" ht="15" hidden="false" customHeight="true" outlineLevel="0" collapsed="false">
      <c r="A817" s="1" t="s">
        <v>681</v>
      </c>
      <c r="B817" s="1" t="s">
        <v>50</v>
      </c>
      <c r="C817" s="1" t="s">
        <v>533</v>
      </c>
      <c r="D817" s="1" t="s">
        <v>290</v>
      </c>
      <c r="E817" s="82" t="n">
        <v>0</v>
      </c>
      <c r="F817" s="26" t="n">
        <v>0</v>
      </c>
      <c r="G817" s="26" t="n">
        <v>0</v>
      </c>
      <c r="H817" s="1" t="s">
        <v>535</v>
      </c>
    </row>
    <row r="818" customFormat="false" ht="15" hidden="false" customHeight="true" outlineLevel="0" collapsed="false">
      <c r="A818" s="1" t="s">
        <v>681</v>
      </c>
      <c r="B818" s="1" t="s">
        <v>50</v>
      </c>
      <c r="C818" s="1" t="s">
        <v>533</v>
      </c>
      <c r="D818" s="1" t="s">
        <v>284</v>
      </c>
      <c r="E818" s="82" t="n">
        <v>0</v>
      </c>
      <c r="F818" s="26" t="n">
        <v>0</v>
      </c>
      <c r="G818" s="26" t="n">
        <v>0</v>
      </c>
      <c r="H818" s="1" t="s">
        <v>536</v>
      </c>
    </row>
    <row r="819" customFormat="false" ht="15" hidden="false" customHeight="true" outlineLevel="0" collapsed="false">
      <c r="A819" s="1" t="s">
        <v>681</v>
      </c>
      <c r="B819" s="1" t="s">
        <v>50</v>
      </c>
      <c r="C819" s="1" t="s">
        <v>533</v>
      </c>
      <c r="D819" s="1" t="s">
        <v>285</v>
      </c>
      <c r="E819" s="82" t="n">
        <v>0</v>
      </c>
      <c r="F819" s="26" t="n">
        <v>0</v>
      </c>
      <c r="G819" s="26" t="n">
        <v>0</v>
      </c>
      <c r="H819" s="1" t="s">
        <v>534</v>
      </c>
    </row>
    <row r="820" customFormat="false" ht="15" hidden="false" customHeight="true" outlineLevel="0" collapsed="false">
      <c r="A820" s="1" t="s">
        <v>681</v>
      </c>
      <c r="B820" s="1" t="s">
        <v>50</v>
      </c>
      <c r="C820" s="1" t="s">
        <v>533</v>
      </c>
      <c r="D820" s="1" t="s">
        <v>282</v>
      </c>
      <c r="E820" s="82" t="n">
        <v>0</v>
      </c>
      <c r="F820" s="26" t="n">
        <v>0</v>
      </c>
      <c r="G820" s="26" t="n">
        <v>0</v>
      </c>
      <c r="H820" s="1" t="s">
        <v>534</v>
      </c>
    </row>
    <row r="821" customFormat="false" ht="15" hidden="false" customHeight="true" outlineLevel="0" collapsed="false">
      <c r="A821" s="1" t="s">
        <v>681</v>
      </c>
      <c r="B821" s="1" t="s">
        <v>537</v>
      </c>
      <c r="C821" s="1" t="s">
        <v>538</v>
      </c>
      <c r="D821" s="1" t="s">
        <v>287</v>
      </c>
      <c r="E821" s="82" t="n">
        <v>0</v>
      </c>
      <c r="F821" s="26" t="n">
        <v>0</v>
      </c>
      <c r="G821" s="26" t="n">
        <v>0</v>
      </c>
      <c r="H821" s="1" t="s">
        <v>539</v>
      </c>
    </row>
    <row r="822" customFormat="false" ht="15" hidden="false" customHeight="true" outlineLevel="0" collapsed="false">
      <c r="A822" s="1" t="s">
        <v>681</v>
      </c>
      <c r="B822" s="1" t="s">
        <v>537</v>
      </c>
      <c r="C822" s="1" t="s">
        <v>540</v>
      </c>
      <c r="D822" s="1" t="s">
        <v>287</v>
      </c>
      <c r="E822" s="82" t="n">
        <v>0</v>
      </c>
      <c r="F822" s="26" t="n">
        <v>0</v>
      </c>
      <c r="G822" s="26" t="n">
        <v>0</v>
      </c>
      <c r="H822" s="1" t="s">
        <v>541</v>
      </c>
    </row>
    <row r="823" customFormat="false" ht="15" hidden="false" customHeight="true" outlineLevel="0" collapsed="false">
      <c r="A823" s="1" t="s">
        <v>681</v>
      </c>
      <c r="B823" s="1" t="s">
        <v>537</v>
      </c>
      <c r="C823" s="1" t="s">
        <v>542</v>
      </c>
      <c r="D823" s="1" t="s">
        <v>287</v>
      </c>
      <c r="E823" s="82" t="n">
        <v>10</v>
      </c>
      <c r="F823" s="26" t="n">
        <v>20</v>
      </c>
      <c r="G823" s="26" t="n">
        <v>200</v>
      </c>
      <c r="H823" s="1" t="s">
        <v>543</v>
      </c>
    </row>
    <row r="824" customFormat="false" ht="15" hidden="false" customHeight="true" outlineLevel="0" collapsed="false">
      <c r="A824" s="1" t="s">
        <v>681</v>
      </c>
      <c r="B824" s="1" t="s">
        <v>537</v>
      </c>
      <c r="C824" s="1" t="s">
        <v>544</v>
      </c>
      <c r="D824" s="1" t="s">
        <v>287</v>
      </c>
      <c r="E824" s="82" t="n">
        <v>1</v>
      </c>
      <c r="F824" s="26" t="n">
        <v>927.69</v>
      </c>
      <c r="G824" s="26" t="n">
        <v>927.69</v>
      </c>
      <c r="H824" s="1" t="s">
        <v>686</v>
      </c>
    </row>
    <row r="825" customFormat="false" ht="15" hidden="false" customHeight="true" outlineLevel="0" collapsed="false">
      <c r="A825" s="1" t="s">
        <v>681</v>
      </c>
      <c r="B825" s="1" t="s">
        <v>537</v>
      </c>
      <c r="C825" s="1" t="s">
        <v>546</v>
      </c>
      <c r="D825" s="1" t="s">
        <v>287</v>
      </c>
      <c r="E825" s="82" t="n">
        <v>1</v>
      </c>
      <c r="F825" s="26" t="n">
        <v>480</v>
      </c>
      <c r="G825" s="26" t="n">
        <v>480</v>
      </c>
      <c r="H825" s="1" t="s">
        <v>547</v>
      </c>
    </row>
    <row r="826" customFormat="false" ht="15" hidden="false" customHeight="true" outlineLevel="0" collapsed="false">
      <c r="A826" s="1" t="s">
        <v>681</v>
      </c>
      <c r="B826" s="1" t="s">
        <v>537</v>
      </c>
      <c r="C826" s="1" t="s">
        <v>544</v>
      </c>
      <c r="D826" s="1" t="s">
        <v>289</v>
      </c>
      <c r="E826" s="82" t="n">
        <v>0</v>
      </c>
      <c r="F826" s="26" t="n">
        <v>0</v>
      </c>
      <c r="G826" s="26" t="n">
        <v>0</v>
      </c>
      <c r="H826" s="1" t="s">
        <v>545</v>
      </c>
    </row>
    <row r="827" customFormat="false" ht="15" hidden="false" customHeight="true" outlineLevel="0" collapsed="false">
      <c r="A827" s="1" t="s">
        <v>681</v>
      </c>
      <c r="B827" s="1" t="s">
        <v>537</v>
      </c>
      <c r="C827" s="1" t="s">
        <v>542</v>
      </c>
      <c r="D827" s="1" t="s">
        <v>293</v>
      </c>
      <c r="E827" s="82" t="n">
        <v>3</v>
      </c>
      <c r="F827" s="26" t="n">
        <v>20</v>
      </c>
      <c r="G827" s="26" t="n">
        <v>60</v>
      </c>
      <c r="H827" s="1" t="s">
        <v>543</v>
      </c>
    </row>
    <row r="828" customFormat="false" ht="15" hidden="false" customHeight="true" outlineLevel="0" collapsed="false">
      <c r="A828" s="1" t="s">
        <v>681</v>
      </c>
      <c r="B828" s="1" t="s">
        <v>537</v>
      </c>
      <c r="C828" s="1" t="s">
        <v>544</v>
      </c>
      <c r="D828" s="1" t="s">
        <v>293</v>
      </c>
      <c r="E828" s="82" t="n">
        <v>0</v>
      </c>
      <c r="F828" s="26" t="n">
        <v>0</v>
      </c>
      <c r="G828" s="26" t="n">
        <v>0</v>
      </c>
      <c r="H828" s="1" t="s">
        <v>686</v>
      </c>
    </row>
    <row r="829" customFormat="false" ht="15" hidden="false" customHeight="true" outlineLevel="0" collapsed="false">
      <c r="A829" s="1" t="s">
        <v>681</v>
      </c>
      <c r="B829" s="1" t="s">
        <v>537</v>
      </c>
      <c r="C829" s="1" t="s">
        <v>546</v>
      </c>
      <c r="D829" s="1" t="s">
        <v>293</v>
      </c>
      <c r="E829" s="82" t="n">
        <v>0</v>
      </c>
      <c r="F829" s="26" t="n">
        <v>0</v>
      </c>
      <c r="G829" s="26" t="n">
        <v>0</v>
      </c>
      <c r="H829" s="1" t="s">
        <v>547</v>
      </c>
    </row>
    <row r="830" customFormat="false" ht="15" hidden="false" customHeight="true" outlineLevel="0" collapsed="false">
      <c r="A830" s="1" t="s">
        <v>681</v>
      </c>
      <c r="B830" s="1" t="s">
        <v>537</v>
      </c>
      <c r="C830" s="1" t="s">
        <v>538</v>
      </c>
      <c r="D830" s="1" t="s">
        <v>290</v>
      </c>
      <c r="E830" s="82" t="n">
        <v>0</v>
      </c>
      <c r="F830" s="26" t="n">
        <v>0</v>
      </c>
      <c r="G830" s="26" t="n">
        <v>0</v>
      </c>
      <c r="H830" s="1" t="s">
        <v>548</v>
      </c>
    </row>
    <row r="831" customFormat="false" ht="15" hidden="false" customHeight="true" outlineLevel="0" collapsed="false">
      <c r="A831" s="1" t="s">
        <v>681</v>
      </c>
      <c r="B831" s="1" t="s">
        <v>537</v>
      </c>
      <c r="C831" s="1" t="s">
        <v>540</v>
      </c>
      <c r="D831" s="1" t="s">
        <v>290</v>
      </c>
      <c r="E831" s="82" t="n">
        <v>0</v>
      </c>
      <c r="F831" s="26" t="n">
        <v>0</v>
      </c>
      <c r="G831" s="26" t="n">
        <v>0</v>
      </c>
      <c r="H831" s="1" t="s">
        <v>549</v>
      </c>
    </row>
    <row r="832" customFormat="false" ht="15" hidden="false" customHeight="true" outlineLevel="0" collapsed="false">
      <c r="A832" s="1" t="s">
        <v>681</v>
      </c>
      <c r="B832" s="1" t="s">
        <v>537</v>
      </c>
      <c r="C832" s="1" t="s">
        <v>542</v>
      </c>
      <c r="D832" s="1" t="s">
        <v>290</v>
      </c>
      <c r="E832" s="82" t="n">
        <v>13</v>
      </c>
      <c r="F832" s="26" t="n">
        <v>20</v>
      </c>
      <c r="G832" s="26" t="n">
        <v>260</v>
      </c>
      <c r="H832" s="1" t="s">
        <v>543</v>
      </c>
    </row>
    <row r="833" customFormat="false" ht="15" hidden="false" customHeight="true" outlineLevel="0" collapsed="false">
      <c r="A833" s="1" t="s">
        <v>681</v>
      </c>
      <c r="B833" s="1" t="s">
        <v>537</v>
      </c>
      <c r="C833" s="1" t="s">
        <v>544</v>
      </c>
      <c r="D833" s="1" t="s">
        <v>290</v>
      </c>
      <c r="E833" s="82" t="n">
        <v>1</v>
      </c>
      <c r="F833" s="26" t="n">
        <v>1454.08</v>
      </c>
      <c r="G833" s="26" t="n">
        <v>1454.08</v>
      </c>
      <c r="H833" s="1" t="s">
        <v>686</v>
      </c>
    </row>
    <row r="834" customFormat="false" ht="15" hidden="false" customHeight="true" outlineLevel="0" collapsed="false">
      <c r="A834" s="1" t="s">
        <v>681</v>
      </c>
      <c r="B834" s="1" t="s">
        <v>537</v>
      </c>
      <c r="C834" s="1" t="s">
        <v>546</v>
      </c>
      <c r="D834" s="1" t="s">
        <v>290</v>
      </c>
      <c r="E834" s="82" t="n">
        <v>1</v>
      </c>
      <c r="F834" s="26" t="n">
        <v>456</v>
      </c>
      <c r="G834" s="26" t="n">
        <v>456</v>
      </c>
      <c r="H834" s="1" t="s">
        <v>547</v>
      </c>
    </row>
    <row r="835" customFormat="false" ht="15" hidden="false" customHeight="true" outlineLevel="0" collapsed="false">
      <c r="A835" s="1" t="s">
        <v>681</v>
      </c>
      <c r="B835" s="1" t="s">
        <v>537</v>
      </c>
      <c r="C835" s="1" t="s">
        <v>542</v>
      </c>
      <c r="D835" s="1" t="s">
        <v>284</v>
      </c>
      <c r="E835" s="82" t="n">
        <v>19</v>
      </c>
      <c r="F835" s="26" t="n">
        <v>20</v>
      </c>
      <c r="G835" s="26" t="n">
        <v>380</v>
      </c>
      <c r="H835" s="1" t="s">
        <v>543</v>
      </c>
    </row>
    <row r="836" customFormat="false" ht="15" hidden="false" customHeight="true" outlineLevel="0" collapsed="false">
      <c r="A836" s="1" t="s">
        <v>681</v>
      </c>
      <c r="B836" s="1" t="s">
        <v>537</v>
      </c>
      <c r="C836" s="1" t="s">
        <v>544</v>
      </c>
      <c r="D836" s="1" t="s">
        <v>284</v>
      </c>
      <c r="E836" s="82" t="n">
        <v>1</v>
      </c>
      <c r="F836" s="26" t="n">
        <v>1598.23</v>
      </c>
      <c r="G836" s="26" t="n">
        <v>1598.23</v>
      </c>
      <c r="H836" s="1" t="s">
        <v>686</v>
      </c>
    </row>
    <row r="837" customFormat="false" ht="15" hidden="false" customHeight="true" outlineLevel="0" collapsed="false">
      <c r="A837" s="1" t="s">
        <v>681</v>
      </c>
      <c r="B837" s="1" t="s">
        <v>537</v>
      </c>
      <c r="C837" s="1" t="s">
        <v>551</v>
      </c>
      <c r="D837" s="1" t="s">
        <v>284</v>
      </c>
      <c r="E837" s="82" t="n">
        <v>0</v>
      </c>
      <c r="F837" s="26" t="n">
        <v>0</v>
      </c>
      <c r="G837" s="26" t="n">
        <v>0</v>
      </c>
      <c r="H837" s="1" t="s">
        <v>686</v>
      </c>
    </row>
    <row r="838" customFormat="false" ht="15" hidden="false" customHeight="true" outlineLevel="0" collapsed="false">
      <c r="A838" s="1" t="s">
        <v>681</v>
      </c>
      <c r="B838" s="1" t="s">
        <v>537</v>
      </c>
      <c r="C838" s="1" t="s">
        <v>550</v>
      </c>
      <c r="D838" s="1" t="s">
        <v>285</v>
      </c>
      <c r="E838" s="82" t="n">
        <v>0</v>
      </c>
      <c r="F838" s="26" t="n">
        <v>0</v>
      </c>
      <c r="G838" s="26" t="n">
        <v>0</v>
      </c>
      <c r="H838" s="1" t="s">
        <v>552</v>
      </c>
    </row>
    <row r="839" customFormat="false" ht="15" hidden="false" customHeight="true" outlineLevel="0" collapsed="false">
      <c r="A839" s="1" t="s">
        <v>681</v>
      </c>
      <c r="B839" s="1" t="s">
        <v>537</v>
      </c>
      <c r="C839" s="1" t="s">
        <v>542</v>
      </c>
      <c r="D839" s="1" t="s">
        <v>285</v>
      </c>
      <c r="E839" s="82" t="n">
        <v>4</v>
      </c>
      <c r="F839" s="26" t="n">
        <v>20</v>
      </c>
      <c r="G839" s="26" t="n">
        <v>80</v>
      </c>
      <c r="H839" s="1" t="s">
        <v>543</v>
      </c>
    </row>
    <row r="840" customFormat="false" ht="15" hidden="false" customHeight="true" outlineLevel="0" collapsed="false">
      <c r="A840" s="1" t="s">
        <v>681</v>
      </c>
      <c r="B840" s="1" t="s">
        <v>537</v>
      </c>
      <c r="C840" s="1" t="s">
        <v>544</v>
      </c>
      <c r="D840" s="1" t="s">
        <v>285</v>
      </c>
      <c r="E840" s="82" t="n">
        <v>1</v>
      </c>
      <c r="F840" s="26" t="n">
        <v>415.62</v>
      </c>
      <c r="G840" s="26" t="n">
        <v>415.62</v>
      </c>
      <c r="H840" s="1" t="s">
        <v>686</v>
      </c>
    </row>
    <row r="841" customFormat="false" ht="15" hidden="false" customHeight="true" outlineLevel="0" collapsed="false">
      <c r="A841" s="1" t="s">
        <v>681</v>
      </c>
      <c r="B841" s="1" t="s">
        <v>537</v>
      </c>
      <c r="C841" s="1" t="s">
        <v>551</v>
      </c>
      <c r="D841" s="1" t="s">
        <v>285</v>
      </c>
      <c r="E841" s="82" t="n">
        <v>1</v>
      </c>
      <c r="F841" s="26" t="n">
        <v>108</v>
      </c>
      <c r="G841" s="26" t="n">
        <v>108</v>
      </c>
      <c r="H841" s="1" t="s">
        <v>547</v>
      </c>
    </row>
    <row r="842" customFormat="false" ht="15" hidden="false" customHeight="true" outlineLevel="0" collapsed="false">
      <c r="A842" s="1" t="s">
        <v>681</v>
      </c>
      <c r="B842" s="1" t="s">
        <v>537</v>
      </c>
      <c r="C842" s="1" t="s">
        <v>538</v>
      </c>
      <c r="D842" s="1" t="s">
        <v>282</v>
      </c>
      <c r="E842" s="82" t="n">
        <v>0</v>
      </c>
      <c r="F842" s="26" t="n">
        <v>0</v>
      </c>
      <c r="G842" s="26" t="n">
        <v>0</v>
      </c>
      <c r="H842" s="1" t="s">
        <v>553</v>
      </c>
    </row>
    <row r="843" customFormat="false" ht="15" hidden="false" customHeight="true" outlineLevel="0" collapsed="false">
      <c r="A843" s="1" t="s">
        <v>681</v>
      </c>
      <c r="B843" s="1" t="s">
        <v>537</v>
      </c>
      <c r="C843" s="1" t="s">
        <v>542</v>
      </c>
      <c r="D843" s="1" t="s">
        <v>282</v>
      </c>
      <c r="E843" s="82" t="n">
        <v>8</v>
      </c>
      <c r="F843" s="26" t="n">
        <v>20</v>
      </c>
      <c r="G843" s="26" t="n">
        <v>160</v>
      </c>
      <c r="H843" s="1" t="s">
        <v>543</v>
      </c>
    </row>
    <row r="844" customFormat="false" ht="15" hidden="false" customHeight="true" outlineLevel="0" collapsed="false">
      <c r="A844" s="1" t="s">
        <v>681</v>
      </c>
      <c r="B844" s="1" t="s">
        <v>537</v>
      </c>
      <c r="C844" s="1" t="s">
        <v>544</v>
      </c>
      <c r="D844" s="1" t="s">
        <v>282</v>
      </c>
      <c r="E844" s="82" t="n">
        <v>1</v>
      </c>
      <c r="F844" s="26" t="n">
        <v>468.01</v>
      </c>
      <c r="G844" s="26" t="n">
        <v>468.01</v>
      </c>
      <c r="H844" s="1" t="s">
        <v>544</v>
      </c>
    </row>
    <row r="845" customFormat="false" ht="15" hidden="false" customHeight="true" outlineLevel="0" collapsed="false">
      <c r="A845" s="1" t="s">
        <v>681</v>
      </c>
      <c r="B845" s="1" t="s">
        <v>537</v>
      </c>
      <c r="C845" s="1" t="s">
        <v>546</v>
      </c>
      <c r="D845" s="1" t="s">
        <v>282</v>
      </c>
      <c r="E845" s="82" t="n">
        <v>1</v>
      </c>
      <c r="F845" s="26" t="n">
        <v>72</v>
      </c>
      <c r="G845" s="26" t="n">
        <v>72</v>
      </c>
      <c r="H845" s="1" t="s">
        <v>547</v>
      </c>
    </row>
    <row r="846" customFormat="false" ht="15" hidden="false" customHeight="true" outlineLevel="0" collapsed="false">
      <c r="A846" s="1" t="s">
        <v>681</v>
      </c>
      <c r="B846" s="1" t="s">
        <v>554</v>
      </c>
      <c r="C846" s="1" t="s">
        <v>673</v>
      </c>
      <c r="D846" s="1" t="s">
        <v>287</v>
      </c>
      <c r="E846" s="82" t="n">
        <v>0</v>
      </c>
      <c r="F846" s="26" t="n">
        <v>0</v>
      </c>
      <c r="G846" s="26" t="n">
        <v>0</v>
      </c>
      <c r="H846" s="1" t="s">
        <v>558</v>
      </c>
    </row>
    <row r="847" customFormat="false" ht="15" hidden="false" customHeight="true" outlineLevel="0" collapsed="false">
      <c r="A847" s="1" t="s">
        <v>681</v>
      </c>
      <c r="B847" s="1" t="s">
        <v>554</v>
      </c>
      <c r="C847" s="1" t="s">
        <v>555</v>
      </c>
      <c r="D847" s="1" t="s">
        <v>287</v>
      </c>
      <c r="E847" s="82" t="n">
        <v>0</v>
      </c>
      <c r="F847" s="26" t="n">
        <v>0</v>
      </c>
      <c r="G847" s="26" t="n">
        <v>0</v>
      </c>
      <c r="H847" s="1" t="s">
        <v>556</v>
      </c>
    </row>
    <row r="848" customFormat="false" ht="15" hidden="false" customHeight="true" outlineLevel="0" collapsed="false">
      <c r="A848" s="1" t="s">
        <v>681</v>
      </c>
      <c r="B848" s="1" t="s">
        <v>554</v>
      </c>
      <c r="C848" s="1" t="s">
        <v>559</v>
      </c>
      <c r="D848" s="1" t="s">
        <v>287</v>
      </c>
      <c r="E848" s="82" t="n">
        <v>0</v>
      </c>
      <c r="F848" s="26" t="n">
        <v>0</v>
      </c>
      <c r="G848" s="26" t="n">
        <v>0</v>
      </c>
      <c r="H848" s="1" t="s">
        <v>560</v>
      </c>
    </row>
    <row r="849" customFormat="false" ht="15" hidden="false" customHeight="true" outlineLevel="0" collapsed="false">
      <c r="A849" s="1" t="s">
        <v>681</v>
      </c>
      <c r="B849" s="1" t="s">
        <v>554</v>
      </c>
      <c r="C849" s="1" t="s">
        <v>674</v>
      </c>
      <c r="D849" s="1" t="s">
        <v>287</v>
      </c>
      <c r="E849" s="82" t="n">
        <v>0</v>
      </c>
      <c r="F849" s="26" t="n">
        <v>0</v>
      </c>
      <c r="G849" s="26" t="n">
        <v>0</v>
      </c>
      <c r="H849" s="1" t="s">
        <v>562</v>
      </c>
    </row>
    <row r="850" customFormat="false" ht="15" hidden="false" customHeight="true" outlineLevel="0" collapsed="false">
      <c r="A850" s="1" t="s">
        <v>681</v>
      </c>
      <c r="B850" s="1" t="s">
        <v>554</v>
      </c>
      <c r="C850" s="1" t="s">
        <v>563</v>
      </c>
      <c r="D850" s="1" t="s">
        <v>289</v>
      </c>
      <c r="E850" s="82" t="n">
        <v>0</v>
      </c>
      <c r="F850" s="26" t="n">
        <v>0</v>
      </c>
      <c r="G850" s="26" t="n">
        <v>0</v>
      </c>
      <c r="H850" s="1" t="s">
        <v>564</v>
      </c>
    </row>
    <row r="851" customFormat="false" ht="15" hidden="false" customHeight="true" outlineLevel="0" collapsed="false">
      <c r="A851" s="1" t="s">
        <v>681</v>
      </c>
      <c r="B851" s="1" t="s">
        <v>554</v>
      </c>
      <c r="C851" s="1" t="s">
        <v>565</v>
      </c>
      <c r="D851" s="1" t="s">
        <v>289</v>
      </c>
      <c r="E851" s="82" t="n">
        <v>0</v>
      </c>
      <c r="F851" s="26" t="n">
        <v>0</v>
      </c>
      <c r="G851" s="26" t="n">
        <v>0</v>
      </c>
      <c r="H851" s="1" t="s">
        <v>566</v>
      </c>
    </row>
    <row r="852" customFormat="false" ht="15" hidden="false" customHeight="true" outlineLevel="0" collapsed="false">
      <c r="A852" s="1" t="s">
        <v>681</v>
      </c>
      <c r="B852" s="1" t="s">
        <v>554</v>
      </c>
      <c r="C852" s="1" t="s">
        <v>567</v>
      </c>
      <c r="D852" s="1" t="s">
        <v>293</v>
      </c>
      <c r="E852" s="82" t="n">
        <v>0</v>
      </c>
      <c r="F852" s="26" t="n">
        <v>0</v>
      </c>
      <c r="G852" s="26" t="n">
        <v>0</v>
      </c>
      <c r="H852" s="1" t="s">
        <v>568</v>
      </c>
    </row>
    <row r="853" customFormat="false" ht="15" hidden="false" customHeight="true" outlineLevel="0" collapsed="false">
      <c r="A853" s="1" t="s">
        <v>681</v>
      </c>
      <c r="B853" s="1" t="s">
        <v>554</v>
      </c>
      <c r="C853" s="1" t="s">
        <v>569</v>
      </c>
      <c r="D853" s="1" t="s">
        <v>293</v>
      </c>
      <c r="E853" s="82" t="n">
        <v>0</v>
      </c>
      <c r="F853" s="26" t="n">
        <v>0</v>
      </c>
      <c r="G853" s="26" t="n">
        <v>0</v>
      </c>
      <c r="H853" s="1" t="s">
        <v>570</v>
      </c>
    </row>
    <row r="854" customFormat="false" ht="15" hidden="false" customHeight="true" outlineLevel="0" collapsed="false">
      <c r="A854" s="1" t="s">
        <v>681</v>
      </c>
      <c r="B854" s="1" t="s">
        <v>554</v>
      </c>
      <c r="C854" s="1" t="s">
        <v>571</v>
      </c>
      <c r="D854" s="1" t="s">
        <v>293</v>
      </c>
      <c r="E854" s="82" t="n">
        <v>0</v>
      </c>
      <c r="F854" s="26" t="n">
        <v>0</v>
      </c>
      <c r="G854" s="26" t="n">
        <v>0</v>
      </c>
      <c r="H854" s="1" t="s">
        <v>564</v>
      </c>
    </row>
    <row r="855" customFormat="false" ht="15" hidden="false" customHeight="true" outlineLevel="0" collapsed="false">
      <c r="A855" s="1" t="s">
        <v>681</v>
      </c>
      <c r="B855" s="1" t="s">
        <v>554</v>
      </c>
      <c r="C855" s="1" t="s">
        <v>572</v>
      </c>
      <c r="D855" s="1" t="s">
        <v>293</v>
      </c>
      <c r="E855" s="82" t="n">
        <v>0</v>
      </c>
      <c r="F855" s="26" t="n">
        <v>0</v>
      </c>
      <c r="G855" s="26" t="n">
        <v>0</v>
      </c>
      <c r="H855" s="1" t="s">
        <v>573</v>
      </c>
    </row>
    <row r="856" customFormat="false" ht="15" hidden="false" customHeight="true" outlineLevel="0" collapsed="false">
      <c r="A856" s="1" t="s">
        <v>681</v>
      </c>
      <c r="B856" s="1" t="s">
        <v>554</v>
      </c>
      <c r="C856" s="1" t="s">
        <v>574</v>
      </c>
      <c r="D856" s="1" t="s">
        <v>293</v>
      </c>
      <c r="E856" s="82" t="n">
        <v>0</v>
      </c>
      <c r="F856" s="26" t="n">
        <v>0</v>
      </c>
      <c r="G856" s="26" t="n">
        <v>0</v>
      </c>
      <c r="H856" s="1" t="s">
        <v>573</v>
      </c>
    </row>
    <row r="857" customFormat="false" ht="15" hidden="false" customHeight="true" outlineLevel="0" collapsed="false">
      <c r="A857" s="1" t="s">
        <v>681</v>
      </c>
      <c r="B857" s="1" t="s">
        <v>554</v>
      </c>
      <c r="C857" s="1" t="s">
        <v>575</v>
      </c>
      <c r="D857" s="1" t="s">
        <v>293</v>
      </c>
      <c r="E857" s="82" t="n">
        <v>1</v>
      </c>
      <c r="F857" s="26" t="n">
        <v>3548.72</v>
      </c>
      <c r="G857" s="26" t="n">
        <v>3548.72</v>
      </c>
      <c r="H857" s="1" t="s">
        <v>576</v>
      </c>
    </row>
    <row r="858" customFormat="false" ht="15" hidden="false" customHeight="true" outlineLevel="0" collapsed="false">
      <c r="A858" s="1" t="s">
        <v>681</v>
      </c>
      <c r="B858" s="1" t="s">
        <v>554</v>
      </c>
      <c r="C858" s="1" t="s">
        <v>577</v>
      </c>
      <c r="D858" s="1" t="s">
        <v>290</v>
      </c>
      <c r="E858" s="82" t="n">
        <v>0</v>
      </c>
      <c r="F858" s="26" t="n">
        <v>0</v>
      </c>
      <c r="G858" s="26" t="n">
        <v>0</v>
      </c>
      <c r="H858" s="1" t="s">
        <v>564</v>
      </c>
    </row>
    <row r="859" customFormat="false" ht="15" hidden="false" customHeight="true" outlineLevel="0" collapsed="false">
      <c r="A859" s="1" t="s">
        <v>681</v>
      </c>
      <c r="B859" s="1" t="s">
        <v>554</v>
      </c>
      <c r="C859" s="1" t="s">
        <v>578</v>
      </c>
      <c r="D859" s="1" t="s">
        <v>290</v>
      </c>
      <c r="E859" s="82" t="n">
        <v>0</v>
      </c>
      <c r="F859" s="26" t="n">
        <v>0</v>
      </c>
      <c r="G859" s="26" t="n">
        <v>0</v>
      </c>
      <c r="H859" s="1" t="s">
        <v>579</v>
      </c>
    </row>
    <row r="860" customFormat="false" ht="15" hidden="false" customHeight="true" outlineLevel="0" collapsed="false">
      <c r="A860" s="1" t="s">
        <v>681</v>
      </c>
      <c r="B860" s="1" t="s">
        <v>554</v>
      </c>
      <c r="C860" s="1" t="s">
        <v>580</v>
      </c>
      <c r="D860" s="1" t="s">
        <v>284</v>
      </c>
      <c r="E860" s="82" t="n">
        <v>0</v>
      </c>
      <c r="F860" s="26" t="n">
        <v>0</v>
      </c>
      <c r="G860" s="26" t="n">
        <v>0</v>
      </c>
      <c r="H860" s="1" t="s">
        <v>581</v>
      </c>
    </row>
    <row r="861" customFormat="false" ht="15" hidden="false" customHeight="true" outlineLevel="0" collapsed="false">
      <c r="A861" s="1" t="s">
        <v>681</v>
      </c>
      <c r="B861" s="1" t="s">
        <v>554</v>
      </c>
      <c r="C861" s="1" t="s">
        <v>582</v>
      </c>
      <c r="D861" s="1" t="s">
        <v>284</v>
      </c>
      <c r="E861" s="82" t="n">
        <v>0</v>
      </c>
      <c r="F861" s="26" t="n">
        <v>0</v>
      </c>
      <c r="G861" s="26" t="n">
        <v>0</v>
      </c>
      <c r="H861" s="1" t="s">
        <v>556</v>
      </c>
    </row>
    <row r="862" customFormat="false" ht="15" hidden="false" customHeight="true" outlineLevel="0" collapsed="false">
      <c r="A862" s="1" t="s">
        <v>681</v>
      </c>
      <c r="B862" s="1" t="s">
        <v>554</v>
      </c>
      <c r="C862" s="1" t="s">
        <v>583</v>
      </c>
      <c r="D862" s="1" t="s">
        <v>284</v>
      </c>
      <c r="E862" s="82" t="n">
        <v>0</v>
      </c>
      <c r="F862" s="26" t="n">
        <v>0</v>
      </c>
      <c r="G862" s="26" t="n">
        <v>0</v>
      </c>
      <c r="H862" s="1" t="s">
        <v>560</v>
      </c>
    </row>
    <row r="863" customFormat="false" ht="15" hidden="false" customHeight="true" outlineLevel="0" collapsed="false">
      <c r="A863" s="1" t="s">
        <v>681</v>
      </c>
      <c r="B863" s="1" t="s">
        <v>554</v>
      </c>
      <c r="C863" s="1" t="s">
        <v>584</v>
      </c>
      <c r="D863" s="1" t="s">
        <v>284</v>
      </c>
      <c r="E863" s="82" t="n">
        <v>0</v>
      </c>
      <c r="F863" s="26" t="n">
        <v>0</v>
      </c>
      <c r="G863" s="26" t="n">
        <v>0</v>
      </c>
      <c r="H863" s="1" t="s">
        <v>566</v>
      </c>
    </row>
    <row r="864" customFormat="false" ht="15" hidden="false" customHeight="true" outlineLevel="0" collapsed="false">
      <c r="A864" s="1" t="s">
        <v>681</v>
      </c>
      <c r="B864" s="1" t="s">
        <v>554</v>
      </c>
      <c r="C864" s="1" t="s">
        <v>580</v>
      </c>
      <c r="D864" s="1" t="s">
        <v>285</v>
      </c>
      <c r="E864" s="82" t="n">
        <v>0</v>
      </c>
      <c r="F864" s="26" t="n">
        <v>0</v>
      </c>
      <c r="G864" s="26" t="n">
        <v>0</v>
      </c>
      <c r="H864" s="1" t="s">
        <v>564</v>
      </c>
    </row>
    <row r="865" customFormat="false" ht="15" hidden="false" customHeight="true" outlineLevel="0" collapsed="false">
      <c r="A865" s="1" t="s">
        <v>681</v>
      </c>
      <c r="B865" s="1" t="s">
        <v>554</v>
      </c>
      <c r="C865" s="1" t="s">
        <v>585</v>
      </c>
      <c r="D865" s="1" t="s">
        <v>285</v>
      </c>
      <c r="E865" s="82" t="n">
        <v>0</v>
      </c>
      <c r="F865" s="26" t="n">
        <v>0</v>
      </c>
      <c r="G865" s="26" t="n">
        <v>0</v>
      </c>
      <c r="H865" s="1" t="s">
        <v>564</v>
      </c>
    </row>
    <row r="866" customFormat="false" ht="15" hidden="false" customHeight="true" outlineLevel="0" collapsed="false">
      <c r="A866" s="1" t="s">
        <v>681</v>
      </c>
      <c r="B866" s="1" t="s">
        <v>554</v>
      </c>
      <c r="C866" s="1" t="s">
        <v>586</v>
      </c>
      <c r="D866" s="1" t="s">
        <v>285</v>
      </c>
      <c r="E866" s="82" t="n">
        <v>0</v>
      </c>
      <c r="F866" s="26" t="n">
        <v>0</v>
      </c>
      <c r="G866" s="26" t="n">
        <v>0</v>
      </c>
      <c r="H866" s="1" t="s">
        <v>579</v>
      </c>
    </row>
    <row r="867" customFormat="false" ht="15" hidden="false" customHeight="true" outlineLevel="0" collapsed="false">
      <c r="A867" s="1" t="s">
        <v>681</v>
      </c>
      <c r="B867" s="1" t="s">
        <v>554</v>
      </c>
      <c r="C867" s="1" t="s">
        <v>584</v>
      </c>
      <c r="D867" s="1" t="s">
        <v>285</v>
      </c>
      <c r="E867" s="82" t="n">
        <v>0</v>
      </c>
      <c r="F867" s="26" t="n">
        <v>0</v>
      </c>
      <c r="G867" s="26" t="n">
        <v>0</v>
      </c>
      <c r="H867" s="1" t="s">
        <v>587</v>
      </c>
    </row>
    <row r="868" customFormat="false" ht="15" hidden="false" customHeight="true" outlineLevel="0" collapsed="false">
      <c r="A868" s="1" t="s">
        <v>681</v>
      </c>
      <c r="B868" s="1" t="s">
        <v>554</v>
      </c>
      <c r="C868" s="1" t="s">
        <v>588</v>
      </c>
      <c r="D868" s="1" t="s">
        <v>282</v>
      </c>
      <c r="E868" s="82" t="n">
        <v>4806</v>
      </c>
      <c r="F868" s="26" t="n">
        <v>0.62</v>
      </c>
      <c r="G868" s="26" t="n">
        <v>2979.72</v>
      </c>
      <c r="H868" s="1" t="s">
        <v>451</v>
      </c>
    </row>
    <row r="869" customFormat="false" ht="15" hidden="false" customHeight="true" outlineLevel="0" collapsed="false">
      <c r="A869" s="1" t="s">
        <v>681</v>
      </c>
      <c r="B869" s="1" t="s">
        <v>554</v>
      </c>
      <c r="C869" s="1" t="s">
        <v>589</v>
      </c>
      <c r="D869" s="1" t="s">
        <v>282</v>
      </c>
      <c r="E869" s="82" t="n">
        <v>1</v>
      </c>
      <c r="F869" s="26" t="n">
        <v>561.64</v>
      </c>
      <c r="G869" s="26" t="n">
        <v>561.64</v>
      </c>
      <c r="H869" s="1" t="s">
        <v>564</v>
      </c>
    </row>
    <row r="870" customFormat="false" ht="15" hidden="false" customHeight="true" outlineLevel="0" collapsed="false">
      <c r="A870" s="1" t="s">
        <v>681</v>
      </c>
      <c r="B870" s="1" t="s">
        <v>554</v>
      </c>
      <c r="C870" s="1" t="s">
        <v>590</v>
      </c>
      <c r="D870" s="1" t="s">
        <v>282</v>
      </c>
      <c r="E870" s="82" t="n">
        <v>0</v>
      </c>
      <c r="F870" s="26" t="n">
        <v>0</v>
      </c>
      <c r="G870" s="26" t="n">
        <v>0</v>
      </c>
      <c r="H870" s="1" t="s">
        <v>564</v>
      </c>
    </row>
    <row r="871" customFormat="false" ht="15" hidden="false" customHeight="true" outlineLevel="0" collapsed="false">
      <c r="A871" s="1" t="s">
        <v>681</v>
      </c>
      <c r="B871" s="1" t="s">
        <v>554</v>
      </c>
      <c r="C871" s="1" t="s">
        <v>687</v>
      </c>
      <c r="D871" s="1" t="s">
        <v>282</v>
      </c>
      <c r="E871" s="82" t="n">
        <v>1</v>
      </c>
      <c r="F871" s="26" t="n">
        <v>2033.5</v>
      </c>
      <c r="G871" s="26" t="n">
        <v>2033.5</v>
      </c>
      <c r="H871" s="1" t="s">
        <v>587</v>
      </c>
    </row>
    <row r="872" customFormat="false" ht="15" hidden="false" customHeight="true" outlineLevel="0" collapsed="false">
      <c r="A872" s="1" t="s">
        <v>681</v>
      </c>
      <c r="B872" s="1" t="s">
        <v>554</v>
      </c>
      <c r="C872" s="1" t="s">
        <v>592</v>
      </c>
      <c r="D872" s="1" t="s">
        <v>282</v>
      </c>
      <c r="E872" s="82" t="n">
        <v>0</v>
      </c>
      <c r="F872" s="26" t="n">
        <v>0</v>
      </c>
      <c r="G872" s="26" t="n">
        <v>0</v>
      </c>
      <c r="H872" s="1" t="s">
        <v>579</v>
      </c>
    </row>
    <row r="873" customFormat="false" ht="15" hidden="false" customHeight="true" outlineLevel="0" collapsed="false">
      <c r="A873" s="1" t="s">
        <v>681</v>
      </c>
      <c r="B873" s="1" t="s">
        <v>593</v>
      </c>
      <c r="C873" s="1" t="s">
        <v>594</v>
      </c>
      <c r="D873" s="1" t="s">
        <v>289</v>
      </c>
      <c r="E873" s="82" t="n">
        <v>1</v>
      </c>
      <c r="F873" s="26" t="n">
        <v>238.88</v>
      </c>
      <c r="G873" s="26" t="n">
        <v>238.88</v>
      </c>
      <c r="H873" s="1" t="s">
        <v>688</v>
      </c>
    </row>
    <row r="874" customFormat="false" ht="15" hidden="false" customHeight="true" outlineLevel="0" collapsed="false">
      <c r="A874" s="1" t="s">
        <v>681</v>
      </c>
      <c r="B874" s="1" t="s">
        <v>593</v>
      </c>
      <c r="C874" s="1" t="s">
        <v>596</v>
      </c>
      <c r="D874" s="1" t="s">
        <v>289</v>
      </c>
      <c r="E874" s="82" t="n">
        <v>1</v>
      </c>
      <c r="F874" s="26" t="n">
        <v>624.79</v>
      </c>
      <c r="G874" s="26" t="n">
        <v>624.79</v>
      </c>
      <c r="H874" s="1" t="s">
        <v>688</v>
      </c>
    </row>
    <row r="875" customFormat="false" ht="15" hidden="false" customHeight="true" outlineLevel="0" collapsed="false">
      <c r="A875" s="1" t="s">
        <v>681</v>
      </c>
      <c r="B875" s="1" t="s">
        <v>593</v>
      </c>
      <c r="C875" s="1" t="s">
        <v>597</v>
      </c>
      <c r="D875" s="1" t="s">
        <v>289</v>
      </c>
      <c r="E875" s="82" t="n">
        <v>1</v>
      </c>
      <c r="F875" s="26" t="n">
        <v>510</v>
      </c>
      <c r="G875" s="26" t="n">
        <v>510</v>
      </c>
      <c r="H875" s="1" t="s">
        <v>688</v>
      </c>
    </row>
    <row r="876" customFormat="false" ht="15" hidden="false" customHeight="true" outlineLevel="0" collapsed="false">
      <c r="A876" s="1" t="s">
        <v>681</v>
      </c>
      <c r="B876" s="1" t="s">
        <v>593</v>
      </c>
      <c r="C876" s="1" t="s">
        <v>598</v>
      </c>
      <c r="D876" s="1" t="s">
        <v>289</v>
      </c>
      <c r="E876" s="82" t="n">
        <v>1</v>
      </c>
      <c r="F876" s="26" t="n">
        <v>333.1</v>
      </c>
      <c r="G876" s="26" t="n">
        <v>333.1</v>
      </c>
      <c r="H876" s="1" t="s">
        <v>688</v>
      </c>
    </row>
    <row r="877" customFormat="false" ht="15" hidden="false" customHeight="true" outlineLevel="0" collapsed="false">
      <c r="A877" s="1" t="s">
        <v>681</v>
      </c>
      <c r="B877" s="1" t="s">
        <v>593</v>
      </c>
      <c r="C877" s="1" t="s">
        <v>601</v>
      </c>
      <c r="D877" s="1" t="s">
        <v>289</v>
      </c>
      <c r="E877" s="82" t="n">
        <v>1</v>
      </c>
      <c r="F877" s="26" t="n">
        <v>2973.2</v>
      </c>
      <c r="G877" s="26" t="n">
        <v>2973.2</v>
      </c>
      <c r="H877" s="1" t="s">
        <v>688</v>
      </c>
    </row>
    <row r="878" customFormat="false" ht="15" hidden="false" customHeight="true" outlineLevel="0" collapsed="false">
      <c r="A878" s="1" t="s">
        <v>681</v>
      </c>
      <c r="B878" s="1" t="s">
        <v>593</v>
      </c>
      <c r="C878" s="1" t="s">
        <v>675</v>
      </c>
      <c r="D878" s="1" t="s">
        <v>289</v>
      </c>
      <c r="E878" s="82" t="n">
        <v>1</v>
      </c>
      <c r="F878" s="26" t="n">
        <v>1833.24</v>
      </c>
      <c r="G878" s="26" t="n">
        <v>1833.24</v>
      </c>
      <c r="H878" s="1" t="s">
        <v>688</v>
      </c>
    </row>
    <row r="879" customFormat="false" ht="15" hidden="false" customHeight="true" outlineLevel="0" collapsed="false">
      <c r="A879" s="1" t="s">
        <v>681</v>
      </c>
      <c r="B879" s="1" t="s">
        <v>593</v>
      </c>
      <c r="C879" s="1" t="s">
        <v>602</v>
      </c>
      <c r="D879" s="1" t="s">
        <v>289</v>
      </c>
      <c r="E879" s="82" t="n">
        <v>1</v>
      </c>
      <c r="F879" s="26" t="n">
        <v>7615.46</v>
      </c>
      <c r="G879" s="26" t="n">
        <v>7615.46</v>
      </c>
      <c r="H879" s="1" t="s">
        <v>688</v>
      </c>
    </row>
    <row r="880" customFormat="false" ht="15" hidden="false" customHeight="true" outlineLevel="0" collapsed="false">
      <c r="A880" s="1" t="s">
        <v>681</v>
      </c>
      <c r="B880" s="1" t="s">
        <v>593</v>
      </c>
      <c r="C880" s="1" t="s">
        <v>676</v>
      </c>
      <c r="D880" s="1" t="s">
        <v>290</v>
      </c>
      <c r="E880" s="82" t="n">
        <v>-1</v>
      </c>
      <c r="F880" s="26" t="n">
        <v>1046.56</v>
      </c>
      <c r="G880" s="26" t="n">
        <v>-1046.56</v>
      </c>
      <c r="H880" s="1" t="s">
        <v>677</v>
      </c>
    </row>
    <row r="881" customFormat="false" ht="15" hidden="false" customHeight="true" outlineLevel="0" collapsed="false">
      <c r="A881" s="1" t="s">
        <v>681</v>
      </c>
      <c r="B881" s="1" t="s">
        <v>593</v>
      </c>
      <c r="C881" s="1" t="s">
        <v>594</v>
      </c>
      <c r="D881" s="1" t="s">
        <v>290</v>
      </c>
      <c r="E881" s="82" t="n">
        <v>0</v>
      </c>
      <c r="F881" s="26" t="n">
        <v>0</v>
      </c>
      <c r="G881" s="26" t="n">
        <v>0</v>
      </c>
      <c r="H881" s="1" t="s">
        <v>605</v>
      </c>
    </row>
    <row r="882" customFormat="false" ht="15" hidden="false" customHeight="true" outlineLevel="0" collapsed="false">
      <c r="A882" s="1" t="s">
        <v>681</v>
      </c>
      <c r="B882" s="1" t="s">
        <v>593</v>
      </c>
      <c r="C882" s="1" t="s">
        <v>594</v>
      </c>
      <c r="D882" s="1" t="s">
        <v>290</v>
      </c>
      <c r="E882" s="82" t="n">
        <v>-1</v>
      </c>
      <c r="F882" s="26" t="n">
        <v>238.88</v>
      </c>
      <c r="G882" s="26" t="n">
        <v>-238.88</v>
      </c>
      <c r="H882" s="1" t="s">
        <v>648</v>
      </c>
    </row>
    <row r="883" customFormat="false" ht="15" hidden="false" customHeight="true" outlineLevel="0" collapsed="false">
      <c r="A883" s="1" t="s">
        <v>681</v>
      </c>
      <c r="B883" s="1" t="s">
        <v>593</v>
      </c>
      <c r="C883" s="1" t="s">
        <v>597</v>
      </c>
      <c r="D883" s="1" t="s">
        <v>282</v>
      </c>
      <c r="E883" s="82" t="n">
        <v>1</v>
      </c>
      <c r="F883" s="26" t="n">
        <v>67.33</v>
      </c>
      <c r="G883" s="26" t="n">
        <v>67.33</v>
      </c>
      <c r="H883" s="1" t="s">
        <v>607</v>
      </c>
    </row>
    <row r="884" customFormat="false" ht="15" hidden="false" customHeight="true" outlineLevel="0" collapsed="false">
      <c r="A884" s="1" t="s">
        <v>681</v>
      </c>
      <c r="B884" s="1" t="s">
        <v>593</v>
      </c>
      <c r="C884" s="1" t="s">
        <v>597</v>
      </c>
      <c r="D884" s="1" t="s">
        <v>282</v>
      </c>
      <c r="E884" s="82" t="n">
        <v>-1</v>
      </c>
      <c r="F884" s="26" t="n">
        <v>510</v>
      </c>
      <c r="G884" s="26" t="n">
        <v>-510</v>
      </c>
      <c r="H884" s="1" t="s">
        <v>648</v>
      </c>
    </row>
    <row r="885" customFormat="false" ht="15" hidden="false" customHeight="true" outlineLevel="0" collapsed="false">
      <c r="A885" s="1" t="s">
        <v>681</v>
      </c>
      <c r="B885" s="1" t="s">
        <v>47</v>
      </c>
      <c r="C885" s="1" t="s">
        <v>608</v>
      </c>
      <c r="D885" s="1" t="s">
        <v>287</v>
      </c>
      <c r="E885" s="82" t="n">
        <v>1</v>
      </c>
      <c r="F885" s="26" t="n">
        <v>1027.18</v>
      </c>
      <c r="G885" s="26" t="n">
        <v>1027.18</v>
      </c>
      <c r="H885" s="1" t="s">
        <v>689</v>
      </c>
    </row>
    <row r="886" customFormat="false" ht="15" hidden="false" customHeight="true" outlineLevel="0" collapsed="false">
      <c r="A886" s="1" t="s">
        <v>681</v>
      </c>
      <c r="B886" s="1" t="s">
        <v>47</v>
      </c>
      <c r="C886" s="1" t="s">
        <v>608</v>
      </c>
      <c r="D886" s="1" t="s">
        <v>289</v>
      </c>
      <c r="E886" s="82" t="n">
        <v>0</v>
      </c>
      <c r="F886" s="26" t="n">
        <v>0</v>
      </c>
      <c r="G886" s="26" t="n">
        <v>0</v>
      </c>
      <c r="H886" s="1" t="s">
        <v>610</v>
      </c>
    </row>
    <row r="887" customFormat="false" ht="15" hidden="false" customHeight="true" outlineLevel="0" collapsed="false">
      <c r="A887" s="1" t="s">
        <v>681</v>
      </c>
      <c r="B887" s="1" t="s">
        <v>47</v>
      </c>
      <c r="C887" s="1" t="s">
        <v>608</v>
      </c>
      <c r="D887" s="1" t="s">
        <v>293</v>
      </c>
      <c r="E887" s="82" t="n">
        <v>0</v>
      </c>
      <c r="F887" s="26" t="n">
        <v>0</v>
      </c>
      <c r="G887" s="26" t="n">
        <v>0</v>
      </c>
      <c r="H887" s="1" t="s">
        <v>611</v>
      </c>
    </row>
    <row r="888" customFormat="false" ht="15" hidden="false" customHeight="true" outlineLevel="0" collapsed="false">
      <c r="A888" s="1" t="s">
        <v>681</v>
      </c>
      <c r="B888" s="1" t="s">
        <v>47</v>
      </c>
      <c r="C888" s="1" t="s">
        <v>608</v>
      </c>
      <c r="D888" s="1" t="s">
        <v>290</v>
      </c>
      <c r="E888" s="82" t="n">
        <v>1</v>
      </c>
      <c r="F888" s="26" t="n">
        <v>9586.03</v>
      </c>
      <c r="G888" s="26" t="n">
        <v>9586.03</v>
      </c>
      <c r="H888" s="1" t="s">
        <v>690</v>
      </c>
    </row>
    <row r="889" customFormat="false" ht="15" hidden="false" customHeight="true" outlineLevel="0" collapsed="false">
      <c r="A889" s="1" t="s">
        <v>681</v>
      </c>
      <c r="B889" s="1" t="s">
        <v>47</v>
      </c>
      <c r="C889" s="1" t="s">
        <v>608</v>
      </c>
      <c r="D889" s="1" t="s">
        <v>284</v>
      </c>
      <c r="E889" s="82" t="n">
        <v>0</v>
      </c>
      <c r="F889" s="26" t="n">
        <v>0</v>
      </c>
      <c r="G889" s="26" t="n">
        <v>0</v>
      </c>
      <c r="H889" s="1" t="s">
        <v>613</v>
      </c>
    </row>
    <row r="890" customFormat="false" ht="15" hidden="false" customHeight="true" outlineLevel="0" collapsed="false">
      <c r="A890" s="1" t="s">
        <v>681</v>
      </c>
      <c r="B890" s="1" t="s">
        <v>47</v>
      </c>
      <c r="C890" s="1" t="s">
        <v>608</v>
      </c>
      <c r="D890" s="1" t="s">
        <v>285</v>
      </c>
      <c r="E890" s="82" t="n">
        <v>0</v>
      </c>
      <c r="F890" s="26" t="n">
        <v>0</v>
      </c>
      <c r="G890" s="26" t="n">
        <v>0</v>
      </c>
      <c r="H890" s="1" t="s">
        <v>611</v>
      </c>
    </row>
    <row r="891" customFormat="false" ht="15" hidden="false" customHeight="true" outlineLevel="0" collapsed="false">
      <c r="A891" s="1" t="s">
        <v>681</v>
      </c>
      <c r="B891" s="1" t="s">
        <v>47</v>
      </c>
      <c r="C891" s="1" t="s">
        <v>608</v>
      </c>
      <c r="D891" s="1" t="s">
        <v>282</v>
      </c>
      <c r="E891" s="82" t="n">
        <v>1</v>
      </c>
      <c r="F891" s="26" t="n">
        <v>371.45</v>
      </c>
      <c r="G891" s="26" t="n">
        <v>371.45</v>
      </c>
      <c r="H891" s="1" t="s">
        <v>691</v>
      </c>
    </row>
    <row r="892" customFormat="false" ht="15" hidden="false" customHeight="true" outlineLevel="0" collapsed="false">
      <c r="A892" s="1" t="s">
        <v>681</v>
      </c>
      <c r="B892" s="1" t="s">
        <v>85</v>
      </c>
      <c r="C892" s="1" t="s">
        <v>615</v>
      </c>
      <c r="D892" s="1" t="s">
        <v>275</v>
      </c>
      <c r="E892" s="82" t="n">
        <v>149</v>
      </c>
      <c r="F892" s="26" t="n">
        <v>125.29</v>
      </c>
      <c r="G892" s="26" t="n">
        <v>18668.21</v>
      </c>
      <c r="H892" s="1" t="s">
        <v>692</v>
      </c>
    </row>
    <row r="893" customFormat="false" ht="15" hidden="false" customHeight="true" outlineLevel="0" collapsed="false">
      <c r="A893" s="1" t="s">
        <v>681</v>
      </c>
      <c r="B893" s="1" t="s">
        <v>85</v>
      </c>
      <c r="C893" s="1" t="s">
        <v>615</v>
      </c>
      <c r="D893" s="1" t="s">
        <v>287</v>
      </c>
      <c r="E893" s="82" t="n">
        <v>2</v>
      </c>
      <c r="F893" s="26" t="n">
        <v>161.82</v>
      </c>
      <c r="G893" s="26" t="n">
        <v>323.64</v>
      </c>
      <c r="H893" s="1" t="s">
        <v>692</v>
      </c>
    </row>
    <row r="894" customFormat="false" ht="15" hidden="false" customHeight="true" outlineLevel="0" collapsed="false">
      <c r="A894" s="1" t="s">
        <v>681</v>
      </c>
      <c r="B894" s="1" t="s">
        <v>85</v>
      </c>
      <c r="C894" s="1" t="s">
        <v>615</v>
      </c>
      <c r="D894" s="1" t="s">
        <v>289</v>
      </c>
      <c r="E894" s="82" t="n">
        <v>22</v>
      </c>
      <c r="F894" s="26" t="n">
        <v>156.91</v>
      </c>
      <c r="G894" s="26" t="n">
        <v>3452.02</v>
      </c>
      <c r="H894" s="1" t="s">
        <v>617</v>
      </c>
    </row>
    <row r="895" customFormat="false" ht="15" hidden="false" customHeight="true" outlineLevel="0" collapsed="false">
      <c r="A895" s="1" t="s">
        <v>681</v>
      </c>
      <c r="B895" s="1" t="s">
        <v>85</v>
      </c>
      <c r="C895" s="1" t="s">
        <v>615</v>
      </c>
      <c r="D895" s="1" t="s">
        <v>293</v>
      </c>
      <c r="E895" s="82" t="n">
        <v>11</v>
      </c>
      <c r="F895" s="26" t="n">
        <v>164.27</v>
      </c>
      <c r="G895" s="26" t="n">
        <v>1806.97</v>
      </c>
      <c r="H895" s="1" t="s">
        <v>617</v>
      </c>
    </row>
    <row r="896" customFormat="false" ht="15" hidden="false" customHeight="true" outlineLevel="0" collapsed="false">
      <c r="A896" s="1" t="s">
        <v>681</v>
      </c>
      <c r="B896" s="1" t="s">
        <v>85</v>
      </c>
      <c r="C896" s="1" t="s">
        <v>615</v>
      </c>
      <c r="D896" s="1" t="s">
        <v>290</v>
      </c>
      <c r="E896" s="82" t="n">
        <v>24</v>
      </c>
      <c r="F896" s="26" t="n">
        <v>152.82</v>
      </c>
      <c r="G896" s="26" t="n">
        <v>3667.68</v>
      </c>
      <c r="H896" s="1" t="s">
        <v>617</v>
      </c>
    </row>
    <row r="897" customFormat="false" ht="15" hidden="false" customHeight="true" outlineLevel="0" collapsed="false">
      <c r="A897" s="1" t="s">
        <v>681</v>
      </c>
      <c r="B897" s="1" t="s">
        <v>85</v>
      </c>
      <c r="C897" s="1" t="s">
        <v>615</v>
      </c>
      <c r="D897" s="1" t="s">
        <v>284</v>
      </c>
      <c r="E897" s="82" t="n">
        <v>10</v>
      </c>
      <c r="F897" s="26" t="n">
        <v>151.02</v>
      </c>
      <c r="G897" s="26" t="n">
        <v>1510.2</v>
      </c>
      <c r="H897" s="1" t="s">
        <v>617</v>
      </c>
    </row>
    <row r="898" customFormat="false" ht="15" hidden="false" customHeight="true" outlineLevel="0" collapsed="false">
      <c r="A898" s="1" t="s">
        <v>681</v>
      </c>
      <c r="B898" s="1" t="s">
        <v>85</v>
      </c>
      <c r="C898" s="1" t="s">
        <v>615</v>
      </c>
      <c r="D898" s="1" t="s">
        <v>285</v>
      </c>
      <c r="E898" s="82" t="n">
        <v>0</v>
      </c>
      <c r="F898" s="26" t="n">
        <v>0</v>
      </c>
      <c r="G898" s="26" t="n">
        <v>0</v>
      </c>
      <c r="H898" s="1" t="s">
        <v>617</v>
      </c>
    </row>
    <row r="899" customFormat="false" ht="15" hidden="false" customHeight="true" outlineLevel="0" collapsed="false">
      <c r="A899" s="1" t="s">
        <v>681</v>
      </c>
      <c r="B899" s="1" t="s">
        <v>85</v>
      </c>
      <c r="C899" s="1" t="s">
        <v>615</v>
      </c>
      <c r="D899" s="1" t="s">
        <v>282</v>
      </c>
      <c r="E899" s="82" t="n">
        <v>12</v>
      </c>
      <c r="F899" s="26" t="n">
        <v>157.32</v>
      </c>
      <c r="G899" s="26" t="n">
        <v>1887.84</v>
      </c>
      <c r="H899" s="1" t="s">
        <v>617</v>
      </c>
    </row>
    <row r="900" customFormat="false" ht="15" hidden="false" customHeight="true" outlineLevel="0" collapsed="false">
      <c r="A900" s="1" t="s">
        <v>681</v>
      </c>
      <c r="B900" s="1" t="s">
        <v>32</v>
      </c>
      <c r="C900" s="1" t="s">
        <v>618</v>
      </c>
      <c r="D900" s="1" t="s">
        <v>287</v>
      </c>
      <c r="E900" s="82" t="n">
        <v>1</v>
      </c>
      <c r="F900" s="26" t="n">
        <v>91.2</v>
      </c>
      <c r="G900" s="26" t="n">
        <v>91.2</v>
      </c>
      <c r="H900" s="1" t="s">
        <v>619</v>
      </c>
    </row>
    <row r="901" customFormat="false" ht="15" hidden="false" customHeight="true" outlineLevel="0" collapsed="false">
      <c r="A901" s="1" t="s">
        <v>681</v>
      </c>
      <c r="B901" s="1" t="s">
        <v>32</v>
      </c>
      <c r="C901" s="1" t="s">
        <v>620</v>
      </c>
      <c r="D901" s="1" t="s">
        <v>287</v>
      </c>
      <c r="E901" s="82" t="n">
        <v>0</v>
      </c>
      <c r="F901" s="26" t="n">
        <v>0</v>
      </c>
      <c r="G901" s="26" t="n">
        <v>0</v>
      </c>
      <c r="H901" s="1" t="s">
        <v>621</v>
      </c>
    </row>
    <row r="902" customFormat="false" ht="15" hidden="false" customHeight="true" outlineLevel="0" collapsed="false">
      <c r="A902" s="1" t="s">
        <v>681</v>
      </c>
      <c r="B902" s="1" t="s">
        <v>32</v>
      </c>
      <c r="C902" s="1" t="s">
        <v>618</v>
      </c>
      <c r="D902" s="1" t="s">
        <v>293</v>
      </c>
      <c r="E902" s="82" t="n">
        <v>0</v>
      </c>
      <c r="F902" s="26" t="n">
        <v>0</v>
      </c>
      <c r="G902" s="26" t="n">
        <v>0</v>
      </c>
      <c r="H902" s="1" t="s">
        <v>619</v>
      </c>
    </row>
    <row r="903" customFormat="false" ht="15" hidden="false" customHeight="true" outlineLevel="0" collapsed="false">
      <c r="A903" s="1" t="s">
        <v>681</v>
      </c>
      <c r="B903" s="1" t="s">
        <v>32</v>
      </c>
      <c r="C903" s="1" t="s">
        <v>620</v>
      </c>
      <c r="D903" s="1" t="s">
        <v>293</v>
      </c>
      <c r="E903" s="82" t="n">
        <v>0</v>
      </c>
      <c r="F903" s="26" t="n">
        <v>0</v>
      </c>
      <c r="G903" s="26" t="n">
        <v>0</v>
      </c>
      <c r="H903" s="1" t="s">
        <v>622</v>
      </c>
    </row>
    <row r="904" customFormat="false" ht="15" hidden="false" customHeight="true" outlineLevel="0" collapsed="false">
      <c r="A904" s="1" t="s">
        <v>681</v>
      </c>
      <c r="B904" s="1" t="s">
        <v>32</v>
      </c>
      <c r="C904" s="1" t="s">
        <v>618</v>
      </c>
      <c r="D904" s="1" t="s">
        <v>290</v>
      </c>
      <c r="E904" s="82" t="n">
        <v>1</v>
      </c>
      <c r="F904" s="26" t="n">
        <v>696</v>
      </c>
      <c r="G904" s="26" t="n">
        <v>696</v>
      </c>
      <c r="H904" s="1" t="s">
        <v>619</v>
      </c>
    </row>
    <row r="905" customFormat="false" ht="15" hidden="false" customHeight="true" outlineLevel="0" collapsed="false">
      <c r="A905" s="1" t="s">
        <v>681</v>
      </c>
      <c r="B905" s="1" t="s">
        <v>32</v>
      </c>
      <c r="C905" s="1" t="s">
        <v>618</v>
      </c>
      <c r="D905" s="1" t="s">
        <v>290</v>
      </c>
      <c r="E905" s="82" t="n">
        <v>0</v>
      </c>
      <c r="F905" s="26" t="n">
        <v>0</v>
      </c>
      <c r="G905" s="26" t="n">
        <v>0</v>
      </c>
      <c r="H905" s="1" t="s">
        <v>619</v>
      </c>
    </row>
    <row r="906" customFormat="false" ht="15" hidden="false" customHeight="true" outlineLevel="0" collapsed="false">
      <c r="A906" s="1" t="s">
        <v>681</v>
      </c>
      <c r="B906" s="1" t="s">
        <v>32</v>
      </c>
      <c r="C906" s="1" t="s">
        <v>618</v>
      </c>
      <c r="D906" s="1" t="s">
        <v>284</v>
      </c>
      <c r="E906" s="82" t="n">
        <v>1</v>
      </c>
      <c r="F906" s="26" t="n">
        <v>980.4</v>
      </c>
      <c r="G906" s="26" t="n">
        <v>980.4</v>
      </c>
      <c r="H906" s="1" t="s">
        <v>619</v>
      </c>
    </row>
    <row r="907" customFormat="false" ht="15" hidden="false" customHeight="true" outlineLevel="0" collapsed="false">
      <c r="A907" s="1" t="s">
        <v>681</v>
      </c>
      <c r="B907" s="1" t="s">
        <v>32</v>
      </c>
      <c r="C907" s="1" t="s">
        <v>620</v>
      </c>
      <c r="D907" s="1" t="s">
        <v>284</v>
      </c>
      <c r="E907" s="82" t="n">
        <v>0</v>
      </c>
      <c r="F907" s="26" t="n">
        <v>0</v>
      </c>
      <c r="G907" s="26" t="n">
        <v>0</v>
      </c>
      <c r="H907" s="1" t="s">
        <v>621</v>
      </c>
    </row>
    <row r="908" customFormat="false" ht="15" hidden="false" customHeight="true" outlineLevel="0" collapsed="false">
      <c r="A908" s="1" t="s">
        <v>681</v>
      </c>
      <c r="B908" s="1" t="s">
        <v>32</v>
      </c>
      <c r="C908" s="1" t="s">
        <v>618</v>
      </c>
      <c r="D908" s="1" t="s">
        <v>285</v>
      </c>
      <c r="E908" s="82" t="n">
        <v>0</v>
      </c>
      <c r="F908" s="26" t="n">
        <v>0</v>
      </c>
      <c r="G908" s="26" t="n">
        <v>0</v>
      </c>
      <c r="H908" s="1" t="s">
        <v>619</v>
      </c>
    </row>
    <row r="909" customFormat="false" ht="15" hidden="false" customHeight="true" outlineLevel="0" collapsed="false">
      <c r="A909" s="1" t="s">
        <v>681</v>
      </c>
      <c r="B909" s="1" t="s">
        <v>32</v>
      </c>
      <c r="C909" s="1" t="s">
        <v>618</v>
      </c>
      <c r="D909" s="1" t="s">
        <v>282</v>
      </c>
      <c r="E909" s="82" t="n">
        <v>1</v>
      </c>
      <c r="F909" s="26" t="n">
        <v>314.6</v>
      </c>
      <c r="G909" s="26" t="n">
        <v>314.6</v>
      </c>
      <c r="H909" s="1" t="s">
        <v>619</v>
      </c>
    </row>
    <row r="910" customFormat="false" ht="15" hidden="false" customHeight="true" outlineLevel="0" collapsed="false">
      <c r="A910" s="1" t="s">
        <v>681</v>
      </c>
      <c r="B910" s="1" t="s">
        <v>32</v>
      </c>
      <c r="C910" s="1" t="s">
        <v>620</v>
      </c>
      <c r="D910" s="1" t="s">
        <v>282</v>
      </c>
      <c r="E910" s="82" t="n">
        <v>0</v>
      </c>
      <c r="F910" s="26" t="n">
        <v>0</v>
      </c>
      <c r="G910" s="26" t="n">
        <v>0</v>
      </c>
      <c r="H910" s="1" t="s">
        <v>623</v>
      </c>
    </row>
    <row r="911" customFormat="false" ht="15" hidden="false" customHeight="true" outlineLevel="0" collapsed="false">
      <c r="A911" s="1" t="s">
        <v>681</v>
      </c>
      <c r="B911" s="1" t="s">
        <v>624</v>
      </c>
      <c r="C911" s="1" t="s">
        <v>625</v>
      </c>
      <c r="D911" s="1" t="s">
        <v>289</v>
      </c>
      <c r="E911" s="82" t="n">
        <v>13530</v>
      </c>
      <c r="F911" s="26" t="n">
        <v>3.18253026831306</v>
      </c>
      <c r="G911" s="26" t="n">
        <v>43059.63453</v>
      </c>
      <c r="H911" s="1" t="s">
        <v>451</v>
      </c>
    </row>
    <row r="912" customFormat="false" ht="15" hidden="false" customHeight="true" outlineLevel="0" collapsed="false">
      <c r="A912" s="1" t="s">
        <v>681</v>
      </c>
      <c r="B912" s="1" t="s">
        <v>44</v>
      </c>
      <c r="C912" s="1" t="s">
        <v>626</v>
      </c>
      <c r="D912" s="1" t="s">
        <v>287</v>
      </c>
      <c r="E912" s="82" t="n">
        <v>-1</v>
      </c>
      <c r="F912" s="26" t="n">
        <v>847.7</v>
      </c>
      <c r="G912" s="26" t="n">
        <v>-847.7</v>
      </c>
      <c r="H912" s="1" t="s">
        <v>627</v>
      </c>
    </row>
    <row r="913" customFormat="false" ht="15" hidden="false" customHeight="true" outlineLevel="0" collapsed="false">
      <c r="A913" s="1" t="s">
        <v>681</v>
      </c>
      <c r="B913" s="1" t="s">
        <v>44</v>
      </c>
      <c r="C913" s="1" t="s">
        <v>626</v>
      </c>
      <c r="D913" s="1" t="s">
        <v>287</v>
      </c>
      <c r="E913" s="82" t="n">
        <v>1</v>
      </c>
      <c r="F913" s="26" t="n">
        <v>2959.45</v>
      </c>
      <c r="G913" s="26" t="n">
        <v>2959.45</v>
      </c>
      <c r="H913" s="1" t="s">
        <v>693</v>
      </c>
    </row>
    <row r="914" customFormat="false" ht="15" hidden="false" customHeight="true" outlineLevel="0" collapsed="false">
      <c r="A914" s="1" t="s">
        <v>681</v>
      </c>
      <c r="B914" s="1" t="s">
        <v>44</v>
      </c>
      <c r="C914" s="1" t="s">
        <v>626</v>
      </c>
      <c r="D914" s="1" t="s">
        <v>289</v>
      </c>
      <c r="E914" s="82" t="n">
        <v>1</v>
      </c>
      <c r="F914" s="26" t="n">
        <v>863</v>
      </c>
      <c r="G914" s="26" t="n">
        <v>863</v>
      </c>
      <c r="H914" s="1" t="s">
        <v>679</v>
      </c>
    </row>
    <row r="915" customFormat="false" ht="15" hidden="false" customHeight="true" outlineLevel="0" collapsed="false">
      <c r="A915" s="1" t="s">
        <v>681</v>
      </c>
      <c r="B915" s="1" t="s">
        <v>44</v>
      </c>
      <c r="C915" s="1" t="s">
        <v>629</v>
      </c>
      <c r="D915" s="1" t="s">
        <v>289</v>
      </c>
      <c r="E915" s="82" t="n">
        <v>0</v>
      </c>
      <c r="F915" s="26" t="n">
        <v>0</v>
      </c>
      <c r="G915" s="26" t="n">
        <v>0</v>
      </c>
      <c r="H915" s="1" t="s">
        <v>630</v>
      </c>
    </row>
    <row r="916" customFormat="false" ht="15" hidden="false" customHeight="true" outlineLevel="0" collapsed="false">
      <c r="A916" s="1" t="s">
        <v>681</v>
      </c>
      <c r="B916" s="1" t="s">
        <v>44</v>
      </c>
      <c r="C916" s="1" t="s">
        <v>631</v>
      </c>
      <c r="D916" s="1" t="s">
        <v>289</v>
      </c>
      <c r="E916" s="82" t="n">
        <v>0</v>
      </c>
      <c r="F916" s="26" t="n">
        <v>0</v>
      </c>
      <c r="G916" s="26" t="n">
        <v>0</v>
      </c>
      <c r="H916" s="1" t="s">
        <v>632</v>
      </c>
    </row>
    <row r="917" customFormat="false" ht="15" hidden="false" customHeight="true" outlineLevel="0" collapsed="false">
      <c r="A917" s="1" t="s">
        <v>681</v>
      </c>
      <c r="B917" s="1" t="s">
        <v>44</v>
      </c>
      <c r="C917" s="1" t="s">
        <v>633</v>
      </c>
      <c r="D917" s="1" t="s">
        <v>289</v>
      </c>
      <c r="E917" s="82" t="n">
        <v>1</v>
      </c>
      <c r="F917" s="26" t="n">
        <v>6471.5</v>
      </c>
      <c r="G917" s="26" t="n">
        <v>6471.5</v>
      </c>
      <c r="H917" s="1" t="s">
        <v>634</v>
      </c>
    </row>
    <row r="918" customFormat="false" ht="15" hidden="false" customHeight="true" outlineLevel="0" collapsed="false">
      <c r="A918" s="1" t="s">
        <v>681</v>
      </c>
      <c r="B918" s="1" t="s">
        <v>44</v>
      </c>
      <c r="C918" s="1" t="s">
        <v>626</v>
      </c>
      <c r="D918" s="1" t="s">
        <v>293</v>
      </c>
      <c r="E918" s="82" t="n">
        <v>1</v>
      </c>
      <c r="F918" s="26" t="n">
        <v>1119.06</v>
      </c>
      <c r="G918" s="26" t="n">
        <v>1119.06</v>
      </c>
      <c r="H918" s="1" t="s">
        <v>679</v>
      </c>
    </row>
    <row r="919" customFormat="false" ht="15" hidden="false" customHeight="true" outlineLevel="0" collapsed="false">
      <c r="A919" s="1" t="s">
        <v>681</v>
      </c>
      <c r="B919" s="1" t="s">
        <v>44</v>
      </c>
      <c r="C919" s="1" t="s">
        <v>626</v>
      </c>
      <c r="D919" s="1" t="s">
        <v>293</v>
      </c>
      <c r="E919" s="82" t="n">
        <v>-1</v>
      </c>
      <c r="F919" s="26" t="n">
        <v>155.9</v>
      </c>
      <c r="G919" s="26" t="n">
        <v>-155.9</v>
      </c>
      <c r="H919" s="1" t="s">
        <v>627</v>
      </c>
    </row>
    <row r="920" customFormat="false" ht="15" hidden="false" customHeight="true" outlineLevel="0" collapsed="false">
      <c r="A920" s="1" t="s">
        <v>681</v>
      </c>
      <c r="B920" s="1" t="s">
        <v>44</v>
      </c>
      <c r="C920" s="1" t="s">
        <v>635</v>
      </c>
      <c r="D920" s="1" t="s">
        <v>293</v>
      </c>
      <c r="E920" s="82" t="n">
        <v>0</v>
      </c>
      <c r="F920" s="26" t="n">
        <v>0</v>
      </c>
      <c r="G920" s="26" t="n">
        <v>0</v>
      </c>
      <c r="H920" s="1" t="s">
        <v>630</v>
      </c>
    </row>
    <row r="921" customFormat="false" ht="15" hidden="false" customHeight="true" outlineLevel="0" collapsed="false">
      <c r="A921" s="1" t="s">
        <v>681</v>
      </c>
      <c r="B921" s="1" t="s">
        <v>44</v>
      </c>
      <c r="C921" s="1" t="s">
        <v>636</v>
      </c>
      <c r="D921" s="1" t="s">
        <v>293</v>
      </c>
      <c r="E921" s="82" t="n">
        <v>0</v>
      </c>
      <c r="F921" s="26" t="n">
        <v>0</v>
      </c>
      <c r="G921" s="26" t="n">
        <v>0</v>
      </c>
      <c r="H921" s="1" t="s">
        <v>634</v>
      </c>
    </row>
    <row r="922" customFormat="false" ht="15" hidden="false" customHeight="true" outlineLevel="0" collapsed="false">
      <c r="A922" s="1" t="s">
        <v>681</v>
      </c>
      <c r="B922" s="1" t="s">
        <v>44</v>
      </c>
      <c r="C922" s="1" t="s">
        <v>626</v>
      </c>
      <c r="D922" s="1" t="s">
        <v>290</v>
      </c>
      <c r="E922" s="82" t="n">
        <v>1</v>
      </c>
      <c r="F922" s="26" t="n">
        <v>8439.17</v>
      </c>
      <c r="G922" s="26" t="n">
        <v>8439.17</v>
      </c>
      <c r="H922" s="1" t="s">
        <v>679</v>
      </c>
    </row>
    <row r="923" customFormat="false" ht="15" hidden="false" customHeight="true" outlineLevel="0" collapsed="false">
      <c r="A923" s="1" t="s">
        <v>681</v>
      </c>
      <c r="B923" s="1" t="s">
        <v>44</v>
      </c>
      <c r="C923" s="1" t="s">
        <v>637</v>
      </c>
      <c r="D923" s="1" t="s">
        <v>290</v>
      </c>
      <c r="E923" s="82" t="n">
        <v>0</v>
      </c>
      <c r="F923" s="26" t="n">
        <v>0</v>
      </c>
      <c r="G923" s="26" t="n">
        <v>0</v>
      </c>
      <c r="H923" s="1" t="s">
        <v>630</v>
      </c>
    </row>
    <row r="924" customFormat="false" ht="15" hidden="false" customHeight="true" outlineLevel="0" collapsed="false">
      <c r="A924" s="1" t="s">
        <v>681</v>
      </c>
      <c r="B924" s="1" t="s">
        <v>44</v>
      </c>
      <c r="C924" s="1" t="s">
        <v>638</v>
      </c>
      <c r="D924" s="1" t="s">
        <v>290</v>
      </c>
      <c r="E924" s="82" t="n">
        <v>0</v>
      </c>
      <c r="F924" s="26" t="n">
        <v>0</v>
      </c>
      <c r="G924" s="26" t="n">
        <v>0</v>
      </c>
      <c r="H924" s="1" t="s">
        <v>630</v>
      </c>
    </row>
    <row r="925" customFormat="false" ht="15" hidden="false" customHeight="true" outlineLevel="0" collapsed="false">
      <c r="A925" s="1" t="s">
        <v>681</v>
      </c>
      <c r="B925" s="1" t="s">
        <v>44</v>
      </c>
      <c r="C925" s="1" t="s">
        <v>694</v>
      </c>
      <c r="D925" s="1" t="s">
        <v>290</v>
      </c>
      <c r="E925" s="82" t="n">
        <v>-1</v>
      </c>
      <c r="F925" s="26" t="n">
        <v>358.78</v>
      </c>
      <c r="G925" s="26" t="n">
        <v>-358.78</v>
      </c>
      <c r="H925" s="1" t="s">
        <v>627</v>
      </c>
    </row>
    <row r="926" customFormat="false" ht="15" hidden="false" customHeight="true" outlineLevel="0" collapsed="false">
      <c r="A926" s="1" t="s">
        <v>681</v>
      </c>
      <c r="B926" s="1" t="s">
        <v>44</v>
      </c>
      <c r="C926" s="1" t="s">
        <v>640</v>
      </c>
      <c r="D926" s="1" t="s">
        <v>290</v>
      </c>
      <c r="E926" s="82" t="n">
        <v>0</v>
      </c>
      <c r="F926" s="26" t="n">
        <v>0</v>
      </c>
      <c r="G926" s="26" t="n">
        <v>0</v>
      </c>
      <c r="H926" s="1" t="s">
        <v>634</v>
      </c>
    </row>
    <row r="927" customFormat="false" ht="15" hidden="false" customHeight="true" outlineLevel="0" collapsed="false">
      <c r="A927" s="1" t="s">
        <v>681</v>
      </c>
      <c r="B927" s="1" t="s">
        <v>44</v>
      </c>
      <c r="C927" s="1" t="s">
        <v>680</v>
      </c>
      <c r="D927" s="1" t="s">
        <v>290</v>
      </c>
      <c r="E927" s="82" t="n">
        <v>0</v>
      </c>
      <c r="F927" s="26" t="n">
        <v>0</v>
      </c>
      <c r="G927" s="26" t="n">
        <v>0</v>
      </c>
      <c r="H927" s="1" t="s">
        <v>634</v>
      </c>
    </row>
    <row r="928" customFormat="false" ht="15" hidden="false" customHeight="true" outlineLevel="0" collapsed="false">
      <c r="A928" s="1" t="s">
        <v>681</v>
      </c>
      <c r="B928" s="1" t="s">
        <v>44</v>
      </c>
      <c r="C928" s="1" t="s">
        <v>626</v>
      </c>
      <c r="D928" s="1" t="s">
        <v>284</v>
      </c>
      <c r="E928" s="82" t="n">
        <v>1</v>
      </c>
      <c r="F928" s="26" t="n">
        <v>3957</v>
      </c>
      <c r="G928" s="26" t="n">
        <v>3957</v>
      </c>
      <c r="H928" s="1" t="s">
        <v>628</v>
      </c>
    </row>
    <row r="929" customFormat="false" ht="15" hidden="false" customHeight="true" outlineLevel="0" collapsed="false">
      <c r="A929" s="1" t="s">
        <v>681</v>
      </c>
      <c r="B929" s="1" t="s">
        <v>44</v>
      </c>
      <c r="C929" s="1" t="s">
        <v>626</v>
      </c>
      <c r="D929" s="1" t="s">
        <v>284</v>
      </c>
      <c r="E929" s="82" t="n">
        <v>0</v>
      </c>
      <c r="F929" s="26" t="n">
        <v>0</v>
      </c>
      <c r="G929" s="26" t="n">
        <v>0</v>
      </c>
      <c r="H929" s="1" t="s">
        <v>628</v>
      </c>
    </row>
    <row r="930" customFormat="false" ht="15" hidden="false" customHeight="true" outlineLevel="0" collapsed="false">
      <c r="A930" s="1" t="s">
        <v>681</v>
      </c>
      <c r="B930" s="1" t="s">
        <v>44</v>
      </c>
      <c r="C930" s="1" t="s">
        <v>638</v>
      </c>
      <c r="D930" s="1" t="s">
        <v>284</v>
      </c>
      <c r="E930" s="82" t="n">
        <v>0</v>
      </c>
      <c r="F930" s="26" t="n">
        <v>0</v>
      </c>
      <c r="G930" s="26" t="n">
        <v>0</v>
      </c>
      <c r="H930" s="1" t="s">
        <v>634</v>
      </c>
    </row>
    <row r="931" customFormat="false" ht="15" hidden="false" customHeight="true" outlineLevel="0" collapsed="false">
      <c r="A931" s="1" t="s">
        <v>681</v>
      </c>
      <c r="B931" s="1" t="s">
        <v>44</v>
      </c>
      <c r="C931" s="1" t="s">
        <v>639</v>
      </c>
      <c r="D931" s="1" t="s">
        <v>284</v>
      </c>
      <c r="E931" s="82" t="n">
        <v>0</v>
      </c>
      <c r="F931" s="26" t="n">
        <v>0</v>
      </c>
      <c r="G931" s="26" t="n">
        <v>0</v>
      </c>
      <c r="H931" s="1" t="s">
        <v>634</v>
      </c>
    </row>
    <row r="932" customFormat="false" ht="15" hidden="false" customHeight="true" outlineLevel="0" collapsed="false">
      <c r="A932" s="1" t="s">
        <v>681</v>
      </c>
      <c r="B932" s="1" t="s">
        <v>44</v>
      </c>
      <c r="C932" s="1" t="s">
        <v>626</v>
      </c>
      <c r="D932" s="1" t="s">
        <v>285</v>
      </c>
      <c r="E932" s="82" t="n">
        <v>1</v>
      </c>
      <c r="F932" s="26" t="n">
        <v>1010.04</v>
      </c>
      <c r="G932" s="26" t="n">
        <v>1010.04</v>
      </c>
      <c r="H932" s="1" t="s">
        <v>679</v>
      </c>
    </row>
    <row r="933" customFormat="false" ht="15" hidden="false" customHeight="true" outlineLevel="0" collapsed="false">
      <c r="A933" s="1" t="s">
        <v>681</v>
      </c>
      <c r="B933" s="1" t="s">
        <v>44</v>
      </c>
      <c r="C933" s="1" t="s">
        <v>626</v>
      </c>
      <c r="D933" s="1" t="s">
        <v>285</v>
      </c>
      <c r="E933" s="82" t="n">
        <v>0</v>
      </c>
      <c r="F933" s="26" t="n">
        <v>0</v>
      </c>
      <c r="G933" s="26" t="n">
        <v>0</v>
      </c>
      <c r="H933" s="1" t="s">
        <v>627</v>
      </c>
    </row>
    <row r="934" customFormat="false" ht="15" hidden="false" customHeight="true" outlineLevel="0" collapsed="false">
      <c r="A934" s="1" t="s">
        <v>681</v>
      </c>
      <c r="B934" s="1" t="s">
        <v>44</v>
      </c>
      <c r="C934" s="1" t="s">
        <v>626</v>
      </c>
      <c r="D934" s="1" t="s">
        <v>282</v>
      </c>
      <c r="E934" s="82" t="n">
        <v>1</v>
      </c>
      <c r="F934" s="26" t="n">
        <v>6035.94</v>
      </c>
      <c r="G934" s="26" t="n">
        <v>6035.94</v>
      </c>
      <c r="H934" s="1" t="s">
        <v>679</v>
      </c>
    </row>
    <row r="935" customFormat="false" ht="15" hidden="false" customHeight="true" outlineLevel="0" collapsed="false">
      <c r="A935" s="1" t="s">
        <v>681</v>
      </c>
      <c r="B935" s="1" t="s">
        <v>44</v>
      </c>
      <c r="C935" s="1" t="s">
        <v>626</v>
      </c>
      <c r="D935" s="1" t="s">
        <v>282</v>
      </c>
      <c r="E935" s="82" t="n">
        <v>-1</v>
      </c>
      <c r="F935" s="26" t="n">
        <v>1333.53</v>
      </c>
      <c r="G935" s="26" t="n">
        <v>-1333.53</v>
      </c>
      <c r="H935" s="1" t="s">
        <v>627</v>
      </c>
    </row>
    <row r="936" customFormat="false" ht="15" hidden="false" customHeight="true" outlineLevel="0" collapsed="false">
      <c r="A936" s="1" t="s">
        <v>681</v>
      </c>
      <c r="B936" s="1" t="s">
        <v>44</v>
      </c>
      <c r="C936" s="1" t="s">
        <v>641</v>
      </c>
      <c r="D936" s="1" t="s">
        <v>282</v>
      </c>
      <c r="E936" s="82" t="n">
        <v>0</v>
      </c>
      <c r="F936" s="26" t="n">
        <v>0</v>
      </c>
      <c r="G936" s="26" t="n">
        <v>0</v>
      </c>
      <c r="H936" s="1" t="s">
        <v>630</v>
      </c>
    </row>
    <row r="937" customFormat="false" ht="15" hidden="false" customHeight="true" outlineLevel="0" collapsed="false">
      <c r="A937" s="1" t="s">
        <v>681</v>
      </c>
      <c r="B937" s="1" t="s">
        <v>44</v>
      </c>
      <c r="C937" s="1" t="s">
        <v>636</v>
      </c>
      <c r="D937" s="1" t="s">
        <v>282</v>
      </c>
      <c r="E937" s="82" t="n">
        <v>0</v>
      </c>
      <c r="F937" s="26" t="n">
        <v>0</v>
      </c>
      <c r="G937" s="26" t="n">
        <v>0</v>
      </c>
      <c r="H937" s="1" t="s">
        <v>634</v>
      </c>
    </row>
    <row r="938" customFormat="false" ht="15" hidden="false" customHeight="true" outlineLevel="0" collapsed="false">
      <c r="A938" s="1" t="s">
        <v>681</v>
      </c>
      <c r="B938" s="1" t="s">
        <v>87</v>
      </c>
      <c r="C938" s="1" t="s">
        <v>642</v>
      </c>
      <c r="D938" s="1" t="s">
        <v>287</v>
      </c>
      <c r="E938" s="82" t="n">
        <v>2</v>
      </c>
      <c r="F938" s="26" t="n">
        <v>50</v>
      </c>
      <c r="G938" s="26" t="n">
        <v>100</v>
      </c>
      <c r="H938" s="1" t="s">
        <v>643</v>
      </c>
    </row>
    <row r="939" customFormat="false" ht="15" hidden="false" customHeight="true" outlineLevel="0" collapsed="false">
      <c r="A939" s="1" t="s">
        <v>681</v>
      </c>
      <c r="B939" s="1" t="s">
        <v>87</v>
      </c>
      <c r="C939" s="1" t="s">
        <v>642</v>
      </c>
      <c r="D939" s="1" t="s">
        <v>293</v>
      </c>
      <c r="E939" s="82" t="n">
        <v>1</v>
      </c>
      <c r="F939" s="26" t="n">
        <v>10</v>
      </c>
      <c r="G939" s="26" t="n">
        <v>10</v>
      </c>
      <c r="H939" s="1" t="s">
        <v>643</v>
      </c>
    </row>
    <row r="940" customFormat="false" ht="15" hidden="false" customHeight="true" outlineLevel="0" collapsed="false">
      <c r="A940" s="1" t="s">
        <v>681</v>
      </c>
      <c r="B940" s="1" t="s">
        <v>87</v>
      </c>
      <c r="C940" s="1" t="s">
        <v>642</v>
      </c>
      <c r="D940" s="1" t="s">
        <v>290</v>
      </c>
      <c r="E940" s="82" t="n">
        <v>1</v>
      </c>
      <c r="F940" s="26" t="n">
        <v>10</v>
      </c>
      <c r="G940" s="26" t="n">
        <v>10</v>
      </c>
      <c r="H940" s="1" t="s">
        <v>643</v>
      </c>
    </row>
    <row r="941" customFormat="false" ht="15" hidden="false" customHeight="true" outlineLevel="0" collapsed="false">
      <c r="A941" s="1" t="s">
        <v>681</v>
      </c>
      <c r="B941" s="1" t="s">
        <v>87</v>
      </c>
      <c r="C941" s="1" t="s">
        <v>642</v>
      </c>
      <c r="D941" s="1" t="s">
        <v>290</v>
      </c>
      <c r="E941" s="82" t="n">
        <v>5</v>
      </c>
      <c r="F941" s="26" t="n">
        <v>50</v>
      </c>
      <c r="G941" s="26" t="n">
        <v>250</v>
      </c>
      <c r="H941" s="1" t="s">
        <v>643</v>
      </c>
    </row>
    <row r="942" customFormat="false" ht="15" hidden="false" customHeight="true" outlineLevel="0" collapsed="false">
      <c r="A942" s="1" t="s">
        <v>681</v>
      </c>
      <c r="B942" s="1" t="s">
        <v>87</v>
      </c>
      <c r="C942" s="1" t="s">
        <v>642</v>
      </c>
      <c r="D942" s="1" t="s">
        <v>284</v>
      </c>
      <c r="E942" s="82" t="n">
        <v>1</v>
      </c>
      <c r="F942" s="26" t="n">
        <v>10</v>
      </c>
      <c r="G942" s="26" t="n">
        <v>10</v>
      </c>
      <c r="H942" s="1" t="s">
        <v>643</v>
      </c>
    </row>
    <row r="943" customFormat="false" ht="15" hidden="false" customHeight="true" outlineLevel="0" collapsed="false">
      <c r="A943" s="1" t="s">
        <v>681</v>
      </c>
      <c r="B943" s="1" t="s">
        <v>87</v>
      </c>
      <c r="C943" s="1" t="s">
        <v>642</v>
      </c>
      <c r="D943" s="1" t="s">
        <v>284</v>
      </c>
      <c r="E943" s="82" t="n">
        <v>2</v>
      </c>
      <c r="F943" s="26" t="n">
        <v>50</v>
      </c>
      <c r="G943" s="26" t="n">
        <v>100</v>
      </c>
      <c r="H943" s="1" t="s">
        <v>643</v>
      </c>
    </row>
    <row r="944" customFormat="false" ht="15" hidden="false" customHeight="true" outlineLevel="0" collapsed="false">
      <c r="A944" s="1" t="s">
        <v>681</v>
      </c>
      <c r="B944" s="1" t="s">
        <v>87</v>
      </c>
      <c r="C944" s="1" t="s">
        <v>642</v>
      </c>
      <c r="D944" s="1" t="s">
        <v>285</v>
      </c>
      <c r="E944" s="82" t="n">
        <v>1</v>
      </c>
      <c r="F944" s="26" t="n">
        <v>50</v>
      </c>
      <c r="G944" s="26" t="n">
        <v>50</v>
      </c>
      <c r="H944" s="1" t="s">
        <v>643</v>
      </c>
    </row>
    <row r="945" customFormat="false" ht="15" hidden="false" customHeight="true" outlineLevel="0" collapsed="false">
      <c r="A945" s="1" t="s">
        <v>681</v>
      </c>
      <c r="B945" s="1" t="s">
        <v>87</v>
      </c>
      <c r="C945" s="1" t="s">
        <v>642</v>
      </c>
      <c r="D945" s="1" t="s">
        <v>282</v>
      </c>
      <c r="E945" s="82" t="n">
        <v>1</v>
      </c>
      <c r="F945" s="26" t="n">
        <v>90</v>
      </c>
      <c r="G945" s="26" t="n">
        <v>90</v>
      </c>
      <c r="H945" s="1" t="s">
        <v>643</v>
      </c>
    </row>
    <row r="946" customFormat="false" ht="15" hidden="false" customHeight="true" outlineLevel="0" collapsed="false">
      <c r="A946" s="1" t="s">
        <v>681</v>
      </c>
      <c r="B946" s="1" t="s">
        <v>87</v>
      </c>
      <c r="C946" s="1" t="s">
        <v>642</v>
      </c>
      <c r="D946" s="1" t="s">
        <v>282</v>
      </c>
      <c r="E946" s="82" t="n">
        <v>2</v>
      </c>
      <c r="F946" s="26" t="n">
        <v>10</v>
      </c>
      <c r="G946" s="26" t="n">
        <v>20</v>
      </c>
      <c r="H946" s="1" t="s">
        <v>643</v>
      </c>
    </row>
    <row r="947" customFormat="false" ht="15" hidden="false" customHeight="true" outlineLevel="0" collapsed="false">
      <c r="A947" s="1" t="s">
        <v>681</v>
      </c>
      <c r="B947" s="1" t="s">
        <v>87</v>
      </c>
      <c r="C947" s="1" t="s">
        <v>642</v>
      </c>
      <c r="D947" s="1" t="s">
        <v>282</v>
      </c>
      <c r="E947" s="82" t="n">
        <v>3</v>
      </c>
      <c r="F947" s="26" t="n">
        <v>50</v>
      </c>
      <c r="G947" s="26" t="n">
        <v>150</v>
      </c>
      <c r="H947" s="1" t="s">
        <v>643</v>
      </c>
    </row>
    <row r="948" customFormat="false" ht="15" hidden="false" customHeight="true" outlineLevel="0" collapsed="false">
      <c r="A948" s="1" t="s">
        <v>681</v>
      </c>
      <c r="B948" s="1" t="s">
        <v>43</v>
      </c>
      <c r="C948" s="1" t="s">
        <v>43</v>
      </c>
      <c r="D948" s="1" t="s">
        <v>287</v>
      </c>
      <c r="E948" s="82" t="n">
        <v>6588</v>
      </c>
      <c r="F948" s="26" t="n">
        <v>0.138633956355371</v>
      </c>
      <c r="G948" s="26" t="n">
        <v>913.320504</v>
      </c>
      <c r="H948" s="1" t="s">
        <v>451</v>
      </c>
    </row>
    <row r="949" customFormat="false" ht="15" hidden="false" customHeight="true" outlineLevel="0" collapsed="false">
      <c r="A949" s="1" t="s">
        <v>681</v>
      </c>
      <c r="B949" s="1" t="s">
        <v>43</v>
      </c>
      <c r="C949" s="1" t="s">
        <v>43</v>
      </c>
      <c r="D949" s="1" t="s">
        <v>293</v>
      </c>
      <c r="E949" s="82" t="n">
        <v>3765</v>
      </c>
      <c r="F949" s="26" t="n">
        <v>0.138633956355371</v>
      </c>
      <c r="G949" s="26" t="n">
        <v>521.956846</v>
      </c>
      <c r="H949" s="1" t="s">
        <v>451</v>
      </c>
    </row>
    <row r="950" customFormat="false" ht="15" hidden="false" customHeight="true" outlineLevel="0" collapsed="false">
      <c r="A950" s="1" t="s">
        <v>681</v>
      </c>
      <c r="B950" s="1" t="s">
        <v>43</v>
      </c>
      <c r="C950" s="1" t="s">
        <v>43</v>
      </c>
      <c r="D950" s="1" t="s">
        <v>290</v>
      </c>
      <c r="E950" s="82" t="n">
        <v>6568</v>
      </c>
      <c r="F950" s="26" t="n">
        <v>0.138633956355371</v>
      </c>
      <c r="G950" s="26" t="n">
        <v>910.547825</v>
      </c>
      <c r="H950" s="1" t="s">
        <v>451</v>
      </c>
    </row>
    <row r="951" customFormat="false" ht="15" hidden="false" customHeight="true" outlineLevel="0" collapsed="false">
      <c r="A951" s="1" t="s">
        <v>681</v>
      </c>
      <c r="B951" s="1" t="s">
        <v>43</v>
      </c>
      <c r="C951" s="1" t="s">
        <v>43</v>
      </c>
      <c r="D951" s="1" t="s">
        <v>284</v>
      </c>
      <c r="E951" s="82" t="n">
        <v>14689</v>
      </c>
      <c r="F951" s="26" t="n">
        <v>0.138633956355371</v>
      </c>
      <c r="G951" s="26" t="n">
        <v>2036.394185</v>
      </c>
      <c r="H951" s="1" t="s">
        <v>451</v>
      </c>
    </row>
    <row r="952" customFormat="false" ht="15" hidden="false" customHeight="true" outlineLevel="0" collapsed="false">
      <c r="A952" s="1" t="s">
        <v>681</v>
      </c>
      <c r="B952" s="1" t="s">
        <v>43</v>
      </c>
      <c r="C952" s="1" t="s">
        <v>43</v>
      </c>
      <c r="D952" s="1" t="s">
        <v>285</v>
      </c>
      <c r="E952" s="82" t="n">
        <v>4805</v>
      </c>
      <c r="F952" s="26" t="n">
        <v>0.138633956355371</v>
      </c>
      <c r="G952" s="26" t="n">
        <v>666.13616</v>
      </c>
      <c r="H952" s="1" t="s">
        <v>451</v>
      </c>
    </row>
    <row r="953" customFormat="false" ht="15" hidden="false" customHeight="true" outlineLevel="0" collapsed="false">
      <c r="A953" s="1" t="s">
        <v>681</v>
      </c>
      <c r="B953" s="1" t="s">
        <v>43</v>
      </c>
      <c r="C953" s="1" t="s">
        <v>43</v>
      </c>
      <c r="D953" s="1" t="s">
        <v>282</v>
      </c>
      <c r="E953" s="82" t="n">
        <v>4806</v>
      </c>
      <c r="F953" s="26" t="n">
        <v>0.138633956355371</v>
      </c>
      <c r="G953" s="26" t="n">
        <v>666.274794</v>
      </c>
      <c r="H953" s="1" t="s">
        <v>451</v>
      </c>
    </row>
    <row r="954" customFormat="false" ht="15" hidden="false" customHeight="true" outlineLevel="0" collapsed="false">
      <c r="A954" s="1" t="s">
        <v>681</v>
      </c>
      <c r="B954" s="1" t="s">
        <v>452</v>
      </c>
      <c r="C954" s="1" t="s">
        <v>86</v>
      </c>
      <c r="D954" s="1" t="s">
        <v>287</v>
      </c>
      <c r="E954" s="82" t="n">
        <v>6588</v>
      </c>
      <c r="F954" s="26" t="n">
        <v>0.190684</v>
      </c>
      <c r="G954" s="26" t="n">
        <v>1256.226192</v>
      </c>
      <c r="H954" s="1" t="s">
        <v>451</v>
      </c>
    </row>
    <row r="955" customFormat="false" ht="15" hidden="false" customHeight="true" outlineLevel="0" collapsed="false">
      <c r="A955" s="1" t="s">
        <v>681</v>
      </c>
      <c r="B955" s="1" t="s">
        <v>452</v>
      </c>
      <c r="C955" s="1" t="s">
        <v>86</v>
      </c>
      <c r="D955" s="1" t="s">
        <v>293</v>
      </c>
      <c r="E955" s="82" t="n">
        <v>3765</v>
      </c>
      <c r="F955" s="26" t="n">
        <v>0.190684</v>
      </c>
      <c r="G955" s="26" t="n">
        <v>717.92526</v>
      </c>
      <c r="H955" s="1" t="s">
        <v>451</v>
      </c>
    </row>
    <row r="956" customFormat="false" ht="15" hidden="false" customHeight="true" outlineLevel="0" collapsed="false">
      <c r="A956" s="1" t="s">
        <v>681</v>
      </c>
      <c r="B956" s="1" t="s">
        <v>452</v>
      </c>
      <c r="C956" s="1" t="s">
        <v>86</v>
      </c>
      <c r="D956" s="1" t="s">
        <v>290</v>
      </c>
      <c r="E956" s="82" t="n">
        <v>6568</v>
      </c>
      <c r="F956" s="26" t="n">
        <v>0.190684</v>
      </c>
      <c r="G956" s="26" t="n">
        <v>1252.412512</v>
      </c>
      <c r="H956" s="1" t="s">
        <v>451</v>
      </c>
    </row>
    <row r="957" customFormat="false" ht="15" hidden="false" customHeight="true" outlineLevel="0" collapsed="false">
      <c r="A957" s="1" t="s">
        <v>681</v>
      </c>
      <c r="B957" s="1" t="s">
        <v>452</v>
      </c>
      <c r="C957" s="1" t="s">
        <v>86</v>
      </c>
      <c r="D957" s="1" t="s">
        <v>284</v>
      </c>
      <c r="E957" s="82" t="n">
        <v>14689</v>
      </c>
      <c r="F957" s="26" t="n">
        <v>0.190684</v>
      </c>
      <c r="G957" s="26" t="n">
        <v>2800.957276</v>
      </c>
      <c r="H957" s="1" t="s">
        <v>451</v>
      </c>
    </row>
    <row r="958" customFormat="false" ht="15" hidden="false" customHeight="true" outlineLevel="0" collapsed="false">
      <c r="A958" s="1" t="s">
        <v>681</v>
      </c>
      <c r="B958" s="1" t="s">
        <v>452</v>
      </c>
      <c r="C958" s="1" t="s">
        <v>86</v>
      </c>
      <c r="D958" s="1" t="s">
        <v>285</v>
      </c>
      <c r="E958" s="82" t="n">
        <v>4805</v>
      </c>
      <c r="F958" s="26" t="n">
        <v>0.190684</v>
      </c>
      <c r="G958" s="26" t="n">
        <v>916.23662</v>
      </c>
      <c r="H958" s="1" t="s">
        <v>451</v>
      </c>
    </row>
    <row r="959" customFormat="false" ht="15" hidden="false" customHeight="true" outlineLevel="0" collapsed="false">
      <c r="A959" s="1" t="s">
        <v>681</v>
      </c>
      <c r="B959" s="1" t="s">
        <v>452</v>
      </c>
      <c r="C959" s="1" t="s">
        <v>86</v>
      </c>
      <c r="D959" s="1" t="s">
        <v>282</v>
      </c>
      <c r="E959" s="82" t="n">
        <v>4806</v>
      </c>
      <c r="F959" s="26" t="n">
        <v>0.190684</v>
      </c>
      <c r="G959" s="26" t="n">
        <v>916.427304</v>
      </c>
      <c r="H959" s="1" t="s">
        <v>451</v>
      </c>
    </row>
    <row r="960" customFormat="false" ht="15" hidden="false" customHeight="true" outlineLevel="0" collapsed="false">
      <c r="A960" s="1" t="s">
        <v>681</v>
      </c>
      <c r="B960" s="1" t="s">
        <v>81</v>
      </c>
      <c r="C960" s="1" t="s">
        <v>81</v>
      </c>
      <c r="D960" s="1" t="s">
        <v>287</v>
      </c>
      <c r="E960" s="82" t="n">
        <v>6588</v>
      </c>
      <c r="F960" s="26" t="n">
        <v>0.071167700671494</v>
      </c>
      <c r="G960" s="26" t="n">
        <v>468.852812</v>
      </c>
      <c r="H960" s="1" t="s">
        <v>451</v>
      </c>
    </row>
    <row r="961" customFormat="false" ht="15" hidden="false" customHeight="true" outlineLevel="0" collapsed="false">
      <c r="A961" s="1" t="s">
        <v>681</v>
      </c>
      <c r="B961" s="1" t="s">
        <v>81</v>
      </c>
      <c r="C961" s="1" t="s">
        <v>81</v>
      </c>
      <c r="D961" s="1" t="s">
        <v>289</v>
      </c>
      <c r="E961" s="82" t="n">
        <v>13530</v>
      </c>
      <c r="F961" s="26" t="n">
        <v>0.071167700671494</v>
      </c>
      <c r="G961" s="26" t="n">
        <v>962.89899</v>
      </c>
      <c r="H961" s="1" t="s">
        <v>451</v>
      </c>
    </row>
    <row r="962" customFormat="false" ht="15" hidden="false" customHeight="true" outlineLevel="0" collapsed="false">
      <c r="A962" s="1" t="s">
        <v>681</v>
      </c>
      <c r="B962" s="1" t="s">
        <v>81</v>
      </c>
      <c r="C962" s="1" t="s">
        <v>81</v>
      </c>
      <c r="D962" s="1" t="s">
        <v>293</v>
      </c>
      <c r="E962" s="82" t="n">
        <v>3765</v>
      </c>
      <c r="F962" s="26" t="n">
        <v>0.071167700671494</v>
      </c>
      <c r="G962" s="26" t="n">
        <v>267.946393</v>
      </c>
      <c r="H962" s="1" t="s">
        <v>451</v>
      </c>
    </row>
    <row r="963" customFormat="false" ht="15" hidden="false" customHeight="true" outlineLevel="0" collapsed="false">
      <c r="A963" s="1" t="s">
        <v>681</v>
      </c>
      <c r="B963" s="1" t="s">
        <v>81</v>
      </c>
      <c r="C963" s="1" t="s">
        <v>81</v>
      </c>
      <c r="D963" s="1" t="s">
        <v>290</v>
      </c>
      <c r="E963" s="82" t="n">
        <v>6568</v>
      </c>
      <c r="F963" s="26" t="n">
        <v>0.071167700671494</v>
      </c>
      <c r="G963" s="26" t="n">
        <v>467.429458</v>
      </c>
      <c r="H963" s="1" t="s">
        <v>451</v>
      </c>
    </row>
    <row r="964" customFormat="false" ht="15" hidden="false" customHeight="true" outlineLevel="0" collapsed="false">
      <c r="A964" s="1" t="s">
        <v>681</v>
      </c>
      <c r="B964" s="1" t="s">
        <v>81</v>
      </c>
      <c r="C964" s="1" t="s">
        <v>81</v>
      </c>
      <c r="D964" s="1" t="s">
        <v>284</v>
      </c>
      <c r="E964" s="82" t="n">
        <v>14689</v>
      </c>
      <c r="F964" s="26" t="n">
        <v>0.071167700671494</v>
      </c>
      <c r="G964" s="26" t="n">
        <v>1045.382355</v>
      </c>
      <c r="H964" s="1" t="s">
        <v>451</v>
      </c>
    </row>
    <row r="965" customFormat="false" ht="15" hidden="false" customHeight="true" outlineLevel="0" collapsed="false">
      <c r="A965" s="1" t="s">
        <v>681</v>
      </c>
      <c r="B965" s="1" t="s">
        <v>81</v>
      </c>
      <c r="C965" s="1" t="s">
        <v>81</v>
      </c>
      <c r="D965" s="1" t="s">
        <v>285</v>
      </c>
      <c r="E965" s="82" t="n">
        <v>4805</v>
      </c>
      <c r="F965" s="26" t="n">
        <v>0.071167700671494</v>
      </c>
      <c r="G965" s="26" t="n">
        <v>341.960802</v>
      </c>
      <c r="H965" s="1" t="s">
        <v>451</v>
      </c>
    </row>
    <row r="966" customFormat="false" ht="15" hidden="false" customHeight="true" outlineLevel="0" collapsed="false">
      <c r="A966" s="1" t="s">
        <v>681</v>
      </c>
      <c r="B966" s="1" t="s">
        <v>81</v>
      </c>
      <c r="C966" s="1" t="s">
        <v>81</v>
      </c>
      <c r="D966" s="1" t="s">
        <v>282</v>
      </c>
      <c r="E966" s="82" t="n">
        <v>4806</v>
      </c>
      <c r="F966" s="26" t="n">
        <v>0.071167700671494</v>
      </c>
      <c r="G966" s="26" t="n">
        <v>342.031969</v>
      </c>
      <c r="H966" s="1" t="s">
        <v>451</v>
      </c>
    </row>
    <row r="967" customFormat="false" ht="15" hidden="false" customHeight="true" outlineLevel="0" collapsed="false">
      <c r="A967" s="1" t="s">
        <v>681</v>
      </c>
      <c r="B967" s="1" t="s">
        <v>36</v>
      </c>
      <c r="C967" s="1" t="s">
        <v>36</v>
      </c>
      <c r="D967" s="1" t="s">
        <v>287</v>
      </c>
      <c r="E967" s="82" t="n">
        <v>6588</v>
      </c>
      <c r="F967" s="26" t="n">
        <v>0.373762045947462</v>
      </c>
      <c r="G967" s="26" t="n">
        <v>2462.344359</v>
      </c>
      <c r="H967" s="1" t="s">
        <v>451</v>
      </c>
    </row>
    <row r="968" customFormat="false" ht="15" hidden="false" customHeight="true" outlineLevel="0" collapsed="false">
      <c r="A968" s="1" t="s">
        <v>681</v>
      </c>
      <c r="B968" s="1" t="s">
        <v>36</v>
      </c>
      <c r="C968" s="1" t="s">
        <v>36</v>
      </c>
      <c r="D968" s="1" t="s">
        <v>293</v>
      </c>
      <c r="E968" s="82" t="n">
        <v>3765</v>
      </c>
      <c r="F968" s="26" t="n">
        <v>0.373762045947462</v>
      </c>
      <c r="G968" s="26" t="n">
        <v>1407.214103</v>
      </c>
      <c r="H968" s="1" t="s">
        <v>451</v>
      </c>
    </row>
    <row r="969" customFormat="false" ht="15" hidden="false" customHeight="true" outlineLevel="0" collapsed="false">
      <c r="A969" s="1" t="s">
        <v>681</v>
      </c>
      <c r="B969" s="1" t="s">
        <v>36</v>
      </c>
      <c r="C969" s="1" t="s">
        <v>36</v>
      </c>
      <c r="D969" s="1" t="s">
        <v>290</v>
      </c>
      <c r="E969" s="82" t="n">
        <v>6568</v>
      </c>
      <c r="F969" s="26" t="n">
        <v>0.373762045947462</v>
      </c>
      <c r="G969" s="26" t="n">
        <v>2454.869118</v>
      </c>
      <c r="H969" s="1" t="s">
        <v>451</v>
      </c>
    </row>
    <row r="970" customFormat="false" ht="15" hidden="false" customHeight="true" outlineLevel="0" collapsed="false">
      <c r="A970" s="1" t="s">
        <v>681</v>
      </c>
      <c r="B970" s="1" t="s">
        <v>36</v>
      </c>
      <c r="C970" s="1" t="s">
        <v>36</v>
      </c>
      <c r="D970" s="1" t="s">
        <v>284</v>
      </c>
      <c r="E970" s="82" t="n">
        <v>14689</v>
      </c>
      <c r="F970" s="26" t="n">
        <v>0.373762045947462</v>
      </c>
      <c r="G970" s="26" t="n">
        <v>5490.190693</v>
      </c>
      <c r="H970" s="1" t="s">
        <v>451</v>
      </c>
    </row>
    <row r="971" customFormat="false" ht="15" hidden="false" customHeight="true" outlineLevel="0" collapsed="false">
      <c r="A971" s="1" t="s">
        <v>681</v>
      </c>
      <c r="B971" s="1" t="s">
        <v>36</v>
      </c>
      <c r="C971" s="1" t="s">
        <v>36</v>
      </c>
      <c r="D971" s="1" t="s">
        <v>285</v>
      </c>
      <c r="E971" s="82" t="n">
        <v>4805</v>
      </c>
      <c r="F971" s="26" t="n">
        <v>0.373762045947462</v>
      </c>
      <c r="G971" s="26" t="n">
        <v>1795.926631</v>
      </c>
      <c r="H971" s="1" t="s">
        <v>451</v>
      </c>
    </row>
    <row r="972" customFormat="false" ht="15" hidden="false" customHeight="true" outlineLevel="0" collapsed="false">
      <c r="A972" s="1" t="s">
        <v>681</v>
      </c>
      <c r="B972" s="1" t="s">
        <v>36</v>
      </c>
      <c r="C972" s="1" t="s">
        <v>36</v>
      </c>
      <c r="D972" s="1" t="s">
        <v>282</v>
      </c>
      <c r="E972" s="82" t="n">
        <v>4806</v>
      </c>
      <c r="F972" s="26" t="n">
        <v>0.373762045947462</v>
      </c>
      <c r="G972" s="26" t="n">
        <v>1796.300393</v>
      </c>
      <c r="H972" s="1" t="s">
        <v>451</v>
      </c>
    </row>
    <row r="973" customFormat="false" ht="15" hidden="false" customHeight="true" outlineLevel="0" collapsed="false">
      <c r="A973" s="1" t="s">
        <v>681</v>
      </c>
      <c r="B973" s="1" t="s">
        <v>83</v>
      </c>
      <c r="C973" s="1" t="s">
        <v>83</v>
      </c>
      <c r="D973" s="1" t="s">
        <v>287</v>
      </c>
      <c r="E973" s="82" t="n">
        <v>6588</v>
      </c>
      <c r="F973" s="26" t="n">
        <v>0.0793753070856763</v>
      </c>
      <c r="G973" s="26" t="n">
        <v>522.924523</v>
      </c>
      <c r="H973" s="1" t="s">
        <v>451</v>
      </c>
    </row>
    <row r="974" customFormat="false" ht="15" hidden="false" customHeight="true" outlineLevel="0" collapsed="false">
      <c r="A974" s="1" t="s">
        <v>681</v>
      </c>
      <c r="B974" s="1" t="s">
        <v>83</v>
      </c>
      <c r="C974" s="1" t="s">
        <v>83</v>
      </c>
      <c r="D974" s="1" t="s">
        <v>293</v>
      </c>
      <c r="E974" s="82" t="n">
        <v>3765</v>
      </c>
      <c r="F974" s="26" t="n">
        <v>0.0793753070856763</v>
      </c>
      <c r="G974" s="26" t="n">
        <v>298.848031</v>
      </c>
      <c r="H974" s="1" t="s">
        <v>451</v>
      </c>
    </row>
    <row r="975" customFormat="false" ht="15" hidden="false" customHeight="true" outlineLevel="0" collapsed="false">
      <c r="A975" s="1" t="s">
        <v>681</v>
      </c>
      <c r="B975" s="1" t="s">
        <v>83</v>
      </c>
      <c r="C975" s="1" t="s">
        <v>83</v>
      </c>
      <c r="D975" s="1" t="s">
        <v>290</v>
      </c>
      <c r="E975" s="82" t="n">
        <v>6568</v>
      </c>
      <c r="F975" s="26" t="n">
        <v>0.0793753070856763</v>
      </c>
      <c r="G975" s="26" t="n">
        <v>521.337017</v>
      </c>
      <c r="H975" s="1" t="s">
        <v>451</v>
      </c>
    </row>
    <row r="976" customFormat="false" ht="15" hidden="false" customHeight="true" outlineLevel="0" collapsed="false">
      <c r="A976" s="1" t="s">
        <v>681</v>
      </c>
      <c r="B976" s="1" t="s">
        <v>83</v>
      </c>
      <c r="C976" s="1" t="s">
        <v>83</v>
      </c>
      <c r="D976" s="1" t="s">
        <v>284</v>
      </c>
      <c r="E976" s="82" t="n">
        <v>14689</v>
      </c>
      <c r="F976" s="26" t="n">
        <v>0.0793753070856763</v>
      </c>
      <c r="G976" s="26" t="n">
        <v>1165.943886</v>
      </c>
      <c r="H976" s="1" t="s">
        <v>451</v>
      </c>
    </row>
    <row r="977" customFormat="false" ht="15" hidden="false" customHeight="true" outlineLevel="0" collapsed="false">
      <c r="A977" s="1" t="s">
        <v>681</v>
      </c>
      <c r="B977" s="1" t="s">
        <v>83</v>
      </c>
      <c r="C977" s="1" t="s">
        <v>83</v>
      </c>
      <c r="D977" s="1" t="s">
        <v>285</v>
      </c>
      <c r="E977" s="82" t="n">
        <v>4805</v>
      </c>
      <c r="F977" s="26" t="n">
        <v>0.0793753070856763</v>
      </c>
      <c r="G977" s="26" t="n">
        <v>381.398351</v>
      </c>
      <c r="H977" s="1" t="s">
        <v>451</v>
      </c>
    </row>
    <row r="978" customFormat="false" ht="15" hidden="false" customHeight="true" outlineLevel="0" collapsed="false">
      <c r="A978" s="1" t="s">
        <v>681</v>
      </c>
      <c r="B978" s="1" t="s">
        <v>83</v>
      </c>
      <c r="C978" s="1" t="s">
        <v>83</v>
      </c>
      <c r="D978" s="1" t="s">
        <v>282</v>
      </c>
      <c r="E978" s="82" t="n">
        <v>4806</v>
      </c>
      <c r="F978" s="26" t="n">
        <v>0.0793753070856763</v>
      </c>
      <c r="G978" s="26" t="n">
        <v>381.477726</v>
      </c>
      <c r="H978" s="1" t="s">
        <v>451</v>
      </c>
    </row>
    <row r="979" customFormat="false" ht="15" hidden="false" customHeight="true" outlineLevel="0" collapsed="false">
      <c r="A979" s="1" t="s">
        <v>681</v>
      </c>
      <c r="B979" s="1" t="s">
        <v>31</v>
      </c>
      <c r="C979" s="1" t="s">
        <v>31</v>
      </c>
      <c r="D979" s="1" t="s">
        <v>287</v>
      </c>
      <c r="E979" s="82" t="n">
        <v>6588</v>
      </c>
      <c r="F979" s="26" t="n">
        <v>0.371854</v>
      </c>
      <c r="G979" s="26" t="n">
        <v>2449.774152</v>
      </c>
      <c r="H979" s="1" t="s">
        <v>451</v>
      </c>
    </row>
    <row r="980" customFormat="false" ht="15" hidden="false" customHeight="true" outlineLevel="0" collapsed="false">
      <c r="A980" s="1" t="s">
        <v>681</v>
      </c>
      <c r="B980" s="1" t="s">
        <v>31</v>
      </c>
      <c r="C980" s="1" t="s">
        <v>31</v>
      </c>
      <c r="D980" s="1" t="s">
        <v>289</v>
      </c>
      <c r="E980" s="82" t="n">
        <v>13530</v>
      </c>
      <c r="F980" s="26" t="n">
        <v>0.371854</v>
      </c>
      <c r="G980" s="26" t="n">
        <v>5031.18462</v>
      </c>
      <c r="H980" s="1" t="s">
        <v>451</v>
      </c>
    </row>
    <row r="981" customFormat="false" ht="15" hidden="false" customHeight="true" outlineLevel="0" collapsed="false">
      <c r="A981" s="1" t="s">
        <v>681</v>
      </c>
      <c r="B981" s="1" t="s">
        <v>31</v>
      </c>
      <c r="C981" s="1" t="s">
        <v>31</v>
      </c>
      <c r="D981" s="1" t="s">
        <v>293</v>
      </c>
      <c r="E981" s="82" t="n">
        <v>3765</v>
      </c>
      <c r="F981" s="26" t="n">
        <v>0.371854</v>
      </c>
      <c r="G981" s="26" t="n">
        <v>1400.03031</v>
      </c>
      <c r="H981" s="1" t="s">
        <v>451</v>
      </c>
    </row>
    <row r="982" customFormat="false" ht="15" hidden="false" customHeight="true" outlineLevel="0" collapsed="false">
      <c r="A982" s="1" t="s">
        <v>681</v>
      </c>
      <c r="B982" s="1" t="s">
        <v>31</v>
      </c>
      <c r="C982" s="1" t="s">
        <v>31</v>
      </c>
      <c r="D982" s="1" t="s">
        <v>290</v>
      </c>
      <c r="E982" s="82" t="n">
        <v>6568</v>
      </c>
      <c r="F982" s="26" t="n">
        <v>0.371854</v>
      </c>
      <c r="G982" s="26" t="n">
        <v>2442.337072</v>
      </c>
      <c r="H982" s="1" t="s">
        <v>451</v>
      </c>
    </row>
    <row r="983" customFormat="false" ht="15" hidden="false" customHeight="true" outlineLevel="0" collapsed="false">
      <c r="A983" s="1" t="s">
        <v>681</v>
      </c>
      <c r="B983" s="1" t="s">
        <v>31</v>
      </c>
      <c r="C983" s="1" t="s">
        <v>31</v>
      </c>
      <c r="D983" s="1" t="s">
        <v>284</v>
      </c>
      <c r="E983" s="82" t="n">
        <v>14689</v>
      </c>
      <c r="F983" s="26" t="n">
        <v>0.371854</v>
      </c>
      <c r="G983" s="26" t="n">
        <v>5462.163406</v>
      </c>
      <c r="H983" s="1" t="s">
        <v>451</v>
      </c>
    </row>
    <row r="984" customFormat="false" ht="15" hidden="false" customHeight="true" outlineLevel="0" collapsed="false">
      <c r="A984" s="1" t="s">
        <v>681</v>
      </c>
      <c r="B984" s="1" t="s">
        <v>31</v>
      </c>
      <c r="C984" s="1" t="s">
        <v>31</v>
      </c>
      <c r="D984" s="1" t="s">
        <v>285</v>
      </c>
      <c r="E984" s="82" t="n">
        <v>4805</v>
      </c>
      <c r="F984" s="26" t="n">
        <v>0.371854</v>
      </c>
      <c r="G984" s="26" t="n">
        <v>1786.75847</v>
      </c>
      <c r="H984" s="1" t="s">
        <v>451</v>
      </c>
    </row>
    <row r="985" customFormat="false" ht="15" hidden="false" customHeight="true" outlineLevel="0" collapsed="false">
      <c r="A985" s="1" t="s">
        <v>681</v>
      </c>
      <c r="B985" s="1" t="s">
        <v>31</v>
      </c>
      <c r="C985" s="1" t="s">
        <v>31</v>
      </c>
      <c r="D985" s="1" t="s">
        <v>282</v>
      </c>
      <c r="E985" s="82" t="n">
        <v>4806</v>
      </c>
      <c r="F985" s="26" t="n">
        <v>0.371854</v>
      </c>
      <c r="G985" s="26" t="n">
        <v>1787.130324</v>
      </c>
      <c r="H985" s="1" t="s">
        <v>451</v>
      </c>
    </row>
    <row r="986" customFormat="false" ht="15" hidden="false" customHeight="true" outlineLevel="0" collapsed="false">
      <c r="A986" s="1" t="s">
        <v>681</v>
      </c>
      <c r="B986" s="1" t="s">
        <v>32</v>
      </c>
      <c r="C986" s="1" t="s">
        <v>695</v>
      </c>
      <c r="D986" s="1" t="s">
        <v>287</v>
      </c>
      <c r="E986" s="82" t="n">
        <v>29</v>
      </c>
      <c r="F986" s="26" t="n">
        <v>35.6374549100918</v>
      </c>
      <c r="G986" s="26" t="n">
        <v>1033.486192</v>
      </c>
      <c r="H986" s="1" t="s">
        <v>696</v>
      </c>
    </row>
    <row r="987" customFormat="false" ht="15" hidden="false" customHeight="true" outlineLevel="0" collapsed="false">
      <c r="A987" s="1" t="s">
        <v>681</v>
      </c>
      <c r="B987" s="1" t="s">
        <v>32</v>
      </c>
      <c r="C987" s="1" t="s">
        <v>695</v>
      </c>
      <c r="D987" s="1" t="s">
        <v>293</v>
      </c>
      <c r="E987" s="82" t="n">
        <v>10</v>
      </c>
      <c r="F987" s="26" t="n">
        <v>35.6374549100918</v>
      </c>
      <c r="G987" s="26" t="n">
        <v>356.374549</v>
      </c>
      <c r="H987" s="1" t="s">
        <v>696</v>
      </c>
    </row>
    <row r="988" customFormat="false" ht="15" hidden="false" customHeight="true" outlineLevel="0" collapsed="false">
      <c r="A988" s="1" t="s">
        <v>681</v>
      </c>
      <c r="B988" s="1" t="s">
        <v>32</v>
      </c>
      <c r="C988" s="1" t="s">
        <v>695</v>
      </c>
      <c r="D988" s="1" t="s">
        <v>290</v>
      </c>
      <c r="E988" s="82" t="n">
        <v>43</v>
      </c>
      <c r="F988" s="26" t="n">
        <v>35.6374549100918</v>
      </c>
      <c r="G988" s="26" t="n">
        <v>1532.410561</v>
      </c>
      <c r="H988" s="1" t="s">
        <v>696</v>
      </c>
    </row>
    <row r="989" customFormat="false" ht="15" hidden="false" customHeight="true" outlineLevel="0" collapsed="false">
      <c r="A989" s="1" t="s">
        <v>681</v>
      </c>
      <c r="B989" s="1" t="s">
        <v>32</v>
      </c>
      <c r="C989" s="1" t="s">
        <v>695</v>
      </c>
      <c r="D989" s="1" t="s">
        <v>284</v>
      </c>
      <c r="E989" s="82" t="n">
        <v>45</v>
      </c>
      <c r="F989" s="26" t="n">
        <v>35.6374549100918</v>
      </c>
      <c r="G989" s="26" t="n">
        <v>1603.685471</v>
      </c>
      <c r="H989" s="1" t="s">
        <v>696</v>
      </c>
    </row>
    <row r="990" customFormat="false" ht="15" hidden="false" customHeight="true" outlineLevel="0" collapsed="false">
      <c r="A990" s="1" t="s">
        <v>681</v>
      </c>
      <c r="B990" s="1" t="s">
        <v>32</v>
      </c>
      <c r="C990" s="1" t="s">
        <v>695</v>
      </c>
      <c r="D990" s="1" t="s">
        <v>285</v>
      </c>
      <c r="E990" s="82" t="n">
        <v>18</v>
      </c>
      <c r="F990" s="26" t="n">
        <v>35.6374549100918</v>
      </c>
      <c r="G990" s="26" t="n">
        <v>641.474188</v>
      </c>
      <c r="H990" s="1" t="s">
        <v>696</v>
      </c>
    </row>
    <row r="991" customFormat="false" ht="15" hidden="false" customHeight="true" outlineLevel="0" collapsed="false">
      <c r="A991" s="1" t="s">
        <v>681</v>
      </c>
      <c r="B991" s="1" t="s">
        <v>32</v>
      </c>
      <c r="C991" s="1" t="s">
        <v>695</v>
      </c>
      <c r="D991" s="1" t="s">
        <v>282</v>
      </c>
      <c r="E991" s="82" t="n">
        <v>19</v>
      </c>
      <c r="F991" s="26" t="n">
        <v>35.6374549100918</v>
      </c>
      <c r="G991" s="26" t="n">
        <v>677.111643</v>
      </c>
      <c r="H991" s="1" t="s">
        <v>696</v>
      </c>
    </row>
    <row r="992" customFormat="false" ht="15" hidden="false" customHeight="true" outlineLevel="0" collapsed="false">
      <c r="A992" s="1" t="s">
        <v>681</v>
      </c>
      <c r="B992" s="1" t="s">
        <v>33</v>
      </c>
      <c r="C992" s="1" t="s">
        <v>697</v>
      </c>
      <c r="D992" s="1" t="s">
        <v>287</v>
      </c>
      <c r="E992" s="82" t="n">
        <v>29</v>
      </c>
      <c r="F992" s="26" t="n">
        <v>52.434725412844</v>
      </c>
      <c r="G992" s="26" t="n">
        <v>1520.607037</v>
      </c>
      <c r="H992" s="1" t="s">
        <v>696</v>
      </c>
    </row>
    <row r="993" customFormat="false" ht="15" hidden="false" customHeight="true" outlineLevel="0" collapsed="false">
      <c r="A993" s="1" t="s">
        <v>681</v>
      </c>
      <c r="B993" s="1" t="s">
        <v>33</v>
      </c>
      <c r="C993" s="1" t="s">
        <v>697</v>
      </c>
      <c r="D993" s="1" t="s">
        <v>293</v>
      </c>
      <c r="E993" s="82" t="n">
        <v>10</v>
      </c>
      <c r="F993" s="26" t="n">
        <v>52.434725412844</v>
      </c>
      <c r="G993" s="26" t="n">
        <v>524.347254</v>
      </c>
      <c r="H993" s="1" t="s">
        <v>696</v>
      </c>
    </row>
    <row r="994" customFormat="false" ht="15" hidden="false" customHeight="true" outlineLevel="0" collapsed="false">
      <c r="A994" s="1" t="s">
        <v>681</v>
      </c>
      <c r="B994" s="1" t="s">
        <v>33</v>
      </c>
      <c r="C994" s="1" t="s">
        <v>697</v>
      </c>
      <c r="D994" s="1" t="s">
        <v>290</v>
      </c>
      <c r="E994" s="82" t="n">
        <v>43</v>
      </c>
      <c r="F994" s="26" t="n">
        <v>52.434725412844</v>
      </c>
      <c r="G994" s="26" t="n">
        <v>2254.693193</v>
      </c>
      <c r="H994" s="1" t="s">
        <v>696</v>
      </c>
    </row>
    <row r="995" customFormat="false" ht="15" hidden="false" customHeight="true" outlineLevel="0" collapsed="false">
      <c r="A995" s="1" t="s">
        <v>681</v>
      </c>
      <c r="B995" s="1" t="s">
        <v>33</v>
      </c>
      <c r="C995" s="1" t="s">
        <v>697</v>
      </c>
      <c r="D995" s="1" t="s">
        <v>284</v>
      </c>
      <c r="E995" s="82" t="n">
        <v>45</v>
      </c>
      <c r="F995" s="26" t="n">
        <v>52.434725412844</v>
      </c>
      <c r="G995" s="26" t="n">
        <v>2359.562644</v>
      </c>
      <c r="H995" s="1" t="s">
        <v>696</v>
      </c>
    </row>
    <row r="996" customFormat="false" ht="15" hidden="false" customHeight="true" outlineLevel="0" collapsed="false">
      <c r="A996" s="1" t="s">
        <v>681</v>
      </c>
      <c r="B996" s="1" t="s">
        <v>33</v>
      </c>
      <c r="C996" s="1" t="s">
        <v>697</v>
      </c>
      <c r="D996" s="1" t="s">
        <v>285</v>
      </c>
      <c r="E996" s="82" t="n">
        <v>18</v>
      </c>
      <c r="F996" s="26" t="n">
        <v>52.434725412844</v>
      </c>
      <c r="G996" s="26" t="n">
        <v>943.825057</v>
      </c>
      <c r="H996" s="1" t="s">
        <v>696</v>
      </c>
    </row>
    <row r="997" customFormat="false" ht="15" hidden="false" customHeight="true" outlineLevel="0" collapsed="false">
      <c r="A997" s="1" t="s">
        <v>681</v>
      </c>
      <c r="B997" s="1" t="s">
        <v>33</v>
      </c>
      <c r="C997" s="1" t="s">
        <v>697</v>
      </c>
      <c r="D997" s="1" t="s">
        <v>282</v>
      </c>
      <c r="E997" s="82" t="n">
        <v>19</v>
      </c>
      <c r="F997" s="26" t="n">
        <v>52.434725412844</v>
      </c>
      <c r="G997" s="26" t="n">
        <v>996.259783</v>
      </c>
      <c r="H997" s="1" t="s">
        <v>696</v>
      </c>
    </row>
    <row r="998" customFormat="false" ht="15" hidden="false" customHeight="true" outlineLevel="0" collapsed="false">
      <c r="A998" s="1" t="s">
        <v>681</v>
      </c>
      <c r="B998" s="1" t="s">
        <v>44</v>
      </c>
      <c r="C998" s="1" t="s">
        <v>698</v>
      </c>
      <c r="D998" s="1" t="s">
        <v>287</v>
      </c>
      <c r="E998" s="82" t="n">
        <v>29</v>
      </c>
      <c r="F998" s="26" t="n">
        <v>60.0816569724771</v>
      </c>
      <c r="G998" s="26" t="n">
        <v>1742.36805220184</v>
      </c>
      <c r="H998" s="1" t="s">
        <v>699</v>
      </c>
    </row>
    <row r="999" customFormat="false" ht="15" hidden="false" customHeight="true" outlineLevel="0" collapsed="false">
      <c r="A999" s="1" t="s">
        <v>681</v>
      </c>
      <c r="B999" s="1" t="s">
        <v>44</v>
      </c>
      <c r="C999" s="1" t="s">
        <v>698</v>
      </c>
      <c r="D999" s="1" t="s">
        <v>289</v>
      </c>
      <c r="E999" s="82" t="n">
        <v>37</v>
      </c>
      <c r="F999" s="26" t="n">
        <v>60.0816569724771</v>
      </c>
      <c r="G999" s="26" t="n">
        <v>2223.02130798165</v>
      </c>
      <c r="H999" s="1" t="s">
        <v>699</v>
      </c>
    </row>
    <row r="1000" customFormat="false" ht="15" hidden="false" customHeight="true" outlineLevel="0" collapsed="false">
      <c r="A1000" s="1" t="s">
        <v>681</v>
      </c>
      <c r="B1000" s="1" t="s">
        <v>44</v>
      </c>
      <c r="C1000" s="1" t="s">
        <v>698</v>
      </c>
      <c r="D1000" s="1" t="s">
        <v>293</v>
      </c>
      <c r="E1000" s="82" t="n">
        <v>10</v>
      </c>
      <c r="F1000" s="26" t="n">
        <v>60.0816569724771</v>
      </c>
      <c r="G1000" s="26" t="n">
        <v>600.816569724771</v>
      </c>
      <c r="H1000" s="1" t="s">
        <v>699</v>
      </c>
    </row>
    <row r="1001" customFormat="false" ht="15" hidden="false" customHeight="true" outlineLevel="0" collapsed="false">
      <c r="A1001" s="1" t="s">
        <v>681</v>
      </c>
      <c r="B1001" s="1" t="s">
        <v>44</v>
      </c>
      <c r="C1001" s="1" t="s">
        <v>698</v>
      </c>
      <c r="D1001" s="1" t="s">
        <v>290</v>
      </c>
      <c r="E1001" s="82" t="n">
        <v>43</v>
      </c>
      <c r="F1001" s="26" t="n">
        <v>60.0816569724771</v>
      </c>
      <c r="G1001" s="26" t="n">
        <v>2583.51124981652</v>
      </c>
      <c r="H1001" s="1" t="s">
        <v>699</v>
      </c>
    </row>
    <row r="1002" customFormat="false" ht="15" hidden="false" customHeight="true" outlineLevel="0" collapsed="false">
      <c r="A1002" s="1" t="s">
        <v>681</v>
      </c>
      <c r="B1002" s="1" t="s">
        <v>44</v>
      </c>
      <c r="C1002" s="1" t="s">
        <v>698</v>
      </c>
      <c r="D1002" s="1" t="s">
        <v>284</v>
      </c>
      <c r="E1002" s="82" t="n">
        <v>45</v>
      </c>
      <c r="F1002" s="26" t="n">
        <v>60.0816569724771</v>
      </c>
      <c r="G1002" s="26" t="n">
        <v>2703.67456376147</v>
      </c>
      <c r="H1002" s="1" t="s">
        <v>699</v>
      </c>
    </row>
    <row r="1003" customFormat="false" ht="15" hidden="false" customHeight="true" outlineLevel="0" collapsed="false">
      <c r="A1003" s="1" t="s">
        <v>681</v>
      </c>
      <c r="B1003" s="1" t="s">
        <v>44</v>
      </c>
      <c r="C1003" s="1" t="s">
        <v>698</v>
      </c>
      <c r="D1003" s="1" t="s">
        <v>285</v>
      </c>
      <c r="E1003" s="82" t="n">
        <v>18</v>
      </c>
      <c r="F1003" s="26" t="n">
        <v>60.0816569724771</v>
      </c>
      <c r="G1003" s="26" t="n">
        <v>1081.46982550459</v>
      </c>
      <c r="H1003" s="1" t="s">
        <v>699</v>
      </c>
    </row>
    <row r="1004" customFormat="false" ht="15" hidden="false" customHeight="true" outlineLevel="0" collapsed="false">
      <c r="A1004" s="1" t="s">
        <v>681</v>
      </c>
      <c r="B1004" s="1" t="s">
        <v>44</v>
      </c>
      <c r="C1004" s="1" t="s">
        <v>698</v>
      </c>
      <c r="D1004" s="1" t="s">
        <v>282</v>
      </c>
      <c r="E1004" s="82" t="n">
        <v>19</v>
      </c>
      <c r="F1004" s="26" t="n">
        <v>60.0816569724771</v>
      </c>
      <c r="G1004" s="26" t="n">
        <v>1141.55148247707</v>
      </c>
      <c r="H1004" s="1" t="s">
        <v>699</v>
      </c>
    </row>
    <row r="1005" customFormat="false" ht="15" hidden="false" customHeight="true" outlineLevel="0" collapsed="false">
      <c r="A1005" s="1" t="s">
        <v>644</v>
      </c>
      <c r="B1005" s="1" t="s">
        <v>80</v>
      </c>
      <c r="C1005" s="1" t="s">
        <v>80</v>
      </c>
      <c r="D1005" s="1" t="s">
        <v>287</v>
      </c>
      <c r="E1005" s="82" t="n">
        <v>6280</v>
      </c>
      <c r="F1005" s="26" t="n">
        <v>0.154543612417484</v>
      </c>
      <c r="G1005" s="26" t="n">
        <v>970.5338859818</v>
      </c>
      <c r="H1005" s="1" t="s">
        <v>451</v>
      </c>
    </row>
    <row r="1006" customFormat="false" ht="15" hidden="false" customHeight="true" outlineLevel="0" collapsed="false">
      <c r="A1006" s="1" t="s">
        <v>644</v>
      </c>
      <c r="B1006" s="1" t="s">
        <v>80</v>
      </c>
      <c r="C1006" s="1" t="s">
        <v>80</v>
      </c>
      <c r="D1006" s="1" t="s">
        <v>284</v>
      </c>
      <c r="E1006" s="82" t="n">
        <v>14331</v>
      </c>
      <c r="F1006" s="26" t="n">
        <v>0.154543612417484</v>
      </c>
      <c r="G1006" s="26" t="n">
        <v>2214.76450955496</v>
      </c>
      <c r="H1006" s="1" t="s">
        <v>451</v>
      </c>
    </row>
    <row r="1007" customFormat="false" ht="15" hidden="false" customHeight="true" outlineLevel="0" collapsed="false">
      <c r="A1007" s="1" t="s">
        <v>644</v>
      </c>
      <c r="B1007" s="1" t="s">
        <v>80</v>
      </c>
      <c r="C1007" s="1" t="s">
        <v>80</v>
      </c>
      <c r="D1007" s="1" t="s">
        <v>293</v>
      </c>
      <c r="E1007" s="82" t="n">
        <v>3650</v>
      </c>
      <c r="F1007" s="26" t="n">
        <v>0.154543612417484</v>
      </c>
      <c r="G1007" s="26" t="n">
        <v>564.084185323817</v>
      </c>
      <c r="H1007" s="1" t="s">
        <v>451</v>
      </c>
    </row>
    <row r="1008" customFormat="false" ht="15" hidden="false" customHeight="true" outlineLevel="0" collapsed="false">
      <c r="A1008" s="1" t="s">
        <v>644</v>
      </c>
      <c r="B1008" s="1" t="s">
        <v>80</v>
      </c>
      <c r="C1008" s="1" t="s">
        <v>80</v>
      </c>
      <c r="D1008" s="1" t="s">
        <v>290</v>
      </c>
      <c r="E1008" s="82" t="n">
        <v>6396</v>
      </c>
      <c r="F1008" s="26" t="n">
        <v>0.154543612417484</v>
      </c>
      <c r="G1008" s="26" t="n">
        <v>988.460945022228</v>
      </c>
      <c r="H1008" s="1" t="s">
        <v>451</v>
      </c>
    </row>
    <row r="1009" customFormat="false" ht="15" hidden="false" customHeight="true" outlineLevel="0" collapsed="false">
      <c r="A1009" s="1" t="s">
        <v>644</v>
      </c>
      <c r="B1009" s="1" t="s">
        <v>80</v>
      </c>
      <c r="C1009" s="1" t="s">
        <v>80</v>
      </c>
      <c r="D1009" s="1" t="s">
        <v>285</v>
      </c>
      <c r="E1009" s="82" t="n">
        <v>4730</v>
      </c>
      <c r="F1009" s="26" t="n">
        <v>0.154543612417484</v>
      </c>
      <c r="G1009" s="26" t="n">
        <v>730.991286734699</v>
      </c>
      <c r="H1009" s="1" t="s">
        <v>451</v>
      </c>
    </row>
    <row r="1010" customFormat="false" ht="15" hidden="false" customHeight="true" outlineLevel="0" collapsed="false">
      <c r="A1010" s="1" t="s">
        <v>644</v>
      </c>
      <c r="B1010" s="1" t="s">
        <v>80</v>
      </c>
      <c r="C1010" s="1" t="s">
        <v>80</v>
      </c>
      <c r="D1010" s="1" t="s">
        <v>282</v>
      </c>
      <c r="E1010" s="82" t="n">
        <v>4782</v>
      </c>
      <c r="F1010" s="26" t="n">
        <v>0.154543612417484</v>
      </c>
      <c r="G1010" s="26" t="n">
        <v>739.027554580408</v>
      </c>
      <c r="H1010" s="1" t="s">
        <v>451</v>
      </c>
    </row>
    <row r="1011" customFormat="false" ht="15" hidden="false" customHeight="true" outlineLevel="0" collapsed="false">
      <c r="A1011" s="1" t="s">
        <v>654</v>
      </c>
      <c r="B1011" s="1" t="s">
        <v>80</v>
      </c>
      <c r="C1011" s="1" t="s">
        <v>80</v>
      </c>
      <c r="D1011" s="1" t="s">
        <v>287</v>
      </c>
      <c r="E1011" s="82" t="n">
        <v>6445</v>
      </c>
      <c r="F1011" s="26" t="n">
        <v>0.150676625241861</v>
      </c>
      <c r="G1011" s="26" t="n">
        <v>971.110849683794</v>
      </c>
      <c r="H1011" s="1" t="s">
        <v>451</v>
      </c>
    </row>
    <row r="1012" customFormat="false" ht="15" hidden="false" customHeight="true" outlineLevel="0" collapsed="false">
      <c r="A1012" s="1" t="s">
        <v>654</v>
      </c>
      <c r="B1012" s="1" t="s">
        <v>80</v>
      </c>
      <c r="C1012" s="1" t="s">
        <v>80</v>
      </c>
      <c r="D1012" s="1" t="s">
        <v>284</v>
      </c>
      <c r="E1012" s="82" t="n">
        <v>14441</v>
      </c>
      <c r="F1012" s="26" t="n">
        <v>0.150676625241861</v>
      </c>
      <c r="G1012" s="26" t="n">
        <v>2175.92114511772</v>
      </c>
      <c r="H1012" s="1" t="s">
        <v>451</v>
      </c>
    </row>
    <row r="1013" customFormat="false" ht="15" hidden="false" customHeight="true" outlineLevel="0" collapsed="false">
      <c r="A1013" s="1" t="s">
        <v>654</v>
      </c>
      <c r="B1013" s="1" t="s">
        <v>80</v>
      </c>
      <c r="C1013" s="1" t="s">
        <v>80</v>
      </c>
      <c r="D1013" s="1" t="s">
        <v>293</v>
      </c>
      <c r="E1013" s="82" t="n">
        <v>3704</v>
      </c>
      <c r="F1013" s="26" t="n">
        <v>0.150676625241861</v>
      </c>
      <c r="G1013" s="26" t="n">
        <v>558.106219895853</v>
      </c>
      <c r="H1013" s="1" t="s">
        <v>451</v>
      </c>
    </row>
    <row r="1014" customFormat="false" ht="15" hidden="false" customHeight="true" outlineLevel="0" collapsed="false">
      <c r="A1014" s="1" t="s">
        <v>654</v>
      </c>
      <c r="B1014" s="1" t="s">
        <v>80</v>
      </c>
      <c r="C1014" s="1" t="s">
        <v>80</v>
      </c>
      <c r="D1014" s="1" t="s">
        <v>290</v>
      </c>
      <c r="E1014" s="82" t="n">
        <v>6434</v>
      </c>
      <c r="F1014" s="26" t="n">
        <v>0.150676625241861</v>
      </c>
      <c r="G1014" s="26" t="n">
        <v>969.453406806134</v>
      </c>
      <c r="H1014" s="1" t="s">
        <v>451</v>
      </c>
    </row>
    <row r="1015" customFormat="false" ht="15" hidden="false" customHeight="true" outlineLevel="0" collapsed="false">
      <c r="A1015" s="1" t="s">
        <v>654</v>
      </c>
      <c r="B1015" s="1" t="s">
        <v>80</v>
      </c>
      <c r="C1015" s="1" t="s">
        <v>80</v>
      </c>
      <c r="D1015" s="1" t="s">
        <v>285</v>
      </c>
      <c r="E1015" s="82" t="n">
        <v>4749</v>
      </c>
      <c r="F1015" s="26" t="n">
        <v>0.150676625241861</v>
      </c>
      <c r="G1015" s="26" t="n">
        <v>715.563293273598</v>
      </c>
      <c r="H1015" s="1" t="s">
        <v>451</v>
      </c>
    </row>
    <row r="1016" customFormat="false" ht="15" hidden="false" customHeight="true" outlineLevel="0" collapsed="false">
      <c r="A1016" s="1" t="s">
        <v>654</v>
      </c>
      <c r="B1016" s="1" t="s">
        <v>80</v>
      </c>
      <c r="C1016" s="1" t="s">
        <v>80</v>
      </c>
      <c r="D1016" s="1" t="s">
        <v>282</v>
      </c>
      <c r="E1016" s="82" t="n">
        <v>4795</v>
      </c>
      <c r="F1016" s="26" t="n">
        <v>0.150676625241861</v>
      </c>
      <c r="G1016" s="26" t="n">
        <v>722.494418034724</v>
      </c>
      <c r="H1016" s="1" t="s">
        <v>451</v>
      </c>
    </row>
    <row r="1017" customFormat="false" ht="15" hidden="false" customHeight="true" outlineLevel="0" collapsed="false">
      <c r="A1017" s="1" t="s">
        <v>681</v>
      </c>
      <c r="B1017" s="1" t="s">
        <v>80</v>
      </c>
      <c r="C1017" s="1" t="s">
        <v>80</v>
      </c>
      <c r="D1017" s="1" t="s">
        <v>287</v>
      </c>
      <c r="E1017" s="82" t="n">
        <v>6588</v>
      </c>
      <c r="F1017" s="26" t="n">
        <v>0.145289779573281</v>
      </c>
      <c r="G1017" s="26" t="n">
        <v>957.169067828775</v>
      </c>
      <c r="H1017" s="1" t="s">
        <v>451</v>
      </c>
    </row>
    <row r="1018" customFormat="false" ht="15" hidden="false" customHeight="true" outlineLevel="0" collapsed="false">
      <c r="A1018" s="1" t="s">
        <v>681</v>
      </c>
      <c r="B1018" s="1" t="s">
        <v>80</v>
      </c>
      <c r="C1018" s="1" t="s">
        <v>80</v>
      </c>
      <c r="D1018" s="1" t="s">
        <v>284</v>
      </c>
      <c r="E1018" s="82" t="n">
        <v>14689</v>
      </c>
      <c r="F1018" s="26" t="n">
        <v>0.145289779573281</v>
      </c>
      <c r="G1018" s="26" t="n">
        <v>2134.16157215193</v>
      </c>
      <c r="H1018" s="1" t="s">
        <v>451</v>
      </c>
    </row>
    <row r="1019" customFormat="false" ht="15" hidden="false" customHeight="true" outlineLevel="0" collapsed="false">
      <c r="A1019" s="1" t="s">
        <v>681</v>
      </c>
      <c r="B1019" s="1" t="s">
        <v>80</v>
      </c>
      <c r="C1019" s="1" t="s">
        <v>80</v>
      </c>
      <c r="D1019" s="1" t="s">
        <v>293</v>
      </c>
      <c r="E1019" s="82" t="n">
        <v>3765</v>
      </c>
      <c r="F1019" s="26" t="n">
        <v>0.145289779573281</v>
      </c>
      <c r="G1019" s="26" t="n">
        <v>547.016020093403</v>
      </c>
      <c r="H1019" s="1" t="s">
        <v>451</v>
      </c>
    </row>
    <row r="1020" customFormat="false" ht="15" hidden="false" customHeight="true" outlineLevel="0" collapsed="false">
      <c r="A1020" s="1" t="s">
        <v>681</v>
      </c>
      <c r="B1020" s="1" t="s">
        <v>80</v>
      </c>
      <c r="C1020" s="1" t="s">
        <v>80</v>
      </c>
      <c r="D1020" s="1" t="s">
        <v>290</v>
      </c>
      <c r="E1020" s="82" t="n">
        <v>6568</v>
      </c>
      <c r="F1020" s="26" t="n">
        <v>0.145289779573281</v>
      </c>
      <c r="G1020" s="26" t="n">
        <v>954.26327223731</v>
      </c>
      <c r="H1020" s="1" t="s">
        <v>451</v>
      </c>
    </row>
    <row r="1021" customFormat="false" ht="15" hidden="false" customHeight="true" outlineLevel="0" collapsed="false">
      <c r="A1021" s="1" t="s">
        <v>681</v>
      </c>
      <c r="B1021" s="1" t="s">
        <v>80</v>
      </c>
      <c r="C1021" s="1" t="s">
        <v>80</v>
      </c>
      <c r="D1021" s="1" t="s">
        <v>285</v>
      </c>
      <c r="E1021" s="82" t="n">
        <v>4805</v>
      </c>
      <c r="F1021" s="26" t="n">
        <v>0.145289779573281</v>
      </c>
      <c r="G1021" s="26" t="n">
        <v>698.117390849615</v>
      </c>
      <c r="H1021" s="1" t="s">
        <v>451</v>
      </c>
    </row>
    <row r="1022" customFormat="false" ht="15" hidden="false" customHeight="true" outlineLevel="0" collapsed="false">
      <c r="A1022" s="1" t="s">
        <v>681</v>
      </c>
      <c r="B1022" s="1" t="s">
        <v>80</v>
      </c>
      <c r="C1022" s="1" t="s">
        <v>80</v>
      </c>
      <c r="D1022" s="1" t="s">
        <v>282</v>
      </c>
      <c r="E1022" s="82" t="n">
        <v>4806</v>
      </c>
      <c r="F1022" s="26" t="n">
        <v>0.145289779573281</v>
      </c>
      <c r="G1022" s="26" t="n">
        <v>698.262680629189</v>
      </c>
      <c r="H1022" s="1" t="s">
        <v>451</v>
      </c>
    </row>
    <row r="1023" customFormat="false" ht="15" hidden="false" customHeight="true" outlineLevel="0" collapsed="false">
      <c r="A1023" s="1" t="s">
        <v>644</v>
      </c>
      <c r="B1023" s="1" t="s">
        <v>42</v>
      </c>
      <c r="C1023" s="1" t="s">
        <v>42</v>
      </c>
      <c r="D1023" s="1" t="s">
        <v>287</v>
      </c>
      <c r="E1023" s="82" t="n">
        <v>6280</v>
      </c>
      <c r="F1023" s="26" t="n">
        <v>0.145293801710045</v>
      </c>
      <c r="G1023" s="26" t="n">
        <v>912.445074739083</v>
      </c>
      <c r="H1023" s="1" t="s">
        <v>451</v>
      </c>
    </row>
    <row r="1024" customFormat="false" ht="15" hidden="false" customHeight="true" outlineLevel="0" collapsed="false">
      <c r="A1024" s="1" t="s">
        <v>644</v>
      </c>
      <c r="B1024" s="1" t="s">
        <v>42</v>
      </c>
      <c r="C1024" s="1" t="s">
        <v>42</v>
      </c>
      <c r="D1024" s="1" t="s">
        <v>284</v>
      </c>
      <c r="E1024" s="82" t="n">
        <v>14331</v>
      </c>
      <c r="F1024" s="26" t="n">
        <v>0.145293801710045</v>
      </c>
      <c r="G1024" s="26" t="n">
        <v>2082.20547230666</v>
      </c>
      <c r="H1024" s="1" t="s">
        <v>451</v>
      </c>
    </row>
    <row r="1025" customFormat="false" ht="15" hidden="false" customHeight="true" outlineLevel="0" collapsed="false">
      <c r="A1025" s="1" t="s">
        <v>644</v>
      </c>
      <c r="B1025" s="1" t="s">
        <v>42</v>
      </c>
      <c r="C1025" s="1" t="s">
        <v>42</v>
      </c>
      <c r="D1025" s="1" t="s">
        <v>293</v>
      </c>
      <c r="E1025" s="82" t="n">
        <v>3650</v>
      </c>
      <c r="F1025" s="26" t="n">
        <v>0.145293801710045</v>
      </c>
      <c r="G1025" s="26" t="n">
        <v>530.322376241664</v>
      </c>
      <c r="H1025" s="1" t="s">
        <v>451</v>
      </c>
    </row>
    <row r="1026" customFormat="false" ht="15" hidden="false" customHeight="true" outlineLevel="0" collapsed="false">
      <c r="A1026" s="1" t="s">
        <v>644</v>
      </c>
      <c r="B1026" s="1" t="s">
        <v>42</v>
      </c>
      <c r="C1026" s="1" t="s">
        <v>42</v>
      </c>
      <c r="D1026" s="1" t="s">
        <v>290</v>
      </c>
      <c r="E1026" s="82" t="n">
        <v>6396</v>
      </c>
      <c r="F1026" s="26" t="n">
        <v>0.145293801710045</v>
      </c>
      <c r="G1026" s="26" t="n">
        <v>929.299155737448</v>
      </c>
      <c r="H1026" s="1" t="s">
        <v>451</v>
      </c>
    </row>
    <row r="1027" customFormat="false" ht="15" hidden="false" customHeight="true" outlineLevel="0" collapsed="false">
      <c r="A1027" s="1" t="s">
        <v>644</v>
      </c>
      <c r="B1027" s="1" t="s">
        <v>42</v>
      </c>
      <c r="C1027" s="1" t="s">
        <v>42</v>
      </c>
      <c r="D1027" s="1" t="s">
        <v>285</v>
      </c>
      <c r="E1027" s="82" t="n">
        <v>4730</v>
      </c>
      <c r="F1027" s="26" t="n">
        <v>0.145293801710045</v>
      </c>
      <c r="G1027" s="26" t="n">
        <v>687.239682088513</v>
      </c>
      <c r="H1027" s="1" t="s">
        <v>451</v>
      </c>
    </row>
    <row r="1028" customFormat="false" ht="15" hidden="false" customHeight="true" outlineLevel="0" collapsed="false">
      <c r="A1028" s="1" t="s">
        <v>644</v>
      </c>
      <c r="B1028" s="1" t="s">
        <v>42</v>
      </c>
      <c r="C1028" s="1" t="s">
        <v>42</v>
      </c>
      <c r="D1028" s="1" t="s">
        <v>282</v>
      </c>
      <c r="E1028" s="82" t="n">
        <v>4782</v>
      </c>
      <c r="F1028" s="26" t="n">
        <v>0.145293801710045</v>
      </c>
      <c r="G1028" s="26" t="n">
        <v>694.794959777435</v>
      </c>
      <c r="H1028" s="1" t="s">
        <v>451</v>
      </c>
    </row>
    <row r="1029" customFormat="false" ht="15" hidden="false" customHeight="true" outlineLevel="0" collapsed="false">
      <c r="A1029" s="1" t="s">
        <v>654</v>
      </c>
      <c r="B1029" s="1" t="s">
        <v>42</v>
      </c>
      <c r="C1029" s="1" t="s">
        <v>42</v>
      </c>
      <c r="D1029" s="1" t="s">
        <v>287</v>
      </c>
      <c r="E1029" s="82" t="n">
        <v>6445</v>
      </c>
      <c r="F1029" s="26" t="n">
        <v>0.146782423739836</v>
      </c>
      <c r="G1029" s="26" t="n">
        <v>946.012721003243</v>
      </c>
      <c r="H1029" s="1" t="s">
        <v>451</v>
      </c>
    </row>
    <row r="1030" customFormat="false" ht="15" hidden="false" customHeight="true" outlineLevel="0" collapsed="false">
      <c r="A1030" s="1" t="s">
        <v>654</v>
      </c>
      <c r="B1030" s="1" t="s">
        <v>42</v>
      </c>
      <c r="C1030" s="1" t="s">
        <v>42</v>
      </c>
      <c r="D1030" s="1" t="s">
        <v>284</v>
      </c>
      <c r="E1030" s="82" t="n">
        <v>14441</v>
      </c>
      <c r="F1030" s="26" t="n">
        <v>0.146782423739836</v>
      </c>
      <c r="G1030" s="26" t="n">
        <v>2119.68498122697</v>
      </c>
      <c r="H1030" s="1" t="s">
        <v>451</v>
      </c>
    </row>
    <row r="1031" customFormat="false" ht="15" hidden="false" customHeight="true" outlineLevel="0" collapsed="false">
      <c r="A1031" s="1" t="s">
        <v>654</v>
      </c>
      <c r="B1031" s="1" t="s">
        <v>42</v>
      </c>
      <c r="C1031" s="1" t="s">
        <v>42</v>
      </c>
      <c r="D1031" s="1" t="s">
        <v>293</v>
      </c>
      <c r="E1031" s="82" t="n">
        <v>3704</v>
      </c>
      <c r="F1031" s="26" t="n">
        <v>0.146782423739836</v>
      </c>
      <c r="G1031" s="26" t="n">
        <v>543.682097532353</v>
      </c>
      <c r="H1031" s="1" t="s">
        <v>451</v>
      </c>
    </row>
    <row r="1032" customFormat="false" ht="15" hidden="false" customHeight="true" outlineLevel="0" collapsed="false">
      <c r="A1032" s="1" t="s">
        <v>654</v>
      </c>
      <c r="B1032" s="1" t="s">
        <v>42</v>
      </c>
      <c r="C1032" s="1" t="s">
        <v>42</v>
      </c>
      <c r="D1032" s="1" t="s">
        <v>290</v>
      </c>
      <c r="E1032" s="82" t="n">
        <v>6434</v>
      </c>
      <c r="F1032" s="26" t="n">
        <v>0.146782423739836</v>
      </c>
      <c r="G1032" s="26" t="n">
        <v>944.398114342105</v>
      </c>
      <c r="H1032" s="1" t="s">
        <v>451</v>
      </c>
    </row>
    <row r="1033" customFormat="false" ht="15" hidden="false" customHeight="true" outlineLevel="0" collapsed="false">
      <c r="A1033" s="1" t="s">
        <v>654</v>
      </c>
      <c r="B1033" s="1" t="s">
        <v>42</v>
      </c>
      <c r="C1033" s="1" t="s">
        <v>42</v>
      </c>
      <c r="D1033" s="1" t="s">
        <v>285</v>
      </c>
      <c r="E1033" s="82" t="n">
        <v>4749</v>
      </c>
      <c r="F1033" s="26" t="n">
        <v>0.146782423739836</v>
      </c>
      <c r="G1033" s="26" t="n">
        <v>697.069730340481</v>
      </c>
      <c r="H1033" s="1" t="s">
        <v>451</v>
      </c>
    </row>
    <row r="1034" customFormat="false" ht="15" hidden="false" customHeight="true" outlineLevel="0" collapsed="false">
      <c r="A1034" s="1" t="s">
        <v>654</v>
      </c>
      <c r="B1034" s="1" t="s">
        <v>42</v>
      </c>
      <c r="C1034" s="1" t="s">
        <v>42</v>
      </c>
      <c r="D1034" s="1" t="s">
        <v>282</v>
      </c>
      <c r="E1034" s="82" t="n">
        <v>4795</v>
      </c>
      <c r="F1034" s="26" t="n">
        <v>0.146782423739836</v>
      </c>
      <c r="G1034" s="26" t="n">
        <v>703.821721832514</v>
      </c>
      <c r="H1034" s="1" t="s">
        <v>451</v>
      </c>
    </row>
    <row r="1035" customFormat="false" ht="15" hidden="false" customHeight="true" outlineLevel="0" collapsed="false">
      <c r="A1035" s="1" t="s">
        <v>681</v>
      </c>
      <c r="B1035" s="1" t="s">
        <v>42</v>
      </c>
      <c r="C1035" s="1" t="s">
        <v>42</v>
      </c>
      <c r="D1035" s="1" t="s">
        <v>287</v>
      </c>
      <c r="E1035" s="82" t="n">
        <v>6588</v>
      </c>
      <c r="F1035" s="26" t="n">
        <v>0.136978220673766</v>
      </c>
      <c r="G1035" s="26" t="n">
        <v>902.41251779877</v>
      </c>
      <c r="H1035" s="1" t="s">
        <v>451</v>
      </c>
    </row>
    <row r="1036" customFormat="false" ht="15" hidden="false" customHeight="true" outlineLevel="0" collapsed="false">
      <c r="A1036" s="1" t="s">
        <v>681</v>
      </c>
      <c r="B1036" s="1" t="s">
        <v>42</v>
      </c>
      <c r="C1036" s="1" t="s">
        <v>42</v>
      </c>
      <c r="D1036" s="1" t="s">
        <v>284</v>
      </c>
      <c r="E1036" s="82" t="n">
        <v>14689</v>
      </c>
      <c r="F1036" s="26" t="n">
        <v>0.136978220673766</v>
      </c>
      <c r="G1036" s="26" t="n">
        <v>2012.07308347695</v>
      </c>
      <c r="H1036" s="1" t="s">
        <v>451</v>
      </c>
    </row>
    <row r="1037" customFormat="false" ht="15" hidden="false" customHeight="true" outlineLevel="0" collapsed="false">
      <c r="A1037" s="1" t="s">
        <v>681</v>
      </c>
      <c r="B1037" s="1" t="s">
        <v>42</v>
      </c>
      <c r="C1037" s="1" t="s">
        <v>42</v>
      </c>
      <c r="D1037" s="1" t="s">
        <v>293</v>
      </c>
      <c r="E1037" s="82" t="n">
        <v>3765</v>
      </c>
      <c r="F1037" s="26" t="n">
        <v>0.136978220673766</v>
      </c>
      <c r="G1037" s="26" t="n">
        <v>515.723000836729</v>
      </c>
      <c r="H1037" s="1" t="s">
        <v>451</v>
      </c>
    </row>
    <row r="1038" customFormat="false" ht="15" hidden="false" customHeight="true" outlineLevel="0" collapsed="false">
      <c r="A1038" s="1" t="s">
        <v>681</v>
      </c>
      <c r="B1038" s="1" t="s">
        <v>42</v>
      </c>
      <c r="C1038" s="1" t="s">
        <v>42</v>
      </c>
      <c r="D1038" s="1" t="s">
        <v>290</v>
      </c>
      <c r="E1038" s="82" t="n">
        <v>6568</v>
      </c>
      <c r="F1038" s="26" t="n">
        <v>0.136978220673766</v>
      </c>
      <c r="G1038" s="26" t="n">
        <v>899.672953385295</v>
      </c>
      <c r="H1038" s="1" t="s">
        <v>451</v>
      </c>
    </row>
    <row r="1039" customFormat="false" ht="15" hidden="false" customHeight="true" outlineLevel="0" collapsed="false">
      <c r="A1039" s="1" t="s">
        <v>681</v>
      </c>
      <c r="B1039" s="1" t="s">
        <v>42</v>
      </c>
      <c r="C1039" s="1" t="s">
        <v>42</v>
      </c>
      <c r="D1039" s="1" t="s">
        <v>285</v>
      </c>
      <c r="E1039" s="82" t="n">
        <v>4805</v>
      </c>
      <c r="F1039" s="26" t="n">
        <v>0.136978220673766</v>
      </c>
      <c r="G1039" s="26" t="n">
        <v>658.180350337446</v>
      </c>
      <c r="H1039" s="1" t="s">
        <v>451</v>
      </c>
    </row>
    <row r="1040" customFormat="false" ht="15" hidden="false" customHeight="true" outlineLevel="0" collapsed="false">
      <c r="A1040" s="1" t="s">
        <v>681</v>
      </c>
      <c r="B1040" s="1" t="s">
        <v>42</v>
      </c>
      <c r="C1040" s="1" t="s">
        <v>42</v>
      </c>
      <c r="D1040" s="1" t="s">
        <v>282</v>
      </c>
      <c r="E1040" s="82" t="n">
        <v>4806</v>
      </c>
      <c r="F1040" s="26" t="n">
        <v>0.136978220673766</v>
      </c>
      <c r="G1040" s="26" t="n">
        <v>658.317328558119</v>
      </c>
      <c r="H1040" s="1" t="s">
        <v>451</v>
      </c>
    </row>
    <row r="1041" customFormat="false" ht="15" hidden="false" customHeight="true" outlineLevel="0" collapsed="false">
      <c r="A1041" s="1" t="s">
        <v>644</v>
      </c>
      <c r="B1041" s="1" t="s">
        <v>34</v>
      </c>
      <c r="C1041" s="1" t="s">
        <v>34</v>
      </c>
      <c r="D1041" s="1" t="s">
        <v>287</v>
      </c>
      <c r="E1041" s="82" t="n">
        <v>6280</v>
      </c>
      <c r="F1041" s="26" t="n">
        <v>0.23174321635211</v>
      </c>
      <c r="G1041" s="26" t="n">
        <v>1455.347399</v>
      </c>
      <c r="H1041" s="1" t="s">
        <v>451</v>
      </c>
    </row>
    <row r="1042" customFormat="false" ht="15" hidden="false" customHeight="true" outlineLevel="0" collapsed="false">
      <c r="A1042" s="1" t="s">
        <v>644</v>
      </c>
      <c r="B1042" s="1" t="s">
        <v>34</v>
      </c>
      <c r="C1042" s="1" t="s">
        <v>34</v>
      </c>
      <c r="D1042" s="1" t="s">
        <v>289</v>
      </c>
      <c r="E1042" s="82" t="n">
        <v>13402</v>
      </c>
      <c r="F1042" s="26" t="n">
        <v>0.23174321635211</v>
      </c>
      <c r="G1042" s="26" t="n">
        <v>3105.822586</v>
      </c>
      <c r="H1042" s="1" t="s">
        <v>451</v>
      </c>
    </row>
    <row r="1043" customFormat="false" ht="15" hidden="false" customHeight="true" outlineLevel="0" collapsed="false">
      <c r="A1043" s="1" t="s">
        <v>644</v>
      </c>
      <c r="B1043" s="1" t="s">
        <v>34</v>
      </c>
      <c r="C1043" s="1" t="s">
        <v>34</v>
      </c>
      <c r="D1043" s="1" t="s">
        <v>284</v>
      </c>
      <c r="E1043" s="82" t="n">
        <v>14331</v>
      </c>
      <c r="F1043" s="26" t="n">
        <v>0.23174321635211</v>
      </c>
      <c r="G1043" s="26" t="n">
        <v>3321.112034</v>
      </c>
      <c r="H1043" s="1" t="s">
        <v>451</v>
      </c>
    </row>
    <row r="1044" customFormat="false" ht="15" hidden="false" customHeight="true" outlineLevel="0" collapsed="false">
      <c r="A1044" s="1" t="s">
        <v>644</v>
      </c>
      <c r="B1044" s="1" t="s">
        <v>34</v>
      </c>
      <c r="C1044" s="1" t="s">
        <v>34</v>
      </c>
      <c r="D1044" s="1" t="s">
        <v>293</v>
      </c>
      <c r="E1044" s="82" t="n">
        <v>3650</v>
      </c>
      <c r="F1044" s="26" t="n">
        <v>0.23174321635211</v>
      </c>
      <c r="G1044" s="26" t="n">
        <v>845.86274</v>
      </c>
      <c r="H1044" s="1" t="s">
        <v>451</v>
      </c>
    </row>
    <row r="1045" customFormat="false" ht="15" hidden="false" customHeight="true" outlineLevel="0" collapsed="false">
      <c r="A1045" s="1" t="s">
        <v>644</v>
      </c>
      <c r="B1045" s="1" t="s">
        <v>34</v>
      </c>
      <c r="C1045" s="1" t="s">
        <v>34</v>
      </c>
      <c r="D1045" s="1" t="s">
        <v>290</v>
      </c>
      <c r="E1045" s="82" t="n">
        <v>6396</v>
      </c>
      <c r="F1045" s="26" t="n">
        <v>0.23174321635211</v>
      </c>
      <c r="G1045" s="26" t="n">
        <v>1482.229612</v>
      </c>
      <c r="H1045" s="1" t="s">
        <v>451</v>
      </c>
    </row>
    <row r="1046" customFormat="false" ht="15" hidden="false" customHeight="true" outlineLevel="0" collapsed="false">
      <c r="A1046" s="1" t="s">
        <v>644</v>
      </c>
      <c r="B1046" s="1" t="s">
        <v>34</v>
      </c>
      <c r="C1046" s="1" t="s">
        <v>34</v>
      </c>
      <c r="D1046" s="1" t="s">
        <v>285</v>
      </c>
      <c r="E1046" s="82" t="n">
        <v>4730</v>
      </c>
      <c r="F1046" s="26" t="n">
        <v>0.23174321635211</v>
      </c>
      <c r="G1046" s="26" t="n">
        <v>1096.145413</v>
      </c>
      <c r="H1046" s="1" t="s">
        <v>451</v>
      </c>
    </row>
    <row r="1047" customFormat="false" ht="15" hidden="false" customHeight="true" outlineLevel="0" collapsed="false">
      <c r="A1047" s="1" t="s">
        <v>644</v>
      </c>
      <c r="B1047" s="1" t="s">
        <v>34</v>
      </c>
      <c r="C1047" s="1" t="s">
        <v>34</v>
      </c>
      <c r="D1047" s="1" t="s">
        <v>282</v>
      </c>
      <c r="E1047" s="82" t="n">
        <v>4782</v>
      </c>
      <c r="F1047" s="26" t="n">
        <v>0.23174321635211</v>
      </c>
      <c r="G1047" s="26" t="n">
        <v>1108.196061</v>
      </c>
      <c r="H1047" s="1" t="s">
        <v>451</v>
      </c>
    </row>
    <row r="1048" customFormat="false" ht="15" hidden="false" customHeight="true" outlineLevel="0" collapsed="false">
      <c r="A1048" s="1" t="s">
        <v>654</v>
      </c>
      <c r="B1048" s="1" t="s">
        <v>34</v>
      </c>
      <c r="C1048" s="1" t="s">
        <v>34</v>
      </c>
      <c r="D1048" s="1" t="s">
        <v>287</v>
      </c>
      <c r="E1048" s="82" t="n">
        <v>6445</v>
      </c>
      <c r="F1048" s="26" t="n">
        <v>0.251543736341568</v>
      </c>
      <c r="G1048" s="26" t="n">
        <v>1621.199381</v>
      </c>
      <c r="H1048" s="1" t="s">
        <v>451</v>
      </c>
    </row>
    <row r="1049" customFormat="false" ht="15" hidden="false" customHeight="true" outlineLevel="0" collapsed="false">
      <c r="A1049" s="1" t="s">
        <v>654</v>
      </c>
      <c r="B1049" s="1" t="s">
        <v>34</v>
      </c>
      <c r="C1049" s="1" t="s">
        <v>34</v>
      </c>
      <c r="D1049" s="1" t="s">
        <v>289</v>
      </c>
      <c r="E1049" s="82" t="n">
        <v>13418</v>
      </c>
      <c r="F1049" s="26" t="n">
        <v>0.251543736341568</v>
      </c>
      <c r="G1049" s="26" t="n">
        <v>3375.213854</v>
      </c>
      <c r="H1049" s="1" t="s">
        <v>451</v>
      </c>
    </row>
    <row r="1050" customFormat="false" ht="15" hidden="false" customHeight="true" outlineLevel="0" collapsed="false">
      <c r="A1050" s="1" t="s">
        <v>654</v>
      </c>
      <c r="B1050" s="1" t="s">
        <v>34</v>
      </c>
      <c r="C1050" s="1" t="s">
        <v>34</v>
      </c>
      <c r="D1050" s="1" t="s">
        <v>284</v>
      </c>
      <c r="E1050" s="82" t="n">
        <v>14441</v>
      </c>
      <c r="F1050" s="26" t="n">
        <v>0.251543736341568</v>
      </c>
      <c r="G1050" s="26" t="n">
        <v>3632.543097</v>
      </c>
      <c r="H1050" s="1" t="s">
        <v>451</v>
      </c>
    </row>
    <row r="1051" customFormat="false" ht="15" hidden="false" customHeight="true" outlineLevel="0" collapsed="false">
      <c r="A1051" s="1" t="s">
        <v>654</v>
      </c>
      <c r="B1051" s="1" t="s">
        <v>34</v>
      </c>
      <c r="C1051" s="1" t="s">
        <v>34</v>
      </c>
      <c r="D1051" s="1" t="s">
        <v>293</v>
      </c>
      <c r="E1051" s="82" t="n">
        <v>3704</v>
      </c>
      <c r="F1051" s="26" t="n">
        <v>0.251543736341568</v>
      </c>
      <c r="G1051" s="26" t="n">
        <v>931.717999</v>
      </c>
      <c r="H1051" s="1" t="s">
        <v>451</v>
      </c>
    </row>
    <row r="1052" customFormat="false" ht="15" hidden="false" customHeight="true" outlineLevel="0" collapsed="false">
      <c r="A1052" s="1" t="s">
        <v>654</v>
      </c>
      <c r="B1052" s="1" t="s">
        <v>34</v>
      </c>
      <c r="C1052" s="1" t="s">
        <v>34</v>
      </c>
      <c r="D1052" s="1" t="s">
        <v>290</v>
      </c>
      <c r="E1052" s="82" t="n">
        <v>6434</v>
      </c>
      <c r="F1052" s="26" t="n">
        <v>0.251543736341568</v>
      </c>
      <c r="G1052" s="26" t="n">
        <v>1618.4324</v>
      </c>
      <c r="H1052" s="1" t="s">
        <v>451</v>
      </c>
    </row>
    <row r="1053" customFormat="false" ht="15" hidden="false" customHeight="true" outlineLevel="0" collapsed="false">
      <c r="A1053" s="1" t="s">
        <v>654</v>
      </c>
      <c r="B1053" s="1" t="s">
        <v>34</v>
      </c>
      <c r="C1053" s="1" t="s">
        <v>34</v>
      </c>
      <c r="D1053" s="1" t="s">
        <v>285</v>
      </c>
      <c r="E1053" s="82" t="n">
        <v>4749</v>
      </c>
      <c r="F1053" s="26" t="n">
        <v>0.251543736341568</v>
      </c>
      <c r="G1053" s="26" t="n">
        <v>1194.581204</v>
      </c>
      <c r="H1053" s="1" t="s">
        <v>451</v>
      </c>
    </row>
    <row r="1054" customFormat="false" ht="15" hidden="false" customHeight="true" outlineLevel="0" collapsed="false">
      <c r="A1054" s="1" t="s">
        <v>654</v>
      </c>
      <c r="B1054" s="1" t="s">
        <v>34</v>
      </c>
      <c r="C1054" s="1" t="s">
        <v>34</v>
      </c>
      <c r="D1054" s="1" t="s">
        <v>282</v>
      </c>
      <c r="E1054" s="82" t="n">
        <v>4795</v>
      </c>
      <c r="F1054" s="26" t="n">
        <v>0.251543736341568</v>
      </c>
      <c r="G1054" s="26" t="n">
        <v>1206.152216</v>
      </c>
      <c r="H1054" s="1" t="s">
        <v>451</v>
      </c>
    </row>
    <row r="1055" customFormat="false" ht="15" hidden="false" customHeight="true" outlineLevel="0" collapsed="false">
      <c r="A1055" s="1" t="s">
        <v>681</v>
      </c>
      <c r="B1055" s="1" t="s">
        <v>34</v>
      </c>
      <c r="C1055" s="1" t="s">
        <v>34</v>
      </c>
      <c r="D1055" s="1" t="s">
        <v>287</v>
      </c>
      <c r="E1055" s="82" t="n">
        <v>6588</v>
      </c>
      <c r="F1055" s="26" t="n">
        <v>0.229782928031525</v>
      </c>
      <c r="G1055" s="26" t="n">
        <v>1513.80993</v>
      </c>
      <c r="H1055" s="1" t="s">
        <v>451</v>
      </c>
    </row>
    <row r="1056" customFormat="false" ht="15" hidden="false" customHeight="true" outlineLevel="0" collapsed="false">
      <c r="A1056" s="1" t="s">
        <v>681</v>
      </c>
      <c r="B1056" s="1" t="s">
        <v>34</v>
      </c>
      <c r="C1056" s="1" t="s">
        <v>34</v>
      </c>
      <c r="D1056" s="1" t="s">
        <v>289</v>
      </c>
      <c r="E1056" s="82" t="n">
        <v>13530</v>
      </c>
      <c r="F1056" s="26" t="n">
        <v>0.229782928031525</v>
      </c>
      <c r="G1056" s="26" t="n">
        <v>3108.963016</v>
      </c>
      <c r="H1056" s="1" t="s">
        <v>451</v>
      </c>
    </row>
    <row r="1057" customFormat="false" ht="15" hidden="false" customHeight="true" outlineLevel="0" collapsed="false">
      <c r="A1057" s="1" t="s">
        <v>681</v>
      </c>
      <c r="B1057" s="1" t="s">
        <v>34</v>
      </c>
      <c r="C1057" s="1" t="s">
        <v>34</v>
      </c>
      <c r="D1057" s="1" t="s">
        <v>284</v>
      </c>
      <c r="E1057" s="82" t="n">
        <v>14689</v>
      </c>
      <c r="F1057" s="26" t="n">
        <v>0.229782928031525</v>
      </c>
      <c r="G1057" s="26" t="n">
        <v>3375.28143</v>
      </c>
      <c r="H1057" s="1" t="s">
        <v>451</v>
      </c>
    </row>
    <row r="1058" customFormat="false" ht="15" hidden="false" customHeight="true" outlineLevel="0" collapsed="false">
      <c r="A1058" s="1" t="s">
        <v>681</v>
      </c>
      <c r="B1058" s="1" t="s">
        <v>34</v>
      </c>
      <c r="C1058" s="1" t="s">
        <v>34</v>
      </c>
      <c r="D1058" s="1" t="s">
        <v>293</v>
      </c>
      <c r="E1058" s="82" t="n">
        <v>3765</v>
      </c>
      <c r="F1058" s="26" t="n">
        <v>0.229782928031525</v>
      </c>
      <c r="G1058" s="26" t="n">
        <v>865.132724</v>
      </c>
      <c r="H1058" s="1" t="s">
        <v>451</v>
      </c>
    </row>
    <row r="1059" customFormat="false" ht="15" hidden="false" customHeight="true" outlineLevel="0" collapsed="false">
      <c r="A1059" s="1" t="s">
        <v>681</v>
      </c>
      <c r="B1059" s="1" t="s">
        <v>34</v>
      </c>
      <c r="C1059" s="1" t="s">
        <v>34</v>
      </c>
      <c r="D1059" s="1" t="s">
        <v>290</v>
      </c>
      <c r="E1059" s="82" t="n">
        <v>6568</v>
      </c>
      <c r="F1059" s="26" t="n">
        <v>0.229782928031525</v>
      </c>
      <c r="G1059" s="26" t="n">
        <v>1509.214271</v>
      </c>
      <c r="H1059" s="1" t="s">
        <v>451</v>
      </c>
    </row>
    <row r="1060" customFormat="false" ht="15" hidden="false" customHeight="true" outlineLevel="0" collapsed="false">
      <c r="A1060" s="1" t="s">
        <v>681</v>
      </c>
      <c r="B1060" s="1" t="s">
        <v>34</v>
      </c>
      <c r="C1060" s="1" t="s">
        <v>34</v>
      </c>
      <c r="D1060" s="1" t="s">
        <v>285</v>
      </c>
      <c r="E1060" s="82" t="n">
        <v>4805</v>
      </c>
      <c r="F1060" s="26" t="n">
        <v>0.229782928031525</v>
      </c>
      <c r="G1060" s="26" t="n">
        <v>1104.106969</v>
      </c>
      <c r="H1060" s="1" t="s">
        <v>451</v>
      </c>
    </row>
    <row r="1061" customFormat="false" ht="15" hidden="false" customHeight="true" outlineLevel="0" collapsed="false">
      <c r="A1061" s="1" t="s">
        <v>681</v>
      </c>
      <c r="B1061" s="1" t="s">
        <v>34</v>
      </c>
      <c r="C1061" s="1" t="s">
        <v>34</v>
      </c>
      <c r="D1061" s="1" t="s">
        <v>282</v>
      </c>
      <c r="E1061" s="82" t="n">
        <v>4806</v>
      </c>
      <c r="F1061" s="26" t="n">
        <v>0.229782928031525</v>
      </c>
      <c r="G1061" s="26" t="n">
        <v>1104.336752</v>
      </c>
      <c r="H1061" s="1" t="s">
        <v>451</v>
      </c>
    </row>
    <row r="1062" customFormat="false" ht="15" hidden="false" customHeight="true" outlineLevel="0" collapsed="false">
      <c r="A1062" s="1" t="s">
        <v>644</v>
      </c>
      <c r="B1062" s="1" t="s">
        <v>35</v>
      </c>
      <c r="C1062" s="1" t="s">
        <v>35</v>
      </c>
      <c r="D1062" s="1" t="s">
        <v>287</v>
      </c>
      <c r="E1062" s="82" t="n">
        <v>6280</v>
      </c>
      <c r="F1062" s="26" t="n">
        <v>0.0855440852571775</v>
      </c>
      <c r="G1062" s="26" t="n">
        <v>537.216855415075</v>
      </c>
      <c r="H1062" s="1" t="s">
        <v>451</v>
      </c>
    </row>
    <row r="1063" customFormat="false" ht="15" hidden="false" customHeight="true" outlineLevel="0" collapsed="false">
      <c r="A1063" s="1" t="s">
        <v>644</v>
      </c>
      <c r="B1063" s="1" t="s">
        <v>35</v>
      </c>
      <c r="C1063" s="1" t="s">
        <v>35</v>
      </c>
      <c r="D1063" s="1" t="s">
        <v>284</v>
      </c>
      <c r="E1063" s="82" t="n">
        <v>14331</v>
      </c>
      <c r="F1063" s="26" t="n">
        <v>0.0855440852571775</v>
      </c>
      <c r="G1063" s="26" t="n">
        <v>1225.93228582061</v>
      </c>
      <c r="H1063" s="1" t="s">
        <v>451</v>
      </c>
    </row>
    <row r="1064" customFormat="false" ht="15" hidden="false" customHeight="true" outlineLevel="0" collapsed="false">
      <c r="A1064" s="1" t="s">
        <v>644</v>
      </c>
      <c r="B1064" s="1" t="s">
        <v>35</v>
      </c>
      <c r="C1064" s="1" t="s">
        <v>35</v>
      </c>
      <c r="D1064" s="1" t="s">
        <v>293</v>
      </c>
      <c r="E1064" s="82" t="n">
        <v>3650</v>
      </c>
      <c r="F1064" s="26" t="n">
        <v>0.0855440852571775</v>
      </c>
      <c r="G1064" s="26" t="n">
        <v>312.235911188698</v>
      </c>
      <c r="H1064" s="1" t="s">
        <v>451</v>
      </c>
    </row>
    <row r="1065" customFormat="false" ht="15" hidden="false" customHeight="true" outlineLevel="0" collapsed="false">
      <c r="A1065" s="1" t="s">
        <v>644</v>
      </c>
      <c r="B1065" s="1" t="s">
        <v>35</v>
      </c>
      <c r="C1065" s="1" t="s">
        <v>35</v>
      </c>
      <c r="D1065" s="1" t="s">
        <v>290</v>
      </c>
      <c r="E1065" s="82" t="n">
        <v>6396</v>
      </c>
      <c r="F1065" s="26" t="n">
        <v>0.0855440852571775</v>
      </c>
      <c r="G1065" s="26" t="n">
        <v>547.139969304907</v>
      </c>
      <c r="H1065" s="1" t="s">
        <v>451</v>
      </c>
    </row>
    <row r="1066" customFormat="false" ht="15" hidden="false" customHeight="true" outlineLevel="0" collapsed="false">
      <c r="A1066" s="1" t="s">
        <v>644</v>
      </c>
      <c r="B1066" s="1" t="s">
        <v>35</v>
      </c>
      <c r="C1066" s="1" t="s">
        <v>35</v>
      </c>
      <c r="D1066" s="1" t="s">
        <v>285</v>
      </c>
      <c r="E1066" s="82" t="n">
        <v>4730</v>
      </c>
      <c r="F1066" s="26" t="n">
        <v>0.0855440852571775</v>
      </c>
      <c r="G1066" s="26" t="n">
        <v>404.62352326645</v>
      </c>
      <c r="H1066" s="1" t="s">
        <v>451</v>
      </c>
    </row>
    <row r="1067" customFormat="false" ht="15" hidden="false" customHeight="true" outlineLevel="0" collapsed="false">
      <c r="A1067" s="1" t="s">
        <v>644</v>
      </c>
      <c r="B1067" s="1" t="s">
        <v>35</v>
      </c>
      <c r="C1067" s="1" t="s">
        <v>35</v>
      </c>
      <c r="D1067" s="1" t="s">
        <v>282</v>
      </c>
      <c r="E1067" s="82" t="n">
        <v>4782</v>
      </c>
      <c r="F1067" s="26" t="n">
        <v>0.0855440852571775</v>
      </c>
      <c r="G1067" s="26" t="n">
        <v>409.071815699823</v>
      </c>
      <c r="H1067" s="1" t="s">
        <v>451</v>
      </c>
    </row>
    <row r="1068" customFormat="false" ht="15" hidden="false" customHeight="true" outlineLevel="0" collapsed="false">
      <c r="A1068" s="1" t="s">
        <v>654</v>
      </c>
      <c r="B1068" s="1" t="s">
        <v>35</v>
      </c>
      <c r="C1068" s="1" t="s">
        <v>35</v>
      </c>
      <c r="D1068" s="1" t="s">
        <v>287</v>
      </c>
      <c r="E1068" s="82" t="n">
        <v>6445</v>
      </c>
      <c r="F1068" s="26" t="n">
        <v>0.0861250796795369</v>
      </c>
      <c r="G1068" s="26" t="n">
        <v>555.076138534615</v>
      </c>
      <c r="H1068" s="1" t="s">
        <v>451</v>
      </c>
    </row>
    <row r="1069" customFormat="false" ht="15" hidden="false" customHeight="true" outlineLevel="0" collapsed="false">
      <c r="A1069" s="1" t="s">
        <v>654</v>
      </c>
      <c r="B1069" s="1" t="s">
        <v>35</v>
      </c>
      <c r="C1069" s="1" t="s">
        <v>35</v>
      </c>
      <c r="D1069" s="1" t="s">
        <v>284</v>
      </c>
      <c r="E1069" s="82" t="n">
        <v>14441</v>
      </c>
      <c r="F1069" s="26" t="n">
        <v>0.0861250796795369</v>
      </c>
      <c r="G1069" s="26" t="n">
        <v>1243.73227565219</v>
      </c>
      <c r="H1069" s="1" t="s">
        <v>451</v>
      </c>
    </row>
    <row r="1070" customFormat="false" ht="15" hidden="false" customHeight="true" outlineLevel="0" collapsed="false">
      <c r="A1070" s="1" t="s">
        <v>654</v>
      </c>
      <c r="B1070" s="1" t="s">
        <v>35</v>
      </c>
      <c r="C1070" s="1" t="s">
        <v>35</v>
      </c>
      <c r="D1070" s="1" t="s">
        <v>293</v>
      </c>
      <c r="E1070" s="82" t="n">
        <v>3704</v>
      </c>
      <c r="F1070" s="26" t="n">
        <v>0.0861250796795369</v>
      </c>
      <c r="G1070" s="26" t="n">
        <v>319.007295133005</v>
      </c>
      <c r="H1070" s="1" t="s">
        <v>451</v>
      </c>
    </row>
    <row r="1071" customFormat="false" ht="15" hidden="false" customHeight="true" outlineLevel="0" collapsed="false">
      <c r="A1071" s="1" t="s">
        <v>654</v>
      </c>
      <c r="B1071" s="1" t="s">
        <v>35</v>
      </c>
      <c r="C1071" s="1" t="s">
        <v>35</v>
      </c>
      <c r="D1071" s="1" t="s">
        <v>290</v>
      </c>
      <c r="E1071" s="82" t="n">
        <v>6434</v>
      </c>
      <c r="F1071" s="26" t="n">
        <v>0.0861250796795369</v>
      </c>
      <c r="G1071" s="26" t="n">
        <v>554.12876265814</v>
      </c>
      <c r="H1071" s="1" t="s">
        <v>451</v>
      </c>
    </row>
    <row r="1072" customFormat="false" ht="15" hidden="false" customHeight="true" outlineLevel="0" collapsed="false">
      <c r="A1072" s="1" t="s">
        <v>654</v>
      </c>
      <c r="B1072" s="1" t="s">
        <v>35</v>
      </c>
      <c r="C1072" s="1" t="s">
        <v>35</v>
      </c>
      <c r="D1072" s="1" t="s">
        <v>285</v>
      </c>
      <c r="E1072" s="82" t="n">
        <v>4749</v>
      </c>
      <c r="F1072" s="26" t="n">
        <v>0.0861250796795369</v>
      </c>
      <c r="G1072" s="26" t="n">
        <v>409.008003398121</v>
      </c>
      <c r="H1072" s="1" t="s">
        <v>451</v>
      </c>
    </row>
    <row r="1073" customFormat="false" ht="15" hidden="false" customHeight="true" outlineLevel="0" collapsed="false">
      <c r="A1073" s="1" t="s">
        <v>654</v>
      </c>
      <c r="B1073" s="1" t="s">
        <v>35</v>
      </c>
      <c r="C1073" s="1" t="s">
        <v>35</v>
      </c>
      <c r="D1073" s="1" t="s">
        <v>282</v>
      </c>
      <c r="E1073" s="82" t="n">
        <v>4795</v>
      </c>
      <c r="F1073" s="26" t="n">
        <v>0.0861250796795369</v>
      </c>
      <c r="G1073" s="26" t="n">
        <v>412.96975706338</v>
      </c>
      <c r="H1073" s="1" t="s">
        <v>451</v>
      </c>
    </row>
    <row r="1074" customFormat="false" ht="15" hidden="false" customHeight="true" outlineLevel="0" collapsed="false">
      <c r="A1074" s="1" t="s">
        <v>681</v>
      </c>
      <c r="B1074" s="1" t="s">
        <v>35</v>
      </c>
      <c r="C1074" s="1" t="s">
        <v>35</v>
      </c>
      <c r="D1074" s="1" t="s">
        <v>287</v>
      </c>
      <c r="E1074" s="82" t="n">
        <v>6588</v>
      </c>
      <c r="F1074" s="26" t="n">
        <v>0.055610036180276</v>
      </c>
      <c r="G1074" s="26" t="n">
        <v>366.358918355658</v>
      </c>
      <c r="H1074" s="1" t="s">
        <v>451</v>
      </c>
    </row>
    <row r="1075" customFormat="false" ht="15" hidden="false" customHeight="true" outlineLevel="0" collapsed="false">
      <c r="A1075" s="1" t="s">
        <v>681</v>
      </c>
      <c r="B1075" s="1" t="s">
        <v>35</v>
      </c>
      <c r="C1075" s="1" t="s">
        <v>35</v>
      </c>
      <c r="D1075" s="1" t="s">
        <v>284</v>
      </c>
      <c r="E1075" s="82" t="n">
        <v>14689</v>
      </c>
      <c r="F1075" s="26" t="n">
        <v>0.055610036180276</v>
      </c>
      <c r="G1075" s="26" t="n">
        <v>816.855821452074</v>
      </c>
      <c r="H1075" s="1" t="s">
        <v>451</v>
      </c>
    </row>
    <row r="1076" customFormat="false" ht="15" hidden="false" customHeight="true" outlineLevel="0" collapsed="false">
      <c r="A1076" s="1" t="s">
        <v>681</v>
      </c>
      <c r="B1076" s="1" t="s">
        <v>35</v>
      </c>
      <c r="C1076" s="1" t="s">
        <v>35</v>
      </c>
      <c r="D1076" s="1" t="s">
        <v>293</v>
      </c>
      <c r="E1076" s="82" t="n">
        <v>3765</v>
      </c>
      <c r="F1076" s="26" t="n">
        <v>0.055610036180276</v>
      </c>
      <c r="G1076" s="26" t="n">
        <v>209.371786218739</v>
      </c>
      <c r="H1076" s="1" t="s">
        <v>451</v>
      </c>
    </row>
    <row r="1077" customFormat="false" ht="15" hidden="false" customHeight="true" outlineLevel="0" collapsed="false">
      <c r="A1077" s="1" t="s">
        <v>681</v>
      </c>
      <c r="B1077" s="1" t="s">
        <v>35</v>
      </c>
      <c r="C1077" s="1" t="s">
        <v>35</v>
      </c>
      <c r="D1077" s="1" t="s">
        <v>290</v>
      </c>
      <c r="E1077" s="82" t="n">
        <v>6568</v>
      </c>
      <c r="F1077" s="26" t="n">
        <v>0.055610036180276</v>
      </c>
      <c r="G1077" s="26" t="n">
        <v>365.246717632053</v>
      </c>
      <c r="H1077" s="1" t="s">
        <v>451</v>
      </c>
    </row>
    <row r="1078" customFormat="false" ht="15" hidden="false" customHeight="true" outlineLevel="0" collapsed="false">
      <c r="A1078" s="1" t="s">
        <v>681</v>
      </c>
      <c r="B1078" s="1" t="s">
        <v>35</v>
      </c>
      <c r="C1078" s="1" t="s">
        <v>35</v>
      </c>
      <c r="D1078" s="1" t="s">
        <v>285</v>
      </c>
      <c r="E1078" s="82" t="n">
        <v>4805</v>
      </c>
      <c r="F1078" s="26" t="n">
        <v>0.055610036180276</v>
      </c>
      <c r="G1078" s="26" t="n">
        <v>267.206223846226</v>
      </c>
      <c r="H1078" s="1" t="s">
        <v>451</v>
      </c>
    </row>
    <row r="1079" customFormat="false" ht="15" hidden="false" customHeight="true" outlineLevel="0" collapsed="false">
      <c r="A1079" s="1" t="s">
        <v>681</v>
      </c>
      <c r="B1079" s="1" t="s">
        <v>35</v>
      </c>
      <c r="C1079" s="1" t="s">
        <v>35</v>
      </c>
      <c r="D1079" s="1" t="s">
        <v>282</v>
      </c>
      <c r="E1079" s="82" t="n">
        <v>4806</v>
      </c>
      <c r="F1079" s="26" t="n">
        <v>0.055610036180276</v>
      </c>
      <c r="G1079" s="26" t="n">
        <v>267.261833882406</v>
      </c>
      <c r="H1079" s="1" t="s">
        <v>451</v>
      </c>
    </row>
    <row r="1080" customFormat="false" ht="15" hidden="false" customHeight="true" outlineLevel="0" collapsed="false">
      <c r="A1080" s="1" t="s">
        <v>644</v>
      </c>
      <c r="B1080" s="1" t="s">
        <v>624</v>
      </c>
      <c r="C1080" s="1" t="s">
        <v>625</v>
      </c>
      <c r="D1080" s="1" t="s">
        <v>287</v>
      </c>
      <c r="E1080" s="82" t="n">
        <v>6280</v>
      </c>
      <c r="F1080" s="26" t="n">
        <v>2.35573300476439</v>
      </c>
      <c r="G1080" s="26" t="n">
        <v>14794.00327</v>
      </c>
      <c r="H1080" s="1" t="s">
        <v>451</v>
      </c>
    </row>
    <row r="1081" customFormat="false" ht="15" hidden="false" customHeight="true" outlineLevel="0" collapsed="false">
      <c r="A1081" s="1" t="s">
        <v>644</v>
      </c>
      <c r="B1081" s="1" t="s">
        <v>624</v>
      </c>
      <c r="C1081" s="1" t="s">
        <v>625</v>
      </c>
      <c r="D1081" s="1" t="s">
        <v>284</v>
      </c>
      <c r="E1081" s="82" t="n">
        <v>14331</v>
      </c>
      <c r="F1081" s="26" t="n">
        <v>2.35573300476439</v>
      </c>
      <c r="G1081" s="26" t="n">
        <v>33760.009691</v>
      </c>
      <c r="H1081" s="1" t="s">
        <v>451</v>
      </c>
    </row>
    <row r="1082" customFormat="false" ht="15" hidden="false" customHeight="true" outlineLevel="0" collapsed="false">
      <c r="A1082" s="1" t="s">
        <v>644</v>
      </c>
      <c r="B1082" s="1" t="s">
        <v>624</v>
      </c>
      <c r="C1082" s="1" t="s">
        <v>625</v>
      </c>
      <c r="D1082" s="1" t="s">
        <v>293</v>
      </c>
      <c r="E1082" s="82" t="n">
        <v>3650</v>
      </c>
      <c r="F1082" s="26" t="n">
        <v>2.35573300476439</v>
      </c>
      <c r="G1082" s="26" t="n">
        <v>8598.425467</v>
      </c>
      <c r="H1082" s="1" t="s">
        <v>451</v>
      </c>
    </row>
    <row r="1083" customFormat="false" ht="15" hidden="false" customHeight="true" outlineLevel="0" collapsed="false">
      <c r="A1083" s="1" t="s">
        <v>644</v>
      </c>
      <c r="B1083" s="1" t="s">
        <v>624</v>
      </c>
      <c r="C1083" s="1" t="s">
        <v>625</v>
      </c>
      <c r="D1083" s="1" t="s">
        <v>290</v>
      </c>
      <c r="E1083" s="82" t="n">
        <v>6396</v>
      </c>
      <c r="F1083" s="26" t="n">
        <v>2.35573300476439</v>
      </c>
      <c r="G1083" s="26" t="n">
        <v>15067.268298</v>
      </c>
      <c r="H1083" s="1" t="s">
        <v>451</v>
      </c>
    </row>
    <row r="1084" customFormat="false" ht="15" hidden="false" customHeight="true" outlineLevel="0" collapsed="false">
      <c r="A1084" s="1" t="s">
        <v>644</v>
      </c>
      <c r="B1084" s="1" t="s">
        <v>624</v>
      </c>
      <c r="C1084" s="1" t="s">
        <v>625</v>
      </c>
      <c r="D1084" s="1" t="s">
        <v>285</v>
      </c>
      <c r="E1084" s="82" t="n">
        <v>4730</v>
      </c>
      <c r="F1084" s="26" t="n">
        <v>2.35573300476439</v>
      </c>
      <c r="G1084" s="26" t="n">
        <v>11142.617113</v>
      </c>
      <c r="H1084" s="1" t="s">
        <v>451</v>
      </c>
    </row>
    <row r="1085" customFormat="false" ht="15" hidden="false" customHeight="true" outlineLevel="0" collapsed="false">
      <c r="A1085" s="1" t="s">
        <v>644</v>
      </c>
      <c r="B1085" s="1" t="s">
        <v>624</v>
      </c>
      <c r="C1085" s="1" t="s">
        <v>625</v>
      </c>
      <c r="D1085" s="1" t="s">
        <v>282</v>
      </c>
      <c r="E1085" s="82" t="n">
        <v>4782</v>
      </c>
      <c r="F1085" s="26" t="n">
        <v>2.35573300476439</v>
      </c>
      <c r="G1085" s="26" t="n">
        <v>11265.115229</v>
      </c>
      <c r="H1085" s="1" t="s">
        <v>451</v>
      </c>
    </row>
    <row r="1086" customFormat="false" ht="15" hidden="false" customHeight="true" outlineLevel="0" collapsed="false">
      <c r="A1086" s="1" t="s">
        <v>654</v>
      </c>
      <c r="B1086" s="1" t="s">
        <v>624</v>
      </c>
      <c r="C1086" s="1" t="s">
        <v>625</v>
      </c>
      <c r="D1086" s="1" t="s">
        <v>287</v>
      </c>
      <c r="E1086" s="82" t="n">
        <v>6445</v>
      </c>
      <c r="F1086" s="26" t="n">
        <v>2.99991610765306</v>
      </c>
      <c r="G1086" s="26" t="n">
        <v>19334.459314</v>
      </c>
      <c r="H1086" s="1" t="s">
        <v>451</v>
      </c>
    </row>
    <row r="1087" customFormat="false" ht="15" hidden="false" customHeight="true" outlineLevel="0" collapsed="false">
      <c r="A1087" s="1" t="s">
        <v>654</v>
      </c>
      <c r="B1087" s="1" t="s">
        <v>624</v>
      </c>
      <c r="C1087" s="1" t="s">
        <v>625</v>
      </c>
      <c r="D1087" s="1" t="s">
        <v>284</v>
      </c>
      <c r="E1087" s="82" t="n">
        <v>14441</v>
      </c>
      <c r="F1087" s="26" t="n">
        <v>2.99991610765306</v>
      </c>
      <c r="G1087" s="26" t="n">
        <v>43321.788511</v>
      </c>
      <c r="H1087" s="1" t="s">
        <v>451</v>
      </c>
    </row>
    <row r="1088" customFormat="false" ht="15" hidden="false" customHeight="true" outlineLevel="0" collapsed="false">
      <c r="A1088" s="1" t="s">
        <v>654</v>
      </c>
      <c r="B1088" s="1" t="s">
        <v>624</v>
      </c>
      <c r="C1088" s="1" t="s">
        <v>625</v>
      </c>
      <c r="D1088" s="1" t="s">
        <v>293</v>
      </c>
      <c r="E1088" s="82" t="n">
        <v>3704</v>
      </c>
      <c r="F1088" s="26" t="n">
        <v>2.99991610765306</v>
      </c>
      <c r="G1088" s="26" t="n">
        <v>11111.689263</v>
      </c>
      <c r="H1088" s="1" t="s">
        <v>451</v>
      </c>
    </row>
    <row r="1089" customFormat="false" ht="15" hidden="false" customHeight="true" outlineLevel="0" collapsed="false">
      <c r="A1089" s="1" t="s">
        <v>654</v>
      </c>
      <c r="B1089" s="1" t="s">
        <v>624</v>
      </c>
      <c r="C1089" s="1" t="s">
        <v>625</v>
      </c>
      <c r="D1089" s="1" t="s">
        <v>290</v>
      </c>
      <c r="E1089" s="82" t="n">
        <v>6434</v>
      </c>
      <c r="F1089" s="26" t="n">
        <v>2.99991610765306</v>
      </c>
      <c r="G1089" s="26" t="n">
        <v>19301.460237</v>
      </c>
      <c r="H1089" s="1" t="s">
        <v>451</v>
      </c>
    </row>
    <row r="1090" customFormat="false" ht="15" hidden="false" customHeight="true" outlineLevel="0" collapsed="false">
      <c r="A1090" s="1" t="s">
        <v>654</v>
      </c>
      <c r="B1090" s="1" t="s">
        <v>624</v>
      </c>
      <c r="C1090" s="1" t="s">
        <v>625</v>
      </c>
      <c r="D1090" s="1" t="s">
        <v>285</v>
      </c>
      <c r="E1090" s="82" t="n">
        <v>4749</v>
      </c>
      <c r="F1090" s="26" t="n">
        <v>2.99991610765306</v>
      </c>
      <c r="G1090" s="26" t="n">
        <v>14246.601595</v>
      </c>
      <c r="H1090" s="1" t="s">
        <v>451</v>
      </c>
    </row>
    <row r="1091" customFormat="false" ht="15" hidden="false" customHeight="true" outlineLevel="0" collapsed="false">
      <c r="A1091" s="1" t="s">
        <v>654</v>
      </c>
      <c r="B1091" s="1" t="s">
        <v>624</v>
      </c>
      <c r="C1091" s="1" t="s">
        <v>625</v>
      </c>
      <c r="D1091" s="1" t="s">
        <v>282</v>
      </c>
      <c r="E1091" s="82" t="n">
        <v>4795</v>
      </c>
      <c r="F1091" s="26" t="n">
        <v>2.99991610765306</v>
      </c>
      <c r="G1091" s="26" t="n">
        <v>14384.597736</v>
      </c>
      <c r="H1091" s="1" t="s">
        <v>451</v>
      </c>
    </row>
    <row r="1092" customFormat="false" ht="15" hidden="false" customHeight="true" outlineLevel="0" collapsed="false">
      <c r="A1092" s="1" t="s">
        <v>681</v>
      </c>
      <c r="B1092" s="1" t="s">
        <v>624</v>
      </c>
      <c r="C1092" s="1" t="s">
        <v>625</v>
      </c>
      <c r="D1092" s="1" t="s">
        <v>287</v>
      </c>
      <c r="E1092" s="82" t="n">
        <v>6588</v>
      </c>
      <c r="F1092" s="26" t="n">
        <v>3.18253026831306</v>
      </c>
      <c r="G1092" s="26" t="n">
        <v>20966.509408</v>
      </c>
      <c r="H1092" s="1" t="s">
        <v>451</v>
      </c>
    </row>
    <row r="1093" customFormat="false" ht="15" hidden="false" customHeight="true" outlineLevel="0" collapsed="false">
      <c r="A1093" s="1" t="s">
        <v>681</v>
      </c>
      <c r="B1093" s="1" t="s">
        <v>624</v>
      </c>
      <c r="C1093" s="1" t="s">
        <v>625</v>
      </c>
      <c r="D1093" s="1" t="s">
        <v>284</v>
      </c>
      <c r="E1093" s="82" t="n">
        <v>14689</v>
      </c>
      <c r="F1093" s="26" t="n">
        <v>3.18253026831306</v>
      </c>
      <c r="G1093" s="26" t="n">
        <v>46748.187111</v>
      </c>
      <c r="H1093" s="1" t="s">
        <v>451</v>
      </c>
    </row>
    <row r="1094" customFormat="false" ht="15" hidden="false" customHeight="true" outlineLevel="0" collapsed="false">
      <c r="A1094" s="1" t="s">
        <v>681</v>
      </c>
      <c r="B1094" s="1" t="s">
        <v>624</v>
      </c>
      <c r="C1094" s="1" t="s">
        <v>625</v>
      </c>
      <c r="D1094" s="1" t="s">
        <v>293</v>
      </c>
      <c r="E1094" s="82" t="n">
        <v>3765</v>
      </c>
      <c r="F1094" s="26" t="n">
        <v>3.18253026831306</v>
      </c>
      <c r="G1094" s="26" t="n">
        <v>11982.22646</v>
      </c>
      <c r="H1094" s="1" t="s">
        <v>451</v>
      </c>
    </row>
    <row r="1095" customFormat="false" ht="15" hidden="false" customHeight="true" outlineLevel="0" collapsed="false">
      <c r="A1095" s="1" t="s">
        <v>681</v>
      </c>
      <c r="B1095" s="1" t="s">
        <v>624</v>
      </c>
      <c r="C1095" s="1" t="s">
        <v>625</v>
      </c>
      <c r="D1095" s="1" t="s">
        <v>290</v>
      </c>
      <c r="E1095" s="82" t="n">
        <v>6568</v>
      </c>
      <c r="F1095" s="26" t="n">
        <v>3.18253026831306</v>
      </c>
      <c r="G1095" s="26" t="n">
        <v>20902.858802</v>
      </c>
      <c r="H1095" s="1" t="s">
        <v>451</v>
      </c>
    </row>
    <row r="1096" customFormat="false" ht="15" hidden="false" customHeight="true" outlineLevel="0" collapsed="false">
      <c r="A1096" s="1" t="s">
        <v>681</v>
      </c>
      <c r="B1096" s="1" t="s">
        <v>624</v>
      </c>
      <c r="C1096" s="1" t="s">
        <v>625</v>
      </c>
      <c r="D1096" s="1" t="s">
        <v>285</v>
      </c>
      <c r="E1096" s="82" t="n">
        <v>4805</v>
      </c>
      <c r="F1096" s="26" t="n">
        <v>3.18253026831306</v>
      </c>
      <c r="G1096" s="26" t="n">
        <v>15292.057939</v>
      </c>
      <c r="H1096" s="1" t="s">
        <v>451</v>
      </c>
    </row>
    <row r="1097" customFormat="false" ht="15" hidden="false" customHeight="true" outlineLevel="0" collapsed="false">
      <c r="A1097" s="1" t="s">
        <v>681</v>
      </c>
      <c r="B1097" s="1" t="s">
        <v>624</v>
      </c>
      <c r="C1097" s="1" t="s">
        <v>625</v>
      </c>
      <c r="D1097" s="1" t="s">
        <v>282</v>
      </c>
      <c r="E1097" s="82" t="n">
        <v>4806</v>
      </c>
      <c r="F1097" s="26" t="n">
        <v>3.18253026831306</v>
      </c>
      <c r="G1097" s="26" t="n">
        <v>15295.24047</v>
      </c>
      <c r="H1097" s="1" t="s">
        <v>451</v>
      </c>
    </row>
    <row r="1098" customFormat="false" ht="15" hidden="false" customHeight="true" outlineLevel="0" collapsed="false">
      <c r="A1098" s="1" t="s">
        <v>644</v>
      </c>
      <c r="B1098" s="1" t="s">
        <v>141</v>
      </c>
      <c r="C1098" s="1" t="s">
        <v>528</v>
      </c>
      <c r="D1098" s="1" t="s">
        <v>287</v>
      </c>
      <c r="E1098" s="82" t="n">
        <v>6280</v>
      </c>
      <c r="F1098" s="26" t="n">
        <v>0.0959225828032635</v>
      </c>
      <c r="G1098" s="26" t="n">
        <v>602.39382</v>
      </c>
      <c r="H1098" s="1" t="s">
        <v>451</v>
      </c>
    </row>
    <row r="1099" customFormat="false" ht="15" hidden="false" customHeight="true" outlineLevel="0" collapsed="false">
      <c r="A1099" s="1" t="s">
        <v>644</v>
      </c>
      <c r="B1099" s="1" t="s">
        <v>141</v>
      </c>
      <c r="C1099" s="1" t="s">
        <v>528</v>
      </c>
      <c r="D1099" s="1" t="s">
        <v>284</v>
      </c>
      <c r="E1099" s="82" t="n">
        <v>14331</v>
      </c>
      <c r="F1099" s="26" t="n">
        <v>0.0959225828032635</v>
      </c>
      <c r="G1099" s="26" t="n">
        <v>1374.666534</v>
      </c>
      <c r="H1099" s="1" t="s">
        <v>451</v>
      </c>
    </row>
    <row r="1100" customFormat="false" ht="15" hidden="false" customHeight="true" outlineLevel="0" collapsed="false">
      <c r="A1100" s="1" t="s">
        <v>644</v>
      </c>
      <c r="B1100" s="1" t="s">
        <v>141</v>
      </c>
      <c r="C1100" s="1" t="s">
        <v>528</v>
      </c>
      <c r="D1100" s="1" t="s">
        <v>293</v>
      </c>
      <c r="E1100" s="82" t="n">
        <v>3650</v>
      </c>
      <c r="F1100" s="26" t="n">
        <v>0.0959225828032635</v>
      </c>
      <c r="G1100" s="26" t="n">
        <v>350.117427</v>
      </c>
      <c r="H1100" s="1" t="s">
        <v>451</v>
      </c>
    </row>
    <row r="1101" customFormat="false" ht="15" hidden="false" customHeight="true" outlineLevel="0" collapsed="false">
      <c r="A1101" s="1" t="s">
        <v>644</v>
      </c>
      <c r="B1101" s="1" t="s">
        <v>141</v>
      </c>
      <c r="C1101" s="1" t="s">
        <v>528</v>
      </c>
      <c r="D1101" s="1" t="s">
        <v>290</v>
      </c>
      <c r="E1101" s="82" t="n">
        <v>6396</v>
      </c>
      <c r="F1101" s="26" t="n">
        <v>0.0959225828032635</v>
      </c>
      <c r="G1101" s="26" t="n">
        <v>613.52084</v>
      </c>
      <c r="H1101" s="1" t="s">
        <v>451</v>
      </c>
    </row>
    <row r="1102" customFormat="false" ht="15" hidden="false" customHeight="true" outlineLevel="0" collapsed="false">
      <c r="A1102" s="1" t="s">
        <v>644</v>
      </c>
      <c r="B1102" s="1" t="s">
        <v>141</v>
      </c>
      <c r="C1102" s="1" t="s">
        <v>528</v>
      </c>
      <c r="D1102" s="1" t="s">
        <v>285</v>
      </c>
      <c r="E1102" s="82" t="n">
        <v>4730</v>
      </c>
      <c r="F1102" s="26" t="n">
        <v>0.0959225828032635</v>
      </c>
      <c r="G1102" s="26" t="n">
        <v>453.713817</v>
      </c>
      <c r="H1102" s="1" t="s">
        <v>451</v>
      </c>
    </row>
    <row r="1103" customFormat="false" ht="15" hidden="false" customHeight="true" outlineLevel="0" collapsed="false">
      <c r="A1103" s="1" t="s">
        <v>644</v>
      </c>
      <c r="B1103" s="1" t="s">
        <v>141</v>
      </c>
      <c r="C1103" s="1" t="s">
        <v>528</v>
      </c>
      <c r="D1103" s="1" t="s">
        <v>282</v>
      </c>
      <c r="E1103" s="82" t="n">
        <v>4782</v>
      </c>
      <c r="F1103" s="26" t="n">
        <v>0.0959225828032635</v>
      </c>
      <c r="G1103" s="26" t="n">
        <v>458.701791</v>
      </c>
      <c r="H1103" s="1" t="s">
        <v>451</v>
      </c>
    </row>
    <row r="1104" customFormat="false" ht="15" hidden="false" customHeight="true" outlineLevel="0" collapsed="false">
      <c r="A1104" s="1" t="s">
        <v>654</v>
      </c>
      <c r="B1104" s="1" t="s">
        <v>141</v>
      </c>
      <c r="C1104" s="1" t="s">
        <v>528</v>
      </c>
      <c r="D1104" s="1" t="s">
        <v>287</v>
      </c>
      <c r="E1104" s="82" t="n">
        <v>6445</v>
      </c>
      <c r="F1104" s="26" t="n">
        <v>0.105895207936646</v>
      </c>
      <c r="G1104" s="26" t="n">
        <v>682.494615</v>
      </c>
      <c r="H1104" s="1" t="s">
        <v>451</v>
      </c>
    </row>
    <row r="1105" customFormat="false" ht="15" hidden="false" customHeight="true" outlineLevel="0" collapsed="false">
      <c r="A1105" s="1" t="s">
        <v>654</v>
      </c>
      <c r="B1105" s="1" t="s">
        <v>141</v>
      </c>
      <c r="C1105" s="1" t="s">
        <v>528</v>
      </c>
      <c r="D1105" s="1" t="s">
        <v>284</v>
      </c>
      <c r="E1105" s="82" t="n">
        <v>14441</v>
      </c>
      <c r="F1105" s="26" t="n">
        <v>0.105895207936646</v>
      </c>
      <c r="G1105" s="26" t="n">
        <v>1529.232698</v>
      </c>
      <c r="H1105" s="1" t="s">
        <v>451</v>
      </c>
    </row>
    <row r="1106" customFormat="false" ht="15" hidden="false" customHeight="true" outlineLevel="0" collapsed="false">
      <c r="A1106" s="1" t="s">
        <v>654</v>
      </c>
      <c r="B1106" s="1" t="s">
        <v>141</v>
      </c>
      <c r="C1106" s="1" t="s">
        <v>528</v>
      </c>
      <c r="D1106" s="1" t="s">
        <v>293</v>
      </c>
      <c r="E1106" s="82" t="n">
        <v>3704</v>
      </c>
      <c r="F1106" s="26" t="n">
        <v>0.105895207936646</v>
      </c>
      <c r="G1106" s="26" t="n">
        <v>392.23585</v>
      </c>
      <c r="H1106" s="1" t="s">
        <v>451</v>
      </c>
    </row>
    <row r="1107" customFormat="false" ht="15" hidden="false" customHeight="true" outlineLevel="0" collapsed="false">
      <c r="A1107" s="1" t="s">
        <v>654</v>
      </c>
      <c r="B1107" s="1" t="s">
        <v>141</v>
      </c>
      <c r="C1107" s="1" t="s">
        <v>528</v>
      </c>
      <c r="D1107" s="1" t="s">
        <v>290</v>
      </c>
      <c r="E1107" s="82" t="n">
        <v>6434</v>
      </c>
      <c r="F1107" s="26" t="n">
        <v>0.105895207936646</v>
      </c>
      <c r="G1107" s="26" t="n">
        <v>681.329768</v>
      </c>
      <c r="H1107" s="1" t="s">
        <v>451</v>
      </c>
    </row>
    <row r="1108" customFormat="false" ht="15" hidden="false" customHeight="true" outlineLevel="0" collapsed="false">
      <c r="A1108" s="1" t="s">
        <v>654</v>
      </c>
      <c r="B1108" s="1" t="s">
        <v>141</v>
      </c>
      <c r="C1108" s="1" t="s">
        <v>528</v>
      </c>
      <c r="D1108" s="1" t="s">
        <v>285</v>
      </c>
      <c r="E1108" s="82" t="n">
        <v>4749</v>
      </c>
      <c r="F1108" s="26" t="n">
        <v>0.105895207936646</v>
      </c>
      <c r="G1108" s="26" t="n">
        <v>502.896342</v>
      </c>
      <c r="H1108" s="1" t="s">
        <v>451</v>
      </c>
    </row>
    <row r="1109" customFormat="false" ht="15" hidden="false" customHeight="true" outlineLevel="0" collapsed="false">
      <c r="A1109" s="1" t="s">
        <v>654</v>
      </c>
      <c r="B1109" s="1" t="s">
        <v>141</v>
      </c>
      <c r="C1109" s="1" t="s">
        <v>528</v>
      </c>
      <c r="D1109" s="1" t="s">
        <v>282</v>
      </c>
      <c r="E1109" s="82" t="n">
        <v>4795</v>
      </c>
      <c r="F1109" s="26" t="n">
        <v>0.105895207936646</v>
      </c>
      <c r="G1109" s="26" t="n">
        <v>507.767522</v>
      </c>
      <c r="H1109" s="1" t="s">
        <v>451</v>
      </c>
    </row>
    <row r="1110" customFormat="false" ht="15" hidden="false" customHeight="true" outlineLevel="0" collapsed="false">
      <c r="A1110" s="1" t="s">
        <v>681</v>
      </c>
      <c r="B1110" s="1" t="s">
        <v>141</v>
      </c>
      <c r="C1110" s="1" t="s">
        <v>528</v>
      </c>
      <c r="D1110" s="1" t="s">
        <v>287</v>
      </c>
      <c r="E1110" s="82" t="n">
        <v>6588</v>
      </c>
      <c r="F1110" s="26" t="n">
        <v>0.101057218436555</v>
      </c>
      <c r="G1110" s="26" t="n">
        <v>665.764955</v>
      </c>
      <c r="H1110" s="1" t="s">
        <v>451</v>
      </c>
    </row>
    <row r="1111" customFormat="false" ht="15" hidden="false" customHeight="true" outlineLevel="0" collapsed="false">
      <c r="A1111" s="1" t="s">
        <v>681</v>
      </c>
      <c r="B1111" s="1" t="s">
        <v>141</v>
      </c>
      <c r="C1111" s="1" t="s">
        <v>528</v>
      </c>
      <c r="D1111" s="1" t="s">
        <v>284</v>
      </c>
      <c r="E1111" s="82" t="n">
        <v>14689</v>
      </c>
      <c r="F1111" s="26" t="n">
        <v>0.101057218436555</v>
      </c>
      <c r="G1111" s="26" t="n">
        <v>1484.429482</v>
      </c>
      <c r="H1111" s="1" t="s">
        <v>451</v>
      </c>
    </row>
    <row r="1112" customFormat="false" ht="15" hidden="false" customHeight="true" outlineLevel="0" collapsed="false">
      <c r="A1112" s="1" t="s">
        <v>681</v>
      </c>
      <c r="B1112" s="1" t="s">
        <v>141</v>
      </c>
      <c r="C1112" s="1" t="s">
        <v>528</v>
      </c>
      <c r="D1112" s="1" t="s">
        <v>293</v>
      </c>
      <c r="E1112" s="82" t="n">
        <v>3765</v>
      </c>
      <c r="F1112" s="26" t="n">
        <v>0.101057218436555</v>
      </c>
      <c r="G1112" s="26" t="n">
        <v>380.480427</v>
      </c>
      <c r="H1112" s="1" t="s">
        <v>451</v>
      </c>
    </row>
    <row r="1113" customFormat="false" ht="15" hidden="false" customHeight="true" outlineLevel="0" collapsed="false">
      <c r="A1113" s="1" t="s">
        <v>681</v>
      </c>
      <c r="B1113" s="1" t="s">
        <v>141</v>
      </c>
      <c r="C1113" s="1" t="s">
        <v>528</v>
      </c>
      <c r="D1113" s="1" t="s">
        <v>290</v>
      </c>
      <c r="E1113" s="82" t="n">
        <v>6568</v>
      </c>
      <c r="F1113" s="26" t="n">
        <v>0.101057218436555</v>
      </c>
      <c r="G1113" s="26" t="n">
        <v>663.743811</v>
      </c>
      <c r="H1113" s="1" t="s">
        <v>451</v>
      </c>
    </row>
    <row r="1114" customFormat="false" ht="15" hidden="false" customHeight="true" outlineLevel="0" collapsed="false">
      <c r="A1114" s="1" t="s">
        <v>681</v>
      </c>
      <c r="B1114" s="1" t="s">
        <v>141</v>
      </c>
      <c r="C1114" s="1" t="s">
        <v>528</v>
      </c>
      <c r="D1114" s="1" t="s">
        <v>285</v>
      </c>
      <c r="E1114" s="82" t="n">
        <v>4805</v>
      </c>
      <c r="F1114" s="26" t="n">
        <v>0.101057218436555</v>
      </c>
      <c r="G1114" s="26" t="n">
        <v>485.579935</v>
      </c>
      <c r="H1114" s="1" t="s">
        <v>451</v>
      </c>
    </row>
    <row r="1115" customFormat="false" ht="15" hidden="false" customHeight="true" outlineLevel="0" collapsed="false">
      <c r="A1115" s="1" t="s">
        <v>681</v>
      </c>
      <c r="B1115" s="1" t="s">
        <v>141</v>
      </c>
      <c r="C1115" s="1" t="s">
        <v>528</v>
      </c>
      <c r="D1115" s="1" t="s">
        <v>282</v>
      </c>
      <c r="E1115" s="82" t="n">
        <v>4806</v>
      </c>
      <c r="F1115" s="26" t="n">
        <v>0.101057218436555</v>
      </c>
      <c r="G1115" s="26" t="n">
        <v>485.680992</v>
      </c>
      <c r="H1115" s="1" t="s">
        <v>451</v>
      </c>
    </row>
    <row r="1116" customFormat="false" ht="15" hidden="false" customHeight="true" outlineLevel="0" collapsed="false">
      <c r="A1116" s="1" t="s">
        <v>644</v>
      </c>
      <c r="B1116" s="1" t="s">
        <v>40</v>
      </c>
      <c r="C1116" s="1" t="s">
        <v>40</v>
      </c>
      <c r="D1116" s="1" t="s">
        <v>287</v>
      </c>
      <c r="E1116" s="82" t="n">
        <v>6280</v>
      </c>
      <c r="F1116" s="26" t="n">
        <v>0.142966123730576</v>
      </c>
      <c r="G1116" s="26" t="n">
        <v>897.827257</v>
      </c>
      <c r="H1116" s="1" t="s">
        <v>451</v>
      </c>
    </row>
    <row r="1117" customFormat="false" ht="15" hidden="false" customHeight="true" outlineLevel="0" collapsed="false">
      <c r="A1117" s="1" t="s">
        <v>644</v>
      </c>
      <c r="B1117" s="1" t="s">
        <v>40</v>
      </c>
      <c r="C1117" s="1" t="s">
        <v>40</v>
      </c>
      <c r="D1117" s="1" t="s">
        <v>284</v>
      </c>
      <c r="E1117" s="82" t="n">
        <v>14331</v>
      </c>
      <c r="F1117" s="26" t="n">
        <v>0.142966123730576</v>
      </c>
      <c r="G1117" s="26" t="n">
        <v>2048.847519</v>
      </c>
      <c r="H1117" s="1" t="s">
        <v>451</v>
      </c>
    </row>
    <row r="1118" customFormat="false" ht="15" hidden="false" customHeight="true" outlineLevel="0" collapsed="false">
      <c r="A1118" s="1" t="s">
        <v>644</v>
      </c>
      <c r="B1118" s="1" t="s">
        <v>40</v>
      </c>
      <c r="C1118" s="1" t="s">
        <v>40</v>
      </c>
      <c r="D1118" s="1" t="s">
        <v>293</v>
      </c>
      <c r="E1118" s="82" t="n">
        <v>3650</v>
      </c>
      <c r="F1118" s="26" t="n">
        <v>0.142966123730576</v>
      </c>
      <c r="G1118" s="26" t="n">
        <v>521.826352</v>
      </c>
      <c r="H1118" s="1" t="s">
        <v>451</v>
      </c>
    </row>
    <row r="1119" customFormat="false" ht="15" hidden="false" customHeight="true" outlineLevel="0" collapsed="false">
      <c r="A1119" s="1" t="s">
        <v>644</v>
      </c>
      <c r="B1119" s="1" t="s">
        <v>40</v>
      </c>
      <c r="C1119" s="1" t="s">
        <v>40</v>
      </c>
      <c r="D1119" s="1" t="s">
        <v>290</v>
      </c>
      <c r="E1119" s="82" t="n">
        <v>6396</v>
      </c>
      <c r="F1119" s="26" t="n">
        <v>0.142966123730576</v>
      </c>
      <c r="G1119" s="26" t="n">
        <v>914.411327</v>
      </c>
      <c r="H1119" s="1" t="s">
        <v>451</v>
      </c>
    </row>
    <row r="1120" customFormat="false" ht="15" hidden="false" customHeight="true" outlineLevel="0" collapsed="false">
      <c r="A1120" s="1" t="s">
        <v>644</v>
      </c>
      <c r="B1120" s="1" t="s">
        <v>40</v>
      </c>
      <c r="C1120" s="1" t="s">
        <v>40</v>
      </c>
      <c r="D1120" s="1" t="s">
        <v>285</v>
      </c>
      <c r="E1120" s="82" t="n">
        <v>4730</v>
      </c>
      <c r="F1120" s="26" t="n">
        <v>0.142966123730576</v>
      </c>
      <c r="G1120" s="26" t="n">
        <v>676.229765</v>
      </c>
      <c r="H1120" s="1" t="s">
        <v>451</v>
      </c>
    </row>
    <row r="1121" customFormat="false" ht="15" hidden="false" customHeight="true" outlineLevel="0" collapsed="false">
      <c r="A1121" s="1" t="s">
        <v>644</v>
      </c>
      <c r="B1121" s="1" t="s">
        <v>40</v>
      </c>
      <c r="C1121" s="1" t="s">
        <v>40</v>
      </c>
      <c r="D1121" s="1" t="s">
        <v>282</v>
      </c>
      <c r="E1121" s="82" t="n">
        <v>4782</v>
      </c>
      <c r="F1121" s="26" t="n">
        <v>0.142966123730576</v>
      </c>
      <c r="G1121" s="26" t="n">
        <v>683.664004</v>
      </c>
      <c r="H1121" s="1" t="s">
        <v>451</v>
      </c>
    </row>
    <row r="1122" customFormat="false" ht="15" hidden="false" customHeight="true" outlineLevel="0" collapsed="false">
      <c r="A1122" s="1" t="s">
        <v>654</v>
      </c>
      <c r="B1122" s="1" t="s">
        <v>40</v>
      </c>
      <c r="C1122" s="1" t="s">
        <v>40</v>
      </c>
      <c r="D1122" s="1" t="s">
        <v>287</v>
      </c>
      <c r="E1122" s="82" t="n">
        <v>6445</v>
      </c>
      <c r="F1122" s="26" t="n">
        <v>0.193641774947009</v>
      </c>
      <c r="G1122" s="26" t="n">
        <v>1248.02124</v>
      </c>
      <c r="H1122" s="1" t="s">
        <v>451</v>
      </c>
    </row>
    <row r="1123" customFormat="false" ht="15" hidden="false" customHeight="true" outlineLevel="0" collapsed="false">
      <c r="A1123" s="1" t="s">
        <v>654</v>
      </c>
      <c r="B1123" s="1" t="s">
        <v>40</v>
      </c>
      <c r="C1123" s="1" t="s">
        <v>40</v>
      </c>
      <c r="D1123" s="1" t="s">
        <v>284</v>
      </c>
      <c r="E1123" s="82" t="n">
        <v>14441</v>
      </c>
      <c r="F1123" s="26" t="n">
        <v>0.193641774947009</v>
      </c>
      <c r="G1123" s="26" t="n">
        <v>2796.380872</v>
      </c>
      <c r="H1123" s="1" t="s">
        <v>451</v>
      </c>
    </row>
    <row r="1124" customFormat="false" ht="15" hidden="false" customHeight="true" outlineLevel="0" collapsed="false">
      <c r="A1124" s="1" t="s">
        <v>654</v>
      </c>
      <c r="B1124" s="1" t="s">
        <v>40</v>
      </c>
      <c r="C1124" s="1" t="s">
        <v>40</v>
      </c>
      <c r="D1124" s="1" t="s">
        <v>293</v>
      </c>
      <c r="E1124" s="82" t="n">
        <v>3704</v>
      </c>
      <c r="F1124" s="26" t="n">
        <v>0.193641774947009</v>
      </c>
      <c r="G1124" s="26" t="n">
        <v>717.249134</v>
      </c>
      <c r="H1124" s="1" t="s">
        <v>451</v>
      </c>
    </row>
    <row r="1125" customFormat="false" ht="15" hidden="false" customHeight="true" outlineLevel="0" collapsed="false">
      <c r="A1125" s="1" t="s">
        <v>654</v>
      </c>
      <c r="B1125" s="1" t="s">
        <v>40</v>
      </c>
      <c r="C1125" s="1" t="s">
        <v>40</v>
      </c>
      <c r="D1125" s="1" t="s">
        <v>290</v>
      </c>
      <c r="E1125" s="82" t="n">
        <v>6434</v>
      </c>
      <c r="F1125" s="26" t="n">
        <v>0.193641774947009</v>
      </c>
      <c r="G1125" s="26" t="n">
        <v>1245.89118</v>
      </c>
      <c r="H1125" s="1" t="s">
        <v>451</v>
      </c>
    </row>
    <row r="1126" customFormat="false" ht="15" hidden="false" customHeight="true" outlineLevel="0" collapsed="false">
      <c r="A1126" s="1" t="s">
        <v>654</v>
      </c>
      <c r="B1126" s="1" t="s">
        <v>40</v>
      </c>
      <c r="C1126" s="1" t="s">
        <v>40</v>
      </c>
      <c r="D1126" s="1" t="s">
        <v>285</v>
      </c>
      <c r="E1126" s="82" t="n">
        <v>4749</v>
      </c>
      <c r="F1126" s="26" t="n">
        <v>0.193641774947009</v>
      </c>
      <c r="G1126" s="26" t="n">
        <v>919.604789</v>
      </c>
      <c r="H1126" s="1" t="s">
        <v>451</v>
      </c>
    </row>
    <row r="1127" customFormat="false" ht="15" hidden="false" customHeight="true" outlineLevel="0" collapsed="false">
      <c r="A1127" s="1" t="s">
        <v>654</v>
      </c>
      <c r="B1127" s="1" t="s">
        <v>40</v>
      </c>
      <c r="C1127" s="1" t="s">
        <v>40</v>
      </c>
      <c r="D1127" s="1" t="s">
        <v>282</v>
      </c>
      <c r="E1127" s="82" t="n">
        <v>4795</v>
      </c>
      <c r="F1127" s="26" t="n">
        <v>0.193641774947009</v>
      </c>
      <c r="G1127" s="26" t="n">
        <v>928.512311</v>
      </c>
      <c r="H1127" s="1" t="s">
        <v>451</v>
      </c>
    </row>
    <row r="1128" customFormat="false" ht="15" hidden="false" customHeight="true" outlineLevel="0" collapsed="false">
      <c r="A1128" s="1" t="s">
        <v>681</v>
      </c>
      <c r="B1128" s="1" t="s">
        <v>40</v>
      </c>
      <c r="C1128" s="1" t="s">
        <v>40</v>
      </c>
      <c r="D1128" s="1" t="s">
        <v>287</v>
      </c>
      <c r="E1128" s="82" t="n">
        <v>6588</v>
      </c>
      <c r="F1128" s="26" t="n">
        <v>0.182358458491943</v>
      </c>
      <c r="G1128" s="26" t="n">
        <v>1201.377525</v>
      </c>
      <c r="H1128" s="1" t="s">
        <v>451</v>
      </c>
    </row>
    <row r="1129" customFormat="false" ht="15" hidden="false" customHeight="true" outlineLevel="0" collapsed="false">
      <c r="A1129" s="1" t="s">
        <v>681</v>
      </c>
      <c r="B1129" s="1" t="s">
        <v>40</v>
      </c>
      <c r="C1129" s="1" t="s">
        <v>40</v>
      </c>
      <c r="D1129" s="1" t="s">
        <v>284</v>
      </c>
      <c r="E1129" s="82" t="n">
        <v>14689</v>
      </c>
      <c r="F1129" s="26" t="n">
        <v>0.182358458491943</v>
      </c>
      <c r="G1129" s="26" t="n">
        <v>2678.663397</v>
      </c>
      <c r="H1129" s="1" t="s">
        <v>451</v>
      </c>
    </row>
    <row r="1130" customFormat="false" ht="15" hidden="false" customHeight="true" outlineLevel="0" collapsed="false">
      <c r="A1130" s="1" t="s">
        <v>681</v>
      </c>
      <c r="B1130" s="1" t="s">
        <v>40</v>
      </c>
      <c r="C1130" s="1" t="s">
        <v>40</v>
      </c>
      <c r="D1130" s="1" t="s">
        <v>293</v>
      </c>
      <c r="E1130" s="82" t="n">
        <v>3765</v>
      </c>
      <c r="F1130" s="26" t="n">
        <v>0.182358458491943</v>
      </c>
      <c r="G1130" s="26" t="n">
        <v>686.579596</v>
      </c>
      <c r="H1130" s="1" t="s">
        <v>451</v>
      </c>
    </row>
    <row r="1131" customFormat="false" ht="15" hidden="false" customHeight="true" outlineLevel="0" collapsed="false">
      <c r="A1131" s="1" t="s">
        <v>681</v>
      </c>
      <c r="B1131" s="1" t="s">
        <v>40</v>
      </c>
      <c r="C1131" s="1" t="s">
        <v>40</v>
      </c>
      <c r="D1131" s="1" t="s">
        <v>290</v>
      </c>
      <c r="E1131" s="82" t="n">
        <v>6568</v>
      </c>
      <c r="F1131" s="26" t="n">
        <v>0.182358458491943</v>
      </c>
      <c r="G1131" s="26" t="n">
        <v>1197.730355</v>
      </c>
      <c r="H1131" s="1" t="s">
        <v>451</v>
      </c>
    </row>
    <row r="1132" customFormat="false" ht="15" hidden="false" customHeight="true" outlineLevel="0" collapsed="false">
      <c r="A1132" s="1" t="s">
        <v>681</v>
      </c>
      <c r="B1132" s="1" t="s">
        <v>40</v>
      </c>
      <c r="C1132" s="1" t="s">
        <v>40</v>
      </c>
      <c r="D1132" s="1" t="s">
        <v>285</v>
      </c>
      <c r="E1132" s="82" t="n">
        <v>4805</v>
      </c>
      <c r="F1132" s="26" t="n">
        <v>0.182358458491943</v>
      </c>
      <c r="G1132" s="26" t="n">
        <v>876.232393</v>
      </c>
      <c r="H1132" s="1" t="s">
        <v>451</v>
      </c>
    </row>
    <row r="1133" customFormat="false" ht="15" hidden="false" customHeight="true" outlineLevel="0" collapsed="false">
      <c r="A1133" s="1" t="s">
        <v>681</v>
      </c>
      <c r="B1133" s="1" t="s">
        <v>40</v>
      </c>
      <c r="C1133" s="1" t="s">
        <v>40</v>
      </c>
      <c r="D1133" s="1" t="s">
        <v>282</v>
      </c>
      <c r="E1133" s="82" t="n">
        <v>4806</v>
      </c>
      <c r="F1133" s="26" t="n">
        <v>0.182358458491943</v>
      </c>
      <c r="G1133" s="26" t="n">
        <v>876.414752</v>
      </c>
      <c r="H1133" s="1" t="s">
        <v>451</v>
      </c>
    </row>
    <row r="1134" customFormat="false" ht="15" hidden="false" customHeight="true" outlineLevel="0" collapsed="false">
      <c r="A1134" s="1" t="s">
        <v>644</v>
      </c>
      <c r="B1134" s="1" t="s">
        <v>87</v>
      </c>
      <c r="C1134" s="1" t="s">
        <v>700</v>
      </c>
      <c r="D1134" s="1" t="s">
        <v>287</v>
      </c>
      <c r="E1134" s="82" t="n">
        <v>6280</v>
      </c>
      <c r="F1134" s="26" t="n">
        <v>0.148830177998923</v>
      </c>
      <c r="G1134" s="26" t="n">
        <v>934.653518</v>
      </c>
      <c r="H1134" s="1" t="s">
        <v>451</v>
      </c>
    </row>
    <row r="1135" customFormat="false" ht="15" hidden="false" customHeight="true" outlineLevel="0" collapsed="false">
      <c r="A1135" s="1" t="s">
        <v>644</v>
      </c>
      <c r="B1135" s="1" t="s">
        <v>87</v>
      </c>
      <c r="C1135" s="1" t="s">
        <v>700</v>
      </c>
      <c r="D1135" s="1" t="s">
        <v>284</v>
      </c>
      <c r="E1135" s="82" t="n">
        <v>14331</v>
      </c>
      <c r="F1135" s="26" t="n">
        <v>0.148830177998923</v>
      </c>
      <c r="G1135" s="26" t="n">
        <v>2132.885281</v>
      </c>
      <c r="H1135" s="1" t="s">
        <v>451</v>
      </c>
    </row>
    <row r="1136" customFormat="false" ht="15" hidden="false" customHeight="true" outlineLevel="0" collapsed="false">
      <c r="A1136" s="1" t="s">
        <v>644</v>
      </c>
      <c r="B1136" s="1" t="s">
        <v>87</v>
      </c>
      <c r="C1136" s="1" t="s">
        <v>700</v>
      </c>
      <c r="D1136" s="1" t="s">
        <v>293</v>
      </c>
      <c r="E1136" s="82" t="n">
        <v>3650</v>
      </c>
      <c r="F1136" s="26" t="n">
        <v>0.148830177998923</v>
      </c>
      <c r="G1136" s="26" t="n">
        <v>543.23015</v>
      </c>
      <c r="H1136" s="1" t="s">
        <v>451</v>
      </c>
    </row>
    <row r="1137" customFormat="false" ht="15" hidden="false" customHeight="true" outlineLevel="0" collapsed="false">
      <c r="A1137" s="1" t="s">
        <v>644</v>
      </c>
      <c r="B1137" s="1" t="s">
        <v>87</v>
      </c>
      <c r="C1137" s="1" t="s">
        <v>700</v>
      </c>
      <c r="D1137" s="1" t="s">
        <v>290</v>
      </c>
      <c r="E1137" s="82" t="n">
        <v>6396</v>
      </c>
      <c r="F1137" s="26" t="n">
        <v>0.148830177998923</v>
      </c>
      <c r="G1137" s="26" t="n">
        <v>951.917818</v>
      </c>
      <c r="H1137" s="1" t="s">
        <v>451</v>
      </c>
    </row>
    <row r="1138" customFormat="false" ht="15" hidden="false" customHeight="true" outlineLevel="0" collapsed="false">
      <c r="A1138" s="1" t="s">
        <v>644</v>
      </c>
      <c r="B1138" s="1" t="s">
        <v>87</v>
      </c>
      <c r="C1138" s="1" t="s">
        <v>700</v>
      </c>
      <c r="D1138" s="1" t="s">
        <v>285</v>
      </c>
      <c r="E1138" s="82" t="n">
        <v>4730</v>
      </c>
      <c r="F1138" s="26" t="n">
        <v>0.148830177998923</v>
      </c>
      <c r="G1138" s="26" t="n">
        <v>703.966742</v>
      </c>
      <c r="H1138" s="1" t="s">
        <v>451</v>
      </c>
    </row>
    <row r="1139" customFormat="false" ht="15" hidden="false" customHeight="true" outlineLevel="0" collapsed="false">
      <c r="A1139" s="1" t="s">
        <v>644</v>
      </c>
      <c r="B1139" s="1" t="s">
        <v>87</v>
      </c>
      <c r="C1139" s="1" t="s">
        <v>700</v>
      </c>
      <c r="D1139" s="1" t="s">
        <v>282</v>
      </c>
      <c r="E1139" s="82" t="n">
        <v>4782</v>
      </c>
      <c r="F1139" s="26" t="n">
        <v>0.148830177998923</v>
      </c>
      <c r="G1139" s="26" t="n">
        <v>711.705911</v>
      </c>
      <c r="H1139" s="1" t="s">
        <v>451</v>
      </c>
    </row>
    <row r="1140" customFormat="false" ht="15" hidden="false" customHeight="true" outlineLevel="0" collapsed="false">
      <c r="A1140" s="1" t="s">
        <v>654</v>
      </c>
      <c r="B1140" s="1" t="s">
        <v>87</v>
      </c>
      <c r="C1140" s="1" t="s">
        <v>700</v>
      </c>
      <c r="D1140" s="1" t="s">
        <v>287</v>
      </c>
      <c r="E1140" s="82" t="n">
        <v>6445</v>
      </c>
      <c r="F1140" s="26" t="n">
        <v>0.165505113968682</v>
      </c>
      <c r="G1140" s="26" t="n">
        <v>1066.68046</v>
      </c>
      <c r="H1140" s="1" t="s">
        <v>451</v>
      </c>
    </row>
    <row r="1141" customFormat="false" ht="15" hidden="false" customHeight="true" outlineLevel="0" collapsed="false">
      <c r="A1141" s="1" t="s">
        <v>654</v>
      </c>
      <c r="B1141" s="1" t="s">
        <v>87</v>
      </c>
      <c r="C1141" s="1" t="s">
        <v>700</v>
      </c>
      <c r="D1141" s="1" t="s">
        <v>284</v>
      </c>
      <c r="E1141" s="82" t="n">
        <v>14441</v>
      </c>
      <c r="F1141" s="26" t="n">
        <v>0.165505113968682</v>
      </c>
      <c r="G1141" s="26" t="n">
        <v>2390.059351</v>
      </c>
      <c r="H1141" s="1" t="s">
        <v>451</v>
      </c>
    </row>
    <row r="1142" customFormat="false" ht="15" hidden="false" customHeight="true" outlineLevel="0" collapsed="false">
      <c r="A1142" s="1" t="s">
        <v>654</v>
      </c>
      <c r="B1142" s="1" t="s">
        <v>87</v>
      </c>
      <c r="C1142" s="1" t="s">
        <v>700</v>
      </c>
      <c r="D1142" s="1" t="s">
        <v>293</v>
      </c>
      <c r="E1142" s="82" t="n">
        <v>3704</v>
      </c>
      <c r="F1142" s="26" t="n">
        <v>0.165505113968682</v>
      </c>
      <c r="G1142" s="26" t="n">
        <v>613.030942</v>
      </c>
      <c r="H1142" s="1" t="s">
        <v>451</v>
      </c>
    </row>
    <row r="1143" customFormat="false" ht="15" hidden="false" customHeight="true" outlineLevel="0" collapsed="false">
      <c r="A1143" s="1" t="s">
        <v>654</v>
      </c>
      <c r="B1143" s="1" t="s">
        <v>87</v>
      </c>
      <c r="C1143" s="1" t="s">
        <v>700</v>
      </c>
      <c r="D1143" s="1" t="s">
        <v>290</v>
      </c>
      <c r="E1143" s="82" t="n">
        <v>6434</v>
      </c>
      <c r="F1143" s="26" t="n">
        <v>0.165505113968682</v>
      </c>
      <c r="G1143" s="26" t="n">
        <v>1064.859903</v>
      </c>
      <c r="H1143" s="1" t="s">
        <v>451</v>
      </c>
    </row>
    <row r="1144" customFormat="false" ht="15" hidden="false" customHeight="true" outlineLevel="0" collapsed="false">
      <c r="A1144" s="1" t="s">
        <v>654</v>
      </c>
      <c r="B1144" s="1" t="s">
        <v>87</v>
      </c>
      <c r="C1144" s="1" t="s">
        <v>700</v>
      </c>
      <c r="D1144" s="1" t="s">
        <v>285</v>
      </c>
      <c r="E1144" s="82" t="n">
        <v>4749</v>
      </c>
      <c r="F1144" s="26" t="n">
        <v>0.165505113968682</v>
      </c>
      <c r="G1144" s="26" t="n">
        <v>785.983786</v>
      </c>
      <c r="H1144" s="1" t="s">
        <v>451</v>
      </c>
    </row>
    <row r="1145" customFormat="false" ht="15" hidden="false" customHeight="true" outlineLevel="0" collapsed="false">
      <c r="A1145" s="1" t="s">
        <v>654</v>
      </c>
      <c r="B1145" s="1" t="s">
        <v>87</v>
      </c>
      <c r="C1145" s="1" t="s">
        <v>700</v>
      </c>
      <c r="D1145" s="1" t="s">
        <v>282</v>
      </c>
      <c r="E1145" s="82" t="n">
        <v>4795</v>
      </c>
      <c r="F1145" s="26" t="n">
        <v>0.165505113968682</v>
      </c>
      <c r="G1145" s="26" t="n">
        <v>793.597021</v>
      </c>
      <c r="H1145" s="1" t="s">
        <v>451</v>
      </c>
    </row>
    <row r="1146" customFormat="false" ht="15" hidden="false" customHeight="true" outlineLevel="0" collapsed="false">
      <c r="A1146" s="1" t="s">
        <v>681</v>
      </c>
      <c r="B1146" s="1" t="s">
        <v>87</v>
      </c>
      <c r="C1146" s="1" t="s">
        <v>700</v>
      </c>
      <c r="D1146" s="1" t="s">
        <v>287</v>
      </c>
      <c r="E1146" s="82" t="n">
        <v>6588</v>
      </c>
      <c r="F1146" s="26" t="n">
        <v>0.170974700825347</v>
      </c>
      <c r="G1146" s="26" t="n">
        <v>1126.381329</v>
      </c>
      <c r="H1146" s="1" t="s">
        <v>451</v>
      </c>
    </row>
    <row r="1147" customFormat="false" ht="15" hidden="false" customHeight="true" outlineLevel="0" collapsed="false">
      <c r="A1147" s="1" t="s">
        <v>681</v>
      </c>
      <c r="B1147" s="1" t="s">
        <v>87</v>
      </c>
      <c r="C1147" s="1" t="s">
        <v>700</v>
      </c>
      <c r="D1147" s="1" t="s">
        <v>284</v>
      </c>
      <c r="E1147" s="82" t="n">
        <v>14689</v>
      </c>
      <c r="F1147" s="26" t="n">
        <v>0.170974700825347</v>
      </c>
      <c r="G1147" s="26" t="n">
        <v>2511.44738</v>
      </c>
      <c r="H1147" s="1" t="s">
        <v>451</v>
      </c>
    </row>
    <row r="1148" customFormat="false" ht="15" hidden="false" customHeight="true" outlineLevel="0" collapsed="false">
      <c r="A1148" s="1" t="s">
        <v>681</v>
      </c>
      <c r="B1148" s="1" t="s">
        <v>87</v>
      </c>
      <c r="C1148" s="1" t="s">
        <v>700</v>
      </c>
      <c r="D1148" s="1" t="s">
        <v>293</v>
      </c>
      <c r="E1148" s="82" t="n">
        <v>3765</v>
      </c>
      <c r="F1148" s="26" t="n">
        <v>0.170974700825347</v>
      </c>
      <c r="G1148" s="26" t="n">
        <v>643.719749</v>
      </c>
      <c r="H1148" s="1" t="s">
        <v>451</v>
      </c>
    </row>
    <row r="1149" customFormat="false" ht="15" hidden="false" customHeight="true" outlineLevel="0" collapsed="false">
      <c r="A1149" s="1" t="s">
        <v>681</v>
      </c>
      <c r="B1149" s="1" t="s">
        <v>87</v>
      </c>
      <c r="C1149" s="1" t="s">
        <v>700</v>
      </c>
      <c r="D1149" s="1" t="s">
        <v>290</v>
      </c>
      <c r="E1149" s="82" t="n">
        <v>6568</v>
      </c>
      <c r="F1149" s="26" t="n">
        <v>0.170974700825347</v>
      </c>
      <c r="G1149" s="26" t="n">
        <v>1122.961835</v>
      </c>
      <c r="H1149" s="1" t="s">
        <v>451</v>
      </c>
    </row>
    <row r="1150" customFormat="false" ht="15" hidden="false" customHeight="true" outlineLevel="0" collapsed="false">
      <c r="A1150" s="1" t="s">
        <v>681</v>
      </c>
      <c r="B1150" s="1" t="s">
        <v>87</v>
      </c>
      <c r="C1150" s="1" t="s">
        <v>700</v>
      </c>
      <c r="D1150" s="1" t="s">
        <v>285</v>
      </c>
      <c r="E1150" s="82" t="n">
        <v>4805</v>
      </c>
      <c r="F1150" s="26" t="n">
        <v>0.170974700825347</v>
      </c>
      <c r="G1150" s="26" t="n">
        <v>821.533437</v>
      </c>
      <c r="H1150" s="1" t="s">
        <v>451</v>
      </c>
    </row>
    <row r="1151" customFormat="false" ht="15" hidden="false" customHeight="true" outlineLevel="0" collapsed="false">
      <c r="A1151" s="1" t="s">
        <v>681</v>
      </c>
      <c r="B1151" s="1" t="s">
        <v>87</v>
      </c>
      <c r="C1151" s="1" t="s">
        <v>700</v>
      </c>
      <c r="D1151" s="1" t="s">
        <v>282</v>
      </c>
      <c r="E1151" s="82" t="n">
        <v>4806</v>
      </c>
      <c r="F1151" s="26" t="n">
        <v>0.170974700825347</v>
      </c>
      <c r="G1151" s="26" t="n">
        <v>821.704412</v>
      </c>
      <c r="H1151" s="1" t="s">
        <v>451</v>
      </c>
    </row>
    <row r="1152" customFormat="false" ht="15" hidden="false" customHeight="true" outlineLevel="0" collapsed="false">
      <c r="A1152" s="1" t="s">
        <v>644</v>
      </c>
      <c r="B1152" s="1" t="s">
        <v>85</v>
      </c>
      <c r="C1152" s="1" t="s">
        <v>701</v>
      </c>
      <c r="D1152" s="1" t="s">
        <v>287</v>
      </c>
      <c r="E1152" s="82" t="n">
        <v>6280</v>
      </c>
      <c r="F1152" s="26" t="n">
        <v>0.319464004034977</v>
      </c>
      <c r="G1152" s="26" t="n">
        <v>2006.233945</v>
      </c>
      <c r="H1152" s="1" t="s">
        <v>451</v>
      </c>
    </row>
    <row r="1153" customFormat="false" ht="15" hidden="false" customHeight="true" outlineLevel="0" collapsed="false">
      <c r="A1153" s="1" t="s">
        <v>644</v>
      </c>
      <c r="B1153" s="1" t="s">
        <v>85</v>
      </c>
      <c r="C1153" s="1" t="s">
        <v>701</v>
      </c>
      <c r="D1153" s="1" t="s">
        <v>289</v>
      </c>
      <c r="E1153" s="82" t="n">
        <v>13402</v>
      </c>
      <c r="F1153" s="26" t="n">
        <v>0.319464004034977</v>
      </c>
      <c r="G1153" s="26" t="n">
        <v>4281.456582</v>
      </c>
      <c r="H1153" s="1" t="s">
        <v>451</v>
      </c>
    </row>
    <row r="1154" customFormat="false" ht="15" hidden="false" customHeight="true" outlineLevel="0" collapsed="false">
      <c r="A1154" s="1" t="s">
        <v>644</v>
      </c>
      <c r="B1154" s="1" t="s">
        <v>85</v>
      </c>
      <c r="C1154" s="1" t="s">
        <v>701</v>
      </c>
      <c r="D1154" s="1" t="s">
        <v>284</v>
      </c>
      <c r="E1154" s="82" t="n">
        <v>14331</v>
      </c>
      <c r="F1154" s="26" t="n">
        <v>0.319464004034977</v>
      </c>
      <c r="G1154" s="26" t="n">
        <v>4578.238642</v>
      </c>
      <c r="H1154" s="1" t="s">
        <v>451</v>
      </c>
    </row>
    <row r="1155" customFormat="false" ht="15" hidden="false" customHeight="true" outlineLevel="0" collapsed="false">
      <c r="A1155" s="1" t="s">
        <v>644</v>
      </c>
      <c r="B1155" s="1" t="s">
        <v>85</v>
      </c>
      <c r="C1155" s="1" t="s">
        <v>701</v>
      </c>
      <c r="D1155" s="1" t="s">
        <v>293</v>
      </c>
      <c r="E1155" s="82" t="n">
        <v>3650</v>
      </c>
      <c r="F1155" s="26" t="n">
        <v>0.319464004034977</v>
      </c>
      <c r="G1155" s="26" t="n">
        <v>1166.043615</v>
      </c>
      <c r="H1155" s="1" t="s">
        <v>451</v>
      </c>
    </row>
    <row r="1156" customFormat="false" ht="15" hidden="false" customHeight="true" outlineLevel="0" collapsed="false">
      <c r="A1156" s="1" t="s">
        <v>644</v>
      </c>
      <c r="B1156" s="1" t="s">
        <v>85</v>
      </c>
      <c r="C1156" s="1" t="s">
        <v>701</v>
      </c>
      <c r="D1156" s="1" t="s">
        <v>290</v>
      </c>
      <c r="E1156" s="82" t="n">
        <v>6396</v>
      </c>
      <c r="F1156" s="26" t="n">
        <v>0.319464004034977</v>
      </c>
      <c r="G1156" s="26" t="n">
        <v>2043.29177</v>
      </c>
      <c r="H1156" s="1" t="s">
        <v>451</v>
      </c>
    </row>
    <row r="1157" customFormat="false" ht="15" hidden="false" customHeight="true" outlineLevel="0" collapsed="false">
      <c r="A1157" s="1" t="s">
        <v>644</v>
      </c>
      <c r="B1157" s="1" t="s">
        <v>85</v>
      </c>
      <c r="C1157" s="1" t="s">
        <v>701</v>
      </c>
      <c r="D1157" s="1" t="s">
        <v>285</v>
      </c>
      <c r="E1157" s="82" t="n">
        <v>4730</v>
      </c>
      <c r="F1157" s="26" t="n">
        <v>0.319464004034977</v>
      </c>
      <c r="G1157" s="26" t="n">
        <v>1511.064739</v>
      </c>
      <c r="H1157" s="1" t="s">
        <v>451</v>
      </c>
    </row>
    <row r="1158" customFormat="false" ht="15" hidden="false" customHeight="true" outlineLevel="0" collapsed="false">
      <c r="A1158" s="1" t="s">
        <v>644</v>
      </c>
      <c r="B1158" s="1" t="s">
        <v>85</v>
      </c>
      <c r="C1158" s="1" t="s">
        <v>701</v>
      </c>
      <c r="D1158" s="1" t="s">
        <v>282</v>
      </c>
      <c r="E1158" s="82" t="n">
        <v>4782</v>
      </c>
      <c r="F1158" s="26" t="n">
        <v>0.319464004034977</v>
      </c>
      <c r="G1158" s="26" t="n">
        <v>1527.676867</v>
      </c>
      <c r="H1158" s="1" t="s">
        <v>451</v>
      </c>
    </row>
    <row r="1159" customFormat="false" ht="15" hidden="false" customHeight="true" outlineLevel="0" collapsed="false">
      <c r="A1159" s="1" t="s">
        <v>654</v>
      </c>
      <c r="B1159" s="1" t="s">
        <v>85</v>
      </c>
      <c r="C1159" s="1" t="s">
        <v>701</v>
      </c>
      <c r="D1159" s="1" t="s">
        <v>287</v>
      </c>
      <c r="E1159" s="82" t="n">
        <v>6445</v>
      </c>
      <c r="F1159" s="26" t="n">
        <v>0.293099708996474</v>
      </c>
      <c r="G1159" s="26" t="n">
        <v>1889.027624</v>
      </c>
      <c r="H1159" s="1" t="s">
        <v>451</v>
      </c>
    </row>
    <row r="1160" customFormat="false" ht="15" hidden="false" customHeight="true" outlineLevel="0" collapsed="false">
      <c r="A1160" s="1" t="s">
        <v>654</v>
      </c>
      <c r="B1160" s="1" t="s">
        <v>85</v>
      </c>
      <c r="C1160" s="1" t="s">
        <v>701</v>
      </c>
      <c r="D1160" s="1" t="s">
        <v>289</v>
      </c>
      <c r="E1160" s="82" t="n">
        <v>13418</v>
      </c>
      <c r="F1160" s="26" t="n">
        <v>0.293099708996474</v>
      </c>
      <c r="G1160" s="26" t="n">
        <v>3932.811895</v>
      </c>
      <c r="H1160" s="1" t="s">
        <v>451</v>
      </c>
    </row>
    <row r="1161" customFormat="false" ht="15" hidden="false" customHeight="true" outlineLevel="0" collapsed="false">
      <c r="A1161" s="1" t="s">
        <v>654</v>
      </c>
      <c r="B1161" s="1" t="s">
        <v>85</v>
      </c>
      <c r="C1161" s="1" t="s">
        <v>701</v>
      </c>
      <c r="D1161" s="1" t="s">
        <v>284</v>
      </c>
      <c r="E1161" s="82" t="n">
        <v>14441</v>
      </c>
      <c r="F1161" s="26" t="n">
        <v>0.293099708996474</v>
      </c>
      <c r="G1161" s="26" t="n">
        <v>4232.652898</v>
      </c>
      <c r="H1161" s="1" t="s">
        <v>451</v>
      </c>
    </row>
    <row r="1162" customFormat="false" ht="15" hidden="false" customHeight="true" outlineLevel="0" collapsed="false">
      <c r="A1162" s="1" t="s">
        <v>654</v>
      </c>
      <c r="B1162" s="1" t="s">
        <v>85</v>
      </c>
      <c r="C1162" s="1" t="s">
        <v>701</v>
      </c>
      <c r="D1162" s="1" t="s">
        <v>293</v>
      </c>
      <c r="E1162" s="82" t="n">
        <v>3704</v>
      </c>
      <c r="F1162" s="26" t="n">
        <v>0.293099708996474</v>
      </c>
      <c r="G1162" s="26" t="n">
        <v>1085.641322</v>
      </c>
      <c r="H1162" s="1" t="s">
        <v>451</v>
      </c>
    </row>
    <row r="1163" customFormat="false" ht="15" hidden="false" customHeight="true" outlineLevel="0" collapsed="false">
      <c r="A1163" s="1" t="s">
        <v>654</v>
      </c>
      <c r="B1163" s="1" t="s">
        <v>85</v>
      </c>
      <c r="C1163" s="1" t="s">
        <v>701</v>
      </c>
      <c r="D1163" s="1" t="s">
        <v>290</v>
      </c>
      <c r="E1163" s="82" t="n">
        <v>6434</v>
      </c>
      <c r="F1163" s="26" t="n">
        <v>0.293099708996474</v>
      </c>
      <c r="G1163" s="26" t="n">
        <v>1885.803528</v>
      </c>
      <c r="H1163" s="1" t="s">
        <v>451</v>
      </c>
    </row>
    <row r="1164" customFormat="false" ht="15" hidden="false" customHeight="true" outlineLevel="0" collapsed="false">
      <c r="A1164" s="1" t="s">
        <v>654</v>
      </c>
      <c r="B1164" s="1" t="s">
        <v>85</v>
      </c>
      <c r="C1164" s="1" t="s">
        <v>701</v>
      </c>
      <c r="D1164" s="1" t="s">
        <v>285</v>
      </c>
      <c r="E1164" s="82" t="n">
        <v>4749</v>
      </c>
      <c r="F1164" s="26" t="n">
        <v>0.293099708996474</v>
      </c>
      <c r="G1164" s="26" t="n">
        <v>1391.930518</v>
      </c>
      <c r="H1164" s="1" t="s">
        <v>451</v>
      </c>
    </row>
    <row r="1165" customFormat="false" ht="15" hidden="false" customHeight="true" outlineLevel="0" collapsed="false">
      <c r="A1165" s="1" t="s">
        <v>654</v>
      </c>
      <c r="B1165" s="1" t="s">
        <v>85</v>
      </c>
      <c r="C1165" s="1" t="s">
        <v>701</v>
      </c>
      <c r="D1165" s="1" t="s">
        <v>282</v>
      </c>
      <c r="E1165" s="82" t="n">
        <v>4795</v>
      </c>
      <c r="F1165" s="26" t="n">
        <v>0.293099708996474</v>
      </c>
      <c r="G1165" s="26" t="n">
        <v>1405.413105</v>
      </c>
      <c r="H1165" s="1" t="s">
        <v>451</v>
      </c>
    </row>
    <row r="1166" customFormat="false" ht="15" hidden="false" customHeight="true" outlineLevel="0" collapsed="false">
      <c r="A1166" s="1" t="s">
        <v>681</v>
      </c>
      <c r="B1166" s="1" t="s">
        <v>85</v>
      </c>
      <c r="C1166" s="1" t="s">
        <v>701</v>
      </c>
      <c r="D1166" s="1" t="s">
        <v>287</v>
      </c>
      <c r="E1166" s="82" t="n">
        <v>6588</v>
      </c>
      <c r="F1166" s="26" t="n">
        <v>0.299382438917867</v>
      </c>
      <c r="G1166" s="26" t="n">
        <v>1972.331508</v>
      </c>
      <c r="H1166" s="1" t="s">
        <v>451</v>
      </c>
    </row>
    <row r="1167" customFormat="false" ht="15" hidden="false" customHeight="true" outlineLevel="0" collapsed="false">
      <c r="A1167" s="1" t="s">
        <v>681</v>
      </c>
      <c r="B1167" s="1" t="s">
        <v>85</v>
      </c>
      <c r="C1167" s="1" t="s">
        <v>701</v>
      </c>
      <c r="D1167" s="1" t="s">
        <v>289</v>
      </c>
      <c r="E1167" s="82" t="n">
        <v>13530</v>
      </c>
      <c r="F1167" s="26" t="n">
        <v>0.299382438917867</v>
      </c>
      <c r="G1167" s="26" t="n">
        <v>4050.644399</v>
      </c>
      <c r="H1167" s="1" t="s">
        <v>451</v>
      </c>
    </row>
    <row r="1168" customFormat="false" ht="15" hidden="false" customHeight="true" outlineLevel="0" collapsed="false">
      <c r="A1168" s="1" t="s">
        <v>681</v>
      </c>
      <c r="B1168" s="1" t="s">
        <v>85</v>
      </c>
      <c r="C1168" s="1" t="s">
        <v>701</v>
      </c>
      <c r="D1168" s="1" t="s">
        <v>284</v>
      </c>
      <c r="E1168" s="82" t="n">
        <v>14689</v>
      </c>
      <c r="F1168" s="26" t="n">
        <v>0.299382438917867</v>
      </c>
      <c r="G1168" s="26" t="n">
        <v>4397.628645</v>
      </c>
      <c r="H1168" s="1" t="s">
        <v>451</v>
      </c>
    </row>
    <row r="1169" customFormat="false" ht="15" hidden="false" customHeight="true" outlineLevel="0" collapsed="false">
      <c r="A1169" s="1" t="s">
        <v>681</v>
      </c>
      <c r="B1169" s="1" t="s">
        <v>85</v>
      </c>
      <c r="C1169" s="1" t="s">
        <v>701</v>
      </c>
      <c r="D1169" s="1" t="s">
        <v>293</v>
      </c>
      <c r="E1169" s="82" t="n">
        <v>3765</v>
      </c>
      <c r="F1169" s="26" t="n">
        <v>0.299382438917867</v>
      </c>
      <c r="G1169" s="26" t="n">
        <v>1127.174883</v>
      </c>
      <c r="H1169" s="1" t="s">
        <v>451</v>
      </c>
    </row>
    <row r="1170" customFormat="false" ht="15" hidden="false" customHeight="true" outlineLevel="0" collapsed="false">
      <c r="A1170" s="1" t="s">
        <v>681</v>
      </c>
      <c r="B1170" s="1" t="s">
        <v>85</v>
      </c>
      <c r="C1170" s="1" t="s">
        <v>701</v>
      </c>
      <c r="D1170" s="1" t="s">
        <v>290</v>
      </c>
      <c r="E1170" s="82" t="n">
        <v>6568</v>
      </c>
      <c r="F1170" s="26" t="n">
        <v>0.299382438917867</v>
      </c>
      <c r="G1170" s="26" t="n">
        <v>1966.343859</v>
      </c>
      <c r="H1170" s="1" t="s">
        <v>451</v>
      </c>
    </row>
    <row r="1171" customFormat="false" ht="15" hidden="false" customHeight="true" outlineLevel="0" collapsed="false">
      <c r="A1171" s="1" t="s">
        <v>681</v>
      </c>
      <c r="B1171" s="1" t="s">
        <v>85</v>
      </c>
      <c r="C1171" s="1" t="s">
        <v>701</v>
      </c>
      <c r="D1171" s="1" t="s">
        <v>285</v>
      </c>
      <c r="E1171" s="82" t="n">
        <v>4805</v>
      </c>
      <c r="F1171" s="26" t="n">
        <v>0.299382438917867</v>
      </c>
      <c r="G1171" s="26" t="n">
        <v>1438.532619</v>
      </c>
      <c r="H1171" s="1" t="s">
        <v>451</v>
      </c>
    </row>
    <row r="1172" customFormat="false" ht="15" hidden="false" customHeight="true" outlineLevel="0" collapsed="false">
      <c r="A1172" s="1" t="s">
        <v>681</v>
      </c>
      <c r="B1172" s="1" t="s">
        <v>85</v>
      </c>
      <c r="C1172" s="1" t="s">
        <v>701</v>
      </c>
      <c r="D1172" s="1" t="s">
        <v>282</v>
      </c>
      <c r="E1172" s="82" t="n">
        <v>4806</v>
      </c>
      <c r="F1172" s="26" t="n">
        <v>0.299382438917867</v>
      </c>
      <c r="G1172" s="26" t="n">
        <v>1438.832001</v>
      </c>
      <c r="H1172" s="1" t="s">
        <v>451</v>
      </c>
    </row>
    <row r="1173" customFormat="false" ht="15" hidden="false" customHeight="true" outlineLevel="0" collapsed="false">
      <c r="A1173" s="1" t="s">
        <v>644</v>
      </c>
      <c r="B1173" s="1" t="s">
        <v>55</v>
      </c>
      <c r="C1173" s="1" t="s">
        <v>702</v>
      </c>
      <c r="D1173" s="1" t="s">
        <v>287</v>
      </c>
      <c r="E1173" s="1" t="n">
        <v>35</v>
      </c>
      <c r="F1173" s="1" t="n">
        <v>22.5794396961064</v>
      </c>
      <c r="G1173" s="1" t="n">
        <v>790.280389</v>
      </c>
      <c r="H1173" s="1" t="s">
        <v>696</v>
      </c>
    </row>
    <row r="1174" customFormat="false" ht="15" hidden="false" customHeight="true" outlineLevel="0" collapsed="false">
      <c r="A1174" s="1" t="s">
        <v>644</v>
      </c>
      <c r="B1174" s="1" t="s">
        <v>55</v>
      </c>
      <c r="C1174" s="1" t="s">
        <v>702</v>
      </c>
      <c r="D1174" s="1" t="s">
        <v>289</v>
      </c>
      <c r="E1174" s="1" t="n">
        <v>35</v>
      </c>
      <c r="F1174" s="1" t="n">
        <v>22.5794396961064</v>
      </c>
      <c r="G1174" s="1" t="n">
        <v>790.280389</v>
      </c>
      <c r="H1174" s="1" t="s">
        <v>696</v>
      </c>
    </row>
    <row r="1175" customFormat="false" ht="15" hidden="false" customHeight="true" outlineLevel="0" collapsed="false">
      <c r="A1175" s="1" t="s">
        <v>644</v>
      </c>
      <c r="B1175" s="1" t="s">
        <v>55</v>
      </c>
      <c r="C1175" s="1" t="s">
        <v>702</v>
      </c>
      <c r="D1175" s="1" t="s">
        <v>284</v>
      </c>
      <c r="E1175" s="1" t="n">
        <v>42</v>
      </c>
      <c r="F1175" s="1" t="n">
        <v>22.5794396961064</v>
      </c>
      <c r="G1175" s="1" t="n">
        <v>948.336467</v>
      </c>
      <c r="H1175" s="1" t="s">
        <v>696</v>
      </c>
    </row>
    <row r="1176" customFormat="false" ht="15" hidden="false" customHeight="true" outlineLevel="0" collapsed="false">
      <c r="A1176" s="1" t="s">
        <v>644</v>
      </c>
      <c r="B1176" s="1" t="s">
        <v>55</v>
      </c>
      <c r="C1176" s="1" t="s">
        <v>702</v>
      </c>
      <c r="D1176" s="1" t="s">
        <v>293</v>
      </c>
      <c r="E1176" s="1" t="n">
        <v>11</v>
      </c>
      <c r="F1176" s="1" t="n">
        <v>22.5794396961064</v>
      </c>
      <c r="G1176" s="1" t="n">
        <v>248.373837</v>
      </c>
      <c r="H1176" s="1" t="s">
        <v>696</v>
      </c>
    </row>
    <row r="1177" customFormat="false" ht="15" hidden="false" customHeight="true" outlineLevel="0" collapsed="false">
      <c r="A1177" s="1" t="s">
        <v>644</v>
      </c>
      <c r="B1177" s="1" t="s">
        <v>55</v>
      </c>
      <c r="C1177" s="1" t="s">
        <v>702</v>
      </c>
      <c r="D1177" s="1" t="s">
        <v>290</v>
      </c>
      <c r="E1177" s="1" t="n">
        <v>42</v>
      </c>
      <c r="F1177" s="1" t="n">
        <v>22.5794396961064</v>
      </c>
      <c r="G1177" s="1" t="n">
        <v>948.336467</v>
      </c>
      <c r="H1177" s="1" t="s">
        <v>696</v>
      </c>
    </row>
    <row r="1178" customFormat="false" ht="15" hidden="false" customHeight="true" outlineLevel="0" collapsed="false">
      <c r="A1178" s="1" t="s">
        <v>644</v>
      </c>
      <c r="B1178" s="1" t="s">
        <v>55</v>
      </c>
      <c r="C1178" s="1" t="s">
        <v>702</v>
      </c>
      <c r="D1178" s="1" t="s">
        <v>285</v>
      </c>
      <c r="E1178" s="1" t="n">
        <v>18</v>
      </c>
      <c r="F1178" s="1" t="n">
        <v>22.5794396961064</v>
      </c>
      <c r="G1178" s="1" t="n">
        <v>406.429915</v>
      </c>
      <c r="H1178" s="1" t="s">
        <v>696</v>
      </c>
    </row>
    <row r="1179" customFormat="false" ht="15" hidden="false" customHeight="true" outlineLevel="0" collapsed="false">
      <c r="A1179" s="1" t="s">
        <v>644</v>
      </c>
      <c r="B1179" s="1" t="s">
        <v>55</v>
      </c>
      <c r="C1179" s="1" t="s">
        <v>702</v>
      </c>
      <c r="D1179" s="1" t="s">
        <v>282</v>
      </c>
      <c r="E1179" s="1" t="n">
        <v>20</v>
      </c>
      <c r="F1179" s="1" t="n">
        <v>22.5794396961064</v>
      </c>
      <c r="G1179" s="1" t="n">
        <v>451.588794</v>
      </c>
      <c r="H1179" s="1" t="s">
        <v>696</v>
      </c>
    </row>
    <row r="1180" customFormat="false" ht="15" hidden="false" customHeight="true" outlineLevel="0" collapsed="false">
      <c r="A1180" s="1" t="s">
        <v>654</v>
      </c>
      <c r="B1180" s="1" t="s">
        <v>55</v>
      </c>
      <c r="C1180" s="1" t="s">
        <v>702</v>
      </c>
      <c r="D1180" s="1" t="s">
        <v>287</v>
      </c>
      <c r="E1180" s="1" t="n">
        <v>34</v>
      </c>
      <c r="F1180" s="1" t="n">
        <v>22.6655386081983</v>
      </c>
      <c r="G1180" s="1" t="n">
        <v>770.628313</v>
      </c>
      <c r="H1180" s="1" t="s">
        <v>696</v>
      </c>
    </row>
    <row r="1181" customFormat="false" ht="15" hidden="false" customHeight="true" outlineLevel="0" collapsed="false">
      <c r="A1181" s="1" t="s">
        <v>654</v>
      </c>
      <c r="B1181" s="1" t="s">
        <v>55</v>
      </c>
      <c r="C1181" s="1" t="s">
        <v>702</v>
      </c>
      <c r="D1181" s="1" t="s">
        <v>289</v>
      </c>
      <c r="E1181" s="1" t="n">
        <v>32</v>
      </c>
      <c r="F1181" s="1" t="n">
        <v>22.6655386081983</v>
      </c>
      <c r="G1181" s="1" t="n">
        <v>725.297235</v>
      </c>
      <c r="H1181" s="1" t="s">
        <v>696</v>
      </c>
    </row>
    <row r="1182" customFormat="false" ht="15" hidden="false" customHeight="true" outlineLevel="0" collapsed="false">
      <c r="A1182" s="1" t="s">
        <v>654</v>
      </c>
      <c r="B1182" s="1" t="s">
        <v>55</v>
      </c>
      <c r="C1182" s="1" t="s">
        <v>702</v>
      </c>
      <c r="D1182" s="1" t="s">
        <v>284</v>
      </c>
      <c r="E1182" s="1" t="n">
        <v>42</v>
      </c>
      <c r="F1182" s="1" t="n">
        <v>22.6655386081983</v>
      </c>
      <c r="G1182" s="1" t="n">
        <v>951.952622</v>
      </c>
      <c r="H1182" s="1" t="s">
        <v>696</v>
      </c>
    </row>
    <row r="1183" customFormat="false" ht="15" hidden="false" customHeight="true" outlineLevel="0" collapsed="false">
      <c r="A1183" s="1" t="s">
        <v>654</v>
      </c>
      <c r="B1183" s="1" t="s">
        <v>55</v>
      </c>
      <c r="C1183" s="1" t="s">
        <v>702</v>
      </c>
      <c r="D1183" s="1" t="s">
        <v>293</v>
      </c>
      <c r="E1183" s="1" t="n">
        <v>11</v>
      </c>
      <c r="F1183" s="1" t="n">
        <v>22.6655386081983</v>
      </c>
      <c r="G1183" s="1" t="n">
        <v>249.320925</v>
      </c>
      <c r="H1183" s="1" t="s">
        <v>696</v>
      </c>
    </row>
    <row r="1184" customFormat="false" ht="15" hidden="false" customHeight="true" outlineLevel="0" collapsed="false">
      <c r="A1184" s="1" t="s">
        <v>654</v>
      </c>
      <c r="B1184" s="1" t="s">
        <v>55</v>
      </c>
      <c r="C1184" s="1" t="s">
        <v>702</v>
      </c>
      <c r="D1184" s="1" t="s">
        <v>290</v>
      </c>
      <c r="E1184" s="1" t="n">
        <v>42</v>
      </c>
      <c r="F1184" s="1" t="n">
        <v>22.6655386081983</v>
      </c>
      <c r="G1184" s="1" t="n">
        <v>951.952622</v>
      </c>
      <c r="H1184" s="1" t="s">
        <v>696</v>
      </c>
    </row>
    <row r="1185" customFormat="false" ht="15" hidden="false" customHeight="true" outlineLevel="0" collapsed="false">
      <c r="A1185" s="1" t="s">
        <v>654</v>
      </c>
      <c r="B1185" s="1" t="s">
        <v>55</v>
      </c>
      <c r="C1185" s="1" t="s">
        <v>702</v>
      </c>
      <c r="D1185" s="1" t="s">
        <v>285</v>
      </c>
      <c r="E1185" s="1" t="n">
        <v>18</v>
      </c>
      <c r="F1185" s="1" t="n">
        <v>22.6655386081983</v>
      </c>
      <c r="G1185" s="1" t="n">
        <v>407.979695</v>
      </c>
      <c r="H1185" s="1" t="s">
        <v>696</v>
      </c>
    </row>
    <row r="1186" customFormat="false" ht="15" hidden="false" customHeight="true" outlineLevel="0" collapsed="false">
      <c r="A1186" s="1" t="s">
        <v>654</v>
      </c>
      <c r="B1186" s="1" t="s">
        <v>55</v>
      </c>
      <c r="C1186" s="1" t="s">
        <v>702</v>
      </c>
      <c r="D1186" s="1" t="s">
        <v>282</v>
      </c>
      <c r="E1186" s="1" t="n">
        <v>17</v>
      </c>
      <c r="F1186" s="1" t="n">
        <v>22.6655386081983</v>
      </c>
      <c r="G1186" s="1" t="n">
        <v>385.314156</v>
      </c>
      <c r="H1186" s="1" t="s">
        <v>696</v>
      </c>
    </row>
    <row r="1187" customFormat="false" ht="15" hidden="false" customHeight="true" outlineLevel="0" collapsed="false">
      <c r="A1187" s="1" t="s">
        <v>681</v>
      </c>
      <c r="B1187" s="1" t="s">
        <v>55</v>
      </c>
      <c r="C1187" s="1" t="s">
        <v>702</v>
      </c>
      <c r="D1187" s="1" t="s">
        <v>287</v>
      </c>
      <c r="E1187" s="1" t="n">
        <v>34</v>
      </c>
      <c r="F1187" s="1" t="n">
        <v>21.8129266055046</v>
      </c>
      <c r="G1187" s="1" t="n">
        <v>741.639505</v>
      </c>
      <c r="H1187" s="1" t="s">
        <v>696</v>
      </c>
    </row>
    <row r="1188" customFormat="false" ht="15" hidden="false" customHeight="true" outlineLevel="0" collapsed="false">
      <c r="A1188" s="1" t="s">
        <v>681</v>
      </c>
      <c r="B1188" s="1" t="s">
        <v>55</v>
      </c>
      <c r="C1188" s="1" t="s">
        <v>702</v>
      </c>
      <c r="D1188" s="1" t="s">
        <v>289</v>
      </c>
      <c r="H1188" s="1" t="s">
        <v>703</v>
      </c>
    </row>
    <row r="1189" customFormat="false" ht="15" hidden="false" customHeight="true" outlineLevel="0" collapsed="false">
      <c r="A1189" s="1" t="s">
        <v>681</v>
      </c>
      <c r="B1189" s="1" t="s">
        <v>55</v>
      </c>
      <c r="C1189" s="1" t="s">
        <v>702</v>
      </c>
      <c r="D1189" s="1" t="s">
        <v>284</v>
      </c>
      <c r="E1189" s="1" t="n">
        <v>47</v>
      </c>
      <c r="F1189" s="1" t="n">
        <v>21.8129266055046</v>
      </c>
      <c r="G1189" s="1" t="n">
        <v>1025.20755</v>
      </c>
      <c r="H1189" s="1" t="s">
        <v>696</v>
      </c>
    </row>
    <row r="1190" customFormat="false" ht="15" hidden="false" customHeight="true" outlineLevel="0" collapsed="false">
      <c r="A1190" s="1" t="s">
        <v>681</v>
      </c>
      <c r="B1190" s="1" t="s">
        <v>55</v>
      </c>
      <c r="C1190" s="1" t="s">
        <v>702</v>
      </c>
      <c r="D1190" s="1" t="s">
        <v>293</v>
      </c>
      <c r="E1190" s="1" t="n">
        <v>11</v>
      </c>
      <c r="F1190" s="1" t="n">
        <v>21.8129266055046</v>
      </c>
      <c r="G1190" s="1" t="n">
        <v>239.942193</v>
      </c>
      <c r="H1190" s="1" t="s">
        <v>696</v>
      </c>
    </row>
    <row r="1191" customFormat="false" ht="15" hidden="false" customHeight="true" outlineLevel="0" collapsed="false">
      <c r="A1191" s="1" t="s">
        <v>681</v>
      </c>
      <c r="B1191" s="1" t="s">
        <v>55</v>
      </c>
      <c r="C1191" s="1" t="s">
        <v>702</v>
      </c>
      <c r="D1191" s="1" t="s">
        <v>290</v>
      </c>
      <c r="E1191" s="1" t="n">
        <v>50</v>
      </c>
      <c r="F1191" s="1" t="n">
        <v>21.8129266055046</v>
      </c>
      <c r="G1191" s="1" t="n">
        <v>1090.64633</v>
      </c>
      <c r="H1191" s="1" t="s">
        <v>696</v>
      </c>
    </row>
    <row r="1192" customFormat="false" ht="15" hidden="false" customHeight="true" outlineLevel="0" collapsed="false">
      <c r="A1192" s="1" t="s">
        <v>681</v>
      </c>
      <c r="B1192" s="1" t="s">
        <v>55</v>
      </c>
      <c r="C1192" s="1" t="s">
        <v>702</v>
      </c>
      <c r="D1192" s="1" t="s">
        <v>285</v>
      </c>
      <c r="E1192" s="1" t="n">
        <v>18</v>
      </c>
      <c r="F1192" s="1" t="n">
        <v>21.8129266055046</v>
      </c>
      <c r="G1192" s="1" t="n">
        <v>392.632679</v>
      </c>
      <c r="H1192" s="1" t="s">
        <v>696</v>
      </c>
    </row>
    <row r="1193" customFormat="false" ht="15" hidden="false" customHeight="true" outlineLevel="0" collapsed="false">
      <c r="A1193" s="1" t="s">
        <v>681</v>
      </c>
      <c r="B1193" s="1" t="s">
        <v>55</v>
      </c>
      <c r="C1193" s="1" t="s">
        <v>702</v>
      </c>
      <c r="D1193" s="1" t="s">
        <v>282</v>
      </c>
      <c r="E1193" s="1" t="n">
        <v>24</v>
      </c>
      <c r="F1193" s="1" t="n">
        <v>21.8129266055046</v>
      </c>
      <c r="G1193" s="1" t="n">
        <v>523.510239</v>
      </c>
      <c r="H1193" s="1" t="s">
        <v>696</v>
      </c>
    </row>
    <row r="1194" customFormat="false" ht="15" hidden="false" customHeight="true" outlineLevel="0" collapsed="false">
      <c r="A1194" s="1" t="s">
        <v>644</v>
      </c>
      <c r="B1194" s="1" t="s">
        <v>55</v>
      </c>
      <c r="C1194" s="1" t="s">
        <v>704</v>
      </c>
      <c r="D1194" s="1" t="s">
        <v>287</v>
      </c>
      <c r="E1194" s="1" t="n">
        <v>1</v>
      </c>
      <c r="F1194" s="1" t="n">
        <v>32179.26</v>
      </c>
      <c r="G1194" s="1" t="n">
        <v>32179.26</v>
      </c>
      <c r="H1194" s="1" t="s">
        <v>705</v>
      </c>
    </row>
    <row r="1195" customFormat="false" ht="15" hidden="false" customHeight="true" outlineLevel="0" collapsed="false">
      <c r="A1195" s="1" t="s">
        <v>644</v>
      </c>
      <c r="B1195" s="1" t="s">
        <v>55</v>
      </c>
      <c r="C1195" s="1" t="s">
        <v>704</v>
      </c>
      <c r="D1195" s="1" t="s">
        <v>293</v>
      </c>
      <c r="E1195" s="1" t="n">
        <v>1</v>
      </c>
      <c r="F1195" s="1" t="n">
        <v>18442.4</v>
      </c>
      <c r="G1195" s="1" t="n">
        <v>18442.4</v>
      </c>
      <c r="H1195" s="1" t="s">
        <v>705</v>
      </c>
    </row>
    <row r="1196" customFormat="false" ht="15" hidden="false" customHeight="true" outlineLevel="0" collapsed="false">
      <c r="A1196" s="1" t="s">
        <v>644</v>
      </c>
      <c r="B1196" s="1" t="s">
        <v>55</v>
      </c>
      <c r="C1196" s="1" t="s">
        <v>704</v>
      </c>
      <c r="D1196" s="1" t="s">
        <v>290</v>
      </c>
      <c r="E1196" s="1" t="n">
        <v>1</v>
      </c>
      <c r="F1196" s="1" t="n">
        <v>38121.52</v>
      </c>
      <c r="G1196" s="1" t="n">
        <v>38121.52</v>
      </c>
      <c r="H1196" s="1" t="s">
        <v>705</v>
      </c>
    </row>
    <row r="1197" customFormat="false" ht="15" hidden="false" customHeight="true" outlineLevel="0" collapsed="false">
      <c r="A1197" s="1" t="s">
        <v>644</v>
      </c>
      <c r="B1197" s="1" t="s">
        <v>55</v>
      </c>
      <c r="C1197" s="1" t="s">
        <v>704</v>
      </c>
      <c r="D1197" s="1" t="s">
        <v>284</v>
      </c>
      <c r="E1197" s="1" t="n">
        <v>1</v>
      </c>
      <c r="F1197" s="1" t="n">
        <v>81174.19</v>
      </c>
      <c r="G1197" s="1" t="n">
        <v>81174.19</v>
      </c>
      <c r="H1197" s="1" t="s">
        <v>705</v>
      </c>
    </row>
    <row r="1198" customFormat="false" ht="15" hidden="false" customHeight="true" outlineLevel="0" collapsed="false">
      <c r="A1198" s="1" t="s">
        <v>644</v>
      </c>
      <c r="B1198" s="1" t="s">
        <v>55</v>
      </c>
      <c r="C1198" s="1" t="s">
        <v>704</v>
      </c>
      <c r="D1198" s="1" t="s">
        <v>285</v>
      </c>
      <c r="E1198" s="1" t="n">
        <v>1</v>
      </c>
      <c r="F1198" s="1" t="n">
        <v>24421.33</v>
      </c>
      <c r="G1198" s="1" t="n">
        <v>24421.33</v>
      </c>
      <c r="H1198" s="1" t="s">
        <v>705</v>
      </c>
    </row>
    <row r="1199" customFormat="false" ht="15" hidden="false" customHeight="true" outlineLevel="0" collapsed="false">
      <c r="A1199" s="1" t="s">
        <v>644</v>
      </c>
      <c r="B1199" s="1" t="s">
        <v>55</v>
      </c>
      <c r="C1199" s="1" t="s">
        <v>704</v>
      </c>
      <c r="D1199" s="1" t="s">
        <v>282</v>
      </c>
      <c r="E1199" s="1" t="n">
        <v>1</v>
      </c>
      <c r="F1199" s="1" t="n">
        <v>29324.31</v>
      </c>
      <c r="G1199" s="1" t="n">
        <v>29324.31</v>
      </c>
      <c r="H1199" s="1" t="s">
        <v>705</v>
      </c>
    </row>
    <row r="1200" customFormat="false" ht="15" hidden="false" customHeight="true" outlineLevel="0" collapsed="false">
      <c r="A1200" s="1" t="s">
        <v>654</v>
      </c>
      <c r="B1200" s="1" t="s">
        <v>55</v>
      </c>
      <c r="C1200" s="1" t="s">
        <v>704</v>
      </c>
      <c r="D1200" s="1" t="s">
        <v>287</v>
      </c>
      <c r="E1200" s="1" t="n">
        <v>1</v>
      </c>
      <c r="F1200" s="1" t="n">
        <v>33737.43</v>
      </c>
      <c r="G1200" s="1" t="n">
        <v>33737.43</v>
      </c>
      <c r="H1200" s="1" t="s">
        <v>705</v>
      </c>
    </row>
    <row r="1201" customFormat="false" ht="15" hidden="false" customHeight="true" outlineLevel="0" collapsed="false">
      <c r="A1201" s="1" t="s">
        <v>654</v>
      </c>
      <c r="B1201" s="1" t="s">
        <v>55</v>
      </c>
      <c r="C1201" s="1" t="s">
        <v>704</v>
      </c>
      <c r="D1201" s="1" t="s">
        <v>293</v>
      </c>
      <c r="E1201" s="1" t="n">
        <v>1</v>
      </c>
      <c r="F1201" s="1" t="n">
        <v>20747.18</v>
      </c>
      <c r="G1201" s="1" t="n">
        <v>20747.18</v>
      </c>
      <c r="H1201" s="1" t="s">
        <v>705</v>
      </c>
    </row>
    <row r="1202" customFormat="false" ht="15" hidden="false" customHeight="true" outlineLevel="0" collapsed="false">
      <c r="A1202" s="1" t="s">
        <v>654</v>
      </c>
      <c r="B1202" s="1" t="s">
        <v>55</v>
      </c>
      <c r="C1202" s="1" t="s">
        <v>704</v>
      </c>
      <c r="D1202" s="1" t="s">
        <v>290</v>
      </c>
      <c r="E1202" s="1" t="n">
        <v>1</v>
      </c>
      <c r="F1202" s="1" t="n">
        <v>40834.77</v>
      </c>
      <c r="G1202" s="1" t="n">
        <v>40834.77</v>
      </c>
      <c r="H1202" s="1" t="s">
        <v>705</v>
      </c>
    </row>
    <row r="1203" customFormat="false" ht="15" hidden="false" customHeight="true" outlineLevel="0" collapsed="false">
      <c r="A1203" s="1" t="s">
        <v>654</v>
      </c>
      <c r="B1203" s="1" t="s">
        <v>55</v>
      </c>
      <c r="C1203" s="1" t="s">
        <v>704</v>
      </c>
      <c r="D1203" s="1" t="s">
        <v>284</v>
      </c>
      <c r="E1203" s="1" t="n">
        <v>1</v>
      </c>
      <c r="F1203" s="1" t="n">
        <v>88540.29</v>
      </c>
      <c r="G1203" s="1" t="n">
        <v>88540.29</v>
      </c>
      <c r="H1203" s="1" t="s">
        <v>705</v>
      </c>
    </row>
    <row r="1204" customFormat="false" ht="15" hidden="false" customHeight="true" outlineLevel="0" collapsed="false">
      <c r="A1204" s="1" t="s">
        <v>654</v>
      </c>
      <c r="B1204" s="1" t="s">
        <v>55</v>
      </c>
      <c r="C1204" s="1" t="s">
        <v>704</v>
      </c>
      <c r="D1204" s="1" t="s">
        <v>285</v>
      </c>
      <c r="E1204" s="1" t="n">
        <v>1</v>
      </c>
      <c r="F1204" s="1" t="n">
        <v>26681.82</v>
      </c>
      <c r="G1204" s="1" t="n">
        <v>26681.82</v>
      </c>
      <c r="H1204" s="1" t="s">
        <v>705</v>
      </c>
    </row>
    <row r="1205" customFormat="false" ht="15" hidden="false" customHeight="true" outlineLevel="0" collapsed="false">
      <c r="A1205" s="1" t="s">
        <v>654</v>
      </c>
      <c r="B1205" s="1" t="s">
        <v>55</v>
      </c>
      <c r="C1205" s="1" t="s">
        <v>704</v>
      </c>
      <c r="D1205" s="1" t="s">
        <v>282</v>
      </c>
      <c r="E1205" s="1" t="n">
        <v>1</v>
      </c>
      <c r="F1205" s="1" t="n">
        <v>31624.98</v>
      </c>
      <c r="G1205" s="1" t="n">
        <v>31624.98</v>
      </c>
      <c r="H1205" s="1" t="s">
        <v>705</v>
      </c>
    </row>
    <row r="1206" customFormat="false" ht="15" hidden="false" customHeight="true" outlineLevel="0" collapsed="false">
      <c r="A1206" s="1" t="s">
        <v>681</v>
      </c>
      <c r="B1206" s="1" t="s">
        <v>55</v>
      </c>
      <c r="C1206" s="1" t="s">
        <v>704</v>
      </c>
      <c r="D1206" s="1" t="s">
        <v>287</v>
      </c>
      <c r="E1206" s="1" t="n">
        <v>1</v>
      </c>
      <c r="F1206" s="1" t="n">
        <v>37628.98</v>
      </c>
      <c r="G1206" s="1" t="n">
        <v>37628.98</v>
      </c>
      <c r="H1206" s="1" t="s">
        <v>705</v>
      </c>
    </row>
    <row r="1207" customFormat="false" ht="15" hidden="false" customHeight="true" outlineLevel="0" collapsed="false">
      <c r="A1207" s="1" t="s">
        <v>681</v>
      </c>
      <c r="B1207" s="1" t="s">
        <v>55</v>
      </c>
      <c r="C1207" s="1" t="s">
        <v>704</v>
      </c>
      <c r="D1207" s="1" t="s">
        <v>293</v>
      </c>
      <c r="E1207" s="1" t="n">
        <v>1</v>
      </c>
      <c r="F1207" s="1" t="n">
        <v>21544.9</v>
      </c>
      <c r="G1207" s="1" t="n">
        <v>21544.9</v>
      </c>
      <c r="H1207" s="1" t="s">
        <v>705</v>
      </c>
    </row>
    <row r="1208" customFormat="false" ht="15" hidden="false" customHeight="true" outlineLevel="0" collapsed="false">
      <c r="A1208" s="1" t="s">
        <v>681</v>
      </c>
      <c r="B1208" s="1" t="s">
        <v>55</v>
      </c>
      <c r="C1208" s="1" t="s">
        <v>704</v>
      </c>
      <c r="D1208" s="1" t="s">
        <v>290</v>
      </c>
      <c r="E1208" s="1" t="n">
        <v>1</v>
      </c>
      <c r="F1208" s="1" t="n">
        <v>41387.02</v>
      </c>
      <c r="G1208" s="1" t="n">
        <v>41387.02</v>
      </c>
      <c r="H1208" s="1" t="s">
        <v>705</v>
      </c>
    </row>
    <row r="1209" customFormat="false" ht="15" hidden="false" customHeight="true" outlineLevel="0" collapsed="false">
      <c r="A1209" s="1" t="s">
        <v>681</v>
      </c>
      <c r="B1209" s="1" t="s">
        <v>55</v>
      </c>
      <c r="C1209" s="1" t="s">
        <v>704</v>
      </c>
      <c r="D1209" s="1" t="s">
        <v>284</v>
      </c>
      <c r="E1209" s="1" t="n">
        <v>1</v>
      </c>
      <c r="F1209" s="1" t="n">
        <v>90134.89</v>
      </c>
      <c r="G1209" s="1" t="n">
        <v>90134.89</v>
      </c>
      <c r="H1209" s="1" t="s">
        <v>705</v>
      </c>
    </row>
    <row r="1210" customFormat="false" ht="15" hidden="false" customHeight="true" outlineLevel="0" collapsed="false">
      <c r="A1210" s="1" t="s">
        <v>681</v>
      </c>
      <c r="B1210" s="1" t="s">
        <v>55</v>
      </c>
      <c r="C1210" s="1" t="s">
        <v>704</v>
      </c>
      <c r="D1210" s="1" t="s">
        <v>285</v>
      </c>
      <c r="E1210" s="1" t="n">
        <v>1</v>
      </c>
      <c r="F1210" s="1" t="n">
        <v>26769.64</v>
      </c>
      <c r="G1210" s="1" t="n">
        <v>26769.64</v>
      </c>
      <c r="H1210" s="1" t="s">
        <v>705</v>
      </c>
    </row>
    <row r="1211" customFormat="false" ht="15" hidden="false" customHeight="true" outlineLevel="0" collapsed="false">
      <c r="A1211" s="1" t="s">
        <v>681</v>
      </c>
      <c r="B1211" s="1" t="s">
        <v>55</v>
      </c>
      <c r="C1211" s="1" t="s">
        <v>704</v>
      </c>
      <c r="D1211" s="1" t="s">
        <v>282</v>
      </c>
      <c r="E1211" s="1" t="n">
        <v>1</v>
      </c>
      <c r="F1211" s="1" t="n">
        <v>31924.42</v>
      </c>
      <c r="G1211" s="1" t="n">
        <v>31924.42</v>
      </c>
      <c r="H1211" s="1" t="s">
        <v>705</v>
      </c>
    </row>
    <row r="1212" customFormat="false" ht="15" hidden="false" customHeight="true" outlineLevel="0" collapsed="false">
      <c r="A1212" s="1" t="s">
        <v>644</v>
      </c>
      <c r="B1212" s="1" t="s">
        <v>41</v>
      </c>
      <c r="C1212" s="1" t="s">
        <v>41</v>
      </c>
      <c r="D1212" s="1" t="s">
        <v>287</v>
      </c>
      <c r="E1212" s="1" t="n">
        <v>6280</v>
      </c>
      <c r="F1212" s="1" t="n">
        <v>0.0950854396452147</v>
      </c>
      <c r="G1212" s="1" t="n">
        <v>597.136560971948</v>
      </c>
      <c r="H1212" s="1" t="s">
        <v>451</v>
      </c>
    </row>
    <row r="1213" customFormat="false" ht="15" hidden="false" customHeight="true" outlineLevel="0" collapsed="false">
      <c r="A1213" s="1" t="s">
        <v>644</v>
      </c>
      <c r="B1213" s="1" t="s">
        <v>41</v>
      </c>
      <c r="C1213" s="1" t="s">
        <v>41</v>
      </c>
      <c r="D1213" s="1" t="s">
        <v>284</v>
      </c>
      <c r="E1213" s="1" t="n">
        <v>14331</v>
      </c>
      <c r="F1213" s="1" t="n">
        <v>0.0950854396452147</v>
      </c>
      <c r="G1213" s="1" t="n">
        <v>1362.66943555557</v>
      </c>
      <c r="H1213" s="1" t="s">
        <v>451</v>
      </c>
    </row>
    <row r="1214" customFormat="false" ht="15" hidden="false" customHeight="true" outlineLevel="0" collapsed="false">
      <c r="A1214" s="1" t="s">
        <v>644</v>
      </c>
      <c r="B1214" s="1" t="s">
        <v>41</v>
      </c>
      <c r="C1214" s="1" t="s">
        <v>41</v>
      </c>
      <c r="D1214" s="1" t="s">
        <v>293</v>
      </c>
      <c r="E1214" s="1" t="n">
        <v>3650</v>
      </c>
      <c r="F1214" s="1" t="n">
        <v>0.0950854396452147</v>
      </c>
      <c r="G1214" s="1" t="n">
        <v>347.061854705034</v>
      </c>
      <c r="H1214" s="1" t="s">
        <v>451</v>
      </c>
    </row>
    <row r="1215" customFormat="false" ht="15" hidden="false" customHeight="true" outlineLevel="0" collapsed="false">
      <c r="A1215" s="1" t="s">
        <v>644</v>
      </c>
      <c r="B1215" s="1" t="s">
        <v>41</v>
      </c>
      <c r="C1215" s="1" t="s">
        <v>41</v>
      </c>
      <c r="D1215" s="1" t="s">
        <v>290</v>
      </c>
      <c r="E1215" s="1" t="n">
        <v>6396</v>
      </c>
      <c r="F1215" s="1" t="n">
        <v>0.0950854396452147</v>
      </c>
      <c r="G1215" s="1" t="n">
        <v>608.166471970793</v>
      </c>
      <c r="H1215" s="1" t="s">
        <v>451</v>
      </c>
    </row>
    <row r="1216" customFormat="false" ht="15" hidden="false" customHeight="true" outlineLevel="0" collapsed="false">
      <c r="A1216" s="1" t="s">
        <v>644</v>
      </c>
      <c r="B1216" s="1" t="s">
        <v>41</v>
      </c>
      <c r="C1216" s="1" t="s">
        <v>41</v>
      </c>
      <c r="D1216" s="1" t="s">
        <v>285</v>
      </c>
      <c r="E1216" s="1" t="n">
        <v>4730</v>
      </c>
      <c r="F1216" s="1" t="n">
        <v>0.0950854396452147</v>
      </c>
      <c r="G1216" s="1" t="n">
        <v>449.754129521866</v>
      </c>
      <c r="H1216" s="1" t="s">
        <v>451</v>
      </c>
    </row>
    <row r="1217" customFormat="false" ht="15" hidden="false" customHeight="true" outlineLevel="0" collapsed="false">
      <c r="A1217" s="1" t="s">
        <v>644</v>
      </c>
      <c r="B1217" s="1" t="s">
        <v>41</v>
      </c>
      <c r="C1217" s="1" t="s">
        <v>41</v>
      </c>
      <c r="D1217" s="1" t="s">
        <v>282</v>
      </c>
      <c r="E1217" s="1" t="n">
        <v>4782</v>
      </c>
      <c r="F1217" s="1" t="n">
        <v>0.0950854396452147</v>
      </c>
      <c r="G1217" s="1" t="n">
        <v>454.698572383417</v>
      </c>
      <c r="H1217" s="1" t="s">
        <v>451</v>
      </c>
    </row>
    <row r="1218" customFormat="false" ht="15" hidden="false" customHeight="true" outlineLevel="0" collapsed="false">
      <c r="A1218" s="1" t="s">
        <v>654</v>
      </c>
      <c r="B1218" s="1" t="s">
        <v>41</v>
      </c>
      <c r="C1218" s="1" t="s">
        <v>41</v>
      </c>
      <c r="D1218" s="1" t="s">
        <v>287</v>
      </c>
      <c r="E1218" s="1" t="n">
        <v>6445</v>
      </c>
      <c r="F1218" s="1" t="n">
        <v>0.0926479707456773</v>
      </c>
      <c r="G1218" s="1" t="n">
        <v>597.11617145589</v>
      </c>
      <c r="H1218" s="1" t="s">
        <v>451</v>
      </c>
    </row>
    <row r="1219" customFormat="false" ht="15" hidden="false" customHeight="true" outlineLevel="0" collapsed="false">
      <c r="A1219" s="1" t="s">
        <v>654</v>
      </c>
      <c r="B1219" s="1" t="s">
        <v>41</v>
      </c>
      <c r="C1219" s="1" t="s">
        <v>41</v>
      </c>
      <c r="D1219" s="1" t="s">
        <v>284</v>
      </c>
      <c r="E1219" s="1" t="n">
        <v>14441</v>
      </c>
      <c r="F1219" s="1" t="n">
        <v>0.0926479707456773</v>
      </c>
      <c r="G1219" s="1" t="n">
        <v>1337.92934553833</v>
      </c>
      <c r="H1219" s="1" t="s">
        <v>451</v>
      </c>
    </row>
    <row r="1220" customFormat="false" ht="15" hidden="false" customHeight="true" outlineLevel="0" collapsed="false">
      <c r="A1220" s="1" t="s">
        <v>654</v>
      </c>
      <c r="B1220" s="1" t="s">
        <v>41</v>
      </c>
      <c r="C1220" s="1" t="s">
        <v>41</v>
      </c>
      <c r="D1220" s="1" t="s">
        <v>293</v>
      </c>
      <c r="E1220" s="1" t="n">
        <v>3704</v>
      </c>
      <c r="F1220" s="1" t="n">
        <v>0.0926479707456773</v>
      </c>
      <c r="G1220" s="1" t="n">
        <v>343.168083641989</v>
      </c>
      <c r="H1220" s="1" t="s">
        <v>451</v>
      </c>
    </row>
    <row r="1221" customFormat="false" ht="15" hidden="false" customHeight="true" outlineLevel="0" collapsed="false">
      <c r="A1221" s="1" t="s">
        <v>654</v>
      </c>
      <c r="B1221" s="1" t="s">
        <v>41</v>
      </c>
      <c r="C1221" s="1" t="s">
        <v>41</v>
      </c>
      <c r="D1221" s="1" t="s">
        <v>290</v>
      </c>
      <c r="E1221" s="1" t="n">
        <v>6434</v>
      </c>
      <c r="F1221" s="1" t="n">
        <v>0.0926479707456773</v>
      </c>
      <c r="G1221" s="1" t="n">
        <v>596.097043777688</v>
      </c>
      <c r="H1221" s="1" t="s">
        <v>451</v>
      </c>
    </row>
    <row r="1222" customFormat="false" ht="15" hidden="false" customHeight="true" outlineLevel="0" collapsed="false">
      <c r="A1222" s="1" t="s">
        <v>654</v>
      </c>
      <c r="B1222" s="1" t="s">
        <v>41</v>
      </c>
      <c r="C1222" s="1" t="s">
        <v>41</v>
      </c>
      <c r="D1222" s="1" t="s">
        <v>285</v>
      </c>
      <c r="E1222" s="1" t="n">
        <v>4749</v>
      </c>
      <c r="F1222" s="1" t="n">
        <v>0.0926479707456773</v>
      </c>
      <c r="G1222" s="1" t="n">
        <v>439.985213071222</v>
      </c>
      <c r="H1222" s="1" t="s">
        <v>451</v>
      </c>
    </row>
    <row r="1223" customFormat="false" ht="15" hidden="false" customHeight="true" outlineLevel="0" collapsed="false">
      <c r="A1223" s="1" t="s">
        <v>654</v>
      </c>
      <c r="B1223" s="1" t="s">
        <v>41</v>
      </c>
      <c r="C1223" s="1" t="s">
        <v>41</v>
      </c>
      <c r="D1223" s="1" t="s">
        <v>282</v>
      </c>
      <c r="E1223" s="1" t="n">
        <v>4795</v>
      </c>
      <c r="F1223" s="1" t="n">
        <v>0.0926479707456773</v>
      </c>
      <c r="G1223" s="1" t="n">
        <v>444.247019725523</v>
      </c>
      <c r="H1223" s="1" t="s">
        <v>451</v>
      </c>
    </row>
    <row r="1224" customFormat="false" ht="15" hidden="false" customHeight="true" outlineLevel="0" collapsed="false">
      <c r="A1224" s="1" t="s">
        <v>681</v>
      </c>
      <c r="B1224" s="1" t="s">
        <v>41</v>
      </c>
      <c r="C1224" s="1" t="s">
        <v>41</v>
      </c>
      <c r="D1224" s="1" t="s">
        <v>287</v>
      </c>
      <c r="E1224" s="1" t="n">
        <v>6588</v>
      </c>
      <c r="F1224" s="1" t="n">
        <v>0.0997407208857964</v>
      </c>
      <c r="G1224" s="1" t="n">
        <v>657.091869195627</v>
      </c>
      <c r="H1224" s="1" t="s">
        <v>451</v>
      </c>
    </row>
    <row r="1225" customFormat="false" ht="15" hidden="false" customHeight="true" outlineLevel="0" collapsed="false">
      <c r="A1225" s="1" t="s">
        <v>681</v>
      </c>
      <c r="B1225" s="1" t="s">
        <v>41</v>
      </c>
      <c r="C1225" s="1" t="s">
        <v>41</v>
      </c>
      <c r="D1225" s="1" t="s">
        <v>284</v>
      </c>
      <c r="E1225" s="1" t="n">
        <v>14689</v>
      </c>
      <c r="F1225" s="1" t="n">
        <v>0.0997407208857964</v>
      </c>
      <c r="G1225" s="1" t="n">
        <v>1465.09144909146</v>
      </c>
      <c r="H1225" s="1" t="s">
        <v>451</v>
      </c>
    </row>
    <row r="1226" customFormat="false" ht="15" hidden="false" customHeight="true" outlineLevel="0" collapsed="false">
      <c r="A1226" s="1" t="s">
        <v>681</v>
      </c>
      <c r="B1226" s="1" t="s">
        <v>41</v>
      </c>
      <c r="C1226" s="1" t="s">
        <v>41</v>
      </c>
      <c r="D1226" s="1" t="s">
        <v>293</v>
      </c>
      <c r="E1226" s="1" t="n">
        <v>3765</v>
      </c>
      <c r="F1226" s="1" t="n">
        <v>0.0997407208857964</v>
      </c>
      <c r="G1226" s="1" t="n">
        <v>375.523814135023</v>
      </c>
      <c r="H1226" s="1" t="s">
        <v>451</v>
      </c>
    </row>
    <row r="1227" customFormat="false" ht="15" hidden="false" customHeight="true" outlineLevel="0" collapsed="false">
      <c r="A1227" s="1" t="s">
        <v>681</v>
      </c>
      <c r="B1227" s="1" t="s">
        <v>41</v>
      </c>
      <c r="C1227" s="1" t="s">
        <v>41</v>
      </c>
      <c r="D1227" s="1" t="s">
        <v>290</v>
      </c>
      <c r="E1227" s="1" t="n">
        <v>6568</v>
      </c>
      <c r="F1227" s="1" t="n">
        <v>0.0997407208857964</v>
      </c>
      <c r="G1227" s="1" t="n">
        <v>655.097054777911</v>
      </c>
      <c r="H1227" s="1" t="s">
        <v>451</v>
      </c>
    </row>
    <row r="1228" customFormat="false" ht="15" hidden="false" customHeight="true" outlineLevel="0" collapsed="false">
      <c r="A1228" s="1" t="s">
        <v>681</v>
      </c>
      <c r="B1228" s="1" t="s">
        <v>41</v>
      </c>
      <c r="C1228" s="1" t="s">
        <v>41</v>
      </c>
      <c r="D1228" s="1" t="s">
        <v>285</v>
      </c>
      <c r="E1228" s="1" t="n">
        <v>4805</v>
      </c>
      <c r="F1228" s="1" t="n">
        <v>0.0997407208857964</v>
      </c>
      <c r="G1228" s="1" t="n">
        <v>479.254163856252</v>
      </c>
      <c r="H1228" s="1" t="s">
        <v>451</v>
      </c>
    </row>
    <row r="1229" customFormat="false" ht="15" hidden="false" customHeight="true" outlineLevel="0" collapsed="false">
      <c r="A1229" s="1" t="s">
        <v>681</v>
      </c>
      <c r="B1229" s="1" t="s">
        <v>41</v>
      </c>
      <c r="C1229" s="1" t="s">
        <v>41</v>
      </c>
      <c r="D1229" s="1" t="s">
        <v>282</v>
      </c>
      <c r="E1229" s="1" t="n">
        <v>4806</v>
      </c>
      <c r="F1229" s="1" t="n">
        <v>0.0997407208857964</v>
      </c>
      <c r="G1229" s="1" t="n">
        <v>479.353904577138</v>
      </c>
      <c r="H1229" s="1" t="s">
        <v>451</v>
      </c>
    </row>
    <row r="1230" customFormat="false" ht="15" hidden="false" customHeight="true" outlineLevel="0" collapsed="false">
      <c r="A1230" s="1" t="s">
        <v>706</v>
      </c>
      <c r="B1230" s="1" t="s">
        <v>43</v>
      </c>
      <c r="C1230" s="1" t="s">
        <v>43</v>
      </c>
      <c r="D1230" s="1" t="s">
        <v>287</v>
      </c>
      <c r="E1230" s="1" t="n">
        <v>6647</v>
      </c>
      <c r="F1230" s="1" t="n">
        <v>0.128580108535781</v>
      </c>
      <c r="G1230" s="1" t="n">
        <v>854.671981437336</v>
      </c>
      <c r="H1230" s="1" t="s">
        <v>451</v>
      </c>
    </row>
    <row r="1231" customFormat="false" ht="15" hidden="false" customHeight="true" outlineLevel="0" collapsed="false">
      <c r="A1231" s="1" t="s">
        <v>706</v>
      </c>
      <c r="B1231" s="1" t="s">
        <v>43</v>
      </c>
      <c r="C1231" s="1" t="s">
        <v>43</v>
      </c>
      <c r="D1231" s="1" t="s">
        <v>293</v>
      </c>
      <c r="E1231" s="1" t="n">
        <v>3735</v>
      </c>
      <c r="F1231" s="1" t="n">
        <v>0.128580108535781</v>
      </c>
      <c r="G1231" s="1" t="n">
        <v>480.246705381142</v>
      </c>
      <c r="H1231" s="1" t="s">
        <v>451</v>
      </c>
    </row>
    <row r="1232" customFormat="false" ht="15" hidden="false" customHeight="true" outlineLevel="0" collapsed="false">
      <c r="A1232" s="1" t="s">
        <v>706</v>
      </c>
      <c r="B1232" s="1" t="s">
        <v>43</v>
      </c>
      <c r="C1232" s="1" t="s">
        <v>43</v>
      </c>
      <c r="D1232" s="1" t="s">
        <v>290</v>
      </c>
      <c r="E1232" s="1" t="n">
        <v>6601</v>
      </c>
      <c r="F1232" s="1" t="n">
        <v>0.128580108535781</v>
      </c>
      <c r="G1232" s="1" t="n">
        <v>848.75729644469</v>
      </c>
      <c r="H1232" s="1" t="s">
        <v>451</v>
      </c>
    </row>
    <row r="1233" customFormat="false" ht="15" hidden="false" customHeight="true" outlineLevel="0" collapsed="false">
      <c r="A1233" s="1" t="s">
        <v>706</v>
      </c>
      <c r="B1233" s="1" t="s">
        <v>43</v>
      </c>
      <c r="C1233" s="1" t="s">
        <v>43</v>
      </c>
      <c r="D1233" s="1" t="s">
        <v>284</v>
      </c>
      <c r="E1233" s="1" t="n">
        <v>14697</v>
      </c>
      <c r="F1233" s="1" t="n">
        <v>0.128580108535781</v>
      </c>
      <c r="G1233" s="1" t="n">
        <v>1889.74185515037</v>
      </c>
      <c r="H1233" s="1" t="s">
        <v>451</v>
      </c>
    </row>
    <row r="1234" customFormat="false" ht="15" hidden="false" customHeight="true" outlineLevel="0" collapsed="false">
      <c r="A1234" s="1" t="s">
        <v>706</v>
      </c>
      <c r="B1234" s="1" t="s">
        <v>43</v>
      </c>
      <c r="C1234" s="1" t="s">
        <v>43</v>
      </c>
      <c r="D1234" s="1" t="s">
        <v>285</v>
      </c>
      <c r="E1234" s="1" t="n">
        <v>4789</v>
      </c>
      <c r="F1234" s="1" t="n">
        <v>0.128580108535781</v>
      </c>
      <c r="G1234" s="1" t="n">
        <v>615.770139777855</v>
      </c>
      <c r="H1234" s="1" t="s">
        <v>451</v>
      </c>
    </row>
    <row r="1235" customFormat="false" ht="15" hidden="false" customHeight="true" outlineLevel="0" collapsed="false">
      <c r="A1235" s="1" t="s">
        <v>706</v>
      </c>
      <c r="B1235" s="1" t="s">
        <v>43</v>
      </c>
      <c r="C1235" s="1" t="s">
        <v>43</v>
      </c>
      <c r="D1235" s="1" t="s">
        <v>282</v>
      </c>
      <c r="E1235" s="1" t="n">
        <v>4796</v>
      </c>
      <c r="F1235" s="1" t="n">
        <v>0.128580108535781</v>
      </c>
      <c r="G1235" s="1" t="n">
        <v>616.670200537606</v>
      </c>
      <c r="H1235" s="1" t="s">
        <v>451</v>
      </c>
    </row>
    <row r="1236" customFormat="false" ht="15" hidden="false" customHeight="true" outlineLevel="0" collapsed="false">
      <c r="A1236" s="1" t="s">
        <v>706</v>
      </c>
      <c r="B1236" s="1" t="s">
        <v>31</v>
      </c>
      <c r="C1236" s="1" t="s">
        <v>31</v>
      </c>
      <c r="D1236" s="1" t="s">
        <v>287</v>
      </c>
      <c r="E1236" s="1" t="n">
        <v>6647</v>
      </c>
      <c r="F1236" s="1" t="n">
        <v>0.217040117664959</v>
      </c>
      <c r="G1236" s="1" t="n">
        <v>1442.66566211898</v>
      </c>
      <c r="H1236" s="1" t="s">
        <v>451</v>
      </c>
    </row>
    <row r="1237" customFormat="false" ht="15" hidden="false" customHeight="true" outlineLevel="0" collapsed="false">
      <c r="A1237" s="1" t="s">
        <v>706</v>
      </c>
      <c r="B1237" s="1" t="s">
        <v>31</v>
      </c>
      <c r="C1237" s="1" t="s">
        <v>31</v>
      </c>
      <c r="D1237" s="1" t="s">
        <v>289</v>
      </c>
      <c r="E1237" s="1" t="n">
        <v>13510</v>
      </c>
      <c r="F1237" s="1" t="n">
        <v>0.217040117664959</v>
      </c>
      <c r="G1237" s="1" t="n">
        <v>2932.2119896536</v>
      </c>
      <c r="H1237" s="1" t="s">
        <v>451</v>
      </c>
    </row>
    <row r="1238" customFormat="false" ht="15" hidden="false" customHeight="true" outlineLevel="0" collapsed="false">
      <c r="A1238" s="1" t="s">
        <v>706</v>
      </c>
      <c r="B1238" s="1" t="s">
        <v>31</v>
      </c>
      <c r="C1238" s="1" t="s">
        <v>31</v>
      </c>
      <c r="D1238" s="1" t="s">
        <v>293</v>
      </c>
      <c r="E1238" s="1" t="n">
        <v>3735</v>
      </c>
      <c r="F1238" s="1" t="n">
        <v>0.217040117664959</v>
      </c>
      <c r="G1238" s="1" t="n">
        <v>810.644839478622</v>
      </c>
      <c r="H1238" s="1" t="s">
        <v>451</v>
      </c>
    </row>
    <row r="1239" customFormat="false" ht="15" hidden="false" customHeight="true" outlineLevel="0" collapsed="false">
      <c r="A1239" s="1" t="s">
        <v>706</v>
      </c>
      <c r="B1239" s="1" t="s">
        <v>31</v>
      </c>
      <c r="C1239" s="1" t="s">
        <v>31</v>
      </c>
      <c r="D1239" s="1" t="s">
        <v>290</v>
      </c>
      <c r="E1239" s="1" t="n">
        <v>6601</v>
      </c>
      <c r="F1239" s="1" t="n">
        <v>0.217040117664959</v>
      </c>
      <c r="G1239" s="1" t="n">
        <v>1432.68181670639</v>
      </c>
      <c r="H1239" s="1" t="s">
        <v>451</v>
      </c>
    </row>
    <row r="1240" customFormat="false" ht="15" hidden="false" customHeight="true" outlineLevel="0" collapsed="false">
      <c r="A1240" s="1" t="s">
        <v>706</v>
      </c>
      <c r="B1240" s="1" t="s">
        <v>31</v>
      </c>
      <c r="C1240" s="1" t="s">
        <v>31</v>
      </c>
      <c r="D1240" s="1" t="s">
        <v>284</v>
      </c>
      <c r="E1240" s="1" t="n">
        <v>14697</v>
      </c>
      <c r="F1240" s="1" t="n">
        <v>0.217040117664959</v>
      </c>
      <c r="G1240" s="1" t="n">
        <v>3189.8386093219</v>
      </c>
      <c r="H1240" s="1" t="s">
        <v>451</v>
      </c>
    </row>
    <row r="1241" customFormat="false" ht="15" hidden="false" customHeight="true" outlineLevel="0" collapsed="false">
      <c r="A1241" s="1" t="s">
        <v>706</v>
      </c>
      <c r="B1241" s="1" t="s">
        <v>31</v>
      </c>
      <c r="C1241" s="1" t="s">
        <v>31</v>
      </c>
      <c r="D1241" s="1" t="s">
        <v>285</v>
      </c>
      <c r="E1241" s="1" t="n">
        <v>4789</v>
      </c>
      <c r="F1241" s="1" t="n">
        <v>0.217040117664959</v>
      </c>
      <c r="G1241" s="1" t="n">
        <v>1039.40512349749</v>
      </c>
      <c r="H1241" s="1" t="s">
        <v>451</v>
      </c>
    </row>
    <row r="1242" customFormat="false" ht="15" hidden="false" customHeight="true" outlineLevel="0" collapsed="false">
      <c r="A1242" s="1" t="s">
        <v>706</v>
      </c>
      <c r="B1242" s="1" t="s">
        <v>31</v>
      </c>
      <c r="C1242" s="1" t="s">
        <v>31</v>
      </c>
      <c r="D1242" s="1" t="s">
        <v>282</v>
      </c>
      <c r="E1242" s="1" t="n">
        <v>4796</v>
      </c>
      <c r="F1242" s="1" t="n">
        <v>0.217040117664959</v>
      </c>
      <c r="G1242" s="1" t="n">
        <v>1040.92440432114</v>
      </c>
      <c r="H1242" s="1" t="s">
        <v>451</v>
      </c>
    </row>
    <row r="1243" customFormat="false" ht="15" hidden="false" customHeight="true" outlineLevel="0" collapsed="false">
      <c r="A1243" s="1" t="s">
        <v>706</v>
      </c>
      <c r="B1243" s="1" t="s">
        <v>452</v>
      </c>
      <c r="C1243" s="1" t="s">
        <v>86</v>
      </c>
      <c r="D1243" s="1" t="s">
        <v>287</v>
      </c>
      <c r="E1243" s="1" t="n">
        <v>6647</v>
      </c>
      <c r="F1243" s="1" t="n">
        <v>0.221064512856926</v>
      </c>
      <c r="G1243" s="1" t="n">
        <v>1469.41581695999</v>
      </c>
      <c r="H1243" s="1" t="s">
        <v>451</v>
      </c>
    </row>
    <row r="1244" customFormat="false" ht="15" hidden="false" customHeight="true" outlineLevel="0" collapsed="false">
      <c r="A1244" s="1" t="s">
        <v>706</v>
      </c>
      <c r="B1244" s="1" t="s">
        <v>452</v>
      </c>
      <c r="C1244" s="1" t="s">
        <v>86</v>
      </c>
      <c r="D1244" s="1" t="s">
        <v>289</v>
      </c>
      <c r="E1244" s="1" t="n">
        <v>13510</v>
      </c>
      <c r="F1244" s="1" t="n">
        <v>0.221064512856926</v>
      </c>
      <c r="G1244" s="1" t="n">
        <v>2986.58156869707</v>
      </c>
      <c r="H1244" s="1" t="s">
        <v>451</v>
      </c>
    </row>
    <row r="1245" customFormat="false" ht="15" hidden="false" customHeight="true" outlineLevel="0" collapsed="false">
      <c r="A1245" s="1" t="s">
        <v>706</v>
      </c>
      <c r="B1245" s="1" t="s">
        <v>452</v>
      </c>
      <c r="C1245" s="1" t="s">
        <v>86</v>
      </c>
      <c r="D1245" s="1" t="s">
        <v>293</v>
      </c>
      <c r="E1245" s="1" t="n">
        <v>3735</v>
      </c>
      <c r="F1245" s="1" t="n">
        <v>0.221064512856926</v>
      </c>
      <c r="G1245" s="1" t="n">
        <v>825.675955520619</v>
      </c>
      <c r="H1245" s="1" t="s">
        <v>451</v>
      </c>
    </row>
    <row r="1246" customFormat="false" ht="15" hidden="false" customHeight="true" outlineLevel="0" collapsed="false">
      <c r="A1246" s="1" t="s">
        <v>706</v>
      </c>
      <c r="B1246" s="1" t="s">
        <v>452</v>
      </c>
      <c r="C1246" s="1" t="s">
        <v>86</v>
      </c>
      <c r="D1246" s="1" t="s">
        <v>290</v>
      </c>
      <c r="E1246" s="1" t="n">
        <v>6601</v>
      </c>
      <c r="F1246" s="1" t="n">
        <v>0.221064512856926</v>
      </c>
      <c r="G1246" s="1" t="n">
        <v>1459.24684936857</v>
      </c>
      <c r="H1246" s="1" t="s">
        <v>451</v>
      </c>
    </row>
    <row r="1247" customFormat="false" ht="15" hidden="false" customHeight="true" outlineLevel="0" collapsed="false">
      <c r="A1247" s="1" t="s">
        <v>706</v>
      </c>
      <c r="B1247" s="1" t="s">
        <v>452</v>
      </c>
      <c r="C1247" s="1" t="s">
        <v>86</v>
      </c>
      <c r="D1247" s="1" t="s">
        <v>284</v>
      </c>
      <c r="E1247" s="1" t="n">
        <v>14697</v>
      </c>
      <c r="F1247" s="1" t="n">
        <v>0.221064512856926</v>
      </c>
      <c r="G1247" s="1" t="n">
        <v>3248.98514545824</v>
      </c>
      <c r="H1247" s="1" t="s">
        <v>451</v>
      </c>
    </row>
    <row r="1248" customFormat="false" ht="15" hidden="false" customHeight="true" outlineLevel="0" collapsed="false">
      <c r="A1248" s="1" t="s">
        <v>706</v>
      </c>
      <c r="B1248" s="1" t="s">
        <v>452</v>
      </c>
      <c r="C1248" s="1" t="s">
        <v>86</v>
      </c>
      <c r="D1248" s="1" t="s">
        <v>285</v>
      </c>
      <c r="E1248" s="1" t="n">
        <v>4789</v>
      </c>
      <c r="F1248" s="1" t="n">
        <v>0.221064512856926</v>
      </c>
      <c r="G1248" s="1" t="n">
        <v>1058.67795207182</v>
      </c>
      <c r="H1248" s="1" t="s">
        <v>451</v>
      </c>
    </row>
    <row r="1249" customFormat="false" ht="15" hidden="false" customHeight="true" outlineLevel="0" collapsed="false">
      <c r="A1249" s="1" t="s">
        <v>706</v>
      </c>
      <c r="B1249" s="1" t="s">
        <v>452</v>
      </c>
      <c r="C1249" s="1" t="s">
        <v>86</v>
      </c>
      <c r="D1249" s="1" t="s">
        <v>282</v>
      </c>
      <c r="E1249" s="1" t="n">
        <v>4796</v>
      </c>
      <c r="F1249" s="1" t="n">
        <v>0.221064512856926</v>
      </c>
      <c r="G1249" s="1" t="n">
        <v>1060.22540366182</v>
      </c>
      <c r="H1249" s="1" t="s">
        <v>451</v>
      </c>
    </row>
    <row r="1250" customFormat="false" ht="15" hidden="false" customHeight="true" outlineLevel="0" collapsed="false">
      <c r="A1250" s="1" t="s">
        <v>706</v>
      </c>
      <c r="B1250" s="1" t="s">
        <v>81</v>
      </c>
      <c r="C1250" s="1" t="s">
        <v>81</v>
      </c>
      <c r="D1250" s="1" t="s">
        <v>287</v>
      </c>
      <c r="E1250" s="1" t="n">
        <v>6647</v>
      </c>
      <c r="F1250" s="1" t="n">
        <v>0.0738670690267282</v>
      </c>
      <c r="G1250" s="1" t="n">
        <v>490.994407820662</v>
      </c>
      <c r="H1250" s="1" t="s">
        <v>451</v>
      </c>
    </row>
    <row r="1251" customFormat="false" ht="15" hidden="false" customHeight="true" outlineLevel="0" collapsed="false">
      <c r="A1251" s="1" t="s">
        <v>706</v>
      </c>
      <c r="B1251" s="1" t="s">
        <v>81</v>
      </c>
      <c r="C1251" s="1" t="s">
        <v>81</v>
      </c>
      <c r="D1251" s="1" t="s">
        <v>289</v>
      </c>
      <c r="E1251" s="1" t="n">
        <v>13510</v>
      </c>
      <c r="F1251" s="1" t="n">
        <v>0.0738670690267282</v>
      </c>
      <c r="G1251" s="1" t="n">
        <v>997.944102551098</v>
      </c>
      <c r="H1251" s="1" t="s">
        <v>451</v>
      </c>
    </row>
    <row r="1252" customFormat="false" ht="15" hidden="false" customHeight="true" outlineLevel="0" collapsed="false">
      <c r="A1252" s="1" t="s">
        <v>706</v>
      </c>
      <c r="B1252" s="1" t="s">
        <v>81</v>
      </c>
      <c r="C1252" s="1" t="s">
        <v>81</v>
      </c>
      <c r="D1252" s="1" t="s">
        <v>293</v>
      </c>
      <c r="E1252" s="1" t="n">
        <v>3735</v>
      </c>
      <c r="F1252" s="1" t="n">
        <v>0.0738670690267282</v>
      </c>
      <c r="G1252" s="1" t="n">
        <v>275.89350281483</v>
      </c>
      <c r="H1252" s="1" t="s">
        <v>451</v>
      </c>
    </row>
    <row r="1253" customFormat="false" ht="15" hidden="false" customHeight="true" outlineLevel="0" collapsed="false">
      <c r="A1253" s="1" t="s">
        <v>706</v>
      </c>
      <c r="B1253" s="1" t="s">
        <v>81</v>
      </c>
      <c r="C1253" s="1" t="s">
        <v>81</v>
      </c>
      <c r="D1253" s="1" t="s">
        <v>290</v>
      </c>
      <c r="E1253" s="1" t="n">
        <v>6601</v>
      </c>
      <c r="F1253" s="1" t="n">
        <v>0.0738670690267282</v>
      </c>
      <c r="G1253" s="1" t="n">
        <v>487.596522645433</v>
      </c>
      <c r="H1253" s="1" t="s">
        <v>451</v>
      </c>
    </row>
    <row r="1254" customFormat="false" ht="15" hidden="false" customHeight="true" outlineLevel="0" collapsed="false">
      <c r="A1254" s="1" t="s">
        <v>706</v>
      </c>
      <c r="B1254" s="1" t="s">
        <v>81</v>
      </c>
      <c r="C1254" s="1" t="s">
        <v>81</v>
      </c>
      <c r="D1254" s="1" t="s">
        <v>284</v>
      </c>
      <c r="E1254" s="1" t="n">
        <v>14697</v>
      </c>
      <c r="F1254" s="1" t="n">
        <v>0.0738670690267282</v>
      </c>
      <c r="G1254" s="1" t="n">
        <v>1085.62431348582</v>
      </c>
      <c r="H1254" s="1" t="s">
        <v>451</v>
      </c>
    </row>
    <row r="1255" customFormat="false" ht="14.25" hidden="false" customHeight="true" outlineLevel="0" collapsed="false">
      <c r="A1255" s="1" t="s">
        <v>706</v>
      </c>
      <c r="B1255" s="1" t="s">
        <v>81</v>
      </c>
      <c r="C1255" s="1" t="s">
        <v>81</v>
      </c>
      <c r="D1255" s="1" t="s">
        <v>285</v>
      </c>
      <c r="E1255" s="1" t="n">
        <v>4789</v>
      </c>
      <c r="F1255" s="1" t="n">
        <v>0.0738670690267282</v>
      </c>
      <c r="G1255" s="1" t="n">
        <v>353.749393569001</v>
      </c>
      <c r="H1255" s="1" t="s">
        <v>451</v>
      </c>
    </row>
    <row r="1256" customFormat="false" ht="14.25" hidden="false" customHeight="true" outlineLevel="0" collapsed="false">
      <c r="A1256" s="1" t="s">
        <v>706</v>
      </c>
      <c r="B1256" s="1" t="s">
        <v>81</v>
      </c>
      <c r="C1256" s="1" t="s">
        <v>81</v>
      </c>
      <c r="D1256" s="1" t="s">
        <v>282</v>
      </c>
      <c r="E1256" s="1" t="n">
        <v>4796</v>
      </c>
      <c r="F1256" s="1" t="n">
        <v>0.0738670690267282</v>
      </c>
      <c r="G1256" s="1" t="n">
        <v>354.266463052188</v>
      </c>
      <c r="H1256" s="1" t="s">
        <v>451</v>
      </c>
    </row>
    <row r="1257" customFormat="false" ht="14.25" hidden="false" customHeight="true" outlineLevel="0" collapsed="false">
      <c r="A1257" s="1" t="s">
        <v>706</v>
      </c>
      <c r="B1257" s="1" t="s">
        <v>85</v>
      </c>
      <c r="C1257" s="1" t="s">
        <v>701</v>
      </c>
      <c r="D1257" s="1" t="s">
        <v>287</v>
      </c>
      <c r="E1257" s="1" t="n">
        <v>6647</v>
      </c>
      <c r="F1257" s="1" t="n">
        <v>0.327862047978901</v>
      </c>
      <c r="G1257" s="1" t="n">
        <v>2179.29903291576</v>
      </c>
      <c r="H1257" s="1" t="s">
        <v>451</v>
      </c>
    </row>
    <row r="1258" customFormat="false" ht="14.25" hidden="false" customHeight="true" outlineLevel="0" collapsed="false">
      <c r="A1258" s="1" t="s">
        <v>706</v>
      </c>
      <c r="B1258" s="1" t="s">
        <v>85</v>
      </c>
      <c r="C1258" s="1" t="s">
        <v>701</v>
      </c>
      <c r="D1258" s="1" t="s">
        <v>289</v>
      </c>
      <c r="E1258" s="1" t="n">
        <v>13510</v>
      </c>
      <c r="F1258" s="1" t="n">
        <v>0.327862047978901</v>
      </c>
      <c r="G1258" s="1" t="n">
        <v>4429.41626819495</v>
      </c>
      <c r="H1258" s="1" t="s">
        <v>451</v>
      </c>
    </row>
    <row r="1259" customFormat="false" ht="14.25" hidden="false" customHeight="true" outlineLevel="0" collapsed="false">
      <c r="A1259" s="1" t="s">
        <v>706</v>
      </c>
      <c r="B1259" s="1" t="s">
        <v>85</v>
      </c>
      <c r="C1259" s="1" t="s">
        <v>701</v>
      </c>
      <c r="D1259" s="1" t="s">
        <v>293</v>
      </c>
      <c r="E1259" s="1" t="n">
        <v>3735</v>
      </c>
      <c r="F1259" s="1" t="n">
        <v>0.327862047978901</v>
      </c>
      <c r="G1259" s="1" t="n">
        <v>1224.5647492012</v>
      </c>
      <c r="H1259" s="1" t="s">
        <v>451</v>
      </c>
    </row>
    <row r="1260" customFormat="false" ht="14.25" hidden="false" customHeight="true" outlineLevel="0" collapsed="false">
      <c r="A1260" s="1" t="s">
        <v>706</v>
      </c>
      <c r="B1260" s="1" t="s">
        <v>85</v>
      </c>
      <c r="C1260" s="1" t="s">
        <v>701</v>
      </c>
      <c r="D1260" s="1" t="s">
        <v>290</v>
      </c>
      <c r="E1260" s="1" t="n">
        <v>6601</v>
      </c>
      <c r="F1260" s="1" t="n">
        <v>0.327862047978901</v>
      </c>
      <c r="G1260" s="1" t="n">
        <v>2164.21737870873</v>
      </c>
      <c r="H1260" s="1" t="s">
        <v>451</v>
      </c>
    </row>
    <row r="1261" customFormat="false" ht="14.25" hidden="false" customHeight="true" outlineLevel="0" collapsed="false">
      <c r="A1261" s="1" t="s">
        <v>706</v>
      </c>
      <c r="B1261" s="1" t="s">
        <v>85</v>
      </c>
      <c r="C1261" s="1" t="s">
        <v>701</v>
      </c>
      <c r="D1261" s="1" t="s">
        <v>284</v>
      </c>
      <c r="E1261" s="1" t="n">
        <v>14697</v>
      </c>
      <c r="F1261" s="1" t="n">
        <v>0.327862047978901</v>
      </c>
      <c r="G1261" s="1" t="n">
        <v>4818.58851914591</v>
      </c>
      <c r="H1261" s="1" t="s">
        <v>451</v>
      </c>
    </row>
    <row r="1262" customFormat="false" ht="14.25" hidden="false" customHeight="true" outlineLevel="0" collapsed="false">
      <c r="A1262" s="1" t="s">
        <v>706</v>
      </c>
      <c r="B1262" s="1" t="s">
        <v>85</v>
      </c>
      <c r="C1262" s="1" t="s">
        <v>701</v>
      </c>
      <c r="D1262" s="1" t="s">
        <v>285</v>
      </c>
      <c r="E1262" s="1" t="n">
        <v>4789</v>
      </c>
      <c r="F1262" s="1" t="n">
        <v>0.327862047978901</v>
      </c>
      <c r="G1262" s="1" t="n">
        <v>1570.13134777096</v>
      </c>
      <c r="H1262" s="1" t="s">
        <v>451</v>
      </c>
    </row>
    <row r="1263" customFormat="false" ht="14.25" hidden="false" customHeight="true" outlineLevel="0" collapsed="false">
      <c r="A1263" s="1" t="s">
        <v>706</v>
      </c>
      <c r="B1263" s="1" t="s">
        <v>85</v>
      </c>
      <c r="C1263" s="1" t="s">
        <v>701</v>
      </c>
      <c r="D1263" s="1" t="s">
        <v>282</v>
      </c>
      <c r="E1263" s="1" t="n">
        <v>4796</v>
      </c>
      <c r="F1263" s="1" t="n">
        <v>0.327862047978901</v>
      </c>
      <c r="G1263" s="1" t="n">
        <v>1572.42638210681</v>
      </c>
      <c r="H1263" s="1" t="s">
        <v>451</v>
      </c>
    </row>
    <row r="1264" customFormat="false" ht="14.25" hidden="false" customHeight="true" outlineLevel="0" collapsed="false">
      <c r="A1264" s="1" t="s">
        <v>706</v>
      </c>
      <c r="B1264" s="1" t="s">
        <v>87</v>
      </c>
      <c r="C1264" s="1" t="s">
        <v>700</v>
      </c>
      <c r="D1264" s="1" t="s">
        <v>287</v>
      </c>
      <c r="E1264" s="1" t="n">
        <v>6647</v>
      </c>
      <c r="F1264" s="1" t="n">
        <v>0.181988487092357</v>
      </c>
      <c r="G1264" s="1" t="n">
        <v>1209.6774737029</v>
      </c>
      <c r="H1264" s="1" t="s">
        <v>451</v>
      </c>
    </row>
    <row r="1265" customFormat="false" ht="14.25" hidden="false" customHeight="true" outlineLevel="0" collapsed="false">
      <c r="A1265" s="1" t="s">
        <v>706</v>
      </c>
      <c r="B1265" s="1" t="s">
        <v>87</v>
      </c>
      <c r="C1265" s="1" t="s">
        <v>700</v>
      </c>
      <c r="D1265" s="1" t="s">
        <v>293</v>
      </c>
      <c r="E1265" s="1" t="n">
        <v>3735</v>
      </c>
      <c r="F1265" s="1" t="n">
        <v>0.181988487092357</v>
      </c>
      <c r="G1265" s="1" t="n">
        <v>679.726999289953</v>
      </c>
      <c r="H1265" s="1" t="s">
        <v>451</v>
      </c>
    </row>
    <row r="1266" customFormat="false" ht="14.25" hidden="false" customHeight="true" outlineLevel="0" collapsed="false">
      <c r="A1266" s="1" t="s">
        <v>706</v>
      </c>
      <c r="B1266" s="1" t="s">
        <v>87</v>
      </c>
      <c r="C1266" s="1" t="s">
        <v>700</v>
      </c>
      <c r="D1266" s="1" t="s">
        <v>290</v>
      </c>
      <c r="E1266" s="1" t="n">
        <v>6601</v>
      </c>
      <c r="F1266" s="1" t="n">
        <v>0.181988487092357</v>
      </c>
      <c r="G1266" s="1" t="n">
        <v>1201.30600329665</v>
      </c>
      <c r="H1266" s="1" t="s">
        <v>451</v>
      </c>
    </row>
    <row r="1267" customFormat="false" ht="14.25" hidden="false" customHeight="true" outlineLevel="0" collapsed="false">
      <c r="A1267" s="1" t="s">
        <v>706</v>
      </c>
      <c r="B1267" s="1" t="s">
        <v>87</v>
      </c>
      <c r="C1267" s="1" t="s">
        <v>700</v>
      </c>
      <c r="D1267" s="1" t="s">
        <v>284</v>
      </c>
      <c r="E1267" s="1" t="n">
        <v>14697</v>
      </c>
      <c r="F1267" s="1" t="n">
        <v>0.181988487092357</v>
      </c>
      <c r="G1267" s="1" t="n">
        <v>2674.68479479637</v>
      </c>
      <c r="H1267" s="1" t="s">
        <v>451</v>
      </c>
    </row>
    <row r="1268" customFormat="false" ht="14.25" hidden="false" customHeight="true" outlineLevel="0" collapsed="false">
      <c r="A1268" s="1" t="s">
        <v>706</v>
      </c>
      <c r="B1268" s="1" t="s">
        <v>87</v>
      </c>
      <c r="C1268" s="1" t="s">
        <v>700</v>
      </c>
      <c r="D1268" s="1" t="s">
        <v>285</v>
      </c>
      <c r="E1268" s="1" t="n">
        <v>4789</v>
      </c>
      <c r="F1268" s="1" t="n">
        <v>0.181988487092357</v>
      </c>
      <c r="G1268" s="1" t="n">
        <v>871.542864685298</v>
      </c>
      <c r="H1268" s="1" t="s">
        <v>451</v>
      </c>
    </row>
    <row r="1269" customFormat="false" ht="14.25" hidden="false" customHeight="true" outlineLevel="0" collapsed="false">
      <c r="A1269" s="1" t="s">
        <v>706</v>
      </c>
      <c r="B1269" s="1" t="s">
        <v>87</v>
      </c>
      <c r="C1269" s="1" t="s">
        <v>700</v>
      </c>
      <c r="D1269" s="1" t="s">
        <v>282</v>
      </c>
      <c r="E1269" s="1" t="n">
        <v>4796</v>
      </c>
      <c r="F1269" s="1" t="n">
        <v>0.181988487092357</v>
      </c>
      <c r="G1269" s="1" t="n">
        <v>872.816784094944</v>
      </c>
      <c r="H1269" s="1" t="s">
        <v>451</v>
      </c>
    </row>
    <row r="1270" customFormat="false" ht="14.25" hidden="false" customHeight="true" outlineLevel="0" collapsed="false">
      <c r="A1270" s="1" t="s">
        <v>706</v>
      </c>
      <c r="B1270" s="1" t="s">
        <v>35</v>
      </c>
      <c r="C1270" s="1" t="s">
        <v>35</v>
      </c>
      <c r="D1270" s="1" t="s">
        <v>287</v>
      </c>
      <c r="E1270" s="1" t="n">
        <v>6647</v>
      </c>
      <c r="F1270" s="1" t="n">
        <v>0.116105036263123</v>
      </c>
      <c r="G1270" s="1" t="n">
        <v>771.750176040979</v>
      </c>
      <c r="H1270" s="1" t="s">
        <v>451</v>
      </c>
    </row>
    <row r="1271" customFormat="false" ht="14.25" hidden="false" customHeight="true" outlineLevel="0" collapsed="false">
      <c r="A1271" s="1" t="s">
        <v>706</v>
      </c>
      <c r="B1271" s="1" t="s">
        <v>35</v>
      </c>
      <c r="C1271" s="1" t="s">
        <v>35</v>
      </c>
      <c r="D1271" s="1" t="s">
        <v>293</v>
      </c>
      <c r="E1271" s="1" t="n">
        <v>3735</v>
      </c>
      <c r="F1271" s="1" t="n">
        <v>0.116105036263123</v>
      </c>
      <c r="G1271" s="1" t="n">
        <v>433.652310442764</v>
      </c>
      <c r="H1271" s="1" t="s">
        <v>451</v>
      </c>
    </row>
    <row r="1272" customFormat="false" ht="14.25" hidden="false" customHeight="true" outlineLevel="0" collapsed="false">
      <c r="A1272" s="1" t="s">
        <v>706</v>
      </c>
      <c r="B1272" s="1" t="s">
        <v>35</v>
      </c>
      <c r="C1272" s="1" t="s">
        <v>35</v>
      </c>
      <c r="D1272" s="1" t="s">
        <v>290</v>
      </c>
      <c r="E1272" s="1" t="n">
        <v>6601</v>
      </c>
      <c r="F1272" s="1" t="n">
        <v>0.116105036263123</v>
      </c>
      <c r="G1272" s="1" t="n">
        <v>766.409344372875</v>
      </c>
      <c r="H1272" s="1" t="s">
        <v>451</v>
      </c>
    </row>
    <row r="1273" customFormat="false" ht="14.25" hidden="false" customHeight="true" outlineLevel="0" collapsed="false">
      <c r="A1273" s="1" t="s">
        <v>706</v>
      </c>
      <c r="B1273" s="1" t="s">
        <v>35</v>
      </c>
      <c r="C1273" s="1" t="s">
        <v>35</v>
      </c>
      <c r="D1273" s="1" t="s">
        <v>284</v>
      </c>
      <c r="E1273" s="1" t="n">
        <v>14697</v>
      </c>
      <c r="F1273" s="1" t="n">
        <v>0.116105036263123</v>
      </c>
      <c r="G1273" s="1" t="n">
        <v>1706.39571795912</v>
      </c>
      <c r="H1273" s="1" t="s">
        <v>451</v>
      </c>
    </row>
    <row r="1274" customFormat="false" ht="14.25" hidden="false" customHeight="true" outlineLevel="0" collapsed="false">
      <c r="A1274" s="1" t="s">
        <v>706</v>
      </c>
      <c r="B1274" s="1" t="s">
        <v>35</v>
      </c>
      <c r="C1274" s="1" t="s">
        <v>35</v>
      </c>
      <c r="D1274" s="1" t="s">
        <v>285</v>
      </c>
      <c r="E1274" s="1" t="n">
        <v>4789</v>
      </c>
      <c r="F1274" s="1" t="n">
        <v>0.116105036263123</v>
      </c>
      <c r="G1274" s="1" t="n">
        <v>556.027018664096</v>
      </c>
      <c r="H1274" s="1" t="s">
        <v>451</v>
      </c>
    </row>
    <row r="1275" customFormat="false" ht="14.25" hidden="false" customHeight="true" outlineLevel="0" collapsed="false">
      <c r="A1275" s="1" t="s">
        <v>706</v>
      </c>
      <c r="B1275" s="1" t="s">
        <v>35</v>
      </c>
      <c r="C1275" s="1" t="s">
        <v>35</v>
      </c>
      <c r="D1275" s="1" t="s">
        <v>282</v>
      </c>
      <c r="E1275" s="1" t="n">
        <v>4796</v>
      </c>
      <c r="F1275" s="1" t="n">
        <v>0.116105036263123</v>
      </c>
      <c r="G1275" s="1" t="n">
        <v>556.839753917938</v>
      </c>
      <c r="H1275" s="1" t="s">
        <v>451</v>
      </c>
    </row>
    <row r="1276" customFormat="false" ht="14.25" hidden="false" customHeight="true" outlineLevel="0" collapsed="false">
      <c r="A1276" s="1" t="s">
        <v>706</v>
      </c>
      <c r="B1276" s="1" t="s">
        <v>78</v>
      </c>
      <c r="C1276" s="1" t="s">
        <v>463</v>
      </c>
      <c r="D1276" s="1" t="s">
        <v>293</v>
      </c>
      <c r="E1276" s="1" t="n">
        <v>3735</v>
      </c>
      <c r="F1276" s="1" t="n">
        <v>0.369409088603743</v>
      </c>
      <c r="G1276" s="1" t="n">
        <v>1379.74294593498</v>
      </c>
      <c r="H1276" s="1" t="s">
        <v>451</v>
      </c>
    </row>
    <row r="1277" customFormat="false" ht="14.25" hidden="false" customHeight="true" outlineLevel="0" collapsed="false">
      <c r="A1277" s="1" t="s">
        <v>706</v>
      </c>
      <c r="B1277" s="1" t="s">
        <v>78</v>
      </c>
      <c r="C1277" s="1" t="s">
        <v>463</v>
      </c>
      <c r="D1277" s="1" t="s">
        <v>284</v>
      </c>
      <c r="E1277" s="1" t="n">
        <v>14697</v>
      </c>
      <c r="F1277" s="1" t="n">
        <v>0.369409088603743</v>
      </c>
      <c r="G1277" s="1" t="n">
        <v>5429.20537520921</v>
      </c>
      <c r="H1277" s="1" t="s">
        <v>451</v>
      </c>
    </row>
    <row r="1278" customFormat="false" ht="14.25" hidden="false" customHeight="true" outlineLevel="0" collapsed="false">
      <c r="A1278" s="1" t="s">
        <v>706</v>
      </c>
      <c r="B1278" s="1" t="s">
        <v>78</v>
      </c>
      <c r="C1278" s="1" t="s">
        <v>463</v>
      </c>
      <c r="D1278" s="1" t="s">
        <v>282</v>
      </c>
      <c r="E1278" s="1" t="n">
        <v>4796</v>
      </c>
      <c r="F1278" s="1" t="n">
        <v>0.369409088603743</v>
      </c>
      <c r="G1278" s="1" t="n">
        <v>1771.68598894355</v>
      </c>
      <c r="H1278" s="1" t="s">
        <v>451</v>
      </c>
    </row>
    <row r="1279" customFormat="false" ht="14.25" hidden="false" customHeight="true" outlineLevel="0" collapsed="false">
      <c r="A1279" s="1" t="s">
        <v>706</v>
      </c>
      <c r="B1279" s="1" t="s">
        <v>143</v>
      </c>
      <c r="C1279" s="1" t="s">
        <v>527</v>
      </c>
      <c r="D1279" s="1" t="s">
        <v>287</v>
      </c>
      <c r="E1279" s="1" t="n">
        <v>6647</v>
      </c>
      <c r="F1279" s="1" t="n">
        <v>0.237713191662018</v>
      </c>
      <c r="G1279" s="1" t="n">
        <v>1580.07958497743</v>
      </c>
      <c r="H1279" s="1" t="s">
        <v>451</v>
      </c>
    </row>
    <row r="1280" customFormat="false" ht="14.25" hidden="false" customHeight="true" outlineLevel="0" collapsed="false">
      <c r="A1280" s="1" t="s">
        <v>706</v>
      </c>
      <c r="B1280" s="1" t="s">
        <v>143</v>
      </c>
      <c r="C1280" s="1" t="s">
        <v>527</v>
      </c>
      <c r="D1280" s="1" t="s">
        <v>289</v>
      </c>
      <c r="E1280" s="1" t="n">
        <v>13510</v>
      </c>
      <c r="F1280" s="1" t="n">
        <v>0.237713191662018</v>
      </c>
      <c r="G1280" s="1" t="n">
        <v>3211.50521935386</v>
      </c>
      <c r="H1280" s="1" t="s">
        <v>451</v>
      </c>
    </row>
    <row r="1281" customFormat="false" ht="14.25" hidden="false" customHeight="true" outlineLevel="0" collapsed="false">
      <c r="A1281" s="1" t="s">
        <v>706</v>
      </c>
      <c r="B1281" s="1" t="s">
        <v>143</v>
      </c>
      <c r="C1281" s="1" t="s">
        <v>527</v>
      </c>
      <c r="D1281" s="1" t="s">
        <v>293</v>
      </c>
      <c r="E1281" s="1" t="n">
        <v>3735</v>
      </c>
      <c r="F1281" s="1" t="n">
        <v>0.237713191662018</v>
      </c>
      <c r="G1281" s="1" t="n">
        <v>887.858770857637</v>
      </c>
      <c r="H1281" s="1" t="s">
        <v>451</v>
      </c>
    </row>
    <row r="1282" customFormat="false" ht="14.25" hidden="false" customHeight="true" outlineLevel="0" collapsed="false">
      <c r="A1282" s="1" t="s">
        <v>706</v>
      </c>
      <c r="B1282" s="1" t="s">
        <v>143</v>
      </c>
      <c r="C1282" s="1" t="s">
        <v>527</v>
      </c>
      <c r="D1282" s="1" t="s">
        <v>290</v>
      </c>
      <c r="E1282" s="1" t="n">
        <v>6601</v>
      </c>
      <c r="F1282" s="1" t="n">
        <v>0.237713191662018</v>
      </c>
      <c r="G1282" s="1" t="n">
        <v>1569.14477816098</v>
      </c>
      <c r="H1282" s="1" t="s">
        <v>451</v>
      </c>
    </row>
    <row r="1283" customFormat="false" ht="14.25" hidden="false" customHeight="true" outlineLevel="0" collapsed="false">
      <c r="A1283" s="1" t="s">
        <v>706</v>
      </c>
      <c r="B1283" s="1" t="s">
        <v>143</v>
      </c>
      <c r="C1283" s="1" t="s">
        <v>527</v>
      </c>
      <c r="D1283" s="1" t="s">
        <v>284</v>
      </c>
      <c r="E1283" s="1" t="n">
        <v>14697</v>
      </c>
      <c r="F1283" s="1" t="n">
        <v>0.237713191662018</v>
      </c>
      <c r="G1283" s="1" t="n">
        <v>3493.67077785668</v>
      </c>
      <c r="H1283" s="1" t="s">
        <v>451</v>
      </c>
    </row>
    <row r="1284" customFormat="false" ht="14.25" hidden="false" customHeight="true" outlineLevel="0" collapsed="false">
      <c r="A1284" s="1" t="s">
        <v>706</v>
      </c>
      <c r="B1284" s="1" t="s">
        <v>143</v>
      </c>
      <c r="C1284" s="1" t="s">
        <v>527</v>
      </c>
      <c r="D1284" s="1" t="s">
        <v>285</v>
      </c>
      <c r="E1284" s="1" t="n">
        <v>4789</v>
      </c>
      <c r="F1284" s="1" t="n">
        <v>0.237713191662018</v>
      </c>
      <c r="G1284" s="1" t="n">
        <v>1138.4084748694</v>
      </c>
      <c r="H1284" s="1" t="s">
        <v>451</v>
      </c>
    </row>
    <row r="1285" customFormat="false" ht="14.25" hidden="false" customHeight="true" outlineLevel="0" collapsed="false">
      <c r="A1285" s="1" t="s">
        <v>706</v>
      </c>
      <c r="B1285" s="1" t="s">
        <v>143</v>
      </c>
      <c r="C1285" s="1" t="s">
        <v>527</v>
      </c>
      <c r="D1285" s="1" t="s">
        <v>282</v>
      </c>
      <c r="E1285" s="1" t="n">
        <v>4796</v>
      </c>
      <c r="F1285" s="1" t="n">
        <v>0.237713191662018</v>
      </c>
      <c r="G1285" s="1" t="n">
        <v>1140.07246721104</v>
      </c>
      <c r="H1285" s="1" t="s">
        <v>451</v>
      </c>
    </row>
    <row r="1286" customFormat="false" ht="14.25" hidden="false" customHeight="true" outlineLevel="0" collapsed="false">
      <c r="A1286" s="1" t="s">
        <v>706</v>
      </c>
      <c r="B1286" s="1" t="s">
        <v>40</v>
      </c>
      <c r="C1286" s="1" t="s">
        <v>40</v>
      </c>
      <c r="D1286" s="1" t="s">
        <v>287</v>
      </c>
      <c r="E1286" s="1" t="n">
        <v>6647</v>
      </c>
      <c r="F1286" s="1" t="n">
        <v>0.200781102601816</v>
      </c>
      <c r="G1286" s="1" t="n">
        <v>1334.59198899427</v>
      </c>
      <c r="H1286" s="1" t="s">
        <v>451</v>
      </c>
    </row>
    <row r="1287" customFormat="false" ht="14.25" hidden="false" customHeight="true" outlineLevel="0" collapsed="false">
      <c r="A1287" s="1" t="s">
        <v>706</v>
      </c>
      <c r="B1287" s="1" t="s">
        <v>40</v>
      </c>
      <c r="C1287" s="1" t="s">
        <v>40</v>
      </c>
      <c r="D1287" s="1" t="s">
        <v>293</v>
      </c>
      <c r="E1287" s="1" t="n">
        <v>3735</v>
      </c>
      <c r="F1287" s="1" t="n">
        <v>0.200781102601816</v>
      </c>
      <c r="G1287" s="1" t="n">
        <v>749.917418217783</v>
      </c>
      <c r="H1287" s="1" t="s">
        <v>451</v>
      </c>
    </row>
    <row r="1288" customFormat="false" ht="14.25" hidden="false" customHeight="true" outlineLevel="0" collapsed="false">
      <c r="A1288" s="1" t="s">
        <v>706</v>
      </c>
      <c r="B1288" s="1" t="s">
        <v>40</v>
      </c>
      <c r="C1288" s="1" t="s">
        <v>40</v>
      </c>
      <c r="D1288" s="1" t="s">
        <v>290</v>
      </c>
      <c r="E1288" s="1" t="n">
        <v>6601</v>
      </c>
      <c r="F1288" s="1" t="n">
        <v>0.200781102601816</v>
      </c>
      <c r="G1288" s="1" t="n">
        <v>1325.35605827459</v>
      </c>
      <c r="H1288" s="1" t="s">
        <v>451</v>
      </c>
    </row>
    <row r="1289" customFormat="false" ht="14.25" hidden="false" customHeight="true" outlineLevel="0" collapsed="false">
      <c r="A1289" s="1" t="s">
        <v>706</v>
      </c>
      <c r="B1289" s="1" t="s">
        <v>40</v>
      </c>
      <c r="C1289" s="1" t="s">
        <v>40</v>
      </c>
      <c r="D1289" s="1" t="s">
        <v>284</v>
      </c>
      <c r="E1289" s="1" t="n">
        <v>14697</v>
      </c>
      <c r="F1289" s="1" t="n">
        <v>0.200781102601816</v>
      </c>
      <c r="G1289" s="1" t="n">
        <v>2950.87986493889</v>
      </c>
      <c r="H1289" s="1" t="s">
        <v>451</v>
      </c>
    </row>
    <row r="1290" customFormat="false" ht="14.25" hidden="false" customHeight="true" outlineLevel="0" collapsed="false">
      <c r="A1290" s="1" t="s">
        <v>706</v>
      </c>
      <c r="B1290" s="1" t="s">
        <v>40</v>
      </c>
      <c r="C1290" s="1" t="s">
        <v>40</v>
      </c>
      <c r="D1290" s="1" t="s">
        <v>285</v>
      </c>
      <c r="E1290" s="1" t="n">
        <v>4789</v>
      </c>
      <c r="F1290" s="1" t="n">
        <v>0.200781102601816</v>
      </c>
      <c r="G1290" s="1" t="n">
        <v>961.540700360097</v>
      </c>
      <c r="H1290" s="1" t="s">
        <v>451</v>
      </c>
    </row>
    <row r="1291" customFormat="false" ht="14.25" hidden="false" customHeight="true" outlineLevel="0" collapsed="false">
      <c r="A1291" s="1" t="s">
        <v>706</v>
      </c>
      <c r="B1291" s="1" t="s">
        <v>40</v>
      </c>
      <c r="C1291" s="1" t="s">
        <v>40</v>
      </c>
      <c r="D1291" s="1" t="s">
        <v>282</v>
      </c>
      <c r="E1291" s="1" t="n">
        <v>4796</v>
      </c>
      <c r="F1291" s="1" t="n">
        <v>0.200781102601816</v>
      </c>
      <c r="G1291" s="1" t="n">
        <v>962.94616807831</v>
      </c>
      <c r="H1291" s="1" t="s">
        <v>451</v>
      </c>
    </row>
    <row r="1292" customFormat="false" ht="14.25" hidden="false" customHeight="true" outlineLevel="0" collapsed="false">
      <c r="A1292" s="1" t="s">
        <v>706</v>
      </c>
      <c r="B1292" s="1" t="s">
        <v>41</v>
      </c>
      <c r="C1292" s="1" t="s">
        <v>41</v>
      </c>
      <c r="D1292" s="1" t="s">
        <v>287</v>
      </c>
      <c r="E1292" s="1" t="n">
        <v>6647</v>
      </c>
      <c r="F1292" s="1" t="n">
        <v>0.0915833037480347</v>
      </c>
      <c r="G1292" s="1" t="n">
        <v>608.754220013187</v>
      </c>
      <c r="H1292" s="1" t="s">
        <v>451</v>
      </c>
    </row>
    <row r="1293" customFormat="false" ht="14.25" hidden="false" customHeight="true" outlineLevel="0" collapsed="false">
      <c r="A1293" s="1" t="s">
        <v>706</v>
      </c>
      <c r="B1293" s="1" t="s">
        <v>41</v>
      </c>
      <c r="C1293" s="1" t="s">
        <v>41</v>
      </c>
      <c r="D1293" s="1" t="s">
        <v>293</v>
      </c>
      <c r="E1293" s="1" t="n">
        <v>3735</v>
      </c>
      <c r="F1293" s="1" t="n">
        <v>0.0915833037480347</v>
      </c>
      <c r="G1293" s="1" t="n">
        <v>342.06363949891</v>
      </c>
      <c r="H1293" s="1" t="s">
        <v>451</v>
      </c>
    </row>
    <row r="1294" customFormat="false" ht="14.25" hidden="false" customHeight="true" outlineLevel="0" collapsed="false">
      <c r="A1294" s="1" t="s">
        <v>706</v>
      </c>
      <c r="B1294" s="1" t="s">
        <v>41</v>
      </c>
      <c r="C1294" s="1" t="s">
        <v>41</v>
      </c>
      <c r="D1294" s="1" t="s">
        <v>290</v>
      </c>
      <c r="E1294" s="1" t="n">
        <v>6601</v>
      </c>
      <c r="F1294" s="1" t="n">
        <v>0.0915833037480347</v>
      </c>
      <c r="G1294" s="1" t="n">
        <v>604.541388040777</v>
      </c>
      <c r="H1294" s="1" t="s">
        <v>451</v>
      </c>
    </row>
    <row r="1295" customFormat="false" ht="14.25" hidden="false" customHeight="true" outlineLevel="0" collapsed="false">
      <c r="A1295" s="1" t="s">
        <v>706</v>
      </c>
      <c r="B1295" s="1" t="s">
        <v>41</v>
      </c>
      <c r="C1295" s="1" t="s">
        <v>41</v>
      </c>
      <c r="D1295" s="1" t="s">
        <v>284</v>
      </c>
      <c r="E1295" s="1" t="n">
        <v>14697</v>
      </c>
      <c r="F1295" s="1" t="n">
        <v>0.0915833037480347</v>
      </c>
      <c r="G1295" s="1" t="n">
        <v>1345.99981518487</v>
      </c>
      <c r="H1295" s="1" t="s">
        <v>451</v>
      </c>
    </row>
    <row r="1296" customFormat="false" ht="14.25" hidden="false" customHeight="true" outlineLevel="0" collapsed="false">
      <c r="A1296" s="1" t="s">
        <v>706</v>
      </c>
      <c r="B1296" s="1" t="s">
        <v>41</v>
      </c>
      <c r="C1296" s="1" t="s">
        <v>41</v>
      </c>
      <c r="D1296" s="1" t="s">
        <v>285</v>
      </c>
      <c r="E1296" s="1" t="n">
        <v>4789</v>
      </c>
      <c r="F1296" s="1" t="n">
        <v>0.0915833037480347</v>
      </c>
      <c r="G1296" s="1" t="n">
        <v>438.592441649338</v>
      </c>
      <c r="H1296" s="1" t="s">
        <v>451</v>
      </c>
    </row>
    <row r="1297" customFormat="false" ht="14.25" hidden="false" customHeight="true" outlineLevel="0" collapsed="false">
      <c r="A1297" s="1" t="s">
        <v>706</v>
      </c>
      <c r="B1297" s="1" t="s">
        <v>41</v>
      </c>
      <c r="C1297" s="1" t="s">
        <v>41</v>
      </c>
      <c r="D1297" s="1" t="s">
        <v>282</v>
      </c>
      <c r="E1297" s="1" t="n">
        <v>4796</v>
      </c>
      <c r="F1297" s="1" t="n">
        <v>0.0915833037480347</v>
      </c>
      <c r="G1297" s="1" t="n">
        <v>439.233524775574</v>
      </c>
      <c r="H1297" s="1" t="s">
        <v>451</v>
      </c>
    </row>
    <row r="1298" customFormat="false" ht="14.25" hidden="false" customHeight="true" outlineLevel="0" collapsed="false">
      <c r="A1298" s="1" t="s">
        <v>706</v>
      </c>
      <c r="B1298" s="1" t="s">
        <v>141</v>
      </c>
      <c r="C1298" s="1" t="s">
        <v>528</v>
      </c>
      <c r="D1298" s="1" t="s">
        <v>287</v>
      </c>
      <c r="E1298" s="1" t="n">
        <v>6647</v>
      </c>
      <c r="F1298" s="1" t="n">
        <v>0.124952629710402</v>
      </c>
      <c r="G1298" s="1" t="n">
        <v>830.560129685042</v>
      </c>
      <c r="H1298" s="1" t="s">
        <v>451</v>
      </c>
    </row>
    <row r="1299" customFormat="false" ht="14.25" hidden="false" customHeight="true" outlineLevel="0" collapsed="false">
      <c r="A1299" s="1" t="s">
        <v>706</v>
      </c>
      <c r="B1299" s="1" t="s">
        <v>141</v>
      </c>
      <c r="C1299" s="1" t="s">
        <v>528</v>
      </c>
      <c r="D1299" s="1" t="s">
        <v>289</v>
      </c>
      <c r="E1299" s="1" t="n">
        <v>13510</v>
      </c>
      <c r="F1299" s="1" t="n">
        <v>0.124952629710402</v>
      </c>
      <c r="G1299" s="1" t="n">
        <v>1688.11002738753</v>
      </c>
      <c r="H1299" s="1" t="s">
        <v>451</v>
      </c>
    </row>
    <row r="1300" customFormat="false" ht="14.25" hidden="false" customHeight="true" outlineLevel="0" collapsed="false">
      <c r="A1300" s="1" t="s">
        <v>706</v>
      </c>
      <c r="B1300" s="1" t="s">
        <v>141</v>
      </c>
      <c r="C1300" s="1" t="s">
        <v>528</v>
      </c>
      <c r="D1300" s="1" t="s">
        <v>293</v>
      </c>
      <c r="E1300" s="1" t="n">
        <v>3735</v>
      </c>
      <c r="F1300" s="1" t="n">
        <v>0.124952629710402</v>
      </c>
      <c r="G1300" s="1" t="n">
        <v>466.698071968352</v>
      </c>
      <c r="H1300" s="1" t="s">
        <v>451</v>
      </c>
    </row>
    <row r="1301" customFormat="false" ht="14.25" hidden="false" customHeight="true" outlineLevel="0" collapsed="false">
      <c r="A1301" s="1" t="s">
        <v>706</v>
      </c>
      <c r="B1301" s="1" t="s">
        <v>141</v>
      </c>
      <c r="C1301" s="1" t="s">
        <v>528</v>
      </c>
      <c r="D1301" s="1" t="s">
        <v>290</v>
      </c>
      <c r="E1301" s="1" t="n">
        <v>6601</v>
      </c>
      <c r="F1301" s="1" t="n">
        <v>0.124952629710402</v>
      </c>
      <c r="G1301" s="1" t="n">
        <v>824.812308718364</v>
      </c>
      <c r="H1301" s="1" t="s">
        <v>451</v>
      </c>
    </row>
    <row r="1302" customFormat="false" ht="14.25" hidden="false" customHeight="true" outlineLevel="0" collapsed="false">
      <c r="A1302" s="1" t="s">
        <v>706</v>
      </c>
      <c r="B1302" s="1" t="s">
        <v>141</v>
      </c>
      <c r="C1302" s="1" t="s">
        <v>528</v>
      </c>
      <c r="D1302" s="1" t="s">
        <v>284</v>
      </c>
      <c r="E1302" s="1" t="n">
        <v>14697</v>
      </c>
      <c r="F1302" s="1" t="n">
        <v>0.124952629710402</v>
      </c>
      <c r="G1302" s="1" t="n">
        <v>1836.42879885378</v>
      </c>
      <c r="H1302" s="1" t="s">
        <v>451</v>
      </c>
    </row>
    <row r="1303" customFormat="false" ht="14.25" hidden="false" customHeight="true" outlineLevel="0" collapsed="false">
      <c r="A1303" s="1" t="s">
        <v>706</v>
      </c>
      <c r="B1303" s="1" t="s">
        <v>141</v>
      </c>
      <c r="C1303" s="1" t="s">
        <v>528</v>
      </c>
      <c r="D1303" s="1" t="s">
        <v>285</v>
      </c>
      <c r="E1303" s="1" t="n">
        <v>4789</v>
      </c>
      <c r="F1303" s="1" t="n">
        <v>0.124952629710402</v>
      </c>
      <c r="G1303" s="1" t="n">
        <v>598.398143683115</v>
      </c>
      <c r="H1303" s="1" t="s">
        <v>451</v>
      </c>
    </row>
    <row r="1304" customFormat="false" ht="14.25" hidden="false" customHeight="true" outlineLevel="0" collapsed="false">
      <c r="A1304" s="1" t="s">
        <v>706</v>
      </c>
      <c r="B1304" s="1" t="s">
        <v>141</v>
      </c>
      <c r="C1304" s="1" t="s">
        <v>528</v>
      </c>
      <c r="D1304" s="1" t="s">
        <v>282</v>
      </c>
      <c r="E1304" s="1" t="n">
        <v>4796</v>
      </c>
      <c r="F1304" s="1" t="n">
        <v>0.124952629710402</v>
      </c>
      <c r="G1304" s="1" t="n">
        <v>599.272812091088</v>
      </c>
      <c r="H1304" s="1" t="s">
        <v>451</v>
      </c>
    </row>
    <row r="1305" customFormat="false" ht="14.25" hidden="false" customHeight="true" outlineLevel="0" collapsed="false">
      <c r="A1305" s="1" t="s">
        <v>706</v>
      </c>
      <c r="B1305" s="1" t="s">
        <v>80</v>
      </c>
      <c r="C1305" s="1" t="s">
        <v>80</v>
      </c>
      <c r="D1305" s="1" t="s">
        <v>287</v>
      </c>
      <c r="E1305" s="1" t="n">
        <v>6647</v>
      </c>
      <c r="F1305" s="1" t="n">
        <v>0.0571887711112238</v>
      </c>
      <c r="G1305" s="1" t="n">
        <v>380.133761576305</v>
      </c>
      <c r="H1305" s="1" t="s">
        <v>451</v>
      </c>
    </row>
    <row r="1306" customFormat="false" ht="14.25" hidden="false" customHeight="true" outlineLevel="0" collapsed="false">
      <c r="A1306" s="1" t="s">
        <v>706</v>
      </c>
      <c r="B1306" s="1" t="s">
        <v>80</v>
      </c>
      <c r="C1306" s="1" t="s">
        <v>80</v>
      </c>
      <c r="D1306" s="1" t="s">
        <v>293</v>
      </c>
      <c r="E1306" s="1" t="n">
        <v>3735</v>
      </c>
      <c r="F1306" s="1" t="n">
        <v>0.0571887711112238</v>
      </c>
      <c r="G1306" s="1" t="n">
        <v>213.600060100421</v>
      </c>
      <c r="H1306" s="1" t="s">
        <v>451</v>
      </c>
    </row>
    <row r="1307" customFormat="false" ht="14.25" hidden="false" customHeight="true" outlineLevel="0" collapsed="false">
      <c r="A1307" s="1" t="s">
        <v>706</v>
      </c>
      <c r="B1307" s="1" t="s">
        <v>80</v>
      </c>
      <c r="C1307" s="1" t="s">
        <v>80</v>
      </c>
      <c r="D1307" s="1" t="s">
        <v>290</v>
      </c>
      <c r="E1307" s="1" t="n">
        <v>6601</v>
      </c>
      <c r="F1307" s="1" t="n">
        <v>0.0571887711112238</v>
      </c>
      <c r="G1307" s="1" t="n">
        <v>377.503078105188</v>
      </c>
      <c r="H1307" s="1" t="s">
        <v>451</v>
      </c>
    </row>
    <row r="1308" customFormat="false" ht="14.25" hidden="false" customHeight="true" outlineLevel="0" collapsed="false">
      <c r="A1308" s="1" t="s">
        <v>706</v>
      </c>
      <c r="B1308" s="1" t="s">
        <v>80</v>
      </c>
      <c r="C1308" s="1" t="s">
        <v>80</v>
      </c>
      <c r="D1308" s="1" t="s">
        <v>284</v>
      </c>
      <c r="E1308" s="1" t="n">
        <v>14697</v>
      </c>
      <c r="F1308" s="1" t="n">
        <v>0.0571887711112238</v>
      </c>
      <c r="G1308" s="1" t="n">
        <v>840.503369021656</v>
      </c>
      <c r="H1308" s="1" t="s">
        <v>451</v>
      </c>
    </row>
    <row r="1309" customFormat="false" ht="14.25" hidden="false" customHeight="true" outlineLevel="0" collapsed="false">
      <c r="A1309" s="1" t="s">
        <v>706</v>
      </c>
      <c r="B1309" s="1" t="s">
        <v>80</v>
      </c>
      <c r="C1309" s="1" t="s">
        <v>80</v>
      </c>
      <c r="D1309" s="1" t="s">
        <v>285</v>
      </c>
      <c r="E1309" s="1" t="n">
        <v>4789</v>
      </c>
      <c r="F1309" s="1" t="n">
        <v>0.0571887711112238</v>
      </c>
      <c r="G1309" s="1" t="n">
        <v>273.877024851651</v>
      </c>
      <c r="H1309" s="1" t="s">
        <v>451</v>
      </c>
    </row>
    <row r="1310" customFormat="false" ht="14.25" hidden="false" customHeight="true" outlineLevel="0" collapsed="false">
      <c r="A1310" s="1" t="s">
        <v>706</v>
      </c>
      <c r="B1310" s="1" t="s">
        <v>80</v>
      </c>
      <c r="C1310" s="1" t="s">
        <v>80</v>
      </c>
      <c r="D1310" s="1" t="s">
        <v>282</v>
      </c>
      <c r="E1310" s="1" t="n">
        <v>4796</v>
      </c>
      <c r="F1310" s="1" t="n">
        <v>0.0571887711112238</v>
      </c>
      <c r="G1310" s="1" t="n">
        <v>274.277346249429</v>
      </c>
      <c r="H1310" s="1" t="s">
        <v>451</v>
      </c>
    </row>
    <row r="1311" customFormat="false" ht="14.25" hidden="false" customHeight="true" outlineLevel="0" collapsed="false">
      <c r="A1311" s="1" t="s">
        <v>706</v>
      </c>
      <c r="B1311" s="1" t="s">
        <v>42</v>
      </c>
      <c r="C1311" s="1" t="s">
        <v>42</v>
      </c>
      <c r="D1311" s="1" t="s">
        <v>287</v>
      </c>
      <c r="E1311" s="1" t="n">
        <v>6647</v>
      </c>
      <c r="F1311" s="1" t="n">
        <v>0.144806613582188</v>
      </c>
      <c r="G1311" s="1" t="n">
        <v>962.529560480804</v>
      </c>
      <c r="H1311" s="1" t="s">
        <v>451</v>
      </c>
    </row>
    <row r="1312" customFormat="false" ht="14.25" hidden="false" customHeight="true" outlineLevel="0" collapsed="false">
      <c r="A1312" s="1" t="s">
        <v>706</v>
      </c>
      <c r="B1312" s="1" t="s">
        <v>42</v>
      </c>
      <c r="C1312" s="1" t="s">
        <v>42</v>
      </c>
      <c r="D1312" s="1" t="s">
        <v>293</v>
      </c>
      <c r="E1312" s="1" t="n">
        <v>3735</v>
      </c>
      <c r="F1312" s="1" t="n">
        <v>0.144806613582188</v>
      </c>
      <c r="G1312" s="1" t="n">
        <v>540.852701729472</v>
      </c>
      <c r="H1312" s="1" t="s">
        <v>451</v>
      </c>
    </row>
    <row r="1313" customFormat="false" ht="14.25" hidden="false" customHeight="true" outlineLevel="0" collapsed="false">
      <c r="A1313" s="1" t="s">
        <v>706</v>
      </c>
      <c r="B1313" s="1" t="s">
        <v>42</v>
      </c>
      <c r="C1313" s="1" t="s">
        <v>42</v>
      </c>
      <c r="D1313" s="1" t="s">
        <v>290</v>
      </c>
      <c r="E1313" s="1" t="n">
        <v>6601</v>
      </c>
      <c r="F1313" s="1" t="n">
        <v>0.144806613582188</v>
      </c>
      <c r="G1313" s="1" t="n">
        <v>955.868456256023</v>
      </c>
      <c r="H1313" s="1" t="s">
        <v>451</v>
      </c>
    </row>
    <row r="1314" customFormat="false" ht="14.25" hidden="false" customHeight="true" outlineLevel="0" collapsed="false">
      <c r="A1314" s="1" t="s">
        <v>706</v>
      </c>
      <c r="B1314" s="1" t="s">
        <v>42</v>
      </c>
      <c r="C1314" s="1" t="s">
        <v>42</v>
      </c>
      <c r="D1314" s="1" t="s">
        <v>284</v>
      </c>
      <c r="E1314" s="1" t="n">
        <v>14697</v>
      </c>
      <c r="F1314" s="1" t="n">
        <v>0.144806613582188</v>
      </c>
      <c r="G1314" s="1" t="n">
        <v>2128.22279981742</v>
      </c>
      <c r="H1314" s="1" t="s">
        <v>451</v>
      </c>
    </row>
    <row r="1315" customFormat="false" ht="14.25" hidden="false" customHeight="true" outlineLevel="0" collapsed="false">
      <c r="A1315" s="1" t="s">
        <v>706</v>
      </c>
      <c r="B1315" s="1" t="s">
        <v>42</v>
      </c>
      <c r="C1315" s="1" t="s">
        <v>42</v>
      </c>
      <c r="D1315" s="1" t="s">
        <v>285</v>
      </c>
      <c r="E1315" s="1" t="n">
        <v>4789</v>
      </c>
      <c r="F1315" s="1" t="n">
        <v>0.144806613582188</v>
      </c>
      <c r="G1315" s="1" t="n">
        <v>693.478872445098</v>
      </c>
      <c r="H1315" s="1" t="s">
        <v>451</v>
      </c>
    </row>
    <row r="1316" customFormat="false" ht="14.25" hidden="false" customHeight="true" outlineLevel="0" collapsed="false">
      <c r="A1316" s="1" t="s">
        <v>706</v>
      </c>
      <c r="B1316" s="1" t="s">
        <v>42</v>
      </c>
      <c r="C1316" s="1" t="s">
        <v>42</v>
      </c>
      <c r="D1316" s="1" t="s">
        <v>282</v>
      </c>
      <c r="E1316" s="1" t="n">
        <v>4796</v>
      </c>
      <c r="F1316" s="1" t="n">
        <v>0.144806613582188</v>
      </c>
      <c r="G1316" s="1" t="n">
        <v>694.492518740174</v>
      </c>
      <c r="H1316" s="1" t="s">
        <v>451</v>
      </c>
    </row>
    <row r="1317" customFormat="false" ht="14.25" hidden="false" customHeight="true" outlineLevel="0" collapsed="false">
      <c r="A1317" s="1" t="s">
        <v>706</v>
      </c>
      <c r="B1317" s="1" t="s">
        <v>36</v>
      </c>
      <c r="C1317" s="1" t="s">
        <v>36</v>
      </c>
      <c r="D1317" s="1" t="s">
        <v>287</v>
      </c>
      <c r="E1317" s="1" t="n">
        <v>6647</v>
      </c>
      <c r="F1317" s="1" t="n">
        <v>0.173736673936197</v>
      </c>
      <c r="G1317" s="1" t="n">
        <v>1154.8276716539</v>
      </c>
      <c r="H1317" s="1" t="s">
        <v>451</v>
      </c>
    </row>
    <row r="1318" customFormat="false" ht="14.25" hidden="false" customHeight="true" outlineLevel="0" collapsed="false">
      <c r="A1318" s="1" t="s">
        <v>706</v>
      </c>
      <c r="B1318" s="1" t="s">
        <v>36</v>
      </c>
      <c r="C1318" s="1" t="s">
        <v>36</v>
      </c>
      <c r="D1318" s="1" t="s">
        <v>293</v>
      </c>
      <c r="E1318" s="1" t="n">
        <v>3735</v>
      </c>
      <c r="F1318" s="1" t="n">
        <v>0.173736673936197</v>
      </c>
      <c r="G1318" s="1" t="n">
        <v>648.906477151696</v>
      </c>
      <c r="H1318" s="1" t="s">
        <v>451</v>
      </c>
    </row>
    <row r="1319" customFormat="false" ht="14.25" hidden="false" customHeight="true" outlineLevel="0" collapsed="false">
      <c r="A1319" s="1" t="s">
        <v>706</v>
      </c>
      <c r="B1319" s="1" t="s">
        <v>36</v>
      </c>
      <c r="C1319" s="1" t="s">
        <v>36</v>
      </c>
      <c r="D1319" s="1" t="s">
        <v>290</v>
      </c>
      <c r="E1319" s="1" t="n">
        <v>6601</v>
      </c>
      <c r="F1319" s="1" t="n">
        <v>0.173736673936197</v>
      </c>
      <c r="G1319" s="1" t="n">
        <v>1146.83578465284</v>
      </c>
      <c r="H1319" s="1" t="s">
        <v>451</v>
      </c>
    </row>
    <row r="1320" customFormat="false" ht="14.25" hidden="false" customHeight="true" outlineLevel="0" collapsed="false">
      <c r="A1320" s="1" t="s">
        <v>706</v>
      </c>
      <c r="B1320" s="1" t="s">
        <v>36</v>
      </c>
      <c r="C1320" s="1" t="s">
        <v>36</v>
      </c>
      <c r="D1320" s="1" t="s">
        <v>284</v>
      </c>
      <c r="E1320" s="1" t="n">
        <v>14697</v>
      </c>
      <c r="F1320" s="1" t="n">
        <v>0.173736673936197</v>
      </c>
      <c r="G1320" s="1" t="n">
        <v>2553.40789684029</v>
      </c>
      <c r="H1320" s="1" t="s">
        <v>451</v>
      </c>
    </row>
    <row r="1321" customFormat="false" ht="14.25" hidden="false" customHeight="true" outlineLevel="0" collapsed="false">
      <c r="A1321" s="1" t="s">
        <v>706</v>
      </c>
      <c r="B1321" s="1" t="s">
        <v>36</v>
      </c>
      <c r="C1321" s="1" t="s">
        <v>36</v>
      </c>
      <c r="D1321" s="1" t="s">
        <v>285</v>
      </c>
      <c r="E1321" s="1" t="n">
        <v>4789</v>
      </c>
      <c r="F1321" s="1" t="n">
        <v>0.173736673936197</v>
      </c>
      <c r="G1321" s="1" t="n">
        <v>832.024931480447</v>
      </c>
      <c r="H1321" s="1" t="s">
        <v>451</v>
      </c>
    </row>
    <row r="1322" customFormat="false" ht="14.25" hidden="false" customHeight="true" outlineLevel="0" collapsed="false">
      <c r="A1322" s="1" t="s">
        <v>706</v>
      </c>
      <c r="B1322" s="1" t="s">
        <v>36</v>
      </c>
      <c r="C1322" s="1" t="s">
        <v>36</v>
      </c>
      <c r="D1322" s="1" t="s">
        <v>282</v>
      </c>
      <c r="E1322" s="1" t="n">
        <v>4796</v>
      </c>
      <c r="F1322" s="1" t="n">
        <v>0.173736673936197</v>
      </c>
      <c r="G1322" s="1" t="n">
        <v>833.241088198001</v>
      </c>
      <c r="H1322" s="1" t="s">
        <v>451</v>
      </c>
    </row>
    <row r="1323" customFormat="false" ht="14.25" hidden="false" customHeight="true" outlineLevel="0" collapsed="false">
      <c r="A1323" s="1" t="s">
        <v>706</v>
      </c>
      <c r="B1323" s="1" t="s">
        <v>34</v>
      </c>
      <c r="C1323" s="1" t="s">
        <v>34</v>
      </c>
      <c r="D1323" s="1" t="s">
        <v>287</v>
      </c>
      <c r="E1323" s="1" t="n">
        <v>6647</v>
      </c>
      <c r="F1323" s="1" t="n">
        <v>0.322960034488005</v>
      </c>
      <c r="G1323" s="1" t="n">
        <v>2146.71534924177</v>
      </c>
      <c r="H1323" s="1" t="s">
        <v>451</v>
      </c>
    </row>
    <row r="1324" customFormat="false" ht="14.25" hidden="false" customHeight="true" outlineLevel="0" collapsed="false">
      <c r="A1324" s="1" t="s">
        <v>706</v>
      </c>
      <c r="B1324" s="1" t="s">
        <v>34</v>
      </c>
      <c r="C1324" s="1" t="s">
        <v>34</v>
      </c>
      <c r="D1324" s="1" t="s">
        <v>289</v>
      </c>
      <c r="E1324" s="1" t="n">
        <v>13510</v>
      </c>
      <c r="F1324" s="1" t="n">
        <v>0.322960034488005</v>
      </c>
      <c r="G1324" s="1" t="n">
        <v>4363.19006593295</v>
      </c>
      <c r="H1324" s="1" t="s">
        <v>451</v>
      </c>
    </row>
    <row r="1325" customFormat="false" ht="14.25" hidden="false" customHeight="true" outlineLevel="0" collapsed="false">
      <c r="A1325" s="1" t="s">
        <v>706</v>
      </c>
      <c r="B1325" s="1" t="s">
        <v>34</v>
      </c>
      <c r="C1325" s="1" t="s">
        <v>34</v>
      </c>
      <c r="D1325" s="1" t="s">
        <v>293</v>
      </c>
      <c r="E1325" s="1" t="n">
        <v>3735</v>
      </c>
      <c r="F1325" s="1" t="n">
        <v>0.322960034488005</v>
      </c>
      <c r="G1325" s="1" t="n">
        <v>1206.2557288127</v>
      </c>
      <c r="H1325" s="1" t="s">
        <v>451</v>
      </c>
    </row>
    <row r="1326" customFormat="false" ht="14.25" hidden="false" customHeight="true" outlineLevel="0" collapsed="false">
      <c r="A1326" s="1" t="s">
        <v>706</v>
      </c>
      <c r="B1326" s="1" t="s">
        <v>34</v>
      </c>
      <c r="C1326" s="1" t="s">
        <v>34</v>
      </c>
      <c r="D1326" s="1" t="s">
        <v>290</v>
      </c>
      <c r="E1326" s="1" t="n">
        <v>6601</v>
      </c>
      <c r="F1326" s="1" t="n">
        <v>0.322960034488005</v>
      </c>
      <c r="G1326" s="1" t="n">
        <v>2131.85918765532</v>
      </c>
      <c r="H1326" s="1" t="s">
        <v>451</v>
      </c>
    </row>
    <row r="1327" customFormat="false" ht="14.25" hidden="false" customHeight="true" outlineLevel="0" collapsed="false">
      <c r="A1327" s="1" t="s">
        <v>706</v>
      </c>
      <c r="B1327" s="1" t="s">
        <v>34</v>
      </c>
      <c r="C1327" s="1" t="s">
        <v>34</v>
      </c>
      <c r="D1327" s="1" t="s">
        <v>284</v>
      </c>
      <c r="E1327" s="1" t="n">
        <v>14697</v>
      </c>
      <c r="F1327" s="1" t="n">
        <v>0.322960034488005</v>
      </c>
      <c r="G1327" s="1" t="n">
        <v>4746.54362687021</v>
      </c>
      <c r="H1327" s="1" t="s">
        <v>451</v>
      </c>
    </row>
    <row r="1328" customFormat="false" ht="14.25" hidden="false" customHeight="true" outlineLevel="0" collapsed="false">
      <c r="A1328" s="1" t="s">
        <v>706</v>
      </c>
      <c r="B1328" s="1" t="s">
        <v>34</v>
      </c>
      <c r="C1328" s="1" t="s">
        <v>34</v>
      </c>
      <c r="D1328" s="1" t="s">
        <v>285</v>
      </c>
      <c r="E1328" s="1" t="n">
        <v>4789</v>
      </c>
      <c r="F1328" s="1" t="n">
        <v>0.322960034488005</v>
      </c>
      <c r="G1328" s="1" t="n">
        <v>1546.65560516306</v>
      </c>
      <c r="H1328" s="1" t="s">
        <v>451</v>
      </c>
    </row>
    <row r="1329" customFormat="false" ht="14.25" hidden="false" customHeight="true" outlineLevel="0" collapsed="false">
      <c r="A1329" s="1" t="s">
        <v>706</v>
      </c>
      <c r="B1329" s="1" t="s">
        <v>34</v>
      </c>
      <c r="C1329" s="1" t="s">
        <v>34</v>
      </c>
      <c r="D1329" s="1" t="s">
        <v>282</v>
      </c>
      <c r="E1329" s="1" t="n">
        <v>4796</v>
      </c>
      <c r="F1329" s="1" t="n">
        <v>0.322960034488005</v>
      </c>
      <c r="G1329" s="1" t="n">
        <v>1548.91632540447</v>
      </c>
      <c r="H1329" s="1" t="s">
        <v>451</v>
      </c>
    </row>
    <row r="1330" customFormat="false" ht="14.25" hidden="false" customHeight="true" outlineLevel="0" collapsed="false">
      <c r="A1330" s="1" t="s">
        <v>706</v>
      </c>
      <c r="B1330" s="1" t="s">
        <v>83</v>
      </c>
      <c r="C1330" s="1" t="s">
        <v>83</v>
      </c>
      <c r="D1330" s="1" t="s">
        <v>287</v>
      </c>
      <c r="E1330" s="1" t="n">
        <v>6647</v>
      </c>
      <c r="F1330" s="1" t="n">
        <v>0.0794262311710707</v>
      </c>
      <c r="G1330" s="1" t="n">
        <v>527.946158594107</v>
      </c>
      <c r="H1330" s="1" t="s">
        <v>451</v>
      </c>
    </row>
    <row r="1331" customFormat="false" ht="14.25" hidden="false" customHeight="true" outlineLevel="0" collapsed="false">
      <c r="A1331" s="1" t="s">
        <v>706</v>
      </c>
      <c r="B1331" s="1" t="s">
        <v>83</v>
      </c>
      <c r="C1331" s="1" t="s">
        <v>83</v>
      </c>
      <c r="D1331" s="1" t="s">
        <v>293</v>
      </c>
      <c r="E1331" s="1" t="n">
        <v>3735</v>
      </c>
      <c r="F1331" s="1" t="n">
        <v>0.0794262311710707</v>
      </c>
      <c r="G1331" s="1" t="n">
        <v>296.656973423949</v>
      </c>
      <c r="H1331" s="1" t="s">
        <v>451</v>
      </c>
    </row>
    <row r="1332" customFormat="false" ht="14.25" hidden="false" customHeight="true" outlineLevel="0" collapsed="false">
      <c r="A1332" s="1" t="s">
        <v>706</v>
      </c>
      <c r="B1332" s="1" t="s">
        <v>83</v>
      </c>
      <c r="C1332" s="1" t="s">
        <v>83</v>
      </c>
      <c r="D1332" s="1" t="s">
        <v>290</v>
      </c>
      <c r="E1332" s="1" t="n">
        <v>6601</v>
      </c>
      <c r="F1332" s="1" t="n">
        <v>0.0794262311710707</v>
      </c>
      <c r="G1332" s="1" t="n">
        <v>524.292551960238</v>
      </c>
      <c r="H1332" s="1" t="s">
        <v>451</v>
      </c>
    </row>
    <row r="1333" customFormat="false" ht="14.25" hidden="false" customHeight="true" outlineLevel="0" collapsed="false">
      <c r="A1333" s="1" t="s">
        <v>706</v>
      </c>
      <c r="B1333" s="1" t="s">
        <v>83</v>
      </c>
      <c r="C1333" s="1" t="s">
        <v>83</v>
      </c>
      <c r="D1333" s="1" t="s">
        <v>284</v>
      </c>
      <c r="E1333" s="1" t="n">
        <v>14697</v>
      </c>
      <c r="F1333" s="1" t="n">
        <v>0.0794262311710707</v>
      </c>
      <c r="G1333" s="1" t="n">
        <v>1167.32731952123</v>
      </c>
      <c r="H1333" s="1" t="s">
        <v>451</v>
      </c>
    </row>
    <row r="1334" customFormat="false" ht="14.25" hidden="false" customHeight="true" outlineLevel="0" collapsed="false">
      <c r="A1334" s="1" t="s">
        <v>706</v>
      </c>
      <c r="B1334" s="1" t="s">
        <v>83</v>
      </c>
      <c r="C1334" s="1" t="s">
        <v>83</v>
      </c>
      <c r="D1334" s="1" t="s">
        <v>285</v>
      </c>
      <c r="E1334" s="1" t="n">
        <v>4789</v>
      </c>
      <c r="F1334" s="1" t="n">
        <v>0.0794262311710707</v>
      </c>
      <c r="G1334" s="1" t="n">
        <v>380.372221078258</v>
      </c>
      <c r="H1334" s="1" t="s">
        <v>451</v>
      </c>
    </row>
    <row r="1335" customFormat="false" ht="14.25" hidden="false" customHeight="true" outlineLevel="0" collapsed="false">
      <c r="A1335" s="1" t="s">
        <v>706</v>
      </c>
      <c r="B1335" s="1" t="s">
        <v>83</v>
      </c>
      <c r="C1335" s="1" t="s">
        <v>83</v>
      </c>
      <c r="D1335" s="1" t="s">
        <v>282</v>
      </c>
      <c r="E1335" s="1" t="n">
        <v>4796</v>
      </c>
      <c r="F1335" s="1" t="n">
        <v>0.0794262311710707</v>
      </c>
      <c r="G1335" s="1" t="n">
        <v>380.928204696455</v>
      </c>
      <c r="H1335" s="1" t="s">
        <v>451</v>
      </c>
    </row>
    <row r="1336" customFormat="false" ht="14.25" hidden="false" customHeight="true" outlineLevel="0" collapsed="false">
      <c r="A1336" s="1" t="s">
        <v>706</v>
      </c>
      <c r="B1336" s="1" t="s">
        <v>32</v>
      </c>
      <c r="C1336" s="1" t="s">
        <v>695</v>
      </c>
      <c r="D1336" s="1" t="s">
        <v>287</v>
      </c>
      <c r="E1336" s="1" t="n">
        <v>30</v>
      </c>
      <c r="F1336" s="1" t="n">
        <v>36.2501330798479</v>
      </c>
      <c r="G1336" s="1" t="n">
        <v>1087.50399239544</v>
      </c>
      <c r="H1336" s="1" t="s">
        <v>696</v>
      </c>
    </row>
    <row r="1337" customFormat="false" ht="14.25" hidden="false" customHeight="true" outlineLevel="0" collapsed="false">
      <c r="A1337" s="1" t="s">
        <v>706</v>
      </c>
      <c r="B1337" s="1" t="s">
        <v>32</v>
      </c>
      <c r="C1337" s="1" t="s">
        <v>695</v>
      </c>
      <c r="D1337" s="1" t="s">
        <v>293</v>
      </c>
      <c r="E1337" s="1" t="n">
        <v>10</v>
      </c>
      <c r="F1337" s="1" t="n">
        <v>36.2501330798479</v>
      </c>
      <c r="G1337" s="1" t="n">
        <v>362.501330798479</v>
      </c>
      <c r="H1337" s="1" t="s">
        <v>696</v>
      </c>
    </row>
    <row r="1338" customFormat="false" ht="14.25" hidden="false" customHeight="true" outlineLevel="0" collapsed="false">
      <c r="A1338" s="1" t="s">
        <v>706</v>
      </c>
      <c r="B1338" s="1" t="s">
        <v>32</v>
      </c>
      <c r="C1338" s="1" t="s">
        <v>695</v>
      </c>
      <c r="D1338" s="1" t="s">
        <v>290</v>
      </c>
      <c r="E1338" s="1" t="n">
        <v>46</v>
      </c>
      <c r="F1338" s="1" t="n">
        <v>36.2501330798479</v>
      </c>
      <c r="G1338" s="1" t="n">
        <v>1667.506121673</v>
      </c>
      <c r="H1338" s="1" t="s">
        <v>696</v>
      </c>
    </row>
    <row r="1339" customFormat="false" ht="14.25" hidden="false" customHeight="true" outlineLevel="0" collapsed="false">
      <c r="A1339" s="1" t="s">
        <v>706</v>
      </c>
      <c r="B1339" s="1" t="s">
        <v>32</v>
      </c>
      <c r="C1339" s="1" t="s">
        <v>695</v>
      </c>
      <c r="D1339" s="1" t="s">
        <v>284</v>
      </c>
      <c r="E1339" s="1" t="n">
        <v>45</v>
      </c>
      <c r="F1339" s="1" t="n">
        <v>36.2501330798479</v>
      </c>
      <c r="G1339" s="1" t="n">
        <v>1631.25598859316</v>
      </c>
      <c r="H1339" s="1" t="s">
        <v>696</v>
      </c>
    </row>
    <row r="1340" customFormat="false" ht="14.25" hidden="false" customHeight="true" outlineLevel="0" collapsed="false">
      <c r="A1340" s="1" t="s">
        <v>706</v>
      </c>
      <c r="B1340" s="1" t="s">
        <v>32</v>
      </c>
      <c r="C1340" s="1" t="s">
        <v>695</v>
      </c>
      <c r="D1340" s="1" t="s">
        <v>285</v>
      </c>
      <c r="E1340" s="1" t="n">
        <v>17</v>
      </c>
      <c r="F1340" s="1" t="n">
        <v>36.2501330798479</v>
      </c>
      <c r="G1340" s="1" t="n">
        <v>616.252262357414</v>
      </c>
      <c r="H1340" s="1" t="s">
        <v>696</v>
      </c>
    </row>
    <row r="1341" customFormat="false" ht="14.25" hidden="false" customHeight="true" outlineLevel="0" collapsed="false">
      <c r="A1341" s="1" t="s">
        <v>706</v>
      </c>
      <c r="B1341" s="1" t="s">
        <v>32</v>
      </c>
      <c r="C1341" s="1" t="s">
        <v>695</v>
      </c>
      <c r="D1341" s="1" t="s">
        <v>282</v>
      </c>
      <c r="E1341" s="1" t="n">
        <v>23</v>
      </c>
      <c r="F1341" s="1" t="n">
        <v>36.2501330798479</v>
      </c>
      <c r="G1341" s="1" t="n">
        <v>833.753060836502</v>
      </c>
      <c r="H1341" s="1" t="s">
        <v>696</v>
      </c>
    </row>
    <row r="1342" customFormat="false" ht="14.25" hidden="false" customHeight="true" outlineLevel="0" collapsed="false">
      <c r="A1342" s="1" t="s">
        <v>706</v>
      </c>
      <c r="B1342" s="1" t="s">
        <v>33</v>
      </c>
      <c r="C1342" s="1" t="s">
        <v>697</v>
      </c>
      <c r="D1342" s="1" t="s">
        <v>287</v>
      </c>
      <c r="E1342" s="1" t="n">
        <v>30</v>
      </c>
      <c r="F1342" s="1" t="n">
        <v>49.5105988593156</v>
      </c>
      <c r="G1342" s="1" t="n">
        <v>1485.31796577947</v>
      </c>
      <c r="H1342" s="1" t="s">
        <v>696</v>
      </c>
    </row>
    <row r="1343" customFormat="false" ht="14.25" hidden="false" customHeight="true" outlineLevel="0" collapsed="false">
      <c r="A1343" s="1" t="s">
        <v>706</v>
      </c>
      <c r="B1343" s="1" t="s">
        <v>33</v>
      </c>
      <c r="C1343" s="1" t="s">
        <v>697</v>
      </c>
      <c r="D1343" s="1" t="s">
        <v>293</v>
      </c>
      <c r="E1343" s="1" t="n">
        <v>10</v>
      </c>
      <c r="F1343" s="1" t="n">
        <v>49.5105988593156</v>
      </c>
      <c r="G1343" s="1" t="n">
        <v>495.105988593156</v>
      </c>
      <c r="H1343" s="1" t="s">
        <v>696</v>
      </c>
    </row>
    <row r="1344" customFormat="false" ht="14.25" hidden="false" customHeight="true" outlineLevel="0" collapsed="false">
      <c r="A1344" s="1" t="s">
        <v>706</v>
      </c>
      <c r="B1344" s="1" t="s">
        <v>33</v>
      </c>
      <c r="C1344" s="1" t="s">
        <v>697</v>
      </c>
      <c r="D1344" s="1" t="s">
        <v>290</v>
      </c>
      <c r="E1344" s="1" t="n">
        <v>46</v>
      </c>
      <c r="F1344" s="1" t="n">
        <v>49.5105988593156</v>
      </c>
      <c r="G1344" s="1" t="n">
        <v>2277.48754752852</v>
      </c>
      <c r="H1344" s="1" t="s">
        <v>696</v>
      </c>
    </row>
    <row r="1345" customFormat="false" ht="14.25" hidden="false" customHeight="true" outlineLevel="0" collapsed="false">
      <c r="A1345" s="1" t="s">
        <v>706</v>
      </c>
      <c r="B1345" s="1" t="s">
        <v>33</v>
      </c>
      <c r="C1345" s="1" t="s">
        <v>697</v>
      </c>
      <c r="D1345" s="1" t="s">
        <v>284</v>
      </c>
      <c r="E1345" s="1" t="n">
        <v>45</v>
      </c>
      <c r="F1345" s="1" t="n">
        <v>49.5105988593156</v>
      </c>
      <c r="G1345" s="1" t="n">
        <v>2227.9769486692</v>
      </c>
      <c r="H1345" s="1" t="s">
        <v>696</v>
      </c>
    </row>
    <row r="1346" customFormat="false" ht="14.25" hidden="false" customHeight="true" outlineLevel="0" collapsed="false">
      <c r="A1346" s="1" t="s">
        <v>706</v>
      </c>
      <c r="B1346" s="1" t="s">
        <v>33</v>
      </c>
      <c r="C1346" s="1" t="s">
        <v>697</v>
      </c>
      <c r="D1346" s="1" t="s">
        <v>285</v>
      </c>
      <c r="E1346" s="1" t="n">
        <v>17</v>
      </c>
      <c r="F1346" s="1" t="n">
        <v>49.5105988593156</v>
      </c>
      <c r="G1346" s="1" t="n">
        <v>841.680180608365</v>
      </c>
      <c r="H1346" s="1" t="s">
        <v>696</v>
      </c>
    </row>
    <row r="1347" customFormat="false" ht="14.25" hidden="false" customHeight="true" outlineLevel="0" collapsed="false">
      <c r="A1347" s="1" t="s">
        <v>706</v>
      </c>
      <c r="B1347" s="1" t="s">
        <v>33</v>
      </c>
      <c r="C1347" s="1" t="s">
        <v>697</v>
      </c>
      <c r="D1347" s="1" t="s">
        <v>282</v>
      </c>
      <c r="E1347" s="1" t="n">
        <v>23</v>
      </c>
      <c r="F1347" s="1" t="n">
        <v>49.5105988593156</v>
      </c>
      <c r="G1347" s="1" t="n">
        <v>1138.74377376426</v>
      </c>
      <c r="H1347" s="1" t="s">
        <v>696</v>
      </c>
    </row>
    <row r="1348" customFormat="false" ht="14.25" hidden="false" customHeight="true" outlineLevel="0" collapsed="false">
      <c r="A1348" s="1" t="s">
        <v>706</v>
      </c>
      <c r="B1348" s="1" t="s">
        <v>44</v>
      </c>
      <c r="C1348" s="1" t="s">
        <v>698</v>
      </c>
      <c r="D1348" s="1" t="s">
        <v>287</v>
      </c>
      <c r="E1348" s="1" t="n">
        <v>30</v>
      </c>
      <c r="F1348" s="1" t="n">
        <v>49.7823098859316</v>
      </c>
      <c r="G1348" s="1" t="n">
        <v>1493.46929657795</v>
      </c>
      <c r="H1348" s="1" t="s">
        <v>696</v>
      </c>
    </row>
    <row r="1349" customFormat="false" ht="14.25" hidden="false" customHeight="true" outlineLevel="0" collapsed="false">
      <c r="A1349" s="1" t="s">
        <v>706</v>
      </c>
      <c r="B1349" s="1" t="s">
        <v>44</v>
      </c>
      <c r="C1349" s="1" t="s">
        <v>698</v>
      </c>
      <c r="D1349" s="1" t="s">
        <v>289</v>
      </c>
      <c r="E1349" s="1" t="n">
        <v>37</v>
      </c>
      <c r="F1349" s="1" t="n">
        <v>49.7823098859316</v>
      </c>
      <c r="G1349" s="1" t="n">
        <v>1841.94546577947</v>
      </c>
      <c r="H1349" s="1" t="s">
        <v>696</v>
      </c>
    </row>
    <row r="1350" customFormat="false" ht="14.25" hidden="false" customHeight="true" outlineLevel="0" collapsed="false">
      <c r="A1350" s="1" t="s">
        <v>706</v>
      </c>
      <c r="B1350" s="1" t="s">
        <v>44</v>
      </c>
      <c r="C1350" s="1" t="s">
        <v>698</v>
      </c>
      <c r="D1350" s="1" t="s">
        <v>293</v>
      </c>
      <c r="E1350" s="1" t="n">
        <v>10</v>
      </c>
      <c r="F1350" s="1" t="n">
        <v>49.7823098859316</v>
      </c>
      <c r="G1350" s="1" t="n">
        <v>497.823098859316</v>
      </c>
      <c r="H1350" s="1" t="s">
        <v>696</v>
      </c>
    </row>
    <row r="1351" customFormat="false" ht="14.25" hidden="false" customHeight="true" outlineLevel="0" collapsed="false">
      <c r="A1351" s="1" t="s">
        <v>706</v>
      </c>
      <c r="B1351" s="1" t="s">
        <v>44</v>
      </c>
      <c r="C1351" s="1" t="s">
        <v>698</v>
      </c>
      <c r="D1351" s="1" t="s">
        <v>290</v>
      </c>
      <c r="E1351" s="1" t="n">
        <v>46</v>
      </c>
      <c r="F1351" s="1" t="n">
        <v>49.7823098859316</v>
      </c>
      <c r="G1351" s="1" t="n">
        <v>2289.98625475285</v>
      </c>
      <c r="H1351" s="1" t="s">
        <v>696</v>
      </c>
    </row>
    <row r="1352" customFormat="false" ht="14.25" hidden="false" customHeight="true" outlineLevel="0" collapsed="false">
      <c r="A1352" s="1" t="s">
        <v>706</v>
      </c>
      <c r="B1352" s="1" t="s">
        <v>44</v>
      </c>
      <c r="C1352" s="1" t="s">
        <v>698</v>
      </c>
      <c r="D1352" s="1" t="s">
        <v>284</v>
      </c>
      <c r="E1352" s="1" t="n">
        <v>45</v>
      </c>
      <c r="F1352" s="1" t="n">
        <v>49.7823098859316</v>
      </c>
      <c r="G1352" s="1" t="n">
        <v>2240.20394486692</v>
      </c>
      <c r="H1352" s="1" t="s">
        <v>696</v>
      </c>
    </row>
    <row r="1353" customFormat="false" ht="14.25" hidden="false" customHeight="true" outlineLevel="0" collapsed="false">
      <c r="A1353" s="1" t="s">
        <v>706</v>
      </c>
      <c r="B1353" s="1" t="s">
        <v>44</v>
      </c>
      <c r="C1353" s="1" t="s">
        <v>698</v>
      </c>
      <c r="D1353" s="1" t="s">
        <v>285</v>
      </c>
      <c r="E1353" s="1" t="n">
        <v>17</v>
      </c>
      <c r="F1353" s="1" t="n">
        <v>49.7823098859316</v>
      </c>
      <c r="G1353" s="1" t="n">
        <v>846.299268060837</v>
      </c>
      <c r="H1353" s="1" t="s">
        <v>696</v>
      </c>
    </row>
    <row r="1354" customFormat="false" ht="14.25" hidden="false" customHeight="true" outlineLevel="0" collapsed="false">
      <c r="A1354" s="1" t="s">
        <v>706</v>
      </c>
      <c r="B1354" s="1" t="s">
        <v>44</v>
      </c>
      <c r="C1354" s="1" t="s">
        <v>698</v>
      </c>
      <c r="D1354" s="1" t="s">
        <v>282</v>
      </c>
      <c r="E1354" s="1" t="n">
        <v>23</v>
      </c>
      <c r="F1354" s="1" t="n">
        <v>49.7823098859316</v>
      </c>
      <c r="G1354" s="1" t="n">
        <v>1144.99312737643</v>
      </c>
      <c r="H1354" s="1" t="s">
        <v>696</v>
      </c>
    </row>
    <row r="1355" customFormat="false" ht="14.25" hidden="false" customHeight="true" outlineLevel="0" collapsed="false">
      <c r="A1355" s="1" t="s">
        <v>706</v>
      </c>
      <c r="B1355" s="1" t="s">
        <v>55</v>
      </c>
      <c r="C1355" s="1" t="s">
        <v>702</v>
      </c>
      <c r="D1355" s="1" t="s">
        <v>287</v>
      </c>
      <c r="E1355" s="1" t="n">
        <v>30</v>
      </c>
      <c r="F1355" s="1" t="n">
        <v>22.186397338403</v>
      </c>
      <c r="G1355" s="1" t="n">
        <v>665.59192015209</v>
      </c>
      <c r="H1355" s="1" t="s">
        <v>696</v>
      </c>
    </row>
    <row r="1356" customFormat="false" ht="14.25" hidden="false" customHeight="true" outlineLevel="0" collapsed="false">
      <c r="A1356" s="1" t="s">
        <v>706</v>
      </c>
      <c r="B1356" s="1" t="s">
        <v>55</v>
      </c>
      <c r="C1356" s="1" t="s">
        <v>702</v>
      </c>
      <c r="D1356" s="1" t="s">
        <v>289</v>
      </c>
      <c r="F1356" s="1" t="n">
        <v>22.186397338403</v>
      </c>
      <c r="H1356" s="1" t="s">
        <v>703</v>
      </c>
    </row>
    <row r="1357" customFormat="false" ht="14.25" hidden="false" customHeight="true" outlineLevel="0" collapsed="false">
      <c r="A1357" s="1" t="s">
        <v>706</v>
      </c>
      <c r="B1357" s="1" t="s">
        <v>55</v>
      </c>
      <c r="C1357" s="1" t="s">
        <v>702</v>
      </c>
      <c r="D1357" s="1" t="s">
        <v>293</v>
      </c>
      <c r="E1357" s="1" t="n">
        <v>10</v>
      </c>
      <c r="F1357" s="1" t="n">
        <v>22.186397338403</v>
      </c>
      <c r="G1357" s="1" t="n">
        <v>221.86397338403</v>
      </c>
      <c r="H1357" s="1" t="s">
        <v>696</v>
      </c>
    </row>
    <row r="1358" customFormat="false" ht="14.25" hidden="false" customHeight="true" outlineLevel="0" collapsed="false">
      <c r="A1358" s="1" t="s">
        <v>706</v>
      </c>
      <c r="B1358" s="1" t="s">
        <v>55</v>
      </c>
      <c r="C1358" s="1" t="s">
        <v>702</v>
      </c>
      <c r="D1358" s="1" t="s">
        <v>290</v>
      </c>
      <c r="E1358" s="1" t="n">
        <v>46</v>
      </c>
      <c r="F1358" s="1" t="n">
        <v>22.186397338403</v>
      </c>
      <c r="G1358" s="1" t="n">
        <v>1020.57427756654</v>
      </c>
      <c r="H1358" s="1" t="s">
        <v>696</v>
      </c>
    </row>
    <row r="1359" customFormat="false" ht="14.25" hidden="false" customHeight="true" outlineLevel="0" collapsed="false">
      <c r="A1359" s="1" t="s">
        <v>706</v>
      </c>
      <c r="B1359" s="1" t="s">
        <v>55</v>
      </c>
      <c r="C1359" s="1" t="s">
        <v>702</v>
      </c>
      <c r="D1359" s="1" t="s">
        <v>284</v>
      </c>
      <c r="E1359" s="1" t="n">
        <v>45</v>
      </c>
      <c r="F1359" s="1" t="n">
        <v>22.186397338403</v>
      </c>
      <c r="G1359" s="1" t="n">
        <v>998.387880228135</v>
      </c>
      <c r="H1359" s="1" t="s">
        <v>696</v>
      </c>
    </row>
    <row r="1360" customFormat="false" ht="14.25" hidden="false" customHeight="true" outlineLevel="0" collapsed="false">
      <c r="A1360" s="1" t="s">
        <v>706</v>
      </c>
      <c r="B1360" s="1" t="s">
        <v>55</v>
      </c>
      <c r="C1360" s="1" t="s">
        <v>702</v>
      </c>
      <c r="D1360" s="1" t="s">
        <v>285</v>
      </c>
      <c r="E1360" s="1" t="n">
        <v>17</v>
      </c>
      <c r="F1360" s="1" t="n">
        <v>22.186397338403</v>
      </c>
      <c r="G1360" s="1" t="n">
        <v>377.168754752851</v>
      </c>
      <c r="H1360" s="1" t="s">
        <v>696</v>
      </c>
    </row>
    <row r="1361" customFormat="false" ht="14.25" hidden="false" customHeight="true" outlineLevel="0" collapsed="false">
      <c r="A1361" s="1" t="s">
        <v>706</v>
      </c>
      <c r="B1361" s="1" t="s">
        <v>55</v>
      </c>
      <c r="C1361" s="1" t="s">
        <v>702</v>
      </c>
      <c r="D1361" s="1" t="s">
        <v>282</v>
      </c>
      <c r="E1361" s="1" t="n">
        <v>23</v>
      </c>
      <c r="F1361" s="1" t="n">
        <v>22.186397338403</v>
      </c>
      <c r="G1361" s="1" t="n">
        <v>510.287138783269</v>
      </c>
      <c r="H1361" s="1" t="s">
        <v>696</v>
      </c>
    </row>
    <row r="1362" customFormat="false" ht="14.25" hidden="false" customHeight="true" outlineLevel="0" collapsed="false">
      <c r="A1362" s="1" t="s">
        <v>706</v>
      </c>
      <c r="B1362" s="1" t="s">
        <v>593</v>
      </c>
      <c r="C1362" s="1" t="s">
        <v>594</v>
      </c>
      <c r="D1362" s="1" t="s">
        <v>289</v>
      </c>
      <c r="E1362" s="1" t="n">
        <v>1</v>
      </c>
      <c r="F1362" s="1" t="n">
        <v>238.88</v>
      </c>
      <c r="G1362" s="1" t="n">
        <v>238.88</v>
      </c>
      <c r="H1362" s="1" t="s">
        <v>707</v>
      </c>
    </row>
    <row r="1363" customFormat="false" ht="14.25" hidden="false" customHeight="true" outlineLevel="0" collapsed="false">
      <c r="A1363" s="1" t="s">
        <v>706</v>
      </c>
      <c r="B1363" s="1" t="s">
        <v>593</v>
      </c>
      <c r="C1363" s="1" t="s">
        <v>596</v>
      </c>
      <c r="D1363" s="1" t="s">
        <v>289</v>
      </c>
      <c r="E1363" s="1" t="n">
        <v>1</v>
      </c>
      <c r="F1363" s="1" t="n">
        <v>624.79</v>
      </c>
      <c r="G1363" s="1" t="n">
        <v>624.79</v>
      </c>
      <c r="H1363" s="1" t="s">
        <v>707</v>
      </c>
    </row>
    <row r="1364" customFormat="false" ht="14.25" hidden="false" customHeight="true" outlineLevel="0" collapsed="false">
      <c r="A1364" s="1" t="s">
        <v>706</v>
      </c>
      <c r="B1364" s="1" t="s">
        <v>593</v>
      </c>
      <c r="C1364" s="1" t="s">
        <v>597</v>
      </c>
      <c r="D1364" s="1" t="s">
        <v>289</v>
      </c>
      <c r="E1364" s="1" t="n">
        <v>1</v>
      </c>
      <c r="F1364" s="1" t="n">
        <v>510</v>
      </c>
      <c r="G1364" s="1" t="n">
        <v>510</v>
      </c>
      <c r="H1364" s="1" t="s">
        <v>707</v>
      </c>
    </row>
    <row r="1365" customFormat="false" ht="14.25" hidden="false" customHeight="true" outlineLevel="0" collapsed="false">
      <c r="A1365" s="1" t="s">
        <v>706</v>
      </c>
      <c r="B1365" s="1" t="s">
        <v>593</v>
      </c>
      <c r="C1365" s="1" t="s">
        <v>598</v>
      </c>
      <c r="D1365" s="1" t="s">
        <v>289</v>
      </c>
      <c r="E1365" s="1" t="n">
        <v>1</v>
      </c>
      <c r="F1365" s="1" t="n">
        <v>333.1</v>
      </c>
      <c r="G1365" s="1" t="n">
        <v>333.1</v>
      </c>
      <c r="H1365" s="1" t="s">
        <v>707</v>
      </c>
    </row>
    <row r="1366" customFormat="false" ht="14.25" hidden="false" customHeight="true" outlineLevel="0" collapsed="false">
      <c r="A1366" s="1" t="s">
        <v>706</v>
      </c>
      <c r="B1366" s="1" t="s">
        <v>593</v>
      </c>
      <c r="C1366" s="1" t="s">
        <v>601</v>
      </c>
      <c r="D1366" s="1" t="s">
        <v>289</v>
      </c>
      <c r="E1366" s="1" t="n">
        <v>1</v>
      </c>
      <c r="F1366" s="1" t="n">
        <v>2973.2</v>
      </c>
      <c r="G1366" s="1" t="n">
        <v>2973.2</v>
      </c>
      <c r="H1366" s="1" t="s">
        <v>707</v>
      </c>
    </row>
    <row r="1367" customFormat="false" ht="14.25" hidden="false" customHeight="true" outlineLevel="0" collapsed="false">
      <c r="A1367" s="1" t="s">
        <v>706</v>
      </c>
      <c r="B1367" s="1" t="s">
        <v>593</v>
      </c>
      <c r="C1367" s="1" t="s">
        <v>675</v>
      </c>
      <c r="D1367" s="1" t="s">
        <v>289</v>
      </c>
      <c r="E1367" s="1" t="n">
        <v>1</v>
      </c>
      <c r="F1367" s="1" t="n">
        <v>1833.24</v>
      </c>
      <c r="G1367" s="1" t="n">
        <v>1833.24</v>
      </c>
      <c r="H1367" s="1" t="s">
        <v>707</v>
      </c>
    </row>
    <row r="1368" customFormat="false" ht="14.25" hidden="false" customHeight="true" outlineLevel="0" collapsed="false">
      <c r="A1368" s="1" t="s">
        <v>706</v>
      </c>
      <c r="B1368" s="1" t="s">
        <v>593</v>
      </c>
      <c r="C1368" s="1" t="s">
        <v>602</v>
      </c>
      <c r="D1368" s="1" t="s">
        <v>289</v>
      </c>
      <c r="E1368" s="1" t="n">
        <v>1</v>
      </c>
      <c r="F1368" s="1" t="n">
        <v>7615.46</v>
      </c>
      <c r="G1368" s="1" t="n">
        <v>7615.46</v>
      </c>
      <c r="H1368" s="1" t="s">
        <v>707</v>
      </c>
    </row>
    <row r="1369" customFormat="false" ht="14.25" hidden="false" customHeight="true" outlineLevel="0" collapsed="false">
      <c r="A1369" s="1" t="s">
        <v>644</v>
      </c>
      <c r="B1369" s="1" t="s">
        <v>143</v>
      </c>
      <c r="C1369" s="1" t="s">
        <v>527</v>
      </c>
      <c r="D1369" s="1" t="s">
        <v>275</v>
      </c>
      <c r="E1369" s="1" t="n">
        <v>137756</v>
      </c>
      <c r="F1369" s="1" t="n">
        <v>0.212371943123151</v>
      </c>
      <c r="G1369" s="1" t="n">
        <v>29255.5093968728</v>
      </c>
      <c r="H1369" s="1" t="s">
        <v>451</v>
      </c>
    </row>
    <row r="1370" customFormat="false" ht="14.25" hidden="false" customHeight="true" outlineLevel="0" collapsed="false">
      <c r="A1370" s="1" t="s">
        <v>644</v>
      </c>
      <c r="B1370" s="1" t="s">
        <v>141</v>
      </c>
      <c r="C1370" s="1" t="s">
        <v>528</v>
      </c>
      <c r="D1370" s="1" t="s">
        <v>275</v>
      </c>
      <c r="E1370" s="1" t="n">
        <v>137756</v>
      </c>
      <c r="F1370" s="1" t="n">
        <v>0.0959225828032635</v>
      </c>
      <c r="G1370" s="1" t="n">
        <v>13213.9113166464</v>
      </c>
      <c r="H1370" s="1" t="s">
        <v>451</v>
      </c>
    </row>
    <row r="1371" customFormat="false" ht="14.25" hidden="false" customHeight="true" outlineLevel="0" collapsed="false">
      <c r="A1371" s="1" t="s">
        <v>644</v>
      </c>
      <c r="B1371" s="1" t="s">
        <v>624</v>
      </c>
      <c r="C1371" s="1" t="s">
        <v>625</v>
      </c>
      <c r="D1371" s="1" t="s">
        <v>275</v>
      </c>
      <c r="E1371" s="1" t="n">
        <v>137756</v>
      </c>
      <c r="F1371" s="1" t="n">
        <v>2.35573300476439</v>
      </c>
      <c r="G1371" s="1" t="n">
        <v>324516.355804323</v>
      </c>
      <c r="H1371" s="1" t="s">
        <v>451</v>
      </c>
    </row>
    <row r="1372" customFormat="false" ht="14.25" hidden="false" customHeight="true" outlineLevel="0" collapsed="false">
      <c r="A1372" s="1" t="s">
        <v>654</v>
      </c>
      <c r="B1372" s="1" t="s">
        <v>143</v>
      </c>
      <c r="C1372" s="1" t="s">
        <v>527</v>
      </c>
      <c r="D1372" s="1" t="s">
        <v>275</v>
      </c>
      <c r="E1372" s="1" t="n">
        <v>140857</v>
      </c>
      <c r="F1372" s="1" t="n">
        <v>0.253754640366083</v>
      </c>
      <c r="G1372" s="1" t="n">
        <v>35743.1173780453</v>
      </c>
      <c r="H1372" s="1" t="s">
        <v>451</v>
      </c>
    </row>
    <row r="1373" customFormat="false" ht="14.25" hidden="false" customHeight="true" outlineLevel="0" collapsed="false">
      <c r="A1373" s="1" t="s">
        <v>654</v>
      </c>
      <c r="B1373" s="1" t="s">
        <v>141</v>
      </c>
      <c r="C1373" s="1" t="s">
        <v>528</v>
      </c>
      <c r="D1373" s="1" t="s">
        <v>275</v>
      </c>
      <c r="E1373" s="1" t="n">
        <v>140857</v>
      </c>
      <c r="F1373" s="1" t="n">
        <v>0.105895207936646</v>
      </c>
      <c r="G1373" s="1" t="n">
        <v>14916.0813043321</v>
      </c>
      <c r="H1373" s="1" t="s">
        <v>451</v>
      </c>
    </row>
    <row r="1374" customFormat="false" ht="14.25" hidden="false" customHeight="true" outlineLevel="0" collapsed="false">
      <c r="A1374" s="1" t="s">
        <v>654</v>
      </c>
      <c r="B1374" s="1" t="s">
        <v>624</v>
      </c>
      <c r="C1374" s="1" t="s">
        <v>625</v>
      </c>
      <c r="D1374" s="1" t="s">
        <v>275</v>
      </c>
      <c r="E1374" s="1" t="n">
        <v>140857</v>
      </c>
      <c r="F1374" s="1" t="n">
        <v>2.99991610765306</v>
      </c>
      <c r="G1374" s="1" t="n">
        <v>422559.183175687</v>
      </c>
      <c r="H1374" s="1" t="s">
        <v>451</v>
      </c>
    </row>
    <row r="1375" customFormat="false" ht="14.25" hidden="false" customHeight="true" outlineLevel="0" collapsed="false">
      <c r="A1375" s="1" t="s">
        <v>681</v>
      </c>
      <c r="B1375" s="1" t="s">
        <v>452</v>
      </c>
      <c r="C1375" s="1" t="s">
        <v>86</v>
      </c>
      <c r="D1375" s="1" t="s">
        <v>275</v>
      </c>
      <c r="E1375" s="1" t="n">
        <v>146740</v>
      </c>
      <c r="F1375" s="1" t="n">
        <v>0.23</v>
      </c>
      <c r="G1375" s="1" t="n">
        <v>33750.2</v>
      </c>
      <c r="H1375" s="1" t="s">
        <v>451</v>
      </c>
    </row>
    <row r="1376" customFormat="false" ht="14.25" hidden="false" customHeight="true" outlineLevel="0" collapsed="false">
      <c r="A1376" s="1" t="s">
        <v>681</v>
      </c>
      <c r="B1376" s="1" t="s">
        <v>143</v>
      </c>
      <c r="C1376" s="1" t="s">
        <v>527</v>
      </c>
      <c r="D1376" s="1" t="s">
        <v>275</v>
      </c>
      <c r="E1376" s="1" t="n">
        <v>146740</v>
      </c>
      <c r="F1376" s="1" t="n">
        <v>0.2</v>
      </c>
      <c r="G1376" s="1" t="n">
        <v>29348</v>
      </c>
      <c r="H1376" s="1" t="s">
        <v>451</v>
      </c>
    </row>
    <row r="1377" customFormat="false" ht="14.25" hidden="false" customHeight="true" outlineLevel="0" collapsed="false">
      <c r="A1377" s="1" t="s">
        <v>681</v>
      </c>
      <c r="B1377" s="1" t="s">
        <v>141</v>
      </c>
      <c r="C1377" s="1" t="s">
        <v>528</v>
      </c>
      <c r="D1377" s="1" t="s">
        <v>275</v>
      </c>
      <c r="E1377" s="1" t="n">
        <v>146740</v>
      </c>
      <c r="F1377" s="1" t="n">
        <v>0.101057218436555</v>
      </c>
      <c r="G1377" s="1" t="n">
        <v>14829.1362333801</v>
      </c>
      <c r="H1377" s="1" t="s">
        <v>451</v>
      </c>
    </row>
    <row r="1378" customFormat="false" ht="14.25" hidden="false" customHeight="true" outlineLevel="0" collapsed="false">
      <c r="A1378" s="1" t="s">
        <v>681</v>
      </c>
      <c r="B1378" s="1" t="s">
        <v>624</v>
      </c>
      <c r="C1378" s="1" t="s">
        <v>625</v>
      </c>
      <c r="D1378" s="1" t="s">
        <v>275</v>
      </c>
      <c r="E1378" s="1" t="n">
        <v>146740</v>
      </c>
      <c r="F1378" s="1" t="n">
        <v>3.18253026831306</v>
      </c>
      <c r="G1378" s="1" t="n">
        <v>467004.491572258</v>
      </c>
      <c r="H1378" s="1" t="s">
        <v>451</v>
      </c>
    </row>
    <row r="1379" customFormat="false" ht="14.25" hidden="false" customHeight="true" outlineLevel="0" collapsed="false">
      <c r="A1379" s="1" t="s">
        <v>681</v>
      </c>
      <c r="B1379" s="1" t="s">
        <v>43</v>
      </c>
      <c r="C1379" s="1" t="s">
        <v>43</v>
      </c>
      <c r="D1379" s="1" t="s">
        <v>275</v>
      </c>
      <c r="E1379" s="1" t="n">
        <v>146740</v>
      </c>
      <c r="F1379" s="1" t="n">
        <v>0.138633956355371</v>
      </c>
      <c r="G1379" s="1" t="n">
        <v>20343.1467555871</v>
      </c>
      <c r="H1379" s="1" t="s">
        <v>451</v>
      </c>
    </row>
    <row r="1380" customFormat="false" ht="14.25" hidden="false" customHeight="true" outlineLevel="0" collapsed="false">
      <c r="A1380" s="1" t="s">
        <v>681</v>
      </c>
      <c r="B1380" s="1" t="s">
        <v>81</v>
      </c>
      <c r="C1380" s="1" t="s">
        <v>81</v>
      </c>
      <c r="D1380" s="1" t="s">
        <v>275</v>
      </c>
      <c r="E1380" s="1" t="n">
        <v>146740</v>
      </c>
      <c r="F1380" s="1" t="n">
        <v>0.071167700671494</v>
      </c>
      <c r="G1380" s="1" t="n">
        <v>10443.148396535</v>
      </c>
      <c r="H1380" s="1" t="s">
        <v>451</v>
      </c>
    </row>
    <row r="1381" customFormat="false" ht="14.25" hidden="false" customHeight="true" outlineLevel="0" collapsed="false">
      <c r="A1381" s="1" t="s">
        <v>681</v>
      </c>
      <c r="B1381" s="1" t="s">
        <v>36</v>
      </c>
      <c r="C1381" s="1" t="s">
        <v>36</v>
      </c>
      <c r="D1381" s="1" t="s">
        <v>275</v>
      </c>
      <c r="E1381" s="1" t="n">
        <v>146740</v>
      </c>
      <c r="F1381" s="1" t="n">
        <v>0.373762045947462</v>
      </c>
      <c r="G1381" s="1" t="n">
        <v>54845.8426223306</v>
      </c>
      <c r="H1381" s="1" t="s">
        <v>451</v>
      </c>
    </row>
    <row r="1382" customFormat="false" ht="14.25" hidden="false" customHeight="true" outlineLevel="0" collapsed="false">
      <c r="A1382" s="1" t="s">
        <v>681</v>
      </c>
      <c r="B1382" s="1" t="s">
        <v>83</v>
      </c>
      <c r="C1382" s="1" t="s">
        <v>83</v>
      </c>
      <c r="D1382" s="1" t="s">
        <v>275</v>
      </c>
      <c r="E1382" s="1" t="n">
        <v>146740</v>
      </c>
      <c r="F1382" s="1" t="n">
        <v>0.0793753070856763</v>
      </c>
      <c r="G1382" s="1" t="n">
        <v>11647.5325617521</v>
      </c>
      <c r="H1382" s="1" t="s">
        <v>451</v>
      </c>
    </row>
    <row r="1383" customFormat="false" ht="14.25" hidden="false" customHeight="true" outlineLevel="0" collapsed="false">
      <c r="A1383" s="1" t="s">
        <v>681</v>
      </c>
      <c r="B1383" s="1" t="s">
        <v>708</v>
      </c>
      <c r="C1383" s="1" t="s">
        <v>708</v>
      </c>
      <c r="D1383" s="1" t="s">
        <v>275</v>
      </c>
      <c r="E1383" s="1" t="n">
        <v>146740</v>
      </c>
      <c r="F1383" s="1" t="n">
        <v>0.713317605064246</v>
      </c>
      <c r="G1383" s="1" t="n">
        <v>104672.225367128</v>
      </c>
      <c r="H1383" s="1" t="s">
        <v>451</v>
      </c>
    </row>
    <row r="1384" customFormat="false" ht="14.25" hidden="false" customHeight="true" outlineLevel="0" collapsed="false">
      <c r="A1384" s="1" t="s">
        <v>681</v>
      </c>
      <c r="B1384" s="1" t="s">
        <v>31</v>
      </c>
      <c r="C1384" s="1" t="s">
        <v>31</v>
      </c>
      <c r="D1384" s="1" t="s">
        <v>275</v>
      </c>
      <c r="E1384" s="1" t="n">
        <v>146740</v>
      </c>
      <c r="F1384" s="1" t="n">
        <v>0.371854</v>
      </c>
      <c r="G1384" s="1" t="n">
        <v>54565.85596</v>
      </c>
      <c r="H1384" s="1" t="s">
        <v>451</v>
      </c>
    </row>
    <row r="1385" customFormat="false" ht="14.25" hidden="false" customHeight="true" outlineLevel="0" collapsed="false">
      <c r="A1385" s="1" t="s">
        <v>644</v>
      </c>
      <c r="B1385" s="1" t="s">
        <v>80</v>
      </c>
      <c r="C1385" s="1" t="s">
        <v>80</v>
      </c>
      <c r="D1385" s="1" t="s">
        <v>275</v>
      </c>
      <c r="E1385" s="1" t="n">
        <v>137756</v>
      </c>
      <c r="F1385" s="1" t="n">
        <v>0.154543612417484</v>
      </c>
      <c r="G1385" s="1" t="n">
        <v>21289.3098721829</v>
      </c>
      <c r="H1385" s="1" t="s">
        <v>451</v>
      </c>
    </row>
    <row r="1386" customFormat="false" ht="14.25" hidden="false" customHeight="true" outlineLevel="0" collapsed="false">
      <c r="A1386" s="1" t="s">
        <v>654</v>
      </c>
      <c r="B1386" s="1" t="s">
        <v>80</v>
      </c>
      <c r="C1386" s="1" t="s">
        <v>80</v>
      </c>
      <c r="D1386" s="1" t="s">
        <v>275</v>
      </c>
      <c r="E1386" s="1" t="n">
        <v>140857</v>
      </c>
      <c r="F1386" s="1" t="n">
        <v>0.150676625241861</v>
      </c>
      <c r="G1386" s="1" t="n">
        <v>21223.8574016928</v>
      </c>
      <c r="H1386" s="1" t="s">
        <v>451</v>
      </c>
    </row>
    <row r="1387" customFormat="false" ht="14.25" hidden="false" customHeight="true" outlineLevel="0" collapsed="false">
      <c r="A1387" s="1" t="s">
        <v>681</v>
      </c>
      <c r="B1387" s="1" t="s">
        <v>80</v>
      </c>
      <c r="C1387" s="1" t="s">
        <v>80</v>
      </c>
      <c r="D1387" s="1" t="s">
        <v>275</v>
      </c>
      <c r="E1387" s="1" t="n">
        <v>146740</v>
      </c>
      <c r="F1387" s="1" t="n">
        <v>0.145289779573281</v>
      </c>
      <c r="G1387" s="1" t="n">
        <v>21319.8222545833</v>
      </c>
      <c r="H1387" s="1" t="s">
        <v>451</v>
      </c>
    </row>
    <row r="1388" customFormat="false" ht="14.25" hidden="false" customHeight="true" outlineLevel="0" collapsed="false">
      <c r="A1388" s="1" t="s">
        <v>644</v>
      </c>
      <c r="B1388" s="1" t="s">
        <v>42</v>
      </c>
      <c r="C1388" s="1" t="s">
        <v>42</v>
      </c>
      <c r="D1388" s="1" t="s">
        <v>275</v>
      </c>
      <c r="E1388" s="1" t="n">
        <v>137756</v>
      </c>
      <c r="F1388" s="1" t="n">
        <v>0.145293801710045</v>
      </c>
      <c r="G1388" s="1" t="n">
        <v>20015.092948369</v>
      </c>
      <c r="H1388" s="1" t="s">
        <v>451</v>
      </c>
    </row>
    <row r="1389" customFormat="false" ht="14.25" hidden="false" customHeight="true" outlineLevel="0" collapsed="false">
      <c r="A1389" s="1" t="s">
        <v>654</v>
      </c>
      <c r="B1389" s="1" t="s">
        <v>42</v>
      </c>
      <c r="C1389" s="1" t="s">
        <v>42</v>
      </c>
      <c r="D1389" s="1" t="s">
        <v>275</v>
      </c>
      <c r="E1389" s="1" t="n">
        <v>140857</v>
      </c>
      <c r="F1389" s="1" t="n">
        <v>0.146782423739836</v>
      </c>
      <c r="G1389" s="1" t="n">
        <v>20675.3318607221</v>
      </c>
      <c r="H1389" s="1" t="s">
        <v>451</v>
      </c>
    </row>
    <row r="1390" customFormat="false" ht="14.25" hidden="false" customHeight="true" outlineLevel="0" collapsed="false">
      <c r="A1390" s="1" t="s">
        <v>681</v>
      </c>
      <c r="B1390" s="1" t="s">
        <v>42</v>
      </c>
      <c r="C1390" s="1" t="s">
        <v>42</v>
      </c>
      <c r="D1390" s="1" t="s">
        <v>275</v>
      </c>
      <c r="E1390" s="1" t="n">
        <v>146740</v>
      </c>
      <c r="F1390" s="1" t="n">
        <v>0.136978220673766</v>
      </c>
      <c r="G1390" s="1" t="n">
        <v>20100.1841016684</v>
      </c>
      <c r="H1390" s="1" t="s">
        <v>451</v>
      </c>
    </row>
    <row r="1391" customFormat="false" ht="14.25" hidden="false" customHeight="true" outlineLevel="0" collapsed="false">
      <c r="A1391" s="1" t="s">
        <v>644</v>
      </c>
      <c r="B1391" s="1" t="s">
        <v>34</v>
      </c>
      <c r="C1391" s="1" t="s">
        <v>34</v>
      </c>
      <c r="D1391" s="1" t="s">
        <v>275</v>
      </c>
      <c r="E1391" s="1" t="n">
        <v>137756</v>
      </c>
      <c r="F1391" s="1" t="n">
        <v>0.23174321635211</v>
      </c>
      <c r="G1391" s="1" t="n">
        <v>31924.0185118013</v>
      </c>
      <c r="H1391" s="1" t="s">
        <v>451</v>
      </c>
    </row>
    <row r="1392" customFormat="false" ht="14.25" hidden="false" customHeight="true" outlineLevel="0" collapsed="false">
      <c r="A1392" s="1" t="s">
        <v>654</v>
      </c>
      <c r="B1392" s="1" t="s">
        <v>34</v>
      </c>
      <c r="C1392" s="1" t="s">
        <v>34</v>
      </c>
      <c r="D1392" s="1" t="s">
        <v>275</v>
      </c>
      <c r="E1392" s="1" t="n">
        <v>140857</v>
      </c>
      <c r="F1392" s="1" t="n">
        <v>0.251543736341568</v>
      </c>
      <c r="G1392" s="1" t="n">
        <v>35431.6960698642</v>
      </c>
      <c r="H1392" s="1" t="s">
        <v>451</v>
      </c>
    </row>
    <row r="1393" customFormat="false" ht="14.25" hidden="false" customHeight="true" outlineLevel="0" collapsed="false">
      <c r="A1393" s="1" t="s">
        <v>681</v>
      </c>
      <c r="B1393" s="1" t="s">
        <v>34</v>
      </c>
      <c r="C1393" s="1" t="s">
        <v>34</v>
      </c>
      <c r="D1393" s="1" t="s">
        <v>275</v>
      </c>
      <c r="E1393" s="1" t="n">
        <v>146740</v>
      </c>
      <c r="F1393" s="1" t="n">
        <v>0.229782928031525</v>
      </c>
      <c r="G1393" s="1" t="n">
        <v>33718.346859346</v>
      </c>
      <c r="H1393" s="1" t="s">
        <v>451</v>
      </c>
    </row>
    <row r="1394" customFormat="false" ht="14.25" hidden="false" customHeight="true" outlineLevel="0" collapsed="false">
      <c r="A1394" s="1" t="s">
        <v>644</v>
      </c>
      <c r="B1394" s="1" t="s">
        <v>35</v>
      </c>
      <c r="C1394" s="1" t="s">
        <v>35</v>
      </c>
      <c r="D1394" s="1" t="s">
        <v>275</v>
      </c>
      <c r="E1394" s="1" t="n">
        <v>137756</v>
      </c>
      <c r="F1394" s="1" t="n">
        <v>0.0855440852571775</v>
      </c>
      <c r="G1394" s="1" t="n">
        <v>11784.2110086877</v>
      </c>
      <c r="H1394" s="1" t="s">
        <v>451</v>
      </c>
    </row>
    <row r="1395" customFormat="false" ht="14.25" hidden="false" customHeight="true" outlineLevel="0" collapsed="false">
      <c r="A1395" s="1" t="s">
        <v>654</v>
      </c>
      <c r="B1395" s="1" t="s">
        <v>35</v>
      </c>
      <c r="C1395" s="1" t="s">
        <v>35</v>
      </c>
      <c r="D1395" s="1" t="s">
        <v>275</v>
      </c>
      <c r="E1395" s="1" t="n">
        <v>140857</v>
      </c>
      <c r="F1395" s="1" t="n">
        <v>0.0861250796795369</v>
      </c>
      <c r="G1395" s="1" t="n">
        <v>12131.3203484205</v>
      </c>
      <c r="H1395" s="1" t="s">
        <v>451</v>
      </c>
    </row>
    <row r="1396" customFormat="false" ht="14.25" hidden="false" customHeight="true" outlineLevel="0" collapsed="false">
      <c r="A1396" s="1" t="s">
        <v>681</v>
      </c>
      <c r="B1396" s="1" t="s">
        <v>35</v>
      </c>
      <c r="C1396" s="1" t="s">
        <v>35</v>
      </c>
      <c r="D1396" s="1" t="s">
        <v>275</v>
      </c>
      <c r="E1396" s="1" t="n">
        <v>146740</v>
      </c>
      <c r="F1396" s="1" t="n">
        <v>0.055610036180276</v>
      </c>
      <c r="G1396" s="1" t="n">
        <v>8160.2167090937</v>
      </c>
      <c r="H1396" s="1" t="s">
        <v>451</v>
      </c>
    </row>
    <row r="1397" customFormat="false" ht="14.25" hidden="false" customHeight="true" outlineLevel="0" collapsed="false">
      <c r="A1397" s="1" t="s">
        <v>644</v>
      </c>
      <c r="B1397" s="1" t="s">
        <v>40</v>
      </c>
      <c r="C1397" s="1" t="s">
        <v>40</v>
      </c>
      <c r="D1397" s="1" t="s">
        <v>275</v>
      </c>
      <c r="E1397" s="1" t="n">
        <v>137756</v>
      </c>
      <c r="F1397" s="1" t="n">
        <v>0.142966123730576</v>
      </c>
      <c r="G1397" s="1" t="n">
        <v>19694.4413406292</v>
      </c>
      <c r="H1397" s="1" t="s">
        <v>451</v>
      </c>
    </row>
    <row r="1398" customFormat="false" ht="14.25" hidden="false" customHeight="true" outlineLevel="0" collapsed="false">
      <c r="A1398" s="1" t="s">
        <v>654</v>
      </c>
      <c r="B1398" s="1" t="s">
        <v>40</v>
      </c>
      <c r="C1398" s="1" t="s">
        <v>40</v>
      </c>
      <c r="D1398" s="1" t="s">
        <v>275</v>
      </c>
      <c r="E1398" s="1" t="n">
        <v>140857</v>
      </c>
      <c r="F1398" s="1" t="n">
        <v>0.193641774947009</v>
      </c>
      <c r="G1398" s="1" t="n">
        <v>27275.7994937108</v>
      </c>
      <c r="H1398" s="1" t="s">
        <v>451</v>
      </c>
    </row>
    <row r="1399" customFormat="false" ht="14.25" hidden="false" customHeight="true" outlineLevel="0" collapsed="false">
      <c r="A1399" s="1" t="s">
        <v>681</v>
      </c>
      <c r="B1399" s="1" t="s">
        <v>40</v>
      </c>
      <c r="C1399" s="1" t="s">
        <v>40</v>
      </c>
      <c r="D1399" s="1" t="s">
        <v>275</v>
      </c>
      <c r="E1399" s="1" t="n">
        <v>146740</v>
      </c>
      <c r="F1399" s="1" t="n">
        <v>0.182358458491943</v>
      </c>
      <c r="G1399" s="1" t="n">
        <v>26759.2801991077</v>
      </c>
      <c r="H1399" s="1" t="s">
        <v>451</v>
      </c>
    </row>
    <row r="1400" customFormat="false" ht="14.25" hidden="false" customHeight="true" outlineLevel="0" collapsed="false">
      <c r="A1400" s="1" t="s">
        <v>644</v>
      </c>
      <c r="B1400" s="1" t="s">
        <v>87</v>
      </c>
      <c r="C1400" s="1" t="s">
        <v>700</v>
      </c>
      <c r="D1400" s="1" t="s">
        <v>275</v>
      </c>
      <c r="E1400" s="1" t="n">
        <v>137756</v>
      </c>
      <c r="F1400" s="1" t="n">
        <v>0.148830177998923</v>
      </c>
      <c r="G1400" s="1" t="n">
        <v>20502.2500004196</v>
      </c>
      <c r="H1400" s="1" t="s">
        <v>451</v>
      </c>
    </row>
    <row r="1401" customFormat="false" ht="14.25" hidden="false" customHeight="true" outlineLevel="0" collapsed="false">
      <c r="A1401" s="1" t="s">
        <v>654</v>
      </c>
      <c r="B1401" s="1" t="s">
        <v>87</v>
      </c>
      <c r="C1401" s="1" t="s">
        <v>700</v>
      </c>
      <c r="D1401" s="1" t="s">
        <v>275</v>
      </c>
      <c r="E1401" s="1" t="n">
        <v>140857</v>
      </c>
      <c r="F1401" s="1" t="n">
        <v>0.165505113968682</v>
      </c>
      <c r="G1401" s="1" t="n">
        <v>23312.5538382866</v>
      </c>
      <c r="H1401" s="1" t="s">
        <v>451</v>
      </c>
    </row>
    <row r="1402" customFormat="false" ht="14.25" hidden="false" customHeight="true" outlineLevel="0" collapsed="false">
      <c r="A1402" s="1" t="s">
        <v>681</v>
      </c>
      <c r="B1402" s="1" t="s">
        <v>87</v>
      </c>
      <c r="C1402" s="1" t="s">
        <v>700</v>
      </c>
      <c r="D1402" s="1" t="s">
        <v>275</v>
      </c>
      <c r="E1402" s="1" t="n">
        <v>146740</v>
      </c>
      <c r="F1402" s="1" t="n">
        <v>0.170974700825347</v>
      </c>
      <c r="G1402" s="1" t="n">
        <v>25088.8275991114</v>
      </c>
      <c r="H1402" s="1" t="s">
        <v>451</v>
      </c>
    </row>
    <row r="1403" customFormat="false" ht="14.25" hidden="false" customHeight="true" outlineLevel="0" collapsed="false">
      <c r="A1403" s="1" t="s">
        <v>644</v>
      </c>
      <c r="B1403" s="1" t="s">
        <v>85</v>
      </c>
      <c r="C1403" s="1" t="s">
        <v>701</v>
      </c>
      <c r="D1403" s="1" t="s">
        <v>275</v>
      </c>
      <c r="E1403" s="1" t="n">
        <v>137756</v>
      </c>
      <c r="F1403" s="1" t="n">
        <v>0.319464004034977</v>
      </c>
      <c r="G1403" s="1" t="n">
        <v>44008.0833398423</v>
      </c>
      <c r="H1403" s="1" t="s">
        <v>451</v>
      </c>
    </row>
    <row r="1404" customFormat="false" ht="14.25" hidden="false" customHeight="true" outlineLevel="0" collapsed="false">
      <c r="A1404" s="1" t="s">
        <v>654</v>
      </c>
      <c r="B1404" s="1" t="s">
        <v>85</v>
      </c>
      <c r="C1404" s="1" t="s">
        <v>701</v>
      </c>
      <c r="D1404" s="1" t="s">
        <v>275</v>
      </c>
      <c r="E1404" s="1" t="n">
        <v>140857</v>
      </c>
      <c r="F1404" s="1" t="n">
        <v>0.293099708996474</v>
      </c>
      <c r="G1404" s="1" t="n">
        <v>41285.1457101163</v>
      </c>
      <c r="H1404" s="1" t="s">
        <v>451</v>
      </c>
    </row>
    <row r="1405" customFormat="false" ht="14.25" hidden="false" customHeight="true" outlineLevel="0" collapsed="false">
      <c r="A1405" s="1" t="s">
        <v>681</v>
      </c>
      <c r="B1405" s="1" t="s">
        <v>85</v>
      </c>
      <c r="C1405" s="1" t="s">
        <v>701</v>
      </c>
      <c r="D1405" s="1" t="s">
        <v>275</v>
      </c>
      <c r="E1405" s="1" t="n">
        <v>146740</v>
      </c>
      <c r="F1405" s="1" t="n">
        <v>0.299382438917867</v>
      </c>
      <c r="G1405" s="1" t="n">
        <v>43931.3790868078</v>
      </c>
      <c r="H1405" s="1" t="s">
        <v>451</v>
      </c>
    </row>
    <row r="1406" customFormat="false" ht="14.25" hidden="false" customHeight="true" outlineLevel="0" collapsed="false">
      <c r="A1406" s="1" t="s">
        <v>644</v>
      </c>
      <c r="B1406" s="1" t="s">
        <v>50</v>
      </c>
      <c r="C1406" s="1" t="s">
        <v>50</v>
      </c>
      <c r="D1406" s="1" t="s">
        <v>275</v>
      </c>
      <c r="E1406" s="1" t="n">
        <v>137756</v>
      </c>
      <c r="F1406" s="1" t="n">
        <v>0.305046267385157</v>
      </c>
      <c r="G1406" s="1" t="n">
        <v>42021.9536099097</v>
      </c>
      <c r="H1406" s="1" t="s">
        <v>451</v>
      </c>
    </row>
    <row r="1407" customFormat="false" ht="14.25" hidden="false" customHeight="true" outlineLevel="0" collapsed="false">
      <c r="A1407" s="1" t="s">
        <v>654</v>
      </c>
      <c r="B1407" s="1" t="s">
        <v>50</v>
      </c>
      <c r="C1407" s="1" t="s">
        <v>50</v>
      </c>
      <c r="D1407" s="1" t="s">
        <v>275</v>
      </c>
      <c r="E1407" s="1" t="n">
        <v>140857</v>
      </c>
      <c r="F1407" s="1" t="n">
        <v>0.340289469983525</v>
      </c>
      <c r="G1407" s="1" t="n">
        <v>47932.1538734694</v>
      </c>
      <c r="H1407" s="1" t="s">
        <v>451</v>
      </c>
    </row>
    <row r="1408" customFormat="false" ht="14.25" hidden="false" customHeight="true" outlineLevel="0" collapsed="false">
      <c r="A1408" s="1" t="s">
        <v>681</v>
      </c>
      <c r="B1408" s="1" t="s">
        <v>50</v>
      </c>
      <c r="C1408" s="1" t="s">
        <v>50</v>
      </c>
      <c r="D1408" s="1" t="s">
        <v>275</v>
      </c>
      <c r="E1408" s="1" t="n">
        <v>146740</v>
      </c>
      <c r="F1408" s="1" t="n">
        <v>0.581586901648213</v>
      </c>
      <c r="G1408" s="1" t="n">
        <v>85342.0619478588</v>
      </c>
      <c r="H1408" s="1" t="s">
        <v>451</v>
      </c>
    </row>
    <row r="1409" customFormat="false" ht="14.25" hidden="false" customHeight="true" outlineLevel="0" collapsed="false">
      <c r="A1409" s="1" t="s">
        <v>644</v>
      </c>
      <c r="B1409" s="1" t="s">
        <v>45</v>
      </c>
      <c r="C1409" s="1" t="s">
        <v>709</v>
      </c>
      <c r="D1409" s="1" t="s">
        <v>275</v>
      </c>
      <c r="E1409" s="1" t="n">
        <v>137756</v>
      </c>
      <c r="F1409" s="1" t="n">
        <v>0.378228421498273</v>
      </c>
      <c r="G1409" s="1" t="n">
        <v>52103.2344319161</v>
      </c>
      <c r="H1409" s="1" t="s">
        <v>710</v>
      </c>
    </row>
    <row r="1410" customFormat="false" ht="14.25" hidden="false" customHeight="true" outlineLevel="0" collapsed="false">
      <c r="A1410" s="1" t="s">
        <v>654</v>
      </c>
      <c r="B1410" s="1" t="s">
        <v>45</v>
      </c>
      <c r="C1410" s="1" t="s">
        <v>709</v>
      </c>
      <c r="D1410" s="1" t="s">
        <v>275</v>
      </c>
      <c r="E1410" s="1" t="n">
        <v>140857</v>
      </c>
      <c r="F1410" s="1" t="n">
        <v>0.377040492601736</v>
      </c>
      <c r="G1410" s="1" t="n">
        <v>53108.7926664027</v>
      </c>
      <c r="H1410" s="1" t="s">
        <v>710</v>
      </c>
    </row>
    <row r="1411" customFormat="false" ht="14.25" hidden="false" customHeight="true" outlineLevel="0" collapsed="false">
      <c r="A1411" s="1" t="s">
        <v>681</v>
      </c>
      <c r="B1411" s="1" t="s">
        <v>45</v>
      </c>
      <c r="C1411" s="1" t="s">
        <v>709</v>
      </c>
      <c r="D1411" s="1" t="s">
        <v>275</v>
      </c>
      <c r="E1411" s="1" t="n">
        <v>146740</v>
      </c>
      <c r="F1411" s="1" t="n">
        <v>0.444492255237207</v>
      </c>
      <c r="G1411" s="1" t="n">
        <v>65224.7935335077</v>
      </c>
      <c r="H1411" s="1" t="s">
        <v>710</v>
      </c>
    </row>
    <row r="1412" customFormat="false" ht="14.25" hidden="false" customHeight="true" outlineLevel="0" collapsed="false">
      <c r="A1412" s="1" t="s">
        <v>644</v>
      </c>
      <c r="B1412" s="1" t="s">
        <v>41</v>
      </c>
      <c r="C1412" s="1" t="s">
        <v>41</v>
      </c>
      <c r="D1412" s="1" t="s">
        <v>275</v>
      </c>
      <c r="E1412" s="1" t="n">
        <v>137756</v>
      </c>
      <c r="F1412" s="1" t="n">
        <v>0.0950854396452147</v>
      </c>
      <c r="G1412" s="1" t="n">
        <v>13098.5898237662</v>
      </c>
      <c r="H1412" s="1" t="s">
        <v>451</v>
      </c>
    </row>
    <row r="1413" customFormat="false" ht="14.25" hidden="false" customHeight="true" outlineLevel="0" collapsed="false">
      <c r="A1413" s="1" t="s">
        <v>654</v>
      </c>
      <c r="B1413" s="1" t="s">
        <v>41</v>
      </c>
      <c r="C1413" s="1" t="s">
        <v>41</v>
      </c>
      <c r="D1413" s="1" t="s">
        <v>275</v>
      </c>
      <c r="E1413" s="1" t="n">
        <v>140857</v>
      </c>
      <c r="F1413" s="1" t="n">
        <v>0.0926479707456773</v>
      </c>
      <c r="G1413" s="1" t="n">
        <v>13050.1152153239</v>
      </c>
      <c r="H1413" s="1" t="s">
        <v>451</v>
      </c>
    </row>
    <row r="1414" customFormat="false" ht="14.25" hidden="false" customHeight="true" outlineLevel="0" collapsed="false">
      <c r="A1414" s="1" t="s">
        <v>681</v>
      </c>
      <c r="B1414" s="1" t="s">
        <v>41</v>
      </c>
      <c r="C1414" s="1" t="s">
        <v>41</v>
      </c>
      <c r="D1414" s="1" t="s">
        <v>275</v>
      </c>
      <c r="E1414" s="1" t="n">
        <v>146740</v>
      </c>
      <c r="F1414" s="1" t="n">
        <v>0.0997407208857964</v>
      </c>
      <c r="G1414" s="1" t="n">
        <v>14635.9533827818</v>
      </c>
      <c r="H1414" s="1" t="s">
        <v>451</v>
      </c>
    </row>
    <row r="1415" customFormat="false" ht="14.25" hidden="false" customHeight="true" outlineLevel="0" collapsed="false">
      <c r="A1415" s="1" t="s">
        <v>706</v>
      </c>
      <c r="B1415" s="1" t="s">
        <v>43</v>
      </c>
      <c r="C1415" s="1" t="s">
        <v>43</v>
      </c>
      <c r="D1415" s="1" t="s">
        <v>275</v>
      </c>
      <c r="E1415" s="1" t="n">
        <v>142395</v>
      </c>
      <c r="F1415" s="1" t="n">
        <v>0.128580108535781</v>
      </c>
      <c r="G1415" s="1" t="n">
        <v>18309.1645549525</v>
      </c>
      <c r="H1415" s="1" t="s">
        <v>451</v>
      </c>
    </row>
    <row r="1416" customFormat="false" ht="14.25" hidden="false" customHeight="true" outlineLevel="0" collapsed="false">
      <c r="A1416" s="1" t="s">
        <v>706</v>
      </c>
      <c r="B1416" s="1" t="s">
        <v>31</v>
      </c>
      <c r="C1416" s="1" t="s">
        <v>31</v>
      </c>
      <c r="D1416" s="1" t="s">
        <v>275</v>
      </c>
      <c r="E1416" s="1" t="n">
        <v>142395</v>
      </c>
      <c r="F1416" s="1" t="n">
        <v>0.217040117664959</v>
      </c>
      <c r="G1416" s="1" t="n">
        <v>30905.4275549018</v>
      </c>
      <c r="H1416" s="1" t="s">
        <v>451</v>
      </c>
    </row>
    <row r="1417" customFormat="false" ht="14.25" hidden="false" customHeight="true" outlineLevel="0" collapsed="false">
      <c r="A1417" s="1" t="s">
        <v>706</v>
      </c>
      <c r="B1417" s="1" t="s">
        <v>452</v>
      </c>
      <c r="C1417" s="1" t="s">
        <v>86</v>
      </c>
      <c r="D1417" s="1" t="s">
        <v>275</v>
      </c>
      <c r="E1417" s="1" t="n">
        <v>142395</v>
      </c>
      <c r="F1417" s="1" t="n">
        <v>0.221064512856926</v>
      </c>
      <c r="G1417" s="1" t="n">
        <v>31478.481308262</v>
      </c>
      <c r="H1417" s="1" t="s">
        <v>451</v>
      </c>
    </row>
    <row r="1418" customFormat="false" ht="14.25" hidden="false" customHeight="true" outlineLevel="0" collapsed="false">
      <c r="A1418" s="1" t="s">
        <v>706</v>
      </c>
      <c r="B1418" s="1" t="s">
        <v>81</v>
      </c>
      <c r="C1418" s="1" t="s">
        <v>81</v>
      </c>
      <c r="D1418" s="1" t="s">
        <v>275</v>
      </c>
      <c r="E1418" s="1" t="n">
        <v>142395</v>
      </c>
      <c r="F1418" s="1" t="n">
        <v>0.0738670690267282</v>
      </c>
      <c r="G1418" s="1" t="n">
        <v>10518.301294061</v>
      </c>
      <c r="H1418" s="1" t="s">
        <v>451</v>
      </c>
    </row>
    <row r="1419" customFormat="false" ht="14.25" hidden="false" customHeight="true" outlineLevel="0" collapsed="false">
      <c r="A1419" s="1" t="s">
        <v>706</v>
      </c>
      <c r="B1419" s="1" t="s">
        <v>85</v>
      </c>
      <c r="C1419" s="1" t="s">
        <v>701</v>
      </c>
      <c r="D1419" s="1" t="s">
        <v>275</v>
      </c>
      <c r="E1419" s="1" t="n">
        <v>142395</v>
      </c>
      <c r="F1419" s="1" t="n">
        <v>0.327862047978901</v>
      </c>
      <c r="G1419" s="1" t="n">
        <v>46685.9163219556</v>
      </c>
      <c r="H1419" s="1" t="s">
        <v>451</v>
      </c>
    </row>
    <row r="1420" customFormat="false" ht="14.25" hidden="false" customHeight="true" outlineLevel="0" collapsed="false">
      <c r="A1420" s="1" t="s">
        <v>706</v>
      </c>
      <c r="B1420" s="1" t="s">
        <v>87</v>
      </c>
      <c r="C1420" s="1" t="s">
        <v>700</v>
      </c>
      <c r="D1420" s="1" t="s">
        <v>275</v>
      </c>
      <c r="E1420" s="1" t="n">
        <v>142395</v>
      </c>
      <c r="F1420" s="1" t="n">
        <v>0.181988487092357</v>
      </c>
      <c r="G1420" s="1" t="n">
        <v>25914.2506195162</v>
      </c>
      <c r="H1420" s="1" t="s">
        <v>451</v>
      </c>
    </row>
    <row r="1421" customFormat="false" ht="14.25" hidden="false" customHeight="true" outlineLevel="0" collapsed="false">
      <c r="A1421" s="1" t="s">
        <v>706</v>
      </c>
      <c r="B1421" s="1" t="s">
        <v>35</v>
      </c>
      <c r="C1421" s="1" t="s">
        <v>35</v>
      </c>
      <c r="D1421" s="1" t="s">
        <v>275</v>
      </c>
      <c r="E1421" s="1" t="n">
        <v>142395</v>
      </c>
      <c r="F1421" s="1" t="n">
        <v>0.116105036263123</v>
      </c>
      <c r="G1421" s="1" t="n">
        <v>16532.7766386874</v>
      </c>
      <c r="H1421" s="1" t="s">
        <v>451</v>
      </c>
    </row>
    <row r="1422" customFormat="false" ht="14.25" hidden="false" customHeight="true" outlineLevel="0" collapsed="false">
      <c r="A1422" s="1" t="s">
        <v>706</v>
      </c>
      <c r="B1422" s="1" t="s">
        <v>143</v>
      </c>
      <c r="C1422" s="1" t="s">
        <v>527</v>
      </c>
      <c r="D1422" s="1" t="s">
        <v>275</v>
      </c>
      <c r="E1422" s="1" t="n">
        <v>142395</v>
      </c>
      <c r="F1422" s="1" t="n">
        <v>0.237713191662018</v>
      </c>
      <c r="G1422" s="1" t="n">
        <v>33849.1699267131</v>
      </c>
      <c r="H1422" s="1" t="s">
        <v>451</v>
      </c>
    </row>
    <row r="1423" customFormat="false" ht="14.25" hidden="false" customHeight="true" outlineLevel="0" collapsed="false">
      <c r="A1423" s="1" t="s">
        <v>706</v>
      </c>
      <c r="B1423" s="1" t="s">
        <v>40</v>
      </c>
      <c r="C1423" s="1" t="s">
        <v>40</v>
      </c>
      <c r="D1423" s="1" t="s">
        <v>275</v>
      </c>
      <c r="E1423" s="1" t="n">
        <v>142395</v>
      </c>
      <c r="F1423" s="1" t="n">
        <v>0.200781102601816</v>
      </c>
      <c r="G1423" s="1" t="n">
        <v>28590.2251049856</v>
      </c>
      <c r="H1423" s="1" t="s">
        <v>451</v>
      </c>
    </row>
    <row r="1424" customFormat="false" ht="14.25" hidden="false" customHeight="true" outlineLevel="0" collapsed="false">
      <c r="A1424" s="1" t="s">
        <v>706</v>
      </c>
      <c r="B1424" s="1" t="s">
        <v>41</v>
      </c>
      <c r="C1424" s="1" t="s">
        <v>41</v>
      </c>
      <c r="D1424" s="1" t="s">
        <v>275</v>
      </c>
      <c r="E1424" s="1" t="n">
        <v>142395</v>
      </c>
      <c r="F1424" s="1" t="n">
        <v>0.0915833037480347</v>
      </c>
      <c r="G1424" s="1" t="n">
        <v>13041.0045372014</v>
      </c>
      <c r="H1424" s="1" t="s">
        <v>451</v>
      </c>
    </row>
    <row r="1425" customFormat="false" ht="14.25" hidden="false" customHeight="true" outlineLevel="0" collapsed="false">
      <c r="A1425" s="1" t="s">
        <v>706</v>
      </c>
      <c r="B1425" s="1" t="s">
        <v>141</v>
      </c>
      <c r="C1425" s="1" t="s">
        <v>528</v>
      </c>
      <c r="D1425" s="1" t="s">
        <v>275</v>
      </c>
      <c r="E1425" s="1" t="n">
        <v>142395</v>
      </c>
      <c r="F1425" s="1" t="n">
        <v>0.124952629710402</v>
      </c>
      <c r="G1425" s="1" t="n">
        <v>17792.6297076127</v>
      </c>
      <c r="H1425" s="1" t="s">
        <v>451</v>
      </c>
    </row>
    <row r="1426" customFormat="false" ht="14.25" hidden="false" customHeight="true" outlineLevel="0" collapsed="false">
      <c r="A1426" s="1" t="s">
        <v>706</v>
      </c>
      <c r="B1426" s="1" t="s">
        <v>80</v>
      </c>
      <c r="C1426" s="1" t="s">
        <v>80</v>
      </c>
      <c r="D1426" s="1" t="s">
        <v>275</v>
      </c>
      <c r="E1426" s="1" t="n">
        <v>142395</v>
      </c>
      <c r="F1426" s="1" t="n">
        <v>0.0571887711112238</v>
      </c>
      <c r="G1426" s="1" t="n">
        <v>8143.3950623827</v>
      </c>
      <c r="H1426" s="1" t="s">
        <v>451</v>
      </c>
    </row>
    <row r="1427" customFormat="false" ht="14.25" hidden="false" customHeight="true" outlineLevel="0" collapsed="false">
      <c r="A1427" s="1" t="s">
        <v>706</v>
      </c>
      <c r="B1427" s="1" t="s">
        <v>42</v>
      </c>
      <c r="C1427" s="1" t="s">
        <v>42</v>
      </c>
      <c r="D1427" s="1" t="s">
        <v>275</v>
      </c>
      <c r="E1427" s="1" t="n">
        <v>142395</v>
      </c>
      <c r="F1427" s="1" t="n">
        <v>0.144806613582188</v>
      </c>
      <c r="G1427" s="1" t="n">
        <v>20619.7377410357</v>
      </c>
      <c r="H1427" s="1" t="s">
        <v>451</v>
      </c>
    </row>
    <row r="1428" customFormat="false" ht="14.25" hidden="false" customHeight="true" outlineLevel="0" collapsed="false">
      <c r="A1428" s="1" t="s">
        <v>706</v>
      </c>
      <c r="B1428" s="1" t="s">
        <v>50</v>
      </c>
      <c r="C1428" s="1" t="s">
        <v>50</v>
      </c>
      <c r="D1428" s="1" t="s">
        <v>275</v>
      </c>
      <c r="E1428" s="1" t="n">
        <v>142395</v>
      </c>
      <c r="F1428" s="1" t="n">
        <v>0.498846680529492</v>
      </c>
      <c r="G1428" s="1" t="n">
        <v>71033.273073997</v>
      </c>
      <c r="H1428" s="1" t="s">
        <v>451</v>
      </c>
    </row>
    <row r="1429" customFormat="false" ht="14.25" hidden="false" customHeight="true" outlineLevel="0" collapsed="false">
      <c r="A1429" s="1" t="s">
        <v>706</v>
      </c>
      <c r="B1429" s="1" t="s">
        <v>36</v>
      </c>
      <c r="C1429" s="1" t="s">
        <v>36</v>
      </c>
      <c r="D1429" s="1" t="s">
        <v>275</v>
      </c>
      <c r="E1429" s="1" t="n">
        <v>142395</v>
      </c>
      <c r="F1429" s="1" t="n">
        <v>0.173736673936197</v>
      </c>
      <c r="G1429" s="1" t="n">
        <v>24739.2336851448</v>
      </c>
      <c r="H1429" s="1" t="s">
        <v>451</v>
      </c>
    </row>
    <row r="1430" customFormat="false" ht="14.25" hidden="false" customHeight="true" outlineLevel="0" collapsed="false">
      <c r="A1430" s="1" t="s">
        <v>706</v>
      </c>
      <c r="B1430" s="1" t="s">
        <v>34</v>
      </c>
      <c r="C1430" s="1" t="s">
        <v>34</v>
      </c>
      <c r="D1430" s="1" t="s">
        <v>275</v>
      </c>
      <c r="E1430" s="1" t="n">
        <v>142395</v>
      </c>
      <c r="F1430" s="1" t="n">
        <v>0.322960034488005</v>
      </c>
      <c r="G1430" s="1" t="n">
        <v>45987.8941109195</v>
      </c>
      <c r="H1430" s="1" t="s">
        <v>451</v>
      </c>
    </row>
    <row r="1431" customFormat="false" ht="14.25" hidden="false" customHeight="true" outlineLevel="0" collapsed="false">
      <c r="A1431" s="1" t="s">
        <v>706</v>
      </c>
      <c r="B1431" s="1" t="s">
        <v>83</v>
      </c>
      <c r="C1431" s="1" t="s">
        <v>83</v>
      </c>
      <c r="D1431" s="1" t="s">
        <v>275</v>
      </c>
      <c r="E1431" s="1" t="n">
        <v>142395</v>
      </c>
      <c r="F1431" s="1" t="n">
        <v>0.0794262311710707</v>
      </c>
      <c r="G1431" s="1" t="n">
        <v>11309.8981876046</v>
      </c>
      <c r="H1431" s="1" t="s">
        <v>451</v>
      </c>
    </row>
    <row r="1432" customFormat="false" ht="14.25" hidden="false" customHeight="true" outlineLevel="0" collapsed="false">
      <c r="A1432" s="1" t="s">
        <v>706</v>
      </c>
      <c r="B1432" s="1" t="s">
        <v>708</v>
      </c>
      <c r="C1432" s="1" t="s">
        <v>708</v>
      </c>
      <c r="D1432" s="1" t="s">
        <v>275</v>
      </c>
      <c r="E1432" s="1" t="n">
        <v>142395</v>
      </c>
      <c r="F1432" s="1" t="n">
        <v>0.539850636506568</v>
      </c>
      <c r="G1432" s="1" t="n">
        <v>76872.0313853527</v>
      </c>
      <c r="H1432" s="1" t="s">
        <v>451</v>
      </c>
    </row>
    <row r="1433" customFormat="false" ht="14.25" hidden="false" customHeight="true" outlineLevel="0" collapsed="false">
      <c r="A1433" s="1" t="s">
        <v>706</v>
      </c>
      <c r="B1433" s="1" t="s">
        <v>45</v>
      </c>
      <c r="C1433" s="1" t="s">
        <v>709</v>
      </c>
      <c r="D1433" s="1" t="s">
        <v>275</v>
      </c>
      <c r="E1433" s="1" t="n">
        <v>142395</v>
      </c>
      <c r="F1433" s="1" t="n">
        <v>0.338743977278491</v>
      </c>
      <c r="G1433" s="1" t="n">
        <v>48235.4486445707</v>
      </c>
      <c r="H1433" s="1" t="s">
        <v>710</v>
      </c>
    </row>
    <row r="1434" customFormat="false" ht="14.25" hidden="false" customHeight="true" outlineLevel="0" collapsed="false">
      <c r="A1434" s="1" t="s">
        <v>706</v>
      </c>
      <c r="B1434" s="1" t="s">
        <v>55</v>
      </c>
      <c r="C1434" s="1" t="s">
        <v>704</v>
      </c>
      <c r="D1434" s="1" t="s">
        <v>287</v>
      </c>
      <c r="E1434" s="1" t="n">
        <v>1</v>
      </c>
      <c r="F1434" s="1" t="n">
        <v>35896.54</v>
      </c>
      <c r="G1434" s="1" t="n">
        <v>35896.54</v>
      </c>
      <c r="H1434" s="1" t="s">
        <v>711</v>
      </c>
    </row>
    <row r="1435" customFormat="false" ht="14.25" hidden="false" customHeight="true" outlineLevel="0" collapsed="false">
      <c r="A1435" s="1" t="s">
        <v>706</v>
      </c>
      <c r="B1435" s="1" t="s">
        <v>55</v>
      </c>
      <c r="C1435" s="1" t="s">
        <v>704</v>
      </c>
      <c r="D1435" s="1" t="s">
        <v>293</v>
      </c>
      <c r="E1435" s="1" t="n">
        <v>1</v>
      </c>
      <c r="F1435" s="1" t="n">
        <v>21063.91</v>
      </c>
      <c r="G1435" s="1" t="n">
        <v>21063.91</v>
      </c>
      <c r="H1435" s="1" t="s">
        <v>711</v>
      </c>
    </row>
    <row r="1436" customFormat="false" ht="14.25" hidden="false" customHeight="true" outlineLevel="0" collapsed="false">
      <c r="A1436" s="1" t="s">
        <v>706</v>
      </c>
      <c r="B1436" s="1" t="s">
        <v>55</v>
      </c>
      <c r="C1436" s="1" t="s">
        <v>704</v>
      </c>
      <c r="D1436" s="1" t="s">
        <v>290</v>
      </c>
      <c r="E1436" s="1" t="n">
        <v>1</v>
      </c>
      <c r="F1436" s="1" t="n">
        <v>39812</v>
      </c>
      <c r="G1436" s="1" t="n">
        <v>39812</v>
      </c>
      <c r="H1436" s="1" t="s">
        <v>711</v>
      </c>
    </row>
    <row r="1437" customFormat="false" ht="14.25" hidden="false" customHeight="true" outlineLevel="0" collapsed="false">
      <c r="A1437" s="1" t="s">
        <v>706</v>
      </c>
      <c r="B1437" s="1" t="s">
        <v>55</v>
      </c>
      <c r="C1437" s="1" t="s">
        <v>704</v>
      </c>
      <c r="D1437" s="1" t="s">
        <v>284</v>
      </c>
      <c r="E1437" s="1" t="n">
        <v>1</v>
      </c>
      <c r="F1437" s="1" t="n">
        <v>86092.65</v>
      </c>
      <c r="G1437" s="1" t="n">
        <v>86092.65</v>
      </c>
      <c r="H1437" s="1" t="s">
        <v>711</v>
      </c>
    </row>
    <row r="1438" customFormat="false" ht="14.25" hidden="false" customHeight="true" outlineLevel="0" collapsed="false">
      <c r="A1438" s="1" t="s">
        <v>706</v>
      </c>
      <c r="B1438" s="1" t="s">
        <v>55</v>
      </c>
      <c r="C1438" s="1" t="s">
        <v>704</v>
      </c>
      <c r="D1438" s="1" t="s">
        <v>285</v>
      </c>
      <c r="E1438" s="1" t="n">
        <v>1</v>
      </c>
      <c r="F1438" s="1" t="n">
        <v>25200.24</v>
      </c>
      <c r="G1438" s="1" t="n">
        <v>25200.24</v>
      </c>
      <c r="H1438" s="1" t="s">
        <v>711</v>
      </c>
    </row>
    <row r="1439" customFormat="false" ht="14.25" hidden="false" customHeight="true" outlineLevel="0" collapsed="false">
      <c r="A1439" s="1" t="s">
        <v>706</v>
      </c>
      <c r="B1439" s="1" t="s">
        <v>55</v>
      </c>
      <c r="C1439" s="1" t="s">
        <v>704</v>
      </c>
      <c r="D1439" s="1" t="s">
        <v>282</v>
      </c>
      <c r="E1439" s="1" t="n">
        <v>1</v>
      </c>
      <c r="F1439" s="1" t="n">
        <v>30881.55</v>
      </c>
      <c r="G1439" s="1" t="n">
        <v>30881.55</v>
      </c>
      <c r="H1439" s="1" t="s">
        <v>711</v>
      </c>
    </row>
    <row r="1440" customFormat="false" ht="14.25" hidden="false" customHeight="true" outlineLevel="0" collapsed="false">
      <c r="A1440" s="1" t="s">
        <v>654</v>
      </c>
      <c r="B1440" s="1" t="s">
        <v>54</v>
      </c>
      <c r="C1440" s="1" t="s">
        <v>54</v>
      </c>
      <c r="D1440" s="1" t="s">
        <v>287</v>
      </c>
      <c r="E1440" s="1" t="n">
        <v>1</v>
      </c>
      <c r="F1440" s="1" t="n">
        <v>997.3260975</v>
      </c>
      <c r="G1440" s="1" t="n">
        <v>997.3260975</v>
      </c>
      <c r="H1440" s="1" t="s">
        <v>712</v>
      </c>
    </row>
    <row r="1441" customFormat="false" ht="14.25" hidden="false" customHeight="true" outlineLevel="0" collapsed="false">
      <c r="A1441" s="1" t="s">
        <v>654</v>
      </c>
      <c r="B1441" s="1" t="s">
        <v>54</v>
      </c>
      <c r="C1441" s="1" t="s">
        <v>54</v>
      </c>
      <c r="D1441" s="1" t="s">
        <v>289</v>
      </c>
      <c r="E1441" s="1" t="n">
        <v>1</v>
      </c>
      <c r="F1441" s="1" t="n">
        <v>997.3260975</v>
      </c>
      <c r="G1441" s="1" t="n">
        <v>997.3260975</v>
      </c>
      <c r="H1441" s="1" t="s">
        <v>712</v>
      </c>
    </row>
    <row r="1442" customFormat="false" ht="14.25" hidden="false" customHeight="true" outlineLevel="0" collapsed="false">
      <c r="A1442" s="1" t="s">
        <v>654</v>
      </c>
      <c r="B1442" s="1" t="s">
        <v>54</v>
      </c>
      <c r="C1442" s="1" t="s">
        <v>54</v>
      </c>
      <c r="D1442" s="1" t="s">
        <v>293</v>
      </c>
      <c r="E1442" s="1" t="n">
        <v>1</v>
      </c>
      <c r="F1442" s="1" t="n">
        <v>997.3260975</v>
      </c>
      <c r="G1442" s="1" t="n">
        <v>997.3260975</v>
      </c>
      <c r="H1442" s="1" t="s">
        <v>712</v>
      </c>
    </row>
    <row r="1443" customFormat="false" ht="14.25" hidden="false" customHeight="true" outlineLevel="0" collapsed="false">
      <c r="A1443" s="1" t="s">
        <v>654</v>
      </c>
      <c r="B1443" s="1" t="s">
        <v>54</v>
      </c>
      <c r="C1443" s="1" t="s">
        <v>54</v>
      </c>
      <c r="D1443" s="1" t="s">
        <v>290</v>
      </c>
      <c r="E1443" s="1" t="n">
        <v>1</v>
      </c>
      <c r="F1443" s="1" t="n">
        <v>997.3260975</v>
      </c>
      <c r="G1443" s="1" t="n">
        <v>997.3260975</v>
      </c>
      <c r="H1443" s="1" t="s">
        <v>712</v>
      </c>
    </row>
    <row r="1444" customFormat="false" ht="14.25" hidden="false" customHeight="true" outlineLevel="0" collapsed="false">
      <c r="A1444" s="1" t="s">
        <v>654</v>
      </c>
      <c r="B1444" s="1" t="s">
        <v>54</v>
      </c>
      <c r="C1444" s="1" t="s">
        <v>54</v>
      </c>
      <c r="D1444" s="1" t="s">
        <v>284</v>
      </c>
      <c r="E1444" s="1" t="n">
        <v>1</v>
      </c>
      <c r="F1444" s="1" t="n">
        <v>997.3260975</v>
      </c>
      <c r="G1444" s="1" t="n">
        <v>997.3260975</v>
      </c>
      <c r="H1444" s="1" t="s">
        <v>712</v>
      </c>
    </row>
    <row r="1445" customFormat="false" ht="14.25" hidden="false" customHeight="true" outlineLevel="0" collapsed="false">
      <c r="A1445" s="1" t="s">
        <v>654</v>
      </c>
      <c r="B1445" s="1" t="s">
        <v>54</v>
      </c>
      <c r="C1445" s="1" t="s">
        <v>54</v>
      </c>
      <c r="D1445" s="1" t="s">
        <v>285</v>
      </c>
      <c r="E1445" s="1" t="n">
        <v>1</v>
      </c>
      <c r="F1445" s="1" t="n">
        <v>997.3260975</v>
      </c>
      <c r="G1445" s="1" t="n">
        <v>997.3260975</v>
      </c>
      <c r="H1445" s="1" t="s">
        <v>712</v>
      </c>
    </row>
    <row r="1446" customFormat="false" ht="14.25" hidden="false" customHeight="true" outlineLevel="0" collapsed="false">
      <c r="A1446" s="1" t="s">
        <v>654</v>
      </c>
      <c r="B1446" s="1" t="s">
        <v>54</v>
      </c>
      <c r="C1446" s="1" t="s">
        <v>54</v>
      </c>
      <c r="D1446" s="1" t="s">
        <v>282</v>
      </c>
      <c r="E1446" s="1" t="n">
        <v>1</v>
      </c>
      <c r="F1446" s="1" t="n">
        <v>997.3260975</v>
      </c>
      <c r="G1446" s="1" t="n">
        <v>997.3260975</v>
      </c>
      <c r="H1446" s="1" t="s">
        <v>712</v>
      </c>
    </row>
    <row r="1447" customFormat="false" ht="14.25" hidden="false" customHeight="true" outlineLevel="0" collapsed="false">
      <c r="A1447" s="1" t="s">
        <v>654</v>
      </c>
      <c r="B1447" s="1" t="s">
        <v>54</v>
      </c>
      <c r="C1447" s="1" t="s">
        <v>54</v>
      </c>
      <c r="D1447" s="1" t="s">
        <v>275</v>
      </c>
      <c r="E1447" s="1" t="n">
        <v>1</v>
      </c>
      <c r="F1447" s="1" t="n">
        <v>997.3260975</v>
      </c>
      <c r="G1447" s="1" t="n">
        <v>997.3260975</v>
      </c>
      <c r="H1447" s="1" t="s">
        <v>712</v>
      </c>
    </row>
    <row r="1448" customFormat="false" ht="14.25" hidden="false" customHeight="true" outlineLevel="0" collapsed="false">
      <c r="A1448" s="1" t="s">
        <v>681</v>
      </c>
      <c r="B1448" s="1" t="s">
        <v>54</v>
      </c>
      <c r="C1448" s="1" t="s">
        <v>54</v>
      </c>
      <c r="D1448" s="1" t="s">
        <v>287</v>
      </c>
      <c r="E1448" s="1" t="n">
        <v>1</v>
      </c>
      <c r="F1448" s="1" t="n">
        <v>1697.94451367568</v>
      </c>
      <c r="G1448" s="1" t="n">
        <v>1697.94451367568</v>
      </c>
      <c r="H1448" s="1" t="s">
        <v>712</v>
      </c>
    </row>
    <row r="1449" customFormat="false" ht="14.25" hidden="false" customHeight="true" outlineLevel="0" collapsed="false">
      <c r="A1449" s="1" t="s">
        <v>681</v>
      </c>
      <c r="B1449" s="1" t="s">
        <v>54</v>
      </c>
      <c r="C1449" s="1" t="s">
        <v>54</v>
      </c>
      <c r="D1449" s="1" t="s">
        <v>289</v>
      </c>
      <c r="E1449" s="1" t="n">
        <v>1</v>
      </c>
      <c r="F1449" s="1" t="n">
        <v>1697.94451367568</v>
      </c>
      <c r="G1449" s="1" t="n">
        <v>1697.94451367568</v>
      </c>
      <c r="H1449" s="1" t="s">
        <v>712</v>
      </c>
    </row>
    <row r="1450" customFormat="false" ht="14.25" hidden="false" customHeight="true" outlineLevel="0" collapsed="false">
      <c r="A1450" s="1" t="s">
        <v>681</v>
      </c>
      <c r="B1450" s="1" t="s">
        <v>54</v>
      </c>
      <c r="C1450" s="1" t="s">
        <v>54</v>
      </c>
      <c r="D1450" s="1" t="s">
        <v>293</v>
      </c>
      <c r="E1450" s="1" t="n">
        <v>1</v>
      </c>
      <c r="F1450" s="1" t="n">
        <v>1697.94451367568</v>
      </c>
      <c r="G1450" s="1" t="n">
        <v>1697.94451367568</v>
      </c>
      <c r="H1450" s="1" t="s">
        <v>712</v>
      </c>
    </row>
    <row r="1451" customFormat="false" ht="14.25" hidden="false" customHeight="true" outlineLevel="0" collapsed="false">
      <c r="A1451" s="1" t="s">
        <v>681</v>
      </c>
      <c r="B1451" s="1" t="s">
        <v>54</v>
      </c>
      <c r="C1451" s="1" t="s">
        <v>54</v>
      </c>
      <c r="D1451" s="1" t="s">
        <v>290</v>
      </c>
      <c r="E1451" s="1" t="n">
        <v>1</v>
      </c>
      <c r="F1451" s="1" t="n">
        <v>1697.94451367568</v>
      </c>
      <c r="G1451" s="1" t="n">
        <v>1697.94451367568</v>
      </c>
      <c r="H1451" s="1" t="s">
        <v>712</v>
      </c>
    </row>
    <row r="1452" customFormat="false" ht="14.25" hidden="false" customHeight="true" outlineLevel="0" collapsed="false">
      <c r="A1452" s="1" t="s">
        <v>681</v>
      </c>
      <c r="B1452" s="1" t="s">
        <v>54</v>
      </c>
      <c r="C1452" s="1" t="s">
        <v>54</v>
      </c>
      <c r="D1452" s="1" t="s">
        <v>284</v>
      </c>
      <c r="E1452" s="1" t="n">
        <v>1</v>
      </c>
      <c r="F1452" s="1" t="n">
        <v>1697.94451367568</v>
      </c>
      <c r="G1452" s="1" t="n">
        <v>1697.94451367568</v>
      </c>
      <c r="H1452" s="1" t="s">
        <v>712</v>
      </c>
    </row>
    <row r="1453" customFormat="false" ht="14.25" hidden="false" customHeight="true" outlineLevel="0" collapsed="false">
      <c r="A1453" s="1" t="s">
        <v>681</v>
      </c>
      <c r="B1453" s="1" t="s">
        <v>54</v>
      </c>
      <c r="C1453" s="1" t="s">
        <v>54</v>
      </c>
      <c r="D1453" s="1" t="s">
        <v>285</v>
      </c>
      <c r="E1453" s="1" t="n">
        <v>1</v>
      </c>
      <c r="F1453" s="1" t="n">
        <v>1697.94451367568</v>
      </c>
      <c r="G1453" s="1" t="n">
        <v>1697.94451367568</v>
      </c>
      <c r="H1453" s="1" t="s">
        <v>712</v>
      </c>
    </row>
    <row r="1454" customFormat="false" ht="14.25" hidden="false" customHeight="true" outlineLevel="0" collapsed="false">
      <c r="A1454" s="1" t="s">
        <v>681</v>
      </c>
      <c r="B1454" s="1" t="s">
        <v>54</v>
      </c>
      <c r="C1454" s="1" t="s">
        <v>54</v>
      </c>
      <c r="D1454" s="1" t="s">
        <v>282</v>
      </c>
      <c r="E1454" s="1" t="n">
        <v>1</v>
      </c>
      <c r="F1454" s="1" t="n">
        <v>1697.94451367568</v>
      </c>
      <c r="G1454" s="1" t="n">
        <v>1697.94451367568</v>
      </c>
      <c r="H1454" s="1" t="s">
        <v>712</v>
      </c>
    </row>
    <row r="1455" customFormat="false" ht="14.25" hidden="false" customHeight="true" outlineLevel="0" collapsed="false">
      <c r="A1455" s="1" t="s">
        <v>681</v>
      </c>
      <c r="B1455" s="1" t="s">
        <v>54</v>
      </c>
      <c r="C1455" s="1" t="s">
        <v>54</v>
      </c>
      <c r="D1455" s="1" t="s">
        <v>275</v>
      </c>
      <c r="E1455" s="1" t="n">
        <v>1</v>
      </c>
      <c r="F1455" s="1" t="n">
        <v>1697.94451367568</v>
      </c>
      <c r="G1455" s="1" t="n">
        <v>1697.94451367568</v>
      </c>
      <c r="H1455" s="1" t="s">
        <v>712</v>
      </c>
    </row>
    <row r="1456" customFormat="false" ht="14.25" hidden="false" customHeight="true" outlineLevel="0" collapsed="false">
      <c r="A1456" s="1" t="s">
        <v>706</v>
      </c>
      <c r="B1456" s="1" t="s">
        <v>54</v>
      </c>
      <c r="C1456" s="1" t="s">
        <v>54</v>
      </c>
      <c r="D1456" s="1" t="s">
        <v>287</v>
      </c>
      <c r="E1456" s="1" t="n">
        <v>4</v>
      </c>
      <c r="F1456" s="1" t="n">
        <v>1002.254202</v>
      </c>
      <c r="G1456" s="1" t="n">
        <v>4009.016808</v>
      </c>
      <c r="H1456" s="1" t="s">
        <v>713</v>
      </c>
    </row>
    <row r="1457" customFormat="false" ht="14.25" hidden="false" customHeight="true" outlineLevel="0" collapsed="false">
      <c r="A1457" s="1" t="s">
        <v>706</v>
      </c>
      <c r="B1457" s="1" t="s">
        <v>54</v>
      </c>
      <c r="C1457" s="1" t="s">
        <v>54</v>
      </c>
      <c r="D1457" s="1" t="s">
        <v>289</v>
      </c>
      <c r="E1457" s="1" t="n">
        <v>8</v>
      </c>
      <c r="F1457" s="1" t="n">
        <v>1002.254202</v>
      </c>
      <c r="G1457" s="1" t="n">
        <v>8018.033616</v>
      </c>
      <c r="H1457" s="1" t="s">
        <v>713</v>
      </c>
    </row>
    <row r="1458" customFormat="false" ht="14.25" hidden="false" customHeight="true" outlineLevel="0" collapsed="false">
      <c r="A1458" s="1" t="s">
        <v>706</v>
      </c>
      <c r="B1458" s="1" t="s">
        <v>54</v>
      </c>
      <c r="C1458" s="1" t="s">
        <v>54</v>
      </c>
      <c r="D1458" s="1" t="s">
        <v>293</v>
      </c>
      <c r="E1458" s="1" t="n">
        <v>0</v>
      </c>
      <c r="F1458" s="1" t="n">
        <v>1002.254202</v>
      </c>
      <c r="G1458" s="1" t="n">
        <v>0</v>
      </c>
      <c r="H1458" s="1" t="s">
        <v>713</v>
      </c>
    </row>
    <row r="1459" customFormat="false" ht="14.25" hidden="false" customHeight="true" outlineLevel="0" collapsed="false">
      <c r="A1459" s="1" t="s">
        <v>706</v>
      </c>
      <c r="B1459" s="1" t="s">
        <v>54</v>
      </c>
      <c r="C1459" s="1" t="s">
        <v>54</v>
      </c>
      <c r="D1459" s="1" t="s">
        <v>290</v>
      </c>
      <c r="E1459" s="1" t="n">
        <v>14</v>
      </c>
      <c r="F1459" s="1" t="n">
        <v>1002.254202</v>
      </c>
      <c r="G1459" s="1" t="n">
        <v>14031.558828</v>
      </c>
      <c r="H1459" s="1" t="s">
        <v>713</v>
      </c>
    </row>
    <row r="1460" customFormat="false" ht="14.25" hidden="false" customHeight="true" outlineLevel="0" collapsed="false">
      <c r="A1460" s="1" t="s">
        <v>706</v>
      </c>
      <c r="B1460" s="1" t="s">
        <v>54</v>
      </c>
      <c r="C1460" s="1" t="s">
        <v>54</v>
      </c>
      <c r="D1460" s="1" t="s">
        <v>284</v>
      </c>
      <c r="E1460" s="1" t="n">
        <v>16</v>
      </c>
      <c r="F1460" s="1" t="n">
        <v>1002.254202</v>
      </c>
      <c r="G1460" s="1" t="n">
        <v>16036.067232</v>
      </c>
      <c r="H1460" s="1" t="s">
        <v>713</v>
      </c>
    </row>
    <row r="1461" customFormat="false" ht="14.25" hidden="false" customHeight="true" outlineLevel="0" collapsed="false">
      <c r="A1461" s="1" t="s">
        <v>706</v>
      </c>
      <c r="B1461" s="1" t="s">
        <v>54</v>
      </c>
      <c r="C1461" s="1" t="s">
        <v>54</v>
      </c>
      <c r="D1461" s="1" t="s">
        <v>285</v>
      </c>
      <c r="E1461" s="1" t="n">
        <v>8</v>
      </c>
      <c r="F1461" s="1" t="n">
        <v>1002.254202</v>
      </c>
      <c r="G1461" s="1" t="n">
        <v>8018.033616</v>
      </c>
      <c r="H1461" s="1" t="s">
        <v>713</v>
      </c>
    </row>
    <row r="1462" customFormat="false" ht="14.25" hidden="false" customHeight="true" outlineLevel="0" collapsed="false">
      <c r="A1462" s="1" t="s">
        <v>706</v>
      </c>
      <c r="B1462" s="1" t="s">
        <v>54</v>
      </c>
      <c r="C1462" s="1" t="s">
        <v>54</v>
      </c>
      <c r="D1462" s="1" t="s">
        <v>282</v>
      </c>
      <c r="E1462" s="1" t="n">
        <v>9</v>
      </c>
      <c r="F1462" s="1" t="n">
        <v>1002.254202</v>
      </c>
      <c r="G1462" s="1" t="n">
        <v>9020.287818</v>
      </c>
      <c r="H1462" s="1" t="s">
        <v>713</v>
      </c>
    </row>
    <row r="1463" customFormat="false" ht="14.25" hidden="false" customHeight="true" outlineLevel="0" collapsed="false">
      <c r="A1463" s="1" t="s">
        <v>706</v>
      </c>
      <c r="B1463" s="1" t="s">
        <v>54</v>
      </c>
      <c r="C1463" s="1" t="s">
        <v>54</v>
      </c>
      <c r="D1463" s="1" t="s">
        <v>275</v>
      </c>
      <c r="E1463" s="1" t="n">
        <v>129</v>
      </c>
      <c r="F1463" s="1" t="n">
        <v>1002.254202</v>
      </c>
      <c r="G1463" s="1" t="n">
        <v>129290.792058</v>
      </c>
      <c r="H1463" s="1" t="s">
        <v>713</v>
      </c>
    </row>
    <row r="1464" customFormat="false" ht="14.25" hidden="false" customHeight="true" outlineLevel="0" collapsed="false">
      <c r="A1464" s="1" t="s">
        <v>644</v>
      </c>
      <c r="B1464" s="1" t="s">
        <v>44</v>
      </c>
      <c r="C1464" s="1" t="s">
        <v>698</v>
      </c>
      <c r="D1464" s="1" t="s">
        <v>287</v>
      </c>
      <c r="E1464" s="1" t="n">
        <v>35</v>
      </c>
      <c r="F1464" s="1" t="n">
        <v>49.6814849002849</v>
      </c>
      <c r="G1464" s="1" t="n">
        <v>1738.85197150997</v>
      </c>
      <c r="H1464" s="1" t="s">
        <v>714</v>
      </c>
    </row>
    <row r="1465" customFormat="false" ht="14.25" hidden="false" customHeight="true" outlineLevel="0" collapsed="false">
      <c r="A1465" s="1" t="s">
        <v>644</v>
      </c>
      <c r="B1465" s="1" t="s">
        <v>44</v>
      </c>
      <c r="C1465" s="1" t="s">
        <v>698</v>
      </c>
      <c r="D1465" s="1" t="s">
        <v>289</v>
      </c>
      <c r="E1465" s="1" t="n">
        <v>37</v>
      </c>
      <c r="F1465" s="1" t="n">
        <v>49.6814849002849</v>
      </c>
      <c r="G1465" s="1" t="n">
        <v>1838.21494131054</v>
      </c>
      <c r="H1465" s="1" t="s">
        <v>714</v>
      </c>
    </row>
    <row r="1466" customFormat="false" ht="14.25" hidden="false" customHeight="true" outlineLevel="0" collapsed="false">
      <c r="A1466" s="1" t="s">
        <v>644</v>
      </c>
      <c r="B1466" s="1" t="s">
        <v>44</v>
      </c>
      <c r="C1466" s="1" t="s">
        <v>698</v>
      </c>
      <c r="D1466" s="1" t="s">
        <v>293</v>
      </c>
      <c r="E1466" s="1" t="n">
        <v>11</v>
      </c>
      <c r="F1466" s="1" t="n">
        <v>49.6814849002849</v>
      </c>
      <c r="G1466" s="1" t="n">
        <v>546.496333903134</v>
      </c>
      <c r="H1466" s="1" t="s">
        <v>714</v>
      </c>
    </row>
    <row r="1467" customFormat="false" ht="14.25" hidden="false" customHeight="true" outlineLevel="0" collapsed="false">
      <c r="A1467" s="1" t="s">
        <v>644</v>
      </c>
      <c r="B1467" s="1" t="s">
        <v>44</v>
      </c>
      <c r="C1467" s="1" t="s">
        <v>698</v>
      </c>
      <c r="D1467" s="1" t="s">
        <v>290</v>
      </c>
      <c r="E1467" s="1" t="n">
        <v>42</v>
      </c>
      <c r="F1467" s="1" t="n">
        <v>49.6814849002849</v>
      </c>
      <c r="G1467" s="1" t="n">
        <v>2086.62236581197</v>
      </c>
      <c r="H1467" s="1" t="s">
        <v>714</v>
      </c>
    </row>
    <row r="1468" customFormat="false" ht="14.25" hidden="false" customHeight="true" outlineLevel="0" collapsed="false">
      <c r="A1468" s="1" t="s">
        <v>644</v>
      </c>
      <c r="B1468" s="1" t="s">
        <v>44</v>
      </c>
      <c r="C1468" s="1" t="s">
        <v>698</v>
      </c>
      <c r="D1468" s="1" t="s">
        <v>284</v>
      </c>
      <c r="E1468" s="1" t="n">
        <v>42</v>
      </c>
      <c r="F1468" s="1" t="n">
        <v>49.6814849002849</v>
      </c>
      <c r="G1468" s="1" t="n">
        <v>2086.62236581197</v>
      </c>
      <c r="H1468" s="1" t="s">
        <v>714</v>
      </c>
    </row>
    <row r="1469" customFormat="false" ht="14.25" hidden="false" customHeight="true" outlineLevel="0" collapsed="false">
      <c r="A1469" s="1" t="s">
        <v>644</v>
      </c>
      <c r="B1469" s="1" t="s">
        <v>44</v>
      </c>
      <c r="C1469" s="1" t="s">
        <v>698</v>
      </c>
      <c r="D1469" s="1" t="s">
        <v>285</v>
      </c>
      <c r="E1469" s="1" t="n">
        <v>18</v>
      </c>
      <c r="F1469" s="1" t="n">
        <v>49.6814849002849</v>
      </c>
      <c r="G1469" s="1" t="n">
        <v>894.266728205128</v>
      </c>
      <c r="H1469" s="1" t="s">
        <v>714</v>
      </c>
    </row>
    <row r="1470" customFormat="false" ht="14.25" hidden="false" customHeight="true" outlineLevel="0" collapsed="false">
      <c r="A1470" s="1" t="s">
        <v>644</v>
      </c>
      <c r="B1470" s="1" t="s">
        <v>44</v>
      </c>
      <c r="C1470" s="1" t="s">
        <v>698</v>
      </c>
      <c r="D1470" s="1" t="s">
        <v>282</v>
      </c>
      <c r="E1470" s="1" t="n">
        <v>20</v>
      </c>
      <c r="F1470" s="1" t="n">
        <v>49.6814849002849</v>
      </c>
      <c r="G1470" s="1" t="n">
        <v>993.629698005698</v>
      </c>
      <c r="H1470" s="1" t="s">
        <v>714</v>
      </c>
    </row>
    <row r="1471" customFormat="false" ht="14.25" hidden="false" customHeight="true" outlineLevel="0" collapsed="false">
      <c r="A1471" s="1" t="s">
        <v>654</v>
      </c>
      <c r="B1471" s="1" t="s">
        <v>44</v>
      </c>
      <c r="C1471" s="1" t="s">
        <v>698</v>
      </c>
      <c r="D1471" s="1" t="s">
        <v>287</v>
      </c>
      <c r="E1471" s="1" t="n">
        <v>34</v>
      </c>
      <c r="F1471" s="1" t="n">
        <v>48.1177222116301</v>
      </c>
      <c r="G1471" s="1" t="n">
        <v>1636.00255519542</v>
      </c>
      <c r="H1471" s="1" t="s">
        <v>714</v>
      </c>
    </row>
    <row r="1472" customFormat="false" ht="14.25" hidden="false" customHeight="true" outlineLevel="0" collapsed="false">
      <c r="A1472" s="1" t="s">
        <v>654</v>
      </c>
      <c r="B1472" s="1" t="s">
        <v>44</v>
      </c>
      <c r="C1472" s="1" t="s">
        <v>698</v>
      </c>
      <c r="D1472" s="1" t="s">
        <v>289</v>
      </c>
      <c r="E1472" s="1" t="n">
        <v>37</v>
      </c>
      <c r="F1472" s="1" t="n">
        <v>48.1177222116301</v>
      </c>
      <c r="G1472" s="1" t="n">
        <v>1780.35572183031</v>
      </c>
      <c r="H1472" s="1" t="s">
        <v>714</v>
      </c>
    </row>
    <row r="1473" customFormat="false" ht="14.25" hidden="false" customHeight="true" outlineLevel="0" collapsed="false">
      <c r="A1473" s="1" t="s">
        <v>654</v>
      </c>
      <c r="B1473" s="1" t="s">
        <v>44</v>
      </c>
      <c r="C1473" s="1" t="s">
        <v>698</v>
      </c>
      <c r="D1473" s="1" t="s">
        <v>293</v>
      </c>
      <c r="E1473" s="1" t="n">
        <v>11</v>
      </c>
      <c r="F1473" s="1" t="n">
        <v>48.1177222116301</v>
      </c>
      <c r="G1473" s="1" t="n">
        <v>529.294944327931</v>
      </c>
      <c r="H1473" s="1" t="s">
        <v>714</v>
      </c>
    </row>
    <row r="1474" customFormat="false" ht="14.25" hidden="false" customHeight="true" outlineLevel="0" collapsed="false">
      <c r="A1474" s="1" t="s">
        <v>654</v>
      </c>
      <c r="B1474" s="1" t="s">
        <v>44</v>
      </c>
      <c r="C1474" s="1" t="s">
        <v>698</v>
      </c>
      <c r="D1474" s="1" t="s">
        <v>290</v>
      </c>
      <c r="E1474" s="1" t="n">
        <v>42</v>
      </c>
      <c r="F1474" s="1" t="n">
        <v>48.1177222116301</v>
      </c>
      <c r="G1474" s="1" t="n">
        <v>2020.94433288846</v>
      </c>
      <c r="H1474" s="1" t="s">
        <v>714</v>
      </c>
    </row>
    <row r="1475" customFormat="false" ht="14.25" hidden="false" customHeight="true" outlineLevel="0" collapsed="false">
      <c r="A1475" s="1" t="s">
        <v>654</v>
      </c>
      <c r="B1475" s="1" t="s">
        <v>44</v>
      </c>
      <c r="C1475" s="1" t="s">
        <v>698</v>
      </c>
      <c r="D1475" s="1" t="s">
        <v>284</v>
      </c>
      <c r="E1475" s="1" t="n">
        <v>42</v>
      </c>
      <c r="F1475" s="1" t="n">
        <v>48.1177222116301</v>
      </c>
      <c r="G1475" s="1" t="n">
        <v>2020.94433288846</v>
      </c>
      <c r="H1475" s="1" t="s">
        <v>714</v>
      </c>
    </row>
    <row r="1476" customFormat="false" ht="14.25" hidden="false" customHeight="true" outlineLevel="0" collapsed="false">
      <c r="A1476" s="1" t="s">
        <v>654</v>
      </c>
      <c r="B1476" s="1" t="s">
        <v>44</v>
      </c>
      <c r="C1476" s="1" t="s">
        <v>698</v>
      </c>
      <c r="D1476" s="1" t="s">
        <v>285</v>
      </c>
      <c r="E1476" s="1" t="n">
        <v>18</v>
      </c>
      <c r="F1476" s="1" t="n">
        <v>48.1177222116301</v>
      </c>
      <c r="G1476" s="1" t="n">
        <v>866.118999809342</v>
      </c>
      <c r="H1476" s="1" t="s">
        <v>714</v>
      </c>
    </row>
    <row r="1477" customFormat="false" ht="14.25" hidden="false" customHeight="true" outlineLevel="0" collapsed="false">
      <c r="A1477" s="1" t="s">
        <v>654</v>
      </c>
      <c r="B1477" s="1" t="s">
        <v>44</v>
      </c>
      <c r="C1477" s="1" t="s">
        <v>698</v>
      </c>
      <c r="D1477" s="1" t="s">
        <v>282</v>
      </c>
      <c r="E1477" s="1" t="n">
        <v>17</v>
      </c>
      <c r="F1477" s="1" t="n">
        <v>48.1177222116301</v>
      </c>
      <c r="G1477" s="1" t="n">
        <v>818.001277597712</v>
      </c>
      <c r="H1477" s="1" t="s">
        <v>714</v>
      </c>
    </row>
    <row r="1478" customFormat="false" ht="14.25" hidden="false" customHeight="true" outlineLevel="0" collapsed="false">
      <c r="A1478" s="1" t="s">
        <v>706</v>
      </c>
      <c r="B1478" s="1" t="s">
        <v>464</v>
      </c>
      <c r="C1478" s="1" t="s">
        <v>465</v>
      </c>
      <c r="D1478" s="1" t="s">
        <v>275</v>
      </c>
      <c r="E1478" s="1" t="n">
        <v>5506</v>
      </c>
      <c r="F1478" s="1" t="n">
        <v>1.86</v>
      </c>
      <c r="G1478" s="1" t="n">
        <v>10241.16</v>
      </c>
      <c r="H1478" s="1" t="s">
        <v>715</v>
      </c>
    </row>
    <row r="1479" customFormat="false" ht="14.25" hidden="false" customHeight="true" outlineLevel="0" collapsed="false">
      <c r="A1479" s="1" t="s">
        <v>706</v>
      </c>
      <c r="B1479" s="1" t="s">
        <v>85</v>
      </c>
      <c r="C1479" s="1" t="s">
        <v>615</v>
      </c>
      <c r="D1479" s="1" t="s">
        <v>275</v>
      </c>
      <c r="E1479" s="1" t="n">
        <v>119</v>
      </c>
      <c r="F1479" s="1" t="n">
        <v>131.56</v>
      </c>
      <c r="G1479" s="1" t="n">
        <v>15655.64</v>
      </c>
      <c r="H1479" s="1" t="s">
        <v>716</v>
      </c>
    </row>
    <row r="1480" customFormat="false" ht="14.25" hidden="false" customHeight="true" outlineLevel="0" collapsed="false">
      <c r="A1480" s="1" t="s">
        <v>706</v>
      </c>
      <c r="B1480" s="1" t="s">
        <v>453</v>
      </c>
      <c r="C1480" s="1" t="s">
        <v>454</v>
      </c>
      <c r="D1480" s="1" t="s">
        <v>275</v>
      </c>
      <c r="E1480" s="1" t="n">
        <v>0</v>
      </c>
      <c r="F1480" s="1" t="n">
        <v>0</v>
      </c>
      <c r="G1480" s="1" t="n">
        <v>0</v>
      </c>
      <c r="H1480" s="1" t="s">
        <v>655</v>
      </c>
    </row>
    <row r="1481" customFormat="false" ht="14.25" hidden="false" customHeight="true" outlineLevel="0" collapsed="false">
      <c r="A1481" s="1" t="s">
        <v>706</v>
      </c>
      <c r="B1481" s="1" t="s">
        <v>453</v>
      </c>
      <c r="C1481" s="1" t="s">
        <v>456</v>
      </c>
      <c r="D1481" s="1" t="s">
        <v>275</v>
      </c>
      <c r="E1481" s="1" t="n">
        <v>0</v>
      </c>
      <c r="F1481" s="1" t="n">
        <v>0</v>
      </c>
      <c r="G1481" s="1" t="n">
        <v>0</v>
      </c>
      <c r="H1481" s="1" t="s">
        <v>645</v>
      </c>
    </row>
    <row r="1482" customFormat="false" ht="14.25" hidden="false" customHeight="true" outlineLevel="0" collapsed="false">
      <c r="A1482" s="1" t="s">
        <v>706</v>
      </c>
      <c r="B1482" s="1" t="s">
        <v>453</v>
      </c>
      <c r="C1482" s="1" t="s">
        <v>454</v>
      </c>
      <c r="D1482" s="1" t="s">
        <v>287</v>
      </c>
      <c r="E1482" s="1" t="n">
        <v>0</v>
      </c>
      <c r="F1482" s="1" t="n">
        <v>0</v>
      </c>
      <c r="G1482" s="1" t="n">
        <v>0</v>
      </c>
      <c r="H1482" s="1" t="s">
        <v>455</v>
      </c>
    </row>
    <row r="1483" customFormat="false" ht="14.25" hidden="false" customHeight="true" outlineLevel="0" collapsed="false">
      <c r="A1483" s="1" t="s">
        <v>706</v>
      </c>
      <c r="B1483" s="1" t="s">
        <v>453</v>
      </c>
      <c r="C1483" s="1" t="s">
        <v>456</v>
      </c>
      <c r="D1483" s="1" t="s">
        <v>287</v>
      </c>
      <c r="E1483" s="1" t="n">
        <v>0</v>
      </c>
      <c r="F1483" s="1" t="n">
        <v>0</v>
      </c>
      <c r="G1483" s="1" t="n">
        <v>0</v>
      </c>
      <c r="H1483" s="1" t="s">
        <v>645</v>
      </c>
    </row>
    <row r="1484" customFormat="false" ht="14.25" hidden="false" customHeight="true" outlineLevel="0" collapsed="false">
      <c r="A1484" s="1" t="s">
        <v>706</v>
      </c>
      <c r="B1484" s="1" t="s">
        <v>464</v>
      </c>
      <c r="C1484" s="1" t="s">
        <v>465</v>
      </c>
      <c r="D1484" s="1" t="s">
        <v>287</v>
      </c>
      <c r="E1484" s="1" t="n">
        <v>308</v>
      </c>
      <c r="F1484" s="1" t="n">
        <v>1.86</v>
      </c>
      <c r="G1484" s="1" t="n">
        <v>572.88</v>
      </c>
      <c r="H1484" s="1" t="s">
        <v>717</v>
      </c>
    </row>
    <row r="1485" customFormat="false" ht="14.25" hidden="false" customHeight="true" outlineLevel="0" collapsed="false">
      <c r="A1485" s="1" t="s">
        <v>706</v>
      </c>
      <c r="B1485" s="1" t="s">
        <v>464</v>
      </c>
      <c r="C1485" s="1" t="s">
        <v>657</v>
      </c>
      <c r="D1485" s="1" t="s">
        <v>287</v>
      </c>
      <c r="E1485" s="1" t="n">
        <v>0</v>
      </c>
      <c r="F1485" s="1" t="n">
        <v>0</v>
      </c>
      <c r="G1485" s="1" t="n">
        <v>0</v>
      </c>
      <c r="H1485" s="1" t="s">
        <v>658</v>
      </c>
    </row>
    <row r="1486" customFormat="false" ht="14.25" hidden="false" customHeight="true" outlineLevel="0" collapsed="false">
      <c r="A1486" s="1" t="s">
        <v>706</v>
      </c>
      <c r="B1486" s="1" t="s">
        <v>464</v>
      </c>
      <c r="C1486" s="1" t="s">
        <v>659</v>
      </c>
      <c r="D1486" s="1" t="s">
        <v>287</v>
      </c>
      <c r="E1486" s="1" t="n">
        <v>0</v>
      </c>
      <c r="F1486" s="1" t="n">
        <v>0</v>
      </c>
      <c r="G1486" s="1" t="n">
        <v>0</v>
      </c>
      <c r="H1486" s="1" t="s">
        <v>718</v>
      </c>
    </row>
    <row r="1487" customFormat="false" ht="14.25" hidden="false" customHeight="true" outlineLevel="0" collapsed="false">
      <c r="A1487" s="1" t="s">
        <v>706</v>
      </c>
      <c r="B1487" s="1" t="s">
        <v>464</v>
      </c>
      <c r="C1487" s="1" t="s">
        <v>473</v>
      </c>
      <c r="D1487" s="1" t="s">
        <v>287</v>
      </c>
      <c r="E1487" s="1" t="n">
        <v>1</v>
      </c>
      <c r="F1487" s="1" t="n">
        <v>1900.22</v>
      </c>
      <c r="G1487" s="1" t="n">
        <v>1900.22</v>
      </c>
      <c r="H1487" s="1" t="s">
        <v>719</v>
      </c>
    </row>
    <row r="1488" customFormat="false" ht="14.25" hidden="false" customHeight="true" outlineLevel="0" collapsed="false">
      <c r="A1488" s="1" t="s">
        <v>706</v>
      </c>
      <c r="B1488" s="1" t="s">
        <v>464</v>
      </c>
      <c r="C1488" s="1" t="s">
        <v>473</v>
      </c>
      <c r="D1488" s="1" t="s">
        <v>287</v>
      </c>
      <c r="E1488" s="1" t="n">
        <v>-1</v>
      </c>
      <c r="F1488" s="1" t="n">
        <v>6809.28</v>
      </c>
      <c r="G1488" s="1" t="n">
        <v>-6809.28</v>
      </c>
      <c r="H1488" s="1" t="s">
        <v>475</v>
      </c>
    </row>
    <row r="1489" customFormat="false" ht="14.25" hidden="false" customHeight="true" outlineLevel="0" collapsed="false">
      <c r="A1489" s="1" t="s">
        <v>706</v>
      </c>
      <c r="B1489" s="1" t="s">
        <v>464</v>
      </c>
      <c r="C1489" s="1" t="s">
        <v>720</v>
      </c>
      <c r="D1489" s="1" t="s">
        <v>287</v>
      </c>
      <c r="E1489" s="1" t="n">
        <v>1</v>
      </c>
      <c r="F1489" s="1" t="n">
        <v>348.349782230624</v>
      </c>
      <c r="G1489" s="1" t="n">
        <v>348.349782230624</v>
      </c>
      <c r="H1489" s="1" t="s">
        <v>477</v>
      </c>
    </row>
    <row r="1490" customFormat="false" ht="14.25" hidden="false" customHeight="true" outlineLevel="0" collapsed="false">
      <c r="A1490" s="1" t="s">
        <v>706</v>
      </c>
      <c r="B1490" s="1" t="s">
        <v>464</v>
      </c>
      <c r="C1490" s="1" t="s">
        <v>479</v>
      </c>
      <c r="D1490" s="1" t="s">
        <v>287</v>
      </c>
      <c r="E1490" s="1" t="n">
        <v>0</v>
      </c>
      <c r="F1490" s="1" t="n">
        <v>0</v>
      </c>
      <c r="G1490" s="1" t="n">
        <v>0</v>
      </c>
      <c r="H1490" s="1" t="s">
        <v>477</v>
      </c>
    </row>
    <row r="1491" customFormat="false" ht="14.25" hidden="false" customHeight="true" outlineLevel="0" collapsed="false">
      <c r="A1491" s="1" t="s">
        <v>706</v>
      </c>
      <c r="B1491" s="1" t="s">
        <v>464</v>
      </c>
      <c r="C1491" s="1" t="s">
        <v>476</v>
      </c>
      <c r="D1491" s="1" t="s">
        <v>287</v>
      </c>
      <c r="E1491" s="1" t="n">
        <v>0</v>
      </c>
      <c r="F1491" s="1" t="n">
        <v>0</v>
      </c>
      <c r="G1491" s="1" t="n">
        <v>0</v>
      </c>
      <c r="H1491" s="1" t="s">
        <v>683</v>
      </c>
    </row>
    <row r="1492" customFormat="false" ht="14.25" hidden="false" customHeight="true" outlineLevel="0" collapsed="false">
      <c r="A1492" s="1" t="s">
        <v>706</v>
      </c>
      <c r="B1492" s="1" t="s">
        <v>464</v>
      </c>
      <c r="C1492" s="1" t="s">
        <v>480</v>
      </c>
      <c r="D1492" s="1" t="s">
        <v>287</v>
      </c>
      <c r="E1492" s="1" t="n">
        <v>0</v>
      </c>
      <c r="F1492" s="1" t="n">
        <v>0</v>
      </c>
      <c r="G1492" s="1" t="n">
        <v>0</v>
      </c>
      <c r="H1492" s="1" t="s">
        <v>683</v>
      </c>
    </row>
    <row r="1493" customFormat="false" ht="14.25" hidden="false" customHeight="true" outlineLevel="0" collapsed="false">
      <c r="A1493" s="1" t="s">
        <v>706</v>
      </c>
      <c r="B1493" s="1" t="s">
        <v>464</v>
      </c>
      <c r="C1493" s="1" t="s">
        <v>481</v>
      </c>
      <c r="D1493" s="1" t="s">
        <v>287</v>
      </c>
      <c r="E1493" s="1" t="n">
        <v>0</v>
      </c>
      <c r="F1493" s="1" t="n">
        <v>0</v>
      </c>
      <c r="G1493" s="1" t="n">
        <v>0</v>
      </c>
      <c r="H1493" s="1" t="s">
        <v>477</v>
      </c>
    </row>
    <row r="1494" customFormat="false" ht="14.25" hidden="false" customHeight="true" outlineLevel="0" collapsed="false">
      <c r="A1494" s="1" t="s">
        <v>706</v>
      </c>
      <c r="B1494" s="1" t="s">
        <v>143</v>
      </c>
      <c r="C1494" s="1" t="s">
        <v>527</v>
      </c>
      <c r="D1494" s="1" t="s">
        <v>287</v>
      </c>
      <c r="E1494" s="1" t="n">
        <v>6711</v>
      </c>
      <c r="F1494" s="1" t="n">
        <v>0.29</v>
      </c>
      <c r="G1494" s="1" t="n">
        <v>1946.19</v>
      </c>
      <c r="H1494" s="1" t="s">
        <v>451</v>
      </c>
    </row>
    <row r="1495" customFormat="false" ht="14.25" hidden="false" customHeight="true" outlineLevel="0" collapsed="false">
      <c r="A1495" s="1" t="s">
        <v>706</v>
      </c>
      <c r="B1495" s="1" t="s">
        <v>45</v>
      </c>
      <c r="C1495" s="1" t="s">
        <v>529</v>
      </c>
      <c r="D1495" s="1" t="s">
        <v>287</v>
      </c>
      <c r="E1495" s="1" t="n">
        <v>1579</v>
      </c>
      <c r="F1495" s="1" t="n">
        <v>7.19</v>
      </c>
      <c r="G1495" s="1" t="n">
        <v>11353.01</v>
      </c>
      <c r="H1495" s="1" t="s">
        <v>530</v>
      </c>
    </row>
    <row r="1496" customFormat="false" ht="14.25" hidden="false" customHeight="true" outlineLevel="0" collapsed="false">
      <c r="A1496" s="1" t="s">
        <v>706</v>
      </c>
      <c r="B1496" s="1" t="s">
        <v>50</v>
      </c>
      <c r="C1496" s="1" t="s">
        <v>533</v>
      </c>
      <c r="D1496" s="1" t="s">
        <v>287</v>
      </c>
      <c r="E1496" s="1" t="n">
        <v>0</v>
      </c>
      <c r="F1496" s="1" t="n">
        <v>0</v>
      </c>
      <c r="G1496" s="1" t="n">
        <v>0</v>
      </c>
      <c r="H1496" s="1" t="s">
        <v>534</v>
      </c>
    </row>
    <row r="1497" customFormat="false" ht="14.25" hidden="false" customHeight="true" outlineLevel="0" collapsed="false">
      <c r="A1497" s="1" t="s">
        <v>706</v>
      </c>
      <c r="B1497" s="1" t="s">
        <v>537</v>
      </c>
      <c r="C1497" s="1" t="s">
        <v>538</v>
      </c>
      <c r="D1497" s="1" t="s">
        <v>287</v>
      </c>
      <c r="E1497" s="1" t="n">
        <v>0</v>
      </c>
      <c r="F1497" s="1" t="n">
        <v>0</v>
      </c>
      <c r="G1497" s="1" t="n">
        <v>0</v>
      </c>
      <c r="H1497" s="1" t="s">
        <v>539</v>
      </c>
    </row>
    <row r="1498" customFormat="false" ht="14.25" hidden="false" customHeight="true" outlineLevel="0" collapsed="false">
      <c r="A1498" s="1" t="s">
        <v>706</v>
      </c>
      <c r="B1498" s="1" t="s">
        <v>537</v>
      </c>
      <c r="C1498" s="1" t="s">
        <v>540</v>
      </c>
      <c r="D1498" s="1" t="s">
        <v>287</v>
      </c>
      <c r="E1498" s="1" t="n">
        <v>0</v>
      </c>
      <c r="F1498" s="1" t="n">
        <v>0</v>
      </c>
      <c r="G1498" s="1" t="n">
        <v>0</v>
      </c>
      <c r="H1498" s="1" t="s">
        <v>541</v>
      </c>
    </row>
    <row r="1499" customFormat="false" ht="14.25" hidden="false" customHeight="true" outlineLevel="0" collapsed="false">
      <c r="A1499" s="1" t="s">
        <v>706</v>
      </c>
      <c r="B1499" s="1" t="s">
        <v>537</v>
      </c>
      <c r="C1499" s="1" t="s">
        <v>542</v>
      </c>
      <c r="D1499" s="1" t="s">
        <v>287</v>
      </c>
      <c r="E1499" s="1" t="n">
        <v>10</v>
      </c>
      <c r="F1499" s="1" t="n">
        <v>20</v>
      </c>
      <c r="G1499" s="1" t="n">
        <v>200</v>
      </c>
      <c r="H1499" s="1" t="s">
        <v>721</v>
      </c>
    </row>
    <row r="1500" customFormat="false" ht="14.25" hidden="false" customHeight="true" outlineLevel="0" collapsed="false">
      <c r="A1500" s="1" t="s">
        <v>706</v>
      </c>
      <c r="B1500" s="1" t="s">
        <v>537</v>
      </c>
      <c r="C1500" s="1" t="s">
        <v>544</v>
      </c>
      <c r="D1500" s="1" t="s">
        <v>287</v>
      </c>
      <c r="E1500" s="1" t="n">
        <v>1</v>
      </c>
      <c r="F1500" s="1" t="n">
        <v>937.18</v>
      </c>
      <c r="G1500" s="1" t="n">
        <v>937.18</v>
      </c>
      <c r="H1500" s="1" t="s">
        <v>686</v>
      </c>
    </row>
    <row r="1501" customFormat="false" ht="14.25" hidden="false" customHeight="true" outlineLevel="0" collapsed="false">
      <c r="A1501" s="1" t="s">
        <v>706</v>
      </c>
      <c r="B1501" s="1" t="s">
        <v>537</v>
      </c>
      <c r="C1501" s="1" t="s">
        <v>546</v>
      </c>
      <c r="D1501" s="1" t="s">
        <v>287</v>
      </c>
      <c r="E1501" s="1" t="n">
        <v>0</v>
      </c>
      <c r="F1501" s="1" t="n">
        <v>0</v>
      </c>
      <c r="G1501" s="1" t="n">
        <v>0</v>
      </c>
      <c r="H1501" s="1" t="s">
        <v>722</v>
      </c>
    </row>
    <row r="1502" customFormat="false" ht="14.25" hidden="false" customHeight="true" outlineLevel="0" collapsed="false">
      <c r="A1502" s="1" t="s">
        <v>706</v>
      </c>
      <c r="B1502" s="1" t="s">
        <v>554</v>
      </c>
      <c r="C1502" s="1" t="s">
        <v>673</v>
      </c>
      <c r="D1502" s="1" t="s">
        <v>287</v>
      </c>
      <c r="E1502" s="1" t="n">
        <v>0</v>
      </c>
      <c r="F1502" s="1" t="n">
        <v>0</v>
      </c>
      <c r="G1502" s="1" t="n">
        <v>0</v>
      </c>
      <c r="H1502" s="1" t="s">
        <v>558</v>
      </c>
    </row>
    <row r="1503" customFormat="false" ht="14.25" hidden="false" customHeight="true" outlineLevel="0" collapsed="false">
      <c r="A1503" s="1" t="s">
        <v>706</v>
      </c>
      <c r="B1503" s="1" t="s">
        <v>554</v>
      </c>
      <c r="C1503" s="1" t="s">
        <v>555</v>
      </c>
      <c r="D1503" s="1" t="s">
        <v>287</v>
      </c>
      <c r="E1503" s="1" t="n">
        <v>0</v>
      </c>
      <c r="F1503" s="1" t="n">
        <v>0</v>
      </c>
      <c r="G1503" s="1" t="n">
        <v>0</v>
      </c>
      <c r="H1503" s="1" t="s">
        <v>556</v>
      </c>
    </row>
    <row r="1504" customFormat="false" ht="14.25" hidden="false" customHeight="true" outlineLevel="0" collapsed="false">
      <c r="A1504" s="1" t="s">
        <v>706</v>
      </c>
      <c r="B1504" s="1" t="s">
        <v>554</v>
      </c>
      <c r="C1504" s="1" t="s">
        <v>674</v>
      </c>
      <c r="D1504" s="1" t="s">
        <v>287</v>
      </c>
      <c r="E1504" s="1" t="n">
        <v>0</v>
      </c>
      <c r="F1504" s="1" t="n">
        <v>0</v>
      </c>
      <c r="G1504" s="1" t="n">
        <v>0</v>
      </c>
      <c r="H1504" s="1" t="s">
        <v>562</v>
      </c>
    </row>
    <row r="1505" customFormat="false" ht="14.25" hidden="false" customHeight="true" outlineLevel="0" collapsed="false">
      <c r="A1505" s="1" t="s">
        <v>706</v>
      </c>
      <c r="B1505" s="1" t="s">
        <v>554</v>
      </c>
      <c r="C1505" s="1" t="s">
        <v>559</v>
      </c>
      <c r="D1505" s="1" t="s">
        <v>287</v>
      </c>
      <c r="E1505" s="1" t="n">
        <v>0</v>
      </c>
      <c r="F1505" s="1" t="n">
        <v>0</v>
      </c>
      <c r="G1505" s="1" t="n">
        <v>0</v>
      </c>
      <c r="H1505" s="1" t="s">
        <v>560</v>
      </c>
    </row>
    <row r="1506" customFormat="false" ht="14.25" hidden="false" customHeight="true" outlineLevel="0" collapsed="false">
      <c r="A1506" s="1" t="s">
        <v>706</v>
      </c>
      <c r="B1506" s="1" t="s">
        <v>47</v>
      </c>
      <c r="C1506" s="1" t="s">
        <v>608</v>
      </c>
      <c r="D1506" s="1" t="s">
        <v>287</v>
      </c>
      <c r="E1506" s="1" t="n">
        <v>1</v>
      </c>
      <c r="F1506" s="1" t="n">
        <v>9147.42</v>
      </c>
      <c r="G1506" s="1" t="n">
        <v>9147.42</v>
      </c>
      <c r="H1506" s="1" t="s">
        <v>723</v>
      </c>
    </row>
    <row r="1507" customFormat="false" ht="14.25" hidden="false" customHeight="true" outlineLevel="0" collapsed="false">
      <c r="A1507" s="1" t="s">
        <v>706</v>
      </c>
      <c r="B1507" s="1" t="s">
        <v>85</v>
      </c>
      <c r="C1507" s="1" t="s">
        <v>615</v>
      </c>
      <c r="D1507" s="1" t="s">
        <v>287</v>
      </c>
      <c r="E1507" s="1" t="n">
        <v>3</v>
      </c>
      <c r="F1507" s="1" t="n">
        <v>167.82</v>
      </c>
      <c r="G1507" s="1" t="n">
        <v>503.46</v>
      </c>
      <c r="H1507" s="1" t="s">
        <v>617</v>
      </c>
    </row>
    <row r="1508" customFormat="false" ht="14.25" hidden="false" customHeight="true" outlineLevel="0" collapsed="false">
      <c r="A1508" s="1" t="s">
        <v>706</v>
      </c>
      <c r="B1508" s="1" t="s">
        <v>32</v>
      </c>
      <c r="C1508" s="1" t="s">
        <v>618</v>
      </c>
      <c r="D1508" s="1" t="s">
        <v>287</v>
      </c>
      <c r="E1508" s="1" t="n">
        <v>0</v>
      </c>
      <c r="F1508" s="1" t="n">
        <v>0</v>
      </c>
      <c r="G1508" s="1" t="n">
        <v>0</v>
      </c>
      <c r="H1508" s="1" t="s">
        <v>619</v>
      </c>
    </row>
    <row r="1509" customFormat="false" ht="14.25" hidden="false" customHeight="true" outlineLevel="0" collapsed="false">
      <c r="A1509" s="1" t="s">
        <v>706</v>
      </c>
      <c r="B1509" s="1" t="s">
        <v>32</v>
      </c>
      <c r="C1509" s="1" t="s">
        <v>620</v>
      </c>
      <c r="D1509" s="1" t="s">
        <v>287</v>
      </c>
      <c r="E1509" s="1" t="n">
        <v>0</v>
      </c>
      <c r="F1509" s="1" t="n">
        <v>0</v>
      </c>
      <c r="G1509" s="1" t="n">
        <v>0</v>
      </c>
      <c r="H1509" s="1" t="s">
        <v>621</v>
      </c>
    </row>
    <row r="1510" customFormat="false" ht="14.25" hidden="false" customHeight="true" outlineLevel="0" collapsed="false">
      <c r="A1510" s="1" t="s">
        <v>706</v>
      </c>
      <c r="B1510" s="1" t="s">
        <v>44</v>
      </c>
      <c r="C1510" s="1" t="s">
        <v>626</v>
      </c>
      <c r="D1510" s="1" t="s">
        <v>287</v>
      </c>
      <c r="E1510" s="1" t="n">
        <v>1</v>
      </c>
      <c r="F1510" s="1" t="n">
        <v>1926.32</v>
      </c>
      <c r="G1510" s="1" t="n">
        <v>1926.32</v>
      </c>
      <c r="H1510" s="1" t="s">
        <v>679</v>
      </c>
    </row>
    <row r="1511" customFormat="false" ht="14.25" hidden="false" customHeight="true" outlineLevel="0" collapsed="false">
      <c r="A1511" s="1" t="s">
        <v>706</v>
      </c>
      <c r="B1511" s="1" t="s">
        <v>44</v>
      </c>
      <c r="C1511" s="1" t="s">
        <v>626</v>
      </c>
      <c r="D1511" s="1" t="s">
        <v>287</v>
      </c>
      <c r="E1511" s="1" t="n">
        <v>0</v>
      </c>
      <c r="F1511" s="1" t="n">
        <v>0</v>
      </c>
      <c r="G1511" s="1" t="n">
        <v>0</v>
      </c>
      <c r="H1511" s="1" t="s">
        <v>693</v>
      </c>
    </row>
    <row r="1512" customFormat="false" ht="14.25" hidden="false" customHeight="true" outlineLevel="0" collapsed="false">
      <c r="A1512" s="1" t="s">
        <v>706</v>
      </c>
      <c r="B1512" s="1" t="s">
        <v>87</v>
      </c>
      <c r="C1512" s="1" t="s">
        <v>642</v>
      </c>
      <c r="D1512" s="1" t="s">
        <v>287</v>
      </c>
      <c r="E1512" s="1" t="n">
        <v>2</v>
      </c>
      <c r="F1512" s="1" t="n">
        <v>50</v>
      </c>
      <c r="G1512" s="1" t="n">
        <v>100</v>
      </c>
      <c r="H1512" s="1" t="s">
        <v>724</v>
      </c>
    </row>
    <row r="1513" customFormat="false" ht="14.25" hidden="false" customHeight="true" outlineLevel="0" collapsed="false">
      <c r="A1513" s="1" t="s">
        <v>706</v>
      </c>
      <c r="B1513" s="1" t="s">
        <v>449</v>
      </c>
      <c r="C1513" s="1" t="s">
        <v>450</v>
      </c>
      <c r="D1513" s="1" t="s">
        <v>289</v>
      </c>
      <c r="E1513" s="1" t="n">
        <v>13611</v>
      </c>
      <c r="F1513" s="1" t="n">
        <v>0.37</v>
      </c>
      <c r="G1513" s="1" t="n">
        <v>5036.07</v>
      </c>
      <c r="H1513" s="1" t="s">
        <v>451</v>
      </c>
    </row>
    <row r="1514" customFormat="false" ht="14.25" hidden="false" customHeight="true" outlineLevel="0" collapsed="false">
      <c r="A1514" s="1" t="s">
        <v>706</v>
      </c>
      <c r="B1514" s="1" t="s">
        <v>452</v>
      </c>
      <c r="C1514" s="1" t="s">
        <v>86</v>
      </c>
      <c r="D1514" s="1" t="s">
        <v>289</v>
      </c>
      <c r="E1514" s="1" t="n">
        <v>13611</v>
      </c>
      <c r="F1514" s="1" t="n">
        <v>0.31</v>
      </c>
      <c r="G1514" s="1" t="n">
        <v>4219.41</v>
      </c>
      <c r="H1514" s="1" t="s">
        <v>451</v>
      </c>
    </row>
    <row r="1515" customFormat="false" ht="14.25" hidden="false" customHeight="true" outlineLevel="0" collapsed="false">
      <c r="A1515" s="1" t="s">
        <v>706</v>
      </c>
      <c r="B1515" s="1" t="s">
        <v>453</v>
      </c>
      <c r="C1515" s="1" t="s">
        <v>454</v>
      </c>
      <c r="D1515" s="1" t="s">
        <v>289</v>
      </c>
      <c r="E1515" s="1" t="n">
        <v>0</v>
      </c>
      <c r="F1515" s="1" t="n">
        <v>0</v>
      </c>
      <c r="G1515" s="1" t="n">
        <v>0</v>
      </c>
      <c r="H1515" s="1" t="s">
        <v>458</v>
      </c>
    </row>
    <row r="1516" customFormat="false" ht="14.25" hidden="false" customHeight="true" outlineLevel="0" collapsed="false">
      <c r="A1516" s="1" t="s">
        <v>706</v>
      </c>
      <c r="B1516" s="1" t="s">
        <v>453</v>
      </c>
      <c r="C1516" s="1" t="s">
        <v>459</v>
      </c>
      <c r="D1516" s="1" t="s">
        <v>289</v>
      </c>
      <c r="E1516" s="1" t="n">
        <v>0</v>
      </c>
      <c r="F1516" s="1" t="n">
        <v>0</v>
      </c>
      <c r="G1516" s="1" t="n">
        <v>0</v>
      </c>
      <c r="H1516" s="1" t="s">
        <v>460</v>
      </c>
    </row>
    <row r="1517" customFormat="false" ht="14.25" hidden="false" customHeight="true" outlineLevel="0" collapsed="false">
      <c r="A1517" s="1" t="s">
        <v>706</v>
      </c>
      <c r="B1517" s="1" t="s">
        <v>464</v>
      </c>
      <c r="C1517" s="1" t="s">
        <v>725</v>
      </c>
      <c r="D1517" s="1" t="s">
        <v>289</v>
      </c>
      <c r="E1517" s="1" t="n">
        <v>1</v>
      </c>
      <c r="F1517" s="1" t="n">
        <v>33.5</v>
      </c>
      <c r="G1517" s="1" t="n">
        <v>33.5</v>
      </c>
      <c r="H1517" s="1" t="s">
        <v>483</v>
      </c>
    </row>
    <row r="1518" customFormat="false" ht="14.25" hidden="false" customHeight="true" outlineLevel="0" collapsed="false">
      <c r="A1518" s="1" t="s">
        <v>706</v>
      </c>
      <c r="B1518" s="1" t="s">
        <v>464</v>
      </c>
      <c r="C1518" s="1" t="s">
        <v>725</v>
      </c>
      <c r="D1518" s="1" t="s">
        <v>289</v>
      </c>
      <c r="E1518" s="1" t="n">
        <v>1</v>
      </c>
      <c r="F1518" s="1" t="n">
        <v>22</v>
      </c>
      <c r="G1518" s="1" t="n">
        <v>22</v>
      </c>
      <c r="H1518" s="1" t="s">
        <v>484</v>
      </c>
    </row>
    <row r="1519" customFormat="false" ht="14.25" hidden="false" customHeight="true" outlineLevel="0" collapsed="false">
      <c r="A1519" s="1" t="s">
        <v>706</v>
      </c>
      <c r="B1519" s="1" t="s">
        <v>464</v>
      </c>
      <c r="C1519" s="1" t="s">
        <v>465</v>
      </c>
      <c r="D1519" s="1" t="s">
        <v>289</v>
      </c>
      <c r="E1519" s="1" t="n">
        <v>285</v>
      </c>
      <c r="F1519" s="1" t="n">
        <v>1.86</v>
      </c>
      <c r="G1519" s="1" t="n">
        <v>530.1</v>
      </c>
      <c r="H1519" s="1" t="s">
        <v>717</v>
      </c>
    </row>
    <row r="1520" customFormat="false" ht="14.25" hidden="false" customHeight="true" outlineLevel="0" collapsed="false">
      <c r="A1520" s="1" t="s">
        <v>706</v>
      </c>
      <c r="B1520" s="1" t="s">
        <v>464</v>
      </c>
      <c r="C1520" s="1" t="s">
        <v>473</v>
      </c>
      <c r="D1520" s="1" t="s">
        <v>289</v>
      </c>
      <c r="E1520" s="1" t="n">
        <v>0</v>
      </c>
      <c r="F1520" s="1" t="n">
        <v>0</v>
      </c>
      <c r="G1520" s="1" t="n">
        <v>0</v>
      </c>
      <c r="H1520" s="1" t="s">
        <v>726</v>
      </c>
    </row>
    <row r="1521" customFormat="false" ht="14.25" hidden="false" customHeight="true" outlineLevel="0" collapsed="false">
      <c r="A1521" s="1" t="s">
        <v>706</v>
      </c>
      <c r="B1521" s="1" t="s">
        <v>464</v>
      </c>
      <c r="C1521" s="1" t="s">
        <v>473</v>
      </c>
      <c r="D1521" s="1" t="s">
        <v>289</v>
      </c>
      <c r="E1521" s="1" t="n">
        <v>1</v>
      </c>
      <c r="F1521" s="1" t="n">
        <v>168.56</v>
      </c>
      <c r="G1521" s="1" t="n">
        <v>168.56</v>
      </c>
      <c r="H1521" s="1" t="s">
        <v>719</v>
      </c>
    </row>
    <row r="1522" customFormat="false" ht="14.25" hidden="false" customHeight="true" outlineLevel="0" collapsed="false">
      <c r="A1522" s="1" t="s">
        <v>706</v>
      </c>
      <c r="B1522" s="1" t="s">
        <v>464</v>
      </c>
      <c r="C1522" s="1" t="s">
        <v>473</v>
      </c>
      <c r="D1522" s="1" t="s">
        <v>289</v>
      </c>
      <c r="E1522" s="1" t="n">
        <v>115</v>
      </c>
      <c r="F1522" s="1" t="n">
        <v>27.68</v>
      </c>
      <c r="G1522" s="1" t="n">
        <v>3183.2</v>
      </c>
      <c r="H1522" s="1" t="s">
        <v>727</v>
      </c>
    </row>
    <row r="1523" customFormat="false" ht="14.25" hidden="false" customHeight="true" outlineLevel="0" collapsed="false">
      <c r="A1523" s="1" t="s">
        <v>706</v>
      </c>
      <c r="B1523" s="1" t="s">
        <v>464</v>
      </c>
      <c r="C1523" s="1" t="s">
        <v>478</v>
      </c>
      <c r="D1523" s="1" t="s">
        <v>289</v>
      </c>
      <c r="E1523" s="1" t="n">
        <v>0</v>
      </c>
      <c r="F1523" s="1" t="n">
        <v>0</v>
      </c>
      <c r="G1523" s="1" t="n">
        <v>0</v>
      </c>
      <c r="H1523" s="1" t="s">
        <v>728</v>
      </c>
    </row>
    <row r="1524" customFormat="false" ht="14.25" hidden="false" customHeight="true" outlineLevel="0" collapsed="false">
      <c r="A1524" s="1" t="s">
        <v>706</v>
      </c>
      <c r="B1524" s="1" t="s">
        <v>464</v>
      </c>
      <c r="C1524" s="1" t="s">
        <v>657</v>
      </c>
      <c r="D1524" s="1" t="s">
        <v>289</v>
      </c>
      <c r="E1524" s="1" t="n">
        <v>0</v>
      </c>
      <c r="F1524" s="1" t="n">
        <v>0</v>
      </c>
      <c r="G1524" s="1" t="n">
        <v>0</v>
      </c>
      <c r="H1524" s="1" t="s">
        <v>729</v>
      </c>
    </row>
    <row r="1525" customFormat="false" ht="14.25" hidden="false" customHeight="true" outlineLevel="0" collapsed="false">
      <c r="A1525" s="1" t="s">
        <v>706</v>
      </c>
      <c r="B1525" s="1" t="s">
        <v>464</v>
      </c>
      <c r="C1525" s="1" t="s">
        <v>490</v>
      </c>
      <c r="D1525" s="1" t="s">
        <v>289</v>
      </c>
      <c r="E1525" s="1" t="n">
        <v>0</v>
      </c>
      <c r="F1525" s="1" t="n">
        <v>0</v>
      </c>
      <c r="G1525" s="1" t="n">
        <v>0</v>
      </c>
      <c r="H1525" s="1" t="s">
        <v>728</v>
      </c>
    </row>
    <row r="1526" customFormat="false" ht="14.25" hidden="false" customHeight="true" outlineLevel="0" collapsed="false">
      <c r="A1526" s="1" t="s">
        <v>706</v>
      </c>
      <c r="B1526" s="1" t="s">
        <v>464</v>
      </c>
      <c r="C1526" s="1" t="s">
        <v>491</v>
      </c>
      <c r="D1526" s="1" t="s">
        <v>289</v>
      </c>
      <c r="E1526" s="1" t="n">
        <v>0</v>
      </c>
      <c r="F1526" s="1" t="n">
        <v>0</v>
      </c>
      <c r="G1526" s="1" t="n">
        <v>0</v>
      </c>
      <c r="H1526" s="1" t="s">
        <v>477</v>
      </c>
    </row>
    <row r="1527" customFormat="false" ht="14.25" hidden="false" customHeight="true" outlineLevel="0" collapsed="false">
      <c r="A1527" s="1" t="s">
        <v>706</v>
      </c>
      <c r="B1527" s="1" t="s">
        <v>464</v>
      </c>
      <c r="C1527" s="1" t="s">
        <v>492</v>
      </c>
      <c r="D1527" s="1" t="s">
        <v>289</v>
      </c>
      <c r="E1527" s="1" t="n">
        <v>0</v>
      </c>
      <c r="F1527" s="1" t="n">
        <v>0</v>
      </c>
      <c r="G1527" s="1" t="n">
        <v>0</v>
      </c>
      <c r="H1527" s="1" t="s">
        <v>728</v>
      </c>
    </row>
    <row r="1528" customFormat="false" ht="14.25" hidden="false" customHeight="true" outlineLevel="0" collapsed="false">
      <c r="A1528" s="1" t="s">
        <v>706</v>
      </c>
      <c r="B1528" s="1" t="s">
        <v>464</v>
      </c>
      <c r="C1528" s="1" t="s">
        <v>493</v>
      </c>
      <c r="D1528" s="1" t="s">
        <v>289</v>
      </c>
      <c r="E1528" s="1" t="n">
        <v>0</v>
      </c>
      <c r="F1528" s="1" t="n">
        <v>0</v>
      </c>
      <c r="G1528" s="1" t="n">
        <v>0</v>
      </c>
      <c r="H1528" s="1" t="s">
        <v>728</v>
      </c>
    </row>
    <row r="1529" customFormat="false" ht="14.25" hidden="false" customHeight="true" outlineLevel="0" collapsed="false">
      <c r="A1529" s="1" t="s">
        <v>706</v>
      </c>
      <c r="B1529" s="1" t="s">
        <v>464</v>
      </c>
      <c r="C1529" s="1" t="s">
        <v>494</v>
      </c>
      <c r="D1529" s="1" t="s">
        <v>289</v>
      </c>
      <c r="E1529" s="1" t="n">
        <v>0</v>
      </c>
      <c r="F1529" s="1" t="n">
        <v>0</v>
      </c>
      <c r="G1529" s="1" t="n">
        <v>0</v>
      </c>
      <c r="H1529" s="1" t="s">
        <v>728</v>
      </c>
    </row>
    <row r="1530" customFormat="false" ht="14.25" hidden="false" customHeight="true" outlineLevel="0" collapsed="false">
      <c r="A1530" s="1" t="s">
        <v>706</v>
      </c>
      <c r="B1530" s="1" t="s">
        <v>143</v>
      </c>
      <c r="C1530" s="1" t="s">
        <v>527</v>
      </c>
      <c r="D1530" s="1" t="s">
        <v>289</v>
      </c>
      <c r="E1530" s="1" t="n">
        <v>13611</v>
      </c>
      <c r="F1530" s="1" t="n">
        <v>0.28</v>
      </c>
      <c r="G1530" s="1" t="n">
        <v>3811.08</v>
      </c>
      <c r="H1530" s="1" t="s">
        <v>451</v>
      </c>
    </row>
    <row r="1531" customFormat="false" ht="14.25" hidden="false" customHeight="true" outlineLevel="0" collapsed="false">
      <c r="A1531" s="1" t="s">
        <v>706</v>
      </c>
      <c r="B1531" s="1" t="s">
        <v>141</v>
      </c>
      <c r="C1531" s="1" t="s">
        <v>528</v>
      </c>
      <c r="D1531" s="1" t="s">
        <v>289</v>
      </c>
      <c r="E1531" s="1" t="n">
        <v>13611</v>
      </c>
      <c r="F1531" s="1" t="n">
        <v>0.15</v>
      </c>
      <c r="G1531" s="1" t="n">
        <v>2041.65</v>
      </c>
      <c r="H1531" s="1" t="s">
        <v>451</v>
      </c>
    </row>
    <row r="1532" customFormat="false" ht="14.25" hidden="false" customHeight="true" outlineLevel="0" collapsed="false">
      <c r="A1532" s="1" t="s">
        <v>706</v>
      </c>
      <c r="B1532" s="1" t="s">
        <v>50</v>
      </c>
      <c r="C1532" s="1" t="s">
        <v>533</v>
      </c>
      <c r="D1532" s="1" t="s">
        <v>289</v>
      </c>
      <c r="E1532" s="1" t="n">
        <v>0</v>
      </c>
      <c r="F1532" s="1" t="n">
        <v>0</v>
      </c>
      <c r="G1532" s="1" t="n">
        <v>0</v>
      </c>
      <c r="H1532" s="1" t="s">
        <v>534</v>
      </c>
    </row>
    <row r="1533" customFormat="false" ht="14.25" hidden="false" customHeight="true" outlineLevel="0" collapsed="false">
      <c r="A1533" s="1" t="s">
        <v>706</v>
      </c>
      <c r="B1533" s="1" t="s">
        <v>537</v>
      </c>
      <c r="C1533" s="1" t="s">
        <v>544</v>
      </c>
      <c r="D1533" s="1" t="s">
        <v>289</v>
      </c>
      <c r="E1533" s="1" t="n">
        <v>0</v>
      </c>
      <c r="F1533" s="1" t="n">
        <v>0</v>
      </c>
      <c r="G1533" s="1" t="n">
        <v>0</v>
      </c>
      <c r="H1533" s="1" t="s">
        <v>730</v>
      </c>
    </row>
    <row r="1534" customFormat="false" ht="14.25" hidden="false" customHeight="true" outlineLevel="0" collapsed="false">
      <c r="A1534" s="1" t="s">
        <v>706</v>
      </c>
      <c r="B1534" s="1" t="s">
        <v>554</v>
      </c>
      <c r="C1534" s="1" t="s">
        <v>565</v>
      </c>
      <c r="D1534" s="1" t="s">
        <v>289</v>
      </c>
      <c r="E1534" s="1" t="n">
        <v>0</v>
      </c>
      <c r="F1534" s="1" t="n">
        <v>0</v>
      </c>
      <c r="G1534" s="1" t="n">
        <v>0</v>
      </c>
      <c r="H1534" s="1" t="s">
        <v>566</v>
      </c>
    </row>
    <row r="1535" customFormat="false" ht="14.25" hidden="false" customHeight="true" outlineLevel="0" collapsed="false">
      <c r="A1535" s="1" t="s">
        <v>706</v>
      </c>
      <c r="B1535" s="1" t="s">
        <v>554</v>
      </c>
      <c r="C1535" s="1" t="s">
        <v>563</v>
      </c>
      <c r="D1535" s="1" t="s">
        <v>289</v>
      </c>
      <c r="E1535" s="1" t="n">
        <v>0</v>
      </c>
      <c r="F1535" s="1" t="n">
        <v>0</v>
      </c>
      <c r="G1535" s="1" t="n">
        <v>0</v>
      </c>
      <c r="H1535" s="1" t="s">
        <v>564</v>
      </c>
    </row>
    <row r="1536" customFormat="false" ht="14.25" hidden="false" customHeight="true" outlineLevel="0" collapsed="false">
      <c r="A1536" s="1" t="s">
        <v>706</v>
      </c>
      <c r="B1536" s="1" t="s">
        <v>47</v>
      </c>
      <c r="C1536" s="1" t="s">
        <v>608</v>
      </c>
      <c r="D1536" s="1" t="s">
        <v>289</v>
      </c>
      <c r="E1536" s="1" t="n">
        <v>0</v>
      </c>
      <c r="F1536" s="1" t="n">
        <v>0</v>
      </c>
      <c r="G1536" s="1" t="n">
        <v>0</v>
      </c>
      <c r="H1536" s="1" t="s">
        <v>610</v>
      </c>
    </row>
    <row r="1537" customFormat="false" ht="14.25" hidden="false" customHeight="true" outlineLevel="0" collapsed="false">
      <c r="A1537" s="1" t="s">
        <v>706</v>
      </c>
      <c r="B1537" s="1" t="s">
        <v>85</v>
      </c>
      <c r="C1537" s="1" t="s">
        <v>615</v>
      </c>
      <c r="D1537" s="1" t="s">
        <v>289</v>
      </c>
      <c r="E1537" s="1" t="n">
        <v>6</v>
      </c>
      <c r="F1537" s="1" t="n">
        <v>155.82</v>
      </c>
      <c r="G1537" s="1" t="n">
        <v>934.92</v>
      </c>
      <c r="H1537" s="1" t="s">
        <v>617</v>
      </c>
    </row>
    <row r="1538" customFormat="false" ht="14.25" hidden="false" customHeight="true" outlineLevel="0" collapsed="false">
      <c r="A1538" s="1" t="s">
        <v>706</v>
      </c>
      <c r="B1538" s="1" t="s">
        <v>624</v>
      </c>
      <c r="C1538" s="1" t="s">
        <v>625</v>
      </c>
      <c r="D1538" s="1" t="s">
        <v>289</v>
      </c>
      <c r="E1538" s="1" t="n">
        <v>13611</v>
      </c>
      <c r="F1538" s="1" t="n">
        <v>3.12</v>
      </c>
      <c r="G1538" s="1" t="n">
        <v>42466.32</v>
      </c>
      <c r="H1538" s="1" t="s">
        <v>451</v>
      </c>
    </row>
    <row r="1539" customFormat="false" ht="14.25" hidden="false" customHeight="true" outlineLevel="0" collapsed="false">
      <c r="A1539" s="1" t="s">
        <v>706</v>
      </c>
      <c r="B1539" s="1" t="s">
        <v>32</v>
      </c>
      <c r="C1539" s="1" t="s">
        <v>618</v>
      </c>
      <c r="D1539" s="1" t="s">
        <v>289</v>
      </c>
      <c r="E1539" s="1" t="n">
        <v>0</v>
      </c>
      <c r="F1539" s="1" t="n">
        <v>0</v>
      </c>
      <c r="G1539" s="1" t="n">
        <v>0</v>
      </c>
      <c r="H1539" s="1" t="s">
        <v>619</v>
      </c>
    </row>
    <row r="1540" customFormat="false" ht="14.25" hidden="false" customHeight="true" outlineLevel="0" collapsed="false">
      <c r="A1540" s="1" t="s">
        <v>706</v>
      </c>
      <c r="B1540" s="1" t="s">
        <v>32</v>
      </c>
      <c r="C1540" s="1" t="s">
        <v>620</v>
      </c>
      <c r="D1540" s="1" t="s">
        <v>289</v>
      </c>
      <c r="E1540" s="1" t="n">
        <v>0</v>
      </c>
      <c r="F1540" s="1" t="n">
        <v>0</v>
      </c>
      <c r="G1540" s="1" t="n">
        <v>0</v>
      </c>
      <c r="H1540" s="1" t="s">
        <v>621</v>
      </c>
    </row>
    <row r="1541" customFormat="false" ht="14.25" hidden="false" customHeight="true" outlineLevel="0" collapsed="false">
      <c r="A1541" s="1" t="s">
        <v>706</v>
      </c>
      <c r="B1541" s="1" t="s">
        <v>44</v>
      </c>
      <c r="C1541" s="1" t="s">
        <v>626</v>
      </c>
      <c r="D1541" s="1" t="s">
        <v>289</v>
      </c>
      <c r="E1541" s="1" t="n">
        <v>1</v>
      </c>
      <c r="F1541" s="1" t="n">
        <v>539.98</v>
      </c>
      <c r="G1541" s="1" t="n">
        <v>539.98</v>
      </c>
      <c r="H1541" s="1" t="s">
        <v>679</v>
      </c>
    </row>
    <row r="1542" customFormat="false" ht="14.25" hidden="false" customHeight="true" outlineLevel="0" collapsed="false">
      <c r="A1542" s="1" t="s">
        <v>706</v>
      </c>
      <c r="B1542" s="1" t="s">
        <v>44</v>
      </c>
      <c r="C1542" s="1" t="s">
        <v>629</v>
      </c>
      <c r="D1542" s="1" t="s">
        <v>289</v>
      </c>
      <c r="E1542" s="1" t="n">
        <v>0</v>
      </c>
      <c r="F1542" s="1" t="n">
        <v>0</v>
      </c>
      <c r="G1542" s="1" t="n">
        <v>0</v>
      </c>
      <c r="H1542" s="1" t="s">
        <v>630</v>
      </c>
    </row>
    <row r="1543" customFormat="false" ht="14.25" hidden="false" customHeight="true" outlineLevel="0" collapsed="false">
      <c r="A1543" s="1" t="s">
        <v>706</v>
      </c>
      <c r="B1543" s="1" t="s">
        <v>44</v>
      </c>
      <c r="C1543" s="1" t="s">
        <v>631</v>
      </c>
      <c r="D1543" s="1" t="s">
        <v>289</v>
      </c>
      <c r="E1543" s="1" t="n">
        <v>37</v>
      </c>
      <c r="F1543" s="1" t="n">
        <v>52.35</v>
      </c>
      <c r="G1543" s="1" t="n">
        <v>1936.95</v>
      </c>
      <c r="H1543" s="1" t="s">
        <v>731</v>
      </c>
    </row>
    <row r="1544" customFormat="false" ht="14.25" hidden="false" customHeight="true" outlineLevel="0" collapsed="false">
      <c r="A1544" s="1" t="s">
        <v>706</v>
      </c>
      <c r="B1544" s="1" t="s">
        <v>44</v>
      </c>
      <c r="C1544" s="1" t="s">
        <v>633</v>
      </c>
      <c r="D1544" s="1" t="s">
        <v>289</v>
      </c>
      <c r="E1544" s="1" t="n">
        <v>0</v>
      </c>
      <c r="F1544" s="1" t="n">
        <v>0</v>
      </c>
      <c r="G1544" s="1" t="n">
        <v>0</v>
      </c>
      <c r="H1544" s="1" t="s">
        <v>634</v>
      </c>
    </row>
    <row r="1545" customFormat="false" ht="14.25" hidden="false" customHeight="true" outlineLevel="0" collapsed="false">
      <c r="A1545" s="1" t="s">
        <v>706</v>
      </c>
      <c r="B1545" s="1" t="s">
        <v>87</v>
      </c>
      <c r="C1545" s="1" t="s">
        <v>642</v>
      </c>
      <c r="D1545" s="1" t="s">
        <v>289</v>
      </c>
      <c r="E1545" s="1" t="n">
        <v>2</v>
      </c>
      <c r="F1545" s="1" t="n">
        <v>50</v>
      </c>
      <c r="G1545" s="1" t="n">
        <v>100</v>
      </c>
      <c r="H1545" s="1" t="s">
        <v>724</v>
      </c>
    </row>
    <row r="1546" customFormat="false" ht="14.25" hidden="false" customHeight="true" outlineLevel="0" collapsed="false">
      <c r="A1546" s="1" t="s">
        <v>706</v>
      </c>
      <c r="B1546" s="1" t="s">
        <v>453</v>
      </c>
      <c r="C1546" s="1" t="s">
        <v>456</v>
      </c>
      <c r="D1546" s="1" t="s">
        <v>284</v>
      </c>
      <c r="E1546" s="1" t="n">
        <v>0</v>
      </c>
      <c r="F1546" s="1" t="n">
        <v>0</v>
      </c>
      <c r="G1546" s="1" t="n">
        <v>0</v>
      </c>
      <c r="H1546" s="1" t="s">
        <v>645</v>
      </c>
    </row>
    <row r="1547" customFormat="false" ht="14.25" hidden="false" customHeight="true" outlineLevel="0" collapsed="false">
      <c r="A1547" s="1" t="s">
        <v>706</v>
      </c>
      <c r="B1547" s="1" t="s">
        <v>453</v>
      </c>
      <c r="C1547" s="1" t="s">
        <v>454</v>
      </c>
      <c r="D1547" s="1" t="s">
        <v>293</v>
      </c>
      <c r="E1547" s="1" t="n">
        <v>0</v>
      </c>
      <c r="F1547" s="1" t="n">
        <v>0</v>
      </c>
      <c r="G1547" s="1" t="n">
        <v>0</v>
      </c>
      <c r="H1547" s="1" t="s">
        <v>458</v>
      </c>
    </row>
    <row r="1548" customFormat="false" ht="14.25" hidden="false" customHeight="true" outlineLevel="0" collapsed="false">
      <c r="A1548" s="1" t="s">
        <v>706</v>
      </c>
      <c r="B1548" s="1" t="s">
        <v>453</v>
      </c>
      <c r="C1548" s="1" t="s">
        <v>456</v>
      </c>
      <c r="D1548" s="1" t="s">
        <v>293</v>
      </c>
      <c r="E1548" s="1" t="n">
        <v>0</v>
      </c>
      <c r="F1548" s="1" t="n">
        <v>0</v>
      </c>
      <c r="G1548" s="1" t="n">
        <v>0</v>
      </c>
      <c r="H1548" s="1" t="s">
        <v>645</v>
      </c>
    </row>
    <row r="1549" customFormat="false" ht="14.25" hidden="false" customHeight="true" outlineLevel="0" collapsed="false">
      <c r="A1549" s="1" t="s">
        <v>706</v>
      </c>
      <c r="B1549" s="1" t="s">
        <v>78</v>
      </c>
      <c r="C1549" s="1" t="s">
        <v>463</v>
      </c>
      <c r="D1549" s="1" t="s">
        <v>293</v>
      </c>
      <c r="E1549" s="1" t="n">
        <v>3823</v>
      </c>
      <c r="F1549" s="1" t="n">
        <v>0.52</v>
      </c>
      <c r="G1549" s="1" t="n">
        <v>1987.96</v>
      </c>
      <c r="H1549" s="1" t="s">
        <v>451</v>
      </c>
    </row>
    <row r="1550" customFormat="false" ht="14.25" hidden="false" customHeight="true" outlineLevel="0" collapsed="false">
      <c r="A1550" s="1" t="s">
        <v>706</v>
      </c>
      <c r="B1550" s="1" t="s">
        <v>464</v>
      </c>
      <c r="C1550" s="1" t="s">
        <v>465</v>
      </c>
      <c r="D1550" s="1" t="s">
        <v>293</v>
      </c>
      <c r="E1550" s="1" t="n">
        <v>198</v>
      </c>
      <c r="F1550" s="1" t="n">
        <v>1.86</v>
      </c>
      <c r="G1550" s="1" t="n">
        <v>368.28</v>
      </c>
      <c r="H1550" s="1" t="s">
        <v>717</v>
      </c>
    </row>
    <row r="1551" customFormat="false" ht="14.25" hidden="false" customHeight="true" outlineLevel="0" collapsed="false">
      <c r="A1551" s="1" t="s">
        <v>706</v>
      </c>
      <c r="B1551" s="1" t="s">
        <v>464</v>
      </c>
      <c r="C1551" s="1" t="s">
        <v>478</v>
      </c>
      <c r="D1551" s="1" t="s">
        <v>293</v>
      </c>
      <c r="E1551" s="1" t="n">
        <v>1</v>
      </c>
      <c r="F1551" s="1" t="n">
        <v>348.349782230624</v>
      </c>
      <c r="G1551" s="1" t="n">
        <v>348.349782230624</v>
      </c>
      <c r="H1551" s="1" t="s">
        <v>728</v>
      </c>
    </row>
    <row r="1552" customFormat="false" ht="14.25" hidden="false" customHeight="true" outlineLevel="0" collapsed="false">
      <c r="A1552" s="1" t="s">
        <v>706</v>
      </c>
      <c r="B1552" s="1" t="s">
        <v>464</v>
      </c>
      <c r="C1552" s="1" t="s">
        <v>496</v>
      </c>
      <c r="D1552" s="1" t="s">
        <v>293</v>
      </c>
      <c r="E1552" s="1" t="n">
        <v>0</v>
      </c>
      <c r="F1552" s="1" t="n">
        <v>0</v>
      </c>
      <c r="G1552" s="1" t="n">
        <v>0</v>
      </c>
      <c r="H1552" s="1" t="s">
        <v>728</v>
      </c>
    </row>
    <row r="1553" customFormat="false" ht="14.25" hidden="false" customHeight="true" outlineLevel="0" collapsed="false">
      <c r="A1553" s="1" t="s">
        <v>706</v>
      </c>
      <c r="B1553" s="1" t="s">
        <v>464</v>
      </c>
      <c r="C1553" s="1" t="s">
        <v>497</v>
      </c>
      <c r="D1553" s="1" t="s">
        <v>293</v>
      </c>
      <c r="E1553" s="1" t="n">
        <v>0</v>
      </c>
      <c r="F1553" s="1" t="n">
        <v>0</v>
      </c>
      <c r="G1553" s="1" t="n">
        <v>0</v>
      </c>
    </row>
    <row r="1554" customFormat="false" ht="14.25" hidden="false" customHeight="true" outlineLevel="0" collapsed="false">
      <c r="A1554" s="1" t="s">
        <v>706</v>
      </c>
      <c r="B1554" s="1" t="s">
        <v>464</v>
      </c>
      <c r="C1554" s="1" t="s">
        <v>498</v>
      </c>
      <c r="D1554" s="1" t="s">
        <v>293</v>
      </c>
      <c r="E1554" s="1" t="n">
        <v>0</v>
      </c>
      <c r="F1554" s="1" t="n">
        <v>0</v>
      </c>
      <c r="G1554" s="1" t="n">
        <v>0</v>
      </c>
      <c r="H1554" s="1" t="s">
        <v>477</v>
      </c>
    </row>
    <row r="1555" customFormat="false" ht="14.25" hidden="false" customHeight="true" outlineLevel="0" collapsed="false">
      <c r="A1555" s="1" t="s">
        <v>706</v>
      </c>
      <c r="B1555" s="1" t="s">
        <v>143</v>
      </c>
      <c r="C1555" s="1" t="s">
        <v>527</v>
      </c>
      <c r="D1555" s="1" t="s">
        <v>293</v>
      </c>
      <c r="E1555" s="1" t="n">
        <v>3823</v>
      </c>
      <c r="F1555" s="1" t="n">
        <v>0.28</v>
      </c>
      <c r="G1555" s="1" t="n">
        <v>1070.44</v>
      </c>
      <c r="H1555" s="1" t="s">
        <v>451</v>
      </c>
    </row>
    <row r="1556" customFormat="false" ht="14.25" hidden="false" customHeight="true" outlineLevel="0" collapsed="false">
      <c r="A1556" s="1" t="s">
        <v>706</v>
      </c>
      <c r="B1556" s="1" t="s">
        <v>45</v>
      </c>
      <c r="C1556" s="1" t="s">
        <v>529</v>
      </c>
      <c r="D1556" s="1" t="s">
        <v>293</v>
      </c>
      <c r="E1556" s="1" t="n">
        <v>469</v>
      </c>
      <c r="F1556" s="1" t="n">
        <v>7.19</v>
      </c>
      <c r="G1556" s="1" t="n">
        <v>3372.11</v>
      </c>
      <c r="H1556" s="1" t="s">
        <v>530</v>
      </c>
    </row>
    <row r="1557" customFormat="false" ht="14.25" hidden="false" customHeight="true" outlineLevel="0" collapsed="false">
      <c r="A1557" s="1" t="s">
        <v>706</v>
      </c>
      <c r="B1557" s="1" t="s">
        <v>50</v>
      </c>
      <c r="C1557" s="1" t="s">
        <v>533</v>
      </c>
      <c r="D1557" s="1" t="s">
        <v>293</v>
      </c>
      <c r="E1557" s="1" t="n">
        <v>0</v>
      </c>
      <c r="F1557" s="1" t="n">
        <v>0</v>
      </c>
      <c r="G1557" s="1" t="n">
        <v>0</v>
      </c>
      <c r="H1557" s="1" t="s">
        <v>534</v>
      </c>
    </row>
    <row r="1558" customFormat="false" ht="14.25" hidden="false" customHeight="true" outlineLevel="0" collapsed="false">
      <c r="A1558" s="1" t="s">
        <v>706</v>
      </c>
      <c r="B1558" s="1" t="s">
        <v>537</v>
      </c>
      <c r="C1558" s="1" t="s">
        <v>542</v>
      </c>
      <c r="D1558" s="1" t="s">
        <v>293</v>
      </c>
      <c r="E1558" s="1" t="n">
        <v>3</v>
      </c>
      <c r="F1558" s="1" t="n">
        <v>20</v>
      </c>
      <c r="G1558" s="1" t="n">
        <v>60</v>
      </c>
      <c r="H1558" s="1" t="s">
        <v>721</v>
      </c>
    </row>
    <row r="1559" customFormat="false" ht="14.25" hidden="false" customHeight="true" outlineLevel="0" collapsed="false">
      <c r="A1559" s="1" t="s">
        <v>706</v>
      </c>
      <c r="B1559" s="1" t="s">
        <v>537</v>
      </c>
      <c r="C1559" s="1" t="s">
        <v>544</v>
      </c>
      <c r="D1559" s="1" t="s">
        <v>293</v>
      </c>
      <c r="E1559" s="1" t="n">
        <v>1</v>
      </c>
      <c r="F1559" s="1" t="n">
        <v>414.54</v>
      </c>
      <c r="G1559" s="1" t="n">
        <v>414.54</v>
      </c>
      <c r="H1559" s="1" t="s">
        <v>686</v>
      </c>
    </row>
    <row r="1560" customFormat="false" ht="14.25" hidden="false" customHeight="true" outlineLevel="0" collapsed="false">
      <c r="A1560" s="1" t="s">
        <v>706</v>
      </c>
      <c r="B1560" s="1" t="s">
        <v>537</v>
      </c>
      <c r="C1560" s="1" t="s">
        <v>546</v>
      </c>
      <c r="D1560" s="1" t="s">
        <v>293</v>
      </c>
      <c r="E1560" s="1" t="n">
        <v>0</v>
      </c>
      <c r="F1560" s="1" t="n">
        <v>0</v>
      </c>
      <c r="G1560" s="1" t="n">
        <v>0</v>
      </c>
      <c r="H1560" s="1" t="s">
        <v>722</v>
      </c>
    </row>
    <row r="1561" customFormat="false" ht="14.25" hidden="false" customHeight="true" outlineLevel="0" collapsed="false">
      <c r="A1561" s="1" t="s">
        <v>706</v>
      </c>
      <c r="B1561" s="1" t="s">
        <v>554</v>
      </c>
      <c r="C1561" s="1" t="s">
        <v>571</v>
      </c>
      <c r="D1561" s="1" t="s">
        <v>293</v>
      </c>
      <c r="E1561" s="1" t="n">
        <v>0</v>
      </c>
      <c r="F1561" s="1" t="n">
        <v>0</v>
      </c>
      <c r="G1561" s="1" t="n">
        <v>0</v>
      </c>
      <c r="H1561" s="1" t="s">
        <v>564</v>
      </c>
    </row>
    <row r="1562" customFormat="false" ht="14.25" hidden="false" customHeight="true" outlineLevel="0" collapsed="false">
      <c r="A1562" s="1" t="s">
        <v>706</v>
      </c>
      <c r="B1562" s="1" t="s">
        <v>554</v>
      </c>
      <c r="C1562" s="1" t="s">
        <v>567</v>
      </c>
      <c r="D1562" s="1" t="s">
        <v>293</v>
      </c>
      <c r="E1562" s="1" t="n">
        <v>0</v>
      </c>
      <c r="F1562" s="1" t="n">
        <v>0</v>
      </c>
      <c r="G1562" s="1" t="n">
        <v>0</v>
      </c>
      <c r="H1562" s="1" t="s">
        <v>568</v>
      </c>
    </row>
    <row r="1563" customFormat="false" ht="14.25" hidden="false" customHeight="true" outlineLevel="0" collapsed="false">
      <c r="A1563" s="1" t="s">
        <v>706</v>
      </c>
      <c r="B1563" s="1" t="s">
        <v>554</v>
      </c>
      <c r="C1563" s="1" t="s">
        <v>569</v>
      </c>
      <c r="D1563" s="1" t="s">
        <v>293</v>
      </c>
      <c r="E1563" s="1" t="n">
        <v>0</v>
      </c>
      <c r="F1563" s="1" t="n">
        <v>0</v>
      </c>
      <c r="G1563" s="1" t="n">
        <v>0</v>
      </c>
      <c r="H1563" s="1" t="s">
        <v>570</v>
      </c>
    </row>
    <row r="1564" customFormat="false" ht="14.25" hidden="false" customHeight="true" outlineLevel="0" collapsed="false">
      <c r="A1564" s="1" t="s">
        <v>706</v>
      </c>
      <c r="B1564" s="1" t="s">
        <v>554</v>
      </c>
      <c r="C1564" s="1" t="s">
        <v>572</v>
      </c>
      <c r="D1564" s="1" t="s">
        <v>293</v>
      </c>
      <c r="E1564" s="1" t="n">
        <v>0</v>
      </c>
      <c r="F1564" s="1" t="n">
        <v>0</v>
      </c>
      <c r="G1564" s="1" t="n">
        <v>0</v>
      </c>
      <c r="H1564" s="1" t="s">
        <v>573</v>
      </c>
    </row>
    <row r="1565" customFormat="false" ht="14.25" hidden="false" customHeight="true" outlineLevel="0" collapsed="false">
      <c r="A1565" s="1" t="s">
        <v>706</v>
      </c>
      <c r="B1565" s="1" t="s">
        <v>554</v>
      </c>
      <c r="C1565" s="1" t="s">
        <v>574</v>
      </c>
      <c r="D1565" s="1" t="s">
        <v>293</v>
      </c>
      <c r="E1565" s="1" t="n">
        <v>0</v>
      </c>
      <c r="F1565" s="1" t="n">
        <v>0</v>
      </c>
      <c r="G1565" s="1" t="n">
        <v>0</v>
      </c>
      <c r="H1565" s="1" t="s">
        <v>573</v>
      </c>
    </row>
    <row r="1566" customFormat="false" ht="14.25" hidden="false" customHeight="true" outlineLevel="0" collapsed="false">
      <c r="A1566" s="1" t="s">
        <v>706</v>
      </c>
      <c r="B1566" s="1" t="s">
        <v>554</v>
      </c>
      <c r="C1566" s="1" t="s">
        <v>575</v>
      </c>
      <c r="D1566" s="1" t="s">
        <v>293</v>
      </c>
      <c r="E1566" s="1" t="n">
        <v>1</v>
      </c>
      <c r="F1566" s="1" t="n">
        <v>3900.13</v>
      </c>
      <c r="G1566" s="1" t="n">
        <v>3900.13</v>
      </c>
      <c r="H1566" s="1" t="s">
        <v>576</v>
      </c>
    </row>
    <row r="1567" customFormat="false" ht="14.25" hidden="false" customHeight="true" outlineLevel="0" collapsed="false">
      <c r="A1567" s="1" t="s">
        <v>706</v>
      </c>
      <c r="B1567" s="1" t="s">
        <v>47</v>
      </c>
      <c r="C1567" s="1" t="s">
        <v>608</v>
      </c>
      <c r="D1567" s="1" t="s">
        <v>293</v>
      </c>
      <c r="E1567" s="1" t="n">
        <v>0</v>
      </c>
      <c r="F1567" s="1" t="n">
        <v>0</v>
      </c>
      <c r="G1567" s="1" t="n">
        <v>0</v>
      </c>
      <c r="H1567" s="1" t="s">
        <v>611</v>
      </c>
    </row>
    <row r="1568" customFormat="false" ht="14.25" hidden="false" customHeight="true" outlineLevel="0" collapsed="false">
      <c r="A1568" s="1" t="s">
        <v>706</v>
      </c>
      <c r="B1568" s="1" t="s">
        <v>85</v>
      </c>
      <c r="C1568" s="1" t="s">
        <v>615</v>
      </c>
      <c r="D1568" s="1" t="s">
        <v>293</v>
      </c>
      <c r="E1568" s="1" t="n">
        <v>5</v>
      </c>
      <c r="F1568" s="1" t="n">
        <v>143.82</v>
      </c>
      <c r="G1568" s="1" t="n">
        <v>719.1</v>
      </c>
      <c r="H1568" s="1" t="s">
        <v>617</v>
      </c>
    </row>
    <row r="1569" customFormat="false" ht="14.25" hidden="false" customHeight="true" outlineLevel="0" collapsed="false">
      <c r="A1569" s="1" t="s">
        <v>706</v>
      </c>
      <c r="B1569" s="1" t="s">
        <v>32</v>
      </c>
      <c r="C1569" s="1" t="s">
        <v>618</v>
      </c>
      <c r="D1569" s="1" t="s">
        <v>293</v>
      </c>
      <c r="E1569" s="1" t="n">
        <v>0</v>
      </c>
      <c r="F1569" s="1" t="n">
        <v>0</v>
      </c>
      <c r="G1569" s="1" t="n">
        <v>0</v>
      </c>
      <c r="H1569" s="1" t="s">
        <v>619</v>
      </c>
    </row>
    <row r="1570" customFormat="false" ht="14.25" hidden="false" customHeight="true" outlineLevel="0" collapsed="false">
      <c r="A1570" s="1" t="s">
        <v>706</v>
      </c>
      <c r="B1570" s="1" t="s">
        <v>32</v>
      </c>
      <c r="C1570" s="1" t="s">
        <v>620</v>
      </c>
      <c r="D1570" s="1" t="s">
        <v>293</v>
      </c>
      <c r="E1570" s="1" t="n">
        <v>0</v>
      </c>
      <c r="F1570" s="1" t="n">
        <v>0</v>
      </c>
      <c r="G1570" s="1" t="n">
        <v>0</v>
      </c>
      <c r="H1570" s="1" t="s">
        <v>622</v>
      </c>
    </row>
    <row r="1571" customFormat="false" ht="14.25" hidden="false" customHeight="true" outlineLevel="0" collapsed="false">
      <c r="A1571" s="1" t="s">
        <v>706</v>
      </c>
      <c r="B1571" s="1" t="s">
        <v>44</v>
      </c>
      <c r="C1571" s="1" t="s">
        <v>626</v>
      </c>
      <c r="D1571" s="1" t="s">
        <v>293</v>
      </c>
      <c r="E1571" s="1" t="n">
        <v>1</v>
      </c>
      <c r="F1571" s="1" t="n">
        <v>220.8</v>
      </c>
      <c r="G1571" s="1" t="n">
        <v>220.8</v>
      </c>
      <c r="H1571" s="1" t="s">
        <v>679</v>
      </c>
    </row>
    <row r="1572" customFormat="false" ht="14.25" hidden="false" customHeight="true" outlineLevel="0" collapsed="false">
      <c r="A1572" s="1" t="s">
        <v>706</v>
      </c>
      <c r="B1572" s="1" t="s">
        <v>44</v>
      </c>
      <c r="C1572" s="1" t="s">
        <v>626</v>
      </c>
      <c r="D1572" s="1" t="s">
        <v>293</v>
      </c>
      <c r="E1572" s="1" t="n">
        <v>0</v>
      </c>
      <c r="F1572" s="1" t="n">
        <v>0</v>
      </c>
      <c r="G1572" s="1" t="n">
        <v>0</v>
      </c>
      <c r="H1572" s="1" t="s">
        <v>627</v>
      </c>
    </row>
    <row r="1573" customFormat="false" ht="14.25" hidden="false" customHeight="true" outlineLevel="0" collapsed="false">
      <c r="A1573" s="1" t="s">
        <v>706</v>
      </c>
      <c r="B1573" s="1" t="s">
        <v>44</v>
      </c>
      <c r="C1573" s="1" t="s">
        <v>635</v>
      </c>
      <c r="D1573" s="1" t="s">
        <v>293</v>
      </c>
      <c r="E1573" s="1" t="n">
        <v>0</v>
      </c>
      <c r="F1573" s="1" t="n">
        <v>0</v>
      </c>
      <c r="G1573" s="1" t="n">
        <v>0</v>
      </c>
      <c r="H1573" s="1" t="s">
        <v>630</v>
      </c>
    </row>
    <row r="1574" customFormat="false" ht="14.25" hidden="false" customHeight="true" outlineLevel="0" collapsed="false">
      <c r="A1574" s="1" t="s">
        <v>706</v>
      </c>
      <c r="B1574" s="1" t="s">
        <v>44</v>
      </c>
      <c r="C1574" s="1" t="s">
        <v>636</v>
      </c>
      <c r="D1574" s="1" t="s">
        <v>293</v>
      </c>
      <c r="E1574" s="1" t="n">
        <v>0</v>
      </c>
      <c r="F1574" s="1" t="n">
        <v>0</v>
      </c>
      <c r="G1574" s="1" t="n">
        <v>0</v>
      </c>
      <c r="H1574" s="1" t="s">
        <v>634</v>
      </c>
    </row>
    <row r="1575" customFormat="false" ht="14.25" hidden="false" customHeight="true" outlineLevel="0" collapsed="false">
      <c r="A1575" s="1" t="s">
        <v>706</v>
      </c>
      <c r="B1575" s="1" t="s">
        <v>87</v>
      </c>
      <c r="C1575" s="1" t="s">
        <v>642</v>
      </c>
      <c r="D1575" s="1" t="s">
        <v>293</v>
      </c>
      <c r="E1575" s="1" t="n">
        <v>1</v>
      </c>
      <c r="F1575" s="1" t="n">
        <v>10</v>
      </c>
      <c r="G1575" s="1" t="n">
        <v>10</v>
      </c>
      <c r="H1575" s="1" t="s">
        <v>724</v>
      </c>
    </row>
    <row r="1576" customFormat="false" ht="14.25" hidden="false" customHeight="true" outlineLevel="0" collapsed="false">
      <c r="A1576" s="1" t="s">
        <v>706</v>
      </c>
      <c r="B1576" s="1" t="s">
        <v>453</v>
      </c>
      <c r="C1576" s="1" t="s">
        <v>454</v>
      </c>
      <c r="D1576" s="1" t="s">
        <v>290</v>
      </c>
      <c r="E1576" s="1" t="n">
        <v>0</v>
      </c>
      <c r="F1576" s="1" t="n">
        <v>0</v>
      </c>
      <c r="G1576" s="1" t="n">
        <v>0</v>
      </c>
      <c r="H1576" s="1" t="s">
        <v>455</v>
      </c>
    </row>
    <row r="1577" customFormat="false" ht="14.25" hidden="false" customHeight="true" outlineLevel="0" collapsed="false">
      <c r="A1577" s="1" t="s">
        <v>706</v>
      </c>
      <c r="B1577" s="1" t="s">
        <v>453</v>
      </c>
      <c r="C1577" s="1" t="s">
        <v>456</v>
      </c>
      <c r="D1577" s="1" t="s">
        <v>290</v>
      </c>
      <c r="E1577" s="1" t="n">
        <v>0</v>
      </c>
      <c r="F1577" s="1" t="n">
        <v>0</v>
      </c>
      <c r="G1577" s="1" t="n">
        <v>0</v>
      </c>
      <c r="H1577" s="1" t="s">
        <v>457</v>
      </c>
    </row>
    <row r="1578" customFormat="false" ht="14.25" hidden="false" customHeight="true" outlineLevel="0" collapsed="false">
      <c r="A1578" s="1" t="s">
        <v>706</v>
      </c>
      <c r="B1578" s="1" t="s">
        <v>464</v>
      </c>
      <c r="C1578" s="1" t="s">
        <v>465</v>
      </c>
      <c r="D1578" s="1" t="s">
        <v>290</v>
      </c>
      <c r="E1578" s="1" t="n">
        <v>676</v>
      </c>
      <c r="F1578" s="1" t="n">
        <v>1.86</v>
      </c>
      <c r="G1578" s="1" t="n">
        <v>1257.36</v>
      </c>
      <c r="H1578" s="1" t="s">
        <v>717</v>
      </c>
    </row>
    <row r="1579" customFormat="false" ht="14.25" hidden="false" customHeight="true" outlineLevel="0" collapsed="false">
      <c r="A1579" s="1" t="s">
        <v>706</v>
      </c>
      <c r="B1579" s="1" t="s">
        <v>464</v>
      </c>
      <c r="C1579" s="1" t="s">
        <v>473</v>
      </c>
      <c r="D1579" s="1" t="s">
        <v>290</v>
      </c>
      <c r="E1579" s="1" t="n">
        <v>-1</v>
      </c>
      <c r="F1579" s="1" t="n">
        <v>439.04</v>
      </c>
      <c r="G1579" s="1" t="n">
        <v>-439.04</v>
      </c>
      <c r="H1579" s="1" t="s">
        <v>732</v>
      </c>
    </row>
    <row r="1580" customFormat="false" ht="14.25" hidden="false" customHeight="true" outlineLevel="0" collapsed="false">
      <c r="A1580" s="1" t="s">
        <v>706</v>
      </c>
      <c r="B1580" s="1" t="s">
        <v>464</v>
      </c>
      <c r="C1580" s="1" t="s">
        <v>473</v>
      </c>
      <c r="D1580" s="1" t="s">
        <v>290</v>
      </c>
      <c r="E1580" s="1" t="n">
        <v>131</v>
      </c>
      <c r="F1580" s="1" t="n">
        <v>27.68</v>
      </c>
      <c r="G1580" s="1" t="n">
        <v>3626.08</v>
      </c>
      <c r="H1580" s="1" t="s">
        <v>733</v>
      </c>
    </row>
    <row r="1581" customFormat="false" ht="14.25" hidden="false" customHeight="true" outlineLevel="0" collapsed="false">
      <c r="A1581" s="1" t="s">
        <v>706</v>
      </c>
      <c r="B1581" s="1" t="s">
        <v>464</v>
      </c>
      <c r="C1581" s="1" t="s">
        <v>504</v>
      </c>
      <c r="D1581" s="1" t="s">
        <v>290</v>
      </c>
      <c r="E1581" s="1" t="n">
        <v>1</v>
      </c>
      <c r="F1581" s="1" t="n">
        <v>348.349782230624</v>
      </c>
      <c r="G1581" s="1" t="n">
        <v>348.349782230624</v>
      </c>
      <c r="H1581" s="1" t="s">
        <v>734</v>
      </c>
    </row>
    <row r="1582" customFormat="false" ht="14.25" hidden="false" customHeight="true" outlineLevel="0" collapsed="false">
      <c r="A1582" s="1" t="s">
        <v>706</v>
      </c>
      <c r="B1582" s="1" t="s">
        <v>464</v>
      </c>
      <c r="C1582" s="1" t="s">
        <v>505</v>
      </c>
      <c r="D1582" s="1" t="s">
        <v>290</v>
      </c>
      <c r="E1582" s="1" t="n">
        <v>0</v>
      </c>
      <c r="F1582" s="1" t="n">
        <v>0</v>
      </c>
      <c r="G1582" s="1" t="n">
        <v>0</v>
      </c>
      <c r="H1582" s="1" t="s">
        <v>683</v>
      </c>
    </row>
    <row r="1583" customFormat="false" ht="14.25" hidden="false" customHeight="true" outlineLevel="0" collapsed="false">
      <c r="A1583" s="1" t="s">
        <v>706</v>
      </c>
      <c r="B1583" s="1" t="s">
        <v>464</v>
      </c>
      <c r="C1583" s="1" t="s">
        <v>666</v>
      </c>
      <c r="D1583" s="1" t="s">
        <v>290</v>
      </c>
      <c r="E1583" s="1" t="n">
        <v>0</v>
      </c>
      <c r="F1583" s="1" t="n">
        <v>0</v>
      </c>
      <c r="G1583" s="1" t="n">
        <v>0</v>
      </c>
      <c r="H1583" s="1" t="s">
        <v>683</v>
      </c>
    </row>
    <row r="1584" customFormat="false" ht="14.25" hidden="false" customHeight="true" outlineLevel="0" collapsed="false">
      <c r="A1584" s="1" t="s">
        <v>706</v>
      </c>
      <c r="B1584" s="1" t="s">
        <v>464</v>
      </c>
      <c r="C1584" s="1" t="s">
        <v>506</v>
      </c>
      <c r="D1584" s="1" t="s">
        <v>290</v>
      </c>
      <c r="E1584" s="1" t="n">
        <v>0</v>
      </c>
      <c r="F1584" s="1" t="n">
        <v>0</v>
      </c>
      <c r="G1584" s="1" t="n">
        <v>0</v>
      </c>
    </row>
    <row r="1585" customFormat="false" ht="14.25" hidden="false" customHeight="true" outlineLevel="0" collapsed="false">
      <c r="A1585" s="1" t="s">
        <v>706</v>
      </c>
      <c r="B1585" s="1" t="s">
        <v>143</v>
      </c>
      <c r="C1585" s="1" t="s">
        <v>527</v>
      </c>
      <c r="D1585" s="1" t="s">
        <v>290</v>
      </c>
      <c r="E1585" s="1" t="n">
        <v>6701</v>
      </c>
      <c r="F1585" s="1" t="n">
        <v>0.28</v>
      </c>
      <c r="G1585" s="1" t="n">
        <v>1876.28</v>
      </c>
      <c r="H1585" s="1" t="s">
        <v>451</v>
      </c>
    </row>
    <row r="1586" customFormat="false" ht="14.25" hidden="false" customHeight="true" outlineLevel="0" collapsed="false">
      <c r="A1586" s="1" t="s">
        <v>706</v>
      </c>
      <c r="B1586" s="1" t="s">
        <v>50</v>
      </c>
      <c r="C1586" s="1" t="s">
        <v>533</v>
      </c>
      <c r="D1586" s="1" t="s">
        <v>290</v>
      </c>
      <c r="E1586" s="1" t="n">
        <v>0</v>
      </c>
      <c r="F1586" s="1" t="n">
        <v>0</v>
      </c>
      <c r="G1586" s="1" t="n">
        <v>0</v>
      </c>
      <c r="H1586" s="1" t="s">
        <v>535</v>
      </c>
    </row>
    <row r="1587" customFormat="false" ht="14.25" hidden="false" customHeight="true" outlineLevel="0" collapsed="false">
      <c r="A1587" s="1" t="s">
        <v>706</v>
      </c>
      <c r="B1587" s="1" t="s">
        <v>537</v>
      </c>
      <c r="C1587" s="1" t="s">
        <v>538</v>
      </c>
      <c r="D1587" s="1" t="s">
        <v>290</v>
      </c>
      <c r="E1587" s="1" t="n">
        <v>0</v>
      </c>
      <c r="F1587" s="1" t="n">
        <v>0</v>
      </c>
      <c r="G1587" s="1" t="n">
        <v>0</v>
      </c>
      <c r="H1587" s="1" t="s">
        <v>548</v>
      </c>
    </row>
    <row r="1588" customFormat="false" ht="14.25" hidden="false" customHeight="true" outlineLevel="0" collapsed="false">
      <c r="A1588" s="1" t="s">
        <v>706</v>
      </c>
      <c r="B1588" s="1" t="s">
        <v>537</v>
      </c>
      <c r="C1588" s="1" t="s">
        <v>540</v>
      </c>
      <c r="D1588" s="1" t="s">
        <v>290</v>
      </c>
      <c r="E1588" s="1" t="n">
        <v>0</v>
      </c>
      <c r="F1588" s="1" t="n">
        <v>0</v>
      </c>
      <c r="G1588" s="1" t="n">
        <v>0</v>
      </c>
      <c r="H1588" s="1" t="s">
        <v>549</v>
      </c>
    </row>
    <row r="1589" customFormat="false" ht="14.25" hidden="false" customHeight="true" outlineLevel="0" collapsed="false">
      <c r="A1589" s="1" t="s">
        <v>706</v>
      </c>
      <c r="B1589" s="1" t="s">
        <v>537</v>
      </c>
      <c r="C1589" s="1" t="s">
        <v>542</v>
      </c>
      <c r="D1589" s="1" t="s">
        <v>290</v>
      </c>
      <c r="E1589" s="1" t="n">
        <v>13</v>
      </c>
      <c r="F1589" s="1" t="n">
        <v>20</v>
      </c>
      <c r="G1589" s="1" t="n">
        <v>260</v>
      </c>
      <c r="H1589" s="1" t="s">
        <v>721</v>
      </c>
    </row>
    <row r="1590" customFormat="false" ht="14.25" hidden="false" customHeight="true" outlineLevel="0" collapsed="false">
      <c r="A1590" s="1" t="s">
        <v>706</v>
      </c>
      <c r="B1590" s="1" t="s">
        <v>537</v>
      </c>
      <c r="C1590" s="1" t="s">
        <v>544</v>
      </c>
      <c r="D1590" s="1" t="s">
        <v>290</v>
      </c>
      <c r="E1590" s="1" t="n">
        <v>0</v>
      </c>
      <c r="F1590" s="1" t="n">
        <v>0</v>
      </c>
      <c r="G1590" s="1" t="n">
        <v>0</v>
      </c>
      <c r="H1590" s="1" t="s">
        <v>686</v>
      </c>
    </row>
    <row r="1591" customFormat="false" ht="14.25" hidden="false" customHeight="true" outlineLevel="0" collapsed="false">
      <c r="A1591" s="1" t="s">
        <v>706</v>
      </c>
      <c r="B1591" s="1" t="s">
        <v>537</v>
      </c>
      <c r="C1591" s="1" t="s">
        <v>546</v>
      </c>
      <c r="D1591" s="1" t="s">
        <v>290</v>
      </c>
      <c r="E1591" s="1" t="n">
        <v>0</v>
      </c>
      <c r="F1591" s="1" t="n">
        <v>0</v>
      </c>
      <c r="G1591" s="1" t="n">
        <v>0</v>
      </c>
      <c r="H1591" s="1" t="s">
        <v>722</v>
      </c>
    </row>
    <row r="1592" customFormat="false" ht="14.25" hidden="false" customHeight="true" outlineLevel="0" collapsed="false">
      <c r="A1592" s="1" t="s">
        <v>706</v>
      </c>
      <c r="B1592" s="1" t="s">
        <v>554</v>
      </c>
      <c r="C1592" s="1" t="s">
        <v>577</v>
      </c>
      <c r="D1592" s="1" t="s">
        <v>290</v>
      </c>
      <c r="E1592" s="1" t="n">
        <v>0</v>
      </c>
      <c r="F1592" s="1" t="n">
        <v>0</v>
      </c>
      <c r="G1592" s="1" t="n">
        <v>0</v>
      </c>
      <c r="H1592" s="1" t="s">
        <v>564</v>
      </c>
    </row>
    <row r="1593" customFormat="false" ht="14.25" hidden="false" customHeight="true" outlineLevel="0" collapsed="false">
      <c r="A1593" s="1" t="s">
        <v>706</v>
      </c>
      <c r="B1593" s="1" t="s">
        <v>554</v>
      </c>
      <c r="C1593" s="1" t="s">
        <v>578</v>
      </c>
      <c r="D1593" s="1" t="s">
        <v>290</v>
      </c>
      <c r="E1593" s="1" t="n">
        <v>0</v>
      </c>
      <c r="F1593" s="1" t="n">
        <v>0</v>
      </c>
      <c r="G1593" s="1" t="n">
        <v>0</v>
      </c>
      <c r="H1593" s="1" t="s">
        <v>579</v>
      </c>
    </row>
    <row r="1594" customFormat="false" ht="14.25" hidden="false" customHeight="true" outlineLevel="0" collapsed="false">
      <c r="A1594" s="1" t="s">
        <v>706</v>
      </c>
      <c r="B1594" s="1" t="s">
        <v>593</v>
      </c>
      <c r="C1594" s="1" t="s">
        <v>676</v>
      </c>
      <c r="D1594" s="1" t="s">
        <v>290</v>
      </c>
      <c r="E1594" s="1" t="n">
        <v>-1</v>
      </c>
      <c r="F1594" s="1" t="n">
        <v>1046.56</v>
      </c>
      <c r="G1594" s="1" t="n">
        <v>-1046.56</v>
      </c>
      <c r="H1594" s="1" t="s">
        <v>735</v>
      </c>
    </row>
    <row r="1595" customFormat="false" ht="14.25" hidden="false" customHeight="true" outlineLevel="0" collapsed="false">
      <c r="A1595" s="1" t="s">
        <v>706</v>
      </c>
      <c r="B1595" s="1" t="s">
        <v>593</v>
      </c>
      <c r="C1595" s="1" t="s">
        <v>594</v>
      </c>
      <c r="D1595" s="1" t="s">
        <v>290</v>
      </c>
      <c r="E1595" s="1" t="n">
        <v>-1</v>
      </c>
      <c r="F1595" s="1" t="n">
        <v>238.88</v>
      </c>
      <c r="G1595" s="1" t="n">
        <v>-238.88</v>
      </c>
      <c r="H1595" s="1" t="s">
        <v>736</v>
      </c>
    </row>
    <row r="1596" customFormat="false" ht="14.25" hidden="false" customHeight="true" outlineLevel="0" collapsed="false">
      <c r="A1596" s="1" t="s">
        <v>706</v>
      </c>
      <c r="B1596" s="1" t="s">
        <v>593</v>
      </c>
      <c r="C1596" s="1" t="s">
        <v>594</v>
      </c>
      <c r="D1596" s="1" t="s">
        <v>290</v>
      </c>
      <c r="E1596" s="1" t="n">
        <v>-1</v>
      </c>
      <c r="F1596" s="1" t="n">
        <v>624.79</v>
      </c>
      <c r="G1596" s="1" t="n">
        <v>-624.79</v>
      </c>
      <c r="H1596" s="1" t="s">
        <v>736</v>
      </c>
    </row>
    <row r="1597" customFormat="false" ht="14.25" hidden="false" customHeight="true" outlineLevel="0" collapsed="false">
      <c r="A1597" s="1" t="s">
        <v>706</v>
      </c>
      <c r="B1597" s="1" t="s">
        <v>47</v>
      </c>
      <c r="C1597" s="1" t="s">
        <v>608</v>
      </c>
      <c r="D1597" s="1" t="s">
        <v>290</v>
      </c>
      <c r="E1597" s="1" t="n">
        <v>1</v>
      </c>
      <c r="F1597" s="1" t="n">
        <v>7137.6</v>
      </c>
      <c r="G1597" s="1" t="n">
        <v>7137.6</v>
      </c>
      <c r="H1597" s="1" t="s">
        <v>737</v>
      </c>
    </row>
    <row r="1598" customFormat="false" ht="14.25" hidden="false" customHeight="true" outlineLevel="0" collapsed="false">
      <c r="A1598" s="1" t="s">
        <v>706</v>
      </c>
      <c r="B1598" s="1" t="s">
        <v>85</v>
      </c>
      <c r="C1598" s="1" t="s">
        <v>615</v>
      </c>
      <c r="D1598" s="1" t="s">
        <v>290</v>
      </c>
      <c r="E1598" s="1" t="n">
        <v>23</v>
      </c>
      <c r="F1598" s="1" t="n">
        <v>151.64</v>
      </c>
      <c r="G1598" s="1" t="n">
        <v>3487.72</v>
      </c>
      <c r="H1598" s="1" t="s">
        <v>617</v>
      </c>
    </row>
    <row r="1599" customFormat="false" ht="14.25" hidden="false" customHeight="true" outlineLevel="0" collapsed="false">
      <c r="A1599" s="1" t="s">
        <v>706</v>
      </c>
      <c r="B1599" s="1" t="s">
        <v>32</v>
      </c>
      <c r="C1599" s="1" t="s">
        <v>618</v>
      </c>
      <c r="D1599" s="1" t="s">
        <v>290</v>
      </c>
      <c r="E1599" s="1" t="n">
        <v>0</v>
      </c>
      <c r="F1599" s="1" t="n">
        <v>0</v>
      </c>
      <c r="G1599" s="1" t="n">
        <v>0</v>
      </c>
      <c r="H1599" s="1" t="s">
        <v>619</v>
      </c>
    </row>
    <row r="1600" customFormat="false" ht="14.25" hidden="false" customHeight="true" outlineLevel="0" collapsed="false">
      <c r="A1600" s="1" t="s">
        <v>706</v>
      </c>
      <c r="B1600" s="1" t="s">
        <v>44</v>
      </c>
      <c r="C1600" s="1" t="s">
        <v>626</v>
      </c>
      <c r="D1600" s="1" t="s">
        <v>290</v>
      </c>
      <c r="E1600" s="1" t="n">
        <v>1</v>
      </c>
      <c r="F1600" s="1" t="n">
        <v>4507.16</v>
      </c>
      <c r="G1600" s="1" t="n">
        <v>4507.16</v>
      </c>
      <c r="H1600" s="1" t="s">
        <v>738</v>
      </c>
    </row>
    <row r="1601" customFormat="false" ht="14.25" hidden="false" customHeight="true" outlineLevel="0" collapsed="false">
      <c r="A1601" s="1" t="s">
        <v>706</v>
      </c>
      <c r="B1601" s="1" t="s">
        <v>44</v>
      </c>
      <c r="C1601" s="1" t="s">
        <v>637</v>
      </c>
      <c r="D1601" s="1" t="s">
        <v>290</v>
      </c>
      <c r="E1601" s="1" t="n">
        <v>0</v>
      </c>
      <c r="F1601" s="1" t="n">
        <v>0</v>
      </c>
      <c r="G1601" s="1" t="n">
        <v>0</v>
      </c>
      <c r="H1601" s="1" t="s">
        <v>630</v>
      </c>
    </row>
    <row r="1602" customFormat="false" ht="14.25" hidden="false" customHeight="true" outlineLevel="0" collapsed="false">
      <c r="A1602" s="1" t="s">
        <v>706</v>
      </c>
      <c r="B1602" s="1" t="s">
        <v>44</v>
      </c>
      <c r="C1602" s="1" t="s">
        <v>638</v>
      </c>
      <c r="D1602" s="1" t="s">
        <v>290</v>
      </c>
      <c r="E1602" s="1" t="n">
        <v>0</v>
      </c>
      <c r="F1602" s="1" t="n">
        <v>0</v>
      </c>
      <c r="G1602" s="1" t="n">
        <v>0</v>
      </c>
      <c r="H1602" s="1" t="s">
        <v>630</v>
      </c>
    </row>
    <row r="1603" customFormat="false" ht="14.25" hidden="false" customHeight="true" outlineLevel="0" collapsed="false">
      <c r="A1603" s="1" t="s">
        <v>706</v>
      </c>
      <c r="B1603" s="1" t="s">
        <v>44</v>
      </c>
      <c r="C1603" s="1" t="s">
        <v>640</v>
      </c>
      <c r="D1603" s="1" t="s">
        <v>290</v>
      </c>
      <c r="E1603" s="1" t="n">
        <v>0</v>
      </c>
      <c r="F1603" s="1" t="n">
        <v>0</v>
      </c>
      <c r="G1603" s="1" t="n">
        <v>0</v>
      </c>
      <c r="H1603" s="1" t="s">
        <v>634</v>
      </c>
    </row>
    <row r="1604" customFormat="false" ht="14.25" hidden="false" customHeight="true" outlineLevel="0" collapsed="false">
      <c r="A1604" s="1" t="s">
        <v>706</v>
      </c>
      <c r="B1604" s="1" t="s">
        <v>44</v>
      </c>
      <c r="C1604" s="1" t="s">
        <v>694</v>
      </c>
      <c r="D1604" s="1" t="s">
        <v>290</v>
      </c>
      <c r="E1604" s="1" t="n">
        <v>0</v>
      </c>
      <c r="F1604" s="1" t="n">
        <v>0</v>
      </c>
      <c r="G1604" s="1" t="n">
        <v>0</v>
      </c>
      <c r="H1604" s="1" t="s">
        <v>627</v>
      </c>
    </row>
    <row r="1605" customFormat="false" ht="14.25" hidden="false" customHeight="true" outlineLevel="0" collapsed="false">
      <c r="A1605" s="1" t="s">
        <v>706</v>
      </c>
      <c r="B1605" s="1" t="s">
        <v>44</v>
      </c>
      <c r="C1605" s="1" t="s">
        <v>680</v>
      </c>
      <c r="D1605" s="1" t="s">
        <v>290</v>
      </c>
      <c r="E1605" s="1" t="n">
        <v>0</v>
      </c>
      <c r="F1605" s="1" t="n">
        <v>0</v>
      </c>
      <c r="G1605" s="1" t="n">
        <v>0</v>
      </c>
      <c r="H1605" s="1" t="s">
        <v>634</v>
      </c>
    </row>
    <row r="1606" customFormat="false" ht="14.25" hidden="false" customHeight="true" outlineLevel="0" collapsed="false">
      <c r="A1606" s="1" t="s">
        <v>706</v>
      </c>
      <c r="B1606" s="1" t="s">
        <v>87</v>
      </c>
      <c r="C1606" s="1" t="s">
        <v>642</v>
      </c>
      <c r="D1606" s="1" t="s">
        <v>290</v>
      </c>
      <c r="E1606" s="1" t="n">
        <v>1</v>
      </c>
      <c r="F1606" s="1" t="n">
        <v>10</v>
      </c>
      <c r="G1606" s="1" t="n">
        <v>10</v>
      </c>
      <c r="H1606" s="1" t="s">
        <v>724</v>
      </c>
    </row>
    <row r="1607" customFormat="false" ht="14.25" hidden="false" customHeight="true" outlineLevel="0" collapsed="false">
      <c r="A1607" s="1" t="s">
        <v>706</v>
      </c>
      <c r="B1607" s="1" t="s">
        <v>87</v>
      </c>
      <c r="C1607" s="1" t="s">
        <v>642</v>
      </c>
      <c r="D1607" s="1" t="s">
        <v>290</v>
      </c>
      <c r="E1607" s="1" t="n">
        <v>5</v>
      </c>
      <c r="F1607" s="1" t="n">
        <v>50</v>
      </c>
      <c r="G1607" s="1" t="n">
        <v>250</v>
      </c>
      <c r="H1607" s="1" t="s">
        <v>724</v>
      </c>
    </row>
    <row r="1608" customFormat="false" ht="14.25" hidden="false" customHeight="true" outlineLevel="0" collapsed="false">
      <c r="A1608" s="1" t="s">
        <v>706</v>
      </c>
      <c r="B1608" s="1" t="s">
        <v>45</v>
      </c>
      <c r="C1608" s="1" t="s">
        <v>529</v>
      </c>
      <c r="D1608" s="1" t="s">
        <v>290</v>
      </c>
      <c r="E1608" s="1" t="n">
        <v>727</v>
      </c>
      <c r="F1608" s="1" t="n">
        <v>7.20444291609354</v>
      </c>
      <c r="G1608" s="1" t="n">
        <v>5237.63</v>
      </c>
      <c r="H1608" s="1" t="s">
        <v>530</v>
      </c>
    </row>
    <row r="1609" customFormat="false" ht="14.25" hidden="false" customHeight="true" outlineLevel="0" collapsed="false">
      <c r="A1609" s="1" t="s">
        <v>706</v>
      </c>
      <c r="B1609" s="1" t="s">
        <v>453</v>
      </c>
      <c r="C1609" s="1" t="s">
        <v>454</v>
      </c>
      <c r="D1609" s="1" t="s">
        <v>284</v>
      </c>
      <c r="E1609" s="1" t="n">
        <v>0</v>
      </c>
      <c r="F1609" s="1" t="n">
        <v>0</v>
      </c>
      <c r="G1609" s="1" t="n">
        <v>0</v>
      </c>
      <c r="H1609" s="1" t="s">
        <v>462</v>
      </c>
    </row>
    <row r="1610" customFormat="false" ht="14.25" hidden="false" customHeight="true" outlineLevel="0" collapsed="false">
      <c r="A1610" s="1" t="s">
        <v>706</v>
      </c>
      <c r="B1610" s="1" t="s">
        <v>78</v>
      </c>
      <c r="C1610" s="1" t="s">
        <v>463</v>
      </c>
      <c r="D1610" s="1" t="s">
        <v>284</v>
      </c>
      <c r="E1610" s="1" t="n">
        <v>14824</v>
      </c>
      <c r="F1610" s="1" t="n">
        <v>0.52</v>
      </c>
      <c r="G1610" s="1" t="n">
        <v>7708.48</v>
      </c>
      <c r="H1610" s="1" t="s">
        <v>451</v>
      </c>
    </row>
    <row r="1611" customFormat="false" ht="14.25" hidden="false" customHeight="true" outlineLevel="0" collapsed="false">
      <c r="A1611" s="1" t="s">
        <v>706</v>
      </c>
      <c r="B1611" s="1" t="s">
        <v>464</v>
      </c>
      <c r="C1611" s="1" t="s">
        <v>465</v>
      </c>
      <c r="D1611" s="1" t="s">
        <v>284</v>
      </c>
      <c r="E1611" s="1" t="n">
        <v>455</v>
      </c>
      <c r="F1611" s="1" t="n">
        <v>1.86</v>
      </c>
      <c r="G1611" s="1" t="n">
        <v>846.3</v>
      </c>
      <c r="H1611" s="1" t="s">
        <v>717</v>
      </c>
    </row>
    <row r="1612" customFormat="false" ht="14.25" hidden="false" customHeight="true" outlineLevel="0" collapsed="false">
      <c r="A1612" s="1" t="s">
        <v>706</v>
      </c>
      <c r="B1612" s="1" t="s">
        <v>464</v>
      </c>
      <c r="C1612" s="1" t="s">
        <v>511</v>
      </c>
      <c r="D1612" s="1" t="s">
        <v>284</v>
      </c>
      <c r="E1612" s="1" t="n">
        <v>1</v>
      </c>
      <c r="F1612" s="1" t="n">
        <v>430.22</v>
      </c>
      <c r="G1612" s="1" t="n">
        <v>430.22</v>
      </c>
      <c r="H1612" s="1" t="s">
        <v>739</v>
      </c>
    </row>
    <row r="1613" customFormat="false" ht="14.25" hidden="false" customHeight="true" outlineLevel="0" collapsed="false">
      <c r="A1613" s="1" t="s">
        <v>706</v>
      </c>
      <c r="B1613" s="1" t="s">
        <v>464</v>
      </c>
      <c r="C1613" s="1" t="s">
        <v>511</v>
      </c>
      <c r="D1613" s="1" t="s">
        <v>284</v>
      </c>
      <c r="E1613" s="1" t="n">
        <v>166</v>
      </c>
      <c r="F1613" s="1" t="n">
        <v>20.33</v>
      </c>
      <c r="G1613" s="1" t="n">
        <v>3374.78</v>
      </c>
      <c r="H1613" s="1" t="s">
        <v>727</v>
      </c>
    </row>
    <row r="1614" customFormat="false" ht="14.25" hidden="false" customHeight="true" outlineLevel="0" collapsed="false">
      <c r="A1614" s="1" t="s">
        <v>706</v>
      </c>
      <c r="B1614" s="1" t="s">
        <v>464</v>
      </c>
      <c r="C1614" s="1" t="s">
        <v>515</v>
      </c>
      <c r="D1614" s="1" t="s">
        <v>284</v>
      </c>
      <c r="E1614" s="1" t="n">
        <v>0</v>
      </c>
      <c r="F1614" s="1" t="n">
        <v>0</v>
      </c>
      <c r="G1614" s="1" t="n">
        <v>0</v>
      </c>
      <c r="H1614" s="1" t="s">
        <v>477</v>
      </c>
    </row>
    <row r="1615" customFormat="false" ht="14.25" hidden="false" customHeight="true" outlineLevel="0" collapsed="false">
      <c r="A1615" s="1" t="s">
        <v>706</v>
      </c>
      <c r="B1615" s="1" t="s">
        <v>464</v>
      </c>
      <c r="C1615" s="1" t="s">
        <v>478</v>
      </c>
      <c r="D1615" s="1" t="s">
        <v>284</v>
      </c>
      <c r="E1615" s="1" t="n">
        <v>18</v>
      </c>
      <c r="F1615" s="1" t="n">
        <v>348.349782230624</v>
      </c>
      <c r="G1615" s="1" t="n">
        <v>6270.29608015123</v>
      </c>
      <c r="H1615" s="1" t="s">
        <v>734</v>
      </c>
    </row>
    <row r="1616" customFormat="false" ht="14.25" hidden="false" customHeight="true" outlineLevel="0" collapsed="false">
      <c r="A1616" s="1" t="s">
        <v>706</v>
      </c>
      <c r="B1616" s="1" t="s">
        <v>464</v>
      </c>
      <c r="C1616" s="1" t="s">
        <v>684</v>
      </c>
      <c r="D1616" s="1" t="s">
        <v>284</v>
      </c>
      <c r="E1616" s="1" t="n">
        <v>0</v>
      </c>
      <c r="F1616" s="1" t="n">
        <v>0</v>
      </c>
      <c r="G1616" s="1" t="n">
        <v>0</v>
      </c>
      <c r="H1616" s="1" t="s">
        <v>477</v>
      </c>
    </row>
    <row r="1617" customFormat="false" ht="14.25" hidden="false" customHeight="true" outlineLevel="0" collapsed="false">
      <c r="A1617" s="1" t="s">
        <v>706</v>
      </c>
      <c r="B1617" s="1" t="s">
        <v>464</v>
      </c>
      <c r="C1617" s="1" t="s">
        <v>514</v>
      </c>
      <c r="D1617" s="1" t="s">
        <v>284</v>
      </c>
      <c r="E1617" s="1" t="n">
        <v>1</v>
      </c>
      <c r="F1617" s="1" t="n">
        <v>430.994756521739</v>
      </c>
      <c r="G1617" s="1" t="n">
        <v>430.994756521739</v>
      </c>
      <c r="H1617" s="1" t="s">
        <v>477</v>
      </c>
    </row>
    <row r="1618" customFormat="false" ht="14.25" hidden="false" customHeight="true" outlineLevel="0" collapsed="false">
      <c r="A1618" s="1" t="s">
        <v>706</v>
      </c>
      <c r="B1618" s="1" t="s">
        <v>143</v>
      </c>
      <c r="C1618" s="1" t="s">
        <v>527</v>
      </c>
      <c r="D1618" s="1" t="s">
        <v>284</v>
      </c>
      <c r="E1618" s="1" t="n">
        <v>14824</v>
      </c>
      <c r="F1618" s="1" t="n">
        <v>0.28</v>
      </c>
      <c r="G1618" s="1" t="n">
        <v>4150.72</v>
      </c>
      <c r="H1618" s="1" t="s">
        <v>451</v>
      </c>
    </row>
    <row r="1619" customFormat="false" ht="14.25" hidden="false" customHeight="true" outlineLevel="0" collapsed="false">
      <c r="A1619" s="1" t="s">
        <v>706</v>
      </c>
      <c r="B1619" s="1" t="s">
        <v>50</v>
      </c>
      <c r="C1619" s="1" t="s">
        <v>533</v>
      </c>
      <c r="D1619" s="1" t="s">
        <v>284</v>
      </c>
      <c r="E1619" s="1" t="n">
        <v>0</v>
      </c>
      <c r="F1619" s="1" t="n">
        <v>0</v>
      </c>
      <c r="G1619" s="1" t="n">
        <v>0</v>
      </c>
      <c r="H1619" s="1" t="s">
        <v>536</v>
      </c>
    </row>
    <row r="1620" customFormat="false" ht="14.25" hidden="false" customHeight="true" outlineLevel="0" collapsed="false">
      <c r="A1620" s="1" t="s">
        <v>706</v>
      </c>
      <c r="B1620" s="1" t="s">
        <v>537</v>
      </c>
      <c r="C1620" s="1" t="s">
        <v>542</v>
      </c>
      <c r="D1620" s="1" t="s">
        <v>284</v>
      </c>
      <c r="E1620" s="1" t="n">
        <v>20</v>
      </c>
      <c r="F1620" s="1" t="n">
        <v>20</v>
      </c>
      <c r="G1620" s="1" t="n">
        <v>400</v>
      </c>
      <c r="H1620" s="1" t="s">
        <v>721</v>
      </c>
    </row>
    <row r="1621" customFormat="false" ht="14.25" hidden="false" customHeight="true" outlineLevel="0" collapsed="false">
      <c r="A1621" s="1" t="s">
        <v>706</v>
      </c>
      <c r="B1621" s="1" t="s">
        <v>537</v>
      </c>
      <c r="C1621" s="1" t="s">
        <v>544</v>
      </c>
      <c r="D1621" s="1" t="s">
        <v>284</v>
      </c>
      <c r="E1621" s="1" t="n">
        <v>0</v>
      </c>
      <c r="F1621" s="1" t="n">
        <v>0</v>
      </c>
      <c r="G1621" s="1" t="n">
        <v>0</v>
      </c>
      <c r="H1621" s="1" t="s">
        <v>686</v>
      </c>
    </row>
    <row r="1622" customFormat="false" ht="14.25" hidden="false" customHeight="true" outlineLevel="0" collapsed="false">
      <c r="A1622" s="1" t="s">
        <v>706</v>
      </c>
      <c r="B1622" s="1" t="s">
        <v>537</v>
      </c>
      <c r="C1622" s="1" t="s">
        <v>551</v>
      </c>
      <c r="D1622" s="1" t="s">
        <v>284</v>
      </c>
      <c r="E1622" s="1" t="n">
        <v>0</v>
      </c>
      <c r="F1622" s="1" t="n">
        <v>0</v>
      </c>
      <c r="G1622" s="1" t="n">
        <v>0</v>
      </c>
      <c r="H1622" s="1" t="s">
        <v>686</v>
      </c>
    </row>
    <row r="1623" customFormat="false" ht="14.25" hidden="false" customHeight="true" outlineLevel="0" collapsed="false">
      <c r="A1623" s="1" t="s">
        <v>706</v>
      </c>
      <c r="B1623" s="1" t="s">
        <v>554</v>
      </c>
      <c r="C1623" s="1" t="s">
        <v>582</v>
      </c>
      <c r="D1623" s="1" t="s">
        <v>284</v>
      </c>
      <c r="E1623" s="1" t="n">
        <v>0</v>
      </c>
      <c r="F1623" s="1" t="n">
        <v>0</v>
      </c>
      <c r="G1623" s="1" t="n">
        <v>0</v>
      </c>
      <c r="H1623" s="1" t="s">
        <v>556</v>
      </c>
    </row>
    <row r="1624" customFormat="false" ht="14.25" hidden="false" customHeight="true" outlineLevel="0" collapsed="false">
      <c r="A1624" s="1" t="s">
        <v>706</v>
      </c>
      <c r="B1624" s="1" t="s">
        <v>554</v>
      </c>
      <c r="C1624" s="1" t="s">
        <v>580</v>
      </c>
      <c r="D1624" s="1" t="s">
        <v>284</v>
      </c>
      <c r="E1624" s="1" t="n">
        <v>0</v>
      </c>
      <c r="F1624" s="1" t="n">
        <v>0</v>
      </c>
      <c r="G1624" s="1" t="n">
        <v>0</v>
      </c>
      <c r="H1624" s="1" t="s">
        <v>581</v>
      </c>
    </row>
    <row r="1625" customFormat="false" ht="14.25" hidden="false" customHeight="true" outlineLevel="0" collapsed="false">
      <c r="A1625" s="1" t="s">
        <v>706</v>
      </c>
      <c r="B1625" s="1" t="s">
        <v>554</v>
      </c>
      <c r="C1625" s="1" t="s">
        <v>583</v>
      </c>
      <c r="D1625" s="1" t="s">
        <v>284</v>
      </c>
      <c r="E1625" s="1" t="n">
        <v>0</v>
      </c>
      <c r="F1625" s="1" t="n">
        <v>0</v>
      </c>
      <c r="G1625" s="1" t="n">
        <v>0</v>
      </c>
      <c r="H1625" s="1" t="s">
        <v>560</v>
      </c>
    </row>
    <row r="1626" customFormat="false" ht="14.25" hidden="false" customHeight="true" outlineLevel="0" collapsed="false">
      <c r="A1626" s="1" t="s">
        <v>706</v>
      </c>
      <c r="B1626" s="1" t="s">
        <v>554</v>
      </c>
      <c r="C1626" s="1" t="s">
        <v>584</v>
      </c>
      <c r="D1626" s="1" t="s">
        <v>284</v>
      </c>
      <c r="E1626" s="1" t="n">
        <v>0</v>
      </c>
      <c r="F1626" s="1" t="n">
        <v>0</v>
      </c>
      <c r="G1626" s="1" t="n">
        <v>0</v>
      </c>
      <c r="H1626" s="1" t="s">
        <v>566</v>
      </c>
    </row>
    <row r="1627" customFormat="false" ht="14.25" hidden="false" customHeight="true" outlineLevel="0" collapsed="false">
      <c r="A1627" s="1" t="s">
        <v>706</v>
      </c>
      <c r="B1627" s="1" t="s">
        <v>47</v>
      </c>
      <c r="C1627" s="1" t="s">
        <v>608</v>
      </c>
      <c r="D1627" s="1" t="s">
        <v>284</v>
      </c>
      <c r="E1627" s="1" t="n">
        <v>1</v>
      </c>
      <c r="F1627" s="1" t="n">
        <v>919.64</v>
      </c>
      <c r="G1627" s="1" t="n">
        <v>919.64</v>
      </c>
      <c r="H1627" s="1" t="s">
        <v>740</v>
      </c>
    </row>
    <row r="1628" customFormat="false" ht="14.25" hidden="false" customHeight="true" outlineLevel="0" collapsed="false">
      <c r="A1628" s="1" t="s">
        <v>706</v>
      </c>
      <c r="B1628" s="1" t="s">
        <v>85</v>
      </c>
      <c r="C1628" s="1" t="s">
        <v>615</v>
      </c>
      <c r="D1628" s="1" t="s">
        <v>284</v>
      </c>
      <c r="E1628" s="1" t="n">
        <v>13</v>
      </c>
      <c r="F1628" s="1" t="n">
        <v>168.74</v>
      </c>
      <c r="G1628" s="1" t="n">
        <v>2193.62</v>
      </c>
      <c r="H1628" s="1" t="s">
        <v>617</v>
      </c>
    </row>
    <row r="1629" customFormat="false" ht="14.25" hidden="false" customHeight="true" outlineLevel="0" collapsed="false">
      <c r="A1629" s="1" t="s">
        <v>706</v>
      </c>
      <c r="B1629" s="1" t="s">
        <v>32</v>
      </c>
      <c r="C1629" s="1" t="s">
        <v>618</v>
      </c>
      <c r="D1629" s="1" t="s">
        <v>284</v>
      </c>
      <c r="E1629" s="1" t="n">
        <v>1</v>
      </c>
      <c r="F1629" s="1" t="n">
        <v>609.6</v>
      </c>
      <c r="G1629" s="1" t="n">
        <v>609.6</v>
      </c>
      <c r="H1629" s="1" t="s">
        <v>619</v>
      </c>
    </row>
    <row r="1630" customFormat="false" ht="14.25" hidden="false" customHeight="true" outlineLevel="0" collapsed="false">
      <c r="A1630" s="1" t="s">
        <v>706</v>
      </c>
      <c r="B1630" s="1" t="s">
        <v>32</v>
      </c>
      <c r="C1630" s="1" t="s">
        <v>620</v>
      </c>
      <c r="D1630" s="1" t="s">
        <v>284</v>
      </c>
      <c r="E1630" s="1" t="n">
        <v>0</v>
      </c>
      <c r="F1630" s="1" t="n">
        <v>0</v>
      </c>
      <c r="G1630" s="1" t="n">
        <v>0</v>
      </c>
      <c r="H1630" s="1" t="s">
        <v>621</v>
      </c>
    </row>
    <row r="1631" customFormat="false" ht="14.25" hidden="false" customHeight="true" outlineLevel="0" collapsed="false">
      <c r="A1631" s="1" t="s">
        <v>706</v>
      </c>
      <c r="B1631" s="1" t="s">
        <v>44</v>
      </c>
      <c r="C1631" s="1" t="s">
        <v>626</v>
      </c>
      <c r="D1631" s="1" t="s">
        <v>284</v>
      </c>
      <c r="E1631" s="1" t="n">
        <v>1</v>
      </c>
      <c r="F1631" s="1" t="n">
        <v>1144.2</v>
      </c>
      <c r="G1631" s="1" t="n">
        <v>1144.2</v>
      </c>
      <c r="H1631" s="1" t="s">
        <v>679</v>
      </c>
    </row>
    <row r="1632" customFormat="false" ht="14.25" hidden="false" customHeight="true" outlineLevel="0" collapsed="false">
      <c r="A1632" s="1" t="s">
        <v>706</v>
      </c>
      <c r="B1632" s="1" t="s">
        <v>44</v>
      </c>
      <c r="C1632" s="1" t="s">
        <v>626</v>
      </c>
      <c r="D1632" s="1" t="s">
        <v>284</v>
      </c>
      <c r="E1632" s="1" t="n">
        <v>0</v>
      </c>
      <c r="F1632" s="1" t="n">
        <v>0</v>
      </c>
      <c r="G1632" s="1" t="n">
        <v>0</v>
      </c>
      <c r="H1632" s="1" t="s">
        <v>628</v>
      </c>
    </row>
    <row r="1633" customFormat="false" ht="14.25" hidden="false" customHeight="true" outlineLevel="0" collapsed="false">
      <c r="A1633" s="1" t="s">
        <v>706</v>
      </c>
      <c r="B1633" s="1" t="s">
        <v>44</v>
      </c>
      <c r="C1633" s="1" t="s">
        <v>638</v>
      </c>
      <c r="D1633" s="1" t="s">
        <v>284</v>
      </c>
      <c r="E1633" s="1" t="n">
        <v>0</v>
      </c>
      <c r="F1633" s="1" t="n">
        <v>0</v>
      </c>
      <c r="G1633" s="1" t="n">
        <v>0</v>
      </c>
      <c r="H1633" s="1" t="s">
        <v>634</v>
      </c>
    </row>
    <row r="1634" customFormat="false" ht="14.25" hidden="false" customHeight="true" outlineLevel="0" collapsed="false">
      <c r="A1634" s="1" t="s">
        <v>706</v>
      </c>
      <c r="B1634" s="1" t="s">
        <v>44</v>
      </c>
      <c r="C1634" s="1" t="s">
        <v>639</v>
      </c>
      <c r="D1634" s="1" t="s">
        <v>284</v>
      </c>
      <c r="E1634" s="1" t="n">
        <v>0</v>
      </c>
      <c r="F1634" s="1" t="n">
        <v>0</v>
      </c>
      <c r="G1634" s="1" t="n">
        <v>0</v>
      </c>
      <c r="H1634" s="1" t="s">
        <v>634</v>
      </c>
    </row>
    <row r="1635" customFormat="false" ht="14.25" hidden="false" customHeight="true" outlineLevel="0" collapsed="false">
      <c r="A1635" s="1" t="s">
        <v>706</v>
      </c>
      <c r="B1635" s="1" t="s">
        <v>87</v>
      </c>
      <c r="C1635" s="1" t="s">
        <v>642</v>
      </c>
      <c r="D1635" s="1" t="s">
        <v>284</v>
      </c>
      <c r="E1635" s="1" t="n">
        <v>1</v>
      </c>
      <c r="F1635" s="1" t="n">
        <v>10</v>
      </c>
      <c r="G1635" s="1" t="n">
        <v>10</v>
      </c>
      <c r="H1635" s="1" t="s">
        <v>724</v>
      </c>
    </row>
    <row r="1636" customFormat="false" ht="14.25" hidden="false" customHeight="true" outlineLevel="0" collapsed="false">
      <c r="A1636" s="1" t="s">
        <v>706</v>
      </c>
      <c r="B1636" s="1" t="s">
        <v>87</v>
      </c>
      <c r="C1636" s="1" t="s">
        <v>642</v>
      </c>
      <c r="D1636" s="1" t="s">
        <v>284</v>
      </c>
      <c r="E1636" s="1" t="n">
        <v>2</v>
      </c>
      <c r="F1636" s="1" t="n">
        <v>50</v>
      </c>
      <c r="G1636" s="1" t="n">
        <v>100</v>
      </c>
      <c r="H1636" s="1" t="s">
        <v>724</v>
      </c>
    </row>
    <row r="1637" customFormat="false" ht="14.25" hidden="false" customHeight="true" outlineLevel="0" collapsed="false">
      <c r="A1637" s="1" t="s">
        <v>706</v>
      </c>
      <c r="B1637" s="1" t="s">
        <v>45</v>
      </c>
      <c r="C1637" s="1" t="s">
        <v>529</v>
      </c>
      <c r="D1637" s="1" t="s">
        <v>284</v>
      </c>
      <c r="E1637" s="1" t="n">
        <v>2981</v>
      </c>
      <c r="F1637" s="1" t="n">
        <v>7.19</v>
      </c>
      <c r="G1637" s="1" t="n">
        <v>21433.39</v>
      </c>
      <c r="H1637" s="1" t="s">
        <v>530</v>
      </c>
    </row>
    <row r="1638" customFormat="false" ht="14.25" hidden="false" customHeight="true" outlineLevel="0" collapsed="false">
      <c r="A1638" s="1" t="s">
        <v>706</v>
      </c>
      <c r="B1638" s="1" t="s">
        <v>453</v>
      </c>
      <c r="C1638" s="1" t="s">
        <v>454</v>
      </c>
      <c r="D1638" s="1" t="s">
        <v>285</v>
      </c>
      <c r="E1638" s="1" t="n">
        <v>0</v>
      </c>
      <c r="F1638" s="1" t="n">
        <v>0</v>
      </c>
      <c r="G1638" s="1" t="n">
        <v>0</v>
      </c>
      <c r="H1638" s="1" t="s">
        <v>458</v>
      </c>
    </row>
    <row r="1639" customFormat="false" ht="14.25" hidden="false" customHeight="true" outlineLevel="0" collapsed="false">
      <c r="A1639" s="1" t="s">
        <v>706</v>
      </c>
      <c r="B1639" s="1" t="s">
        <v>464</v>
      </c>
      <c r="C1639" s="1" t="s">
        <v>465</v>
      </c>
      <c r="D1639" s="1" t="s">
        <v>285</v>
      </c>
      <c r="E1639" s="1" t="n">
        <v>150</v>
      </c>
      <c r="F1639" s="1" t="n">
        <v>1.86</v>
      </c>
      <c r="G1639" s="1" t="n">
        <v>279</v>
      </c>
      <c r="H1639" s="1" t="s">
        <v>717</v>
      </c>
    </row>
    <row r="1640" customFormat="false" ht="14.25" hidden="false" customHeight="true" outlineLevel="0" collapsed="false">
      <c r="A1640" s="1" t="s">
        <v>706</v>
      </c>
      <c r="B1640" s="1" t="s">
        <v>464</v>
      </c>
      <c r="C1640" s="1" t="s">
        <v>511</v>
      </c>
      <c r="D1640" s="1" t="s">
        <v>285</v>
      </c>
      <c r="E1640" s="1" t="n">
        <v>1</v>
      </c>
      <c r="F1640" s="1" t="n">
        <v>483.14</v>
      </c>
      <c r="G1640" s="1" t="n">
        <v>483.14</v>
      </c>
      <c r="H1640" s="1" t="s">
        <v>739</v>
      </c>
    </row>
    <row r="1641" customFormat="false" ht="14.25" hidden="false" customHeight="true" outlineLevel="0" collapsed="false">
      <c r="A1641" s="1" t="s">
        <v>706</v>
      </c>
      <c r="B1641" s="1" t="s">
        <v>464</v>
      </c>
      <c r="C1641" s="1" t="s">
        <v>511</v>
      </c>
      <c r="D1641" s="1" t="s">
        <v>285</v>
      </c>
      <c r="E1641" s="1" t="n">
        <v>9</v>
      </c>
      <c r="F1641" s="1" t="n">
        <v>20.33</v>
      </c>
      <c r="G1641" s="1" t="n">
        <v>182.97</v>
      </c>
      <c r="H1641" s="1" t="s">
        <v>727</v>
      </c>
    </row>
    <row r="1642" customFormat="false" ht="14.25" hidden="false" customHeight="true" outlineLevel="0" collapsed="false">
      <c r="A1642" s="1" t="s">
        <v>706</v>
      </c>
      <c r="B1642" s="1" t="s">
        <v>464</v>
      </c>
      <c r="C1642" s="1" t="s">
        <v>478</v>
      </c>
      <c r="D1642" s="1" t="s">
        <v>285</v>
      </c>
      <c r="E1642" s="1" t="n">
        <v>0</v>
      </c>
      <c r="F1642" s="1" t="n">
        <v>0</v>
      </c>
      <c r="G1642" s="1" t="n">
        <v>0</v>
      </c>
      <c r="H1642" s="1" t="s">
        <v>477</v>
      </c>
    </row>
    <row r="1643" customFormat="false" ht="14.25" hidden="false" customHeight="true" outlineLevel="0" collapsed="false">
      <c r="A1643" s="1" t="s">
        <v>706</v>
      </c>
      <c r="B1643" s="1" t="s">
        <v>464</v>
      </c>
      <c r="C1643" s="1" t="s">
        <v>519</v>
      </c>
      <c r="D1643" s="1" t="s">
        <v>285</v>
      </c>
      <c r="E1643" s="1" t="n">
        <v>-4</v>
      </c>
      <c r="F1643" s="1" t="n">
        <v>341.91752195122</v>
      </c>
      <c r="G1643" s="1" t="n">
        <v>-1367.67008780488</v>
      </c>
      <c r="H1643" s="1" t="s">
        <v>741</v>
      </c>
    </row>
    <row r="1644" customFormat="false" ht="14.25" hidden="false" customHeight="true" outlineLevel="0" collapsed="false">
      <c r="A1644" s="1" t="s">
        <v>706</v>
      </c>
      <c r="B1644" s="1" t="s">
        <v>143</v>
      </c>
      <c r="C1644" s="1" t="s">
        <v>527</v>
      </c>
      <c r="D1644" s="1" t="s">
        <v>285</v>
      </c>
      <c r="E1644" s="1" t="n">
        <v>4839</v>
      </c>
      <c r="F1644" s="1" t="n">
        <v>0.28</v>
      </c>
      <c r="G1644" s="1" t="n">
        <v>1354.92</v>
      </c>
      <c r="H1644" s="1" t="s">
        <v>451</v>
      </c>
    </row>
    <row r="1645" customFormat="false" ht="14.25" hidden="false" customHeight="true" outlineLevel="0" collapsed="false">
      <c r="A1645" s="1" t="s">
        <v>706</v>
      </c>
      <c r="B1645" s="1" t="s">
        <v>45</v>
      </c>
      <c r="C1645" s="1" t="s">
        <v>529</v>
      </c>
      <c r="D1645" s="1" t="s">
        <v>285</v>
      </c>
      <c r="E1645" s="1" t="n">
        <v>2548</v>
      </c>
      <c r="F1645" s="1" t="n">
        <v>7.19859497645212</v>
      </c>
      <c r="G1645" s="1" t="n">
        <v>18342.02</v>
      </c>
      <c r="H1645" s="1" t="s">
        <v>530</v>
      </c>
    </row>
    <row r="1646" customFormat="false" ht="14.25" hidden="false" customHeight="true" outlineLevel="0" collapsed="false">
      <c r="A1646" s="1" t="s">
        <v>706</v>
      </c>
      <c r="B1646" s="1" t="s">
        <v>50</v>
      </c>
      <c r="C1646" s="1" t="s">
        <v>533</v>
      </c>
      <c r="D1646" s="1" t="s">
        <v>285</v>
      </c>
      <c r="E1646" s="1" t="n">
        <v>0</v>
      </c>
      <c r="F1646" s="1" t="n">
        <v>0</v>
      </c>
      <c r="G1646" s="1" t="n">
        <v>0</v>
      </c>
      <c r="H1646" s="1" t="s">
        <v>534</v>
      </c>
    </row>
    <row r="1647" customFormat="false" ht="14.25" hidden="false" customHeight="true" outlineLevel="0" collapsed="false">
      <c r="A1647" s="1" t="s">
        <v>706</v>
      </c>
      <c r="B1647" s="1" t="s">
        <v>537</v>
      </c>
      <c r="C1647" s="1" t="s">
        <v>550</v>
      </c>
      <c r="D1647" s="1" t="s">
        <v>285</v>
      </c>
      <c r="E1647" s="1" t="n">
        <v>0</v>
      </c>
      <c r="F1647" s="1" t="n">
        <v>0</v>
      </c>
      <c r="G1647" s="1" t="n">
        <v>0</v>
      </c>
      <c r="H1647" s="1" t="s">
        <v>552</v>
      </c>
    </row>
    <row r="1648" customFormat="false" ht="14.25" hidden="false" customHeight="true" outlineLevel="0" collapsed="false">
      <c r="A1648" s="1" t="s">
        <v>706</v>
      </c>
      <c r="B1648" s="1" t="s">
        <v>537</v>
      </c>
      <c r="C1648" s="1" t="s">
        <v>542</v>
      </c>
      <c r="D1648" s="1" t="s">
        <v>285</v>
      </c>
      <c r="E1648" s="1" t="n">
        <v>4</v>
      </c>
      <c r="F1648" s="1" t="n">
        <v>20</v>
      </c>
      <c r="G1648" s="1" t="n">
        <v>80</v>
      </c>
      <c r="H1648" s="1" t="s">
        <v>721</v>
      </c>
    </row>
    <row r="1649" customFormat="false" ht="14.25" hidden="false" customHeight="true" outlineLevel="0" collapsed="false">
      <c r="A1649" s="1" t="s">
        <v>706</v>
      </c>
      <c r="B1649" s="1" t="s">
        <v>537</v>
      </c>
      <c r="C1649" s="1" t="s">
        <v>544</v>
      </c>
      <c r="D1649" s="1" t="s">
        <v>285</v>
      </c>
      <c r="E1649" s="1" t="n">
        <v>1</v>
      </c>
      <c r="F1649" s="1" t="n">
        <v>487.8</v>
      </c>
      <c r="G1649" s="1" t="n">
        <v>487.8</v>
      </c>
      <c r="H1649" s="1" t="s">
        <v>686</v>
      </c>
    </row>
    <row r="1650" customFormat="false" ht="14.25" hidden="false" customHeight="true" outlineLevel="0" collapsed="false">
      <c r="A1650" s="1" t="s">
        <v>706</v>
      </c>
      <c r="B1650" s="1" t="s">
        <v>537</v>
      </c>
      <c r="C1650" s="1" t="s">
        <v>551</v>
      </c>
      <c r="D1650" s="1" t="s">
        <v>285</v>
      </c>
      <c r="E1650" s="1" t="n">
        <v>0</v>
      </c>
      <c r="F1650" s="1" t="n">
        <v>0</v>
      </c>
      <c r="G1650" s="1" t="n">
        <v>0</v>
      </c>
      <c r="H1650" s="1" t="s">
        <v>722</v>
      </c>
    </row>
    <row r="1651" customFormat="false" ht="14.25" hidden="false" customHeight="true" outlineLevel="0" collapsed="false">
      <c r="A1651" s="1" t="s">
        <v>706</v>
      </c>
      <c r="B1651" s="1" t="s">
        <v>554</v>
      </c>
      <c r="C1651" s="1" t="s">
        <v>585</v>
      </c>
      <c r="D1651" s="1" t="s">
        <v>285</v>
      </c>
      <c r="E1651" s="1" t="n">
        <v>0</v>
      </c>
      <c r="F1651" s="1" t="n">
        <v>0</v>
      </c>
      <c r="G1651" s="1" t="n">
        <v>0</v>
      </c>
      <c r="H1651" s="1" t="s">
        <v>564</v>
      </c>
    </row>
    <row r="1652" customFormat="false" ht="14.25" hidden="false" customHeight="true" outlineLevel="0" collapsed="false">
      <c r="A1652" s="1" t="s">
        <v>706</v>
      </c>
      <c r="B1652" s="1" t="s">
        <v>554</v>
      </c>
      <c r="C1652" s="1" t="s">
        <v>580</v>
      </c>
      <c r="D1652" s="1" t="s">
        <v>285</v>
      </c>
      <c r="E1652" s="1" t="n">
        <v>0</v>
      </c>
      <c r="F1652" s="1" t="n">
        <v>0</v>
      </c>
      <c r="G1652" s="1" t="n">
        <v>0</v>
      </c>
      <c r="H1652" s="1" t="s">
        <v>564</v>
      </c>
    </row>
    <row r="1653" customFormat="false" ht="14.25" hidden="false" customHeight="true" outlineLevel="0" collapsed="false">
      <c r="A1653" s="1" t="s">
        <v>706</v>
      </c>
      <c r="B1653" s="1" t="s">
        <v>554</v>
      </c>
      <c r="C1653" s="1" t="s">
        <v>586</v>
      </c>
      <c r="D1653" s="1" t="s">
        <v>285</v>
      </c>
      <c r="E1653" s="1" t="n">
        <v>0</v>
      </c>
      <c r="F1653" s="1" t="n">
        <v>0</v>
      </c>
      <c r="G1653" s="1" t="n">
        <v>0</v>
      </c>
      <c r="H1653" s="1" t="s">
        <v>579</v>
      </c>
    </row>
    <row r="1654" customFormat="false" ht="14.25" hidden="false" customHeight="true" outlineLevel="0" collapsed="false">
      <c r="A1654" s="1" t="s">
        <v>706</v>
      </c>
      <c r="B1654" s="1" t="s">
        <v>554</v>
      </c>
      <c r="C1654" s="1" t="s">
        <v>584</v>
      </c>
      <c r="D1654" s="1" t="s">
        <v>285</v>
      </c>
      <c r="E1654" s="1" t="n">
        <v>0</v>
      </c>
      <c r="F1654" s="1" t="n">
        <v>0</v>
      </c>
      <c r="G1654" s="1" t="n">
        <v>0</v>
      </c>
      <c r="H1654" s="1" t="s">
        <v>587</v>
      </c>
    </row>
    <row r="1655" customFormat="false" ht="14.25" hidden="false" customHeight="true" outlineLevel="0" collapsed="false">
      <c r="A1655" s="1" t="s">
        <v>706</v>
      </c>
      <c r="B1655" s="1" t="s">
        <v>47</v>
      </c>
      <c r="C1655" s="1" t="s">
        <v>608</v>
      </c>
      <c r="D1655" s="1" t="s">
        <v>285</v>
      </c>
      <c r="E1655" s="1" t="n">
        <v>0</v>
      </c>
      <c r="F1655" s="1" t="n">
        <v>0</v>
      </c>
      <c r="G1655" s="1" t="n">
        <v>0</v>
      </c>
      <c r="H1655" s="1" t="s">
        <v>611</v>
      </c>
    </row>
    <row r="1656" customFormat="false" ht="14.25" hidden="false" customHeight="true" outlineLevel="0" collapsed="false">
      <c r="A1656" s="1" t="s">
        <v>706</v>
      </c>
      <c r="B1656" s="1" t="s">
        <v>85</v>
      </c>
      <c r="C1656" s="1" t="s">
        <v>615</v>
      </c>
      <c r="D1656" s="1" t="s">
        <v>285</v>
      </c>
      <c r="E1656" s="1" t="n">
        <v>1</v>
      </c>
      <c r="F1656" s="1" t="n">
        <v>143.82</v>
      </c>
      <c r="G1656" s="1" t="n">
        <v>143.82</v>
      </c>
      <c r="H1656" s="1" t="s">
        <v>617</v>
      </c>
    </row>
    <row r="1657" customFormat="false" ht="14.25" hidden="false" customHeight="true" outlineLevel="0" collapsed="false">
      <c r="A1657" s="1" t="s">
        <v>706</v>
      </c>
      <c r="B1657" s="1" t="s">
        <v>32</v>
      </c>
      <c r="C1657" s="1" t="s">
        <v>618</v>
      </c>
      <c r="D1657" s="1" t="s">
        <v>285</v>
      </c>
      <c r="E1657" s="1" t="n">
        <v>0</v>
      </c>
      <c r="F1657" s="1" t="n">
        <v>0</v>
      </c>
      <c r="G1657" s="1" t="n">
        <v>0</v>
      </c>
      <c r="H1657" s="1" t="s">
        <v>619</v>
      </c>
    </row>
    <row r="1658" customFormat="false" ht="14.25" hidden="false" customHeight="true" outlineLevel="0" collapsed="false">
      <c r="A1658" s="1" t="s">
        <v>706</v>
      </c>
      <c r="B1658" s="1" t="s">
        <v>44</v>
      </c>
      <c r="C1658" s="1" t="s">
        <v>626</v>
      </c>
      <c r="D1658" s="1" t="s">
        <v>285</v>
      </c>
      <c r="E1658" s="1" t="n">
        <v>0</v>
      </c>
      <c r="F1658" s="1" t="n">
        <v>0</v>
      </c>
      <c r="G1658" s="1" t="n">
        <v>0</v>
      </c>
      <c r="H1658" s="1" t="s">
        <v>738</v>
      </c>
    </row>
    <row r="1659" customFormat="false" ht="14.25" hidden="false" customHeight="true" outlineLevel="0" collapsed="false">
      <c r="A1659" s="1" t="s">
        <v>706</v>
      </c>
      <c r="B1659" s="1" t="s">
        <v>44</v>
      </c>
      <c r="C1659" s="1" t="s">
        <v>626</v>
      </c>
      <c r="D1659" s="1" t="s">
        <v>285</v>
      </c>
      <c r="E1659" s="1" t="n">
        <v>-1</v>
      </c>
      <c r="F1659" s="1" t="n">
        <v>247.34</v>
      </c>
      <c r="G1659" s="1" t="n">
        <v>-247.34</v>
      </c>
      <c r="H1659" s="1" t="s">
        <v>627</v>
      </c>
    </row>
    <row r="1660" customFormat="false" ht="14.25" hidden="false" customHeight="true" outlineLevel="0" collapsed="false">
      <c r="A1660" s="1" t="s">
        <v>706</v>
      </c>
      <c r="B1660" s="1" t="s">
        <v>87</v>
      </c>
      <c r="C1660" s="1" t="s">
        <v>642</v>
      </c>
      <c r="D1660" s="1" t="s">
        <v>285</v>
      </c>
      <c r="E1660" s="1" t="n">
        <v>1</v>
      </c>
      <c r="F1660" s="1" t="n">
        <v>50</v>
      </c>
      <c r="G1660" s="1" t="n">
        <v>50</v>
      </c>
      <c r="H1660" s="1" t="s">
        <v>724</v>
      </c>
    </row>
    <row r="1661" customFormat="false" ht="14.25" hidden="false" customHeight="true" outlineLevel="0" collapsed="false">
      <c r="A1661" s="1" t="s">
        <v>706</v>
      </c>
      <c r="B1661" s="1" t="s">
        <v>78</v>
      </c>
      <c r="C1661" s="1" t="s">
        <v>463</v>
      </c>
      <c r="D1661" s="1" t="s">
        <v>282</v>
      </c>
      <c r="E1661" s="1" t="n">
        <v>4839</v>
      </c>
      <c r="F1661" s="1" t="n">
        <v>0.52</v>
      </c>
      <c r="G1661" s="1" t="n">
        <v>2516.28</v>
      </c>
      <c r="H1661" s="1" t="s">
        <v>451</v>
      </c>
    </row>
    <row r="1662" customFormat="false" ht="14.25" hidden="false" customHeight="true" outlineLevel="0" collapsed="false">
      <c r="A1662" s="1" t="s">
        <v>706</v>
      </c>
      <c r="B1662" s="1" t="s">
        <v>464</v>
      </c>
      <c r="C1662" s="1" t="s">
        <v>668</v>
      </c>
      <c r="D1662" s="1" t="s">
        <v>282</v>
      </c>
      <c r="E1662" s="1" t="n">
        <v>0</v>
      </c>
      <c r="F1662" s="1" t="n">
        <v>0</v>
      </c>
      <c r="G1662" s="1" t="n">
        <v>0</v>
      </c>
      <c r="H1662" s="1" t="s">
        <v>477</v>
      </c>
    </row>
    <row r="1663" customFormat="false" ht="14.25" hidden="false" customHeight="true" outlineLevel="0" collapsed="false">
      <c r="A1663" s="1" t="s">
        <v>706</v>
      </c>
      <c r="B1663" s="1" t="s">
        <v>464</v>
      </c>
      <c r="C1663" s="1" t="s">
        <v>478</v>
      </c>
      <c r="D1663" s="1" t="s">
        <v>282</v>
      </c>
      <c r="E1663" s="1" t="n">
        <v>3</v>
      </c>
      <c r="F1663" s="1" t="n">
        <v>348.349782230624</v>
      </c>
      <c r="G1663" s="1" t="n">
        <v>1045.04934669187</v>
      </c>
      <c r="H1663" s="1" t="s">
        <v>685</v>
      </c>
    </row>
    <row r="1664" customFormat="false" ht="14.25" hidden="false" customHeight="true" outlineLevel="0" collapsed="false">
      <c r="A1664" s="1" t="s">
        <v>706</v>
      </c>
      <c r="B1664" s="1" t="s">
        <v>464</v>
      </c>
      <c r="C1664" s="1" t="s">
        <v>523</v>
      </c>
      <c r="D1664" s="1" t="s">
        <v>282</v>
      </c>
      <c r="E1664" s="1" t="n">
        <v>0</v>
      </c>
      <c r="F1664" s="1" t="n">
        <v>0</v>
      </c>
      <c r="G1664" s="1" t="n">
        <v>0</v>
      </c>
    </row>
    <row r="1665" customFormat="false" ht="14.25" hidden="false" customHeight="true" outlineLevel="0" collapsed="false">
      <c r="A1665" s="1" t="s">
        <v>706</v>
      </c>
      <c r="B1665" s="1" t="s">
        <v>464</v>
      </c>
      <c r="C1665" s="1" t="s">
        <v>526</v>
      </c>
      <c r="D1665" s="1" t="s">
        <v>282</v>
      </c>
      <c r="E1665" s="1" t="n">
        <v>-1</v>
      </c>
      <c r="F1665" s="1" t="n">
        <v>430.994756521739</v>
      </c>
      <c r="G1665" s="1" t="n">
        <v>-430.994756521739</v>
      </c>
    </row>
    <row r="1666" customFormat="false" ht="14.25" hidden="false" customHeight="true" outlineLevel="0" collapsed="false">
      <c r="A1666" s="1" t="s">
        <v>706</v>
      </c>
      <c r="B1666" s="1" t="s">
        <v>464</v>
      </c>
      <c r="C1666" s="1" t="s">
        <v>524</v>
      </c>
      <c r="D1666" s="1" t="s">
        <v>282</v>
      </c>
      <c r="E1666" s="1" t="n">
        <v>-27</v>
      </c>
      <c r="F1666" s="1" t="n">
        <v>430.994756521739</v>
      </c>
      <c r="G1666" s="1" t="n">
        <v>-11636.858426087</v>
      </c>
      <c r="H1666" s="1" t="s">
        <v>741</v>
      </c>
    </row>
    <row r="1667" customFormat="false" ht="14.25" hidden="false" customHeight="true" outlineLevel="0" collapsed="false">
      <c r="A1667" s="1" t="s">
        <v>706</v>
      </c>
      <c r="B1667" s="1" t="s">
        <v>143</v>
      </c>
      <c r="C1667" s="1" t="s">
        <v>527</v>
      </c>
      <c r="D1667" s="1" t="s">
        <v>282</v>
      </c>
      <c r="E1667" s="1" t="n">
        <v>4839</v>
      </c>
      <c r="F1667" s="1" t="n">
        <v>0.28</v>
      </c>
      <c r="G1667" s="1" t="n">
        <v>1354.92</v>
      </c>
      <c r="H1667" s="1" t="s">
        <v>451</v>
      </c>
    </row>
    <row r="1668" customFormat="false" ht="14.25" hidden="false" customHeight="true" outlineLevel="0" collapsed="false">
      <c r="A1668" s="1" t="s">
        <v>706</v>
      </c>
      <c r="B1668" s="1" t="s">
        <v>45</v>
      </c>
      <c r="C1668" s="1" t="s">
        <v>531</v>
      </c>
      <c r="D1668" s="1" t="s">
        <v>282</v>
      </c>
      <c r="E1668" s="1" t="n">
        <v>0</v>
      </c>
      <c r="F1668" s="1" t="n">
        <v>0</v>
      </c>
      <c r="G1668" s="1" t="n">
        <v>0</v>
      </c>
      <c r="H1668" s="1" t="s">
        <v>532</v>
      </c>
    </row>
    <row r="1669" customFormat="false" ht="14.25" hidden="false" customHeight="true" outlineLevel="0" collapsed="false">
      <c r="A1669" s="1" t="s">
        <v>706</v>
      </c>
      <c r="B1669" s="1" t="s">
        <v>50</v>
      </c>
      <c r="C1669" s="1" t="s">
        <v>533</v>
      </c>
      <c r="D1669" s="1" t="s">
        <v>282</v>
      </c>
      <c r="E1669" s="1" t="n">
        <v>0</v>
      </c>
      <c r="F1669" s="1" t="n">
        <v>0</v>
      </c>
      <c r="G1669" s="1" t="n">
        <v>0</v>
      </c>
      <c r="H1669" s="1" t="s">
        <v>534</v>
      </c>
    </row>
    <row r="1670" customFormat="false" ht="14.25" hidden="false" customHeight="true" outlineLevel="0" collapsed="false">
      <c r="A1670" s="1" t="s">
        <v>706</v>
      </c>
      <c r="B1670" s="1" t="s">
        <v>537</v>
      </c>
      <c r="C1670" s="1" t="s">
        <v>538</v>
      </c>
      <c r="D1670" s="1" t="s">
        <v>282</v>
      </c>
      <c r="E1670" s="1" t="n">
        <v>0</v>
      </c>
      <c r="F1670" s="1" t="n">
        <v>0</v>
      </c>
      <c r="G1670" s="1" t="n">
        <v>0</v>
      </c>
      <c r="H1670" s="1" t="s">
        <v>553</v>
      </c>
    </row>
    <row r="1671" customFormat="false" ht="14.25" hidden="false" customHeight="true" outlineLevel="0" collapsed="false">
      <c r="A1671" s="1" t="s">
        <v>706</v>
      </c>
      <c r="B1671" s="1" t="s">
        <v>537</v>
      </c>
      <c r="C1671" s="1" t="s">
        <v>542</v>
      </c>
      <c r="D1671" s="1" t="s">
        <v>282</v>
      </c>
      <c r="E1671" s="1" t="n">
        <v>8</v>
      </c>
      <c r="F1671" s="1" t="n">
        <v>20</v>
      </c>
      <c r="G1671" s="1" t="n">
        <v>160</v>
      </c>
      <c r="H1671" s="1" t="s">
        <v>721</v>
      </c>
    </row>
    <row r="1672" customFormat="false" ht="14.25" hidden="false" customHeight="true" outlineLevel="0" collapsed="false">
      <c r="A1672" s="1" t="s">
        <v>706</v>
      </c>
      <c r="B1672" s="1" t="s">
        <v>537</v>
      </c>
      <c r="C1672" s="1" t="s">
        <v>544</v>
      </c>
      <c r="D1672" s="1" t="s">
        <v>282</v>
      </c>
      <c r="E1672" s="1" t="n">
        <v>1</v>
      </c>
      <c r="F1672" s="1" t="n">
        <v>753.05</v>
      </c>
      <c r="G1672" s="1" t="n">
        <v>753.05</v>
      </c>
      <c r="H1672" s="1" t="s">
        <v>544</v>
      </c>
    </row>
    <row r="1673" customFormat="false" ht="14.25" hidden="false" customHeight="true" outlineLevel="0" collapsed="false">
      <c r="A1673" s="1" t="s">
        <v>706</v>
      </c>
      <c r="B1673" s="1" t="s">
        <v>537</v>
      </c>
      <c r="C1673" s="1" t="s">
        <v>546</v>
      </c>
      <c r="D1673" s="1" t="s">
        <v>282</v>
      </c>
      <c r="E1673" s="1" t="n">
        <v>1</v>
      </c>
      <c r="F1673" s="1" t="n">
        <v>384</v>
      </c>
      <c r="G1673" s="1" t="n">
        <v>384</v>
      </c>
      <c r="H1673" s="1" t="s">
        <v>722</v>
      </c>
    </row>
    <row r="1674" customFormat="false" ht="14.25" hidden="false" customHeight="true" outlineLevel="0" collapsed="false">
      <c r="A1674" s="1" t="s">
        <v>706</v>
      </c>
      <c r="B1674" s="1" t="s">
        <v>554</v>
      </c>
      <c r="C1674" s="1" t="s">
        <v>588</v>
      </c>
      <c r="D1674" s="1" t="s">
        <v>282</v>
      </c>
      <c r="E1674" s="1" t="n">
        <v>4839</v>
      </c>
      <c r="F1674" s="1" t="n">
        <v>0.73</v>
      </c>
      <c r="G1674" s="1" t="n">
        <v>3532.47</v>
      </c>
      <c r="H1674" s="1" t="s">
        <v>451</v>
      </c>
    </row>
    <row r="1675" customFormat="false" ht="14.25" hidden="false" customHeight="true" outlineLevel="0" collapsed="false">
      <c r="A1675" s="1" t="s">
        <v>706</v>
      </c>
      <c r="B1675" s="1" t="s">
        <v>554</v>
      </c>
      <c r="C1675" s="1" t="s">
        <v>589</v>
      </c>
      <c r="D1675" s="1" t="s">
        <v>282</v>
      </c>
      <c r="E1675" s="1" t="n">
        <v>1</v>
      </c>
      <c r="F1675" s="1" t="n">
        <v>922.18</v>
      </c>
      <c r="G1675" s="1" t="n">
        <v>922.18</v>
      </c>
      <c r="H1675" s="1" t="s">
        <v>564</v>
      </c>
    </row>
    <row r="1676" customFormat="false" ht="14.25" hidden="false" customHeight="true" outlineLevel="0" collapsed="false">
      <c r="A1676" s="1" t="s">
        <v>706</v>
      </c>
      <c r="B1676" s="1" t="s">
        <v>554</v>
      </c>
      <c r="C1676" s="1" t="s">
        <v>590</v>
      </c>
      <c r="D1676" s="1" t="s">
        <v>282</v>
      </c>
      <c r="E1676" s="1" t="n">
        <v>0</v>
      </c>
      <c r="F1676" s="1" t="n">
        <v>0</v>
      </c>
      <c r="G1676" s="1" t="n">
        <v>0</v>
      </c>
      <c r="H1676" s="1" t="s">
        <v>564</v>
      </c>
    </row>
    <row r="1677" customFormat="false" ht="14.25" hidden="false" customHeight="true" outlineLevel="0" collapsed="false">
      <c r="A1677" s="1" t="s">
        <v>706</v>
      </c>
      <c r="B1677" s="1" t="s">
        <v>554</v>
      </c>
      <c r="C1677" s="1" t="s">
        <v>687</v>
      </c>
      <c r="D1677" s="1" t="s">
        <v>282</v>
      </c>
      <c r="E1677" s="1" t="n">
        <v>1</v>
      </c>
      <c r="F1677" s="1" t="n">
        <v>4711.01</v>
      </c>
      <c r="G1677" s="1" t="n">
        <v>4711.01</v>
      </c>
      <c r="H1677" s="1" t="s">
        <v>587</v>
      </c>
    </row>
    <row r="1678" customFormat="false" ht="14.25" hidden="false" customHeight="true" outlineLevel="0" collapsed="false">
      <c r="A1678" s="1" t="s">
        <v>706</v>
      </c>
      <c r="B1678" s="1" t="s">
        <v>554</v>
      </c>
      <c r="C1678" s="1" t="s">
        <v>592</v>
      </c>
      <c r="D1678" s="1" t="s">
        <v>282</v>
      </c>
      <c r="E1678" s="1" t="n">
        <v>0</v>
      </c>
      <c r="F1678" s="1" t="n">
        <v>0</v>
      </c>
      <c r="G1678" s="1" t="n">
        <v>0</v>
      </c>
      <c r="H1678" s="1" t="s">
        <v>579</v>
      </c>
    </row>
    <row r="1679" customFormat="false" ht="14.25" hidden="false" customHeight="true" outlineLevel="0" collapsed="false">
      <c r="A1679" s="1" t="s">
        <v>706</v>
      </c>
      <c r="B1679" s="1" t="s">
        <v>464</v>
      </c>
      <c r="C1679" s="1" t="s">
        <v>725</v>
      </c>
      <c r="D1679" s="1" t="s">
        <v>282</v>
      </c>
      <c r="E1679" s="1" t="n">
        <v>1</v>
      </c>
      <c r="F1679" s="1" t="n">
        <v>25.5</v>
      </c>
      <c r="G1679" s="1" t="n">
        <v>25.5</v>
      </c>
      <c r="H1679" s="1" t="s">
        <v>606</v>
      </c>
    </row>
    <row r="1680" customFormat="false" ht="14.25" hidden="false" customHeight="true" outlineLevel="0" collapsed="false">
      <c r="A1680" s="1" t="s">
        <v>706</v>
      </c>
      <c r="B1680" s="1" t="s">
        <v>593</v>
      </c>
      <c r="C1680" s="1" t="s">
        <v>597</v>
      </c>
      <c r="D1680" s="1" t="s">
        <v>282</v>
      </c>
      <c r="E1680" s="1" t="n">
        <v>1</v>
      </c>
      <c r="F1680" s="1" t="n">
        <v>67.33</v>
      </c>
      <c r="G1680" s="1" t="n">
        <v>67.33</v>
      </c>
      <c r="H1680" s="1" t="s">
        <v>607</v>
      </c>
    </row>
    <row r="1681" customFormat="false" ht="14.25" hidden="false" customHeight="true" outlineLevel="0" collapsed="false">
      <c r="A1681" s="1" t="s">
        <v>706</v>
      </c>
      <c r="B1681" s="1" t="s">
        <v>593</v>
      </c>
      <c r="C1681" s="1" t="s">
        <v>597</v>
      </c>
      <c r="D1681" s="1" t="s">
        <v>282</v>
      </c>
      <c r="E1681" s="1" t="n">
        <v>-1</v>
      </c>
      <c r="F1681" s="1" t="n">
        <v>510</v>
      </c>
      <c r="G1681" s="1" t="n">
        <v>-510</v>
      </c>
      <c r="H1681" s="1" t="s">
        <v>742</v>
      </c>
    </row>
    <row r="1682" customFormat="false" ht="14.25" hidden="false" customHeight="true" outlineLevel="0" collapsed="false">
      <c r="A1682" s="1" t="s">
        <v>706</v>
      </c>
      <c r="B1682" s="1" t="s">
        <v>47</v>
      </c>
      <c r="C1682" s="1" t="s">
        <v>608</v>
      </c>
      <c r="D1682" s="1" t="s">
        <v>282</v>
      </c>
      <c r="E1682" s="1" t="n">
        <v>0</v>
      </c>
      <c r="F1682" s="1" t="n">
        <v>0</v>
      </c>
      <c r="G1682" s="1" t="n">
        <v>0</v>
      </c>
      <c r="H1682" s="1" t="s">
        <v>691</v>
      </c>
    </row>
    <row r="1683" customFormat="false" ht="14.25" hidden="false" customHeight="true" outlineLevel="0" collapsed="false">
      <c r="A1683" s="1" t="s">
        <v>706</v>
      </c>
      <c r="B1683" s="1" t="s">
        <v>32</v>
      </c>
      <c r="C1683" s="1" t="s">
        <v>618</v>
      </c>
      <c r="D1683" s="1" t="s">
        <v>282</v>
      </c>
      <c r="E1683" s="1" t="n">
        <v>0</v>
      </c>
      <c r="F1683" s="1" t="n">
        <v>0</v>
      </c>
      <c r="G1683" s="1" t="n">
        <v>0</v>
      </c>
      <c r="H1683" s="1" t="s">
        <v>619</v>
      </c>
    </row>
    <row r="1684" customFormat="false" ht="14.25" hidden="false" customHeight="true" outlineLevel="0" collapsed="false">
      <c r="A1684" s="1" t="s">
        <v>706</v>
      </c>
      <c r="B1684" s="1" t="s">
        <v>32</v>
      </c>
      <c r="C1684" s="1" t="s">
        <v>620</v>
      </c>
      <c r="D1684" s="1" t="s">
        <v>282</v>
      </c>
      <c r="E1684" s="1" t="n">
        <v>0</v>
      </c>
      <c r="F1684" s="1" t="n">
        <v>0</v>
      </c>
      <c r="G1684" s="1" t="n">
        <v>0</v>
      </c>
      <c r="H1684" s="1" t="s">
        <v>743</v>
      </c>
    </row>
    <row r="1685" customFormat="false" ht="14.25" hidden="false" customHeight="true" outlineLevel="0" collapsed="false">
      <c r="A1685" s="1" t="s">
        <v>706</v>
      </c>
      <c r="B1685" s="1" t="s">
        <v>44</v>
      </c>
      <c r="C1685" s="1" t="s">
        <v>626</v>
      </c>
      <c r="D1685" s="1" t="s">
        <v>282</v>
      </c>
      <c r="E1685" s="1" t="n">
        <v>1</v>
      </c>
      <c r="F1685" s="1" t="n">
        <v>757.25</v>
      </c>
      <c r="G1685" s="1" t="n">
        <v>757.25</v>
      </c>
      <c r="H1685" s="1" t="s">
        <v>679</v>
      </c>
    </row>
    <row r="1686" customFormat="false" ht="14.25" hidden="false" customHeight="true" outlineLevel="0" collapsed="false">
      <c r="A1686" s="1" t="s">
        <v>706</v>
      </c>
      <c r="B1686" s="1" t="s">
        <v>44</v>
      </c>
      <c r="C1686" s="1" t="s">
        <v>626</v>
      </c>
      <c r="D1686" s="1" t="s">
        <v>282</v>
      </c>
      <c r="E1686" s="1" t="n">
        <v>-1</v>
      </c>
      <c r="F1686" s="1" t="n">
        <v>1197.53</v>
      </c>
      <c r="G1686" s="1" t="n">
        <v>-1197.53</v>
      </c>
      <c r="H1686" s="1" t="s">
        <v>627</v>
      </c>
    </row>
    <row r="1687" customFormat="false" ht="14.25" hidden="false" customHeight="true" outlineLevel="0" collapsed="false">
      <c r="A1687" s="1" t="s">
        <v>706</v>
      </c>
      <c r="B1687" s="1" t="s">
        <v>44</v>
      </c>
      <c r="C1687" s="1" t="s">
        <v>641</v>
      </c>
      <c r="D1687" s="1" t="s">
        <v>282</v>
      </c>
      <c r="E1687" s="1" t="n">
        <v>0</v>
      </c>
      <c r="F1687" s="1" t="n">
        <v>0</v>
      </c>
      <c r="G1687" s="1" t="n">
        <v>0</v>
      </c>
      <c r="H1687" s="1" t="s">
        <v>630</v>
      </c>
    </row>
    <row r="1688" customFormat="false" ht="14.25" hidden="false" customHeight="true" outlineLevel="0" collapsed="false">
      <c r="A1688" s="1" t="s">
        <v>706</v>
      </c>
      <c r="B1688" s="1" t="s">
        <v>44</v>
      </c>
      <c r="C1688" s="1" t="s">
        <v>636</v>
      </c>
      <c r="D1688" s="1" t="s">
        <v>282</v>
      </c>
      <c r="E1688" s="1" t="n">
        <v>0</v>
      </c>
      <c r="F1688" s="1" t="n">
        <v>0</v>
      </c>
      <c r="G1688" s="1" t="n">
        <v>0</v>
      </c>
      <c r="H1688" s="1" t="s">
        <v>634</v>
      </c>
    </row>
    <row r="1689" customFormat="false" ht="14.25" hidden="false" customHeight="true" outlineLevel="0" collapsed="false">
      <c r="A1689" s="1" t="s">
        <v>706</v>
      </c>
      <c r="B1689" s="1" t="s">
        <v>87</v>
      </c>
      <c r="C1689" s="1" t="s">
        <v>642</v>
      </c>
      <c r="D1689" s="1" t="s">
        <v>282</v>
      </c>
      <c r="E1689" s="1" t="n">
        <v>1</v>
      </c>
      <c r="F1689" s="1" t="n">
        <v>90</v>
      </c>
      <c r="G1689" s="1" t="n">
        <v>90</v>
      </c>
      <c r="H1689" s="1" t="s">
        <v>724</v>
      </c>
    </row>
    <row r="1690" customFormat="false" ht="14.25" hidden="false" customHeight="true" outlineLevel="0" collapsed="false">
      <c r="A1690" s="1" t="s">
        <v>706</v>
      </c>
      <c r="B1690" s="1" t="s">
        <v>87</v>
      </c>
      <c r="C1690" s="1" t="s">
        <v>642</v>
      </c>
      <c r="D1690" s="1" t="s">
        <v>282</v>
      </c>
      <c r="E1690" s="1" t="n">
        <v>2</v>
      </c>
      <c r="F1690" s="1" t="n">
        <v>10</v>
      </c>
      <c r="G1690" s="1" t="n">
        <v>20</v>
      </c>
      <c r="H1690" s="1" t="s">
        <v>724</v>
      </c>
    </row>
    <row r="1691" customFormat="false" ht="14.25" hidden="false" customHeight="true" outlineLevel="0" collapsed="false">
      <c r="A1691" s="1" t="s">
        <v>706</v>
      </c>
      <c r="B1691" s="1" t="s">
        <v>87</v>
      </c>
      <c r="C1691" s="1" t="s">
        <v>642</v>
      </c>
      <c r="D1691" s="1" t="s">
        <v>282</v>
      </c>
      <c r="E1691" s="1" t="n">
        <v>3</v>
      </c>
      <c r="F1691" s="1" t="n">
        <v>50</v>
      </c>
      <c r="G1691" s="1" t="n">
        <v>150</v>
      </c>
      <c r="H1691" s="1" t="s">
        <v>724</v>
      </c>
    </row>
    <row r="1692" customFormat="false" ht="14.25" hidden="false" customHeight="true" outlineLevel="0" collapsed="false">
      <c r="A1692" s="1" t="s">
        <v>706</v>
      </c>
      <c r="B1692" s="1" t="s">
        <v>464</v>
      </c>
      <c r="C1692" s="1" t="s">
        <v>465</v>
      </c>
      <c r="D1692" s="1" t="s">
        <v>282</v>
      </c>
      <c r="E1692" s="1" t="n">
        <v>0</v>
      </c>
      <c r="F1692" s="1" t="n">
        <v>0</v>
      </c>
      <c r="G1692" s="1" t="n">
        <v>0</v>
      </c>
      <c r="H1692" s="1" t="s">
        <v>717</v>
      </c>
    </row>
    <row r="1693" customFormat="false" ht="14.25" hidden="false" customHeight="true" outlineLevel="0" collapsed="false">
      <c r="A1693" s="1" t="s">
        <v>706</v>
      </c>
      <c r="B1693" s="1" t="s">
        <v>45</v>
      </c>
      <c r="C1693" s="1" t="s">
        <v>529</v>
      </c>
      <c r="D1693" s="1" t="s">
        <v>282</v>
      </c>
      <c r="E1693" s="1" t="n">
        <v>1</v>
      </c>
      <c r="F1693" s="1" t="n">
        <v>25021.2</v>
      </c>
      <c r="G1693" s="1" t="n">
        <v>25021.2</v>
      </c>
      <c r="H1693" s="1" t="s">
        <v>530</v>
      </c>
    </row>
    <row r="1694" customFormat="false" ht="14.25" hidden="false" customHeight="true" outlineLevel="0" collapsed="false">
      <c r="A1694" s="1" t="s">
        <v>706</v>
      </c>
      <c r="B1694" s="1" t="s">
        <v>464</v>
      </c>
      <c r="C1694" s="1" t="s">
        <v>465</v>
      </c>
      <c r="D1694" s="1" t="s">
        <v>282</v>
      </c>
      <c r="E1694" s="1" t="n">
        <v>323</v>
      </c>
      <c r="F1694" s="1" t="n">
        <v>1.86</v>
      </c>
      <c r="G1694" s="1" t="n">
        <v>600.78</v>
      </c>
      <c r="H1694" s="1" t="s">
        <v>717</v>
      </c>
    </row>
    <row r="1695" customFormat="false" ht="14.25" hidden="false" customHeight="true" outlineLevel="0" collapsed="false">
      <c r="A1695" s="1" t="s">
        <v>706</v>
      </c>
      <c r="B1695" s="1" t="s">
        <v>85</v>
      </c>
      <c r="C1695" s="1" t="s">
        <v>615</v>
      </c>
      <c r="D1695" s="1" t="s">
        <v>282</v>
      </c>
      <c r="E1695" s="1" t="n">
        <v>13</v>
      </c>
      <c r="F1695" s="1" t="n">
        <v>154.89</v>
      </c>
      <c r="G1695" s="1" t="n">
        <v>2013.57</v>
      </c>
      <c r="H1695" s="1" t="s">
        <v>617</v>
      </c>
    </row>
    <row r="1696" customFormat="false" ht="14.25" hidden="false" customHeight="true" outlineLevel="0" collapsed="false">
      <c r="A1696" s="1" t="s">
        <v>706</v>
      </c>
      <c r="B1696" s="1" t="s">
        <v>464</v>
      </c>
      <c r="C1696" s="1" t="s">
        <v>744</v>
      </c>
      <c r="D1696" s="1" t="s">
        <v>287</v>
      </c>
      <c r="E1696" s="1" t="n">
        <v>4</v>
      </c>
      <c r="F1696" s="1" t="n">
        <v>1002.25</v>
      </c>
      <c r="G1696" s="1" t="n">
        <v>4009</v>
      </c>
      <c r="H1696" s="1" t="s">
        <v>745</v>
      </c>
    </row>
    <row r="1697" customFormat="false" ht="14.25" hidden="false" customHeight="true" outlineLevel="0" collapsed="false">
      <c r="A1697" s="1" t="s">
        <v>706</v>
      </c>
      <c r="B1697" s="1" t="s">
        <v>464</v>
      </c>
      <c r="C1697" s="1" t="s">
        <v>744</v>
      </c>
      <c r="D1697" s="1" t="s">
        <v>289</v>
      </c>
      <c r="E1697" s="1" t="n">
        <v>7</v>
      </c>
      <c r="F1697" s="1" t="n">
        <v>1002.25</v>
      </c>
      <c r="G1697" s="1" t="n">
        <v>7015.75</v>
      </c>
      <c r="H1697" s="1" t="s">
        <v>745</v>
      </c>
    </row>
    <row r="1698" customFormat="false" ht="14.25" hidden="false" customHeight="true" outlineLevel="0" collapsed="false">
      <c r="A1698" s="1" t="s">
        <v>706</v>
      </c>
      <c r="B1698" s="1" t="s">
        <v>464</v>
      </c>
      <c r="C1698" s="1" t="s">
        <v>744</v>
      </c>
      <c r="D1698" s="1" t="s">
        <v>293</v>
      </c>
      <c r="E1698" s="1" t="n">
        <v>0</v>
      </c>
      <c r="F1698" s="1" t="n">
        <v>0</v>
      </c>
      <c r="G1698" s="1" t="n">
        <v>0</v>
      </c>
      <c r="H1698" s="1" t="s">
        <v>745</v>
      </c>
    </row>
    <row r="1699" customFormat="false" ht="14.25" hidden="false" customHeight="true" outlineLevel="0" collapsed="false">
      <c r="A1699" s="1" t="s">
        <v>706</v>
      </c>
      <c r="B1699" s="1" t="s">
        <v>464</v>
      </c>
      <c r="C1699" s="1" t="s">
        <v>744</v>
      </c>
      <c r="D1699" s="1" t="s">
        <v>290</v>
      </c>
      <c r="E1699" s="1" t="n">
        <v>10</v>
      </c>
      <c r="F1699" s="1" t="n">
        <v>1002.25</v>
      </c>
      <c r="G1699" s="1" t="n">
        <v>10022.5</v>
      </c>
      <c r="H1699" s="1" t="s">
        <v>745</v>
      </c>
    </row>
    <row r="1700" customFormat="false" ht="14.25" hidden="false" customHeight="true" outlineLevel="0" collapsed="false">
      <c r="A1700" s="1" t="s">
        <v>706</v>
      </c>
      <c r="B1700" s="1" t="s">
        <v>464</v>
      </c>
      <c r="C1700" s="1" t="s">
        <v>744</v>
      </c>
      <c r="D1700" s="1" t="s">
        <v>284</v>
      </c>
      <c r="E1700" s="1" t="n">
        <v>15</v>
      </c>
      <c r="F1700" s="1" t="n">
        <v>1002.25</v>
      </c>
      <c r="G1700" s="1" t="n">
        <v>15033.75</v>
      </c>
      <c r="H1700" s="1" t="s">
        <v>745</v>
      </c>
    </row>
    <row r="1701" customFormat="false" ht="14.25" hidden="false" customHeight="true" outlineLevel="0" collapsed="false">
      <c r="A1701" s="1" t="s">
        <v>706</v>
      </c>
      <c r="B1701" s="1" t="s">
        <v>464</v>
      </c>
      <c r="C1701" s="1" t="s">
        <v>744</v>
      </c>
      <c r="D1701" s="1" t="s">
        <v>285</v>
      </c>
      <c r="E1701" s="1" t="n">
        <v>6</v>
      </c>
      <c r="F1701" s="1" t="n">
        <v>1002.25</v>
      </c>
      <c r="G1701" s="1" t="n">
        <v>6013.5</v>
      </c>
      <c r="H1701" s="1" t="s">
        <v>745</v>
      </c>
    </row>
    <row r="1702" customFormat="false" ht="14.25" hidden="false" customHeight="true" outlineLevel="0" collapsed="false">
      <c r="A1702" s="1" t="s">
        <v>706</v>
      </c>
      <c r="B1702" s="1" t="s">
        <v>464</v>
      </c>
      <c r="C1702" s="1" t="s">
        <v>744</v>
      </c>
      <c r="D1702" s="1" t="s">
        <v>282</v>
      </c>
      <c r="E1702" s="1" t="n">
        <v>9</v>
      </c>
      <c r="F1702" s="1" t="n">
        <v>1002.25</v>
      </c>
      <c r="G1702" s="1" t="n">
        <v>9020.25</v>
      </c>
      <c r="H1702" s="1" t="s">
        <v>745</v>
      </c>
    </row>
    <row r="1703" customFormat="false" ht="14.25" hidden="false" customHeight="true" outlineLevel="0" collapsed="false">
      <c r="A1703" s="1" t="s">
        <v>706</v>
      </c>
      <c r="B1703" s="1" t="s">
        <v>464</v>
      </c>
      <c r="C1703" s="1" t="s">
        <v>746</v>
      </c>
      <c r="D1703" s="1" t="s">
        <v>282</v>
      </c>
      <c r="E1703" s="1" t="n">
        <v>-1</v>
      </c>
      <c r="F1703" s="1" t="n">
        <v>430.994756521739</v>
      </c>
      <c r="G1703" s="1" t="n">
        <v>-430.994756521739</v>
      </c>
      <c r="H1703" s="1" t="s">
        <v>685</v>
      </c>
    </row>
    <row r="1704" customFormat="false" ht="14.25" hidden="false" customHeight="true" outlineLevel="0" collapsed="false">
      <c r="A1704" s="1" t="s">
        <v>706</v>
      </c>
      <c r="B1704" s="1" t="s">
        <v>45</v>
      </c>
      <c r="C1704" s="1" t="s">
        <v>747</v>
      </c>
      <c r="D1704" s="1" t="s">
        <v>289</v>
      </c>
      <c r="E1704" s="1" t="n">
        <v>1</v>
      </c>
      <c r="F1704" s="1" t="n">
        <v>176</v>
      </c>
      <c r="G1704" s="1" t="n">
        <v>176</v>
      </c>
      <c r="H1704" s="1" t="s">
        <v>748</v>
      </c>
    </row>
    <row r="1705" customFormat="false" ht="14.25" hidden="false" customHeight="true" outlineLevel="0" collapsed="false">
      <c r="A1705" s="1" t="s">
        <v>706</v>
      </c>
      <c r="B1705" s="1" t="s">
        <v>464</v>
      </c>
      <c r="C1705" s="1" t="s">
        <v>746</v>
      </c>
      <c r="D1705" s="1" t="s">
        <v>289</v>
      </c>
      <c r="E1705" s="1" t="n">
        <v>1</v>
      </c>
      <c r="F1705" s="1" t="n">
        <v>430.994756521739</v>
      </c>
      <c r="G1705" s="1" t="n">
        <v>430.994756521739</v>
      </c>
      <c r="H1705" s="1" t="s">
        <v>685</v>
      </c>
    </row>
    <row r="1706" customFormat="false" ht="14.25" hidden="false" customHeight="true" outlineLevel="0" collapsed="false">
      <c r="A1706" s="1" t="s">
        <v>706</v>
      </c>
      <c r="B1706" s="1" t="s">
        <v>464</v>
      </c>
      <c r="C1706" s="1" t="s">
        <v>749</v>
      </c>
      <c r="D1706" s="1" t="s">
        <v>285</v>
      </c>
      <c r="E1706" s="1" t="n">
        <v>-1</v>
      </c>
      <c r="F1706" s="1" t="n">
        <v>341.91752195122</v>
      </c>
      <c r="G1706" s="1" t="n">
        <v>-341.91752195122</v>
      </c>
      <c r="H1706" s="1" t="s">
        <v>685</v>
      </c>
    </row>
    <row r="1707" customFormat="false" ht="14.25" hidden="false" customHeight="true" outlineLevel="0" collapsed="false">
      <c r="A1707" s="1" t="s">
        <v>706</v>
      </c>
      <c r="B1707" s="1" t="s">
        <v>464</v>
      </c>
      <c r="C1707" s="1" t="s">
        <v>749</v>
      </c>
      <c r="D1707" s="1" t="s">
        <v>290</v>
      </c>
      <c r="E1707" s="1" t="n">
        <v>1</v>
      </c>
      <c r="F1707" s="1" t="n">
        <v>341.91752195122</v>
      </c>
      <c r="G1707" s="1" t="n">
        <v>341.91752195122</v>
      </c>
      <c r="H1707" s="1" t="s">
        <v>685</v>
      </c>
    </row>
    <row r="1708" customFormat="false" ht="14.25" hidden="false" customHeight="true" outlineLevel="0" collapsed="false">
      <c r="A1708" s="1" t="s">
        <v>706</v>
      </c>
      <c r="B1708" s="1" t="s">
        <v>464</v>
      </c>
      <c r="C1708" s="1" t="s">
        <v>750</v>
      </c>
      <c r="D1708" s="1" t="s">
        <v>290</v>
      </c>
      <c r="E1708" s="1" t="n">
        <v>-1</v>
      </c>
      <c r="F1708" s="1" t="n">
        <v>931.403027160494</v>
      </c>
      <c r="G1708" s="1" t="n">
        <v>-931.403027160494</v>
      </c>
      <c r="H1708" s="1" t="s">
        <v>685</v>
      </c>
    </row>
    <row r="1709" customFormat="false" ht="14.25" hidden="false" customHeight="true" outlineLevel="0" collapsed="false">
      <c r="A1709" s="1" t="s">
        <v>706</v>
      </c>
      <c r="B1709" s="1" t="s">
        <v>464</v>
      </c>
      <c r="C1709" s="1" t="s">
        <v>750</v>
      </c>
      <c r="D1709" s="1" t="s">
        <v>285</v>
      </c>
      <c r="E1709" s="1" t="n">
        <v>1</v>
      </c>
      <c r="F1709" s="1" t="n">
        <v>931.403027160494</v>
      </c>
      <c r="G1709" s="1" t="n">
        <v>931.403027160494</v>
      </c>
      <c r="H1709" s="1" t="s">
        <v>685</v>
      </c>
    </row>
    <row r="1710" customFormat="false" ht="14.25" hidden="false" customHeight="true" outlineLevel="0" collapsed="false">
      <c r="A1710" s="1" t="s">
        <v>448</v>
      </c>
      <c r="B1710" s="1" t="s">
        <v>453</v>
      </c>
      <c r="C1710" s="1" t="s">
        <v>454</v>
      </c>
      <c r="D1710" s="1" t="s">
        <v>285</v>
      </c>
      <c r="E1710" s="1" t="n">
        <v>0</v>
      </c>
      <c r="F1710" s="1" t="n">
        <v>0</v>
      </c>
      <c r="G1710" s="1" t="n">
        <v>0</v>
      </c>
      <c r="H1710" s="1" t="s">
        <v>751</v>
      </c>
    </row>
    <row r="1711" customFormat="false" ht="14.25" hidden="false" customHeight="true" outlineLevel="0" collapsed="false">
      <c r="A1711" s="1" t="s">
        <v>448</v>
      </c>
      <c r="B1711" s="1" t="s">
        <v>32</v>
      </c>
      <c r="C1711" s="1" t="s">
        <v>618</v>
      </c>
      <c r="D1711" s="1" t="s">
        <v>289</v>
      </c>
      <c r="E1711" s="1" t="n">
        <v>0</v>
      </c>
      <c r="F1711" s="1" t="n">
        <v>0</v>
      </c>
      <c r="G1711" s="1" t="n">
        <v>0</v>
      </c>
      <c r="H1711" s="1" t="s">
        <v>619</v>
      </c>
    </row>
    <row r="1712" customFormat="false" ht="14.25" hidden="false" customHeight="true" outlineLevel="0" collapsed="false">
      <c r="A1712" s="1" t="s">
        <v>644</v>
      </c>
      <c r="B1712" s="1" t="s">
        <v>32</v>
      </c>
      <c r="C1712" s="1" t="s">
        <v>618</v>
      </c>
      <c r="D1712" s="1" t="s">
        <v>289</v>
      </c>
      <c r="E1712" s="1" t="n">
        <v>0</v>
      </c>
      <c r="F1712" s="1" t="n">
        <v>0</v>
      </c>
      <c r="G1712" s="1" t="n">
        <v>0</v>
      </c>
      <c r="H1712" s="1" t="s">
        <v>619</v>
      </c>
    </row>
    <row r="1713" customFormat="false" ht="14.25" hidden="false" customHeight="true" outlineLevel="0" collapsed="false">
      <c r="A1713" s="1" t="s">
        <v>644</v>
      </c>
      <c r="B1713" s="1" t="s">
        <v>50</v>
      </c>
      <c r="C1713" s="1" t="s">
        <v>533</v>
      </c>
      <c r="D1713" s="1" t="s">
        <v>290</v>
      </c>
      <c r="E1713" s="1" t="n">
        <v>1</v>
      </c>
      <c r="F1713" s="1" t="n">
        <v>676.8</v>
      </c>
      <c r="G1713" s="1" t="n">
        <v>676.8</v>
      </c>
      <c r="H1713" s="1" t="s">
        <v>534</v>
      </c>
    </row>
    <row r="1714" customFormat="false" ht="14.25" hidden="false" customHeight="true" outlineLevel="0" collapsed="false">
      <c r="A1714" s="1" t="s">
        <v>644</v>
      </c>
      <c r="B1714" s="1" t="s">
        <v>593</v>
      </c>
      <c r="C1714" s="1" t="s">
        <v>594</v>
      </c>
      <c r="D1714" s="1" t="s">
        <v>290</v>
      </c>
      <c r="E1714" s="1" t="n">
        <v>-1</v>
      </c>
      <c r="F1714" s="1" t="n">
        <v>238.88</v>
      </c>
      <c r="G1714" s="1" t="n">
        <v>-238.88</v>
      </c>
      <c r="H1714" s="1" t="s">
        <v>752</v>
      </c>
    </row>
    <row r="1715" customFormat="false" ht="14.25" hidden="false" customHeight="true" outlineLevel="0" collapsed="false">
      <c r="A1715" s="1" t="s">
        <v>644</v>
      </c>
      <c r="B1715" s="1" t="s">
        <v>50</v>
      </c>
      <c r="C1715" s="1" t="s">
        <v>533</v>
      </c>
      <c r="D1715" s="1" t="s">
        <v>284</v>
      </c>
      <c r="E1715" s="1" t="n">
        <v>1</v>
      </c>
      <c r="F1715" s="1" t="n">
        <v>676.8</v>
      </c>
      <c r="G1715" s="1" t="n">
        <v>676.8</v>
      </c>
      <c r="H1715" s="1" t="s">
        <v>534</v>
      </c>
    </row>
    <row r="1716" customFormat="false" ht="14.25" hidden="false" customHeight="true" outlineLevel="0" collapsed="false">
      <c r="A1716" s="1" t="s">
        <v>644</v>
      </c>
      <c r="B1716" s="1" t="s">
        <v>453</v>
      </c>
      <c r="C1716" s="1" t="s">
        <v>454</v>
      </c>
      <c r="D1716" s="1" t="s">
        <v>285</v>
      </c>
      <c r="E1716" s="1" t="n">
        <v>0</v>
      </c>
      <c r="F1716" s="1" t="n">
        <v>0</v>
      </c>
      <c r="G1716" s="1" t="n">
        <v>0</v>
      </c>
      <c r="H1716" s="1" t="s">
        <v>751</v>
      </c>
    </row>
    <row r="1717" customFormat="false" ht="14.25" hidden="false" customHeight="true" outlineLevel="0" collapsed="false">
      <c r="A1717" s="1" t="s">
        <v>654</v>
      </c>
      <c r="B1717" s="1" t="s">
        <v>32</v>
      </c>
      <c r="C1717" s="1" t="s">
        <v>618</v>
      </c>
      <c r="D1717" s="1" t="s">
        <v>289</v>
      </c>
      <c r="E1717" s="1" t="n">
        <v>0</v>
      </c>
      <c r="F1717" s="1" t="n">
        <v>0</v>
      </c>
      <c r="G1717" s="1" t="n">
        <v>0</v>
      </c>
      <c r="H1717" s="1" t="s">
        <v>619</v>
      </c>
    </row>
    <row r="1718" customFormat="false" ht="14.25" hidden="false" customHeight="true" outlineLevel="0" collapsed="false">
      <c r="A1718" s="1" t="s">
        <v>654</v>
      </c>
      <c r="B1718" s="1" t="s">
        <v>50</v>
      </c>
      <c r="C1718" s="1" t="s">
        <v>533</v>
      </c>
      <c r="D1718" s="1" t="s">
        <v>290</v>
      </c>
      <c r="E1718" s="1" t="n">
        <v>0</v>
      </c>
      <c r="F1718" s="1" t="n">
        <v>0</v>
      </c>
      <c r="G1718" s="1" t="n">
        <v>0</v>
      </c>
      <c r="H1718" s="1" t="s">
        <v>534</v>
      </c>
    </row>
    <row r="1719" customFormat="false" ht="14.25" hidden="false" customHeight="true" outlineLevel="0" collapsed="false">
      <c r="A1719" s="1" t="s">
        <v>654</v>
      </c>
      <c r="B1719" s="1" t="s">
        <v>593</v>
      </c>
      <c r="C1719" s="1" t="s">
        <v>594</v>
      </c>
      <c r="D1719" s="1" t="s">
        <v>290</v>
      </c>
      <c r="E1719" s="1" t="n">
        <v>-1</v>
      </c>
      <c r="F1719" s="1" t="n">
        <v>238.88</v>
      </c>
      <c r="G1719" s="1" t="n">
        <v>-238.88</v>
      </c>
      <c r="H1719" s="1" t="s">
        <v>753</v>
      </c>
    </row>
    <row r="1720" customFormat="false" ht="14.25" hidden="false" customHeight="true" outlineLevel="0" collapsed="false">
      <c r="A1720" s="1" t="s">
        <v>654</v>
      </c>
      <c r="B1720" s="1" t="s">
        <v>453</v>
      </c>
      <c r="C1720" s="1" t="s">
        <v>456</v>
      </c>
      <c r="D1720" s="1" t="s">
        <v>284</v>
      </c>
      <c r="E1720" s="1" t="n">
        <v>0</v>
      </c>
      <c r="F1720" s="1" t="n">
        <v>0</v>
      </c>
      <c r="G1720" s="1" t="n">
        <v>0</v>
      </c>
      <c r="H1720" s="1" t="s">
        <v>457</v>
      </c>
    </row>
    <row r="1721" customFormat="false" ht="14.25" hidden="false" customHeight="true" outlineLevel="0" collapsed="false">
      <c r="A1721" s="1" t="s">
        <v>654</v>
      </c>
      <c r="B1721" s="1" t="s">
        <v>50</v>
      </c>
      <c r="C1721" s="1" t="s">
        <v>533</v>
      </c>
      <c r="D1721" s="1" t="s">
        <v>284</v>
      </c>
      <c r="E1721" s="1" t="n">
        <v>0</v>
      </c>
      <c r="F1721" s="1" t="n">
        <v>0</v>
      </c>
      <c r="G1721" s="1" t="n">
        <v>0</v>
      </c>
      <c r="H1721" s="1" t="s">
        <v>534</v>
      </c>
    </row>
    <row r="1722" customFormat="false" ht="14.25" hidden="false" customHeight="true" outlineLevel="0" collapsed="false">
      <c r="A1722" s="1" t="s">
        <v>654</v>
      </c>
      <c r="B1722" s="1" t="s">
        <v>453</v>
      </c>
      <c r="C1722" s="1" t="s">
        <v>454</v>
      </c>
      <c r="D1722" s="1" t="s">
        <v>285</v>
      </c>
      <c r="E1722" s="1" t="n">
        <v>0</v>
      </c>
      <c r="F1722" s="1" t="n">
        <v>0</v>
      </c>
      <c r="G1722" s="1" t="n">
        <v>0</v>
      </c>
      <c r="H1722" s="1" t="s">
        <v>751</v>
      </c>
    </row>
    <row r="1723" customFormat="false" ht="14.25" hidden="false" customHeight="true" outlineLevel="0" collapsed="false">
      <c r="A1723" s="1" t="s">
        <v>681</v>
      </c>
      <c r="B1723" s="1" t="s">
        <v>32</v>
      </c>
      <c r="C1723" s="1" t="s">
        <v>618</v>
      </c>
      <c r="D1723" s="1" t="s">
        <v>289</v>
      </c>
      <c r="E1723" s="1" t="n">
        <v>0</v>
      </c>
      <c r="F1723" s="1" t="n">
        <v>0</v>
      </c>
      <c r="G1723" s="1" t="n">
        <v>0</v>
      </c>
      <c r="H1723" s="1" t="s">
        <v>619</v>
      </c>
    </row>
    <row r="1724" customFormat="false" ht="14.25" hidden="false" customHeight="true" outlineLevel="0" collapsed="false">
      <c r="A1724" s="1" t="s">
        <v>681</v>
      </c>
      <c r="B1724" s="1" t="s">
        <v>50</v>
      </c>
      <c r="C1724" s="1" t="s">
        <v>533</v>
      </c>
      <c r="D1724" s="1" t="s">
        <v>290</v>
      </c>
      <c r="E1724" s="1" t="n">
        <v>0</v>
      </c>
      <c r="F1724" s="1" t="n">
        <v>0</v>
      </c>
      <c r="G1724" s="1" t="n">
        <v>0</v>
      </c>
      <c r="H1724" s="1" t="s">
        <v>534</v>
      </c>
    </row>
    <row r="1725" customFormat="false" ht="14.25" hidden="false" customHeight="true" outlineLevel="0" collapsed="false">
      <c r="A1725" s="1" t="s">
        <v>681</v>
      </c>
      <c r="B1725" s="1" t="s">
        <v>593</v>
      </c>
      <c r="C1725" s="1" t="s">
        <v>594</v>
      </c>
      <c r="D1725" s="1" t="s">
        <v>290</v>
      </c>
      <c r="E1725" s="1" t="n">
        <v>-1</v>
      </c>
      <c r="F1725" s="1" t="n">
        <v>238.88</v>
      </c>
      <c r="G1725" s="1" t="n">
        <v>-238.88</v>
      </c>
      <c r="H1725" s="1" t="s">
        <v>605</v>
      </c>
    </row>
    <row r="1726" customFormat="false" ht="14.25" hidden="false" customHeight="true" outlineLevel="0" collapsed="false">
      <c r="A1726" s="1" t="s">
        <v>681</v>
      </c>
      <c r="B1726" s="1" t="s">
        <v>453</v>
      </c>
      <c r="C1726" s="1" t="s">
        <v>456</v>
      </c>
      <c r="D1726" s="1" t="s">
        <v>284</v>
      </c>
      <c r="E1726" s="1" t="n">
        <v>0</v>
      </c>
      <c r="F1726" s="1" t="n">
        <v>0</v>
      </c>
      <c r="G1726" s="1" t="n">
        <v>0</v>
      </c>
      <c r="H1726" s="1" t="s">
        <v>457</v>
      </c>
    </row>
    <row r="1727" customFormat="false" ht="14.25" hidden="false" customHeight="true" outlineLevel="0" collapsed="false">
      <c r="A1727" s="1" t="s">
        <v>681</v>
      </c>
      <c r="B1727" s="1" t="s">
        <v>50</v>
      </c>
      <c r="C1727" s="1" t="s">
        <v>533</v>
      </c>
      <c r="D1727" s="1" t="s">
        <v>284</v>
      </c>
      <c r="E1727" s="1" t="n">
        <v>0</v>
      </c>
      <c r="F1727" s="1" t="n">
        <v>0</v>
      </c>
      <c r="G1727" s="1" t="n">
        <v>0</v>
      </c>
      <c r="H1727" s="1" t="s">
        <v>534</v>
      </c>
    </row>
    <row r="1728" customFormat="false" ht="14.25" hidden="false" customHeight="true" outlineLevel="0" collapsed="false">
      <c r="A1728" s="1" t="s">
        <v>681</v>
      </c>
      <c r="B1728" s="1" t="s">
        <v>453</v>
      </c>
      <c r="C1728" s="1" t="s">
        <v>454</v>
      </c>
      <c r="D1728" s="1" t="s">
        <v>285</v>
      </c>
      <c r="E1728" s="1" t="n">
        <v>0</v>
      </c>
      <c r="F1728" s="1" t="n">
        <v>0</v>
      </c>
      <c r="G1728" s="1" t="n">
        <v>0</v>
      </c>
      <c r="H1728" s="1" t="s">
        <v>751</v>
      </c>
    </row>
    <row r="1729" customFormat="false" ht="14.25" hidden="false" customHeight="true" outlineLevel="0" collapsed="false">
      <c r="A1729" s="1" t="s">
        <v>706</v>
      </c>
      <c r="B1729" s="1" t="s">
        <v>50</v>
      </c>
      <c r="C1729" s="1" t="s">
        <v>533</v>
      </c>
      <c r="D1729" s="1" t="s">
        <v>290</v>
      </c>
      <c r="E1729" s="1" t="n">
        <v>0</v>
      </c>
      <c r="F1729" s="1" t="n">
        <v>0</v>
      </c>
      <c r="G1729" s="1" t="n">
        <v>0</v>
      </c>
      <c r="H1729" s="1" t="s">
        <v>534</v>
      </c>
    </row>
    <row r="1730" customFormat="false" ht="14.25" hidden="false" customHeight="true" outlineLevel="0" collapsed="false">
      <c r="A1730" s="1" t="s">
        <v>706</v>
      </c>
      <c r="B1730" s="1" t="s">
        <v>453</v>
      </c>
      <c r="C1730" s="1" t="s">
        <v>456</v>
      </c>
      <c r="D1730" s="1" t="s">
        <v>284</v>
      </c>
      <c r="E1730" s="1" t="n">
        <v>0</v>
      </c>
      <c r="F1730" s="1" t="n">
        <v>0</v>
      </c>
      <c r="G1730" s="1" t="n">
        <v>0</v>
      </c>
      <c r="H1730" s="1" t="s">
        <v>457</v>
      </c>
    </row>
    <row r="1731" customFormat="false" ht="14.25" hidden="false" customHeight="true" outlineLevel="0" collapsed="false">
      <c r="A1731" s="1" t="s">
        <v>706</v>
      </c>
      <c r="B1731" s="1" t="s">
        <v>50</v>
      </c>
      <c r="C1731" s="1" t="s">
        <v>533</v>
      </c>
      <c r="D1731" s="1" t="s">
        <v>284</v>
      </c>
      <c r="E1731" s="1" t="n">
        <v>0</v>
      </c>
      <c r="F1731" s="1" t="n">
        <v>0</v>
      </c>
      <c r="G1731" s="1" t="n">
        <v>0</v>
      </c>
      <c r="H1731" s="1" t="s">
        <v>534</v>
      </c>
    </row>
    <row r="1732" customFormat="false" ht="14.25" hidden="false" customHeight="true" outlineLevel="0" collapsed="false">
      <c r="A1732" s="1" t="s">
        <v>706</v>
      </c>
      <c r="B1732" s="1" t="s">
        <v>453</v>
      </c>
      <c r="C1732" s="1" t="s">
        <v>454</v>
      </c>
      <c r="D1732" s="1" t="s">
        <v>285</v>
      </c>
      <c r="E1732" s="1" t="n">
        <v>0</v>
      </c>
      <c r="F1732" s="1" t="n">
        <v>0</v>
      </c>
      <c r="G1732" s="1" t="n">
        <v>0</v>
      </c>
      <c r="H1732" s="1" t="s">
        <v>751</v>
      </c>
    </row>
    <row r="1733" customFormat="false" ht="14.25" hidden="false" customHeight="true" outlineLevel="0" collapsed="false">
      <c r="A1733" s="1" t="s">
        <v>706</v>
      </c>
      <c r="B1733" s="1" t="s">
        <v>464</v>
      </c>
      <c r="C1733" s="1" t="s">
        <v>465</v>
      </c>
      <c r="D1733" s="1" t="s">
        <v>282</v>
      </c>
      <c r="E1733" s="1" t="n">
        <v>323</v>
      </c>
      <c r="F1733" s="1" t="n">
        <v>1.86</v>
      </c>
      <c r="G1733" s="1" t="n">
        <v>600.78</v>
      </c>
      <c r="H1733" s="1" t="s">
        <v>715</v>
      </c>
    </row>
    <row r="1734" customFormat="false" ht="14.25" hidden="false" customHeight="true" outlineLevel="0" collapsed="false">
      <c r="A1734" s="1" t="s">
        <v>448</v>
      </c>
      <c r="B1734" s="1" t="s">
        <v>87</v>
      </c>
      <c r="C1734" s="1" t="s">
        <v>642</v>
      </c>
      <c r="D1734" s="1" t="s">
        <v>289</v>
      </c>
      <c r="E1734" s="1" t="n">
        <v>2</v>
      </c>
      <c r="F1734" s="1" t="n">
        <v>50</v>
      </c>
      <c r="G1734" s="1" t="n">
        <v>100</v>
      </c>
      <c r="H1734" s="1" t="s">
        <v>724</v>
      </c>
    </row>
    <row r="1735" customFormat="false" ht="14.25" hidden="false" customHeight="true" outlineLevel="0" collapsed="false">
      <c r="A1735" s="1" t="s">
        <v>448</v>
      </c>
      <c r="B1735" s="1" t="s">
        <v>464</v>
      </c>
      <c r="C1735" s="1" t="s">
        <v>469</v>
      </c>
      <c r="D1735" s="1" t="s">
        <v>282</v>
      </c>
      <c r="E1735" s="1" t="n">
        <v>2</v>
      </c>
      <c r="F1735" s="1" t="n">
        <v>338.53</v>
      </c>
      <c r="G1735" s="1" t="n">
        <v>677.06</v>
      </c>
      <c r="H1735" s="1" t="s">
        <v>754</v>
      </c>
    </row>
    <row r="1736" customFormat="false" ht="14.25" hidden="false" customHeight="true" outlineLevel="0" collapsed="false">
      <c r="A1736" s="1" t="s">
        <v>448</v>
      </c>
      <c r="B1736" s="1" t="s">
        <v>87</v>
      </c>
      <c r="C1736" s="1" t="s">
        <v>642</v>
      </c>
      <c r="D1736" s="1" t="s">
        <v>293</v>
      </c>
      <c r="E1736" s="1" t="n">
        <v>1</v>
      </c>
      <c r="F1736" s="1" t="n">
        <v>10</v>
      </c>
      <c r="G1736" s="1" t="n">
        <v>10</v>
      </c>
      <c r="H1736" s="1" t="s">
        <v>724</v>
      </c>
    </row>
    <row r="1737" customFormat="false" ht="14.25" hidden="false" customHeight="true" outlineLevel="0" collapsed="false">
      <c r="A1737" s="1" t="s">
        <v>448</v>
      </c>
      <c r="B1737" s="1" t="s">
        <v>464</v>
      </c>
      <c r="C1737" s="1" t="s">
        <v>471</v>
      </c>
      <c r="D1737" s="1" t="s">
        <v>282</v>
      </c>
      <c r="E1737" s="1" t="n">
        <v>2</v>
      </c>
      <c r="F1737" s="1" t="n">
        <v>400.26</v>
      </c>
      <c r="G1737" s="1" t="n">
        <v>800.52</v>
      </c>
      <c r="H1737" s="1" t="s">
        <v>755</v>
      </c>
    </row>
    <row r="1738" customFormat="false" ht="14.25" hidden="false" customHeight="true" outlineLevel="0" collapsed="false">
      <c r="A1738" s="1" t="s">
        <v>448</v>
      </c>
      <c r="B1738" s="1" t="s">
        <v>87</v>
      </c>
      <c r="C1738" s="1" t="s">
        <v>642</v>
      </c>
      <c r="D1738" s="1" t="s">
        <v>290</v>
      </c>
      <c r="E1738" s="1" t="n">
        <v>1</v>
      </c>
      <c r="F1738" s="1" t="n">
        <v>10</v>
      </c>
      <c r="G1738" s="1" t="n">
        <v>10</v>
      </c>
      <c r="H1738" s="1" t="s">
        <v>724</v>
      </c>
    </row>
    <row r="1739" customFormat="false" ht="14.25" hidden="false" customHeight="true" outlineLevel="0" collapsed="false">
      <c r="A1739" s="1" t="s">
        <v>448</v>
      </c>
      <c r="B1739" s="1" t="s">
        <v>87</v>
      </c>
      <c r="C1739" s="1" t="s">
        <v>642</v>
      </c>
      <c r="D1739" s="1" t="s">
        <v>290</v>
      </c>
      <c r="E1739" s="1" t="n">
        <v>5</v>
      </c>
      <c r="F1739" s="1" t="n">
        <v>50</v>
      </c>
      <c r="G1739" s="1" t="n">
        <v>250</v>
      </c>
      <c r="H1739" s="1" t="s">
        <v>724</v>
      </c>
    </row>
    <row r="1740" customFormat="false" ht="14.25" hidden="false" customHeight="true" outlineLevel="0" collapsed="false">
      <c r="A1740" s="1" t="s">
        <v>448</v>
      </c>
      <c r="B1740" s="1" t="s">
        <v>464</v>
      </c>
      <c r="C1740" s="1" t="s">
        <v>478</v>
      </c>
      <c r="D1740" s="1" t="s">
        <v>282</v>
      </c>
      <c r="E1740" s="1" t="n">
        <v>4</v>
      </c>
      <c r="H1740" s="1" t="s">
        <v>477</v>
      </c>
    </row>
    <row r="1741" customFormat="false" ht="14.25" hidden="false" customHeight="true" outlineLevel="0" collapsed="false">
      <c r="A1741" s="1" t="s">
        <v>448</v>
      </c>
      <c r="B1741" s="1" t="s">
        <v>87</v>
      </c>
      <c r="C1741" s="1" t="s">
        <v>642</v>
      </c>
      <c r="D1741" s="1" t="s">
        <v>284</v>
      </c>
      <c r="E1741" s="1" t="n">
        <v>2</v>
      </c>
      <c r="F1741" s="1" t="n">
        <v>50</v>
      </c>
      <c r="G1741" s="1" t="n">
        <v>100</v>
      </c>
      <c r="H1741" s="1" t="s">
        <v>724</v>
      </c>
    </row>
    <row r="1742" customFormat="false" ht="14.25" hidden="false" customHeight="true" outlineLevel="0" collapsed="false">
      <c r="A1742" s="1" t="s">
        <v>448</v>
      </c>
      <c r="B1742" s="1" t="s">
        <v>87</v>
      </c>
      <c r="C1742" s="1" t="s">
        <v>642</v>
      </c>
      <c r="D1742" s="1" t="s">
        <v>285</v>
      </c>
      <c r="E1742" s="1" t="n">
        <v>1</v>
      </c>
      <c r="F1742" s="1" t="n">
        <v>50</v>
      </c>
      <c r="G1742" s="1" t="n">
        <v>50</v>
      </c>
      <c r="H1742" s="1" t="s">
        <v>724</v>
      </c>
    </row>
    <row r="1743" customFormat="false" ht="14.25" hidden="false" customHeight="true" outlineLevel="0" collapsed="false">
      <c r="A1743" s="1" t="s">
        <v>448</v>
      </c>
      <c r="B1743" s="1" t="s">
        <v>464</v>
      </c>
      <c r="C1743" s="1" t="s">
        <v>524</v>
      </c>
      <c r="D1743" s="1" t="s">
        <v>282</v>
      </c>
      <c r="E1743" s="1" t="n">
        <v>-15</v>
      </c>
      <c r="H1743" s="1" t="s">
        <v>477</v>
      </c>
    </row>
    <row r="1744" customFormat="false" ht="14.25" hidden="false" customHeight="true" outlineLevel="0" collapsed="false">
      <c r="A1744" s="1" t="s">
        <v>448</v>
      </c>
      <c r="B1744" s="1" t="s">
        <v>87</v>
      </c>
      <c r="C1744" s="1" t="s">
        <v>642</v>
      </c>
      <c r="D1744" s="1" t="s">
        <v>282</v>
      </c>
      <c r="E1744" s="1" t="n">
        <v>1</v>
      </c>
      <c r="F1744" s="1" t="n">
        <v>90</v>
      </c>
      <c r="G1744" s="1" t="n">
        <v>90</v>
      </c>
      <c r="H1744" s="1" t="s">
        <v>724</v>
      </c>
    </row>
    <row r="1745" customFormat="false" ht="14.25" hidden="false" customHeight="true" outlineLevel="0" collapsed="false">
      <c r="A1745" s="1" t="s">
        <v>448</v>
      </c>
      <c r="B1745" s="1" t="s">
        <v>87</v>
      </c>
      <c r="C1745" s="1" t="s">
        <v>642</v>
      </c>
      <c r="D1745" s="1" t="s">
        <v>282</v>
      </c>
      <c r="E1745" s="1" t="n">
        <v>2</v>
      </c>
      <c r="F1745" s="1" t="n">
        <v>10</v>
      </c>
      <c r="G1745" s="1" t="n">
        <v>20</v>
      </c>
      <c r="H1745" s="1" t="s">
        <v>724</v>
      </c>
    </row>
    <row r="1746" customFormat="false" ht="14.25" hidden="false" customHeight="true" outlineLevel="0" collapsed="false">
      <c r="A1746" s="1" t="s">
        <v>448</v>
      </c>
      <c r="B1746" s="1" t="s">
        <v>464</v>
      </c>
      <c r="C1746" s="1" t="s">
        <v>504</v>
      </c>
      <c r="D1746" s="1" t="s">
        <v>290</v>
      </c>
      <c r="E1746" s="1" t="n">
        <v>2</v>
      </c>
      <c r="H1746" s="1" t="s">
        <v>477</v>
      </c>
    </row>
    <row r="1747" customFormat="false" ht="14.25" hidden="false" customHeight="true" outlineLevel="0" collapsed="false">
      <c r="A1747" s="1" t="s">
        <v>448</v>
      </c>
      <c r="B1747" s="1" t="s">
        <v>87</v>
      </c>
      <c r="C1747" s="1" t="s">
        <v>642</v>
      </c>
      <c r="D1747" s="1" t="s">
        <v>282</v>
      </c>
      <c r="E1747" s="1" t="n">
        <v>3</v>
      </c>
      <c r="F1747" s="1" t="n">
        <v>50</v>
      </c>
      <c r="G1747" s="1" t="n">
        <v>150</v>
      </c>
      <c r="H1747" s="1" t="s">
        <v>724</v>
      </c>
    </row>
    <row r="1748" customFormat="false" ht="14.25" hidden="false" customHeight="true" outlineLevel="0" collapsed="false">
      <c r="A1748" s="1" t="s">
        <v>448</v>
      </c>
      <c r="B1748" s="1" t="s">
        <v>40</v>
      </c>
      <c r="C1748" s="1" t="s">
        <v>756</v>
      </c>
      <c r="D1748" s="1" t="s">
        <v>289</v>
      </c>
      <c r="E1748" s="1" t="n">
        <v>1</v>
      </c>
      <c r="F1748" s="1" t="n">
        <v>80</v>
      </c>
      <c r="G1748" s="1" t="n">
        <v>80</v>
      </c>
      <c r="H1748" s="1" t="s">
        <v>757</v>
      </c>
    </row>
    <row r="1749" customFormat="false" ht="14.25" hidden="false" customHeight="true" outlineLevel="0" collapsed="false">
      <c r="A1749" s="1" t="s">
        <v>448</v>
      </c>
      <c r="B1749" s="1" t="s">
        <v>464</v>
      </c>
      <c r="C1749" s="1" t="s">
        <v>511</v>
      </c>
      <c r="D1749" s="1" t="s">
        <v>284</v>
      </c>
      <c r="E1749" s="1" t="n">
        <v>1</v>
      </c>
      <c r="F1749" s="1" t="n">
        <v>434.14</v>
      </c>
      <c r="G1749" s="1" t="n">
        <v>434.14</v>
      </c>
      <c r="H1749" s="1" t="s">
        <v>739</v>
      </c>
    </row>
    <row r="1750" customFormat="false" ht="14.25" hidden="false" customHeight="true" outlineLevel="0" collapsed="false">
      <c r="A1750" s="1" t="s">
        <v>448</v>
      </c>
      <c r="B1750" s="1" t="s">
        <v>464</v>
      </c>
      <c r="C1750" s="1" t="s">
        <v>478</v>
      </c>
      <c r="D1750" s="1" t="s">
        <v>289</v>
      </c>
      <c r="E1750" s="1" t="n">
        <v>1</v>
      </c>
      <c r="H1750" s="1" t="s">
        <v>477</v>
      </c>
    </row>
    <row r="1751" customFormat="false" ht="14.25" hidden="false" customHeight="true" outlineLevel="0" collapsed="false">
      <c r="A1751" s="1" t="s">
        <v>448</v>
      </c>
      <c r="B1751" s="1" t="s">
        <v>464</v>
      </c>
      <c r="C1751" s="1" t="s">
        <v>478</v>
      </c>
      <c r="D1751" s="1" t="s">
        <v>284</v>
      </c>
      <c r="E1751" s="1" t="n">
        <v>15</v>
      </c>
      <c r="H1751" s="1" t="s">
        <v>477</v>
      </c>
    </row>
    <row r="1752" customFormat="false" ht="14.25" hidden="false" customHeight="true" outlineLevel="0" collapsed="false">
      <c r="A1752" s="1" t="s">
        <v>448</v>
      </c>
      <c r="B1752" s="1" t="s">
        <v>50</v>
      </c>
      <c r="C1752" s="1" t="s">
        <v>533</v>
      </c>
      <c r="D1752" s="1" t="s">
        <v>289</v>
      </c>
      <c r="E1752" s="1" t="n">
        <v>1</v>
      </c>
      <c r="F1752" s="1" t="n">
        <v>676.8</v>
      </c>
      <c r="G1752" s="1" t="n">
        <v>676.8</v>
      </c>
      <c r="H1752" s="1" t="s">
        <v>534</v>
      </c>
    </row>
    <row r="1753" customFormat="false" ht="14.25" hidden="false" customHeight="true" outlineLevel="0" collapsed="false">
      <c r="A1753" s="1" t="s">
        <v>448</v>
      </c>
      <c r="B1753" s="1" t="s">
        <v>464</v>
      </c>
      <c r="C1753" s="1" t="s">
        <v>469</v>
      </c>
      <c r="D1753" s="1" t="s">
        <v>285</v>
      </c>
      <c r="E1753" s="1" t="n">
        <v>0</v>
      </c>
      <c r="F1753" s="1" t="n">
        <v>0</v>
      </c>
      <c r="G1753" s="1" t="n">
        <v>0</v>
      </c>
      <c r="H1753" s="1" t="s">
        <v>758</v>
      </c>
    </row>
    <row r="1754" customFormat="false" ht="14.25" hidden="false" customHeight="true" outlineLevel="0" collapsed="false">
      <c r="A1754" s="1" t="s">
        <v>448</v>
      </c>
      <c r="B1754" s="1" t="s">
        <v>464</v>
      </c>
      <c r="C1754" s="1" t="s">
        <v>467</v>
      </c>
      <c r="D1754" s="1" t="s">
        <v>293</v>
      </c>
      <c r="E1754" s="1" t="n">
        <v>0</v>
      </c>
      <c r="F1754" s="1" t="n">
        <v>0</v>
      </c>
      <c r="G1754" s="1" t="n">
        <v>0</v>
      </c>
      <c r="H1754" s="1" t="s">
        <v>759</v>
      </c>
    </row>
    <row r="1755" customFormat="false" ht="14.25" hidden="false" customHeight="true" outlineLevel="0" collapsed="false">
      <c r="A1755" s="1" t="s">
        <v>448</v>
      </c>
      <c r="B1755" s="1" t="s">
        <v>464</v>
      </c>
      <c r="C1755" s="1" t="s">
        <v>471</v>
      </c>
      <c r="D1755" s="1" t="s">
        <v>285</v>
      </c>
      <c r="E1755" s="1" t="n">
        <v>1</v>
      </c>
      <c r="F1755" s="1" t="n">
        <v>400.26</v>
      </c>
      <c r="G1755" s="1" t="n">
        <v>400.26</v>
      </c>
      <c r="H1755" s="1" t="s">
        <v>759</v>
      </c>
    </row>
    <row r="1756" customFormat="false" ht="14.25" hidden="false" customHeight="true" outlineLevel="0" collapsed="false">
      <c r="A1756" s="1" t="s">
        <v>448</v>
      </c>
      <c r="B1756" s="1" t="s">
        <v>32</v>
      </c>
      <c r="C1756" s="1" t="s">
        <v>620</v>
      </c>
      <c r="D1756" s="1" t="s">
        <v>289</v>
      </c>
      <c r="E1756" s="1" t="n">
        <v>0</v>
      </c>
      <c r="F1756" s="1" t="n">
        <v>0</v>
      </c>
      <c r="G1756" s="1" t="n">
        <v>0</v>
      </c>
      <c r="H1756" s="1" t="s">
        <v>621</v>
      </c>
    </row>
    <row r="1757" customFormat="false" ht="14.25" hidden="false" customHeight="true" outlineLevel="0" collapsed="false">
      <c r="A1757" s="1" t="s">
        <v>448</v>
      </c>
      <c r="B1757" s="1" t="s">
        <v>464</v>
      </c>
      <c r="C1757" s="1" t="s">
        <v>469</v>
      </c>
      <c r="D1757" s="1" t="s">
        <v>293</v>
      </c>
      <c r="E1757" s="1" t="n">
        <v>2</v>
      </c>
      <c r="F1757" s="1" t="n">
        <v>338.53</v>
      </c>
      <c r="G1757" s="1" t="n">
        <v>677.06</v>
      </c>
      <c r="H1757" s="1" t="s">
        <v>759</v>
      </c>
    </row>
    <row r="1758" customFormat="false" ht="14.25" hidden="false" customHeight="true" outlineLevel="0" collapsed="false">
      <c r="A1758" s="1" t="s">
        <v>448</v>
      </c>
      <c r="B1758" s="1" t="s">
        <v>464</v>
      </c>
      <c r="C1758" s="1" t="s">
        <v>478</v>
      </c>
      <c r="D1758" s="1" t="s">
        <v>293</v>
      </c>
      <c r="E1758" s="1" t="n">
        <v>1</v>
      </c>
      <c r="H1758" s="1" t="s">
        <v>477</v>
      </c>
    </row>
    <row r="1759" customFormat="false" ht="14.25" hidden="false" customHeight="true" outlineLevel="0" collapsed="false">
      <c r="A1759" s="1" t="s">
        <v>448</v>
      </c>
      <c r="B1759" s="1" t="s">
        <v>464</v>
      </c>
      <c r="C1759" s="1" t="s">
        <v>467</v>
      </c>
      <c r="D1759" s="1" t="s">
        <v>287</v>
      </c>
      <c r="E1759" s="1" t="n">
        <v>2</v>
      </c>
      <c r="F1759" s="1" t="n">
        <v>383.56</v>
      </c>
      <c r="G1759" s="1" t="n">
        <v>767.12</v>
      </c>
      <c r="H1759" s="1" t="s">
        <v>759</v>
      </c>
    </row>
    <row r="1760" customFormat="false" ht="14.25" hidden="false" customHeight="true" outlineLevel="0" collapsed="false">
      <c r="A1760" s="1" t="s">
        <v>448</v>
      </c>
      <c r="B1760" s="1" t="s">
        <v>87</v>
      </c>
      <c r="C1760" s="1" t="s">
        <v>642</v>
      </c>
      <c r="D1760" s="1" t="s">
        <v>287</v>
      </c>
      <c r="E1760" s="1" t="n">
        <v>2</v>
      </c>
      <c r="F1760" s="1" t="n">
        <v>50</v>
      </c>
      <c r="G1760" s="1" t="n">
        <v>100</v>
      </c>
      <c r="H1760" s="1" t="s">
        <v>724</v>
      </c>
    </row>
    <row r="1761" customFormat="false" ht="14.25" hidden="false" customHeight="true" outlineLevel="0" collapsed="false">
      <c r="A1761" s="1" t="s">
        <v>448</v>
      </c>
      <c r="B1761" s="1" t="s">
        <v>464</v>
      </c>
      <c r="C1761" s="1" t="s">
        <v>467</v>
      </c>
      <c r="D1761" s="1" t="s">
        <v>282</v>
      </c>
      <c r="E1761" s="1" t="n">
        <v>1</v>
      </c>
      <c r="F1761" s="1" t="n">
        <v>383.56</v>
      </c>
      <c r="G1761" s="1" t="n">
        <v>383.56</v>
      </c>
      <c r="H1761" s="1" t="s">
        <v>760</v>
      </c>
    </row>
    <row r="1762" customFormat="false" ht="14.25" hidden="false" customHeight="true" outlineLevel="0" collapsed="false">
      <c r="A1762" s="1" t="s">
        <v>644</v>
      </c>
      <c r="B1762" s="1" t="s">
        <v>464</v>
      </c>
      <c r="C1762" s="1" t="s">
        <v>467</v>
      </c>
      <c r="D1762" s="1" t="s">
        <v>287</v>
      </c>
      <c r="E1762" s="1" t="n">
        <v>2</v>
      </c>
      <c r="F1762" s="1" t="n">
        <v>383.56</v>
      </c>
      <c r="G1762" s="1" t="n">
        <v>767.12</v>
      </c>
      <c r="H1762" s="1" t="s">
        <v>759</v>
      </c>
    </row>
    <row r="1763" customFormat="false" ht="14.25" hidden="false" customHeight="true" outlineLevel="0" collapsed="false">
      <c r="A1763" s="1" t="s">
        <v>644</v>
      </c>
      <c r="B1763" s="1" t="s">
        <v>87</v>
      </c>
      <c r="C1763" s="1" t="s">
        <v>642</v>
      </c>
      <c r="D1763" s="1" t="s">
        <v>287</v>
      </c>
      <c r="E1763" s="1" t="n">
        <v>2</v>
      </c>
      <c r="F1763" s="1" t="n">
        <v>50</v>
      </c>
      <c r="G1763" s="1" t="n">
        <v>100</v>
      </c>
      <c r="H1763" s="1" t="s">
        <v>724</v>
      </c>
    </row>
    <row r="1764" customFormat="false" ht="14.25" hidden="false" customHeight="true" outlineLevel="0" collapsed="false">
      <c r="A1764" s="1" t="s">
        <v>644</v>
      </c>
      <c r="B1764" s="1" t="s">
        <v>464</v>
      </c>
      <c r="C1764" s="1" t="s">
        <v>478</v>
      </c>
      <c r="D1764" s="1" t="s">
        <v>289</v>
      </c>
      <c r="E1764" s="1" t="n">
        <v>1</v>
      </c>
      <c r="H1764" s="1" t="s">
        <v>477</v>
      </c>
    </row>
    <row r="1765" customFormat="false" ht="14.25" hidden="false" customHeight="true" outlineLevel="0" collapsed="false">
      <c r="A1765" s="1" t="s">
        <v>644</v>
      </c>
      <c r="B1765" s="1" t="s">
        <v>40</v>
      </c>
      <c r="C1765" s="1" t="s">
        <v>756</v>
      </c>
      <c r="D1765" s="1" t="s">
        <v>289</v>
      </c>
      <c r="E1765" s="1" t="n">
        <v>0</v>
      </c>
      <c r="F1765" s="1" t="n">
        <v>0</v>
      </c>
      <c r="G1765" s="1" t="n">
        <v>0</v>
      </c>
      <c r="H1765" s="1" t="s">
        <v>757</v>
      </c>
    </row>
    <row r="1766" customFormat="false" ht="14.25" hidden="false" customHeight="true" outlineLevel="0" collapsed="false">
      <c r="A1766" s="1" t="s">
        <v>644</v>
      </c>
      <c r="B1766" s="1" t="s">
        <v>141</v>
      </c>
      <c r="C1766" s="1" t="s">
        <v>528</v>
      </c>
      <c r="D1766" s="1" t="s">
        <v>289</v>
      </c>
      <c r="E1766" s="1" t="n">
        <v>13402</v>
      </c>
      <c r="F1766" s="1" t="n">
        <v>0.108205784866059</v>
      </c>
      <c r="G1766" s="1" t="n">
        <v>1450.17392877492</v>
      </c>
      <c r="H1766" s="1" t="s">
        <v>451</v>
      </c>
    </row>
    <row r="1767" customFormat="false" ht="14.25" hidden="false" customHeight="true" outlineLevel="0" collapsed="false">
      <c r="A1767" s="1" t="s">
        <v>644</v>
      </c>
      <c r="B1767" s="1" t="s">
        <v>50</v>
      </c>
      <c r="C1767" s="1" t="s">
        <v>533</v>
      </c>
      <c r="D1767" s="1" t="s">
        <v>289</v>
      </c>
      <c r="E1767" s="1" t="n">
        <v>1</v>
      </c>
      <c r="F1767" s="1" t="n">
        <v>676.8</v>
      </c>
      <c r="G1767" s="1" t="n">
        <v>676.8</v>
      </c>
      <c r="H1767" s="1" t="s">
        <v>534</v>
      </c>
    </row>
    <row r="1768" customFormat="false" ht="14.25" hidden="false" customHeight="true" outlineLevel="0" collapsed="false">
      <c r="A1768" s="1" t="s">
        <v>644</v>
      </c>
      <c r="B1768" s="1" t="s">
        <v>624</v>
      </c>
      <c r="C1768" s="1" t="s">
        <v>625</v>
      </c>
      <c r="D1768" s="1" t="s">
        <v>289</v>
      </c>
      <c r="E1768" s="1" t="n">
        <v>13402</v>
      </c>
      <c r="F1768" s="1" t="n">
        <v>2.64</v>
      </c>
      <c r="G1768" s="1" t="n">
        <v>35381.28</v>
      </c>
      <c r="H1768" s="1" t="s">
        <v>451</v>
      </c>
    </row>
    <row r="1769" customFormat="false" ht="14.25" hidden="false" customHeight="true" outlineLevel="0" collapsed="false">
      <c r="A1769" s="1" t="s">
        <v>644</v>
      </c>
      <c r="B1769" s="1" t="s">
        <v>32</v>
      </c>
      <c r="C1769" s="1" t="s">
        <v>620</v>
      </c>
      <c r="D1769" s="1" t="s">
        <v>289</v>
      </c>
      <c r="E1769" s="1" t="n">
        <v>0</v>
      </c>
      <c r="F1769" s="1" t="n">
        <v>0</v>
      </c>
      <c r="G1769" s="1" t="n">
        <v>0</v>
      </c>
      <c r="H1769" s="1" t="s">
        <v>621</v>
      </c>
    </row>
    <row r="1770" customFormat="false" ht="14.25" hidden="false" customHeight="true" outlineLevel="0" collapsed="false">
      <c r="A1770" s="1" t="s">
        <v>644</v>
      </c>
      <c r="B1770" s="1" t="s">
        <v>87</v>
      </c>
      <c r="C1770" s="1" t="s">
        <v>642</v>
      </c>
      <c r="D1770" s="1" t="s">
        <v>289</v>
      </c>
      <c r="E1770" s="1" t="n">
        <v>2</v>
      </c>
      <c r="F1770" s="1" t="n">
        <v>50</v>
      </c>
      <c r="G1770" s="1" t="n">
        <v>100</v>
      </c>
      <c r="H1770" s="1" t="s">
        <v>724</v>
      </c>
    </row>
    <row r="1771" customFormat="false" ht="14.25" hidden="false" customHeight="true" outlineLevel="0" collapsed="false">
      <c r="A1771" s="1" t="s">
        <v>644</v>
      </c>
      <c r="B1771" s="1" t="s">
        <v>78</v>
      </c>
      <c r="C1771" s="1" t="s">
        <v>463</v>
      </c>
      <c r="D1771" s="1" t="s">
        <v>293</v>
      </c>
      <c r="E1771" s="1" t="n">
        <v>3650</v>
      </c>
      <c r="F1771" s="1" t="n">
        <v>0.526319311045773</v>
      </c>
      <c r="G1771" s="1" t="n">
        <v>1921.06548531707</v>
      </c>
      <c r="H1771" s="1" t="s">
        <v>451</v>
      </c>
    </row>
    <row r="1772" customFormat="false" ht="14.25" hidden="false" customHeight="true" outlineLevel="0" collapsed="false">
      <c r="A1772" s="1" t="s">
        <v>644</v>
      </c>
      <c r="B1772" s="1" t="s">
        <v>464</v>
      </c>
      <c r="C1772" s="1" t="s">
        <v>467</v>
      </c>
      <c r="D1772" s="1" t="s">
        <v>293</v>
      </c>
      <c r="E1772" s="1" t="n">
        <v>0</v>
      </c>
      <c r="F1772" s="1" t="n">
        <v>0</v>
      </c>
      <c r="G1772" s="1" t="n">
        <v>0</v>
      </c>
      <c r="H1772" s="1" t="s">
        <v>759</v>
      </c>
    </row>
    <row r="1773" customFormat="false" ht="14.25" hidden="false" customHeight="true" outlineLevel="0" collapsed="false">
      <c r="A1773" s="1" t="s">
        <v>644</v>
      </c>
      <c r="B1773" s="1" t="s">
        <v>464</v>
      </c>
      <c r="C1773" s="1" t="s">
        <v>469</v>
      </c>
      <c r="D1773" s="1" t="s">
        <v>293</v>
      </c>
      <c r="E1773" s="1" t="n">
        <v>2</v>
      </c>
      <c r="F1773" s="1" t="n">
        <v>338.53</v>
      </c>
      <c r="G1773" s="1" t="n">
        <v>677.06</v>
      </c>
      <c r="H1773" s="1" t="s">
        <v>759</v>
      </c>
    </row>
    <row r="1774" customFormat="false" ht="14.25" hidden="false" customHeight="true" outlineLevel="0" collapsed="false">
      <c r="A1774" s="1" t="s">
        <v>644</v>
      </c>
      <c r="B1774" s="1" t="s">
        <v>464</v>
      </c>
      <c r="C1774" s="1" t="s">
        <v>478</v>
      </c>
      <c r="D1774" s="1" t="s">
        <v>293</v>
      </c>
      <c r="E1774" s="1" t="n">
        <v>1</v>
      </c>
      <c r="H1774" s="1" t="s">
        <v>477</v>
      </c>
    </row>
    <row r="1775" customFormat="false" ht="14.25" hidden="false" customHeight="true" outlineLevel="0" collapsed="false">
      <c r="A1775" s="1" t="s">
        <v>644</v>
      </c>
      <c r="B1775" s="1" t="s">
        <v>87</v>
      </c>
      <c r="C1775" s="1" t="s">
        <v>642</v>
      </c>
      <c r="D1775" s="1" t="s">
        <v>293</v>
      </c>
      <c r="E1775" s="1" t="n">
        <v>1</v>
      </c>
      <c r="F1775" s="1" t="n">
        <v>10</v>
      </c>
      <c r="G1775" s="1" t="n">
        <v>10</v>
      </c>
      <c r="H1775" s="1" t="s">
        <v>724</v>
      </c>
    </row>
    <row r="1776" customFormat="false" ht="14.25" hidden="false" customHeight="true" outlineLevel="0" collapsed="false">
      <c r="A1776" s="1" t="s">
        <v>644</v>
      </c>
      <c r="B1776" s="1" t="s">
        <v>78</v>
      </c>
      <c r="C1776" s="1" t="s">
        <v>463</v>
      </c>
      <c r="D1776" s="1" t="s">
        <v>290</v>
      </c>
      <c r="E1776" s="1" t="n">
        <v>6396</v>
      </c>
      <c r="F1776" s="1" t="n">
        <v>0.526319311045773</v>
      </c>
      <c r="G1776" s="1" t="n">
        <v>3366.33831344876</v>
      </c>
      <c r="H1776" s="1" t="s">
        <v>451</v>
      </c>
    </row>
    <row r="1777" customFormat="false" ht="14.25" hidden="false" customHeight="true" outlineLevel="0" collapsed="false">
      <c r="A1777" s="1" t="s">
        <v>644</v>
      </c>
      <c r="B1777" s="1" t="s">
        <v>464</v>
      </c>
      <c r="C1777" s="1" t="s">
        <v>504</v>
      </c>
      <c r="D1777" s="1" t="s">
        <v>290</v>
      </c>
      <c r="E1777" s="1" t="n">
        <v>2</v>
      </c>
      <c r="H1777" s="1" t="s">
        <v>477</v>
      </c>
    </row>
    <row r="1778" customFormat="false" ht="14.25" hidden="false" customHeight="true" outlineLevel="0" collapsed="false">
      <c r="A1778" s="1" t="s">
        <v>644</v>
      </c>
      <c r="B1778" s="1" t="s">
        <v>87</v>
      </c>
      <c r="C1778" s="1" t="s">
        <v>642</v>
      </c>
      <c r="D1778" s="1" t="s">
        <v>290</v>
      </c>
      <c r="E1778" s="1" t="n">
        <v>1</v>
      </c>
      <c r="F1778" s="1" t="n">
        <v>10</v>
      </c>
      <c r="G1778" s="1" t="n">
        <v>10</v>
      </c>
      <c r="H1778" s="1" t="s">
        <v>724</v>
      </c>
    </row>
    <row r="1779" customFormat="false" ht="14.25" hidden="false" customHeight="true" outlineLevel="0" collapsed="false">
      <c r="A1779" s="1" t="s">
        <v>644</v>
      </c>
      <c r="B1779" s="1" t="s">
        <v>87</v>
      </c>
      <c r="C1779" s="1" t="s">
        <v>642</v>
      </c>
      <c r="D1779" s="1" t="s">
        <v>290</v>
      </c>
      <c r="E1779" s="1" t="n">
        <v>5</v>
      </c>
      <c r="F1779" s="1" t="n">
        <v>50</v>
      </c>
      <c r="G1779" s="1" t="n">
        <v>250</v>
      </c>
      <c r="H1779" s="1" t="s">
        <v>724</v>
      </c>
    </row>
    <row r="1780" customFormat="false" ht="14.25" hidden="false" customHeight="true" outlineLevel="0" collapsed="false">
      <c r="A1780" s="1" t="s">
        <v>644</v>
      </c>
      <c r="B1780" s="1" t="s">
        <v>78</v>
      </c>
      <c r="C1780" s="1" t="s">
        <v>463</v>
      </c>
      <c r="D1780" s="1" t="s">
        <v>284</v>
      </c>
      <c r="E1780" s="1" t="n">
        <v>14331</v>
      </c>
      <c r="F1780" s="1" t="n">
        <v>0.526319311045773</v>
      </c>
      <c r="G1780" s="1" t="n">
        <v>7542.68204659697</v>
      </c>
      <c r="H1780" s="1" t="s">
        <v>451</v>
      </c>
    </row>
    <row r="1781" customFormat="false" ht="14.25" hidden="false" customHeight="true" outlineLevel="0" collapsed="false">
      <c r="A1781" s="1" t="s">
        <v>644</v>
      </c>
      <c r="B1781" s="1" t="s">
        <v>464</v>
      </c>
      <c r="C1781" s="1" t="s">
        <v>511</v>
      </c>
      <c r="D1781" s="1" t="s">
        <v>284</v>
      </c>
      <c r="E1781" s="1" t="n">
        <v>1</v>
      </c>
      <c r="F1781" s="1" t="n">
        <v>443</v>
      </c>
      <c r="G1781" s="1" t="n">
        <v>443</v>
      </c>
      <c r="H1781" s="1" t="s">
        <v>739</v>
      </c>
    </row>
    <row r="1782" customFormat="false" ht="14.25" hidden="false" customHeight="true" outlineLevel="0" collapsed="false">
      <c r="A1782" s="1" t="s">
        <v>644</v>
      </c>
      <c r="B1782" s="1" t="s">
        <v>464</v>
      </c>
      <c r="C1782" s="1" t="s">
        <v>478</v>
      </c>
      <c r="D1782" s="1" t="s">
        <v>284</v>
      </c>
      <c r="E1782" s="1" t="n">
        <v>15</v>
      </c>
      <c r="H1782" s="1" t="s">
        <v>477</v>
      </c>
    </row>
    <row r="1783" customFormat="false" ht="14.25" hidden="false" customHeight="true" outlineLevel="0" collapsed="false">
      <c r="A1783" s="1" t="s">
        <v>644</v>
      </c>
      <c r="B1783" s="1" t="s">
        <v>87</v>
      </c>
      <c r="C1783" s="1" t="s">
        <v>642</v>
      </c>
      <c r="D1783" s="1" t="s">
        <v>284</v>
      </c>
      <c r="E1783" s="1" t="n">
        <v>2</v>
      </c>
      <c r="F1783" s="1" t="n">
        <v>50</v>
      </c>
      <c r="G1783" s="1" t="n">
        <v>100</v>
      </c>
      <c r="H1783" s="1" t="s">
        <v>724</v>
      </c>
    </row>
    <row r="1784" customFormat="false" ht="14.25" hidden="false" customHeight="true" outlineLevel="0" collapsed="false">
      <c r="A1784" s="1" t="s">
        <v>644</v>
      </c>
      <c r="B1784" s="1" t="s">
        <v>464</v>
      </c>
      <c r="C1784" s="1" t="s">
        <v>469</v>
      </c>
      <c r="D1784" s="1" t="s">
        <v>285</v>
      </c>
      <c r="E1784" s="1" t="n">
        <v>0</v>
      </c>
      <c r="F1784" s="1" t="n">
        <v>0</v>
      </c>
      <c r="G1784" s="1" t="n">
        <v>0</v>
      </c>
      <c r="H1784" s="1" t="s">
        <v>758</v>
      </c>
    </row>
    <row r="1785" customFormat="false" ht="14.25" hidden="false" customHeight="true" outlineLevel="0" collapsed="false">
      <c r="A1785" s="1" t="s">
        <v>644</v>
      </c>
      <c r="B1785" s="1" t="s">
        <v>464</v>
      </c>
      <c r="C1785" s="1" t="s">
        <v>471</v>
      </c>
      <c r="D1785" s="1" t="s">
        <v>285</v>
      </c>
      <c r="E1785" s="1" t="n">
        <v>1</v>
      </c>
      <c r="F1785" s="1" t="n">
        <v>400.26</v>
      </c>
      <c r="G1785" s="1" t="n">
        <v>400.26</v>
      </c>
      <c r="H1785" s="1" t="s">
        <v>759</v>
      </c>
    </row>
    <row r="1786" customFormat="false" ht="14.25" hidden="false" customHeight="true" outlineLevel="0" collapsed="false">
      <c r="A1786" s="1" t="s">
        <v>644</v>
      </c>
      <c r="B1786" s="1" t="s">
        <v>87</v>
      </c>
      <c r="C1786" s="1" t="s">
        <v>642</v>
      </c>
      <c r="D1786" s="1" t="s">
        <v>285</v>
      </c>
      <c r="E1786" s="1" t="n">
        <v>1</v>
      </c>
      <c r="F1786" s="1" t="n">
        <v>50</v>
      </c>
      <c r="G1786" s="1" t="n">
        <v>50</v>
      </c>
      <c r="H1786" s="1" t="s">
        <v>724</v>
      </c>
    </row>
    <row r="1787" customFormat="false" ht="14.25" hidden="false" customHeight="true" outlineLevel="0" collapsed="false">
      <c r="A1787" s="1" t="s">
        <v>644</v>
      </c>
      <c r="B1787" s="1" t="s">
        <v>78</v>
      </c>
      <c r="C1787" s="1" t="s">
        <v>463</v>
      </c>
      <c r="D1787" s="1" t="s">
        <v>282</v>
      </c>
      <c r="E1787" s="1" t="n">
        <v>4782</v>
      </c>
      <c r="F1787" s="1" t="n">
        <v>0.526319311045773</v>
      </c>
      <c r="G1787" s="1" t="n">
        <v>2516.85894542089</v>
      </c>
      <c r="H1787" s="1" t="s">
        <v>451</v>
      </c>
    </row>
    <row r="1788" customFormat="false" ht="14.25" hidden="false" customHeight="true" outlineLevel="0" collapsed="false">
      <c r="A1788" s="1" t="s">
        <v>644</v>
      </c>
      <c r="B1788" s="1" t="s">
        <v>464</v>
      </c>
      <c r="C1788" s="1" t="s">
        <v>467</v>
      </c>
      <c r="D1788" s="1" t="s">
        <v>282</v>
      </c>
      <c r="E1788" s="1" t="n">
        <v>1</v>
      </c>
      <c r="F1788" s="1" t="n">
        <v>383.56</v>
      </c>
      <c r="G1788" s="1" t="n">
        <v>383.56</v>
      </c>
      <c r="H1788" s="1" t="s">
        <v>760</v>
      </c>
    </row>
    <row r="1789" customFormat="false" ht="14.25" hidden="false" customHeight="true" outlineLevel="0" collapsed="false">
      <c r="A1789" s="1" t="s">
        <v>644</v>
      </c>
      <c r="B1789" s="1" t="s">
        <v>464</v>
      </c>
      <c r="C1789" s="1" t="s">
        <v>469</v>
      </c>
      <c r="D1789" s="1" t="s">
        <v>282</v>
      </c>
      <c r="E1789" s="1" t="n">
        <v>2</v>
      </c>
      <c r="F1789" s="1" t="n">
        <v>338.53</v>
      </c>
      <c r="G1789" s="1" t="n">
        <v>677.06</v>
      </c>
      <c r="H1789" s="1" t="s">
        <v>754</v>
      </c>
    </row>
    <row r="1790" customFormat="false" ht="14.25" hidden="false" customHeight="true" outlineLevel="0" collapsed="false">
      <c r="A1790" s="1" t="s">
        <v>644</v>
      </c>
      <c r="B1790" s="1" t="s">
        <v>464</v>
      </c>
      <c r="C1790" s="1" t="s">
        <v>471</v>
      </c>
      <c r="D1790" s="1" t="s">
        <v>282</v>
      </c>
      <c r="E1790" s="1" t="n">
        <v>2</v>
      </c>
      <c r="F1790" s="1" t="n">
        <v>400.26</v>
      </c>
      <c r="G1790" s="1" t="n">
        <v>800.52</v>
      </c>
      <c r="H1790" s="1" t="s">
        <v>755</v>
      </c>
    </row>
    <row r="1791" customFormat="false" ht="14.25" hidden="false" customHeight="true" outlineLevel="0" collapsed="false">
      <c r="A1791" s="1" t="s">
        <v>644</v>
      </c>
      <c r="B1791" s="1" t="s">
        <v>464</v>
      </c>
      <c r="C1791" s="1" t="s">
        <v>478</v>
      </c>
      <c r="D1791" s="1" t="s">
        <v>282</v>
      </c>
      <c r="E1791" s="1" t="n">
        <v>4</v>
      </c>
      <c r="H1791" s="1" t="s">
        <v>477</v>
      </c>
    </row>
    <row r="1792" customFormat="false" ht="14.25" hidden="false" customHeight="true" outlineLevel="0" collapsed="false">
      <c r="A1792" s="1" t="s">
        <v>644</v>
      </c>
      <c r="B1792" s="1" t="s">
        <v>464</v>
      </c>
      <c r="C1792" s="1" t="s">
        <v>524</v>
      </c>
      <c r="D1792" s="1" t="s">
        <v>282</v>
      </c>
      <c r="E1792" s="1" t="n">
        <v>-15</v>
      </c>
      <c r="H1792" s="1" t="s">
        <v>477</v>
      </c>
    </row>
    <row r="1793" customFormat="false" ht="14.25" hidden="false" customHeight="true" outlineLevel="0" collapsed="false">
      <c r="A1793" s="1" t="s">
        <v>644</v>
      </c>
      <c r="B1793" s="1" t="s">
        <v>87</v>
      </c>
      <c r="C1793" s="1" t="s">
        <v>642</v>
      </c>
      <c r="D1793" s="1" t="s">
        <v>282</v>
      </c>
      <c r="E1793" s="1" t="n">
        <v>1</v>
      </c>
      <c r="F1793" s="1" t="n">
        <v>90</v>
      </c>
      <c r="G1793" s="1" t="n">
        <v>90</v>
      </c>
      <c r="H1793" s="1" t="s">
        <v>724</v>
      </c>
    </row>
    <row r="1794" customFormat="false" ht="14.25" hidden="false" customHeight="true" outlineLevel="0" collapsed="false">
      <c r="A1794" s="1" t="s">
        <v>644</v>
      </c>
      <c r="B1794" s="1" t="s">
        <v>87</v>
      </c>
      <c r="C1794" s="1" t="s">
        <v>642</v>
      </c>
      <c r="D1794" s="1" t="s">
        <v>282</v>
      </c>
      <c r="E1794" s="1" t="n">
        <v>2</v>
      </c>
      <c r="F1794" s="1" t="n">
        <v>10</v>
      </c>
      <c r="G1794" s="1" t="n">
        <v>20</v>
      </c>
      <c r="H1794" s="1" t="s">
        <v>724</v>
      </c>
    </row>
    <row r="1795" customFormat="false" ht="14.25" hidden="false" customHeight="true" outlineLevel="0" collapsed="false">
      <c r="A1795" s="1" t="s">
        <v>644</v>
      </c>
      <c r="B1795" s="1" t="s">
        <v>87</v>
      </c>
      <c r="C1795" s="1" t="s">
        <v>642</v>
      </c>
      <c r="D1795" s="1" t="s">
        <v>282</v>
      </c>
      <c r="E1795" s="1" t="n">
        <v>3</v>
      </c>
      <c r="F1795" s="1" t="n">
        <v>50</v>
      </c>
      <c r="G1795" s="1" t="n">
        <v>150</v>
      </c>
      <c r="H1795" s="1" t="s">
        <v>724</v>
      </c>
    </row>
    <row r="1796" customFormat="false" ht="14.25" hidden="false" customHeight="true" outlineLevel="0" collapsed="false">
      <c r="A1796" s="1" t="s">
        <v>654</v>
      </c>
      <c r="B1796" s="1" t="s">
        <v>464</v>
      </c>
      <c r="C1796" s="1" t="s">
        <v>467</v>
      </c>
      <c r="D1796" s="1" t="s">
        <v>287</v>
      </c>
      <c r="E1796" s="1" t="n">
        <v>0</v>
      </c>
      <c r="F1796" s="1" t="n">
        <v>0</v>
      </c>
      <c r="G1796" s="1" t="n">
        <v>0</v>
      </c>
      <c r="H1796" s="1" t="s">
        <v>759</v>
      </c>
    </row>
    <row r="1797" customFormat="false" ht="14.25" hidden="false" customHeight="true" outlineLevel="0" collapsed="false">
      <c r="A1797" s="1" t="s">
        <v>654</v>
      </c>
      <c r="B1797" s="1" t="s">
        <v>464</v>
      </c>
      <c r="C1797" s="1" t="s">
        <v>659</v>
      </c>
      <c r="D1797" s="1" t="s">
        <v>287</v>
      </c>
      <c r="E1797" s="1" t="n">
        <v>-1</v>
      </c>
      <c r="F1797" s="1" t="n">
        <v>206.78</v>
      </c>
      <c r="G1797" s="1" t="n">
        <v>-206.78</v>
      </c>
      <c r="H1797" s="1" t="s">
        <v>718</v>
      </c>
    </row>
    <row r="1798" customFormat="false" ht="14.25" hidden="false" customHeight="true" outlineLevel="0" collapsed="false">
      <c r="A1798" s="1" t="s">
        <v>654</v>
      </c>
      <c r="B1798" s="1" t="s">
        <v>87</v>
      </c>
      <c r="C1798" s="1" t="s">
        <v>642</v>
      </c>
      <c r="D1798" s="1" t="s">
        <v>287</v>
      </c>
      <c r="E1798" s="1" t="n">
        <v>2</v>
      </c>
      <c r="F1798" s="1" t="n">
        <v>50</v>
      </c>
      <c r="G1798" s="1" t="n">
        <v>100</v>
      </c>
      <c r="H1798" s="1" t="s">
        <v>724</v>
      </c>
    </row>
    <row r="1799" customFormat="false" ht="14.25" hidden="false" customHeight="true" outlineLevel="0" collapsed="false">
      <c r="A1799" s="1" t="s">
        <v>654</v>
      </c>
      <c r="B1799" s="1" t="s">
        <v>141</v>
      </c>
      <c r="C1799" s="1" t="s">
        <v>528</v>
      </c>
      <c r="D1799" s="1" t="s">
        <v>289</v>
      </c>
      <c r="E1799" s="1" t="n">
        <v>13418</v>
      </c>
      <c r="F1799" s="1" t="n">
        <v>0.119761365635941</v>
      </c>
      <c r="G1799" s="1" t="n">
        <v>1606.95800410306</v>
      </c>
      <c r="H1799" s="1" t="s">
        <v>451</v>
      </c>
    </row>
    <row r="1800" customFormat="false" ht="14.25" hidden="false" customHeight="true" outlineLevel="0" collapsed="false">
      <c r="A1800" s="1" t="s">
        <v>654</v>
      </c>
      <c r="B1800" s="1" t="s">
        <v>50</v>
      </c>
      <c r="C1800" s="1" t="s">
        <v>533</v>
      </c>
      <c r="D1800" s="1" t="s">
        <v>289</v>
      </c>
      <c r="E1800" s="1" t="n">
        <v>0</v>
      </c>
      <c r="F1800" s="1" t="n">
        <v>0</v>
      </c>
      <c r="G1800" s="1" t="n">
        <v>0</v>
      </c>
      <c r="H1800" s="1" t="s">
        <v>534</v>
      </c>
    </row>
    <row r="1801" customFormat="false" ht="14.25" hidden="false" customHeight="true" outlineLevel="0" collapsed="false">
      <c r="A1801" s="1" t="s">
        <v>654</v>
      </c>
      <c r="B1801" s="1" t="s">
        <v>624</v>
      </c>
      <c r="C1801" s="1" t="s">
        <v>625</v>
      </c>
      <c r="D1801" s="1" t="s">
        <v>289</v>
      </c>
      <c r="E1801" s="1" t="n">
        <v>13418</v>
      </c>
      <c r="F1801" s="1" t="n">
        <v>3.23223677486643</v>
      </c>
      <c r="G1801" s="1" t="n">
        <v>43370.1530451578</v>
      </c>
      <c r="H1801" s="1" t="s">
        <v>451</v>
      </c>
    </row>
    <row r="1802" customFormat="false" ht="14.25" hidden="false" customHeight="true" outlineLevel="0" collapsed="false">
      <c r="A1802" s="1" t="s">
        <v>654</v>
      </c>
      <c r="B1802" s="1" t="s">
        <v>32</v>
      </c>
      <c r="C1802" s="1" t="s">
        <v>620</v>
      </c>
      <c r="D1802" s="1" t="s">
        <v>289</v>
      </c>
      <c r="E1802" s="1" t="n">
        <v>0</v>
      </c>
      <c r="F1802" s="1" t="n">
        <v>0</v>
      </c>
      <c r="G1802" s="1" t="n">
        <v>0</v>
      </c>
      <c r="H1802" s="1" t="s">
        <v>621</v>
      </c>
    </row>
    <row r="1803" customFormat="false" ht="14.25" hidden="false" customHeight="true" outlineLevel="0" collapsed="false">
      <c r="A1803" s="1" t="s">
        <v>654</v>
      </c>
      <c r="B1803" s="1" t="s">
        <v>87</v>
      </c>
      <c r="C1803" s="1" t="s">
        <v>642</v>
      </c>
      <c r="D1803" s="1" t="s">
        <v>289</v>
      </c>
      <c r="E1803" s="1" t="n">
        <v>2</v>
      </c>
      <c r="F1803" s="1" t="n">
        <v>50</v>
      </c>
      <c r="G1803" s="1" t="n">
        <v>100</v>
      </c>
      <c r="H1803" s="1" t="s">
        <v>724</v>
      </c>
    </row>
    <row r="1804" customFormat="false" ht="14.25" hidden="false" customHeight="true" outlineLevel="0" collapsed="false">
      <c r="A1804" s="1" t="s">
        <v>654</v>
      </c>
      <c r="B1804" s="1" t="s">
        <v>78</v>
      </c>
      <c r="C1804" s="1" t="s">
        <v>463</v>
      </c>
      <c r="D1804" s="1" t="s">
        <v>293</v>
      </c>
      <c r="E1804" s="1" t="n">
        <v>3704</v>
      </c>
      <c r="F1804" s="1" t="n">
        <v>0.563787597705515</v>
      </c>
      <c r="G1804" s="1" t="n">
        <v>2088.26926190123</v>
      </c>
      <c r="H1804" s="1" t="s">
        <v>451</v>
      </c>
    </row>
    <row r="1805" customFormat="false" ht="14.25" hidden="false" customHeight="true" outlineLevel="0" collapsed="false">
      <c r="A1805" s="1" t="s">
        <v>654</v>
      </c>
      <c r="B1805" s="1" t="s">
        <v>464</v>
      </c>
      <c r="C1805" s="1" t="s">
        <v>467</v>
      </c>
      <c r="D1805" s="1" t="s">
        <v>293</v>
      </c>
      <c r="E1805" s="1" t="n">
        <v>1</v>
      </c>
      <c r="F1805" s="1" t="n">
        <v>393.04</v>
      </c>
      <c r="G1805" s="1" t="n">
        <v>393.04</v>
      </c>
      <c r="H1805" s="1" t="s">
        <v>759</v>
      </c>
    </row>
    <row r="1806" customFormat="false" ht="14.25" hidden="false" customHeight="true" outlineLevel="0" collapsed="false">
      <c r="A1806" s="1" t="s">
        <v>654</v>
      </c>
      <c r="B1806" s="1" t="s">
        <v>464</v>
      </c>
      <c r="C1806" s="1" t="s">
        <v>469</v>
      </c>
      <c r="D1806" s="1" t="s">
        <v>293</v>
      </c>
      <c r="E1806" s="1" t="n">
        <v>1</v>
      </c>
      <c r="F1806" s="1" t="n">
        <v>439.28</v>
      </c>
      <c r="G1806" s="1" t="n">
        <v>439.28</v>
      </c>
      <c r="H1806" s="1" t="s">
        <v>759</v>
      </c>
    </row>
    <row r="1807" customFormat="false" ht="14.25" hidden="false" customHeight="true" outlineLevel="0" collapsed="false">
      <c r="A1807" s="1" t="s">
        <v>654</v>
      </c>
      <c r="B1807" s="1" t="s">
        <v>87</v>
      </c>
      <c r="C1807" s="1" t="s">
        <v>642</v>
      </c>
      <c r="D1807" s="1" t="s">
        <v>293</v>
      </c>
      <c r="E1807" s="1" t="n">
        <v>1</v>
      </c>
      <c r="F1807" s="1" t="n">
        <v>10</v>
      </c>
      <c r="G1807" s="1" t="n">
        <v>10</v>
      </c>
      <c r="H1807" s="1" t="s">
        <v>724</v>
      </c>
    </row>
    <row r="1808" customFormat="false" ht="14.25" hidden="false" customHeight="true" outlineLevel="0" collapsed="false">
      <c r="A1808" s="1" t="s">
        <v>654</v>
      </c>
      <c r="B1808" s="1" t="s">
        <v>78</v>
      </c>
      <c r="C1808" s="1" t="s">
        <v>463</v>
      </c>
      <c r="D1808" s="1" t="s">
        <v>290</v>
      </c>
      <c r="E1808" s="1" t="n">
        <v>6434</v>
      </c>
      <c r="F1808" s="1" t="n">
        <v>0.563787597705515</v>
      </c>
      <c r="G1808" s="1" t="n">
        <v>3627.40940363728</v>
      </c>
      <c r="H1808" s="1" t="s">
        <v>451</v>
      </c>
    </row>
    <row r="1809" customFormat="false" ht="14.25" hidden="false" customHeight="true" outlineLevel="0" collapsed="false">
      <c r="A1809" s="1" t="s">
        <v>654</v>
      </c>
      <c r="B1809" s="1" t="s">
        <v>87</v>
      </c>
      <c r="C1809" s="1" t="s">
        <v>642</v>
      </c>
      <c r="D1809" s="1" t="s">
        <v>290</v>
      </c>
      <c r="E1809" s="1" t="n">
        <v>1</v>
      </c>
      <c r="F1809" s="1" t="n">
        <v>10</v>
      </c>
      <c r="G1809" s="1" t="n">
        <v>10</v>
      </c>
      <c r="H1809" s="1" t="s">
        <v>724</v>
      </c>
    </row>
    <row r="1810" customFormat="false" ht="14.25" hidden="false" customHeight="true" outlineLevel="0" collapsed="false">
      <c r="A1810" s="1" t="s">
        <v>654</v>
      </c>
      <c r="B1810" s="1" t="s">
        <v>87</v>
      </c>
      <c r="C1810" s="1" t="s">
        <v>642</v>
      </c>
      <c r="D1810" s="1" t="s">
        <v>290</v>
      </c>
      <c r="E1810" s="1" t="n">
        <v>5</v>
      </c>
      <c r="F1810" s="1" t="n">
        <v>50</v>
      </c>
      <c r="G1810" s="1" t="n">
        <v>250</v>
      </c>
      <c r="H1810" s="1" t="s">
        <v>724</v>
      </c>
    </row>
    <row r="1811" customFormat="false" ht="14.25" hidden="false" customHeight="true" outlineLevel="0" collapsed="false">
      <c r="A1811" s="1" t="s">
        <v>654</v>
      </c>
      <c r="B1811" s="1" t="s">
        <v>78</v>
      </c>
      <c r="C1811" s="1" t="s">
        <v>463</v>
      </c>
      <c r="D1811" s="1" t="s">
        <v>284</v>
      </c>
      <c r="E1811" s="1" t="n">
        <v>14441</v>
      </c>
      <c r="F1811" s="1" t="n">
        <v>0.563787597705515</v>
      </c>
      <c r="G1811" s="1" t="n">
        <v>8141.65669846534</v>
      </c>
      <c r="H1811" s="1" t="s">
        <v>451</v>
      </c>
    </row>
    <row r="1812" customFormat="false" ht="14.25" hidden="false" customHeight="true" outlineLevel="0" collapsed="false">
      <c r="A1812" s="1" t="s">
        <v>654</v>
      </c>
      <c r="B1812" s="1" t="s">
        <v>464</v>
      </c>
      <c r="C1812" s="1" t="s">
        <v>511</v>
      </c>
      <c r="D1812" s="1" t="s">
        <v>284</v>
      </c>
      <c r="E1812" s="1" t="n">
        <v>1</v>
      </c>
      <c r="F1812" s="1" t="n">
        <v>738.92</v>
      </c>
      <c r="G1812" s="1" t="n">
        <v>738.92</v>
      </c>
      <c r="H1812" s="1" t="s">
        <v>739</v>
      </c>
    </row>
    <row r="1813" customFormat="false" ht="14.25" hidden="false" customHeight="true" outlineLevel="0" collapsed="false">
      <c r="A1813" s="1" t="s">
        <v>654</v>
      </c>
      <c r="B1813" s="1" t="s">
        <v>87</v>
      </c>
      <c r="C1813" s="1" t="s">
        <v>642</v>
      </c>
      <c r="D1813" s="1" t="s">
        <v>284</v>
      </c>
      <c r="E1813" s="1" t="n">
        <v>2</v>
      </c>
      <c r="F1813" s="1" t="n">
        <v>50</v>
      </c>
      <c r="G1813" s="1" t="n">
        <v>100</v>
      </c>
      <c r="H1813" s="1" t="s">
        <v>724</v>
      </c>
    </row>
    <row r="1814" customFormat="false" ht="14.25" hidden="false" customHeight="true" outlineLevel="0" collapsed="false">
      <c r="A1814" s="1" t="s">
        <v>654</v>
      </c>
      <c r="B1814" s="1" t="s">
        <v>464</v>
      </c>
      <c r="C1814" s="1" t="s">
        <v>469</v>
      </c>
      <c r="D1814" s="1" t="s">
        <v>285</v>
      </c>
      <c r="E1814" s="1" t="n">
        <v>0</v>
      </c>
      <c r="F1814" s="1" t="n">
        <v>0</v>
      </c>
      <c r="G1814" s="1" t="n">
        <v>0</v>
      </c>
      <c r="H1814" s="1" t="s">
        <v>758</v>
      </c>
    </row>
    <row r="1815" customFormat="false" ht="14.25" hidden="false" customHeight="true" outlineLevel="0" collapsed="false">
      <c r="A1815" s="1" t="s">
        <v>654</v>
      </c>
      <c r="B1815" s="1" t="s">
        <v>464</v>
      </c>
      <c r="C1815" s="1" t="s">
        <v>471</v>
      </c>
      <c r="D1815" s="1" t="s">
        <v>285</v>
      </c>
      <c r="E1815" s="1" t="n">
        <v>0</v>
      </c>
      <c r="F1815" s="1" t="n">
        <v>0</v>
      </c>
      <c r="G1815" s="1" t="n">
        <v>0</v>
      </c>
      <c r="H1815" s="1" t="s">
        <v>759</v>
      </c>
    </row>
    <row r="1816" customFormat="false" ht="14.25" hidden="false" customHeight="true" outlineLevel="0" collapsed="false">
      <c r="A1816" s="1" t="s">
        <v>654</v>
      </c>
      <c r="B1816" s="1" t="s">
        <v>87</v>
      </c>
      <c r="C1816" s="1" t="s">
        <v>642</v>
      </c>
      <c r="D1816" s="1" t="s">
        <v>285</v>
      </c>
      <c r="E1816" s="1" t="n">
        <v>1</v>
      </c>
      <c r="F1816" s="1" t="n">
        <v>50</v>
      </c>
      <c r="G1816" s="1" t="n">
        <v>50</v>
      </c>
      <c r="H1816" s="1" t="s">
        <v>724</v>
      </c>
    </row>
    <row r="1817" customFormat="false" ht="14.25" hidden="false" customHeight="true" outlineLevel="0" collapsed="false">
      <c r="A1817" s="1" t="s">
        <v>654</v>
      </c>
      <c r="B1817" s="1" t="s">
        <v>78</v>
      </c>
      <c r="C1817" s="1" t="s">
        <v>463</v>
      </c>
      <c r="D1817" s="1" t="s">
        <v>282</v>
      </c>
      <c r="E1817" s="1" t="n">
        <v>4795</v>
      </c>
      <c r="F1817" s="1" t="n">
        <v>0.563787597705515</v>
      </c>
      <c r="G1817" s="1" t="n">
        <v>2703.36153099794</v>
      </c>
      <c r="H1817" s="1" t="s">
        <v>451</v>
      </c>
    </row>
    <row r="1818" customFormat="false" ht="14.25" hidden="false" customHeight="true" outlineLevel="0" collapsed="false">
      <c r="A1818" s="1" t="s">
        <v>654</v>
      </c>
      <c r="B1818" s="1" t="s">
        <v>464</v>
      </c>
      <c r="C1818" s="1" t="s">
        <v>467</v>
      </c>
      <c r="D1818" s="1" t="s">
        <v>282</v>
      </c>
      <c r="E1818" s="1" t="n">
        <v>3</v>
      </c>
      <c r="F1818" s="1" t="n">
        <v>393.04</v>
      </c>
      <c r="G1818" s="1" t="n">
        <v>1179.12</v>
      </c>
      <c r="H1818" s="1" t="s">
        <v>758</v>
      </c>
    </row>
    <row r="1819" customFormat="false" ht="14.25" hidden="false" customHeight="true" outlineLevel="0" collapsed="false">
      <c r="A1819" s="1" t="s">
        <v>654</v>
      </c>
      <c r="B1819" s="1" t="s">
        <v>464</v>
      </c>
      <c r="C1819" s="1" t="s">
        <v>469</v>
      </c>
      <c r="D1819" s="1" t="s">
        <v>282</v>
      </c>
      <c r="E1819" s="1" t="n">
        <v>2</v>
      </c>
      <c r="F1819" s="1" t="n">
        <v>439.28</v>
      </c>
      <c r="G1819" s="1" t="n">
        <v>878.56</v>
      </c>
      <c r="H1819" s="1" t="s">
        <v>759</v>
      </c>
    </row>
    <row r="1820" customFormat="false" ht="14.25" hidden="false" customHeight="true" outlineLevel="0" collapsed="false">
      <c r="A1820" s="1" t="s">
        <v>654</v>
      </c>
      <c r="B1820" s="1" t="s">
        <v>464</v>
      </c>
      <c r="C1820" s="1" t="s">
        <v>471</v>
      </c>
      <c r="D1820" s="1" t="s">
        <v>282</v>
      </c>
      <c r="E1820" s="1" t="n">
        <v>3</v>
      </c>
      <c r="F1820" s="1" t="n">
        <v>407.27</v>
      </c>
      <c r="G1820" s="1" t="n">
        <v>1221.81</v>
      </c>
      <c r="H1820" s="1" t="s">
        <v>758</v>
      </c>
    </row>
    <row r="1821" customFormat="false" ht="14.25" hidden="false" customHeight="true" outlineLevel="0" collapsed="false">
      <c r="A1821" s="1" t="s">
        <v>654</v>
      </c>
      <c r="B1821" s="1" t="s">
        <v>87</v>
      </c>
      <c r="C1821" s="1" t="s">
        <v>642</v>
      </c>
      <c r="D1821" s="1" t="s">
        <v>282</v>
      </c>
      <c r="E1821" s="1" t="n">
        <v>1</v>
      </c>
      <c r="F1821" s="1" t="n">
        <v>90</v>
      </c>
      <c r="G1821" s="1" t="n">
        <v>90</v>
      </c>
      <c r="H1821" s="1" t="s">
        <v>724</v>
      </c>
    </row>
    <row r="1822" customFormat="false" ht="14.25" hidden="false" customHeight="true" outlineLevel="0" collapsed="false">
      <c r="A1822" s="1" t="s">
        <v>654</v>
      </c>
      <c r="B1822" s="1" t="s">
        <v>87</v>
      </c>
      <c r="C1822" s="1" t="s">
        <v>642</v>
      </c>
      <c r="D1822" s="1" t="s">
        <v>282</v>
      </c>
      <c r="E1822" s="1" t="n">
        <v>2</v>
      </c>
      <c r="F1822" s="1" t="n">
        <v>10</v>
      </c>
      <c r="G1822" s="1" t="n">
        <v>20</v>
      </c>
      <c r="H1822" s="1" t="s">
        <v>724</v>
      </c>
    </row>
    <row r="1823" customFormat="false" ht="14.25" hidden="false" customHeight="true" outlineLevel="0" collapsed="false">
      <c r="A1823" s="1" t="s">
        <v>654</v>
      </c>
      <c r="B1823" s="1" t="s">
        <v>87</v>
      </c>
      <c r="C1823" s="1" t="s">
        <v>642</v>
      </c>
      <c r="D1823" s="1" t="s">
        <v>282</v>
      </c>
      <c r="E1823" s="1" t="n">
        <v>3</v>
      </c>
      <c r="F1823" s="1" t="n">
        <v>50</v>
      </c>
      <c r="G1823" s="1" t="n">
        <v>150</v>
      </c>
      <c r="H1823" s="1" t="s">
        <v>724</v>
      </c>
    </row>
    <row r="1824" customFormat="false" ht="14.25" hidden="false" customHeight="true" outlineLevel="0" collapsed="false">
      <c r="A1824" s="1" t="s">
        <v>681</v>
      </c>
      <c r="B1824" s="1" t="s">
        <v>85</v>
      </c>
      <c r="C1824" s="1" t="s">
        <v>615</v>
      </c>
      <c r="D1824" s="1" t="s">
        <v>275</v>
      </c>
      <c r="E1824" s="1" t="n">
        <v>1</v>
      </c>
      <c r="F1824" s="1" t="n">
        <v>131.1</v>
      </c>
      <c r="G1824" s="1" t="n">
        <v>131.1</v>
      </c>
      <c r="H1824" s="1" t="s">
        <v>716</v>
      </c>
    </row>
    <row r="1825" customFormat="false" ht="14.25" hidden="false" customHeight="true" outlineLevel="0" collapsed="false">
      <c r="A1825" s="1" t="s">
        <v>681</v>
      </c>
      <c r="B1825" s="1" t="s">
        <v>464</v>
      </c>
      <c r="C1825" s="1" t="s">
        <v>659</v>
      </c>
      <c r="D1825" s="1" t="s">
        <v>287</v>
      </c>
      <c r="E1825" s="1" t="n">
        <v>0</v>
      </c>
      <c r="F1825" s="1" t="n">
        <v>0</v>
      </c>
      <c r="G1825" s="1" t="n">
        <v>0</v>
      </c>
      <c r="H1825" s="1" t="s">
        <v>718</v>
      </c>
    </row>
    <row r="1826" customFormat="false" ht="14.25" hidden="false" customHeight="true" outlineLevel="0" collapsed="false">
      <c r="A1826" s="1" t="s">
        <v>681</v>
      </c>
      <c r="B1826" s="1" t="s">
        <v>464</v>
      </c>
      <c r="C1826" s="1" t="s">
        <v>476</v>
      </c>
      <c r="D1826" s="1" t="s">
        <v>287</v>
      </c>
      <c r="E1826" s="1" t="n">
        <v>-1</v>
      </c>
      <c r="F1826" s="1" t="n">
        <v>330.85192</v>
      </c>
      <c r="G1826" s="1" t="n">
        <v>-330.85192</v>
      </c>
      <c r="H1826" s="1" t="s">
        <v>683</v>
      </c>
    </row>
    <row r="1827" customFormat="false" ht="14.25" hidden="false" customHeight="true" outlineLevel="0" collapsed="false">
      <c r="A1827" s="1" t="s">
        <v>681</v>
      </c>
      <c r="B1827" s="1" t="s">
        <v>464</v>
      </c>
      <c r="C1827" s="1" t="s">
        <v>480</v>
      </c>
      <c r="D1827" s="1" t="s">
        <v>287</v>
      </c>
      <c r="E1827" s="1" t="n">
        <v>3</v>
      </c>
      <c r="F1827" s="1" t="n">
        <v>398.377812879708</v>
      </c>
      <c r="G1827" s="1" t="n">
        <v>1195.13343863913</v>
      </c>
      <c r="H1827" s="1" t="s">
        <v>683</v>
      </c>
    </row>
    <row r="1828" customFormat="false" ht="14.25" hidden="false" customHeight="true" outlineLevel="0" collapsed="false">
      <c r="A1828" s="1" t="s">
        <v>681</v>
      </c>
      <c r="B1828" s="1" t="s">
        <v>143</v>
      </c>
      <c r="C1828" s="1" t="s">
        <v>527</v>
      </c>
      <c r="D1828" s="1" t="s">
        <v>287</v>
      </c>
      <c r="E1828" s="1" t="n">
        <v>6588</v>
      </c>
      <c r="F1828" s="1" t="n">
        <v>0.166707077409461</v>
      </c>
      <c r="G1828" s="1" t="n">
        <v>1098.26622597353</v>
      </c>
      <c r="H1828" s="1" t="s">
        <v>451</v>
      </c>
    </row>
    <row r="1829" customFormat="false" ht="14.25" hidden="false" customHeight="true" outlineLevel="0" collapsed="false">
      <c r="A1829" s="1" t="s">
        <v>681</v>
      </c>
      <c r="B1829" s="1" t="s">
        <v>47</v>
      </c>
      <c r="C1829" s="1" t="s">
        <v>608</v>
      </c>
      <c r="D1829" s="1" t="s">
        <v>287</v>
      </c>
      <c r="E1829" s="1" t="n">
        <v>1</v>
      </c>
      <c r="F1829" s="1" t="n">
        <v>855.98</v>
      </c>
      <c r="G1829" s="1" t="n">
        <v>855.98</v>
      </c>
      <c r="H1829" s="1" t="s">
        <v>689</v>
      </c>
    </row>
    <row r="1830" customFormat="false" ht="14.25" hidden="false" customHeight="true" outlineLevel="0" collapsed="false">
      <c r="A1830" s="1" t="s">
        <v>681</v>
      </c>
      <c r="B1830" s="1" t="s">
        <v>85</v>
      </c>
      <c r="C1830" s="1" t="s">
        <v>615</v>
      </c>
      <c r="D1830" s="1" t="s">
        <v>287</v>
      </c>
      <c r="E1830" s="1" t="n">
        <v>2</v>
      </c>
      <c r="F1830" s="1" t="n">
        <v>134.85</v>
      </c>
      <c r="G1830" s="1" t="n">
        <v>269.7</v>
      </c>
      <c r="H1830" s="1" t="s">
        <v>692</v>
      </c>
    </row>
    <row r="1831" customFormat="false" ht="14.25" hidden="false" customHeight="true" outlineLevel="0" collapsed="false">
      <c r="A1831" s="1" t="s">
        <v>681</v>
      </c>
      <c r="B1831" s="1" t="s">
        <v>87</v>
      </c>
      <c r="C1831" s="1" t="s">
        <v>642</v>
      </c>
      <c r="D1831" s="1" t="s">
        <v>287</v>
      </c>
      <c r="E1831" s="1" t="n">
        <v>2</v>
      </c>
      <c r="F1831" s="1" t="n">
        <v>50</v>
      </c>
      <c r="G1831" s="1" t="n">
        <v>100</v>
      </c>
      <c r="H1831" s="1" t="s">
        <v>724</v>
      </c>
    </row>
    <row r="1832" customFormat="false" ht="14.25" hidden="false" customHeight="true" outlineLevel="0" collapsed="false">
      <c r="A1832" s="1" t="s">
        <v>681</v>
      </c>
      <c r="B1832" s="1" t="s">
        <v>449</v>
      </c>
      <c r="C1832" s="1" t="s">
        <v>450</v>
      </c>
      <c r="D1832" s="1" t="s">
        <v>289</v>
      </c>
      <c r="E1832" s="1" t="n">
        <v>13530</v>
      </c>
      <c r="F1832" s="1" t="n">
        <v>0.29164628641075</v>
      </c>
      <c r="G1832" s="1" t="n">
        <v>3945.97425513745</v>
      </c>
      <c r="H1832" s="1" t="s">
        <v>451</v>
      </c>
    </row>
    <row r="1833" customFormat="false" ht="14.25" hidden="false" customHeight="true" outlineLevel="0" collapsed="false">
      <c r="A1833" s="1" t="s">
        <v>681</v>
      </c>
      <c r="B1833" s="1" t="s">
        <v>452</v>
      </c>
      <c r="C1833" s="1" t="s">
        <v>86</v>
      </c>
      <c r="D1833" s="1" t="s">
        <v>289</v>
      </c>
      <c r="E1833" s="1" t="n">
        <v>13530</v>
      </c>
      <c r="F1833" s="1" t="n">
        <v>0.190683735687687</v>
      </c>
      <c r="G1833" s="1" t="n">
        <v>2579.95094385441</v>
      </c>
      <c r="H1833" s="1" t="s">
        <v>451</v>
      </c>
    </row>
    <row r="1834" customFormat="false" ht="14.25" hidden="false" customHeight="true" outlineLevel="0" collapsed="false">
      <c r="A1834" s="1" t="s">
        <v>681</v>
      </c>
      <c r="B1834" s="1" t="s">
        <v>464</v>
      </c>
      <c r="C1834" s="1" t="s">
        <v>465</v>
      </c>
      <c r="D1834" s="1" t="s">
        <v>289</v>
      </c>
      <c r="E1834" s="1" t="n">
        <v>312</v>
      </c>
      <c r="F1834" s="1" t="n">
        <v>1.86</v>
      </c>
      <c r="G1834" s="1" t="n">
        <v>580.32</v>
      </c>
      <c r="H1834" s="1" t="s">
        <v>761</v>
      </c>
    </row>
    <row r="1835" customFormat="false" ht="14.25" hidden="false" customHeight="true" outlineLevel="0" collapsed="false">
      <c r="A1835" s="1" t="s">
        <v>681</v>
      </c>
      <c r="B1835" s="1" t="s">
        <v>464</v>
      </c>
      <c r="C1835" s="1" t="s">
        <v>478</v>
      </c>
      <c r="D1835" s="1" t="s">
        <v>289</v>
      </c>
      <c r="E1835" s="1" t="n">
        <v>2</v>
      </c>
      <c r="F1835" s="1" t="n">
        <v>398.377812879708</v>
      </c>
      <c r="G1835" s="1" t="n">
        <v>796.755625759417</v>
      </c>
      <c r="H1835" s="1" t="s">
        <v>683</v>
      </c>
    </row>
    <row r="1836" customFormat="false" ht="14.25" hidden="false" customHeight="true" outlineLevel="0" collapsed="false">
      <c r="A1836" s="1" t="s">
        <v>681</v>
      </c>
      <c r="B1836" s="1" t="s">
        <v>464</v>
      </c>
      <c r="C1836" s="1" t="s">
        <v>490</v>
      </c>
      <c r="D1836" s="1" t="s">
        <v>289</v>
      </c>
      <c r="E1836" s="1" t="n">
        <v>1</v>
      </c>
      <c r="F1836" s="1" t="n">
        <v>330.85192</v>
      </c>
      <c r="G1836" s="1" t="n">
        <v>330.85192</v>
      </c>
      <c r="H1836" s="1" t="s">
        <v>683</v>
      </c>
    </row>
    <row r="1837" customFormat="false" ht="14.25" hidden="false" customHeight="true" outlineLevel="0" collapsed="false">
      <c r="A1837" s="1" t="s">
        <v>681</v>
      </c>
      <c r="B1837" s="1" t="s">
        <v>464</v>
      </c>
      <c r="C1837" s="1" t="s">
        <v>492</v>
      </c>
      <c r="D1837" s="1" t="s">
        <v>289</v>
      </c>
      <c r="E1837" s="1" t="n">
        <v>-6</v>
      </c>
      <c r="F1837" s="1" t="n">
        <v>398.377812879708</v>
      </c>
      <c r="G1837" s="1" t="n">
        <v>-2390.26687727825</v>
      </c>
      <c r="H1837" s="1" t="s">
        <v>683</v>
      </c>
    </row>
    <row r="1838" customFormat="false" ht="14.25" hidden="false" customHeight="true" outlineLevel="0" collapsed="false">
      <c r="A1838" s="1" t="s">
        <v>681</v>
      </c>
      <c r="B1838" s="1" t="s">
        <v>464</v>
      </c>
      <c r="C1838" s="1" t="s">
        <v>493</v>
      </c>
      <c r="D1838" s="1" t="s">
        <v>289</v>
      </c>
      <c r="E1838" s="1" t="n">
        <v>-3</v>
      </c>
      <c r="F1838" s="1" t="n">
        <v>398.377812879708</v>
      </c>
      <c r="G1838" s="1" t="n">
        <v>-1195.13343863913</v>
      </c>
      <c r="H1838" s="1" t="s">
        <v>683</v>
      </c>
    </row>
    <row r="1839" customFormat="false" ht="14.25" hidden="false" customHeight="true" outlineLevel="0" collapsed="false">
      <c r="A1839" s="1" t="s">
        <v>681</v>
      </c>
      <c r="B1839" s="1" t="s">
        <v>464</v>
      </c>
      <c r="C1839" s="1" t="s">
        <v>494</v>
      </c>
      <c r="D1839" s="1" t="s">
        <v>289</v>
      </c>
      <c r="E1839" s="1" t="n">
        <v>-2</v>
      </c>
      <c r="F1839" s="1" t="n">
        <v>398.377812879708</v>
      </c>
      <c r="G1839" s="1" t="n">
        <v>-796.755625759417</v>
      </c>
      <c r="H1839" s="1" t="s">
        <v>683</v>
      </c>
    </row>
    <row r="1840" customFormat="false" ht="14.25" hidden="false" customHeight="true" outlineLevel="0" collapsed="false">
      <c r="A1840" s="1" t="s">
        <v>681</v>
      </c>
      <c r="B1840" s="1" t="s">
        <v>143</v>
      </c>
      <c r="C1840" s="1" t="s">
        <v>527</v>
      </c>
      <c r="D1840" s="1" t="s">
        <v>289</v>
      </c>
      <c r="E1840" s="1" t="n">
        <v>13530</v>
      </c>
      <c r="F1840" s="1" t="n">
        <v>0.166707077409461</v>
      </c>
      <c r="G1840" s="1" t="n">
        <v>2255.54675735001</v>
      </c>
      <c r="H1840" s="1" t="s">
        <v>451</v>
      </c>
    </row>
    <row r="1841" customFormat="false" ht="14.25" hidden="false" customHeight="true" outlineLevel="0" collapsed="false">
      <c r="A1841" s="1" t="s">
        <v>681</v>
      </c>
      <c r="B1841" s="1" t="s">
        <v>141</v>
      </c>
      <c r="C1841" s="1" t="s">
        <v>528</v>
      </c>
      <c r="D1841" s="1" t="s">
        <v>289</v>
      </c>
      <c r="E1841" s="1" t="n">
        <v>13530</v>
      </c>
      <c r="F1841" s="1" t="n">
        <v>0.0878799443506403</v>
      </c>
      <c r="G1841" s="1" t="n">
        <v>1189.01564706416</v>
      </c>
      <c r="H1841" s="1" t="s">
        <v>451</v>
      </c>
    </row>
    <row r="1842" customFormat="false" ht="14.25" hidden="false" customHeight="true" outlineLevel="0" collapsed="false">
      <c r="A1842" s="1" t="s">
        <v>681</v>
      </c>
      <c r="B1842" s="1" t="s">
        <v>50</v>
      </c>
      <c r="C1842" s="1" t="s">
        <v>533</v>
      </c>
      <c r="D1842" s="1" t="s">
        <v>289</v>
      </c>
      <c r="E1842" s="1" t="n">
        <v>0</v>
      </c>
      <c r="F1842" s="1" t="n">
        <v>0</v>
      </c>
      <c r="G1842" s="1" t="n">
        <v>0</v>
      </c>
      <c r="H1842" s="1" t="s">
        <v>534</v>
      </c>
    </row>
    <row r="1843" customFormat="false" ht="14.25" hidden="false" customHeight="true" outlineLevel="0" collapsed="false">
      <c r="A1843" s="1" t="s">
        <v>681</v>
      </c>
      <c r="B1843" s="1" t="s">
        <v>85</v>
      </c>
      <c r="C1843" s="1" t="s">
        <v>615</v>
      </c>
      <c r="D1843" s="1" t="s">
        <v>289</v>
      </c>
      <c r="E1843" s="1" t="n">
        <v>22</v>
      </c>
      <c r="F1843" s="1" t="n">
        <v>130.76</v>
      </c>
      <c r="G1843" s="1" t="n">
        <v>2876.72</v>
      </c>
      <c r="H1843" s="1" t="s">
        <v>692</v>
      </c>
    </row>
    <row r="1844" customFormat="false" ht="14.25" hidden="false" customHeight="true" outlineLevel="0" collapsed="false">
      <c r="A1844" s="1" t="s">
        <v>681</v>
      </c>
      <c r="B1844" s="1" t="s">
        <v>624</v>
      </c>
      <c r="C1844" s="1" t="s">
        <v>625</v>
      </c>
      <c r="D1844" s="1" t="s">
        <v>289</v>
      </c>
      <c r="E1844" s="1" t="n">
        <v>13530</v>
      </c>
      <c r="F1844" s="1" t="n">
        <v>2.26208038267291</v>
      </c>
      <c r="G1844" s="1" t="n">
        <v>30605.9475775645</v>
      </c>
      <c r="H1844" s="1" t="s">
        <v>451</v>
      </c>
    </row>
    <row r="1845" customFormat="false" ht="14.25" hidden="false" customHeight="true" outlineLevel="0" collapsed="false">
      <c r="A1845" s="1" t="s">
        <v>681</v>
      </c>
      <c r="B1845" s="1" t="s">
        <v>32</v>
      </c>
      <c r="C1845" s="1" t="s">
        <v>620</v>
      </c>
      <c r="D1845" s="1" t="s">
        <v>289</v>
      </c>
      <c r="E1845" s="1" t="n">
        <v>0</v>
      </c>
      <c r="F1845" s="1" t="n">
        <v>0</v>
      </c>
      <c r="G1845" s="1" t="n">
        <v>0</v>
      </c>
      <c r="H1845" s="1" t="s">
        <v>621</v>
      </c>
    </row>
    <row r="1846" customFormat="false" ht="14.25" hidden="false" customHeight="true" outlineLevel="0" collapsed="false">
      <c r="A1846" s="1" t="s">
        <v>681</v>
      </c>
      <c r="B1846" s="1" t="s">
        <v>44</v>
      </c>
      <c r="C1846" s="1" t="s">
        <v>629</v>
      </c>
      <c r="D1846" s="1" t="s">
        <v>289</v>
      </c>
      <c r="E1846" s="1" t="n">
        <v>1</v>
      </c>
      <c r="F1846" s="1" t="n">
        <v>0</v>
      </c>
      <c r="G1846" s="1" t="n">
        <v>0</v>
      </c>
      <c r="H1846" s="1" t="s">
        <v>630</v>
      </c>
    </row>
    <row r="1847" customFormat="false" ht="14.25" hidden="false" customHeight="true" outlineLevel="0" collapsed="false">
      <c r="A1847" s="1" t="s">
        <v>681</v>
      </c>
      <c r="B1847" s="1" t="s">
        <v>87</v>
      </c>
      <c r="C1847" s="1" t="s">
        <v>642</v>
      </c>
      <c r="D1847" s="1" t="s">
        <v>289</v>
      </c>
      <c r="E1847" s="1" t="n">
        <v>2</v>
      </c>
      <c r="F1847" s="1" t="n">
        <v>50</v>
      </c>
      <c r="G1847" s="1" t="n">
        <v>100</v>
      </c>
      <c r="H1847" s="1" t="s">
        <v>724</v>
      </c>
    </row>
    <row r="1848" customFormat="false" ht="14.25" hidden="false" customHeight="true" outlineLevel="0" collapsed="false">
      <c r="A1848" s="1" t="s">
        <v>681</v>
      </c>
      <c r="B1848" s="1" t="s">
        <v>78</v>
      </c>
      <c r="C1848" s="1" t="s">
        <v>463</v>
      </c>
      <c r="D1848" s="1" t="s">
        <v>293</v>
      </c>
      <c r="E1848" s="1" t="n">
        <v>3765</v>
      </c>
      <c r="F1848" s="1" t="n">
        <v>0.362143786122251</v>
      </c>
      <c r="G1848" s="1" t="n">
        <v>1363.47135475028</v>
      </c>
      <c r="H1848" s="1" t="s">
        <v>451</v>
      </c>
    </row>
    <row r="1849" customFormat="false" ht="14.25" hidden="false" customHeight="true" outlineLevel="0" collapsed="false">
      <c r="A1849" s="1" t="s">
        <v>681</v>
      </c>
      <c r="B1849" s="1" t="s">
        <v>464</v>
      </c>
      <c r="C1849" s="1" t="s">
        <v>465</v>
      </c>
      <c r="D1849" s="1" t="s">
        <v>293</v>
      </c>
      <c r="E1849" s="1" t="n">
        <v>222</v>
      </c>
      <c r="F1849" s="1" t="n">
        <v>1.86</v>
      </c>
      <c r="G1849" s="1" t="n">
        <v>412.92</v>
      </c>
      <c r="H1849" s="1" t="s">
        <v>761</v>
      </c>
    </row>
    <row r="1850" customFormat="false" ht="14.25" hidden="false" customHeight="true" outlineLevel="0" collapsed="false">
      <c r="A1850" s="1" t="s">
        <v>681</v>
      </c>
      <c r="B1850" s="1" t="s">
        <v>464</v>
      </c>
      <c r="C1850" s="1" t="s">
        <v>478</v>
      </c>
      <c r="D1850" s="1" t="s">
        <v>293</v>
      </c>
      <c r="E1850" s="1" t="n">
        <v>1</v>
      </c>
      <c r="F1850" s="1" t="n">
        <v>398.377812879708</v>
      </c>
      <c r="G1850" s="1" t="n">
        <v>398.377812879708</v>
      </c>
      <c r="H1850" s="1" t="s">
        <v>683</v>
      </c>
    </row>
    <row r="1851" customFormat="false" ht="14.25" hidden="false" customHeight="true" outlineLevel="0" collapsed="false">
      <c r="A1851" s="1" t="s">
        <v>681</v>
      </c>
      <c r="B1851" s="1" t="s">
        <v>143</v>
      </c>
      <c r="C1851" s="1" t="s">
        <v>527</v>
      </c>
      <c r="D1851" s="1" t="s">
        <v>293</v>
      </c>
      <c r="E1851" s="1" t="n">
        <v>3765</v>
      </c>
      <c r="F1851" s="1" t="n">
        <v>0.166707077409461</v>
      </c>
      <c r="G1851" s="1" t="n">
        <v>627.652146446621</v>
      </c>
      <c r="H1851" s="1" t="s">
        <v>451</v>
      </c>
    </row>
    <row r="1852" customFormat="false" ht="14.25" hidden="false" customHeight="true" outlineLevel="0" collapsed="false">
      <c r="A1852" s="1" t="s">
        <v>681</v>
      </c>
      <c r="B1852" s="1" t="s">
        <v>85</v>
      </c>
      <c r="C1852" s="1" t="s">
        <v>615</v>
      </c>
      <c r="D1852" s="1" t="s">
        <v>293</v>
      </c>
      <c r="E1852" s="1" t="n">
        <v>11</v>
      </c>
      <c r="F1852" s="1" t="n">
        <v>136.89</v>
      </c>
      <c r="G1852" s="1" t="n">
        <v>1505.79</v>
      </c>
      <c r="H1852" s="1" t="s">
        <v>692</v>
      </c>
    </row>
    <row r="1853" customFormat="false" ht="14.25" hidden="false" customHeight="true" outlineLevel="0" collapsed="false">
      <c r="A1853" s="1" t="s">
        <v>681</v>
      </c>
      <c r="B1853" s="1" t="s">
        <v>87</v>
      </c>
      <c r="C1853" s="1" t="s">
        <v>642</v>
      </c>
      <c r="D1853" s="1" t="s">
        <v>293</v>
      </c>
      <c r="E1853" s="1" t="n">
        <v>1</v>
      </c>
      <c r="F1853" s="1" t="n">
        <v>10</v>
      </c>
      <c r="G1853" s="1" t="n">
        <v>10</v>
      </c>
      <c r="H1853" s="1" t="s">
        <v>724</v>
      </c>
    </row>
    <row r="1854" customFormat="false" ht="14.25" hidden="false" customHeight="true" outlineLevel="0" collapsed="false">
      <c r="A1854" s="1" t="s">
        <v>681</v>
      </c>
      <c r="B1854" s="1" t="s">
        <v>464</v>
      </c>
      <c r="C1854" s="1" t="s">
        <v>465</v>
      </c>
      <c r="D1854" s="1" t="s">
        <v>290</v>
      </c>
      <c r="E1854" s="1" t="n">
        <v>669</v>
      </c>
      <c r="F1854" s="1" t="n">
        <v>1.86</v>
      </c>
      <c r="G1854" s="1" t="n">
        <v>1244.34</v>
      </c>
      <c r="H1854" s="1" t="s">
        <v>761</v>
      </c>
    </row>
    <row r="1855" customFormat="false" ht="14.25" hidden="false" customHeight="true" outlineLevel="0" collapsed="false">
      <c r="A1855" s="1" t="s">
        <v>681</v>
      </c>
      <c r="B1855" s="1" t="s">
        <v>464</v>
      </c>
      <c r="C1855" s="1" t="s">
        <v>504</v>
      </c>
      <c r="D1855" s="1" t="s">
        <v>290</v>
      </c>
      <c r="E1855" s="1" t="n">
        <v>1</v>
      </c>
      <c r="F1855" s="1" t="n">
        <v>398.377812879708</v>
      </c>
      <c r="G1855" s="1" t="n">
        <v>398.377812879708</v>
      </c>
      <c r="H1855" s="1" t="s">
        <v>683</v>
      </c>
    </row>
    <row r="1856" customFormat="false" ht="14.25" hidden="false" customHeight="true" outlineLevel="0" collapsed="false">
      <c r="A1856" s="1" t="s">
        <v>681</v>
      </c>
      <c r="B1856" s="1" t="s">
        <v>464</v>
      </c>
      <c r="C1856" s="1" t="s">
        <v>505</v>
      </c>
      <c r="D1856" s="1" t="s">
        <v>290</v>
      </c>
      <c r="E1856" s="1" t="n">
        <v>2</v>
      </c>
      <c r="F1856" s="1" t="n">
        <v>398.377812879708</v>
      </c>
      <c r="G1856" s="1" t="n">
        <v>796.755625759417</v>
      </c>
      <c r="H1856" s="1" t="s">
        <v>683</v>
      </c>
    </row>
    <row r="1857" customFormat="false" ht="14.25" hidden="false" customHeight="true" outlineLevel="0" collapsed="false">
      <c r="A1857" s="1" t="s">
        <v>681</v>
      </c>
      <c r="B1857" s="1" t="s">
        <v>143</v>
      </c>
      <c r="C1857" s="1" t="s">
        <v>527</v>
      </c>
      <c r="D1857" s="1" t="s">
        <v>290</v>
      </c>
      <c r="E1857" s="1" t="n">
        <v>6568</v>
      </c>
      <c r="F1857" s="1" t="n">
        <v>0.166707077409461</v>
      </c>
      <c r="G1857" s="1" t="n">
        <v>1094.93208442534</v>
      </c>
      <c r="H1857" s="1" t="s">
        <v>451</v>
      </c>
    </row>
    <row r="1858" customFormat="false" ht="14.25" hidden="false" customHeight="true" outlineLevel="0" collapsed="false">
      <c r="A1858" s="1" t="s">
        <v>681</v>
      </c>
      <c r="B1858" s="1" t="s">
        <v>593</v>
      </c>
      <c r="C1858" s="1" t="s">
        <v>676</v>
      </c>
      <c r="D1858" s="1" t="s">
        <v>290</v>
      </c>
      <c r="E1858" s="1" t="n">
        <v>-1</v>
      </c>
      <c r="F1858" s="1" t="n">
        <v>1046.56</v>
      </c>
      <c r="G1858" s="1" t="n">
        <v>-1046.56</v>
      </c>
      <c r="H1858" s="1" t="s">
        <v>762</v>
      </c>
    </row>
    <row r="1859" customFormat="false" ht="14.25" hidden="false" customHeight="true" outlineLevel="0" collapsed="false">
      <c r="A1859" s="1" t="s">
        <v>681</v>
      </c>
      <c r="B1859" s="1" t="s">
        <v>47</v>
      </c>
      <c r="C1859" s="1" t="s">
        <v>608</v>
      </c>
      <c r="D1859" s="1" t="s">
        <v>290</v>
      </c>
      <c r="E1859" s="1" t="n">
        <v>1</v>
      </c>
      <c r="F1859" s="1" t="n">
        <v>8714.57</v>
      </c>
      <c r="G1859" s="1" t="n">
        <v>8714.57</v>
      </c>
      <c r="H1859" s="1" t="s">
        <v>690</v>
      </c>
    </row>
    <row r="1860" customFormat="false" ht="14.25" hidden="false" customHeight="true" outlineLevel="0" collapsed="false">
      <c r="A1860" s="1" t="s">
        <v>681</v>
      </c>
      <c r="B1860" s="1" t="s">
        <v>85</v>
      </c>
      <c r="C1860" s="1" t="s">
        <v>615</v>
      </c>
      <c r="D1860" s="1" t="s">
        <v>290</v>
      </c>
      <c r="E1860" s="1" t="n">
        <v>2</v>
      </c>
      <c r="F1860" s="1" t="n">
        <v>59.92</v>
      </c>
      <c r="G1860" s="1" t="n">
        <v>119.84</v>
      </c>
      <c r="H1860" s="1" t="s">
        <v>716</v>
      </c>
    </row>
    <row r="1861" customFormat="false" ht="14.25" hidden="false" customHeight="true" outlineLevel="0" collapsed="false">
      <c r="A1861" s="1" t="s">
        <v>681</v>
      </c>
      <c r="B1861" s="1" t="s">
        <v>87</v>
      </c>
      <c r="C1861" s="1" t="s">
        <v>642</v>
      </c>
      <c r="D1861" s="1" t="s">
        <v>290</v>
      </c>
      <c r="E1861" s="1" t="n">
        <v>1</v>
      </c>
      <c r="F1861" s="1" t="n">
        <v>10</v>
      </c>
      <c r="G1861" s="1" t="n">
        <v>10</v>
      </c>
      <c r="H1861" s="1" t="s">
        <v>724</v>
      </c>
    </row>
    <row r="1862" customFormat="false" ht="14.25" hidden="false" customHeight="true" outlineLevel="0" collapsed="false">
      <c r="A1862" s="1" t="s">
        <v>681</v>
      </c>
      <c r="B1862" s="1" t="s">
        <v>87</v>
      </c>
      <c r="C1862" s="1" t="s">
        <v>642</v>
      </c>
      <c r="D1862" s="1" t="s">
        <v>290</v>
      </c>
      <c r="E1862" s="1" t="n">
        <v>5</v>
      </c>
      <c r="F1862" s="1" t="n">
        <v>50</v>
      </c>
      <c r="G1862" s="1" t="n">
        <v>250</v>
      </c>
      <c r="H1862" s="1" t="s">
        <v>724</v>
      </c>
    </row>
    <row r="1863" customFormat="false" ht="14.25" hidden="false" customHeight="true" outlineLevel="0" collapsed="false">
      <c r="A1863" s="1" t="s">
        <v>681</v>
      </c>
      <c r="B1863" s="1" t="s">
        <v>78</v>
      </c>
      <c r="C1863" s="1" t="s">
        <v>463</v>
      </c>
      <c r="D1863" s="1" t="s">
        <v>284</v>
      </c>
      <c r="E1863" s="1" t="n">
        <v>14689</v>
      </c>
      <c r="F1863" s="1" t="n">
        <v>0.362143786122251</v>
      </c>
      <c r="G1863" s="1" t="n">
        <v>5319.53007434975</v>
      </c>
      <c r="H1863" s="1" t="s">
        <v>451</v>
      </c>
    </row>
    <row r="1864" customFormat="false" ht="14.25" hidden="false" customHeight="true" outlineLevel="0" collapsed="false">
      <c r="A1864" s="1" t="s">
        <v>681</v>
      </c>
      <c r="B1864" s="1" t="s">
        <v>464</v>
      </c>
      <c r="C1864" s="1" t="s">
        <v>465</v>
      </c>
      <c r="D1864" s="1" t="s">
        <v>284</v>
      </c>
      <c r="E1864" s="1" t="n">
        <v>510</v>
      </c>
      <c r="F1864" s="1" t="n">
        <v>1.86</v>
      </c>
      <c r="G1864" s="1" t="n">
        <v>948.6</v>
      </c>
      <c r="H1864" s="1" t="s">
        <v>761</v>
      </c>
    </row>
    <row r="1865" customFormat="false" ht="14.25" hidden="false" customHeight="true" outlineLevel="0" collapsed="false">
      <c r="A1865" s="1" t="s">
        <v>681</v>
      </c>
      <c r="B1865" s="1" t="s">
        <v>464</v>
      </c>
      <c r="C1865" s="1" t="s">
        <v>511</v>
      </c>
      <c r="D1865" s="1" t="s">
        <v>284</v>
      </c>
      <c r="E1865" s="1" t="n">
        <v>1</v>
      </c>
      <c r="F1865" s="1" t="n">
        <v>542</v>
      </c>
      <c r="G1865" s="1" t="n">
        <v>542</v>
      </c>
      <c r="H1865" s="1" t="s">
        <v>739</v>
      </c>
    </row>
    <row r="1866" customFormat="false" ht="14.25" hidden="false" customHeight="true" outlineLevel="0" collapsed="false">
      <c r="A1866" s="1" t="s">
        <v>681</v>
      </c>
      <c r="B1866" s="1" t="s">
        <v>464</v>
      </c>
      <c r="C1866" s="1" t="s">
        <v>478</v>
      </c>
      <c r="D1866" s="1" t="s">
        <v>284</v>
      </c>
      <c r="E1866" s="1" t="n">
        <v>6</v>
      </c>
      <c r="F1866" s="1" t="n">
        <v>398.377812879708</v>
      </c>
      <c r="G1866" s="1" t="n">
        <v>2390.26687727825</v>
      </c>
      <c r="H1866" s="1" t="s">
        <v>683</v>
      </c>
    </row>
    <row r="1867" customFormat="false" ht="14.25" hidden="false" customHeight="true" outlineLevel="0" collapsed="false">
      <c r="A1867" s="1" t="s">
        <v>681</v>
      </c>
      <c r="B1867" s="1" t="s">
        <v>143</v>
      </c>
      <c r="C1867" s="1" t="s">
        <v>527</v>
      </c>
      <c r="D1867" s="1" t="s">
        <v>284</v>
      </c>
      <c r="E1867" s="1" t="n">
        <v>14689</v>
      </c>
      <c r="F1867" s="1" t="n">
        <v>0.166707077409461</v>
      </c>
      <c r="G1867" s="1" t="n">
        <v>2448.76026006757</v>
      </c>
      <c r="H1867" s="1" t="s">
        <v>451</v>
      </c>
    </row>
    <row r="1868" customFormat="false" ht="14.25" hidden="false" customHeight="true" outlineLevel="0" collapsed="false">
      <c r="A1868" s="1" t="s">
        <v>681</v>
      </c>
      <c r="B1868" s="1" t="s">
        <v>85</v>
      </c>
      <c r="C1868" s="1" t="s">
        <v>615</v>
      </c>
      <c r="D1868" s="1" t="s">
        <v>284</v>
      </c>
      <c r="E1868" s="1" t="n">
        <v>10</v>
      </c>
      <c r="F1868" s="1" t="n">
        <v>125.85</v>
      </c>
      <c r="G1868" s="1" t="n">
        <v>1258.5</v>
      </c>
      <c r="H1868" s="1" t="s">
        <v>692</v>
      </c>
    </row>
    <row r="1869" customFormat="false" ht="14.25" hidden="false" customHeight="true" outlineLevel="0" collapsed="false">
      <c r="A1869" s="1" t="s">
        <v>681</v>
      </c>
      <c r="B1869" s="1" t="s">
        <v>87</v>
      </c>
      <c r="C1869" s="1" t="s">
        <v>642</v>
      </c>
      <c r="D1869" s="1" t="s">
        <v>284</v>
      </c>
      <c r="E1869" s="1" t="n">
        <v>1</v>
      </c>
      <c r="F1869" s="1" t="n">
        <v>10</v>
      </c>
      <c r="G1869" s="1" t="n">
        <v>10</v>
      </c>
      <c r="H1869" s="1" t="s">
        <v>724</v>
      </c>
    </row>
    <row r="1870" customFormat="false" ht="14.25" hidden="false" customHeight="true" outlineLevel="0" collapsed="false">
      <c r="A1870" s="1" t="s">
        <v>681</v>
      </c>
      <c r="B1870" s="1" t="s">
        <v>87</v>
      </c>
      <c r="C1870" s="1" t="s">
        <v>642</v>
      </c>
      <c r="D1870" s="1" t="s">
        <v>284</v>
      </c>
      <c r="E1870" s="1" t="n">
        <v>2</v>
      </c>
      <c r="F1870" s="1" t="n">
        <v>50</v>
      </c>
      <c r="G1870" s="1" t="n">
        <v>100</v>
      </c>
      <c r="H1870" s="1" t="s">
        <v>724</v>
      </c>
    </row>
    <row r="1871" customFormat="false" ht="14.25" hidden="false" customHeight="true" outlineLevel="0" collapsed="false">
      <c r="A1871" s="1" t="s">
        <v>681</v>
      </c>
      <c r="B1871" s="1" t="s">
        <v>464</v>
      </c>
      <c r="C1871" s="1" t="s">
        <v>465</v>
      </c>
      <c r="D1871" s="1" t="s">
        <v>285</v>
      </c>
      <c r="E1871" s="1" t="n">
        <v>154</v>
      </c>
      <c r="F1871" s="1" t="n">
        <v>1.86</v>
      </c>
      <c r="G1871" s="1" t="n">
        <v>286.44</v>
      </c>
      <c r="H1871" s="1" t="s">
        <v>761</v>
      </c>
    </row>
    <row r="1872" customFormat="false" ht="14.25" hidden="false" customHeight="true" outlineLevel="0" collapsed="false">
      <c r="A1872" s="1" t="s">
        <v>681</v>
      </c>
      <c r="B1872" s="1" t="s">
        <v>464</v>
      </c>
      <c r="C1872" s="1" t="s">
        <v>519</v>
      </c>
      <c r="D1872" s="1" t="s">
        <v>285</v>
      </c>
      <c r="E1872" s="1" t="n">
        <v>-8</v>
      </c>
      <c r="F1872" s="1" t="n">
        <v>307.534</v>
      </c>
      <c r="G1872" s="1" t="n">
        <v>-2460.272</v>
      </c>
      <c r="H1872" s="1" t="s">
        <v>683</v>
      </c>
    </row>
    <row r="1873" customFormat="false" ht="14.25" hidden="false" customHeight="true" outlineLevel="0" collapsed="false">
      <c r="A1873" s="1" t="s">
        <v>681</v>
      </c>
      <c r="B1873" s="1" t="s">
        <v>143</v>
      </c>
      <c r="C1873" s="1" t="s">
        <v>527</v>
      </c>
      <c r="D1873" s="1" t="s">
        <v>285</v>
      </c>
      <c r="E1873" s="1" t="n">
        <v>4805</v>
      </c>
      <c r="F1873" s="1" t="n">
        <v>0.166707077409461</v>
      </c>
      <c r="G1873" s="1" t="n">
        <v>801.02750695246</v>
      </c>
      <c r="H1873" s="1" t="s">
        <v>451</v>
      </c>
    </row>
    <row r="1874" customFormat="false" ht="14.25" hidden="false" customHeight="true" outlineLevel="0" collapsed="false">
      <c r="A1874" s="1" t="s">
        <v>681</v>
      </c>
      <c r="B1874" s="1" t="s">
        <v>87</v>
      </c>
      <c r="C1874" s="1" t="s">
        <v>642</v>
      </c>
      <c r="D1874" s="1" t="s">
        <v>285</v>
      </c>
      <c r="E1874" s="1" t="n">
        <v>1</v>
      </c>
      <c r="F1874" s="1" t="n">
        <v>50</v>
      </c>
      <c r="G1874" s="1" t="n">
        <v>50</v>
      </c>
      <c r="H1874" s="1" t="s">
        <v>724</v>
      </c>
    </row>
    <row r="1875" customFormat="false" ht="14.25" hidden="false" customHeight="true" outlineLevel="0" collapsed="false">
      <c r="A1875" s="1" t="s">
        <v>681</v>
      </c>
      <c r="B1875" s="1" t="s">
        <v>78</v>
      </c>
      <c r="C1875" s="1" t="s">
        <v>463</v>
      </c>
      <c r="D1875" s="1" t="s">
        <v>282</v>
      </c>
      <c r="E1875" s="1" t="n">
        <v>4806</v>
      </c>
      <c r="F1875" s="1" t="n">
        <v>0.362143786122251</v>
      </c>
      <c r="G1875" s="1" t="n">
        <v>1740.46303610354</v>
      </c>
      <c r="H1875" s="1" t="s">
        <v>451</v>
      </c>
    </row>
    <row r="1876" customFormat="false" ht="14.25" hidden="false" customHeight="true" outlineLevel="0" collapsed="false">
      <c r="A1876" s="1" t="s">
        <v>681</v>
      </c>
      <c r="B1876" s="1" t="s">
        <v>464</v>
      </c>
      <c r="C1876" s="1" t="s">
        <v>478</v>
      </c>
      <c r="D1876" s="1" t="s">
        <v>282</v>
      </c>
      <c r="E1876" s="1" t="n">
        <v>5</v>
      </c>
      <c r="F1876" s="1" t="n">
        <v>398.377812879708</v>
      </c>
      <c r="G1876" s="1" t="n">
        <v>1991.88906439854</v>
      </c>
      <c r="H1876" s="1" t="s">
        <v>685</v>
      </c>
    </row>
    <row r="1877" customFormat="false" ht="14.25" hidden="false" customHeight="true" outlineLevel="0" collapsed="false">
      <c r="A1877" s="1" t="s">
        <v>681</v>
      </c>
      <c r="B1877" s="1" t="s">
        <v>464</v>
      </c>
      <c r="C1877" s="1" t="s">
        <v>524</v>
      </c>
      <c r="D1877" s="1" t="s">
        <v>282</v>
      </c>
      <c r="E1877" s="1" t="n">
        <v>0</v>
      </c>
      <c r="F1877" s="1" t="n">
        <v>0</v>
      </c>
      <c r="G1877" s="1" t="n">
        <v>0</v>
      </c>
      <c r="H1877" s="1" t="s">
        <v>683</v>
      </c>
    </row>
    <row r="1878" customFormat="false" ht="14.25" hidden="false" customHeight="true" outlineLevel="0" collapsed="false">
      <c r="A1878" s="1" t="s">
        <v>681</v>
      </c>
      <c r="B1878" s="1" t="s">
        <v>143</v>
      </c>
      <c r="C1878" s="1" t="s">
        <v>527</v>
      </c>
      <c r="D1878" s="1" t="s">
        <v>282</v>
      </c>
      <c r="E1878" s="1" t="n">
        <v>4806</v>
      </c>
      <c r="F1878" s="1" t="n">
        <v>0.166707077409461</v>
      </c>
      <c r="G1878" s="1" t="n">
        <v>801.19421402987</v>
      </c>
      <c r="H1878" s="1" t="s">
        <v>451</v>
      </c>
    </row>
    <row r="1879" customFormat="false" ht="14.25" hidden="false" customHeight="true" outlineLevel="0" collapsed="false">
      <c r="A1879" s="1" t="s">
        <v>681</v>
      </c>
      <c r="B1879" s="1" t="s">
        <v>554</v>
      </c>
      <c r="C1879" s="1" t="s">
        <v>589</v>
      </c>
      <c r="D1879" s="1" t="s">
        <v>282</v>
      </c>
      <c r="E1879" s="1" t="n">
        <v>1</v>
      </c>
      <c r="F1879" s="1" t="n">
        <v>510.58</v>
      </c>
      <c r="G1879" s="1" t="n">
        <v>510.58</v>
      </c>
      <c r="H1879" s="1" t="s">
        <v>564</v>
      </c>
    </row>
    <row r="1880" customFormat="false" ht="14.25" hidden="false" customHeight="true" outlineLevel="0" collapsed="false">
      <c r="A1880" s="1" t="s">
        <v>681</v>
      </c>
      <c r="B1880" s="1" t="s">
        <v>554</v>
      </c>
      <c r="C1880" s="1" t="s">
        <v>687</v>
      </c>
      <c r="D1880" s="1" t="s">
        <v>282</v>
      </c>
      <c r="E1880" s="1" t="n">
        <v>1</v>
      </c>
      <c r="F1880" s="1" t="n">
        <v>1848.64</v>
      </c>
      <c r="G1880" s="1" t="n">
        <v>1848.64</v>
      </c>
      <c r="H1880" s="1" t="s">
        <v>587</v>
      </c>
    </row>
    <row r="1881" customFormat="false" ht="14.25" hidden="false" customHeight="true" outlineLevel="0" collapsed="false">
      <c r="A1881" s="1" t="s">
        <v>681</v>
      </c>
      <c r="B1881" s="1" t="s">
        <v>47</v>
      </c>
      <c r="C1881" s="1" t="s">
        <v>608</v>
      </c>
      <c r="D1881" s="1" t="s">
        <v>282</v>
      </c>
      <c r="E1881" s="1" t="n">
        <v>1</v>
      </c>
      <c r="F1881" s="1" t="n">
        <v>309.54</v>
      </c>
      <c r="G1881" s="1" t="n">
        <v>309.54</v>
      </c>
      <c r="H1881" s="1" t="s">
        <v>691</v>
      </c>
    </row>
    <row r="1882" customFormat="false" ht="14.25" hidden="false" customHeight="true" outlineLevel="0" collapsed="false">
      <c r="A1882" s="1" t="s">
        <v>681</v>
      </c>
      <c r="B1882" s="1" t="s">
        <v>87</v>
      </c>
      <c r="C1882" s="1" t="s">
        <v>642</v>
      </c>
      <c r="D1882" s="1" t="s">
        <v>282</v>
      </c>
      <c r="E1882" s="1" t="n">
        <v>1</v>
      </c>
      <c r="F1882" s="1" t="n">
        <v>90</v>
      </c>
      <c r="G1882" s="1" t="n">
        <v>90</v>
      </c>
      <c r="H1882" s="1" t="s">
        <v>724</v>
      </c>
    </row>
    <row r="1883" customFormat="false" ht="14.25" hidden="false" customHeight="true" outlineLevel="0" collapsed="false">
      <c r="A1883" s="1" t="s">
        <v>681</v>
      </c>
      <c r="B1883" s="1" t="s">
        <v>87</v>
      </c>
      <c r="C1883" s="1" t="s">
        <v>642</v>
      </c>
      <c r="D1883" s="1" t="s">
        <v>282</v>
      </c>
      <c r="E1883" s="1" t="n">
        <v>2</v>
      </c>
      <c r="F1883" s="1" t="n">
        <v>10</v>
      </c>
      <c r="G1883" s="1" t="n">
        <v>20</v>
      </c>
      <c r="H1883" s="1" t="s">
        <v>724</v>
      </c>
    </row>
    <row r="1884" customFormat="false" ht="14.25" hidden="false" customHeight="true" outlineLevel="0" collapsed="false">
      <c r="A1884" s="1" t="s">
        <v>681</v>
      </c>
      <c r="B1884" s="1" t="s">
        <v>87</v>
      </c>
      <c r="C1884" s="1" t="s">
        <v>642</v>
      </c>
      <c r="D1884" s="1" t="s">
        <v>282</v>
      </c>
      <c r="E1884" s="1" t="n">
        <v>3</v>
      </c>
      <c r="F1884" s="1" t="n">
        <v>50</v>
      </c>
      <c r="G1884" s="1" t="n">
        <v>150</v>
      </c>
      <c r="H1884" s="1" t="s">
        <v>724</v>
      </c>
    </row>
    <row r="1885" customFormat="false" ht="14.25" hidden="false" customHeight="true" outlineLevel="0" collapsed="false">
      <c r="A1885" s="1" t="s">
        <v>681</v>
      </c>
      <c r="B1885" s="1" t="s">
        <v>464</v>
      </c>
      <c r="C1885" s="1" t="s">
        <v>744</v>
      </c>
      <c r="D1885" s="1" t="s">
        <v>287</v>
      </c>
      <c r="E1885" s="1" t="n">
        <v>1</v>
      </c>
      <c r="F1885" s="1" t="n">
        <v>1366.75</v>
      </c>
      <c r="G1885" s="1" t="n">
        <v>1366.75</v>
      </c>
      <c r="H1885" s="1" t="s">
        <v>763</v>
      </c>
    </row>
    <row r="1886" customFormat="false" ht="14.25" hidden="false" customHeight="true" outlineLevel="0" collapsed="false">
      <c r="A1886" s="1" t="s">
        <v>681</v>
      </c>
      <c r="B1886" s="1" t="s">
        <v>464</v>
      </c>
      <c r="C1886" s="1" t="s">
        <v>744</v>
      </c>
      <c r="D1886" s="1" t="s">
        <v>289</v>
      </c>
      <c r="E1886" s="1" t="n">
        <v>1</v>
      </c>
      <c r="F1886" s="1" t="n">
        <v>1366.75</v>
      </c>
      <c r="G1886" s="1" t="n">
        <v>1366.75</v>
      </c>
      <c r="H1886" s="1" t="s">
        <v>763</v>
      </c>
    </row>
    <row r="1887" customFormat="false" ht="14.25" hidden="false" customHeight="true" outlineLevel="0" collapsed="false">
      <c r="A1887" s="1" t="s">
        <v>681</v>
      </c>
      <c r="B1887" s="1" t="s">
        <v>464</v>
      </c>
      <c r="C1887" s="1" t="s">
        <v>744</v>
      </c>
      <c r="D1887" s="1" t="s">
        <v>293</v>
      </c>
      <c r="E1887" s="1" t="n">
        <v>1</v>
      </c>
      <c r="F1887" s="1" t="n">
        <v>1366.75</v>
      </c>
      <c r="G1887" s="1" t="n">
        <v>1366.75</v>
      </c>
      <c r="H1887" s="1" t="s">
        <v>763</v>
      </c>
    </row>
    <row r="1888" customFormat="false" ht="14.25" hidden="false" customHeight="true" outlineLevel="0" collapsed="false">
      <c r="A1888" s="1" t="s">
        <v>681</v>
      </c>
      <c r="B1888" s="1" t="s">
        <v>464</v>
      </c>
      <c r="C1888" s="1" t="s">
        <v>744</v>
      </c>
      <c r="D1888" s="1" t="s">
        <v>290</v>
      </c>
      <c r="E1888" s="1" t="n">
        <v>1</v>
      </c>
      <c r="F1888" s="1" t="n">
        <v>1366.75</v>
      </c>
      <c r="G1888" s="1" t="n">
        <v>1366.75</v>
      </c>
      <c r="H1888" s="1" t="s">
        <v>763</v>
      </c>
    </row>
    <row r="1889" customFormat="false" ht="14.25" hidden="false" customHeight="true" outlineLevel="0" collapsed="false">
      <c r="A1889" s="1" t="s">
        <v>681</v>
      </c>
      <c r="B1889" s="1" t="s">
        <v>464</v>
      </c>
      <c r="C1889" s="1" t="s">
        <v>744</v>
      </c>
      <c r="D1889" s="1" t="s">
        <v>284</v>
      </c>
      <c r="E1889" s="1" t="n">
        <v>1</v>
      </c>
      <c r="F1889" s="1" t="n">
        <v>1366.75</v>
      </c>
      <c r="G1889" s="1" t="n">
        <v>1366.75</v>
      </c>
      <c r="H1889" s="1" t="s">
        <v>763</v>
      </c>
    </row>
    <row r="1890" customFormat="false" ht="14.25" hidden="false" customHeight="true" outlineLevel="0" collapsed="false">
      <c r="A1890" s="1" t="s">
        <v>681</v>
      </c>
      <c r="B1890" s="1" t="s">
        <v>464</v>
      </c>
      <c r="C1890" s="1" t="s">
        <v>744</v>
      </c>
      <c r="D1890" s="1" t="s">
        <v>285</v>
      </c>
      <c r="E1890" s="1" t="n">
        <v>1</v>
      </c>
      <c r="F1890" s="1" t="n">
        <v>1366.75</v>
      </c>
      <c r="G1890" s="1" t="n">
        <v>1366.75</v>
      </c>
      <c r="H1890" s="1" t="s">
        <v>763</v>
      </c>
    </row>
    <row r="1891" customFormat="false" ht="14.25" hidden="false" customHeight="true" outlineLevel="0" collapsed="false">
      <c r="A1891" s="1" t="s">
        <v>681</v>
      </c>
      <c r="B1891" s="1" t="s">
        <v>464</v>
      </c>
      <c r="C1891" s="1" t="s">
        <v>744</v>
      </c>
      <c r="D1891" s="1" t="s">
        <v>282</v>
      </c>
      <c r="E1891" s="1" t="n">
        <v>1</v>
      </c>
      <c r="F1891" s="1" t="n">
        <v>1366.75</v>
      </c>
      <c r="G1891" s="1" t="n">
        <v>1366.75</v>
      </c>
      <c r="H1891" s="1" t="s">
        <v>763</v>
      </c>
    </row>
  </sheetData>
  <autoFilter ref="A4:H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2026-09-21T17:42:43Z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