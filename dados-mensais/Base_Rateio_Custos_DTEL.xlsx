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<sst xmlns="http://schemas.openxmlformats.org/spreadsheetml/2006/main" count="18948" uniqueCount="668">
  <si>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</si>
  <si>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</si>
  <si>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</si>
  <si>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</si>
  <si>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</si>
  <si>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</si>
  <si>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</si>
  <si>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</si>
  <si>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</si>
  <si>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</si>
  <si>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</si>
  <si>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</si>
  <si>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</si>
  <si>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</si>
  <si>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</si>
  <si>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</si>
  <si>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</si>
  <si>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</si>
  <si>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</si>
  <si>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</si>
  <si>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</si>
  <si>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</si>
  <si>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</si>
  <si>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</si>
  <si>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</si>
  <si>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</si>
  <si>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</si>
  <si>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</si>
  <si>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</si>
  <si>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</si>
  <si>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</si>
  <si>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</si>
  <si>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</si>
  <si>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</si>
  <si>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</si>
  <si>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</si>
  <si>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</si>
  <si>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</si>
  <si>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</si>
  <si>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</si>
  <si>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</si>
  <si>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</si>
  <si>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</si>
  <si>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</si>
  <si>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</si>
  <si>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</si>
  <si>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</si>
  <si>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</si>
  <si>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</si>
  <si>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</si>
  <si>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</si>
  <si>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</si>
  <si>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</si>
  <si>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</si>
  <si>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</si>
  <si>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</si>
  <si>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</si>
  <si>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</si>
  <si>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</si>
  <si>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</si>
  <si>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</si>
  <si>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</si>
  <si>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</si>
  <si>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</si>
  <si>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</si>
  <si>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</si>
  <si>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</si>
  <si>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</si>
  <si>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</si>
  <si>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</si>
  <si>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</si>
  <si>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</si>
  <si>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</si>
  <si>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</si>
  <si>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</si>
  <si>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</si>
  <si>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</si>
  <si>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</si>
  <si>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</si>
  <si>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</si>
  <si>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</si>
  <si>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</si>
  <si>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</si>
  <si>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</si>
  <si>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</si>
  <si>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</si>
  <si>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</si>
  <si>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</si>
  <si>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</si>
  <si>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</si>
  <si>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</si>
  <si>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</si>
  <si>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</si>
  <si>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</si>
  <si>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</si>
  <si>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</si>
  <si>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</si>
  <si>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</si>
  <si>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</si>
  <si>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</si>
  <si>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</si>
  <si>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</si>
  <si>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</si>
  <si>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</si>
  <si>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</si>
  <si>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</si>
  <si>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</si>
  <si>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</si>
  <si>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</si>
  <si>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</si>
  <si>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</si>
  <si>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</si>
  <si>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</si>
  <si>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</si>
  <si>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</si>
  <si>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</si>
  <si>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</si>
  <si>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</si>
  <si>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</si>
  <si>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</si>
  <si>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</si>
  <si>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</si>
  <si>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</si>
  <si>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</si>
  <si>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</si>
  <si>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</si>
  <si>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</si>
  <si>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</si>
  <si>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</si>
  <si>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</si>
  <si>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</si>
  <si>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</si>
  <si>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</si>
  <si>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</si>
  <si>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</si>
  <si>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</si>
  <si>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</si>
  <si>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</si>
  <si>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</si>
  <si>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</si>
  <si>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</si>
  <si>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</si>
  <si>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</si>
  <si>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</si>
  <si>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</si>
  <si>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</si>
  <si>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</si>
  <si>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</si>
  <si>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</si>
  <si>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</si>
  <si>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</si>
  <si>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</si>
  <si>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</si>
  <si>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</si>
  <si>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</si>
  <si>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</si>
  <si>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</si>
  <si>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</si>
  <si>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</si>
  <si>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</si>
  <si>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</si>
  <si>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</si>
  <si>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</si>
  <si>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</si>
  <si>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</si>
  <si>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</si>
  <si>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</si>
  <si>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</si>
  <si>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</si>
  <si>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</si>
  <si>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</si>
  <si>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</si>
  <si>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</si>
  <si>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</si>
  <si>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</si>
  <si>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</si>
  <si>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</si>
  <si>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</si>
  <si>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</si>
  <si>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</si>
  <si>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</si>
  <si>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</si>
  <si>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</si>
  <si>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</si>
  <si>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</si>
  <si>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</si>
  <si>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</si>
  <si>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</si>
  <si>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</si>
  <si>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</si>
  <si>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</si>
  <si>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</si>
  <si>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</si>
  <si>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</si>
  <si>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</si>
  <si>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</si>
  <si>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</si>
  <si>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</si>
  <si>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</si>
  <si>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</si>
  <si>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</si>
  <si>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</si>
  <si>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</si>
  <si>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</si>
  <si>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</si>
  <si>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</si>
  <si>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</si>
  <si>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</si>
  <si>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</si>
  <si>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</si>
  <si>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</si>
  <si>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</si>
  <si>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</si>
  <si>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</si>
  <si>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</si>
  <si>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</si>
  <si>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</si>
  <si>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</si>
  <si>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</si>
  <si>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</si>
  <si>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</si>
  <si>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</si>
  <si>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</si>
  <si>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</si>
  <si>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</si>
  <si>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</si>
  <si>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</si>
  <si>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</si>
  <si>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</si>
  <si>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</si>
  <si>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</si>
  <si>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</si>
  <si>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</si>
  <si>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</si>
  <si>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</si>
  <si>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Software Power BI Dynamics (f001796)</t>
  </si>
  <si>
    <t xml:space="preserve">Software de geolocalização (Engenharia)</t>
  </si>
  <si>
    <t xml:space="preserve">Software de sistema eletronico de alarme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</si>
  <si>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</si>
  <si>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</si>
  <si>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</si>
  <si>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</si>
  <si>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</si>
  <si>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</si>
  <si>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</si>
  <si>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</si>
  <si>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</si>
  <si>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</si>
  <si>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Custo de gestão administrativa (rateado — Demetrius Ribeiro de Aquino)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</si>
  <si>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</si>
  <si>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</si>
  <si>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</si>
  <si>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</si>
  <si>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</si>
  <si>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</si>
  <si>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</si>
  <si>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</si>
  <si>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</si>
  <si>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</si>
  <si>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</si>
  <si>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</si>
  <si>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</si>
  <si>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</si>
  <si>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</si>
  <si>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</si>
  <si>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</si>
  <si>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</si>
  <si>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</si>
  <si>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</si>
  <si>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</si>
  <si>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</si>
  <si>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</si>
  <si>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</si>
  <si>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</si>
  <si>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</si>
  <si>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</si>
  <si>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</si>
  <si>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</si>
  <si>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</si>
  <si>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</si>
  <si>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</si>
  <si>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</si>
  <si>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</si>
  <si>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</si>
  <si>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</si>
  <si>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</si>
  <si>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</si>
  <si>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</si>
  <si>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</si>
  <si>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</si>
  <si>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</si>
  <si>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</si>
  <si>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</si>
  <si>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</si>
  <si>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</si>
  <si>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</si>
  <si>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</si>
  <si>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</si>
  <si>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</si>
  <si>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</si>
  <si>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</si>
  <si>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</si>
  <si>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</si>
  <si>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</si>
  <si>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</si>
  <si>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</si>
  <si>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</si>
  <si>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</si>
  <si>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</si>
  <si>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</si>
  <si>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</si>
  <si>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</si>
  <si>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</si>
  <si>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</si>
  <si>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</si>
  <si>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</si>
  <si>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</si>
  <si>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</si>
  <si>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</si>
  <si>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</si>
  <si>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</si>
  <si>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</si>
  <si>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</si>
  <si>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</si>
  <si>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</si>
  <si>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</si>
  <si>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</si>
  <si>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</si>
  <si>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</si>
  <si>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</si>
  <si>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</si>
  <si>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</si>
  <si>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</si>
  <si>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</si>
  <si>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</si>
  <si>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</si>
  <si>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</si>
  <si>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</si>
  <si>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</si>
  <si>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</si>
  <si>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</si>
  <si>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</si>
  <si>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</si>
  <si>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</si>
  <si>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</si>
  <si>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</si>
  <si>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</si>
  <si>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</si>
  <si>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</si>
  <si>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</si>
  <si>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</si>
  <si>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</si>
  <si>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</si>
  <si>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</si>
  <si>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</si>
  <si>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</si>
  <si>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</si>
  <si>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</si>
  <si>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</si>
  <si>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</si>
  <si>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</si>
  <si>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</si>
  <si>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</si>
  <si>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</si>
  <si>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</si>
  <si>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</si>
  <si>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</si>
  <si>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</si>
  <si>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</si>
  <si>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</si>
  <si>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</si>
  <si>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</si>
  <si>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</si>
  <si>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</si>
  <si>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</si>
  <si>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</si>
  <si>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</si>
  <si>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</si>
  <si>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</si>
  <si>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</si>
  <si>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</si>
  <si>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</si>
  <si>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</si>
  <si>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</si>
  <si>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</si>
  <si>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</si>
  <si>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</si>
  <si>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</si>
  <si>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</si>
  <si>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</si>
  <si>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</si>
  <si>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</si>
  <si>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</si>
  <si>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</si>
  <si>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</si>
  <si>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</si>
  <si>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</si>
  <si>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</si>
  <si>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</si>
  <si>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</si>
  <si>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</si>
  <si>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</si>
  <si>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</si>
  <si>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</si>
  <si>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</si>
  <si>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</si>
  <si>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</si>
  <si>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</si>
  <si>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</si>
  <si>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</si>
  <si>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</si>
  <si>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</si>
  <si>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</si>
  <si>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</si>
  <si>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</si>
  <si>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</si>
  <si>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</si>
  <si>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</si>
  <si>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</si>
  <si>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</si>
  <si>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</si>
  <si>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</si>
  <si>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</si>
  <si>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</si>
  <si>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</si>
  <si>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</si>
  <si>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</si>
  <si>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</si>
  <si>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</si>
  <si>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</si>
  <si>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</si>
  <si>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</si>
  <si>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</si>
  <si>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</si>
  <si>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</si>
  <si>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</si>
  <si>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</si>
  <si>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</si>
  <si>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</si>
  <si>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</si>
  <si>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</si>
  <si>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</si>
  <si>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</si>
  <si>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</si>
  <si>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</si>
  <si>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</si>
  <si>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</si>
  <si>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</si>
  <si>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</si>
  <si>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</si>
  <si>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</si>
  <si>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</si>
  <si>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</si>
  <si>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</si>
  <si>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</si>
  <si>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</si>
  <si>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</si>
  <si>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</si>
  <si>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</si>
  <si>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</si>
  <si>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</si>
  <si>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</si>
  <si>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</si>
  <si>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</si>
  <si>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</si>
  <si>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</si>
  <si>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</si>
  <si>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</si>
  <si>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</si>
  <si>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</si>
  <si>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</si>
  <si>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</si>
  <si>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</si>
  <si>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</si>
  <si>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</si>
  <si>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</si>
  <si>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</si>
  <si>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</si>
  <si>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</si>
  <si>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</si>
  <si>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</si>
  <si>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</si>
  <si>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</si>
  <si>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</si>
  <si>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</si>
  <si>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</si>
  <si>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</si>
  <si>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Configuração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</si>
  <si>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</si>
  <si>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</si>
  <si>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</si>
  <si>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</si>
  <si>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</si>
  <si>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</si>
  <si>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</si>
  <si>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</si>
  <si>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</si>
  <si>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</si>
  <si>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</si>
  <si>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</si>
  <si>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</si>
  <si>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</si>
  <si>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</si>
  <si>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</si>
  <si>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</si>
  <si>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</si>
  <si>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</si>
  <si>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</si>
  <si>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</si>
  <si>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</si>
  <si>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</si>
  <si>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</si>
  <si>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</si>
  <si>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</si>
  <si>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</si>
  <si>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</si>
  <si>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</si>
  <si>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</si>
  <si>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</si>
  <si>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</si>
  <si>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</si>
  <si>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</si>
  <si>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</si>
  <si>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</si>
  <si>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</si>
  <si>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</si>
  <si>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</si>
  <si>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</si>
  <si>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</si>
  <si>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</si>
  <si>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</si>
  <si>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</si>
  <si>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</si>
  <si>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</si>
  <si>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</si>
  <si>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</si>
  <si>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</si>
  <si>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</si>
  <si>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</si>
  <si>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</si>
  <si>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</si>
  <si>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</si>
  <si>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</si>
  <si>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</si>
  <si>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</si>
  <si>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</si>
  <si>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</si>
  <si>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</si>
  <si>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</si>
  <si>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</si>
  <si>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</si>
  <si>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</si>
  <si>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</si>
  <si>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</si>
  <si>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</si>
  <si>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</si>
  <si>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</si>
  <si>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</si>
  <si>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</si>
  <si>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</si>
  <si>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</si>
  <si>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</si>
  <si>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</si>
  <si>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</si>
  <si>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</si>
  <si>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</si>
  <si>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</si>
  <si>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</si>
  <si>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</si>
  <si>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</si>
  <si>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</si>
  <si>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</si>
  <si>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</si>
  <si>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</si>
  <si>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</si>
  <si>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</si>
  <si>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</si>
  <si>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</si>
  <si>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</si>
  <si>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</si>
  <si>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</si>
  <si>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</si>
  <si>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</si>
  <si>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</si>
  <si>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</si>
  <si>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</si>
  <si>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</si>
  <si>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</si>
  <si>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</si>
  <si>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</si>
  <si>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</si>
  <si>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</si>
  <si>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</si>
  <si>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</si>
  <si>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</si>
  <si>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</si>
  <si>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</si>
  <si>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</si>
  <si>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</si>
  <si>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</si>
  <si>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</si>
  <si>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</si>
  <si>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</si>
  <si>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</si>
  <si>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</si>
  <si>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</si>
  <si>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</si>
  <si>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</si>
  <si>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</si>
  <si>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</si>
  <si>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</si>
  <si>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</si>
  <si>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</si>
  <si>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</si>
  <si>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</si>
  <si>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</si>
  <si>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</si>
  <si>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</si>
  <si>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</si>
  <si>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</si>
  <si>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</si>
  <si>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</si>
  <si>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</si>
  <si>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</si>
  <si>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</si>
  <si>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</si>
  <si>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</si>
  <si>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</si>
  <si>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</si>
  <si>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</si>
  <si>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</si>
  <si>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</si>
  <si>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</si>
  <si>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</si>
  <si>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</si>
  <si>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</si>
  <si>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</si>
  <si>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</si>
  <si>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</si>
  <si>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</si>
  <si>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</si>
  <si>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</si>
  <si>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</si>
  <si>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</si>
  <si>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</si>
  <si>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</si>
  <si>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</si>
  <si>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</si>
  <si>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</si>
  <si>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</si>
  <si>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</si>
  <si>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</si>
  <si>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</si>
  <si>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</si>
  <si>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</si>
  <si>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</si>
  <si>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</si>
  <si>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</si>
  <si>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</si>
  <si>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</si>
  <si>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</si>
  <si>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</si>
  <si>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</si>
  <si>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Cálculo por número de funcionários ativos (sem quantidade exata para H&amp;A)</t>
  </si>
  <si>
    <t xml:space="preserve">Custo do departamento de DP</t>
  </si>
  <si>
    <t xml:space="preserve">Custo do departamento de Segurança do trabalho</t>
  </si>
  <si>
    <t xml:space="preserve">Setor de TIC</t>
  </si>
  <si>
    <t xml:space="preserve">Setor de Marketing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</si>
</sst>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1751" headerRowCount="1" totalsRowCount="0" totalsRowShown="0">
  <autoFilter ref="A4:H1751"/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28934.974356</v>
      </c>
      <c r="F47" s="21" t="n">
        <f aca="false">IFERROR(D47*E47,0)</f>
        <v>937.835203149666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937.835203149666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28934.974356</v>
      </c>
      <c r="F48" s="22" t="n">
        <f aca="false">IFERROR(D48*E48,0)</f>
        <v>882.668426493804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882.668426493804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28934.974356</v>
      </c>
      <c r="F49" s="21" t="n">
        <f aca="false">IFERROR(D49*E49,0)</f>
        <v>1158.50230977312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1158.50230977312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28934.974356</v>
      </c>
      <c r="F50" s="22" t="n">
        <f aca="false">IFERROR(D50*E50,0)</f>
        <v>303.417271607245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303.417271607245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28934.974356</v>
      </c>
      <c r="F51" s="21" t="n">
        <f aca="false">IFERROR(D51*E51,0)</f>
        <v>1158.50230977312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1158.50230977312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28934.974356</v>
      </c>
      <c r="F52" s="22" t="n">
        <f aca="false">IFERROR(D52*E52,0)</f>
        <v>496.500989902765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496.500989902765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28934.974356</v>
      </c>
      <c r="F53" s="21" t="n">
        <f aca="false">IFERROR(D53*E53,0)</f>
        <v>468.917601574833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468.917601574833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28934.974356</v>
      </c>
      <c r="F54" s="22" t="n">
        <f aca="false">IFERROR(D54*E54,0)</f>
        <v>23528.6302437255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23528.6302437255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43015.6955</v>
      </c>
      <c r="F55" s="21" t="n">
        <f aca="false">IFERROR(D55*E55,0)</f>
        <v>1394.21701334604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1394.21701334604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43015.6955</v>
      </c>
      <c r="F56" s="22" t="n">
        <f aca="false">IFERROR(D56*E56,0)</f>
        <v>1312.2042478551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1312.2042478551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43015.6955</v>
      </c>
      <c r="F57" s="21" t="n">
        <f aca="false">IFERROR(D57*E57,0)</f>
        <v>1722.26807530982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1722.26807530982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43015.6955</v>
      </c>
      <c r="F58" s="22" t="n">
        <f aca="false">IFERROR(D58*E58,0)</f>
        <v>451.070210200191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451.070210200191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43015.6955</v>
      </c>
      <c r="F59" s="21" t="n">
        <f aca="false">IFERROR(D59*E59,0)</f>
        <v>1722.26807530982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1722.26807530982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43015.6955</v>
      </c>
      <c r="F60" s="22" t="n">
        <f aca="false">IFERROR(D60*E60,0)</f>
        <v>738.114889418494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738.114889418494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43015.6955</v>
      </c>
      <c r="F61" s="21" t="n">
        <f aca="false">IFERROR(D61*E61,0)</f>
        <v>697.108506673022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697.108506673022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43015.6955</v>
      </c>
      <c r="F62" s="22" t="n">
        <f aca="false">IFERROR(D62*E62,0)</f>
        <v>34978.4444818875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34978.4444818875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68980.8555</v>
      </c>
      <c r="F79" s="21" t="n">
        <f aca="false">IFERROR(D79*E79,0)</f>
        <v>2281.7428067598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2281.7428067598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68980.8555</v>
      </c>
      <c r="F80" s="22" t="n">
        <f aca="false">IFERROR(D80*E80,0)</f>
        <v>4750.41504749465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4750.41504749465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68980.8555</v>
      </c>
      <c r="F81" s="21" t="n">
        <f aca="false">IFERROR(D81*E81,0)</f>
        <v>5112.5908258213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5112.5908258213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68980.8555</v>
      </c>
      <c r="F82" s="22" t="n">
        <f aca="false">IFERROR(D82*E82,0)</f>
        <v>1311.33830197646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1311.33830197646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68980.8555</v>
      </c>
      <c r="F83" s="21" t="n">
        <f aca="false">IFERROR(D83*E83,0)</f>
        <v>2277.84844355199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2277.84844355199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68980.8555</v>
      </c>
      <c r="F84" s="22" t="n">
        <f aca="false">IFERROR(D84*E84,0)</f>
        <v>1681.30280671874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1681.30280671874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68980.8555</v>
      </c>
      <c r="F85" s="21" t="n">
        <f aca="false">IFERROR(D85*E85,0)</f>
        <v>1697.58832558778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1697.58832558778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68980.8555</v>
      </c>
      <c r="F86" s="22" t="n">
        <f aca="false">IFERROR(D86*E86,0)</f>
        <v>49868.0289420893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49868.0289420893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35170.294356</v>
      </c>
      <c r="F111" s="21" t="n">
        <f aca="false">IFERROR(D111*E111,0)</f>
        <v>1163.35997251336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1163.35997251336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35170.294356</v>
      </c>
      <c r="F112" s="22" t="n">
        <f aca="false">IFERROR(D112*E112,0)</f>
        <v>2422.02701492385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2422.02701492385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35170.294356</v>
      </c>
      <c r="F113" s="21" t="n">
        <f aca="false">IFERROR(D113*E113,0)</f>
        <v>2606.68446284956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2606.68446284956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35170.294356</v>
      </c>
      <c r="F114" s="22" t="n">
        <f aca="false">IFERROR(D114*E114,0)</f>
        <v>668.593535793557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668.593535793557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35170.294356</v>
      </c>
      <c r="F115" s="21" t="n">
        <f aca="false">IFERROR(D115*E115,0)</f>
        <v>1161.37440855717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1161.37440855717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35170.294356</v>
      </c>
      <c r="F116" s="22" t="n">
        <f aca="false">IFERROR(D116*E116,0)</f>
        <v>857.222111631642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857.222111631642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35170.294356</v>
      </c>
      <c r="F117" s="21" t="n">
        <f aca="false">IFERROR(D117*E117,0)</f>
        <v>865.525379084802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865.525379084802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35170.294356</v>
      </c>
      <c r="F118" s="22" t="n">
        <f aca="false">IFERROR(D118*E118,0)</f>
        <v>25425.5074706461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25425.5074706461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51534.8806</v>
      </c>
      <c r="F143" s="21" t="n">
        <f aca="false">IFERROR(D143*E143,0)</f>
        <v>1670.33931401335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1670.33931401335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51534.8806</v>
      </c>
      <c r="F144" s="22" t="n">
        <f aca="false">IFERROR(D144*E144,0)</f>
        <v>1572.08406024786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1572.08406024786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51534.8806</v>
      </c>
      <c r="F145" s="21" t="n">
        <f aca="false">IFERROR(D145*E145,0)</f>
        <v>2063.36032907531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2063.36032907531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51534.8806</v>
      </c>
      <c r="F146" s="22" t="n">
        <f aca="false">IFERROR(D146*E146,0)</f>
        <v>540.4038957102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540.4038957102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51534.8806</v>
      </c>
      <c r="F147" s="21" t="n">
        <f aca="false">IFERROR(D147*E147,0)</f>
        <v>2063.36032907531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2063.36032907531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51534.8806</v>
      </c>
      <c r="F148" s="22" t="n">
        <f aca="false">IFERROR(D148*E148,0)</f>
        <v>884.297283889419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884.297283889419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51534.8806</v>
      </c>
      <c r="F149" s="21" t="n">
        <f aca="false">IFERROR(D149*E149,0)</f>
        <v>835.169657006673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835.169657006673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51534.8806</v>
      </c>
      <c r="F150" s="22" t="n">
        <f aca="false">IFERROR(D150*E150,0)</f>
        <v>41905.8657309819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41905.8657309819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63862.1907</v>
      </c>
      <c r="F151" s="21" t="n">
        <f aca="false">IFERROR(D151*E151,0)</f>
        <v>2112.42805264495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2112.42805264495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63862.1907</v>
      </c>
      <c r="F152" s="22" t="n">
        <f aca="false">IFERROR(D152*E152,0)</f>
        <v>4397.91460207757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4397.91460207757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63862.1907</v>
      </c>
      <c r="F153" s="21" t="n">
        <f aca="false">IFERROR(D153*E153,0)</f>
        <v>4733.21543960368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4733.21543960368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63862.1907</v>
      </c>
      <c r="F154" s="22" t="n">
        <f aca="false">IFERROR(D154*E154,0)</f>
        <v>1214.03157594987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1214.03157594987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63862.1907</v>
      </c>
      <c r="F155" s="21" t="n">
        <f aca="false">IFERROR(D155*E155,0)</f>
        <v>2108.82266729521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2108.82266729521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63862.1907</v>
      </c>
      <c r="F156" s="22" t="n">
        <f aca="false">IFERROR(D156*E156,0)</f>
        <v>1556.54318417546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1556.54318417546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63862.1907</v>
      </c>
      <c r="F157" s="21" t="n">
        <f aca="false">IFERROR(D157*E157,0)</f>
        <v>1571.62025018348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1571.62025018348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63862.1907</v>
      </c>
      <c r="F158" s="22" t="n">
        <f aca="false">IFERROR(D158*E158,0)</f>
        <v>46167.6149280698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46167.6149280698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130394.256757</v>
      </c>
      <c r="F175" s="21" t="n">
        <f aca="false">IFERROR(D175*E175,0)</f>
        <v>4313.1700127737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4313.1700127737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130394.256757</v>
      </c>
      <c r="F176" s="22" t="n">
        <f aca="false">IFERROR(D176*E176,0)</f>
        <v>8979.69204521295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8979.69204521295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130394.256757</v>
      </c>
      <c r="F177" s="21" t="n">
        <f aca="false">IFERROR(D177*E177,0)</f>
        <v>9664.31158331496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9664.31158331496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130394.256757</v>
      </c>
      <c r="F178" s="22" t="n">
        <f aca="false">IFERROR(D178*E178,0)</f>
        <v>2478.81795613868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2478.81795613868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130394.256757</v>
      </c>
      <c r="F179" s="21" t="n">
        <f aca="false">IFERROR(D179*E179,0)</f>
        <v>4305.808512364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4305.808512364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130394.256757</v>
      </c>
      <c r="F180" s="22" t="n">
        <f aca="false">IFERROR(D180*E180,0)</f>
        <v>3178.16049506009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3178.16049506009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130394.256757</v>
      </c>
      <c r="F181" s="21" t="n">
        <f aca="false">IFERROR(D181*E181,0)</f>
        <v>3208.94495131883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3208.94495131883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130394.256757</v>
      </c>
      <c r="F182" s="22" t="n">
        <f aca="false">IFERROR(D182*E182,0)</f>
        <v>94265.3512008168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94265.3512008168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33247.455043</v>
      </c>
      <c r="F183" s="21" t="n">
        <f aca="false">IFERROR(D183*E183,0)</f>
        <v>1099.75645905747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1099.75645905747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33247.455043</v>
      </c>
      <c r="F184" s="22" t="n">
        <f aca="false">IFERROR(D184*E184,0)</f>
        <v>2289.60933555208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2289.60933555208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33247.455043</v>
      </c>
      <c r="F185" s="21" t="n">
        <f aca="false">IFERROR(D185*E185,0)</f>
        <v>2464.17114433653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2464.17114433653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33247.455043</v>
      </c>
      <c r="F186" s="22" t="n">
        <f aca="false">IFERROR(D186*E186,0)</f>
        <v>632.040019293852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632.040019293852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33247.455043</v>
      </c>
      <c r="F187" s="21" t="n">
        <f aca="false">IFERROR(D187*E187,0)</f>
        <v>1097.87945036087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1097.87945036087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33247.455043</v>
      </c>
      <c r="F188" s="22" t="n">
        <f aca="false">IFERROR(D188*E188,0)</f>
        <v>810.355845471518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810.355845471518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33247.455043</v>
      </c>
      <c r="F189" s="21" t="n">
        <f aca="false">IFERROR(D189*E189,0)</f>
        <v>818.20515456642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818.20515456642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33247.455043</v>
      </c>
      <c r="F190" s="22" t="n">
        <f aca="false">IFERROR(D190*E190,0)</f>
        <v>24035.4376343613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24035.4376343613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22716.787644</v>
      </c>
      <c r="F247" s="21" t="n">
        <f aca="false">IFERROR(D247*E247,0)</f>
        <v>755.068915042735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755.068915042735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22716.787644</v>
      </c>
      <c r="F248" s="22" t="n">
        <f aca="false">IFERROR(D248*E248,0)</f>
        <v>755.068915042735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755.068915042735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22716.787644</v>
      </c>
      <c r="F249" s="21" t="n">
        <f aca="false">IFERROR(D249*E249,0)</f>
        <v>906.082698051282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906.082698051282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22716.787644</v>
      </c>
      <c r="F250" s="22" t="n">
        <f aca="false">IFERROR(D250*E250,0)</f>
        <v>237.307373299145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237.307373299145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22716.787644</v>
      </c>
      <c r="F251" s="21" t="n">
        <f aca="false">IFERROR(D251*E251,0)</f>
        <v>906.082698051282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906.082698051282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22716.787644</v>
      </c>
      <c r="F252" s="22" t="n">
        <f aca="false">IFERROR(D252*E252,0)</f>
        <v>388.321156307692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388.321156307692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22716.787644</v>
      </c>
      <c r="F253" s="21" t="n">
        <f aca="false">IFERROR(D253*E253,0)</f>
        <v>431.467951452991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431.467951452991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22716.787644</v>
      </c>
      <c r="F254" s="22" t="n">
        <f aca="false">IFERROR(D254*E254,0)</f>
        <v>18337.3879367521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18337.3879367521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38489.1359</v>
      </c>
      <c r="F255" s="21" t="n">
        <f aca="false">IFERROR(D255*E255,0)</f>
        <v>1279.31600807217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1279.31600807217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38489.1359</v>
      </c>
      <c r="F256" s="22" t="n">
        <f aca="false">IFERROR(D256*E256,0)</f>
        <v>1279.31600807217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1279.31600807217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38489.1359</v>
      </c>
      <c r="F257" s="21" t="n">
        <f aca="false">IFERROR(D257*E257,0)</f>
        <v>1535.17920968661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1535.17920968661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38489.1359</v>
      </c>
      <c r="F258" s="22" t="n">
        <f aca="false">IFERROR(D258*E258,0)</f>
        <v>402.070745394112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402.070745394112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38489.1359</v>
      </c>
      <c r="F259" s="21" t="n">
        <f aca="false">IFERROR(D259*E259,0)</f>
        <v>1535.17920968661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1535.17920968661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38489.1359</v>
      </c>
      <c r="F260" s="22" t="n">
        <f aca="false">IFERROR(D260*E260,0)</f>
        <v>657.933947008547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657.933947008547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38489.1359</v>
      </c>
      <c r="F261" s="21" t="n">
        <f aca="false">IFERROR(D261*E261,0)</f>
        <v>731.037718898386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731.037718898386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38489.1359</v>
      </c>
      <c r="F262" s="22" t="n">
        <f aca="false">IFERROR(D262*E262,0)</f>
        <v>31069.1030531814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31069.1030531814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69852.6056</v>
      </c>
      <c r="F279" s="21" t="n">
        <f aca="false">IFERROR(D279*E279,0)</f>
        <v>2292.79904649109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2292.79904649109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69852.6056</v>
      </c>
      <c r="F280" s="22" t="n">
        <f aca="false">IFERROR(D280*E280,0)</f>
        <v>4893.00841099897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4893.00841099897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69852.6056</v>
      </c>
      <c r="F281" s="21" t="n">
        <f aca="false">IFERROR(D281*E281,0)</f>
        <v>5232.18202790824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5232.18202790824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69852.6056</v>
      </c>
      <c r="F282" s="22" t="n">
        <f aca="false">IFERROR(D282*E282,0)</f>
        <v>1332.59817192555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1332.59817192555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69852.6056</v>
      </c>
      <c r="F283" s="21" t="n">
        <f aca="false">IFERROR(D283*E283,0)</f>
        <v>2335.15011168105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2335.15011168105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69852.6056</v>
      </c>
      <c r="F284" s="22" t="n">
        <f aca="false">IFERROR(D284*E284,0)</f>
        <v>1726.90119265969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1726.90119265969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69852.6056</v>
      </c>
      <c r="F285" s="21" t="n">
        <f aca="false">IFERROR(D285*E285,0)</f>
        <v>1745.88615291726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1745.88615291726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69852.6056</v>
      </c>
      <c r="F286" s="22" t="n">
        <f aca="false">IFERROR(D286*E286,0)</f>
        <v>50294.0804854182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50294.0804854182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24793.829555</v>
      </c>
      <c r="F311" s="21" t="n">
        <f aca="false">IFERROR(D311*E311,0)</f>
        <v>813.817441372101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813.817441372101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24793.829555</v>
      </c>
      <c r="F312" s="22" t="n">
        <f aca="false">IFERROR(D312*E312,0)</f>
        <v>1736.74862249505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1736.74862249505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24793.829555</v>
      </c>
      <c r="F313" s="21" t="n">
        <f aca="false">IFERROR(D313*E313,0)</f>
        <v>1857.13658476172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1857.13658476172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24793.829555</v>
      </c>
      <c r="F314" s="22" t="n">
        <f aca="false">IFERROR(D314*E314,0)</f>
        <v>472.998990606396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472.998990606396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24793.829555</v>
      </c>
      <c r="F315" s="21" t="n">
        <f aca="false">IFERROR(D315*E315,0)</f>
        <v>828.849738059866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828.849738059866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24793.829555</v>
      </c>
      <c r="F316" s="22" t="n">
        <f aca="false">IFERROR(D316*E316,0)</f>
        <v>612.95485632007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612.95485632007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24793.829555</v>
      </c>
      <c r="F317" s="21" t="n">
        <f aca="false">IFERROR(D317*E317,0)</f>
        <v>619.693472076654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619.693472076654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24793.829555</v>
      </c>
      <c r="F318" s="22" t="n">
        <f aca="false">IFERROR(D318*E318,0)</f>
        <v>17851.6298493082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17851.6298493082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53576.6036</v>
      </c>
      <c r="F343" s="21" t="n">
        <f aca="false">IFERROR(D343*E343,0)</f>
        <v>1780.79879012346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1780.79879012346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53576.6036</v>
      </c>
      <c r="F344" s="22" t="n">
        <f aca="false">IFERROR(D344*E344,0)</f>
        <v>1780.79879012346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1780.79879012346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53576.6036</v>
      </c>
      <c r="F345" s="21" t="n">
        <f aca="false">IFERROR(D345*E345,0)</f>
        <v>2136.95854814815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2136.95854814815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53576.6036</v>
      </c>
      <c r="F346" s="22" t="n">
        <f aca="false">IFERROR(D346*E346,0)</f>
        <v>559.679619753086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559.679619753086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53576.6036</v>
      </c>
      <c r="F347" s="21" t="n">
        <f aca="false">IFERROR(D347*E347,0)</f>
        <v>2136.95854814815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2136.95854814815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53576.6036</v>
      </c>
      <c r="F348" s="22" t="n">
        <f aca="false">IFERROR(D348*E348,0)</f>
        <v>915.839377777778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915.839377777778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53576.6036</v>
      </c>
      <c r="F349" s="21" t="n">
        <f aca="false">IFERROR(D349*E349,0)</f>
        <v>1017.59930864198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1017.59930864198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53576.6036</v>
      </c>
      <c r="F350" s="22" t="n">
        <f aca="false">IFERROR(D350*E350,0)</f>
        <v>43247.970617284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43247.970617284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56333.6292</v>
      </c>
      <c r="F351" s="21" t="n">
        <f aca="false">IFERROR(D351*E351,0)</f>
        <v>1849.06046389689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1849.06046389689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56333.6292</v>
      </c>
      <c r="F352" s="22" t="n">
        <f aca="false">IFERROR(D352*E352,0)</f>
        <v>3946.03635941817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3946.03635941817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56333.6292</v>
      </c>
      <c r="F353" s="21" t="n">
        <f aca="false">IFERROR(D353*E353,0)</f>
        <v>4219.56775606788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4219.56775606788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56333.6292</v>
      </c>
      <c r="F354" s="22" t="n">
        <f aca="false">IFERROR(D354*E354,0)</f>
        <v>1074.69278554517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1074.69278554517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56333.6292</v>
      </c>
      <c r="F355" s="21" t="n">
        <f aca="false">IFERROR(D355*E355,0)</f>
        <v>1883.21508393065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1883.21508393065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56333.6292</v>
      </c>
      <c r="F356" s="22" t="n">
        <f aca="false">IFERROR(D356*E356,0)</f>
        <v>1392.68407551469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1392.68407551469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56333.6292</v>
      </c>
      <c r="F357" s="21" t="n">
        <f aca="false">IFERROR(D357*E357,0)</f>
        <v>1407.99476725397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1407.99476725397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56333.6292</v>
      </c>
      <c r="F358" s="22" t="n">
        <f aca="false">IFERROR(D358*E358,0)</f>
        <v>40560.3779083726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40560.3779083726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117306.847989</v>
      </c>
      <c r="F375" s="21" t="n">
        <f aca="false">IFERROR(D375*E375,0)</f>
        <v>3850.40796840446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3850.40796840446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117306.847989</v>
      </c>
      <c r="F376" s="22" t="n">
        <f aca="false">IFERROR(D376*E376,0)</f>
        <v>8217.06490327334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8217.06490327334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117306.847989</v>
      </c>
      <c r="F377" s="21" t="n">
        <f aca="false">IFERROR(D377*E377,0)</f>
        <v>8786.65550879049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8786.65550879049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117306.847989</v>
      </c>
      <c r="F378" s="22" t="n">
        <f aca="false">IFERROR(D378*E378,0)</f>
        <v>2237.8963510631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2237.8963510631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117306.847989</v>
      </c>
      <c r="F379" s="21" t="n">
        <f aca="false">IFERROR(D379*E379,0)</f>
        <v>3921.53015380811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3921.53015380811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117306.847989</v>
      </c>
      <c r="F380" s="22" t="n">
        <f aca="false">IFERROR(D380*E380,0)</f>
        <v>2900.06842206259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2900.06842206259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117306.847989</v>
      </c>
      <c r="F381" s="21" t="n">
        <f aca="false">IFERROR(D381*E381,0)</f>
        <v>2931.95078103664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2931.95078103664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117306.847989</v>
      </c>
      <c r="F382" s="22" t="n">
        <f aca="false">IFERROR(D382*E382,0)</f>
        <v>84461.2739005613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84461.2739005613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29682.141611</v>
      </c>
      <c r="F383" s="21" t="n">
        <f aca="false">IFERROR(D383*E383,0)</f>
        <v>974.268395558808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974.268395558808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29682.141611</v>
      </c>
      <c r="F384" s="22" t="n">
        <f aca="false">IFERROR(D384*E384,0)</f>
        <v>2079.16322249668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2079.16322249668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29682.141611</v>
      </c>
      <c r="F385" s="21" t="n">
        <f aca="false">IFERROR(D385*E385,0)</f>
        <v>2223.28668419638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2223.28668419638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29682.141611</v>
      </c>
      <c r="F386" s="22" t="n">
        <f aca="false">IFERROR(D386*E386,0)</f>
        <v>566.25472034867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566.25472034867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29682.141611</v>
      </c>
      <c r="F387" s="21" t="n">
        <f aca="false">IFERROR(D387*E387,0)</f>
        <v>992.264435986327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992.264435986327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29682.141611</v>
      </c>
      <c r="F388" s="22" t="n">
        <f aca="false">IFERROR(D388*E388,0)</f>
        <v>733.804062260057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733.804062260057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29682.141611</v>
      </c>
      <c r="F389" s="21" t="n">
        <f aca="false">IFERROR(D389*E389,0)</f>
        <v>741.871252796532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741.871252796532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29682.141611</v>
      </c>
      <c r="F390" s="22" t="n">
        <f aca="false">IFERROR(D390*E390,0)</f>
        <v>21371.2288373565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21371.2288373565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31731.925852</v>
      </c>
      <c r="F447" s="21" t="n">
        <f aca="false">IFERROR(D447*E447,0)</f>
        <v>989.803191713762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989.803191713762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31731.925852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31731.925852</v>
      </c>
      <c r="F449" s="21" t="n">
        <f aca="false">IFERROR(D449*E449,0)</f>
        <v>1368.25735325138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1368.25735325138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31731.925852</v>
      </c>
      <c r="F450" s="22" t="n">
        <f aca="false">IFERROR(D450*E450,0)</f>
        <v>320.230444377982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320.230444377982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31731.925852</v>
      </c>
      <c r="F451" s="21" t="n">
        <f aca="false">IFERROR(D451*E451,0)</f>
        <v>1455.59292899083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1455.59292899083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31731.925852</v>
      </c>
      <c r="F452" s="22" t="n">
        <f aca="false">IFERROR(D452*E452,0)</f>
        <v>524.013454436697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524.013454436697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31731.925852</v>
      </c>
      <c r="F453" s="21" t="n">
        <f aca="false">IFERROR(D453*E453,0)</f>
        <v>698.684605915596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698.684605915596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31731.925852</v>
      </c>
      <c r="F454" s="22" t="n">
        <f aca="false">IFERROR(D454*E454,0)</f>
        <v>26375.3438733138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26375.3438733138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45467.6807</v>
      </c>
      <c r="F455" s="21" t="n">
        <f aca="false">IFERROR(D455*E455,0)</f>
        <v>1418.25793009174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1418.25793009174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45467.6807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45467.6807</v>
      </c>
      <c r="F457" s="21" t="n">
        <f aca="false">IFERROR(D457*E457,0)</f>
        <v>1960.53302100917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1960.53302100917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45467.6807</v>
      </c>
      <c r="F458" s="22" t="n">
        <f aca="false">IFERROR(D458*E458,0)</f>
        <v>458.848153853211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458.848153853211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45467.6807</v>
      </c>
      <c r="F459" s="21" t="n">
        <f aca="false">IFERROR(D459*E459,0)</f>
        <v>2085.6734266055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2085.6734266055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45467.6807</v>
      </c>
      <c r="F460" s="22" t="n">
        <f aca="false">IFERROR(D460*E460,0)</f>
        <v>750.842433577982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750.842433577982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45467.6807</v>
      </c>
      <c r="F461" s="21" t="n">
        <f aca="false">IFERROR(D461*E461,0)</f>
        <v>1001.12324477064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1001.12324477064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45467.6807</v>
      </c>
      <c r="F462" s="22" t="n">
        <f aca="false">IFERROR(D462*E462,0)</f>
        <v>37792.4024900917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37792.4024900917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73501.8384</v>
      </c>
      <c r="F479" s="21" t="n">
        <f aca="false">IFERROR(D479*E479,0)</f>
        <v>2403.23444411512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2403.23444411512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73501.8384</v>
      </c>
      <c r="F480" s="22" t="n">
        <f aca="false">IFERROR(D480*E480,0)</f>
        <v>4935.60443668452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4935.60443668452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73501.8384</v>
      </c>
      <c r="F481" s="21" t="n">
        <f aca="false">IFERROR(D481*E481,0)</f>
        <v>5358.39568148255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5358.39568148255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73501.8384</v>
      </c>
      <c r="F482" s="22" t="n">
        <f aca="false">IFERROR(D482*E482,0)</f>
        <v>1373.43316364503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1373.43316364503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73501.8384</v>
      </c>
      <c r="F483" s="21" t="n">
        <f aca="false">IFERROR(D483*E483,0)</f>
        <v>2395.93865041714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2395.93865041714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73501.8384</v>
      </c>
      <c r="F484" s="22" t="n">
        <f aca="false">IFERROR(D484*E484,0)</f>
        <v>1752.81443594007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1752.81443594007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73501.8384</v>
      </c>
      <c r="F485" s="21" t="n">
        <f aca="false">IFERROR(D485*E485,0)</f>
        <v>1753.17922562497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1753.17922562497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73501.8384</v>
      </c>
      <c r="F486" s="22" t="n">
        <f aca="false">IFERROR(D486*E486,0)</f>
        <v>53529.2383620906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53529.2383620906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34184.13816</v>
      </c>
      <c r="F511" s="21" t="n">
        <f aca="false">IFERROR(D511*E511,0)</f>
        <v>1117.69310886382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1117.69310886382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34184.13816</v>
      </c>
      <c r="F512" s="22" t="n">
        <f aca="false">IFERROR(D512*E512,0)</f>
        <v>2295.44440845894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2295.44440845894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34184.13816</v>
      </c>
      <c r="F513" s="21" t="n">
        <f aca="false">IFERROR(D513*E513,0)</f>
        <v>2492.07560353683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2492.07560353683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34184.13816</v>
      </c>
      <c r="F514" s="22" t="n">
        <f aca="false">IFERROR(D514*E514,0)</f>
        <v>638.754486167621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638.754486167621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34184.13816</v>
      </c>
      <c r="F515" s="21" t="n">
        <f aca="false">IFERROR(D515*E515,0)</f>
        <v>1114.29999074341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1114.29999074341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34184.13816</v>
      </c>
      <c r="F516" s="22" t="n">
        <f aca="false">IFERROR(D516*E516,0)</f>
        <v>815.196628429061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815.196628429061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34184.13816</v>
      </c>
      <c r="F517" s="21" t="n">
        <f aca="false">IFERROR(D517*E517,0)</f>
        <v>815.366284335082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815.366284335082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34184.13816</v>
      </c>
      <c r="F518" s="22" t="n">
        <f aca="false">IFERROR(D518*E518,0)</f>
        <v>24895.3076494652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24895.3076494652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67738.1661</v>
      </c>
      <c r="F543" s="21" t="n">
        <f aca="false">IFERROR(D543*E543,0)</f>
        <v>2112.93362146789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2112.93362146789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67738.1661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67738.1661</v>
      </c>
      <c r="F545" s="21" t="n">
        <f aca="false">IFERROR(D545*E545,0)</f>
        <v>2920.82000614679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2920.82000614679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67738.1661</v>
      </c>
      <c r="F546" s="22" t="n">
        <f aca="false">IFERROR(D546*E546,0)</f>
        <v>683.596171651376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683.596171651376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67738.1661</v>
      </c>
      <c r="F547" s="21" t="n">
        <f aca="false">IFERROR(D547*E547,0)</f>
        <v>3107.25532568807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3107.25532568807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67738.1661</v>
      </c>
      <c r="F548" s="22" t="n">
        <f aca="false">IFERROR(D548*E548,0)</f>
        <v>1118.61191724771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1118.61191724771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67738.1661</v>
      </c>
      <c r="F549" s="21" t="n">
        <f aca="false">IFERROR(D549*E549,0)</f>
        <v>1491.48255633028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1491.48255633028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67738.1661</v>
      </c>
      <c r="F550" s="22" t="n">
        <f aca="false">IFERROR(D550*E550,0)</f>
        <v>56303.4665014679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56303.4665014679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85648.729</v>
      </c>
      <c r="F551" s="21" t="n">
        <f aca="false">IFERROR(D551*E551,0)</f>
        <v>2800.39220933938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2800.39220933938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85648.729</v>
      </c>
      <c r="F552" s="22" t="n">
        <f aca="false">IFERROR(D552*E552,0)</f>
        <v>5751.26086708588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5751.26086708588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85648.729</v>
      </c>
      <c r="F553" s="21" t="n">
        <f aca="false">IFERROR(D553*E553,0)</f>
        <v>6243.92245946965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6243.92245946965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85648.729</v>
      </c>
      <c r="F554" s="22" t="n">
        <f aca="false">IFERROR(D554*E554,0)</f>
        <v>1600.40629449951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1600.40629449951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85648.729</v>
      </c>
      <c r="F555" s="21" t="n">
        <f aca="false">IFERROR(D555*E555,0)</f>
        <v>2791.89071507909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2791.89071507909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85648.729</v>
      </c>
      <c r="F556" s="22" t="n">
        <f aca="false">IFERROR(D556*E556,0)</f>
        <v>2042.48399603456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2042.48399603456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85648.729</v>
      </c>
      <c r="F557" s="21" t="n">
        <f aca="false">IFERROR(D557*E557,0)</f>
        <v>2042.90907074758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2042.90907074758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85648.729</v>
      </c>
      <c r="F558" s="22" t="n">
        <f aca="false">IFERROR(D558*E558,0)</f>
        <v>62375.4633877444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62375.4633877444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119483.087562</v>
      </c>
      <c r="F575" s="21" t="n">
        <f aca="false">IFERROR(D575*E575,0)</f>
        <v>3906.64883721087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3906.64883721087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119483.087562</v>
      </c>
      <c r="F576" s="22" t="n">
        <f aca="false">IFERROR(D576*E576,0)</f>
        <v>8023.21778498226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8023.21778498226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119483.087562</v>
      </c>
      <c r="F577" s="21" t="n">
        <f aca="false">IFERROR(D577*E577,0)</f>
        <v>8710.49859893602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8710.49859893602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119483.087562</v>
      </c>
      <c r="F578" s="22" t="n">
        <f aca="false">IFERROR(D578*E578,0)</f>
        <v>2232.62490469019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2232.62490469019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119483.087562</v>
      </c>
      <c r="F579" s="21" t="n">
        <f aca="false">IFERROR(D579*E579,0)</f>
        <v>3894.78894395887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3894.78894395887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119483.087562</v>
      </c>
      <c r="F580" s="22" t="n">
        <f aca="false">IFERROR(D580*E580,0)</f>
        <v>2849.33935379451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2849.33935379451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119483.087562</v>
      </c>
      <c r="F581" s="21" t="n">
        <f aca="false">IFERROR(D581*E581,0)</f>
        <v>2849.93234845711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2849.93234845711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119483.087562</v>
      </c>
      <c r="F582" s="22" t="n">
        <f aca="false">IFERROR(D582*E582,0)</f>
        <v>87016.0367899702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87016.0367899702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29394.164638</v>
      </c>
      <c r="F583" s="21" t="n">
        <f aca="false">IFERROR(D583*E583,0)</f>
        <v>961.078939680403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961.078939680403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29394.164638</v>
      </c>
      <c r="F584" s="22" t="n">
        <f aca="false">IFERROR(D584*E584,0)</f>
        <v>1973.80055462596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1973.80055462596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29394.164638</v>
      </c>
      <c r="F585" s="21" t="n">
        <f aca="false">IFERROR(D585*E585,0)</f>
        <v>2142.87925697715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2142.87925697715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29394.164638</v>
      </c>
      <c r="F586" s="22" t="n">
        <f aca="false">IFERROR(D586*E586,0)</f>
        <v>549.250486930285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549.250486930285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29394.164638</v>
      </c>
      <c r="F587" s="21" t="n">
        <f aca="false">IFERROR(D587*E587,0)</f>
        <v>958.161274411185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958.161274411185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29394.164638</v>
      </c>
      <c r="F588" s="22" t="n">
        <f aca="false">IFERROR(D588*E588,0)</f>
        <v>700.96908092962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700.96908092962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29394.164638</v>
      </c>
      <c r="F589" s="21" t="n">
        <f aca="false">IFERROR(D589*E589,0)</f>
        <v>701.114964193081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701.114964193081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29394.164638</v>
      </c>
      <c r="F590" s="22" t="n">
        <f aca="false">IFERROR(D590*E590,0)</f>
        <v>21406.9100802523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21406.9100802523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SUMIFS(PARÂMETROS!$F$8:$F$33,PARÂMETROS!$A$8:$A$33,C660,PARÂMETROS!$G$8:$G$33,J660)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SUMIFS(PARÂMETROS!$F$8:$F$33,PARÂMETROS!$A$8:$A$33,C661,PARÂMETROS!$G$8:$G$33,J661)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SUMIFS(PARÂMETROS!$F$8:$F$33,PARÂMETROS!$A$8:$A$33,C662,PARÂMETROS!$G$8:$G$33,J662)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SUMIFS(PARÂMETROS!$F$8:$F$33,PARÂMETROS!$A$8:$A$33,C663,PARÂMETROS!$G$8:$G$33,J663)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SUMIFS(PARÂMETROS!$F$8:$F$33,PARÂMETROS!$A$8:$A$33,C664,PARÂMETROS!$G$8:$G$33,J664)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SUMIFS(PARÂMETROS!$F$8:$F$33,PARÂMETROS!$A$8:$A$33,C665,PARÂMETROS!$G$8:$G$33,J665)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SUMIFS(PARÂMETROS!$F$8:$F$33,PARÂMETROS!$A$8:$A$33,C666,PARÂMETROS!$G$8:$G$33,J666)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SUMIFS(PARÂMETROS!$F$8:$F$33,PARÂMETROS!$A$8:$A$33,C667,PARÂMETROS!$G$8:$G$33,J667)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SUMIFS(PARÂMETROS!$F$8:$F$33,PARÂMETROS!$A$8:$A$33,C668,PARÂMETROS!$G$8:$G$33,J668)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SUMIFS(PARÂMETROS!$F$8:$F$33,PARÂMETROS!$A$8:$A$33,C669,PARÂMETROS!$G$8:$G$33,J669)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SUMIFS(PARÂMETROS!$F$8:$F$33,PARÂMETROS!$A$8:$A$33,C670,PARÂMETROS!$G$8:$G$33,J670)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SUMIFS(PARÂMETROS!$F$8:$F$33,PARÂMETROS!$A$8:$A$33,C671,PARÂMETROS!$G$8:$G$33,J671)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SUMIFS(PARÂMETROS!$F$8:$F$33,PARÂMETROS!$A$8:$A$33,C672,PARÂMETROS!$G$8:$G$33,J672)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SUMIFS(PARÂMETROS!$F$8:$F$33,PARÂMETROS!$A$8:$A$33,C673,PARÂMETROS!$G$8:$G$33,J673)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SUMIFS(PARÂMETROS!$F$8:$F$33,PARÂMETROS!$A$8:$A$33,C674,PARÂMETROS!$G$8:$G$33,J674)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SUMIFS(PARÂMETROS!$F$8:$F$33,PARÂMETROS!$A$8:$A$33,C675,PARÂMETROS!$G$8:$G$33,J675)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SUMIFS(PARÂMETROS!$F$8:$F$33,PARÂMETROS!$A$8:$A$33,C676,PARÂMETROS!$G$8:$G$33,J676)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SUMIFS(PARÂMETROS!$F$8:$F$33,PARÂMETROS!$A$8:$A$33,C677,PARÂMETROS!$G$8:$G$33,J677)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SUMIFS(PARÂMETROS!$F$8:$F$33,PARÂMETROS!$A$8:$A$33,C678,PARÂMETROS!$G$8:$G$33,J678)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SUMIFS(PARÂMETROS!$F$8:$F$33,PARÂMETROS!$A$8:$A$33,C679,PARÂMETROS!$G$8:$G$33,J679)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SUMIFS(PARÂMETROS!$F$8:$F$33,PARÂMETROS!$A$8:$A$33,C680,PARÂMETROS!$G$8:$G$33,J680)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SUMIFS(PARÂMETROS!$F$8:$F$33,PARÂMETROS!$A$8:$A$33,C681,PARÂMETROS!$G$8:$G$33,J681)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SUMIFS(PARÂMETROS!$F$8:$F$33,PARÂMETROS!$A$8:$A$33,C682,PARÂMETROS!$G$8:$G$33,J682)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SUMIFS(PARÂMETROS!$F$8:$F$33,PARÂMETROS!$A$8:$A$33,C683,PARÂMETROS!$G$8:$G$33,J683)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26" t="n">
        <f aca="false">SUMIFS(SETORES!$D:$D,SETORES!$A:$A,A684,SETORES!$F:$F,J684)</f>
        <v>25367.0392</v>
      </c>
      <c r="F684" s="26" t="n">
        <f aca="false">IFERROR(D684*E684,0)</f>
        <v>843.158947768281</v>
      </c>
      <c r="G684" s="25" t="n">
        <f aca="false">SUMIFS(PARÂMETROS!$F$8:$F$33,PARÂMETROS!$A$8:$A$33,C684,PARÂMETROS!$G$8:$G$33,J684)</f>
        <v>0</v>
      </c>
      <c r="H684" s="26" t="n">
        <f aca="false">IFERROR(F684*G684,0)</f>
        <v>0</v>
      </c>
      <c r="I684" s="26" t="n">
        <f aca="false">F684+H684</f>
        <v>843.158947768281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26" t="n">
        <f aca="false">SUMIFS(SETORES!$D:$D,SETORES!$A:$A,A685,SETORES!$F:$F,J685)</f>
        <v>25367.0392</v>
      </c>
      <c r="F685" s="26" t="n">
        <f aca="false">IFERROR(D685*E685,0)</f>
        <v>843.158947768281</v>
      </c>
      <c r="G685" s="25" t="n">
        <f aca="false">SUMIFS(PARÂMETROS!$F$8:$F$33,PARÂMETROS!$A$8:$A$33,C685,PARÂMETROS!$G$8:$G$33,J685)</f>
        <v>0</v>
      </c>
      <c r="H685" s="26" t="n">
        <f aca="false">IFERROR(F685*G685,0)</f>
        <v>0</v>
      </c>
      <c r="I685" s="26" t="n">
        <f aca="false">F685+H685</f>
        <v>843.158947768281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26" t="n">
        <f aca="false">SUMIFS(SETORES!$D:$D,SETORES!$A:$A,A686,SETORES!$F:$F,J686)</f>
        <v>25367.0392</v>
      </c>
      <c r="F686" s="26" t="n">
        <f aca="false">IFERROR(D686*E686,0)</f>
        <v>1011.79073732194</v>
      </c>
      <c r="G686" s="25" t="n">
        <f aca="false">SUMIFS(PARÂMETROS!$F$8:$F$33,PARÂMETROS!$A$8:$A$33,C686,PARÂMETROS!$G$8:$G$33,J686)</f>
        <v>0</v>
      </c>
      <c r="H686" s="26" t="n">
        <f aca="false">IFERROR(F686*G686,0)</f>
        <v>0</v>
      </c>
      <c r="I686" s="26" t="n">
        <f aca="false">F686+H686</f>
        <v>1011.79073732194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26" t="n">
        <f aca="false">SUMIFS(SETORES!$D:$D,SETORES!$A:$A,A687,SETORES!$F:$F,J687)</f>
        <v>25367.0392</v>
      </c>
      <c r="F687" s="26" t="n">
        <f aca="false">IFERROR(D687*E687,0)</f>
        <v>264.992812155745</v>
      </c>
      <c r="G687" s="25" t="n">
        <f aca="false">SUMIFS(PARÂMETROS!$F$8:$F$33,PARÂMETROS!$A$8:$A$33,C687,PARÂMETROS!$G$8:$G$33,J687)</f>
        <v>0</v>
      </c>
      <c r="H687" s="26" t="n">
        <f aca="false">IFERROR(F687*G687,0)</f>
        <v>0</v>
      </c>
      <c r="I687" s="26" t="n">
        <f aca="false">F687+H687</f>
        <v>264.992812155745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26" t="n">
        <f aca="false">SUMIFS(SETORES!$D:$D,SETORES!$A:$A,A688,SETORES!$F:$F,J688)</f>
        <v>25367.0392</v>
      </c>
      <c r="F688" s="26" t="n">
        <f aca="false">IFERROR(D688*E688,0)</f>
        <v>1011.79073732194</v>
      </c>
      <c r="G688" s="25" t="n">
        <f aca="false">SUMIFS(PARÂMETROS!$F$8:$F$33,PARÂMETROS!$A$8:$A$33,C688,PARÂMETROS!$G$8:$G$33,J688)</f>
        <v>0</v>
      </c>
      <c r="H688" s="26" t="n">
        <f aca="false">IFERROR(F688*G688,0)</f>
        <v>0</v>
      </c>
      <c r="I688" s="26" t="n">
        <f aca="false">F688+H688</f>
        <v>1011.79073732194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26" t="n">
        <f aca="false">SUMIFS(SETORES!$D:$D,SETORES!$A:$A,A689,SETORES!$F:$F,J689)</f>
        <v>25367.0392</v>
      </c>
      <c r="F689" s="26" t="n">
        <f aca="false">IFERROR(D689*E689,0)</f>
        <v>433.624601709402</v>
      </c>
      <c r="G689" s="25" t="n">
        <f aca="false">SUMIFS(PARÂMETROS!$F$8:$F$33,PARÂMETROS!$A$8:$A$33,C689,PARÂMETROS!$G$8:$G$33,J689)</f>
        <v>0</v>
      </c>
      <c r="H689" s="26" t="n">
        <f aca="false">IFERROR(F689*G689,0)</f>
        <v>0</v>
      </c>
      <c r="I689" s="26" t="n">
        <f aca="false">F689+H689</f>
        <v>433.624601709402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26" t="n">
        <f aca="false">SUMIFS(SETORES!$D:$D,SETORES!$A:$A,A690,SETORES!$F:$F,J690)</f>
        <v>25367.0392</v>
      </c>
      <c r="F690" s="26" t="n">
        <f aca="false">IFERROR(D690*E690,0)</f>
        <v>481.805113010446</v>
      </c>
      <c r="G690" s="25" t="n">
        <f aca="false">SUMIFS(PARÂMETROS!$F$8:$F$33,PARÂMETROS!$A$8:$A$33,C690,PARÂMETROS!$G$8:$G$33,J690)</f>
        <v>0</v>
      </c>
      <c r="H690" s="26" t="n">
        <f aca="false">IFERROR(F690*G690,0)</f>
        <v>0</v>
      </c>
      <c r="I690" s="26" t="n">
        <f aca="false">F690+H690</f>
        <v>481.805113010446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26" t="n">
        <f aca="false">SUMIFS(SETORES!$D:$D,SETORES!$A:$A,A691,SETORES!$F:$F,J691)</f>
        <v>25367.0392</v>
      </c>
      <c r="F691" s="26" t="n">
        <f aca="false">IFERROR(D691*E691,0)</f>
        <v>20476.717302944</v>
      </c>
      <c r="G691" s="25" t="n">
        <f aca="false">SUMIFS(PARÂMETROS!$F$8:$F$33,PARÂMETROS!$A$8:$A$33,C691,PARÂMETROS!$G$8:$G$33,J691)</f>
        <v>0</v>
      </c>
      <c r="H691" s="26" t="n">
        <f aca="false">IFERROR(F691*G691,0)</f>
        <v>0</v>
      </c>
      <c r="I691" s="26" t="n">
        <f aca="false">F691+H691</f>
        <v>20476.717302944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26" t="n">
        <f aca="false">SUMIFS(SETORES!$D:$D,SETORES!$A:$A,A692,SETORES!$F:$F,J692)</f>
        <v>34650.7007</v>
      </c>
      <c r="F692" s="26" t="n">
        <f aca="false">IFERROR(D692*E692,0)</f>
        <v>1123.09230104862</v>
      </c>
      <c r="G692" s="25" t="n">
        <f aca="false">SUMIFS(PARÂMETROS!$F$8:$F$33,PARÂMETROS!$A$8:$A$33,C692,PARÂMETROS!$G$8:$G$33,J692)</f>
        <v>0</v>
      </c>
      <c r="H692" s="26" t="n">
        <f aca="false">IFERROR(F692*G692,0)</f>
        <v>0</v>
      </c>
      <c r="I692" s="26" t="n">
        <f aca="false">F692+H692</f>
        <v>1123.09230104862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26" t="n">
        <f aca="false">SUMIFS(SETORES!$D:$D,SETORES!$A:$A,A693,SETORES!$F:$F,J693)</f>
        <v>34650.7007</v>
      </c>
      <c r="F693" s="26" t="n">
        <f aca="false">IFERROR(D693*E693,0)</f>
        <v>1057.02804804576</v>
      </c>
      <c r="G693" s="25" t="n">
        <f aca="false">SUMIFS(PARÂMETROS!$F$8:$F$33,PARÂMETROS!$A$8:$A$33,C693,PARÂMETROS!$G$8:$G$33,J693)</f>
        <v>0</v>
      </c>
      <c r="H693" s="26" t="n">
        <f aca="false">IFERROR(F693*G693,0)</f>
        <v>0</v>
      </c>
      <c r="I693" s="26" t="n">
        <f aca="false">F693+H693</f>
        <v>1057.02804804576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26" t="n">
        <f aca="false">SUMIFS(SETORES!$D:$D,SETORES!$A:$A,A694,SETORES!$F:$F,J694)</f>
        <v>34650.7007</v>
      </c>
      <c r="F694" s="26" t="n">
        <f aca="false">IFERROR(D694*E694,0)</f>
        <v>1387.34931306006</v>
      </c>
      <c r="G694" s="25" t="n">
        <f aca="false">SUMIFS(PARÂMETROS!$F$8:$F$33,PARÂMETROS!$A$8:$A$33,C694,PARÂMETROS!$G$8:$G$33,J694)</f>
        <v>0</v>
      </c>
      <c r="H694" s="26" t="n">
        <f aca="false">IFERROR(F694*G694,0)</f>
        <v>0</v>
      </c>
      <c r="I694" s="26" t="n">
        <f aca="false">F694+H694</f>
        <v>1387.34931306006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26" t="n">
        <f aca="false">SUMIFS(SETORES!$D:$D,SETORES!$A:$A,A695,SETORES!$F:$F,J695)</f>
        <v>34650.7007</v>
      </c>
      <c r="F695" s="26" t="n">
        <f aca="false">IFERROR(D695*E695,0)</f>
        <v>363.353391515729</v>
      </c>
      <c r="G695" s="25" t="n">
        <f aca="false">SUMIFS(PARÂMETROS!$F$8:$F$33,PARÂMETROS!$A$8:$A$33,C695,PARÂMETROS!$G$8:$G$33,J695)</f>
        <v>0</v>
      </c>
      <c r="H695" s="26" t="n">
        <f aca="false">IFERROR(F695*G695,0)</f>
        <v>0</v>
      </c>
      <c r="I695" s="26" t="n">
        <f aca="false">F695+H695</f>
        <v>363.353391515729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26" t="n">
        <f aca="false">SUMIFS(SETORES!$D:$D,SETORES!$A:$A,A696,SETORES!$F:$F,J696)</f>
        <v>34650.7007</v>
      </c>
      <c r="F696" s="26" t="n">
        <f aca="false">IFERROR(D696*E696,0)</f>
        <v>1387.34931306006</v>
      </c>
      <c r="G696" s="25" t="n">
        <f aca="false">SUMIFS(PARÂMETROS!$F$8:$F$33,PARÂMETROS!$A$8:$A$33,C696,PARÂMETROS!$G$8:$G$33,J696)</f>
        <v>0</v>
      </c>
      <c r="H696" s="26" t="n">
        <f aca="false">IFERROR(F696*G696,0)</f>
        <v>0</v>
      </c>
      <c r="I696" s="26" t="n">
        <f aca="false">F696+H696</f>
        <v>1387.34931306006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26" t="n">
        <f aca="false">SUMIFS(SETORES!$D:$D,SETORES!$A:$A,A697,SETORES!$F:$F,J697)</f>
        <v>34650.7007</v>
      </c>
      <c r="F697" s="26" t="n">
        <f aca="false">IFERROR(D697*E697,0)</f>
        <v>594.578277025739</v>
      </c>
      <c r="G697" s="25" t="n">
        <f aca="false">SUMIFS(PARÂMETROS!$F$8:$F$33,PARÂMETROS!$A$8:$A$33,C697,PARÂMETROS!$G$8:$G$33,J697)</f>
        <v>0</v>
      </c>
      <c r="H697" s="26" t="n">
        <f aca="false">IFERROR(F697*G697,0)</f>
        <v>0</v>
      </c>
      <c r="I697" s="26" t="n">
        <f aca="false">F697+H697</f>
        <v>594.578277025739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26" t="n">
        <f aca="false">SUMIFS(SETORES!$D:$D,SETORES!$A:$A,A698,SETORES!$F:$F,J698)</f>
        <v>34650.7007</v>
      </c>
      <c r="F698" s="26" t="n">
        <f aca="false">IFERROR(D698*E698,0)</f>
        <v>561.546150524309</v>
      </c>
      <c r="G698" s="25" t="n">
        <f aca="false">SUMIFS(PARÂMETROS!$F$8:$F$33,PARÂMETROS!$A$8:$A$33,C698,PARÂMETROS!$G$8:$G$33,J698)</f>
        <v>0</v>
      </c>
      <c r="H698" s="26" t="n">
        <f aca="false">IFERROR(F698*G698,0)</f>
        <v>0</v>
      </c>
      <c r="I698" s="26" t="n">
        <f aca="false">F698+H698</f>
        <v>561.546150524309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26" t="n">
        <f aca="false">SUMIFS(SETORES!$D:$D,SETORES!$A:$A,A699,SETORES!$F:$F,J699)</f>
        <v>34650.7007</v>
      </c>
      <c r="F699" s="26" t="n">
        <f aca="false">IFERROR(D699*E699,0)</f>
        <v>28176.4039057197</v>
      </c>
      <c r="G699" s="25" t="n">
        <f aca="false">SUMIFS(PARÂMETROS!$F$8:$F$33,PARÂMETROS!$A$8:$A$33,C699,PARÂMETROS!$G$8:$G$33,J699)</f>
        <v>0</v>
      </c>
      <c r="H699" s="26" t="n">
        <f aca="false">IFERROR(F699*G699,0)</f>
        <v>0</v>
      </c>
      <c r="I699" s="26" t="n">
        <f aca="false">F699+H699</f>
        <v>28176.4039057197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26" t="n">
        <f aca="false">SUMIFS(SETORES!$D:$D,SETORES!$A:$A,A700,SETORES!$F:$F,J700)</f>
        <v>104526.2045</v>
      </c>
      <c r="F700" s="26" t="n">
        <f aca="false">IFERROR(D700*E700,0)</f>
        <v>3260.45041559633</v>
      </c>
      <c r="G700" s="25" t="n">
        <f aca="false">SUMIFS(PARÂMETROS!$F$8:$F$33,PARÂMETROS!$A$8:$A$33,C700,PARÂMETROS!$G$8:$G$33,J700)</f>
        <v>0</v>
      </c>
      <c r="H700" s="26" t="n">
        <f aca="false">IFERROR(F700*G700,0)</f>
        <v>0</v>
      </c>
      <c r="I700" s="26" t="n">
        <f aca="false">F700+H700</f>
        <v>3260.45041559633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IF(B701="Clientes",SUMIFS(PARÂMETROS!$D$8:$D$33,PARÂMETROS!$A$8:$A$33,C701,PARÂMETROS!$G$8:$G$33,J701),SUMIFS(PARÂMETROS!$E$8:$E$33,PARÂMETROS!$A$8:$A$33,C701,PARÂMETROS!$G$8:$G$33,J701))</f>
        <v>0</v>
      </c>
      <c r="E701" s="26" t="n">
        <f aca="false">SUMIFS(SETORES!$D:$D,SETORES!$A:$A,A701,SETORES!$F:$F,J701)</f>
        <v>104526.2045</v>
      </c>
      <c r="F701" s="26" t="n">
        <f aca="false">IFERROR(D701*E701,0)</f>
        <v>0</v>
      </c>
      <c r="G701" s="25" t="n">
        <f aca="false">SUMIFS(PARÂMETROS!$F$8:$F$33,PARÂMETROS!$A$8:$A$33,C701,PARÂMETROS!$G$8:$G$33,J701)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26" t="n">
        <f aca="false">SUMIFS(SETORES!$D:$D,SETORES!$A:$A,A702,SETORES!$F:$F,J702)</f>
        <v>104526.2045</v>
      </c>
      <c r="F702" s="26" t="n">
        <f aca="false">IFERROR(D702*E702,0)</f>
        <v>4507.09322155963</v>
      </c>
      <c r="G702" s="25" t="n">
        <f aca="false">SUMIFS(PARÂMETROS!$F$8:$F$33,PARÂMETROS!$A$8:$A$33,C702,PARÂMETROS!$G$8:$G$33,J702)</f>
        <v>0</v>
      </c>
      <c r="H702" s="26" t="n">
        <f aca="false">IFERROR(F702*G702,0)</f>
        <v>0</v>
      </c>
      <c r="I702" s="26" t="n">
        <f aca="false">F702+H702</f>
        <v>4507.09322155963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26" t="n">
        <f aca="false">SUMIFS(SETORES!$D:$D,SETORES!$A:$A,A703,SETORES!$F:$F,J703)</f>
        <v>104526.2045</v>
      </c>
      <c r="F703" s="26" t="n">
        <f aca="false">IFERROR(D703*E703,0)</f>
        <v>1054.85160504587</v>
      </c>
      <c r="G703" s="25" t="n">
        <f aca="false">SUMIFS(PARÂMETROS!$F$8:$F$33,PARÂMETROS!$A$8:$A$33,C703,PARÂMETROS!$G$8:$G$33,J703)</f>
        <v>0</v>
      </c>
      <c r="H703" s="26" t="n">
        <f aca="false">IFERROR(F703*G703,0)</f>
        <v>0</v>
      </c>
      <c r="I703" s="26" t="n">
        <f aca="false">F703+H703</f>
        <v>1054.85160504587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26" t="n">
        <f aca="false">SUMIFS(SETORES!$D:$D,SETORES!$A:$A,A704,SETORES!$F:$F,J704)</f>
        <v>104526.2045</v>
      </c>
      <c r="F704" s="26" t="n">
        <f aca="false">IFERROR(D704*E704,0)</f>
        <v>4794.78002293578</v>
      </c>
      <c r="G704" s="25" t="n">
        <f aca="false">SUMIFS(PARÂMETROS!$F$8:$F$33,PARÂMETROS!$A$8:$A$33,C704,PARÂMETROS!$G$8:$G$33,J704)</f>
        <v>0</v>
      </c>
      <c r="H704" s="26" t="n">
        <f aca="false">IFERROR(F704*G704,0)</f>
        <v>0</v>
      </c>
      <c r="I704" s="26" t="n">
        <f aca="false">F704+H704</f>
        <v>4794.78002293578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26" t="n">
        <f aca="false">SUMIFS(SETORES!$D:$D,SETORES!$A:$A,A705,SETORES!$F:$F,J705)</f>
        <v>104526.2045</v>
      </c>
      <c r="F705" s="26" t="n">
        <f aca="false">IFERROR(D705*E705,0)</f>
        <v>1726.12080825688</v>
      </c>
      <c r="G705" s="25" t="n">
        <f aca="false">SUMIFS(PARÂMETROS!$F$8:$F$33,PARÂMETROS!$A$8:$A$33,C705,PARÂMETROS!$G$8:$G$33,J705)</f>
        <v>0</v>
      </c>
      <c r="H705" s="26" t="n">
        <f aca="false">IFERROR(F705*G705,0)</f>
        <v>0</v>
      </c>
      <c r="I705" s="26" t="n">
        <f aca="false">F705+H705</f>
        <v>1726.12080825688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26" t="n">
        <f aca="false">SUMIFS(SETORES!$D:$D,SETORES!$A:$A,A706,SETORES!$F:$F,J706)</f>
        <v>104526.2045</v>
      </c>
      <c r="F706" s="26" t="n">
        <f aca="false">IFERROR(D706*E706,0)</f>
        <v>2301.49441100917</v>
      </c>
      <c r="G706" s="25" t="n">
        <f aca="false">SUMIFS(PARÂMETROS!$F$8:$F$33,PARÂMETROS!$A$8:$A$33,C706,PARÂMETROS!$G$8:$G$33,J706)</f>
        <v>0</v>
      </c>
      <c r="H706" s="26" t="n">
        <f aca="false">IFERROR(F706*G706,0)</f>
        <v>0</v>
      </c>
      <c r="I706" s="26" t="n">
        <f aca="false">F706+H706</f>
        <v>2301.49441100917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26" t="n">
        <f aca="false">SUMIFS(SETORES!$D:$D,SETORES!$A:$A,A707,SETORES!$F:$F,J707)</f>
        <v>104526.2045</v>
      </c>
      <c r="F707" s="26" t="n">
        <f aca="false">IFERROR(D707*E707,0)</f>
        <v>86881.4140155963</v>
      </c>
      <c r="G707" s="25" t="n">
        <f aca="false">SUMIFS(PARÂMETROS!$F$8:$F$33,PARÂMETROS!$A$8:$A$33,C707,PARÂMETROS!$G$8:$G$33,J707)</f>
        <v>0</v>
      </c>
      <c r="H707" s="26" t="n">
        <f aca="false">IFERROR(F707*G707,0)</f>
        <v>0</v>
      </c>
      <c r="I707" s="26" t="n">
        <f aca="false">F707+H707</f>
        <v>86881.4140155963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SUMIFS(PARÂMETROS!$F$8:$F$33,PARÂMETROS!$A$8:$A$33,C708,PARÂMETROS!$G$8:$G$33,J708)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SUMIFS(PARÂMETROS!$F$8:$F$33,PARÂMETROS!$A$8:$A$33,C709,PARÂMETROS!$G$8:$G$33,J709)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SUMIFS(PARÂMETROS!$F$8:$F$33,PARÂMETROS!$A$8:$A$33,C710,PARÂMETROS!$G$8:$G$33,J710)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SUMIFS(PARÂMETROS!$F$8:$F$33,PARÂMETROS!$A$8:$A$33,C711,PARÂMETROS!$G$8:$G$33,J711)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SUMIFS(PARÂMETROS!$F$8:$F$33,PARÂMETROS!$A$8:$A$33,C712,PARÂMETROS!$G$8:$G$33,J712)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SUMIFS(PARÂMETROS!$F$8:$F$33,PARÂMETROS!$A$8:$A$33,C713,PARÂMETROS!$G$8:$G$33,J713)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SUMIFS(PARÂMETROS!$F$8:$F$33,PARÂMETROS!$A$8:$A$33,C714,PARÂMETROS!$G$8:$G$33,J714)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SUMIFS(PARÂMETROS!$F$8:$F$33,PARÂMETROS!$A$8:$A$33,C715,PARÂMETROS!$G$8:$G$33,J715)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SUMIFS(PARÂMETROS!$F$8:$F$33,PARÂMETROS!$A$8:$A$33,C716,PARÂMETROS!$G$8:$G$33,J716)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SUMIFS(PARÂMETROS!$F$8:$F$33,PARÂMETROS!$A$8:$A$33,C717,PARÂMETROS!$G$8:$G$33,J717)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SUMIFS(PARÂMETROS!$F$8:$F$33,PARÂMETROS!$A$8:$A$33,C718,PARÂMETROS!$G$8:$G$33,J718)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SUMIFS(PARÂMETROS!$F$8:$F$33,PARÂMETROS!$A$8:$A$33,C719,PARÂMETROS!$G$8:$G$33,J719)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SUMIFS(PARÂMETROS!$F$8:$F$33,PARÂMETROS!$A$8:$A$33,C720,PARÂMETROS!$G$8:$G$33,J720)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SUMIFS(PARÂMETROS!$F$8:$F$33,PARÂMETROS!$A$8:$A$33,C721,PARÂMETROS!$G$8:$G$33,J721)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SUMIFS(PARÂMETROS!$F$8:$F$33,PARÂMETROS!$A$8:$A$33,C722,PARÂMETROS!$G$8:$G$33,J722)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SUMIFS(PARÂMETROS!$F$8:$F$33,PARÂMETROS!$A$8:$A$33,C723,PARÂMETROS!$G$8:$G$33,J723)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SUMIFS(PARÂMETROS!$F$8:$F$33,PARÂMETROS!$A$8:$A$33,C724,PARÂMETROS!$G$8:$G$33,J724)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SUMIFS(PARÂMETROS!$F$8:$F$33,PARÂMETROS!$A$8:$A$33,C725,PARÂMETROS!$G$8:$G$33,J725)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SUMIFS(PARÂMETROS!$F$8:$F$33,PARÂMETROS!$A$8:$A$33,C726,PARÂMETROS!$G$8:$G$33,J726)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SUMIFS(PARÂMETROS!$F$8:$F$33,PARÂMETROS!$A$8:$A$33,C727,PARÂMETROS!$G$8:$G$33,J727)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SUMIFS(PARÂMETROS!$F$8:$F$33,PARÂMETROS!$A$8:$A$33,C728,PARÂMETROS!$G$8:$G$33,J728)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SUMIFS(PARÂMETROS!$F$8:$F$33,PARÂMETROS!$A$8:$A$33,C729,PARÂMETROS!$G$8:$G$33,J729)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SUMIFS(PARÂMETROS!$F$8:$F$33,PARÂMETROS!$A$8:$A$33,C730,PARÂMETROS!$G$8:$G$33,J730)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SUMIFS(PARÂMETROS!$F$8:$F$33,PARÂMETROS!$A$8:$A$33,C731,PARÂMETROS!$G$8:$G$33,J731)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SUMIFS(PARÂMETROS!$F$8:$F$33,PARÂMETROS!$A$8:$A$33,C732,PARÂMETROS!$G$8:$G$33,J732)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SUMIFS(PARÂMETROS!$F$8:$F$33,PARÂMETROS!$A$8:$A$33,C733,PARÂMETROS!$G$8:$G$33,J733)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SUMIFS(PARÂMETROS!$F$8:$F$33,PARÂMETROS!$A$8:$A$33,C734,PARÂMETROS!$G$8:$G$33,J734)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SUMIFS(PARÂMETROS!$F$8:$F$33,PARÂMETROS!$A$8:$A$33,C735,PARÂMETROS!$G$8:$G$33,J735)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SUMIFS(PARÂMETROS!$F$8:$F$33,PARÂMETROS!$A$8:$A$33,C736,PARÂMETROS!$G$8:$G$33,J736)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SUMIFS(PARÂMETROS!$F$8:$F$33,PARÂMETROS!$A$8:$A$33,C737,PARÂMETROS!$G$8:$G$33,J737)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SUMIFS(PARÂMETROS!$F$8:$F$33,PARÂMETROS!$A$8:$A$33,C738,PARÂMETROS!$G$8:$G$33,J738)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SUMIFS(PARÂMETROS!$F$8:$F$33,PARÂMETROS!$A$8:$A$33,C739,PARÂMETROS!$G$8:$G$33,J739)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SUMIFS(PARÂMETROS!$F$8:$F$33,PARÂMETROS!$A$8:$A$33,C740,PARÂMETROS!$G$8:$G$33,J740)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SUMIFS(PARÂMETROS!$F$8:$F$33,PARÂMETROS!$A$8:$A$33,C741,PARÂMETROS!$G$8:$G$33,J741)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SUMIFS(PARÂMETROS!$F$8:$F$33,PARÂMETROS!$A$8:$A$33,C742,PARÂMETROS!$G$8:$G$33,J742)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SUMIFS(PARÂMETROS!$F$8:$F$33,PARÂMETROS!$A$8:$A$33,C743,PARÂMETROS!$G$8:$G$33,J743)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SUMIFS(PARÂMETROS!$F$8:$F$33,PARÂMETROS!$A$8:$A$33,C744,PARÂMETROS!$G$8:$G$33,J744)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SUMIFS(PARÂMETROS!$F$8:$F$33,PARÂMETROS!$A$8:$A$33,C745,PARÂMETROS!$G$8:$G$33,J745)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SUMIFS(PARÂMETROS!$F$8:$F$33,PARÂMETROS!$A$8:$A$33,C746,PARÂMETROS!$G$8:$G$33,J746)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SUMIFS(PARÂMETROS!$F$8:$F$33,PARÂMETROS!$A$8:$A$33,C747,PARÂMETROS!$G$8:$G$33,J747)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SUMIFS(PARÂMETROS!$F$8:$F$33,PARÂMETROS!$A$8:$A$33,C748,PARÂMETROS!$G$8:$G$33,J748)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SUMIFS(PARÂMETROS!$F$8:$F$33,PARÂMETROS!$A$8:$A$33,C749,PARÂMETROS!$G$8:$G$33,J749)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SUMIFS(PARÂMETROS!$F$8:$F$33,PARÂMETROS!$A$8:$A$33,C750,PARÂMETROS!$G$8:$G$33,J750)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SUMIFS(PARÂMETROS!$F$8:$F$33,PARÂMETROS!$A$8:$A$33,C751,PARÂMETROS!$G$8:$G$33,J751)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SUMIFS(PARÂMETROS!$F$8:$F$33,PARÂMETROS!$A$8:$A$33,C752,PARÂMETROS!$G$8:$G$33,J752)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SUMIFS(PARÂMETROS!$F$8:$F$33,PARÂMETROS!$A$8:$A$33,C753,PARÂMETROS!$G$8:$G$33,J753)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SUMIFS(PARÂMETROS!$F$8:$F$33,PARÂMETROS!$A$8:$A$33,C754,PARÂMETROS!$G$8:$G$33,J754)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SUMIFS(PARÂMETROS!$F$8:$F$33,PARÂMETROS!$A$8:$A$33,C755,PARÂMETROS!$G$8:$G$33,J755)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SUMIFS(PARÂMETROS!$F$8:$F$33,PARÂMETROS!$A$8:$A$33,C756,PARÂMETROS!$G$8:$G$33,J756)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SUMIFS(PARÂMETROS!$F$8:$F$33,PARÂMETROS!$A$8:$A$33,C757,PARÂMETROS!$G$8:$G$33,J757)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SUMIFS(PARÂMETROS!$F$8:$F$33,PARÂMETROS!$A$8:$A$33,C758,PARÂMETROS!$G$8:$G$33,J758)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SUMIFS(PARÂMETROS!$F$8:$F$33,PARÂMETROS!$A$8:$A$33,C759,PARÂMETROS!$G$8:$G$33,J759)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SUMIFS(PARÂMETROS!$F$8:$F$33,PARÂMETROS!$A$8:$A$33,C760,PARÂMETROS!$G$8:$G$33,J760)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SUMIFS(PARÂMETROS!$F$8:$F$33,PARÂMETROS!$A$8:$A$33,C761,PARÂMETROS!$G$8:$G$33,J761)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SUMIFS(PARÂMETROS!$F$8:$F$33,PARÂMETROS!$A$8:$A$33,C762,PARÂMETROS!$G$8:$G$33,J762)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SUMIFS(PARÂMETROS!$F$8:$F$33,PARÂMETROS!$A$8:$A$33,C763,PARÂMETROS!$G$8:$G$33,J763)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SUMIFS(PARÂMETROS!$F$8:$F$33,PARÂMETROS!$A$8:$A$33,C764,PARÂMETROS!$G$8:$G$33,J764)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SUMIFS(PARÂMETROS!$F$8:$F$33,PARÂMETROS!$A$8:$A$33,C765,PARÂMETROS!$G$8:$G$33,J765)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SUMIFS(PARÂMETROS!$F$8:$F$33,PARÂMETROS!$A$8:$A$33,C766,PARÂMETROS!$G$8:$G$33,J766)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SUMIFS(PARÂMETROS!$F$8:$F$33,PARÂMETROS!$A$8:$A$33,C767,PARÂMETROS!$G$8:$G$33,J767)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SUMIFS(PARÂMETROS!$F$8:$F$33,PARÂMETROS!$A$8:$A$33,C768,PARÂMETROS!$G$8:$G$33,J768)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SUMIFS(PARÂMETROS!$F$8:$F$33,PARÂMETROS!$A$8:$A$33,C769,PARÂMETROS!$G$8:$G$33,J769)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SUMIFS(PARÂMETROS!$F$8:$F$33,PARÂMETROS!$A$8:$A$33,C770,PARÂMETROS!$G$8:$G$33,J770)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SUMIFS(PARÂMETROS!$F$8:$F$33,PARÂMETROS!$A$8:$A$33,C771,PARÂMETROS!$G$8:$G$33,J771)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SUMIFS(PARÂMETROS!$F$8:$F$33,PARÂMETROS!$A$8:$A$33,C772,PARÂMETROS!$G$8:$G$33,J772)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SUMIFS(PARÂMETROS!$F$8:$F$33,PARÂMETROS!$A$8:$A$33,C773,PARÂMETROS!$G$8:$G$33,J773)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SUMIFS(PARÂMETROS!$F$8:$F$33,PARÂMETROS!$A$8:$A$33,C774,PARÂMETROS!$G$8:$G$33,J774)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SUMIFS(PARÂMETROS!$F$8:$F$33,PARÂMETROS!$A$8:$A$33,C775,PARÂMETROS!$G$8:$G$33,J775)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SUMIFS(PARÂMETROS!$F$8:$F$33,PARÂMETROS!$A$8:$A$33,C776,PARÂMETROS!$G$8:$G$33,J776)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SUMIFS(PARÂMETROS!$F$8:$F$33,PARÂMETROS!$A$8:$A$33,C777,PARÂMETROS!$G$8:$G$33,J777)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SUMIFS(PARÂMETROS!$F$8:$F$33,PARÂMETROS!$A$8:$A$33,C778,PARÂMETROS!$G$8:$G$33,J778)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SUMIFS(PARÂMETROS!$F$8:$F$33,PARÂMETROS!$A$8:$A$33,C779,PARÂMETROS!$G$8:$G$33,J779)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SUMIFS(PARÂMETROS!$F$8:$F$33,PARÂMETROS!$A$8:$A$33,C780,PARÂMETROS!$G$8:$G$33,J780)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SUMIFS(PARÂMETROS!$F$8:$F$33,PARÂMETROS!$A$8:$A$33,C781,PARÂMETROS!$G$8:$G$33,J781)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SUMIFS(PARÂMETROS!$F$8:$F$33,PARÂMETROS!$A$8:$A$33,C782,PARÂMETROS!$G$8:$G$33,J782)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SUMIFS(PARÂMETROS!$F$8:$F$33,PARÂMETROS!$A$8:$A$33,C783,PARÂMETROS!$G$8:$G$33,J783)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SUMIFS(PARÂMETROS!$F$8:$F$33,PARÂMETROS!$A$8:$A$33,C784,PARÂMETROS!$G$8:$G$33,J784)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SUMIFS(PARÂMETROS!$F$8:$F$33,PARÂMETROS!$A$8:$A$33,C785,PARÂMETROS!$G$8:$G$33,J785)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SUMIFS(PARÂMETROS!$F$8:$F$33,PARÂMETROS!$A$8:$A$33,C786,PARÂMETROS!$G$8:$G$33,J786)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SUMIFS(PARÂMETROS!$F$8:$F$33,PARÂMETROS!$A$8:$A$33,C787,PARÂMETROS!$G$8:$G$33,J787)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SUMIFS(PARÂMETROS!$F$8:$F$33,PARÂMETROS!$A$8:$A$33,C788,PARÂMETROS!$G$8:$G$33,J788)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SUMIFS(PARÂMETROS!$F$8:$F$33,PARÂMETROS!$A$8:$A$33,C789,PARÂMETROS!$G$8:$G$33,J789)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SUMIFS(PARÂMETROS!$F$8:$F$33,PARÂMETROS!$A$8:$A$33,C790,PARÂMETROS!$G$8:$G$33,J790)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SUMIFS(PARÂMETROS!$F$8:$F$33,PARÂMETROS!$A$8:$A$33,C791,PARÂMETROS!$G$8:$G$33,J791)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SUMIFS(PARÂMETROS!$F$8:$F$33,PARÂMETROS!$A$8:$A$33,C792,PARÂMETROS!$G$8:$G$33,J792)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SUMIFS(PARÂMETROS!$F$8:$F$33,PARÂMETROS!$A$8:$A$33,C793,PARÂMETROS!$G$8:$G$33,J793)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SUMIFS(PARÂMETROS!$F$8:$F$33,PARÂMETROS!$A$8:$A$33,C794,PARÂMETROS!$G$8:$G$33,J794)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SUMIFS(PARÂMETROS!$F$8:$F$33,PARÂMETROS!$A$8:$A$33,C795,PARÂMETROS!$G$8:$G$33,J795)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SUMIFS(PARÂMETROS!$F$8:$F$33,PARÂMETROS!$A$8:$A$33,C796,PARÂMETROS!$G$8:$G$33,J796)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SUMIFS(PARÂMETROS!$F$8:$F$33,PARÂMETROS!$A$8:$A$33,C797,PARÂMETROS!$G$8:$G$33,J797)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SUMIFS(PARÂMETROS!$F$8:$F$33,PARÂMETROS!$A$8:$A$33,C798,PARÂMETROS!$G$8:$G$33,J798)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SUMIFS(PARÂMETROS!$F$8:$F$33,PARÂMETROS!$A$8:$A$33,C799,PARÂMETROS!$G$8:$G$33,J799)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SUMIFS(PARÂMETROS!$F$8:$F$33,PARÂMETROS!$A$8:$A$33,C800,PARÂMETROS!$G$8:$G$33,J800)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SUMIFS(PARÂMETROS!$F$8:$F$33,PARÂMETROS!$A$8:$A$33,C801,PARÂMETROS!$G$8:$G$33,J801)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SUMIFS(PARÂMETROS!$F$8:$F$33,PARÂMETROS!$A$8:$A$33,C802,PARÂMETROS!$G$8:$G$33,J802)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SUMIFS(PARÂMETROS!$F$8:$F$33,PARÂMETROS!$A$8:$A$33,C803,PARÂMETROS!$G$8:$G$33,J803)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SUMIFS(PARÂMETROS!$F$8:$F$33,PARÂMETROS!$A$8:$A$33,C804,PARÂMETROS!$G$8:$G$33,J804)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SUMIFS(PARÂMETROS!$F$8:$F$33,PARÂMETROS!$A$8:$A$33,C805,PARÂMETROS!$G$8:$G$33,J805)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SUMIFS(PARÂMETROS!$F$8:$F$33,PARÂMETROS!$A$8:$A$33,C806,PARÂMETROS!$G$8:$G$33,J806)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SUMIFS(PARÂMETROS!$F$8:$F$33,PARÂMETROS!$A$8:$A$33,C807,PARÂMETROS!$G$8:$G$33,J807)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SUMIFS(PARÂMETROS!$F$8:$F$33,PARÂMETROS!$A$8:$A$33,C808,PARÂMETROS!$G$8:$G$33,J808)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SUMIFS(PARÂMETROS!$F$8:$F$33,PARÂMETROS!$A$8:$A$33,C809,PARÂMETROS!$G$8:$G$33,J809)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SUMIFS(PARÂMETROS!$F$8:$F$33,PARÂMETROS!$A$8:$A$33,C810,PARÂMETROS!$G$8:$G$33,J810)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SUMIFS(PARÂMETROS!$F$8:$F$33,PARÂMETROS!$A$8:$A$33,C811,PARÂMETROS!$G$8:$G$33,J811)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SUMIFS(PARÂMETROS!$F$8:$F$33,PARÂMETROS!$A$8:$A$33,C812,PARÂMETROS!$G$8:$G$33,J812)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SUMIFS(PARÂMETROS!$F$8:$F$33,PARÂMETROS!$A$8:$A$33,C813,PARÂMETROS!$G$8:$G$33,J813)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SUMIFS(PARÂMETROS!$F$8:$F$33,PARÂMETROS!$A$8:$A$33,C814,PARÂMETROS!$G$8:$G$33,J814)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SUMIFS(PARÂMETROS!$F$8:$F$33,PARÂMETROS!$A$8:$A$33,C815,PARÂMETROS!$G$8:$G$33,J815)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SUMIFS(PARÂMETROS!$F$8:$F$33,PARÂMETROS!$A$8:$A$33,C816,PARÂMETROS!$G$8:$G$33,J816)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SUMIFS(PARÂMETROS!$F$8:$F$33,PARÂMETROS!$A$8:$A$33,C817,PARÂMETROS!$G$8:$G$33,J817)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SUMIFS(PARÂMETROS!$F$8:$F$33,PARÂMETROS!$A$8:$A$33,C818,PARÂMETROS!$G$8:$G$33,J818)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SUMIFS(PARÂMETROS!$F$8:$F$33,PARÂMETROS!$A$8:$A$33,C819,PARÂMETROS!$G$8:$G$33,J819)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SUMIFS(PARÂMETROS!$F$8:$F$33,PARÂMETROS!$A$8:$A$33,C820,PARÂMETROS!$G$8:$G$33,J820)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SUMIFS(PARÂMETROS!$F$8:$F$33,PARÂMETROS!$A$8:$A$33,C821,PARÂMETROS!$G$8:$G$33,J821)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SUMIFS(PARÂMETROS!$F$8:$F$33,PARÂMETROS!$A$8:$A$33,C822,PARÂMETROS!$G$8:$G$33,J822)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SUMIFS(PARÂMETROS!$F$8:$F$33,PARÂMETROS!$A$8:$A$33,C823,PARÂMETROS!$G$8:$G$33,J823)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SUMIFS(PARÂMETROS!$F$8:$F$33,PARÂMETROS!$A$8:$A$33,C824,PARÂMETROS!$G$8:$G$33,J824)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SUMIFS(PARÂMETROS!$F$8:$F$33,PARÂMETROS!$A$8:$A$33,C825,PARÂMETROS!$G$8:$G$33,J825)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SUMIFS(PARÂMETROS!$F$8:$F$33,PARÂMETROS!$A$8:$A$33,C826,PARÂMETROS!$G$8:$G$33,J826)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SUMIFS(PARÂMETROS!$F$8:$F$33,PARÂMETROS!$A$8:$A$33,C827,PARÂMETROS!$G$8:$G$33,J827)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SUMIFS(PARÂMETROS!$F$8:$F$33,PARÂMETROS!$A$8:$A$33,C828,PARÂMETROS!$G$8:$G$33,J828)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SUMIFS(PARÂMETROS!$F$8:$F$33,PARÂMETROS!$A$8:$A$33,C829,PARÂMETROS!$G$8:$G$33,J829)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SUMIFS(PARÂMETROS!$F$8:$F$33,PARÂMETROS!$A$8:$A$33,C830,PARÂMETROS!$G$8:$G$33,J830)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SUMIFS(PARÂMETROS!$F$8:$F$33,PARÂMETROS!$A$8:$A$33,C831,PARÂMETROS!$G$8:$G$33,J831)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SUMIFS(PARÂMETROS!$F$8:$F$33,PARÂMETROS!$A$8:$A$33,C832,PARÂMETROS!$G$8:$G$33,J832)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SUMIFS(PARÂMETROS!$F$8:$F$33,PARÂMETROS!$A$8:$A$33,C833,PARÂMETROS!$G$8:$G$33,J833)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SUMIFS(PARÂMETROS!$F$8:$F$33,PARÂMETROS!$A$8:$A$33,C834,PARÂMETROS!$G$8:$G$33,J834)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SUMIFS(PARÂMETROS!$F$8:$F$33,PARÂMETROS!$A$8:$A$33,C835,PARÂMETROS!$G$8:$G$33,J835)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SUMIFS(PARÂMETROS!$F$8:$F$33,PARÂMETROS!$A$8:$A$33,C836,PARÂMETROS!$G$8:$G$33,J836)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SUMIFS(PARÂMETROS!$F$8:$F$33,PARÂMETROS!$A$8:$A$33,C837,PARÂMETROS!$G$8:$G$33,J837)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SUMIFS(PARÂMETROS!$F$8:$F$33,PARÂMETROS!$A$8:$A$33,C838,PARÂMETROS!$G$8:$G$33,J838)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SUMIFS(PARÂMETROS!$F$8:$F$33,PARÂMETROS!$A$8:$A$33,C839,PARÂMETROS!$G$8:$G$33,J839)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SUMIFS(PARÂMETROS!$F$8:$F$33,PARÂMETROS!$A$8:$A$33,C840,PARÂMETROS!$G$8:$G$33,J840)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SUMIFS(PARÂMETROS!$F$8:$F$33,PARÂMETROS!$A$8:$A$33,C841,PARÂMETROS!$G$8:$G$33,J841)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SUMIFS(PARÂMETROS!$F$8:$F$33,PARÂMETROS!$A$8:$A$33,C842,PARÂMETROS!$G$8:$G$33,J842)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SUMIFS(PARÂMETROS!$F$8:$F$33,PARÂMETROS!$A$8:$A$33,C843,PARÂMETROS!$G$8:$G$33,J843)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26" t="n">
        <f aca="false">SUMIFS(SETORES!$D:$D,SETORES!$A:$A,A844,SETORES!$F:$F,J844)</f>
        <v>60322.867</v>
      </c>
      <c r="F844" s="26" t="n">
        <f aca="false">IFERROR(D844*E844,0)</f>
        <v>1972.33150759091</v>
      </c>
      <c r="G844" s="25" t="n">
        <f aca="false">SUMIFS(PARÂMETROS!$F$8:$F$33,PARÂMETROS!$A$8:$A$33,C844,PARÂMETROS!$G$8:$G$33,J844)</f>
        <v>0</v>
      </c>
      <c r="H844" s="26" t="n">
        <f aca="false">IFERROR(F844*G844,0)</f>
        <v>0</v>
      </c>
      <c r="I844" s="26" t="n">
        <f aca="false">F844+H844</f>
        <v>1972.33150759091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26" t="n">
        <f aca="false">SUMIFS(SETORES!$D:$D,SETORES!$A:$A,A845,SETORES!$F:$F,J845)</f>
        <v>60322.867</v>
      </c>
      <c r="F845" s="26" t="n">
        <f aca="false">IFERROR(D845*E845,0)</f>
        <v>4050.64439855875</v>
      </c>
      <c r="G845" s="25" t="n">
        <f aca="false">SUMIFS(PARÂMETROS!$F$8:$F$33,PARÂMETROS!$A$8:$A$33,C845,PARÂMETROS!$G$8:$G$33,J845)</f>
        <v>0</v>
      </c>
      <c r="H845" s="26" t="n">
        <f aca="false">IFERROR(F845*G845,0)</f>
        <v>0</v>
      </c>
      <c r="I845" s="26" t="n">
        <f aca="false">F845+H845</f>
        <v>4050.64439855875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26" t="n">
        <f aca="false">SUMIFS(SETORES!$D:$D,SETORES!$A:$A,A846,SETORES!$F:$F,J846)</f>
        <v>60322.867</v>
      </c>
      <c r="F846" s="26" t="n">
        <f aca="false">IFERROR(D846*E846,0)</f>
        <v>4397.62864526455</v>
      </c>
      <c r="G846" s="25" t="n">
        <f aca="false">SUMIFS(PARÂMETROS!$F$8:$F$33,PARÂMETROS!$A$8:$A$33,C846,PARÂMETROS!$G$8:$G$33,J846)</f>
        <v>0</v>
      </c>
      <c r="H846" s="26" t="n">
        <f aca="false">IFERROR(F846*G846,0)</f>
        <v>0</v>
      </c>
      <c r="I846" s="26" t="n">
        <f aca="false">F846+H846</f>
        <v>4397.62864526455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26" t="n">
        <f aca="false">SUMIFS(SETORES!$D:$D,SETORES!$A:$A,A847,SETORES!$F:$F,J847)</f>
        <v>60322.867</v>
      </c>
      <c r="F847" s="26" t="n">
        <f aca="false">IFERROR(D847*E847,0)</f>
        <v>1127.17488252577</v>
      </c>
      <c r="G847" s="25" t="n">
        <f aca="false">SUMIFS(PARÂMETROS!$F$8:$F$33,PARÂMETROS!$A$8:$A$33,C847,PARÂMETROS!$G$8:$G$33,J847)</f>
        <v>0</v>
      </c>
      <c r="H847" s="26" t="n">
        <f aca="false">IFERROR(F847*G847,0)</f>
        <v>0</v>
      </c>
      <c r="I847" s="26" t="n">
        <f aca="false">F847+H847</f>
        <v>1127.17488252577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26" t="n">
        <f aca="false">SUMIFS(SETORES!$D:$D,SETORES!$A:$A,A848,SETORES!$F:$F,J848)</f>
        <v>60322.867</v>
      </c>
      <c r="F848" s="26" t="n">
        <f aca="false">IFERROR(D848*E848,0)</f>
        <v>1966.34385881255</v>
      </c>
      <c r="G848" s="25" t="n">
        <f aca="false">SUMIFS(PARÂMETROS!$F$8:$F$33,PARÂMETROS!$A$8:$A$33,C848,PARÂMETROS!$G$8:$G$33,J848)</f>
        <v>0</v>
      </c>
      <c r="H848" s="26" t="n">
        <f aca="false">IFERROR(F848*G848,0)</f>
        <v>0</v>
      </c>
      <c r="I848" s="26" t="n">
        <f aca="false">F848+H848</f>
        <v>1966.34385881255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26" t="n">
        <f aca="false">SUMIFS(SETORES!$D:$D,SETORES!$A:$A,A849,SETORES!$F:$F,J849)</f>
        <v>60322.867</v>
      </c>
      <c r="F849" s="26" t="n">
        <f aca="false">IFERROR(D849*E849,0)</f>
        <v>1438.53261900035</v>
      </c>
      <c r="G849" s="25" t="n">
        <f aca="false">SUMIFS(PARÂMETROS!$F$8:$F$33,PARÂMETROS!$A$8:$A$33,C849,PARÂMETROS!$G$8:$G$33,J849)</f>
        <v>0</v>
      </c>
      <c r="H849" s="26" t="n">
        <f aca="false">IFERROR(F849*G849,0)</f>
        <v>0</v>
      </c>
      <c r="I849" s="26" t="n">
        <f aca="false">F849+H849</f>
        <v>1438.53261900035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26" t="n">
        <f aca="false">SUMIFS(SETORES!$D:$D,SETORES!$A:$A,A850,SETORES!$F:$F,J850)</f>
        <v>60322.867</v>
      </c>
      <c r="F850" s="26" t="n">
        <f aca="false">IFERROR(D850*E850,0)</f>
        <v>1438.83200143927</v>
      </c>
      <c r="G850" s="25" t="n">
        <f aca="false">SUMIFS(PARÂMETROS!$F$8:$F$33,PARÂMETROS!$A$8:$A$33,C850,PARÂMETROS!$G$8:$G$33,J850)</f>
        <v>0</v>
      </c>
      <c r="H850" s="26" t="n">
        <f aca="false">IFERROR(F850*G850,0)</f>
        <v>0</v>
      </c>
      <c r="I850" s="26" t="n">
        <f aca="false">F850+H850</f>
        <v>1438.83200143927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26" t="n">
        <f aca="false">SUMIFS(SETORES!$D:$D,SETORES!$A:$A,A851,SETORES!$F:$F,J851)</f>
        <v>60322.867</v>
      </c>
      <c r="F851" s="26" t="n">
        <f aca="false">IFERROR(D851*E851,0)</f>
        <v>43931.3790868078</v>
      </c>
      <c r="G851" s="25" t="n">
        <f aca="false">SUMIFS(PARÂMETROS!$F$8:$F$33,PARÂMETROS!$A$8:$A$33,C851,PARÂMETROS!$G$8:$G$33,J851)</f>
        <v>0</v>
      </c>
      <c r="H851" s="26" t="n">
        <f aca="false">IFERROR(F851*G851,0)</f>
        <v>0</v>
      </c>
      <c r="I851" s="26" t="n">
        <f aca="false">F851+H851</f>
        <v>43931.3790868078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SUMIFS(PARÂMETROS!$F$8:$F$33,PARÂMETROS!$A$8:$A$33,C852,PARÂMETROS!$G$8:$G$33,J852)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SUMIFS(PARÂMETROS!$F$8:$F$33,PARÂMETROS!$A$8:$A$33,C853,PARÂMETROS!$G$8:$G$33,J853)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SUMIFS(PARÂMETROS!$F$8:$F$33,PARÂMETROS!$A$8:$A$33,C854,PARÂMETROS!$G$8:$G$33,J854)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SUMIFS(PARÂMETROS!$F$8:$F$33,PARÂMETROS!$A$8:$A$33,C855,PARÂMETROS!$G$8:$G$33,J855)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SUMIFS(PARÂMETROS!$F$8:$F$33,PARÂMETROS!$A$8:$A$33,C856,PARÂMETROS!$G$8:$G$33,J856)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SUMIFS(PARÂMETROS!$F$8:$F$33,PARÂMETROS!$A$8:$A$33,C857,PARÂMETROS!$G$8:$G$33,J857)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SUMIFS(PARÂMETROS!$F$8:$F$33,PARÂMETROS!$A$8:$A$33,C858,PARÂMETROS!$G$8:$G$33,J858)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SUMIFS(PARÂMETROS!$F$8:$F$33,PARÂMETROS!$A$8:$A$33,C859,PARÂMETROS!$G$8:$G$33,J859)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SUMIFS(PARÂMETROS!$F$8:$F$33,PARÂMETROS!$A$8:$A$33,C860,PARÂMETROS!$G$8:$G$33,J860)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SUMIFS(PARÂMETROS!$F$8:$F$33,PARÂMETROS!$A$8:$A$33,C861,PARÂMETROS!$G$8:$G$33,J861)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SUMIFS(PARÂMETROS!$F$8:$F$33,PARÂMETROS!$A$8:$A$33,C862,PARÂMETROS!$G$8:$G$33,J862)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SUMIFS(PARÂMETROS!$F$8:$F$33,PARÂMETROS!$A$8:$A$33,C863,PARÂMETROS!$G$8:$G$33,J863)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SUMIFS(PARÂMETROS!$F$8:$F$33,PARÂMETROS!$A$8:$A$33,C864,PARÂMETROS!$G$8:$G$33,J864)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SUMIFS(PARÂMETROS!$F$8:$F$33,PARÂMETROS!$A$8:$A$33,C865,PARÂMETROS!$G$8:$G$33,J865)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SUMIFS(PARÂMETROS!$F$8:$F$33,PARÂMETROS!$A$8:$A$33,C866,PARÂMETROS!$G$8:$G$33,J866)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SUMIFS(PARÂMETROS!$F$8:$F$33,PARÂMETROS!$A$8:$A$33,C867,PARÂMETROS!$G$8:$G$33,J867)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SUMIFS(PARÂMETROS!$F$8:$F$33,PARÂMETROS!$A$8:$A$33,C868,PARÂMETROS!$G$8:$G$33,J868)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SUMIFS(PARÂMETROS!$F$8:$F$33,PARÂMETROS!$A$8:$A$33,C869,PARÂMETROS!$G$8:$G$33,J869)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SUMIFS(PARÂMETROS!$F$8:$F$33,PARÂMETROS!$A$8:$A$33,C870,PARÂMETROS!$G$8:$G$33,J870)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SUMIFS(PARÂMETROS!$F$8:$F$33,PARÂMETROS!$A$8:$A$33,C871,PARÂMETROS!$G$8:$G$33,J871)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SUMIFS(PARÂMETROS!$F$8:$F$33,PARÂMETROS!$A$8:$A$33,C872,PARÂMETROS!$G$8:$G$33,J872)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SUMIFS(PARÂMETROS!$F$8:$F$33,PARÂMETROS!$A$8:$A$33,C873,PARÂMETROS!$G$8:$G$33,J873)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SUMIFS(PARÂMETROS!$F$8:$F$33,PARÂMETROS!$A$8:$A$33,C874,PARÂMETROS!$G$8:$G$33,J874)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SUMIFS(PARÂMETROS!$F$8:$F$33,PARÂMETROS!$A$8:$A$33,C875,PARÂMETROS!$G$8:$G$33,J875)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SUMIFS(PARÂMETROS!$F$8:$F$33,PARÂMETROS!$A$8:$A$33,C876,PARÂMETROS!$G$8:$G$33,J876)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SUMIFS(PARÂMETROS!$F$8:$F$33,PARÂMETROS!$A$8:$A$33,C877,PARÂMETROS!$G$8:$G$33,J877)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SUMIFS(PARÂMETROS!$F$8:$F$33,PARÂMETROS!$A$8:$A$33,C878,PARÂMETROS!$G$8:$G$33,J878)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SUMIFS(PARÂMETROS!$F$8:$F$33,PARÂMETROS!$A$8:$A$33,C879,PARÂMETROS!$G$8:$G$33,J879)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SUMIFS(PARÂMETROS!$F$8:$F$33,PARÂMETROS!$A$8:$A$33,C880,PARÂMETROS!$G$8:$G$33,J880)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SUMIFS(PARÂMETROS!$F$8:$F$33,PARÂMETROS!$A$8:$A$33,C881,PARÂMETROS!$G$8:$G$33,J881)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SUMIFS(PARÂMETROS!$F$8:$F$33,PARÂMETROS!$A$8:$A$33,C882,PARÂMETROS!$G$8:$G$33,J882)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SUMIFS(PARÂMETROS!$F$8:$F$33,PARÂMETROS!$A$8:$A$33,C883,PARÂMETROS!$G$8:$G$33,J883)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SUMIFS(PARÂMETROS!$F$8:$F$33,PARÂMETROS!$A$8:$A$33,C884,PARÂMETROS!$G$8:$G$33,J884)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SUMIFS(PARÂMETROS!$F$8:$F$33,PARÂMETROS!$A$8:$A$33,C885,PARÂMETROS!$G$8:$G$33,J885)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SUMIFS(PARÂMETROS!$F$8:$F$33,PARÂMETROS!$A$8:$A$33,C886,PARÂMETROS!$G$8:$G$33,J886)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SUMIFS(PARÂMETROS!$F$8:$F$33,PARÂMETROS!$A$8:$A$33,C887,PARÂMETROS!$G$8:$G$33,J887)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SUMIFS(PARÂMETROS!$F$8:$F$33,PARÂMETROS!$A$8:$A$33,C888,PARÂMETROS!$G$8:$G$33,J888)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SUMIFS(PARÂMETROS!$F$8:$F$33,PARÂMETROS!$A$8:$A$33,C889,PARÂMETROS!$G$8:$G$33,J889)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SUMIFS(PARÂMETROS!$F$8:$F$33,PARÂMETROS!$A$8:$A$33,C890,PARÂMETROS!$G$8:$G$33,J890)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SUMIFS(PARÂMETROS!$F$8:$F$33,PARÂMETROS!$A$8:$A$33,C891,PARÂMETROS!$G$8:$G$33,J891)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SUMIFS(PARÂMETROS!$F$8:$F$33,PARÂMETROS!$A$8:$A$33,C892,PARÂMETROS!$G$8:$G$33,J892)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SUMIFS(PARÂMETROS!$F$8:$F$33,PARÂMETROS!$A$8:$A$33,C893,PARÂMETROS!$G$8:$G$33,J893)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SUMIFS(PARÂMETROS!$F$8:$F$33,PARÂMETROS!$A$8:$A$33,C894,PARÂMETROS!$G$8:$G$33,J894)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SUMIFS(PARÂMETROS!$F$8:$F$33,PARÂMETROS!$A$8:$A$33,C895,PARÂMETROS!$G$8:$G$33,J895)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SUMIFS(PARÂMETROS!$F$8:$F$33,PARÂMETROS!$A$8:$A$33,C896,PARÂMETROS!$G$8:$G$33,J896)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SUMIFS(PARÂMETROS!$F$8:$F$33,PARÂMETROS!$A$8:$A$33,C897,PARÂMETROS!$G$8:$G$33,J897)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SUMIFS(PARÂMETROS!$F$8:$F$33,PARÂMETROS!$A$8:$A$33,C898,PARÂMETROS!$G$8:$G$33,J898)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SUMIFS(PARÂMETROS!$F$8:$F$33,PARÂMETROS!$A$8:$A$33,C899,PARÂMETROS!$G$8:$G$33,J899)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  <c r="G4" s="6" t="s">
        <v>94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IFERROR(D5/IF(B5="Clientes",SUMIFS(PARÂMETROS!$B$8:$B$33,PARÂMETROS!$G$8:$G$33,F5),SUMIFS(PARÂMETROS!$C$8:$C$33,PARÂMETROS!$G$8:$G$33,F5)),0)</f>
        <v>0</v>
      </c>
      <c r="F5" s="11"/>
      <c r="G5" s="31" t="n">
        <f aca="false">IF(B5="Clientes",SUMIFS(PARÂMETROS!$B$8:$B$33,PARÂMETROS!$G$8:$G$33,F5),SUMIFS(PARÂMETROS!$C$8:$C$33,PARÂMETROS!$G$8:$G$33,F5))</f>
        <v>0</v>
      </c>
    </row>
    <row r="6" customFormat="false" ht="15" hidden="false" customHeight="true" outlineLevel="0" collapsed="false">
      <c r="A6" s="27" t="s">
        <v>31</v>
      </c>
      <c r="B6" s="28" t="s">
        <v>95</v>
      </c>
      <c r="C6" s="29" t="s">
        <v>96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IFERROR(D6/IF(B6="Clientes",SUMIFS(PARÂMETROS!$B$8:$B$33,PARÂMETROS!$G$8:$G$33,F6),SUMIFS(PARÂMETROS!$C$8:$C$33,PARÂMETROS!$G$8:$G$33,F6)),0)</f>
        <v>0.254971087196266</v>
      </c>
      <c r="F6" s="11" t="s">
        <v>20</v>
      </c>
      <c r="G6" s="31" t="n">
        <f aca="false">IF(B6="Clientes",SUMIFS(PARÂMETROS!$B$8:$B$33,PARÂMETROS!$G$8:$G$33,F6),SUMIFS(PARÂMETROS!$C$8:$C$33,PARÂMETROS!$G$8:$G$33,F6))</f>
        <v>191327</v>
      </c>
    </row>
    <row r="7" customFormat="false" ht="15" hidden="false" customHeight="true" outlineLevel="0" collapsed="false">
      <c r="A7" s="27" t="s">
        <v>32</v>
      </c>
      <c r="B7" s="28" t="s">
        <v>97</v>
      </c>
      <c r="C7" s="29" t="s">
        <v>98</v>
      </c>
      <c r="D7" s="21" t="n">
        <f aca="false">SUMIFS('CUSTOS MENSAIS'!$F:$F,'CUSTOS MENSAIS'!$A:$A,A7,'CUSTOS MENSAIS'!$H:$H,F7)</f>
        <v>22716.787644</v>
      </c>
      <c r="E7" s="21" t="n">
        <f aca="false">IFERROR(D7/IF(B7="Clientes",SUMIFS(PARÂMETROS!$B$8:$B$33,PARÂMETROS!$G$8:$G$33,F7),SUMIFS(PARÂMETROS!$C$8:$C$33,PARÂMETROS!$G$8:$G$33,F7)),0)</f>
        <v>21.5733975726496</v>
      </c>
      <c r="F7" s="11" t="s">
        <v>20</v>
      </c>
      <c r="G7" s="31" t="n">
        <f aca="false">IF(B7="Clientes",SUMIFS(PARÂMETROS!$B$8:$B$33,PARÂMETROS!$G$8:$G$33,F7),SUMIFS(PARÂMETROS!$C$8:$C$33,PARÂMETROS!$G$8:$G$33,F7))</f>
        <v>1053</v>
      </c>
    </row>
    <row r="8" customFormat="false" ht="15" hidden="false" customHeight="true" outlineLevel="0" collapsed="false">
      <c r="A8" s="27" t="s">
        <v>33</v>
      </c>
      <c r="B8" s="28" t="s">
        <v>97</v>
      </c>
      <c r="C8" s="29" t="s">
        <v>99</v>
      </c>
      <c r="D8" s="21" t="n">
        <f aca="false">SUMIFS('CUSTOS MENSAIS'!$F:$F,'CUSTOS MENSAIS'!$A:$A,A8,'CUSTOS MENSAIS'!$H:$H,F8)</f>
        <v>38489.1359</v>
      </c>
      <c r="E8" s="21" t="n">
        <f aca="false">IFERROR(D8/IF(B8="Clientes",SUMIFS(PARÂMETROS!$B$8:$B$33,PARÂMETROS!$G$8:$G$33,F8),SUMIFS(PARÂMETROS!$C$8:$C$33,PARÂMETROS!$G$8:$G$33,F8)),0)</f>
        <v>36.5518859449193</v>
      </c>
      <c r="F8" s="11" t="s">
        <v>20</v>
      </c>
      <c r="G8" s="31" t="n">
        <f aca="false">IF(B8="Clientes",SUMIFS(PARÂMETROS!$B$8:$B$33,PARÂMETROS!$G$8:$G$33,F8),SUMIFS(PARÂMETROS!$C$8:$C$33,PARÂMETROS!$G$8:$G$33,F8))</f>
        <v>1053</v>
      </c>
    </row>
    <row r="9" customFormat="false" ht="15" hidden="false" customHeight="true" outlineLevel="0" collapsed="false">
      <c r="A9" s="27" t="s">
        <v>34</v>
      </c>
      <c r="B9" s="28" t="s">
        <v>95</v>
      </c>
      <c r="C9" s="29" t="s">
        <v>100</v>
      </c>
      <c r="D9" s="21" t="n">
        <f aca="false">SUMIFS('CUSTOS MENSAIS'!$F:$F,'CUSTOS MENSAIS'!$A:$A,A9,'CUSTOS MENSAIS'!$H:$H,F9)</f>
        <v>20198.149555</v>
      </c>
      <c r="E9" s="21" t="n">
        <f aca="false">IFERROR(D9/IF(B9="Clientes",SUMIFS(PARÂMETROS!$B$8:$B$33,PARÂMETROS!$G$8:$G$33,F9),SUMIFS(PARÂMETROS!$C$8:$C$33,PARÂMETROS!$G$8:$G$33,F9)),0)</f>
        <v>0.105568736012168</v>
      </c>
      <c r="F9" s="11" t="s">
        <v>20</v>
      </c>
      <c r="G9" s="31" t="n">
        <f aca="false">IF(B9="Clientes",SUMIFS(PARÂMETROS!$B$8:$B$33,PARÂMETROS!$G$8:$G$33,F9),SUMIFS(PARÂMETROS!$C$8:$C$33,PARÂMETROS!$G$8:$G$33,F9))</f>
        <v>191327</v>
      </c>
    </row>
    <row r="10" customFormat="false" ht="15" hidden="false" customHeight="true" outlineLevel="0" collapsed="false">
      <c r="A10" s="27" t="s">
        <v>35</v>
      </c>
      <c r="B10" s="28" t="s">
        <v>95</v>
      </c>
      <c r="C10" s="29" t="s">
        <v>101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IFERROR(D10/IF(B10="Clientes",SUMIFS(PARÂMETROS!$B$8:$B$33,PARÂMETROS!$G$8:$G$33,F10),SUMIFS(PARÂMETROS!$C$8:$C$33,PARÂMETROS!$G$8:$G$33,F10)),0)</f>
        <v>0.0855440852571775</v>
      </c>
      <c r="F10" s="11" t="s">
        <v>20</v>
      </c>
      <c r="G10" s="31" t="n">
        <f aca="false">IF(B10="Clientes",SUMIFS(PARÂMETROS!$B$8:$B$33,PARÂMETROS!$G$8:$G$33,F10),SUMIFS(PARÂMETROS!$C$8:$C$33,PARÂMETROS!$G$8:$G$33,F10))</f>
        <v>191327</v>
      </c>
    </row>
    <row r="11" customFormat="false" ht="15" hidden="false" customHeight="true" outlineLevel="0" collapsed="false">
      <c r="A11" s="27" t="s">
        <v>36</v>
      </c>
      <c r="B11" s="28" t="s">
        <v>95</v>
      </c>
      <c r="C11" s="29" t="s">
        <v>102</v>
      </c>
      <c r="D11" s="21" t="n">
        <f aca="false">SUMIFS('CUSTOS MENSAIS'!$F:$F,'CUSTOS MENSAIS'!$A:$A,A11,'CUSTOS MENSAIS'!$H:$H,F11)</f>
        <v>69852.6056</v>
      </c>
      <c r="E11" s="21" t="n">
        <f aca="false">IFERROR(D11/IF(B11="Clientes",SUMIFS(PARÂMETROS!$B$8:$B$33,PARÂMETROS!$G$8:$G$33,F11),SUMIFS(PARÂMETROS!$C$8:$C$33,PARÂMETROS!$G$8:$G$33,F11)),0)</f>
        <v>0.365095389568644</v>
      </c>
      <c r="F11" s="11" t="s">
        <v>20</v>
      </c>
      <c r="G11" s="31" t="n">
        <f aca="false">IF(B11="Clientes",SUMIFS(PARÂMETROS!$B$8:$B$33,PARÂMETROS!$G$8:$G$33,F11),SUMIFS(PARÂMETROS!$C$8:$C$33,PARÂMETROS!$G$8:$G$33,F11))</f>
        <v>191327</v>
      </c>
    </row>
    <row r="12" customFormat="false" ht="15" hidden="false" customHeight="true" outlineLevel="0" collapsed="false">
      <c r="A12" s="27" t="s">
        <v>37</v>
      </c>
      <c r="B12" s="28" t="s">
        <v>95</v>
      </c>
      <c r="C12" s="29" t="s">
        <v>103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IFERROR(D12/IF(B12="Clientes",SUMIFS(PARÂMETROS!$B$8:$B$33,PARÂMETROS!$G$8:$G$33,F12),SUMIFS(PARÂMETROS!$C$8:$C$33,PARÂMETROS!$G$8:$G$33,F12)),0)</f>
        <v>0.801668328380208</v>
      </c>
      <c r="F12" s="11" t="s">
        <v>20</v>
      </c>
      <c r="G12" s="31" t="n">
        <f aca="false">IF(B12="Clientes",SUMIFS(PARÂMETROS!$B$8:$B$33,PARÂMETROS!$G$8:$G$33,F12),SUMIFS(PARÂMETROS!$C$8:$C$33,PARÂMETROS!$G$8:$G$33,F12))</f>
        <v>191327</v>
      </c>
    </row>
    <row r="13" customFormat="false" ht="15" hidden="false" customHeight="true" outlineLevel="0" collapsed="false">
      <c r="A13" s="27" t="s">
        <v>38</v>
      </c>
      <c r="B13" s="28" t="s">
        <v>95</v>
      </c>
      <c r="C13" s="29" t="s">
        <v>104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IFERROR(D13/IF(B13="Clientes",SUMIFS(PARÂMETROS!$B$8:$B$33,PARÂMETROS!$G$8:$G$33,F13),SUMIFS(PARÂMETROS!$C$8:$C$33,PARÂMETROS!$G$8:$G$33,F13)),0)</f>
        <v>0.226760057791112</v>
      </c>
      <c r="F13" s="11" t="s">
        <v>20</v>
      </c>
      <c r="G13" s="31" t="n">
        <f aca="false">IF(B13="Clientes",SUMIFS(PARÂMETROS!$B$8:$B$33,PARÂMETROS!$G$8:$G$33,F13),SUMIFS(PARÂMETROS!$C$8:$C$33,PARÂMETROS!$G$8:$G$33,F13))</f>
        <v>191327</v>
      </c>
    </row>
    <row r="14" customFormat="false" ht="15" hidden="false" customHeight="true" outlineLevel="0" collapsed="false">
      <c r="A14" s="27" t="s">
        <v>39</v>
      </c>
      <c r="B14" s="28" t="s">
        <v>95</v>
      </c>
      <c r="C14" s="29" t="s">
        <v>105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IFERROR(D14/IF(B14="Clientes",SUMIFS(PARÂMETROS!$B$8:$B$33,PARÂMETROS!$G$8:$G$33,F14),SUMIFS(PARÂMETROS!$C$8:$C$33,PARÂMETROS!$G$8:$G$33,F14)),0)</f>
        <v>0.198403168209401</v>
      </c>
      <c r="F14" s="11" t="s">
        <v>20</v>
      </c>
      <c r="G14" s="31" t="n">
        <f aca="false">IF(B14="Clientes",SUMIFS(PARÂMETROS!$B$8:$B$33,PARÂMETROS!$G$8:$G$33,F14),SUMIFS(PARÂMETROS!$C$8:$C$33,PARÂMETROS!$G$8:$G$33,F14))</f>
        <v>191327</v>
      </c>
    </row>
    <row r="15" customFormat="false" ht="15" hidden="false" customHeight="true" outlineLevel="0" collapsed="false">
      <c r="A15" s="27" t="s">
        <v>40</v>
      </c>
      <c r="B15" s="28" t="s">
        <v>95</v>
      </c>
      <c r="C15" s="29" t="s">
        <v>106</v>
      </c>
      <c r="D15" s="21" t="n">
        <f aca="false">SUMIFS('CUSTOS MENSAIS'!$F:$F,'CUSTOS MENSAIS'!$A:$A,A15,'CUSTOS MENSAIS'!$H:$H,F15)</f>
        <v>24793.829555</v>
      </c>
      <c r="E15" s="21" t="n">
        <f aca="false">IFERROR(D15/IF(B15="Clientes",SUMIFS(PARÂMETROS!$B$8:$B$33,PARÂMETROS!$G$8:$G$33,F15),SUMIFS(PARÂMETROS!$C$8:$C$33,PARÂMETROS!$G$8:$G$33,F15)),0)</f>
        <v>0.129588764549698</v>
      </c>
      <c r="F15" s="11" t="s">
        <v>20</v>
      </c>
      <c r="G15" s="31" t="n">
        <f aca="false">IF(B15="Clientes",SUMIFS(PARÂMETROS!$B$8:$B$33,PARÂMETROS!$G$8:$G$33,F15),SUMIFS(PARÂMETROS!$C$8:$C$33,PARÂMETROS!$G$8:$G$33,F15))</f>
        <v>191327</v>
      </c>
    </row>
    <row r="16" customFormat="false" ht="15" hidden="false" customHeight="true" outlineLevel="0" collapsed="false">
      <c r="A16" s="27" t="s">
        <v>41</v>
      </c>
      <c r="B16" s="28" t="s">
        <v>95</v>
      </c>
      <c r="C16" s="29" t="s">
        <v>107</v>
      </c>
      <c r="D16" s="21" t="n">
        <f aca="false">SUMIFS('CUSTOS MENSAIS'!$F:$F,'CUSTOS MENSAIS'!$A:$A,A16,'CUSTOS MENSAIS'!$H:$H,F16)</f>
        <v>18192.411911</v>
      </c>
      <c r="E16" s="21" t="n">
        <f aca="false">IFERROR(D16/IF(B16="Clientes",SUMIFS(PARÂMETROS!$B$8:$B$33,PARÂMETROS!$G$8:$G$33,F16),SUMIFS(PARÂMETROS!$C$8:$C$33,PARÂMETROS!$G$8:$G$33,F16)),0)</f>
        <v>0.0950854396452147</v>
      </c>
      <c r="F16" s="11" t="s">
        <v>20</v>
      </c>
      <c r="G16" s="31" t="n">
        <f aca="false">IF(B16="Clientes",SUMIFS(PARÂMETROS!$B$8:$B$33,PARÂMETROS!$G$8:$G$33,F16),SUMIFS(PARÂMETROS!$C$8:$C$33,PARÂMETROS!$G$8:$G$33,F16))</f>
        <v>191327</v>
      </c>
    </row>
    <row r="17" customFormat="false" ht="15" hidden="false" customHeight="true" outlineLevel="0" collapsed="false">
      <c r="A17" s="27" t="s">
        <v>42</v>
      </c>
      <c r="B17" s="28" t="s">
        <v>95</v>
      </c>
      <c r="C17" s="29" t="s">
        <v>108</v>
      </c>
      <c r="D17" s="21" t="n">
        <f aca="false">SUMIFS('CUSTOS MENSAIS'!$F:$F,'CUSTOS MENSAIS'!$A:$A,A17,'CUSTOS MENSAIS'!$H:$H,F17)</f>
        <v>27798.6271997778</v>
      </c>
      <c r="E17" s="21" t="n">
        <f aca="false">IFERROR(D17/IF(B17="Clientes",SUMIFS(PARÂMETROS!$B$8:$B$33,PARÂMETROS!$G$8:$G$33,F17),SUMIFS(PARÂMETROS!$C$8:$C$33,PARÂMETROS!$G$8:$G$33,F17)),0)</f>
        <v>0.145293801710045</v>
      </c>
      <c r="F17" s="11" t="s">
        <v>20</v>
      </c>
      <c r="G17" s="31" t="n">
        <f aca="false">IF(B17="Clientes",SUMIFS(PARÂMETROS!$B$8:$B$33,PARÂMETROS!$G$8:$G$33,F17),SUMIFS(PARÂMETROS!$C$8:$C$33,PARÂMETROS!$G$8:$G$33,F17))</f>
        <v>191327</v>
      </c>
    </row>
    <row r="18" customFormat="false" ht="15" hidden="false" customHeight="true" outlineLevel="0" collapsed="false">
      <c r="A18" s="27" t="s">
        <v>43</v>
      </c>
      <c r="B18" s="28" t="s">
        <v>95</v>
      </c>
      <c r="C18" s="29" t="s">
        <v>109</v>
      </c>
      <c r="D18" s="21" t="n">
        <f aca="false">SUMIFS('CUSTOS MENSAIS'!$F:$F,'CUSTOS MENSAIS'!$A:$A,A18,'CUSTOS MENSAIS'!$H:$H,F18)</f>
        <v>21989.8224</v>
      </c>
      <c r="E18" s="21" t="n">
        <f aca="false">IFERROR(D18/IF(B18="Clientes",SUMIFS(PARÂMETROS!$B$8:$B$33,PARÂMETROS!$G$8:$G$33,F18),SUMIFS(PARÂMETROS!$C$8:$C$33,PARÂMETROS!$G$8:$G$33,F18)),0)</f>
        <v>0.114933189774574</v>
      </c>
      <c r="F18" s="11" t="s">
        <v>20</v>
      </c>
      <c r="G18" s="31" t="n">
        <f aca="false">IF(B18="Clientes",SUMIFS(PARÂMETROS!$B$8:$B$33,PARÂMETROS!$G$8:$G$33,F18),SUMIFS(PARÂMETROS!$C$8:$C$33,PARÂMETROS!$G$8:$G$33,F18))</f>
        <v>191327</v>
      </c>
    </row>
    <row r="19" customFormat="false" ht="14.25" hidden="false" customHeight="true" outlineLevel="0" collapsed="false">
      <c r="A19" s="27" t="s">
        <v>44</v>
      </c>
      <c r="B19" s="28" t="s">
        <v>97</v>
      </c>
      <c r="C19" s="29" t="s">
        <v>110</v>
      </c>
      <c r="D19" s="21" t="n">
        <f aca="false">SUMIFS('CUSTOS MENSAIS'!$F:$F,'CUSTOS MENSAIS'!$A:$A,A19,'CUSTOS MENSAIS'!$H:$H,F19)</f>
        <v>53576.6036</v>
      </c>
      <c r="E19" s="21" t="n">
        <f aca="false">IFERROR(D19/IF(B19="Clientes",SUMIFS(PARÂMETROS!$B$8:$B$33,PARÂMETROS!$G$8:$G$33,F19),SUMIFS(PARÂMETROS!$C$8:$C$33,PARÂMETROS!$G$8:$G$33,F19)),0)</f>
        <v>50.8799654320988</v>
      </c>
      <c r="F19" s="11" t="s">
        <v>20</v>
      </c>
      <c r="G19" s="31" t="n">
        <f aca="false">IF(B19="Clientes",SUMIFS(PARÂMETROS!$B$8:$B$33,PARÂMETROS!$G$8:$G$33,F19),SUMIFS(PARÂMETROS!$C$8:$C$33,PARÂMETROS!$G$8:$G$33,F19))</f>
        <v>1053</v>
      </c>
    </row>
    <row r="20" customFormat="false" ht="15" hidden="false" customHeight="true" outlineLevel="0" collapsed="false">
      <c r="A20" s="27" t="s">
        <v>45</v>
      </c>
      <c r="B20" s="28" t="s">
        <v>95</v>
      </c>
      <c r="C20" s="29" t="s">
        <v>111</v>
      </c>
      <c r="D20" s="21" t="n">
        <f aca="false">SUMIFS('CUSTOS MENSAIS'!$F:$F,'CUSTOS MENSAIS'!$A:$A,A20,'CUSTOS MENSAIS'!$H:$H,F20)</f>
        <v>56333.6292</v>
      </c>
      <c r="E20" s="21" t="n">
        <f aca="false">IFERROR(D20/IF(B20="Clientes",SUMIFS(PARÂMETROS!$B$8:$B$33,PARÂMETROS!$G$8:$G$33,F20),SUMIFS(PARÂMETROS!$C$8:$C$33,PARÂMETROS!$G$8:$G$33,F20)),0)</f>
        <v>0.294436379601415</v>
      </c>
      <c r="F20" s="11" t="s">
        <v>20</v>
      </c>
      <c r="G20" s="31" t="n">
        <f aca="false">IF(B20="Clientes",SUMIFS(PARÂMETROS!$B$8:$B$33,PARÂMETROS!$G$8:$G$33,F20),SUMIFS(PARÂMETROS!$C$8:$C$33,PARÂMETROS!$G$8:$G$33,F20))</f>
        <v>191327</v>
      </c>
    </row>
    <row r="21" customFormat="false" ht="15" hidden="false" customHeight="true" outlineLevel="0" collapsed="false">
      <c r="A21" s="27" t="s">
        <v>46</v>
      </c>
      <c r="B21" s="28" t="s">
        <v>95</v>
      </c>
      <c r="C21" s="29" t="s">
        <v>112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IFERROR(D21/IF(B21="Clientes",SUMIFS(PARÂMETROS!$B$8:$B$33,PARÂMETROS!$G$8:$G$33,F21),SUMIFS(PARÂMETROS!$C$8:$C$33,PARÂMETROS!$G$8:$G$33,F21)),0)</f>
        <v>0.965547204524192</v>
      </c>
      <c r="F21" s="11" t="s">
        <v>20</v>
      </c>
      <c r="G21" s="31" t="n">
        <f aca="false">IF(B21="Clientes",SUMIFS(PARÂMETROS!$B$8:$B$33,PARÂMETROS!$G$8:$G$33,F21),SUMIFS(PARÂMETROS!$C$8:$C$33,PARÂMETROS!$G$8:$G$33,F21))</f>
        <v>191327</v>
      </c>
    </row>
    <row r="22" customFormat="false" ht="15" hidden="false" customHeight="true" outlineLevel="0" collapsed="false">
      <c r="A22" s="27" t="s">
        <v>47</v>
      </c>
      <c r="B22" s="28" t="s">
        <v>95</v>
      </c>
      <c r="C22" s="29" t="s">
        <v>113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IFERROR(D22/IF(B22="Clientes",SUMIFS(PARÂMETROS!$B$8:$B$33,PARÂMETROS!$G$8:$G$33,F22),SUMIFS(PARÂMETROS!$C$8:$C$33,PARÂMETROS!$G$8:$G$33,F22)),0)</f>
        <v>0.718249489094587</v>
      </c>
      <c r="F22" s="11" t="s">
        <v>20</v>
      </c>
      <c r="G22" s="31" t="n">
        <f aca="false">IF(B22="Clientes",SUMIFS(PARÂMETROS!$B$8:$B$33,PARÂMETROS!$G$8:$G$33,F22),SUMIFS(PARÂMETROS!$C$8:$C$33,PARÂMETROS!$G$8:$G$33,F22))</f>
        <v>191327</v>
      </c>
    </row>
    <row r="23" customFormat="false" ht="15" hidden="false" customHeight="true" outlineLevel="0" collapsed="false">
      <c r="A23" s="27" t="s">
        <v>48</v>
      </c>
      <c r="B23" s="28" t="s">
        <v>95</v>
      </c>
      <c r="C23" s="29" t="s">
        <v>114</v>
      </c>
      <c r="D23" s="21" t="n">
        <f aca="false">SUMIFS('CUSTOS MENSAIS'!$F:$F,'CUSTOS MENSAIS'!$A:$A,A23,'CUSTOS MENSAIS'!$H:$H,F23)</f>
        <v>117306.847989</v>
      </c>
      <c r="E23" s="21" t="n">
        <f aca="false">IFERROR(D23/IF(B23="Clientes",SUMIFS(PARÂMETROS!$B$8:$B$33,PARÂMETROS!$G$8:$G$33,F23),SUMIFS(PARÂMETROS!$C$8:$C$33,PARÂMETROS!$G$8:$G$33,F23)),0)</f>
        <v>0.613122287962494</v>
      </c>
      <c r="F23" s="11" t="s">
        <v>20</v>
      </c>
      <c r="G23" s="31" t="n">
        <f aca="false">IF(B23="Clientes",SUMIFS(PARÂMETROS!$B$8:$B$33,PARÂMETROS!$G$8:$G$33,F23),SUMIFS(PARÂMETROS!$C$8:$C$33,PARÂMETROS!$G$8:$G$33,F23))</f>
        <v>191327</v>
      </c>
    </row>
    <row r="24" customFormat="false" ht="15" hidden="false" customHeight="true" outlineLevel="0" collapsed="false">
      <c r="A24" s="27" t="s">
        <v>49</v>
      </c>
      <c r="B24" s="28" t="s">
        <v>95</v>
      </c>
      <c r="C24" s="29" t="s">
        <v>115</v>
      </c>
      <c r="D24" s="21" t="n">
        <f aca="false">SUMIFS('CUSTOS MENSAIS'!$F:$F,'CUSTOS MENSAIS'!$A:$A,A24,'CUSTOS MENSAIS'!$H:$H,F24)</f>
        <v>29682.141611</v>
      </c>
      <c r="E24" s="21" t="n">
        <f aca="false">IFERROR(D24/IF(B24="Clientes",SUMIFS(PARÂMETROS!$B$8:$B$33,PARÂMETROS!$G$8:$G$33,F24),SUMIFS(PARÂMETROS!$C$8:$C$33,PARÂMETROS!$G$8:$G$33,F24)),0)</f>
        <v>0.155138279547581</v>
      </c>
      <c r="F24" s="11" t="s">
        <v>20</v>
      </c>
      <c r="G24" s="31" t="n">
        <f aca="false">IF(B24="Clientes",SUMIFS(PARÂMETROS!$B$8:$B$33,PARÂMETROS!$G$8:$G$33,F24),SUMIFS(PARÂMETROS!$C$8:$C$33,PARÂMETROS!$G$8:$G$33,F24))</f>
        <v>191327</v>
      </c>
    </row>
    <row r="25" customFormat="false" ht="15" hidden="false" customHeight="true" outlineLevel="0" collapsed="false">
      <c r="A25" s="27" t="s">
        <v>50</v>
      </c>
      <c r="B25" s="28" t="s">
        <v>95</v>
      </c>
      <c r="C25" s="29" t="s">
        <v>116</v>
      </c>
      <c r="D25" s="21" t="n">
        <f aca="false">SUMIFS('CUSTOS MENSAIS'!$F:$F,'CUSTOS MENSAIS'!$A:$A,A25,'CUSTOS MENSAIS'!$H:$H,F25)</f>
        <v>58363.5872</v>
      </c>
      <c r="E25" s="21" t="n">
        <f aca="false">IFERROR(D25/IF(B25="Clientes",SUMIFS(PARÂMETROS!$B$8:$B$33,PARÂMETROS!$G$8:$G$33,F25),SUMIFS(PARÂMETROS!$C$8:$C$33,PARÂMETROS!$G$8:$G$33,F25)),0)</f>
        <v>0.305046267385157</v>
      </c>
      <c r="F25" s="11" t="s">
        <v>20</v>
      </c>
      <c r="G25" s="31" t="n">
        <f aca="false">IF(B25="Clientes",SUMIFS(PARÂMETROS!$B$8:$B$33,PARÂMETROS!$G$8:$G$33,F25),SUMIFS(PARÂMETROS!$C$8:$C$33,PARÂMETROS!$G$8:$G$33,F25))</f>
        <v>191327</v>
      </c>
    </row>
    <row r="26" customFormat="false" ht="15" hidden="false" customHeight="true" outlineLevel="0" collapsed="false">
      <c r="A26" s="27" t="s">
        <v>51</v>
      </c>
      <c r="B26" s="28" t="s">
        <v>95</v>
      </c>
      <c r="C26" s="29" t="s">
        <v>117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IFERROR(D26/IF(B26="Clientes",SUMIFS(PARÂMETROS!$B$8:$B$33,PARÂMETROS!$G$8:$G$33,F26),SUMIFS(PARÂMETROS!$C$8:$C$33,PARÂMETROS!$G$8:$G$33,F26)),0)</f>
        <v>0.333255399601497</v>
      </c>
      <c r="F26" s="11" t="s">
        <v>20</v>
      </c>
      <c r="G26" s="31" t="n">
        <f aca="false">IF(B26="Clientes",SUMIFS(PARÂMETROS!$B$8:$B$33,PARÂMETROS!$G$8:$G$33,F26),SUMIFS(PARÂMETROS!$C$8:$C$33,PARÂMETROS!$G$8:$G$33,F26))</f>
        <v>191327</v>
      </c>
    </row>
    <row r="27" customFormat="false" ht="15" hidden="false" customHeight="true" outlineLevel="0" collapsed="false">
      <c r="A27" s="27" t="s">
        <v>52</v>
      </c>
      <c r="B27" s="28" t="s">
        <v>95</v>
      </c>
      <c r="C27" s="29" t="s">
        <v>118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IFERROR(D27/IF(B27="Clientes",SUMIFS(PARÂMETROS!$B$8:$B$33,PARÂMETROS!$G$8:$G$33,F27),SUMIFS(PARÂMETROS!$C$8:$C$33,PARÂMETROS!$G$8:$G$33,F27)),0)</f>
        <v>0.187054930344384</v>
      </c>
      <c r="F27" s="11" t="s">
        <v>20</v>
      </c>
      <c r="G27" s="31" t="n">
        <f aca="false">IF(B27="Clientes",SUMIFS(PARÂMETROS!$B$8:$B$33,PARÂMETROS!$G$8:$G$33,F27),SUMIFS(PARÂMETROS!$C$8:$C$33,PARÂMETROS!$G$8:$G$33,F27))</f>
        <v>191327</v>
      </c>
    </row>
    <row r="28" customFormat="false" ht="15" hidden="false" customHeight="true" outlineLevel="0" collapsed="false">
      <c r="A28" s="27" t="s">
        <v>53</v>
      </c>
      <c r="B28" s="28" t="s">
        <v>95</v>
      </c>
      <c r="C28" s="29" t="s">
        <v>119</v>
      </c>
      <c r="D28" s="21" t="n">
        <f aca="false">SUMIFS('CUSTOS MENSAIS'!$F:$F,'CUSTOS MENSAIS'!$A:$A,A28,'CUSTOS MENSAIS'!$H:$H,F28)</f>
        <v>116439.9133</v>
      </c>
      <c r="E28" s="21" t="n">
        <f aca="false">IFERROR(D28/IF(B28="Clientes",SUMIFS(PARÂMETROS!$B$8:$B$33,PARÂMETROS!$G$8:$G$33,F28),SUMIFS(PARÂMETROS!$C$8:$C$33,PARÂMETROS!$G$8:$G$33,F28)),0)</f>
        <v>0.608591120437785</v>
      </c>
      <c r="F28" s="11" t="s">
        <v>20</v>
      </c>
      <c r="G28" s="31" t="n">
        <f aca="false">IF(B28="Clientes",SUMIFS(PARÂMETROS!$B$8:$B$33,PARÂMETROS!$G$8:$G$33,F28),SUMIFS(PARÂMETROS!$C$8:$C$33,PARÂMETROS!$G$8:$G$33,F28))</f>
        <v>191327</v>
      </c>
    </row>
    <row r="29" customFormat="false" ht="15" hidden="false" customHeight="true" outlineLevel="0" collapsed="false">
      <c r="A29" s="27" t="s">
        <v>54</v>
      </c>
      <c r="B29" s="28" t="s">
        <v>95</v>
      </c>
      <c r="C29" s="29" t="s">
        <v>120</v>
      </c>
      <c r="D29" s="21" t="n">
        <f aca="false">SUMIFS('CUSTOS MENSAIS'!$F:$F,'CUSTOS MENSAIS'!$A:$A,A29,'CUSTOS MENSAIS'!$H:$H,F29)</f>
        <v>115104.63981</v>
      </c>
      <c r="E29" s="21" t="n">
        <f aca="false">IFERROR(D29/IF(B29="Clientes",SUMIFS(PARÂMETROS!$B$8:$B$33,PARÂMETROS!$G$8:$G$33,F29),SUMIFS(PARÂMETROS!$C$8:$C$33,PARÂMETROS!$G$8:$G$33,F29)),0)</f>
        <v>0.601612108118562</v>
      </c>
      <c r="F29" s="11" t="s">
        <v>20</v>
      </c>
      <c r="G29" s="31" t="n">
        <f aca="false">IF(B29="Clientes",SUMIFS(PARÂMETROS!$B$8:$B$33,PARÂMETROS!$G$8:$G$33,F29),SUMIFS(PARÂMETROS!$C$8:$C$33,PARÂMETROS!$G$8:$G$33,F29))</f>
        <v>191327</v>
      </c>
    </row>
    <row r="30" customFormat="false" ht="15" hidden="false" customHeight="true" outlineLevel="0" collapsed="false">
      <c r="A30" s="27" t="s">
        <v>55</v>
      </c>
      <c r="B30" s="28" t="s">
        <v>97</v>
      </c>
      <c r="C30" s="29" t="s">
        <v>121</v>
      </c>
      <c r="D30" s="21" t="n">
        <f aca="false">SUMIFS('CUSTOS MENSAIS'!$F:$F,'CUSTOS MENSAIS'!$A:$A,A30,'CUSTOS MENSAIS'!$H:$H,F30)</f>
        <v>49634.41</v>
      </c>
      <c r="E30" s="21" t="n">
        <f aca="false">IFERROR(D30/IF(B30="Clientes",SUMIFS(PARÂMETROS!$B$8:$B$33,PARÂMETROS!$G$8:$G$33,F30),SUMIFS(PARÂMETROS!$C$8:$C$33,PARÂMETROS!$G$8:$G$33,F30)),0)</f>
        <v>47.1361918328585</v>
      </c>
      <c r="F30" s="11" t="s">
        <v>20</v>
      </c>
      <c r="G30" s="31" t="n">
        <f aca="false">IF(B30="Clientes",SUMIFS(PARÂMETROS!$B$8:$B$33,PARÂMETROS!$G$8:$G$33,F30),SUMIFS(PARÂMETROS!$C$8:$C$33,PARÂMETROS!$G$8:$G$33,F30))</f>
        <v>1053</v>
      </c>
    </row>
    <row r="31" customFormat="false" ht="15" hidden="false" customHeight="true" outlineLevel="0" collapsed="false">
      <c r="A31" s="27" t="s">
        <v>86</v>
      </c>
      <c r="B31" s="28" t="s">
        <v>95</v>
      </c>
      <c r="C31" s="29" t="s">
        <v>122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IFERROR(D31/IF(B31="Clientes",SUMIFS(PARÂMETROS!$B$8:$B$33,PARÂMETROS!$G$8:$G$33,F31),SUMIFS(PARÂMETROS!$C$8:$C$33,PARÂMETROS!$G$8:$G$33,F31)),0)</f>
        <v>0.135375967725413</v>
      </c>
      <c r="F31" s="11" t="s">
        <v>20</v>
      </c>
      <c r="G31" s="31" t="n">
        <f aca="false">IF(B31="Clientes",SUMIFS(PARÂMETROS!$B$8:$B$33,PARÂMETROS!$G$8:$G$33,F31),SUMIFS(PARÂMETROS!$C$8:$C$33,PARÂMETROS!$G$8:$G$33,F31))</f>
        <v>191327</v>
      </c>
    </row>
    <row r="32" customFormat="false" ht="15" hidden="false" customHeight="true" outlineLevel="0" collapsed="false">
      <c r="A32" s="27" t="s">
        <v>83</v>
      </c>
      <c r="B32" s="28" t="s">
        <v>95</v>
      </c>
      <c r="C32" s="29" t="s">
        <v>123</v>
      </c>
      <c r="D32" s="21" t="n">
        <f aca="false">SUMIFS('CUSTOS MENSAIS'!$F:$F,'CUSTOS MENSAIS'!$A:$A,A32,'CUSTOS MENSAIS'!$H:$H,F32)</f>
        <v>12631.53</v>
      </c>
      <c r="E32" s="21" t="n">
        <f aca="false">IFERROR(D32/IF(B32="Clientes",SUMIFS(PARÂMETROS!$B$8:$B$33,PARÂMETROS!$G$8:$G$33,F32),SUMIFS(PARÂMETROS!$C$8:$C$33,PARÂMETROS!$G$8:$G$33,F32)),0)</f>
        <v>0.0660206348293759</v>
      </c>
      <c r="F32" s="11" t="s">
        <v>20</v>
      </c>
      <c r="G32" s="31" t="n">
        <f aca="false">IF(B32="Clientes",SUMIFS(PARÂMETROS!$B$8:$B$33,PARÂMETROS!$G$8:$G$33,F32),SUMIFS(PARÂMETROS!$C$8:$C$33,PARÂMETROS!$G$8:$G$33,F32))</f>
        <v>191327</v>
      </c>
    </row>
    <row r="33" customFormat="false" ht="15" hidden="false" customHeight="true" outlineLevel="0" collapsed="false">
      <c r="A33" s="27" t="s">
        <v>85</v>
      </c>
      <c r="B33" s="28" t="s">
        <v>95</v>
      </c>
      <c r="C33" s="29" t="s">
        <v>124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IFERROR(D33/IF(B33="Clientes",SUMIFS(PARÂMETROS!$B$8:$B$33,PARÂMETROS!$G$8:$G$33,F33),SUMIFS(PARÂMETROS!$C$8:$C$33,PARÂMETROS!$G$8:$G$33,F33)),0)</f>
        <v>0.319464004034977</v>
      </c>
      <c r="F33" s="11" t="s">
        <v>20</v>
      </c>
      <c r="G33" s="31" t="n">
        <f aca="false">IF(B33="Clientes",SUMIFS(PARÂMETROS!$B$8:$B$33,PARÂMETROS!$G$8:$G$33,F33),SUMIFS(PARÂMETROS!$C$8:$C$33,PARÂMETROS!$G$8:$G$33,F33))</f>
        <v>191327</v>
      </c>
    </row>
    <row r="34" customFormat="false" ht="14.25" hidden="false" customHeight="true" outlineLevel="0" collapsed="false">
      <c r="A34" s="27" t="s">
        <v>87</v>
      </c>
      <c r="B34" s="28" t="s">
        <v>95</v>
      </c>
      <c r="C34" s="29" t="s">
        <v>125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IFERROR(D34/IF(B34="Clientes",SUMIFS(PARÂMETROS!$B$8:$B$33,PARÂMETROS!$G$8:$G$33,F34),SUMIFS(PARÂMETROS!$C$8:$C$33,PARÂMETROS!$G$8:$G$33,F34)),0)</f>
        <v>0.148830177998923</v>
      </c>
      <c r="F34" s="11" t="s">
        <v>20</v>
      </c>
      <c r="G34" s="31" t="n">
        <f aca="false">IF(B34="Clientes",SUMIFS(PARÂMETROS!$B$8:$B$33,PARÂMETROS!$G$8:$G$33,F34),SUMIFS(PARÂMETROS!$C$8:$C$33,PARÂMETROS!$G$8:$G$33,F34))</f>
        <v>191327</v>
      </c>
    </row>
    <row r="35" customFormat="false" ht="14.25" hidden="false" customHeight="true" outlineLevel="0" collapsed="false">
      <c r="A35" s="27" t="s">
        <v>78</v>
      </c>
      <c r="B35" s="28" t="s">
        <v>95</v>
      </c>
      <c r="C35" s="29" t="s">
        <v>126</v>
      </c>
      <c r="D35" s="21" t="n">
        <f aca="false">SUMIFS('CUSTOS MENSAIS'!$F:$F,'CUSTOS MENSAIS'!$A:$A,A35,'CUSTOS MENSAIS'!$H:$H,F35)</f>
        <v>83174.8484</v>
      </c>
      <c r="E35" s="21" t="n">
        <f aca="false">IFERROR(D35/IF(B35="Clientes",SUMIFS(PARÂMETROS!$B$8:$B$33,PARÂMETROS!$G$8:$G$33,F35),SUMIFS(PARÂMETROS!$C$8:$C$33,PARÂMETROS!$G$8:$G$33,F35)),0)</f>
        <v>0.4347261411092</v>
      </c>
      <c r="F35" s="11" t="s">
        <v>20</v>
      </c>
      <c r="G35" s="31" t="n">
        <f aca="false">IF(B35="Clientes",SUMIFS(PARÂMETROS!$B$8:$B$33,PARÂMETROS!$G$8:$G$33,F35),SUMIFS(PARÂMETROS!$C$8:$C$33,PARÂMETROS!$G$8:$G$33,F35))</f>
        <v>191327</v>
      </c>
    </row>
    <row r="36" customFormat="false" ht="14.25" hidden="false" customHeight="true" outlineLevel="0" collapsed="false">
      <c r="A36" s="27" t="s">
        <v>81</v>
      </c>
      <c r="B36" s="28" t="s">
        <v>95</v>
      </c>
      <c r="C36" s="29" t="s">
        <v>127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IFERROR(D36/IF(B36="Clientes",SUMIFS(PARÂMETROS!$B$8:$B$33,PARÂMETROS!$G$8:$G$33,F36),SUMIFS(PARÂMETROS!$C$8:$C$33,PARÂMETROS!$G$8:$G$33,F36)),0)</f>
        <v>0.051652627292541</v>
      </c>
      <c r="F36" s="11" t="s">
        <v>20</v>
      </c>
      <c r="G36" s="31" t="n">
        <f aca="false">IF(B36="Clientes",SUMIFS(PARÂMETROS!$B$8:$B$33,PARÂMETROS!$G$8:$G$33,F36),SUMIFS(PARÂMETROS!$C$8:$C$33,PARÂMETROS!$G$8:$G$33,F36))</f>
        <v>191327</v>
      </c>
    </row>
    <row r="37" customFormat="false" ht="14.25" hidden="false" customHeight="true" outlineLevel="0" collapsed="false">
      <c r="A37" s="27" t="s">
        <v>84</v>
      </c>
      <c r="B37" s="28" t="s">
        <v>95</v>
      </c>
      <c r="C37" s="29" t="s">
        <v>128</v>
      </c>
      <c r="D37" s="21" t="n">
        <f aca="false">SUMIFS('CUSTOS MENSAIS'!$F:$F,'CUSTOS MENSAIS'!$A:$A,A37,'CUSTOS MENSAIS'!$H:$H,F37)</f>
        <v>146025.91</v>
      </c>
      <c r="E37" s="21" t="n">
        <f aca="false">IFERROR(D37/IF(B37="Clientes",SUMIFS(PARÂMETROS!$B$8:$B$33,PARÂMETROS!$G$8:$G$33,F37),SUMIFS(PARÂMETROS!$C$8:$C$33,PARÂMETROS!$G$8:$G$33,F37)),0)</f>
        <v>0.763226883816712</v>
      </c>
      <c r="F37" s="11" t="s">
        <v>20</v>
      </c>
      <c r="G37" s="31" t="n">
        <f aca="false">IF(B37="Clientes",SUMIFS(PARÂMETROS!$B$8:$B$33,PARÂMETROS!$G$8:$G$33,F37),SUMIFS(PARÂMETROS!$C$8:$C$33,PARÂMETROS!$G$8:$G$33,F37))</f>
        <v>191327</v>
      </c>
    </row>
    <row r="38" customFormat="false" ht="14.25" hidden="false" customHeight="true" outlineLevel="0" collapsed="false">
      <c r="A38" s="27" t="s">
        <v>82</v>
      </c>
      <c r="B38" s="28" t="s">
        <v>95</v>
      </c>
      <c r="C38" s="29" t="s">
        <v>129</v>
      </c>
      <c r="D38" s="21" t="n">
        <f aca="false">SUMIFS('CUSTOS MENSAIS'!$F:$F,'CUSTOS MENSAIS'!$A:$A,A38,'CUSTOS MENSAIS'!$H:$H,F38)</f>
        <v>73811.97</v>
      </c>
      <c r="E38" s="21" t="n">
        <f aca="false">IFERROR(D38/IF(B38="Clientes",SUMIFS(PARÂMETROS!$B$8:$B$33,PARÂMETROS!$G$8:$G$33,F38),SUMIFS(PARÂMETROS!$C$8:$C$33,PARÂMETROS!$G$8:$G$33,F38)),0)</f>
        <v>0.385789616729474</v>
      </c>
      <c r="F38" s="11" t="s">
        <v>20</v>
      </c>
      <c r="G38" s="31" t="n">
        <f aca="false">IF(B38="Clientes",SUMIFS(PARÂMETROS!$B$8:$B$33,PARÂMETROS!$G$8:$G$33,F38),SUMIFS(PARÂMETROS!$C$8:$C$33,PARÂMETROS!$G$8:$G$33,F38))</f>
        <v>191327</v>
      </c>
    </row>
    <row r="39" customFormat="false" ht="14.25" hidden="false" customHeight="true" outlineLevel="0" collapsed="false">
      <c r="A39" s="27" t="s">
        <v>80</v>
      </c>
      <c r="B39" s="28" t="s">
        <v>95</v>
      </c>
      <c r="C39" s="29" t="s">
        <v>130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IFERROR(D39/IF(B39="Clientes",SUMIFS(PARÂMETROS!$B$8:$B$33,PARÂMETROS!$G$8:$G$33,F39),SUMIFS(PARÂMETROS!$C$8:$C$33,PARÂMETROS!$G$8:$G$33,F39)),0)</f>
        <v>0.154543612417484</v>
      </c>
      <c r="F39" s="11" t="s">
        <v>20</v>
      </c>
      <c r="G39" s="31" t="n">
        <f aca="false">IF(B39="Clientes",SUMIFS(PARÂMETROS!$B$8:$B$33,PARÂMETROS!$G$8:$G$33,F39),SUMIFS(PARÂMETROS!$C$8:$C$33,PARÂMETROS!$G$8:$G$33,F39))</f>
        <v>191327</v>
      </c>
    </row>
    <row r="40" customFormat="false" ht="14.25" hidden="false" customHeight="true" outlineLevel="0" collapsed="false">
      <c r="A40" s="27" t="s">
        <v>79</v>
      </c>
      <c r="B40" s="28" t="s">
        <v>97</v>
      </c>
      <c r="C40" s="29" t="s">
        <v>131</v>
      </c>
      <c r="D40" s="21" t="n">
        <f aca="false">SUMIFS('CUSTOS MENSAIS'!$F:$F,'CUSTOS MENSAIS'!$A:$A,A40,'CUSTOS MENSAIS'!$H:$H,F40)</f>
        <v>25367.0392</v>
      </c>
      <c r="E40" s="21" t="n">
        <f aca="false">IFERROR(D40/G40,0)</f>
        <v>29.8435755294118</v>
      </c>
      <c r="F40" s="11" t="s">
        <v>20</v>
      </c>
      <c r="G40" s="31" t="n">
        <f aca="false">SUMIFS(PARÂMETROS!$C$8:$C$33,PARÂMETROS!$G$8:$G$33,F40,PARÂMETROS!$A$8:$A$33,"DTEL (uso próprio)")</f>
        <v>850</v>
      </c>
    </row>
    <row r="41" customFormat="false" ht="14.25" hidden="false" customHeight="true" outlineLevel="0" collapsed="false">
      <c r="A41" s="17" t="s">
        <v>132</v>
      </c>
      <c r="B41" s="32"/>
      <c r="C41" s="33"/>
      <c r="D41" s="34" t="n">
        <f aca="false">SUM(D5:D40)+D114+D117+D120</f>
        <v>2102282.07007533</v>
      </c>
      <c r="E41" s="34"/>
      <c r="F41" s="32"/>
      <c r="G41" s="35"/>
    </row>
    <row r="42" customFormat="false" ht="14.25" hidden="false" customHeight="true" outlineLevel="0" collapsed="false">
      <c r="A42" s="27" t="s">
        <v>31</v>
      </c>
      <c r="B42" s="28" t="s">
        <v>95</v>
      </c>
      <c r="C42" s="29" t="s">
        <v>96</v>
      </c>
      <c r="D42" s="21" t="n">
        <f aca="false">SUMIFS('CUSTOS MENSAIS'!$F:$F,'CUSTOS MENSAIS'!$A:$A,A42,'CUSTOS MENSAIS'!$H:$H,F42)</f>
        <v>69943.8511</v>
      </c>
      <c r="E42" s="21" t="n">
        <f aca="false">IFERROR(D42/IF(B42="Clientes",SUMIFS(PARÂMETROS!$B$8:$B$33,PARÂMETROS!$G$8:$G$33,F42),SUMIFS(PARÂMETROS!$C$8:$C$33,PARÂMETROS!$G$8:$G$33,F42)),0)</f>
        <v>0.358975437146831</v>
      </c>
      <c r="F42" s="11" t="s">
        <v>11</v>
      </c>
      <c r="G42" s="31" t="n">
        <f aca="false">IF(B42="Clientes",SUMIFS(PARÂMETROS!$B$8:$B$33,PARÂMETROS!$G$8:$G$33,F42),SUMIFS(PARÂMETROS!$C$8:$C$33,PARÂMETROS!$G$8:$G$33,F42))</f>
        <v>194843</v>
      </c>
    </row>
    <row r="43" customFormat="false" ht="14.25" hidden="false" customHeight="true" outlineLevel="0" collapsed="false">
      <c r="A43" s="27" t="s">
        <v>32</v>
      </c>
      <c r="B43" s="28" t="s">
        <v>97</v>
      </c>
      <c r="C43" s="29" t="s">
        <v>98</v>
      </c>
      <c r="D43" s="21" t="n">
        <f aca="false">SUMIFS('CUSTOS MENSAIS'!$F:$F,'CUSTOS MENSAIS'!$A:$A,A43,'CUSTOS MENSAIS'!$H:$H,F43)</f>
        <v>28934.974356</v>
      </c>
      <c r="E43" s="21" t="n">
        <f aca="false">IFERROR(D43/IF(B43="Clientes",SUMIFS(PARÂMETROS!$B$8:$B$33,PARÂMETROS!$G$8:$G$33,F43),SUMIFS(PARÂMETROS!$C$8:$C$33,PARÂMETROS!$G$8:$G$33,F43)),0)</f>
        <v>27.5833883279314</v>
      </c>
      <c r="F43" s="11" t="s">
        <v>11</v>
      </c>
      <c r="G43" s="31" t="n">
        <f aca="false">IF(B43="Clientes",SUMIFS(PARÂMETROS!$B$8:$B$33,PARÂMETROS!$G$8:$G$33,F43),SUMIFS(PARÂMETROS!$C$8:$C$33,PARÂMETROS!$G$8:$G$33,F43))</f>
        <v>1049</v>
      </c>
    </row>
    <row r="44" customFormat="false" ht="14.25" hidden="false" customHeight="true" outlineLevel="0" collapsed="false">
      <c r="A44" s="27" t="s">
        <v>33</v>
      </c>
      <c r="B44" s="28" t="s">
        <v>97</v>
      </c>
      <c r="C44" s="29" t="s">
        <v>99</v>
      </c>
      <c r="D44" s="21" t="n">
        <f aca="false">SUMIFS('CUSTOS MENSAIS'!$F:$F,'CUSTOS MENSAIS'!$A:$A,A44,'CUSTOS MENSAIS'!$H:$H,F44)</f>
        <v>43015.6955</v>
      </c>
      <c r="E44" s="21" t="n">
        <f aca="false">IFERROR(D44/IF(B44="Clientes",SUMIFS(PARÂMETROS!$B$8:$B$33,PARÂMETROS!$G$8:$G$33,F44),SUMIFS(PARÂMETROS!$C$8:$C$33,PARÂMETROS!$G$8:$G$33,F44)),0)</f>
        <v>41.0063827454719</v>
      </c>
      <c r="F44" s="11" t="s">
        <v>11</v>
      </c>
      <c r="G44" s="31" t="n">
        <f aca="false">IF(B44="Clientes",SUMIFS(PARÂMETROS!$B$8:$B$33,PARÂMETROS!$G$8:$G$33,F44),SUMIFS(PARÂMETROS!$C$8:$C$33,PARÂMETROS!$G$8:$G$33,F44))</f>
        <v>1049</v>
      </c>
    </row>
    <row r="45" customFormat="false" ht="14.25" hidden="false" customHeight="true" outlineLevel="0" collapsed="false">
      <c r="A45" s="27" t="s">
        <v>34</v>
      </c>
      <c r="B45" s="28" t="s">
        <v>95</v>
      </c>
      <c r="C45" s="29" t="s">
        <v>100</v>
      </c>
      <c r="D45" s="21" t="n">
        <f aca="false">SUMIFS('CUSTOS MENSAIS'!$F:$F,'CUSTOS MENSAIS'!$A:$A,A45,'CUSTOS MENSAIS'!$H:$H,F45)</f>
        <v>23728.99292</v>
      </c>
      <c r="E45" s="21" t="n">
        <f aca="false">IFERROR(D45/IF(B45="Clientes",SUMIFS(PARÂMETROS!$B$8:$B$33,PARÂMETROS!$G$8:$G$33,F45),SUMIFS(PARÂMETROS!$C$8:$C$33,PARÂMETROS!$G$8:$G$33,F45)),0)</f>
        <v>0.121785195875654</v>
      </c>
      <c r="F45" s="11" t="s">
        <v>11</v>
      </c>
      <c r="G45" s="31" t="n">
        <f aca="false">IF(B45="Clientes",SUMIFS(PARÂMETROS!$B$8:$B$33,PARÂMETROS!$G$8:$G$33,F45),SUMIFS(PARÂMETROS!$C$8:$C$33,PARÂMETROS!$G$8:$G$33,F45))</f>
        <v>194843</v>
      </c>
    </row>
    <row r="46" customFormat="false" ht="14.25" hidden="false" customHeight="true" outlineLevel="0" collapsed="false">
      <c r="A46" s="27" t="s">
        <v>35</v>
      </c>
      <c r="B46" s="28" t="s">
        <v>95</v>
      </c>
      <c r="C46" s="29" t="s">
        <v>101</v>
      </c>
      <c r="D46" s="21" t="n">
        <f aca="false">SUMIFS('CUSTOS MENSAIS'!$F:$F,'CUSTOS MENSAIS'!$A:$A,A46,'CUSTOS MENSAIS'!$H:$H,F46)</f>
        <v>16780.8689</v>
      </c>
      <c r="E46" s="21" t="n">
        <f aca="false">IFERROR(D46/IF(B46="Clientes",SUMIFS(PARÂMETROS!$B$8:$B$33,PARÂMETROS!$G$8:$G$33,F46),SUMIFS(PARÂMETROS!$C$8:$C$33,PARÂMETROS!$G$8:$G$33,F46)),0)</f>
        <v>0.0861250796795369</v>
      </c>
      <c r="F46" s="11" t="s">
        <v>11</v>
      </c>
      <c r="G46" s="31" t="n">
        <f aca="false">IF(B46="Clientes",SUMIFS(PARÂMETROS!$B$8:$B$33,PARÂMETROS!$G$8:$G$33,F46),SUMIFS(PARÂMETROS!$C$8:$C$33,PARÂMETROS!$G$8:$G$33,F46))</f>
        <v>194843</v>
      </c>
    </row>
    <row r="47" customFormat="false" ht="14.25" hidden="false" customHeight="true" outlineLevel="0" collapsed="false">
      <c r="A47" s="27" t="s">
        <v>36</v>
      </c>
      <c r="B47" s="28" t="s">
        <v>95</v>
      </c>
      <c r="C47" s="29" t="s">
        <v>102</v>
      </c>
      <c r="D47" s="21" t="n">
        <f aca="false">SUMIFS('CUSTOS MENSAIS'!$F:$F,'CUSTOS MENSAIS'!$A:$A,A47,'CUSTOS MENSAIS'!$H:$H,F47)</f>
        <v>68980.8555</v>
      </c>
      <c r="E47" s="21" t="n">
        <f aca="false">IFERROR(D47/IF(B47="Clientes",SUMIFS(PARÂMETROS!$B$8:$B$33,PARÂMETROS!$G$8:$G$33,F47),SUMIFS(PARÂMETROS!$C$8:$C$33,PARÂMETROS!$G$8:$G$33,F47)),0)</f>
        <v>0.354033018892134</v>
      </c>
      <c r="F47" s="11" t="s">
        <v>11</v>
      </c>
      <c r="G47" s="31" t="n">
        <f aca="false">IF(B47="Clientes",SUMIFS(PARÂMETROS!$B$8:$B$33,PARÂMETROS!$G$8:$G$33,F47),SUMIFS(PARÂMETROS!$C$8:$C$33,PARÂMETROS!$G$8:$G$33,F47))</f>
        <v>194843</v>
      </c>
    </row>
    <row r="48" customFormat="false" ht="14.25" hidden="false" customHeight="true" outlineLevel="0" collapsed="false">
      <c r="A48" s="27" t="s">
        <v>37</v>
      </c>
      <c r="B48" s="28" t="s">
        <v>95</v>
      </c>
      <c r="C48" s="29" t="s">
        <v>103</v>
      </c>
      <c r="D48" s="21" t="n">
        <f aca="false">SUMIFS('CUSTOS MENSAIS'!$F:$F,'CUSTOS MENSAIS'!$A:$A,A48,'CUSTOS MENSAIS'!$H:$H,F48)</f>
        <v>173281.414106</v>
      </c>
      <c r="E48" s="21" t="n">
        <f aca="false">IFERROR(D48/IF(B48="Clientes",SUMIFS(PARÂMETROS!$B$8:$B$33,PARÂMETROS!$G$8:$G$33,F48),SUMIFS(PARÂMETROS!$C$8:$C$33,PARÂMETROS!$G$8:$G$33,F48)),0)</f>
        <v>0.889338668086613</v>
      </c>
      <c r="F48" s="11" t="s">
        <v>11</v>
      </c>
      <c r="G48" s="31" t="n">
        <f aca="false">IF(B48="Clientes",SUMIFS(PARÂMETROS!$B$8:$B$33,PARÂMETROS!$G$8:$G$33,F48),SUMIFS(PARÂMETROS!$C$8:$C$33,PARÂMETROS!$G$8:$G$33,F48))</f>
        <v>194843</v>
      </c>
    </row>
    <row r="49" customFormat="false" ht="14.25" hidden="false" customHeight="true" outlineLevel="0" collapsed="false">
      <c r="A49" s="27" t="s">
        <v>38</v>
      </c>
      <c r="B49" s="28" t="s">
        <v>95</v>
      </c>
      <c r="C49" s="29" t="s">
        <v>104</v>
      </c>
      <c r="D49" s="21" t="n">
        <f aca="false">SUMIFS('CUSTOS MENSAIS'!$F:$F,'CUSTOS MENSAIS'!$A:$A,A49,'CUSTOS MENSAIS'!$H:$H,F49)</f>
        <v>42678.536051</v>
      </c>
      <c r="E49" s="21" t="n">
        <f aca="false">IFERROR(D49/IF(B49="Clientes",SUMIFS(PARÂMETROS!$B$8:$B$33,PARÂMETROS!$G$8:$G$33,F49),SUMIFS(PARÂMETROS!$C$8:$C$33,PARÂMETROS!$G$8:$G$33,F49)),0)</f>
        <v>0.219040643240968</v>
      </c>
      <c r="F49" s="11" t="s">
        <v>11</v>
      </c>
      <c r="G49" s="31" t="n">
        <f aca="false">IF(B49="Clientes",SUMIFS(PARÂMETROS!$B$8:$B$33,PARÂMETROS!$G$8:$G$33,F49),SUMIFS(PARÂMETROS!$C$8:$C$33,PARÂMETROS!$G$8:$G$33,F49))</f>
        <v>194843</v>
      </c>
    </row>
    <row r="50" customFormat="false" ht="14.25" hidden="false" customHeight="true" outlineLevel="0" collapsed="false">
      <c r="A50" s="27" t="s">
        <v>39</v>
      </c>
      <c r="B50" s="28" t="s">
        <v>95</v>
      </c>
      <c r="C50" s="29" t="s">
        <v>105</v>
      </c>
      <c r="D50" s="21" t="n">
        <f aca="false">SUMIFS('CUSTOS MENSAIS'!$F:$F,'CUSTOS MENSAIS'!$A:$A,A50,'CUSTOS MENSAIS'!$H:$H,F50)</f>
        <v>51023.148556</v>
      </c>
      <c r="E50" s="21" t="n">
        <f aca="false">IFERROR(D50/IF(B50="Clientes",SUMIFS(PARÂMETROS!$B$8:$B$33,PARÂMETROS!$G$8:$G$33,F50),SUMIFS(PARÂMETROS!$C$8:$C$33,PARÂMETROS!$G$8:$G$33,F50)),0)</f>
        <v>0.261868009402442</v>
      </c>
      <c r="F50" s="11" t="s">
        <v>11</v>
      </c>
      <c r="G50" s="31" t="n">
        <f aca="false">IF(B50="Clientes",SUMIFS(PARÂMETROS!$B$8:$B$33,PARÂMETROS!$G$8:$G$33,F50),SUMIFS(PARÂMETROS!$C$8:$C$33,PARÂMETROS!$G$8:$G$33,F50))</f>
        <v>194843</v>
      </c>
    </row>
    <row r="51" customFormat="false" ht="14.25" hidden="false" customHeight="true" outlineLevel="0" collapsed="false">
      <c r="A51" s="27" t="s">
        <v>40</v>
      </c>
      <c r="B51" s="28" t="s">
        <v>95</v>
      </c>
      <c r="C51" s="29" t="s">
        <v>106</v>
      </c>
      <c r="D51" s="21" t="n">
        <f aca="false">SUMIFS('CUSTOS MENSAIS'!$F:$F,'CUSTOS MENSAIS'!$A:$A,A51,'CUSTOS MENSAIS'!$H:$H,F51)</f>
        <v>35170.294356</v>
      </c>
      <c r="E51" s="21" t="n">
        <f aca="false">IFERROR(D51/IF(B51="Clientes",SUMIFS(PARÂMETROS!$B$8:$B$33,PARÂMETROS!$G$8:$G$33,F51),SUMIFS(PARÂMETROS!$C$8:$C$33,PARÂMETROS!$G$8:$G$33,F51)),0)</f>
        <v>0.180505814199124</v>
      </c>
      <c r="F51" s="11" t="s">
        <v>11</v>
      </c>
      <c r="G51" s="31" t="n">
        <f aca="false">IF(B51="Clientes",SUMIFS(PARÂMETROS!$B$8:$B$33,PARÂMETROS!$G$8:$G$33,F51),SUMIFS(PARÂMETROS!$C$8:$C$33,PARÂMETROS!$G$8:$G$33,F51))</f>
        <v>194843</v>
      </c>
    </row>
    <row r="52" customFormat="false" ht="14.25" hidden="false" customHeight="true" outlineLevel="0" collapsed="false">
      <c r="A52" s="27" t="s">
        <v>41</v>
      </c>
      <c r="B52" s="28" t="s">
        <v>95</v>
      </c>
      <c r="C52" s="29" t="s">
        <v>107</v>
      </c>
      <c r="D52" s="21" t="n">
        <f aca="false">SUMIFS('CUSTOS MENSAIS'!$F:$F,'CUSTOS MENSAIS'!$A:$A,A52,'CUSTOS MENSAIS'!$H:$H,F52)</f>
        <v>18051.808564</v>
      </c>
      <c r="E52" s="21" t="n">
        <f aca="false">IFERROR(D52/IF(B52="Clientes",SUMIFS(PARÂMETROS!$B$8:$B$33,PARÂMETROS!$G$8:$G$33,F52),SUMIFS(PARÂMETROS!$C$8:$C$33,PARÂMETROS!$G$8:$G$33,F52)),0)</f>
        <v>0.0926479707456773</v>
      </c>
      <c r="F52" s="11" t="s">
        <v>11</v>
      </c>
      <c r="G52" s="31" t="n">
        <f aca="false">IF(B52="Clientes",SUMIFS(PARÂMETROS!$B$8:$B$33,PARÂMETROS!$G$8:$G$33,F52),SUMIFS(PARÂMETROS!$C$8:$C$33,PARÂMETROS!$G$8:$G$33,F52))</f>
        <v>194843</v>
      </c>
    </row>
    <row r="53" customFormat="false" ht="14.25" hidden="false" customHeight="true" outlineLevel="0" collapsed="false">
      <c r="A53" s="27" t="s">
        <v>42</v>
      </c>
      <c r="B53" s="28" t="s">
        <v>95</v>
      </c>
      <c r="C53" s="29" t="s">
        <v>108</v>
      </c>
      <c r="D53" s="21" t="n">
        <f aca="false">SUMIFS('CUSTOS MENSAIS'!$F:$F,'CUSTOS MENSAIS'!$A:$A,A53,'CUSTOS MENSAIS'!$H:$H,F53)</f>
        <v>28599.5277887408</v>
      </c>
      <c r="E53" s="21" t="n">
        <f aca="false">IFERROR(D53/IF(B53="Clientes",SUMIFS(PARÂMETROS!$B$8:$B$33,PARÂMETROS!$G$8:$G$33,F53),SUMIFS(PARÂMETROS!$C$8:$C$33,PARÂMETROS!$G$8:$G$33,F53)),0)</f>
        <v>0.146782423739836</v>
      </c>
      <c r="F53" s="11" t="s">
        <v>11</v>
      </c>
      <c r="G53" s="31" t="n">
        <f aca="false">IF(B53="Clientes",SUMIFS(PARÂMETROS!$B$8:$B$33,PARÂMETROS!$G$8:$G$33,F53),SUMIFS(PARÂMETROS!$C$8:$C$33,PARÂMETROS!$G$8:$G$33,F53))</f>
        <v>194843</v>
      </c>
    </row>
    <row r="54" customFormat="false" ht="14.25" hidden="false" customHeight="true" outlineLevel="0" collapsed="false">
      <c r="A54" s="27" t="s">
        <v>43</v>
      </c>
      <c r="B54" s="28" t="s">
        <v>95</v>
      </c>
      <c r="C54" s="29" t="s">
        <v>109</v>
      </c>
      <c r="D54" s="21" t="n">
        <f aca="false">SUMIFS('CUSTOS MENSAIS'!$F:$F,'CUSTOS MENSAIS'!$A:$A,A54,'CUSTOS MENSAIS'!$H:$H,F54)</f>
        <v>23910.3904</v>
      </c>
      <c r="E54" s="21" t="n">
        <f aca="false">IFERROR(D54/IF(B54="Clientes",SUMIFS(PARÂMETROS!$B$8:$B$33,PARÂMETROS!$G$8:$G$33,F54),SUMIFS(PARÂMETROS!$C$8:$C$33,PARÂMETROS!$G$8:$G$33,F54)),0)</f>
        <v>0.122716188931601</v>
      </c>
      <c r="F54" s="11" t="s">
        <v>11</v>
      </c>
      <c r="G54" s="31" t="n">
        <f aca="false">IF(B54="Clientes",SUMIFS(PARÂMETROS!$B$8:$B$33,PARÂMETROS!$G$8:$G$33,F54),SUMIFS(PARÂMETROS!$C$8:$C$33,PARÂMETROS!$G$8:$G$33,F54))</f>
        <v>194843</v>
      </c>
    </row>
    <row r="55" customFormat="false" ht="14.25" hidden="false" customHeight="true" outlineLevel="0" collapsed="false">
      <c r="A55" s="27" t="s">
        <v>44</v>
      </c>
      <c r="B55" s="28" t="s">
        <v>97</v>
      </c>
      <c r="C55" s="29" t="s">
        <v>110</v>
      </c>
      <c r="D55" s="21" t="n">
        <f aca="false">SUMIFS('CUSTOS MENSAIS'!$F:$F,'CUSTOS MENSAIS'!$A:$A,A55,'CUSTOS MENSAIS'!$H:$H,F55)</f>
        <v>51534.8806</v>
      </c>
      <c r="E55" s="21" t="n">
        <f aca="false">IFERROR(D55/IF(B55="Clientes",SUMIFS(PARÂMETROS!$B$8:$B$33,PARÂMETROS!$G$8:$G$33,F55),SUMIFS(PARÂMETROS!$C$8:$C$33,PARÂMETROS!$G$8:$G$33,F55)),0)</f>
        <v>49.1276268827455</v>
      </c>
      <c r="F55" s="11" t="s">
        <v>11</v>
      </c>
      <c r="G55" s="31" t="n">
        <f aca="false">IF(B55="Clientes",SUMIFS(PARÂMETROS!$B$8:$B$33,PARÂMETROS!$G$8:$G$33,F55),SUMIFS(PARÂMETROS!$C$8:$C$33,PARÂMETROS!$G$8:$G$33,F55))</f>
        <v>1049</v>
      </c>
    </row>
    <row r="56" customFormat="false" ht="14.25" hidden="false" customHeight="true" outlineLevel="0" collapsed="false">
      <c r="A56" s="27" t="s">
        <v>45</v>
      </c>
      <c r="B56" s="28" t="s">
        <v>95</v>
      </c>
      <c r="C56" s="29" t="s">
        <v>111</v>
      </c>
      <c r="D56" s="21" t="n">
        <f aca="false">SUMIFS('CUSTOS MENSAIS'!$F:$F,'CUSTOS MENSAIS'!$A:$A,A56,'CUSTOS MENSAIS'!$H:$H,F56)</f>
        <v>63862.1907</v>
      </c>
      <c r="E56" s="21" t="n">
        <f aca="false">IFERROR(D56/IF(B56="Clientes",SUMIFS(PARÂMETROS!$B$8:$B$33,PARÂMETROS!$G$8:$G$33,F56),SUMIFS(PARÂMETROS!$C$8:$C$33,PARÂMETROS!$G$8:$G$33,F56)),0)</f>
        <v>0.327762304522102</v>
      </c>
      <c r="F56" s="11" t="s">
        <v>11</v>
      </c>
      <c r="G56" s="31" t="n">
        <f aca="false">IF(B56="Clientes",SUMIFS(PARÂMETROS!$B$8:$B$33,PARÂMETROS!$G$8:$G$33,F56),SUMIFS(PARÂMETROS!$C$8:$C$33,PARÂMETROS!$G$8:$G$33,F56))</f>
        <v>194843</v>
      </c>
    </row>
    <row r="57" customFormat="false" ht="14.25" hidden="false" customHeight="true" outlineLevel="0" collapsed="false">
      <c r="A57" s="27" t="s">
        <v>46</v>
      </c>
      <c r="B57" s="28" t="s">
        <v>95</v>
      </c>
      <c r="C57" s="29" t="s">
        <v>112</v>
      </c>
      <c r="D57" s="21" t="n">
        <f aca="false">SUMIFS('CUSTOS MENSAIS'!$F:$F,'CUSTOS MENSAIS'!$A:$A,A57,'CUSTOS MENSAIS'!$H:$H,F57)</f>
        <v>184865.75</v>
      </c>
      <c r="E57" s="21" t="n">
        <f aca="false">IFERROR(D57/IF(B57="Clientes",SUMIFS(PARÂMETROS!$B$8:$B$33,PARÂMETROS!$G$8:$G$33,F57),SUMIFS(PARÂMETROS!$C$8:$C$33,PARÂMETROS!$G$8:$G$33,F57)),0)</f>
        <v>0.9487933874966</v>
      </c>
      <c r="F57" s="11" t="s">
        <v>11</v>
      </c>
      <c r="G57" s="31" t="n">
        <f aca="false">IF(B57="Clientes",SUMIFS(PARÂMETROS!$B$8:$B$33,PARÂMETROS!$G$8:$G$33,F57),SUMIFS(PARÂMETROS!$C$8:$C$33,PARÂMETROS!$G$8:$G$33,F57))</f>
        <v>194843</v>
      </c>
    </row>
    <row r="58" customFormat="false" ht="15" hidden="false" customHeight="true" outlineLevel="0" collapsed="false">
      <c r="A58" s="27" t="s">
        <v>47</v>
      </c>
      <c r="B58" s="28" t="s">
        <v>95</v>
      </c>
      <c r="C58" s="29" t="s">
        <v>113</v>
      </c>
      <c r="D58" s="21" t="n">
        <f aca="false">SUMIFS('CUSTOS MENSAIS'!$F:$F,'CUSTOS MENSAIS'!$A:$A,A58,'CUSTOS MENSAIS'!$H:$H,F58)</f>
        <v>127668.39</v>
      </c>
      <c r="E58" s="21" t="n">
        <f aca="false">IFERROR(D58/IF(B58="Clientes",SUMIFS(PARÂMETROS!$B$8:$B$33,PARÂMETROS!$G$8:$G$33,F58),SUMIFS(PARÂMETROS!$C$8:$C$33,PARÂMETROS!$G$8:$G$33,F58)),0)</f>
        <v>0.655237242292513</v>
      </c>
      <c r="F58" s="11" t="s">
        <v>11</v>
      </c>
      <c r="G58" s="31" t="n">
        <f aca="false">IF(B58="Clientes",SUMIFS(PARÂMETROS!$B$8:$B$33,PARÂMETROS!$G$8:$G$33,F58),SUMIFS(PARÂMETROS!$C$8:$C$33,PARÂMETROS!$G$8:$G$33,F58))</f>
        <v>194843</v>
      </c>
    </row>
    <row r="59" customFormat="false" ht="15" hidden="false" customHeight="true" outlineLevel="0" collapsed="false">
      <c r="A59" s="27" t="s">
        <v>48</v>
      </c>
      <c r="B59" s="28" t="s">
        <v>95</v>
      </c>
      <c r="C59" s="29" t="s">
        <v>114</v>
      </c>
      <c r="D59" s="21" t="n">
        <f aca="false">SUMIFS('CUSTOS MENSAIS'!$F:$F,'CUSTOS MENSAIS'!$A:$A,A59,'CUSTOS MENSAIS'!$H:$H,F59)</f>
        <v>130394.256757</v>
      </c>
      <c r="E59" s="21" t="n">
        <f aca="false">IFERROR(D59/IF(B59="Clientes",SUMIFS(PARÂMETROS!$B$8:$B$33,PARÂMETROS!$G$8:$G$33,F59),SUMIFS(PARÂMETROS!$C$8:$C$33,PARÂMETROS!$G$8:$G$33,F59)),0)</f>
        <v>0.669227309972645</v>
      </c>
      <c r="F59" s="11" t="s">
        <v>11</v>
      </c>
      <c r="G59" s="31" t="n">
        <f aca="false">IF(B59="Clientes",SUMIFS(PARÂMETROS!$B$8:$B$33,PARÂMETROS!$G$8:$G$33,F59),SUMIFS(PARÂMETROS!$C$8:$C$33,PARÂMETROS!$G$8:$G$33,F59))</f>
        <v>194843</v>
      </c>
    </row>
    <row r="60" customFormat="false" ht="15" hidden="false" customHeight="true" outlineLevel="0" collapsed="false">
      <c r="A60" s="27" t="s">
        <v>49</v>
      </c>
      <c r="B60" s="28" t="s">
        <v>95</v>
      </c>
      <c r="C60" s="29" t="s">
        <v>115</v>
      </c>
      <c r="D60" s="21" t="n">
        <f aca="false">SUMIFS('CUSTOS MENSAIS'!$F:$F,'CUSTOS MENSAIS'!$A:$A,A60,'CUSTOS MENSAIS'!$H:$H,F60)</f>
        <v>33247.455043</v>
      </c>
      <c r="E60" s="21" t="n">
        <f aca="false">IFERROR(D60/IF(B60="Clientes",SUMIFS(PARÂMETROS!$B$8:$B$33,PARÂMETROS!$G$8:$G$33,F60),SUMIFS(PARÂMETROS!$C$8:$C$33,PARÂMETROS!$G$8:$G$33,F60)),0)</f>
        <v>0.170637154237001</v>
      </c>
      <c r="F60" s="11" t="s">
        <v>11</v>
      </c>
      <c r="G60" s="31" t="n">
        <f aca="false">IF(B60="Clientes",SUMIFS(PARÂMETROS!$B$8:$B$33,PARÂMETROS!$G$8:$G$33,F60),SUMIFS(PARÂMETROS!$C$8:$C$33,PARÂMETROS!$G$8:$G$33,F60))</f>
        <v>194843</v>
      </c>
    </row>
    <row r="61" customFormat="false" ht="15" hidden="false" customHeight="true" outlineLevel="0" collapsed="false">
      <c r="A61" s="27" t="s">
        <v>50</v>
      </c>
      <c r="B61" s="28" t="s">
        <v>95</v>
      </c>
      <c r="C61" s="29" t="s">
        <v>116</v>
      </c>
      <c r="D61" s="21" t="n">
        <f aca="false">SUMIFS('CUSTOS MENSAIS'!$F:$F,'CUSTOS MENSAIS'!$A:$A,A61,'CUSTOS MENSAIS'!$H:$H,F61)</f>
        <v>66303.0212</v>
      </c>
      <c r="E61" s="21" t="n">
        <f aca="false">IFERROR(D61/IF(B61="Clientes",SUMIFS(PARÂMETROS!$B$8:$B$33,PARÂMETROS!$G$8:$G$33,F61),SUMIFS(PARÂMETROS!$C$8:$C$33,PARÂMETROS!$G$8:$G$33,F61)),0)</f>
        <v>0.340289469983525</v>
      </c>
      <c r="F61" s="11" t="s">
        <v>11</v>
      </c>
      <c r="G61" s="31" t="n">
        <f aca="false">IF(B61="Clientes",SUMIFS(PARÂMETROS!$B$8:$B$33,PARÂMETROS!$G$8:$G$33,F61),SUMIFS(PARÂMETROS!$C$8:$C$33,PARÂMETROS!$G$8:$G$33,F61))</f>
        <v>194843</v>
      </c>
    </row>
    <row r="62" customFormat="false" ht="15" hidden="false" customHeight="true" outlineLevel="0" collapsed="false">
      <c r="A62" s="27" t="s">
        <v>51</v>
      </c>
      <c r="B62" s="28" t="s">
        <v>95</v>
      </c>
      <c r="C62" s="29" t="s">
        <v>117</v>
      </c>
      <c r="D62" s="21" t="n">
        <f aca="false">SUMIFS('CUSTOS MENSAIS'!$F:$F,'CUSTOS MENSAIS'!$A:$A,A62,'CUSTOS MENSAIS'!$H:$H,F62)</f>
        <v>155386.558118445</v>
      </c>
      <c r="E62" s="21" t="n">
        <f aca="false">IFERROR(D62/IF(B62="Clientes",SUMIFS(PARÂMETROS!$B$8:$B$33,PARÂMETROS!$G$8:$G$33,F62),SUMIFS(PARÂMETROS!$C$8:$C$33,PARÂMETROS!$G$8:$G$33,F62)),0)</f>
        <v>0.79749623090614</v>
      </c>
      <c r="F62" s="11" t="s">
        <v>11</v>
      </c>
      <c r="G62" s="31" t="n">
        <f aca="false">IF(B62="Clientes",SUMIFS(PARÂMETROS!$B$8:$B$33,PARÂMETROS!$G$8:$G$33,F62),SUMIFS(PARÂMETROS!$C$8:$C$33,PARÂMETROS!$G$8:$G$33,F62))</f>
        <v>194843</v>
      </c>
    </row>
    <row r="63" customFormat="false" ht="15" hidden="false" customHeight="true" outlineLevel="0" collapsed="false">
      <c r="A63" s="27" t="s">
        <v>52</v>
      </c>
      <c r="B63" s="28" t="s">
        <v>95</v>
      </c>
      <c r="C63" s="29" t="s">
        <v>118</v>
      </c>
      <c r="D63" s="21" t="n">
        <f aca="false">SUMIFS('CUSTOS MENSAIS'!$F:$F,'CUSTOS MENSAIS'!$A:$A,A63,'CUSTOS MENSAIS'!$H:$H,F63)</f>
        <v>35189.313446</v>
      </c>
      <c r="E63" s="21" t="n">
        <f aca="false">IFERROR(D63/IF(B63="Clientes",SUMIFS(PARÂMETROS!$B$8:$B$33,PARÂMETROS!$G$8:$G$33,F63),SUMIFS(PARÂMETROS!$C$8:$C$33,PARÂMETROS!$G$8:$G$33,F63)),0)</f>
        <v>0.180603426584481</v>
      </c>
      <c r="F63" s="11" t="s">
        <v>11</v>
      </c>
      <c r="G63" s="31" t="n">
        <f aca="false">IF(B63="Clientes",SUMIFS(PARÂMETROS!$B$8:$B$33,PARÂMETROS!$G$8:$G$33,F63),SUMIFS(PARÂMETROS!$C$8:$C$33,PARÂMETROS!$G$8:$G$33,F63))</f>
        <v>194843</v>
      </c>
    </row>
    <row r="64" customFormat="false" ht="15" hidden="false" customHeight="true" outlineLevel="0" collapsed="false">
      <c r="A64" s="27" t="s">
        <v>53</v>
      </c>
      <c r="B64" s="28" t="s">
        <v>95</v>
      </c>
      <c r="C64" s="29" t="s">
        <v>119</v>
      </c>
      <c r="D64" s="21" t="n">
        <f aca="false">SUMIFS('CUSTOS MENSAIS'!$F:$F,'CUSTOS MENSAIS'!$A:$A,A64,'CUSTOS MENSAIS'!$H:$H,F64)</f>
        <v>126953.683886</v>
      </c>
      <c r="E64" s="21" t="n">
        <f aca="false">IFERROR(D64/IF(B64="Clientes",SUMIFS(PARÂMETROS!$B$8:$B$33,PARÂMETROS!$G$8:$G$33,F64),SUMIFS(PARÂMETROS!$C$8:$C$33,PARÂMETROS!$G$8:$G$33,F64)),0)</f>
        <v>0.651569129432415</v>
      </c>
      <c r="F64" s="11" t="s">
        <v>11</v>
      </c>
      <c r="G64" s="31" t="n">
        <f aca="false">IF(B64="Clientes",SUMIFS(PARÂMETROS!$B$8:$B$33,PARÂMETROS!$G$8:$G$33,F64),SUMIFS(PARÂMETROS!$C$8:$C$33,PARÂMETROS!$G$8:$G$33,F64))</f>
        <v>194843</v>
      </c>
    </row>
    <row r="65" customFormat="false" ht="15" hidden="false" customHeight="true" outlineLevel="0" collapsed="false">
      <c r="A65" s="27" t="s">
        <v>54</v>
      </c>
      <c r="B65" s="28" t="s">
        <v>95</v>
      </c>
      <c r="C65" s="29" t="s">
        <v>120</v>
      </c>
      <c r="D65" s="21" t="n">
        <f aca="false">SUMIFS('CUSTOS MENSAIS'!$F:$F,'CUSTOS MENSAIS'!$A:$A,A65,'CUSTOS MENSAIS'!$H:$H,F65)</f>
        <v>143614.95804</v>
      </c>
      <c r="E65" s="21" t="n">
        <f aca="false">IFERROR(D65/IF(B65="Clientes",SUMIFS(PARÂMETROS!$B$8:$B$33,PARÂMETROS!$G$8:$G$33,F65),SUMIFS(PARÂMETROS!$C$8:$C$33,PARÂMETROS!$G$8:$G$33,F65)),0)</f>
        <v>0.73708040853405</v>
      </c>
      <c r="F65" s="11" t="s">
        <v>11</v>
      </c>
      <c r="G65" s="31" t="n">
        <f aca="false">IF(B65="Clientes",SUMIFS(PARÂMETROS!$B$8:$B$33,PARÂMETROS!$G$8:$G$33,F65),SUMIFS(PARÂMETROS!$C$8:$C$33,PARÂMETROS!$G$8:$G$33,F65))</f>
        <v>194843</v>
      </c>
    </row>
    <row r="66" customFormat="false" ht="15" hidden="false" customHeight="true" outlineLevel="0" collapsed="false">
      <c r="A66" s="27" t="s">
        <v>55</v>
      </c>
      <c r="B66" s="28" t="s">
        <v>97</v>
      </c>
      <c r="C66" s="29" t="s">
        <v>121</v>
      </c>
      <c r="D66" s="21" t="n">
        <f aca="false">SUMIFS('CUSTOS MENSAIS'!$F:$F,'CUSTOS MENSAIS'!$A:$A,A66,'CUSTOS MENSAIS'!$H:$H,F66)</f>
        <v>49566.75</v>
      </c>
      <c r="E66" s="21" t="n">
        <f aca="false">IFERROR(D66/IF(B66="Clientes",SUMIFS(PARÂMETROS!$B$8:$B$33,PARÂMETROS!$G$8:$G$33,F66),SUMIFS(PARÂMETROS!$C$8:$C$33,PARÂMETROS!$G$8:$G$33,F66)),0)</f>
        <v>47.2514299332698</v>
      </c>
      <c r="F66" s="11" t="s">
        <v>11</v>
      </c>
      <c r="G66" s="31" t="n">
        <f aca="false">IF(B66="Clientes",SUMIFS(PARÂMETROS!$B$8:$B$33,PARÂMETROS!$G$8:$G$33,F66),SUMIFS(PARÂMETROS!$C$8:$C$33,PARÂMETROS!$G$8:$G$33,F66))</f>
        <v>1049</v>
      </c>
    </row>
    <row r="67" customFormat="false" ht="15" hidden="false" customHeight="true" outlineLevel="0" collapsed="false">
      <c r="A67" s="27" t="s">
        <v>86</v>
      </c>
      <c r="B67" s="28" t="s">
        <v>95</v>
      </c>
      <c r="C67" s="29" t="s">
        <v>122</v>
      </c>
      <c r="D67" s="21" t="n">
        <f aca="false">SUMIFS('CUSTOS MENSAIS'!$F:$F,'CUSTOS MENSAIS'!$A:$A,A67,'CUSTOS MENSAIS'!$H:$H,F67)</f>
        <v>34992.370912</v>
      </c>
      <c r="E67" s="21" t="n">
        <f aca="false">IFERROR(D67/IF(B67="Clientes",SUMIFS(PARÂMETROS!$B$8:$B$33,PARÂMETROS!$G$8:$G$33,F67),SUMIFS(PARÂMETROS!$C$8:$C$33,PARÂMETROS!$G$8:$G$33,F67)),0)</f>
        <v>0.179592651067783</v>
      </c>
      <c r="F67" s="11" t="s">
        <v>11</v>
      </c>
      <c r="G67" s="31" t="n">
        <f aca="false">IF(B67="Clientes",SUMIFS(PARÂMETROS!$B$8:$B$33,PARÂMETROS!$G$8:$G$33,F67),SUMIFS(PARÂMETROS!$C$8:$C$33,PARÂMETROS!$G$8:$G$33,F67))</f>
        <v>194843</v>
      </c>
    </row>
    <row r="68" customFormat="false" ht="15" hidden="false" customHeight="true" outlineLevel="0" collapsed="false">
      <c r="A68" s="27" t="s">
        <v>83</v>
      </c>
      <c r="B68" s="28" t="s">
        <v>95</v>
      </c>
      <c r="C68" s="29" t="s">
        <v>123</v>
      </c>
      <c r="D68" s="21" t="n">
        <f aca="false">SUMIFS('CUSTOS MENSAIS'!$F:$F,'CUSTOS MENSAIS'!$A:$A,A68,'CUSTOS MENSAIS'!$H:$H,F68)</f>
        <v>15546.83</v>
      </c>
      <c r="E68" s="21" t="n">
        <f aca="false">IFERROR(D68/IF(B68="Clientes",SUMIFS(PARÂMETROS!$B$8:$B$33,PARÂMETROS!$G$8:$G$33,F68),SUMIFS(PARÂMETROS!$C$8:$C$33,PARÂMETROS!$G$8:$G$33,F68)),0)</f>
        <v>0.0797915757815267</v>
      </c>
      <c r="F68" s="11" t="s">
        <v>11</v>
      </c>
      <c r="G68" s="31" t="n">
        <f aca="false">IF(B68="Clientes",SUMIFS(PARÂMETROS!$B$8:$B$33,PARÂMETROS!$G$8:$G$33,F68),SUMIFS(PARÂMETROS!$C$8:$C$33,PARÂMETROS!$G$8:$G$33,F68))</f>
        <v>194843</v>
      </c>
    </row>
    <row r="69" customFormat="false" ht="15" hidden="false" customHeight="true" outlineLevel="0" collapsed="false">
      <c r="A69" s="27" t="s">
        <v>85</v>
      </c>
      <c r="B69" s="28" t="s">
        <v>95</v>
      </c>
      <c r="C69" s="29" t="s">
        <v>124</v>
      </c>
      <c r="D69" s="21" t="n">
        <f aca="false">SUMIFS('CUSTOS MENSAIS'!$F:$F,'CUSTOS MENSAIS'!$A:$A,A69,'CUSTOS MENSAIS'!$H:$H,F69)</f>
        <v>57108.4266</v>
      </c>
      <c r="E69" s="21" t="n">
        <f aca="false">IFERROR(D69/IF(B69="Clientes",SUMIFS(PARÂMETROS!$B$8:$B$33,PARÂMETROS!$G$8:$G$33,F69),SUMIFS(PARÂMETROS!$C$8:$C$33,PARÂMETROS!$G$8:$G$33,F69)),0)</f>
        <v>0.293099708996474</v>
      </c>
      <c r="F69" s="11" t="s">
        <v>11</v>
      </c>
      <c r="G69" s="31" t="n">
        <f aca="false">IF(B69="Clientes",SUMIFS(PARÂMETROS!$B$8:$B$33,PARÂMETROS!$G$8:$G$33,F69),SUMIFS(PARÂMETROS!$C$8:$C$33,PARÂMETROS!$G$8:$G$33,F69))</f>
        <v>194843</v>
      </c>
    </row>
    <row r="70" customFormat="false" ht="15" hidden="false" customHeight="true" outlineLevel="0" collapsed="false">
      <c r="A70" s="27" t="s">
        <v>87</v>
      </c>
      <c r="B70" s="28" t="s">
        <v>95</v>
      </c>
      <c r="C70" s="29" t="s">
        <v>125</v>
      </c>
      <c r="D70" s="21" t="n">
        <f aca="false">SUMIFS('CUSTOS MENSAIS'!$F:$F,'CUSTOS MENSAIS'!$A:$A,A70,'CUSTOS MENSAIS'!$H:$H,F70)</f>
        <v>32247.512921</v>
      </c>
      <c r="E70" s="21" t="n">
        <f aca="false">IFERROR(D70/IF(B70="Clientes",SUMIFS(PARÂMETROS!$B$8:$B$33,PARÂMETROS!$G$8:$G$33,F70),SUMIFS(PARÂMETROS!$C$8:$C$33,PARÂMETROS!$G$8:$G$33,F70)),0)</f>
        <v>0.165505113968682</v>
      </c>
      <c r="F70" s="11" t="s">
        <v>11</v>
      </c>
      <c r="G70" s="31" t="n">
        <f aca="false">IF(B70="Clientes",SUMIFS(PARÂMETROS!$B$8:$B$33,PARÂMETROS!$G$8:$G$33,F70),SUMIFS(PARÂMETROS!$C$8:$C$33,PARÂMETROS!$G$8:$G$33,F70))</f>
        <v>194843</v>
      </c>
    </row>
    <row r="71" customFormat="false" ht="15" hidden="false" customHeight="true" outlineLevel="0" collapsed="false">
      <c r="A71" s="27" t="s">
        <v>78</v>
      </c>
      <c r="B71" s="28" t="s">
        <v>95</v>
      </c>
      <c r="C71" s="29" t="s">
        <v>126</v>
      </c>
      <c r="D71" s="21" t="n">
        <f aca="false">SUMIFS('CUSTOS MENSAIS'!$F:$F,'CUSTOS MENSAIS'!$A:$A,A71,'CUSTOS MENSAIS'!$H:$H,F71)</f>
        <v>94756.2315</v>
      </c>
      <c r="E71" s="21" t="n">
        <f aca="false">IFERROR(D71/IF(B71="Clientes",SUMIFS(PARÂMETROS!$B$8:$B$33,PARÂMETROS!$G$8:$G$33,F71),SUMIFS(PARÂMETROS!$C$8:$C$33,PARÂMETROS!$G$8:$G$33,F71)),0)</f>
        <v>0.486320943015659</v>
      </c>
      <c r="F71" s="11" t="s">
        <v>11</v>
      </c>
      <c r="G71" s="31" t="n">
        <f aca="false">IF(B71="Clientes",SUMIFS(PARÂMETROS!$B$8:$B$33,PARÂMETROS!$G$8:$G$33,F71),SUMIFS(PARÂMETROS!$C$8:$C$33,PARÂMETROS!$G$8:$G$33,F71))</f>
        <v>194843</v>
      </c>
    </row>
    <row r="72" customFormat="false" ht="14.25" hidden="false" customHeight="true" outlineLevel="0" collapsed="false">
      <c r="A72" s="27" t="s">
        <v>81</v>
      </c>
      <c r="B72" s="28" t="s">
        <v>95</v>
      </c>
      <c r="C72" s="29" t="s">
        <v>127</v>
      </c>
      <c r="D72" s="21" t="n">
        <f aca="false">SUMIFS('CUSTOS MENSAIS'!$F:$F,'CUSTOS MENSAIS'!$A:$A,A72,'CUSTOS MENSAIS'!$H:$H,F72)</f>
        <v>13377.272728</v>
      </c>
      <c r="E72" s="21" t="n">
        <f aca="false">IFERROR(D72/IF(B72="Clientes",SUMIFS(PARÂMETROS!$B$8:$B$33,PARÂMETROS!$G$8:$G$33,F72),SUMIFS(PARÂMETROS!$C$8:$C$33,PARÂMETROS!$G$8:$G$33,F72)),0)</f>
        <v>0.0686566760314715</v>
      </c>
      <c r="F72" s="11" t="s">
        <v>11</v>
      </c>
      <c r="G72" s="31" t="n">
        <f aca="false">IF(B72="Clientes",SUMIFS(PARÂMETROS!$B$8:$B$33,PARÂMETROS!$G$8:$G$33,F72),SUMIFS(PARÂMETROS!$C$8:$C$33,PARÂMETROS!$G$8:$G$33,F72))</f>
        <v>194843</v>
      </c>
    </row>
    <row r="73" customFormat="false" ht="15" hidden="false" customHeight="true" outlineLevel="0" collapsed="false">
      <c r="A73" s="27" t="s">
        <v>84</v>
      </c>
      <c r="B73" s="28" t="s">
        <v>95</v>
      </c>
      <c r="C73" s="29" t="s">
        <v>128</v>
      </c>
      <c r="D73" s="21" t="n">
        <f aca="false">SUMIFS('CUSTOS MENSAIS'!$F:$F,'CUSTOS MENSAIS'!$A:$A,A73,'CUSTOS MENSAIS'!$H:$H,F73)</f>
        <v>162717.78</v>
      </c>
      <c r="E73" s="21" t="n">
        <f aca="false">IFERROR(D73/IF(B73="Clientes",SUMIFS(PARÂMETROS!$B$8:$B$33,PARÂMETROS!$G$8:$G$33,F73),SUMIFS(PARÂMETROS!$C$8:$C$33,PARÂMETROS!$G$8:$G$33,F73)),0)</f>
        <v>0.835122534553461</v>
      </c>
      <c r="F73" s="11" t="s">
        <v>11</v>
      </c>
      <c r="G73" s="31" t="n">
        <f aca="false">IF(B73="Clientes",SUMIFS(PARÂMETROS!$B$8:$B$33,PARÂMETROS!$G$8:$G$33,F73),SUMIFS(PARÂMETROS!$C$8:$C$33,PARÂMETROS!$G$8:$G$33,F73))</f>
        <v>194843</v>
      </c>
    </row>
    <row r="74" customFormat="false" ht="15" hidden="false" customHeight="true" outlineLevel="0" collapsed="false">
      <c r="A74" s="27" t="s">
        <v>82</v>
      </c>
      <c r="B74" s="28" t="s">
        <v>95</v>
      </c>
      <c r="C74" s="29" t="s">
        <v>129</v>
      </c>
      <c r="D74" s="21" t="n">
        <f aca="false">SUMIFS('CUSTOS MENSAIS'!$F:$F,'CUSTOS MENSAIS'!$A:$A,A74,'CUSTOS MENSAIS'!$H:$H,F74)</f>
        <v>106583.73</v>
      </c>
      <c r="E74" s="21" t="n">
        <f aca="false">IFERROR(D74/IF(B74="Clientes",SUMIFS(PARÂMETROS!$B$8:$B$33,PARÂMETROS!$G$8:$G$33,F74),SUMIFS(PARÂMETROS!$C$8:$C$33,PARÂMETROS!$G$8:$G$33,F74)),0)</f>
        <v>0.547023654942697</v>
      </c>
      <c r="F74" s="11" t="s">
        <v>11</v>
      </c>
      <c r="G74" s="31" t="n">
        <f aca="false">IF(B74="Clientes",SUMIFS(PARÂMETROS!$B$8:$B$33,PARÂMETROS!$G$8:$G$33,F74),SUMIFS(PARÂMETROS!$C$8:$C$33,PARÂMETROS!$G$8:$G$33,F74))</f>
        <v>194843</v>
      </c>
    </row>
    <row r="75" customFormat="false" ht="15" hidden="false" customHeight="true" outlineLevel="0" collapsed="false">
      <c r="A75" s="27" t="s">
        <v>80</v>
      </c>
      <c r="B75" s="28" t="s">
        <v>95</v>
      </c>
      <c r="C75" s="29" t="s">
        <v>130</v>
      </c>
      <c r="D75" s="21" t="n">
        <f aca="false">SUMIFS('CUSTOS MENSAIS'!$F:$F,'CUSTOS MENSAIS'!$A:$A,A75,'CUSTOS MENSAIS'!$H:$H,F75)</f>
        <v>29358.285692</v>
      </c>
      <c r="E75" s="21" t="n">
        <f aca="false">IFERROR(D75/IF(B75="Clientes",SUMIFS(PARÂMETROS!$B$8:$B$33,PARÂMETROS!$G$8:$G$33,F75),SUMIFS(PARÂMETROS!$C$8:$C$33,PARÂMETROS!$G$8:$G$33,F75)),0)</f>
        <v>0.150676625241861</v>
      </c>
      <c r="F75" s="11" t="s">
        <v>11</v>
      </c>
      <c r="G75" s="31" t="n">
        <f aca="false">IF(B75="Clientes",SUMIFS(PARÂMETROS!$B$8:$B$33,PARÂMETROS!$G$8:$G$33,F75),SUMIFS(PARÂMETROS!$C$8:$C$33,PARÂMETROS!$G$8:$G$33,F75))</f>
        <v>194843</v>
      </c>
    </row>
    <row r="76" customFormat="false" ht="15" hidden="false" customHeight="true" outlineLevel="0" collapsed="false">
      <c r="A76" s="27" t="s">
        <v>79</v>
      </c>
      <c r="B76" s="28" t="s">
        <v>97</v>
      </c>
      <c r="C76" s="29" t="s">
        <v>131</v>
      </c>
      <c r="D76" s="21" t="n">
        <f aca="false">SUMIFS('CUSTOS MENSAIS'!$F:$F,'CUSTOS MENSAIS'!$A:$A,A76,'CUSTOS MENSAIS'!$H:$H,F76)</f>
        <v>34650.7007</v>
      </c>
      <c r="E76" s="21" t="n">
        <f aca="false">IFERROR(D76/G76,0)</f>
        <v>40.6221579132474</v>
      </c>
      <c r="F76" s="11" t="s">
        <v>11</v>
      </c>
      <c r="G76" s="31" t="n">
        <f aca="false">SUMIFS(PARÂMETROS!$C$8:$C$33,PARÂMETROS!$G$8:$G$33,F76,PARÂMETROS!$A$8:$A$33,"DTEL (uso próprio)")</f>
        <v>853</v>
      </c>
    </row>
    <row r="77" customFormat="false" ht="15" hidden="false" customHeight="true" outlineLevel="0" collapsed="false">
      <c r="A77" s="17" t="s">
        <v>133</v>
      </c>
      <c r="B77" s="32"/>
      <c r="C77" s="33"/>
      <c r="D77" s="34" t="n">
        <f aca="false">SUM(D42:D76)+D115+D118+D121</f>
        <v>2437615.25134119</v>
      </c>
      <c r="E77" s="34"/>
      <c r="F77" s="32"/>
      <c r="G77" s="35"/>
    </row>
    <row r="78" customFormat="false" ht="15" hidden="false" customHeight="true" outlineLevel="0" collapsed="false">
      <c r="A78" s="27" t="s">
        <v>31</v>
      </c>
      <c r="B78" s="28" t="s">
        <v>95</v>
      </c>
      <c r="C78" s="29" t="s">
        <v>96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IFERROR(D78/IF(B78="Clientes",SUMIFS(PARÂMETROS!$B$8:$B$33,PARÂMETROS!$G$8:$G$33,F78),SUMIFS(PARÂMETROS!$C$8:$C$33,PARÂMETROS!$G$8:$G$33,F78)),0)</f>
        <v>0.371854108620236</v>
      </c>
      <c r="F78" s="11" t="s">
        <v>21</v>
      </c>
      <c r="G78" s="31" t="n">
        <f aca="false">IF(B78="Clientes",SUMIFS(PARÂMETROS!$B$8:$B$33,PARÂMETROS!$G$8:$G$33,F78),SUMIFS(PARÂMETROS!$C$8:$C$33,PARÂMETROS!$G$8:$G$33,F78))</f>
        <v>201491</v>
      </c>
    </row>
    <row r="79" customFormat="false" ht="15" hidden="false" customHeight="true" outlineLevel="0" collapsed="false">
      <c r="A79" s="27" t="s">
        <v>32</v>
      </c>
      <c r="B79" s="28" t="s">
        <v>97</v>
      </c>
      <c r="C79" s="29" t="s">
        <v>98</v>
      </c>
      <c r="D79" s="21" t="n">
        <f aca="false">SUMIFS('CUSTOS MENSAIS'!$F:$F,'CUSTOS MENSAIS'!$A:$A,A79,'CUSTOS MENSAIS'!$H:$H,F79)</f>
        <v>31731.925852</v>
      </c>
      <c r="E79" s="21" t="n">
        <f aca="false">IFERROR(D79/IF(B79="Clientes",SUMIFS(PARÂMETROS!$B$8:$B$33,PARÂMETROS!$G$8:$G$33,F79),SUMIFS(PARÂMETROS!$C$8:$C$33,PARÂMETROS!$G$8:$G$33,F79)),0)</f>
        <v>29.1118585798165</v>
      </c>
      <c r="F79" s="11" t="s">
        <v>21</v>
      </c>
      <c r="G79" s="31" t="n">
        <f aca="false">IF(B79="Clientes",SUMIFS(PARÂMETROS!$B$8:$B$33,PARÂMETROS!$G$8:$G$33,F79),SUMIFS(PARÂMETROS!$C$8:$C$33,PARÂMETROS!$G$8:$G$33,F79))</f>
        <v>1090</v>
      </c>
    </row>
    <row r="80" customFormat="false" ht="15" hidden="false" customHeight="true" outlineLevel="0" collapsed="false">
      <c r="A80" s="27" t="s">
        <v>33</v>
      </c>
      <c r="B80" s="28" t="s">
        <v>97</v>
      </c>
      <c r="C80" s="29" t="s">
        <v>99</v>
      </c>
      <c r="D80" s="21" t="n">
        <f aca="false">SUMIFS('CUSTOS MENSAIS'!$F:$F,'CUSTOS MENSAIS'!$A:$A,A80,'CUSTOS MENSAIS'!$H:$H,F80)</f>
        <v>45467.6807</v>
      </c>
      <c r="E80" s="21" t="n">
        <f aca="false">IFERROR(D80/IF(B80="Clientes",SUMIFS(PARÂMETROS!$B$8:$B$33,PARÂMETROS!$G$8:$G$33,F80),SUMIFS(PARÂMETROS!$C$8:$C$33,PARÂMETROS!$G$8:$G$33,F80)),0)</f>
        <v>41.7134685321101</v>
      </c>
      <c r="F80" s="11" t="s">
        <v>21</v>
      </c>
      <c r="G80" s="31" t="n">
        <f aca="false">IF(B80="Clientes",SUMIFS(PARÂMETROS!$B$8:$B$33,PARÂMETROS!$G$8:$G$33,F80),SUMIFS(PARÂMETROS!$C$8:$C$33,PARÂMETROS!$G$8:$G$33,F80))</f>
        <v>1090</v>
      </c>
    </row>
    <row r="81" customFormat="false" ht="15" hidden="false" customHeight="true" outlineLevel="0" collapsed="false">
      <c r="A81" s="27" t="s">
        <v>34</v>
      </c>
      <c r="B81" s="28" t="s">
        <v>95</v>
      </c>
      <c r="C81" s="29" t="s">
        <v>100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IFERROR(D81/IF(B81="Clientes",SUMIFS(PARÂMETROS!$B$8:$B$33,PARÂMETROS!$G$8:$G$33,F81),SUMIFS(PARÂMETROS!$C$8:$C$33,PARÂMETROS!$G$8:$G$33,F81)),0)</f>
        <v>0.135504839680184</v>
      </c>
      <c r="F81" s="11" t="s">
        <v>21</v>
      </c>
      <c r="G81" s="31" t="n">
        <f aca="false">IF(B81="Clientes",SUMIFS(PARÂMETROS!$B$8:$B$33,PARÂMETROS!$G$8:$G$33,F81),SUMIFS(PARÂMETROS!$C$8:$C$33,PARÂMETROS!$G$8:$G$33,F81))</f>
        <v>201491</v>
      </c>
    </row>
    <row r="82" customFormat="false" ht="15" hidden="false" customHeight="true" outlineLevel="0" collapsed="false">
      <c r="A82" s="27" t="s">
        <v>35</v>
      </c>
      <c r="B82" s="28" t="s">
        <v>95</v>
      </c>
      <c r="C82" s="29" t="s">
        <v>101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IFERROR(D82/IF(B82="Clientes",SUMIFS(PARÂMETROS!$B$8:$B$33,PARÂMETROS!$G$8:$G$33,F82),SUMIFS(PARÂMETROS!$C$8:$C$33,PARÂMETROS!$G$8:$G$33,F82)),0)</f>
        <v>0.055610036180276</v>
      </c>
      <c r="F82" s="11" t="s">
        <v>21</v>
      </c>
      <c r="G82" s="31" t="n">
        <f aca="false">IF(B82="Clientes",SUMIFS(PARÂMETROS!$B$8:$B$33,PARÂMETROS!$G$8:$G$33,F82),SUMIFS(PARÂMETROS!$C$8:$C$33,PARÂMETROS!$G$8:$G$33,F82))</f>
        <v>201491</v>
      </c>
    </row>
    <row r="83" customFormat="false" ht="15" hidden="false" customHeight="true" outlineLevel="0" collapsed="false">
      <c r="A83" s="27" t="s">
        <v>36</v>
      </c>
      <c r="B83" s="28" t="s">
        <v>95</v>
      </c>
      <c r="C83" s="29" t="s">
        <v>102</v>
      </c>
      <c r="D83" s="21" t="n">
        <f aca="false">SUMIFS('CUSTOS MENSAIS'!$F:$F,'CUSTOS MENSAIS'!$A:$A,A83,'CUSTOS MENSAIS'!$H:$H,F83)</f>
        <v>73501.8384</v>
      </c>
      <c r="E83" s="21" t="n">
        <f aca="false">IFERROR(D83/IF(B83="Clientes",SUMIFS(PARÂMETROS!$B$8:$B$33,PARÂMETROS!$G$8:$G$33,F83),SUMIFS(PARÂMETROS!$C$8:$C$33,PARÂMETROS!$G$8:$G$33,F83)),0)</f>
        <v>0.364789684899077</v>
      </c>
      <c r="F83" s="11" t="s">
        <v>21</v>
      </c>
      <c r="G83" s="31" t="n">
        <f aca="false">IF(B83="Clientes",SUMIFS(PARÂMETROS!$B$8:$B$33,PARÂMETROS!$G$8:$G$33,F83),SUMIFS(PARÂMETROS!$C$8:$C$33,PARÂMETROS!$G$8:$G$33,F83))</f>
        <v>201491</v>
      </c>
    </row>
    <row r="84" customFormat="false" ht="14.25" hidden="false" customHeight="true" outlineLevel="0" collapsed="false">
      <c r="A84" s="27" t="s">
        <v>37</v>
      </c>
      <c r="B84" s="28" t="s">
        <v>95</v>
      </c>
      <c r="C84" s="29" t="s">
        <v>103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IFERROR(D84/IF(B84="Clientes",SUMIFS(PARÂMETROS!$B$8:$B$33,PARÂMETROS!$G$8:$G$33,F84),SUMIFS(PARÂMETROS!$C$8:$C$33,PARÂMETROS!$G$8:$G$33,F84)),0)</f>
        <v>0.80646220468408</v>
      </c>
      <c r="F84" s="11" t="s">
        <v>21</v>
      </c>
      <c r="G84" s="31" t="n">
        <f aca="false">IF(B84="Clientes",SUMIFS(PARÂMETROS!$B$8:$B$33,PARÂMETROS!$G$8:$G$33,F84),SUMIFS(PARÂMETROS!$C$8:$C$33,PARÂMETROS!$G$8:$G$33,F84))</f>
        <v>201491</v>
      </c>
    </row>
    <row r="85" customFormat="false" ht="14.25" hidden="false" customHeight="true" outlineLevel="0" collapsed="false">
      <c r="A85" s="27" t="s">
        <v>38</v>
      </c>
      <c r="B85" s="28" t="s">
        <v>95</v>
      </c>
      <c r="C85" s="29" t="s">
        <v>104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IFERROR(D85/IF(B85="Clientes",SUMIFS(PARÂMETROS!$B$8:$B$33,PARÂMETROS!$G$8:$G$33,F85),SUMIFS(PARÂMETROS!$C$8:$C$33,PARÂMETROS!$G$8:$G$33,F85)),0)</f>
        <v>0.214023938468716</v>
      </c>
      <c r="F85" s="11" t="s">
        <v>21</v>
      </c>
      <c r="G85" s="31" t="n">
        <f aca="false">IF(B85="Clientes",SUMIFS(PARÂMETROS!$B$8:$B$33,PARÂMETROS!$G$8:$G$33,F85),SUMIFS(PARÂMETROS!$C$8:$C$33,PARÂMETROS!$G$8:$G$33,F85))</f>
        <v>201491</v>
      </c>
    </row>
    <row r="86" customFormat="false" ht="14.25" hidden="false" customHeight="true" outlineLevel="0" collapsed="false">
      <c r="A86" s="27" t="s">
        <v>39</v>
      </c>
      <c r="B86" s="28" t="s">
        <v>95</v>
      </c>
      <c r="C86" s="29" t="s">
        <v>105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IFERROR(D86/IF(B86="Clientes",SUMIFS(PARÂMETROS!$B$8:$B$33,PARÂMETROS!$G$8:$G$33,F86),SUMIFS(PARÂMETROS!$C$8:$C$33,PARÂMETROS!$G$8:$G$33,F86)),0)</f>
        <v>0.260525241717992</v>
      </c>
      <c r="F86" s="11" t="s">
        <v>21</v>
      </c>
      <c r="G86" s="31" t="n">
        <f aca="false">IF(B86="Clientes",SUMIFS(PARÂMETROS!$B$8:$B$33,PARÂMETROS!$G$8:$G$33,F86),SUMIFS(PARÂMETROS!$C$8:$C$33,PARÂMETROS!$G$8:$G$33,F86))</f>
        <v>201491</v>
      </c>
    </row>
    <row r="87" customFormat="false" ht="14.25" hidden="false" customHeight="true" outlineLevel="0" collapsed="false">
      <c r="A87" s="27" t="s">
        <v>40</v>
      </c>
      <c r="B87" s="28" t="s">
        <v>95</v>
      </c>
      <c r="C87" s="29" t="s">
        <v>106</v>
      </c>
      <c r="D87" s="21" t="n">
        <f aca="false">SUMIFS('CUSTOS MENSAIS'!$F:$F,'CUSTOS MENSAIS'!$A:$A,A87,'CUSTOS MENSAIS'!$H:$H,F87)</f>
        <v>34184.13816</v>
      </c>
      <c r="E87" s="21" t="n">
        <f aca="false">IFERROR(D87/IF(B87="Clientes",SUMIFS(PARÂMETROS!$B$8:$B$33,PARÂMETROS!$G$8:$G$33,F87),SUMIFS(PARÂMETROS!$C$8:$C$33,PARÂMETROS!$G$8:$G$33,F87)),0)</f>
        <v>0.169655906020616</v>
      </c>
      <c r="F87" s="11" t="s">
        <v>21</v>
      </c>
      <c r="G87" s="31" t="n">
        <f aca="false">IF(B87="Clientes",SUMIFS(PARÂMETROS!$B$8:$B$33,PARÂMETROS!$G$8:$G$33,F87),SUMIFS(PARÂMETROS!$C$8:$C$33,PARÂMETROS!$G$8:$G$33,F87))</f>
        <v>201491</v>
      </c>
    </row>
    <row r="88" customFormat="false" ht="14.25" hidden="false" customHeight="true" outlineLevel="0" collapsed="false">
      <c r="A88" s="27" t="s">
        <v>41</v>
      </c>
      <c r="B88" s="28" t="s">
        <v>95</v>
      </c>
      <c r="C88" s="29" t="s">
        <v>107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IFERROR(D88/IF(B88="Clientes",SUMIFS(PARÂMETROS!$B$8:$B$33,PARÂMETROS!$G$8:$G$33,F88),SUMIFS(PARÂMETROS!$C$8:$C$33,PARÂMETROS!$G$8:$G$33,F88)),0)</f>
        <v>0.0997407208857964</v>
      </c>
      <c r="F88" s="11" t="s">
        <v>21</v>
      </c>
      <c r="G88" s="31" t="n">
        <f aca="false">IF(B88="Clientes",SUMIFS(PARÂMETROS!$B$8:$B$33,PARÂMETROS!$G$8:$G$33,F88),SUMIFS(PARÂMETROS!$C$8:$C$33,PARÂMETROS!$G$8:$G$33,F88))</f>
        <v>201491</v>
      </c>
    </row>
    <row r="89" customFormat="false" ht="14.25" hidden="false" customHeight="true" outlineLevel="0" collapsed="false">
      <c r="A89" s="27" t="s">
        <v>42</v>
      </c>
      <c r="B89" s="28" t="s">
        <v>95</v>
      </c>
      <c r="C89" s="29" t="s">
        <v>108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IFERROR(D89/IF(B89="Clientes",SUMIFS(PARÂMETROS!$B$8:$B$33,PARÂMETROS!$G$8:$G$33,F89),SUMIFS(PARÂMETROS!$C$8:$C$33,PARÂMETROS!$G$8:$G$33,F89)),0)</f>
        <v>0.136978220673766</v>
      </c>
      <c r="F89" s="11" t="s">
        <v>21</v>
      </c>
      <c r="G89" s="31" t="n">
        <f aca="false">IF(B89="Clientes",SUMIFS(PARÂMETROS!$B$8:$B$33,PARÂMETROS!$G$8:$G$33,F89),SUMIFS(PARÂMETROS!$C$8:$C$33,PARÂMETROS!$G$8:$G$33,F89))</f>
        <v>201491</v>
      </c>
    </row>
    <row r="90" customFormat="false" ht="14.25" hidden="false" customHeight="true" outlineLevel="0" collapsed="false">
      <c r="A90" s="27" t="s">
        <v>43</v>
      </c>
      <c r="B90" s="28" t="s">
        <v>95</v>
      </c>
      <c r="C90" s="29" t="s">
        <v>109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IFERROR(D90/IF(B90="Clientes",SUMIFS(PARÂMETROS!$B$8:$B$33,PARÂMETROS!$G$8:$G$33,F90),SUMIFS(PARÂMETROS!$C$8:$C$33,PARÂMETROS!$G$8:$G$33,F90)),0)</f>
        <v>0.138633956355371</v>
      </c>
      <c r="F90" s="11" t="s">
        <v>21</v>
      </c>
      <c r="G90" s="31" t="n">
        <f aca="false">IF(B90="Clientes",SUMIFS(PARÂMETROS!$B$8:$B$33,PARÂMETROS!$G$8:$G$33,F90),SUMIFS(PARÂMETROS!$C$8:$C$33,PARÂMETROS!$G$8:$G$33,F90))</f>
        <v>201491</v>
      </c>
    </row>
    <row r="91" customFormat="false" ht="14.25" hidden="false" customHeight="true" outlineLevel="0" collapsed="false">
      <c r="A91" s="27" t="s">
        <v>44</v>
      </c>
      <c r="B91" s="28" t="s">
        <v>97</v>
      </c>
      <c r="C91" s="29" t="s">
        <v>110</v>
      </c>
      <c r="D91" s="21" t="n">
        <f aca="false">SUMIFS('CUSTOS MENSAIS'!$F:$F,'CUSTOS MENSAIS'!$A:$A,A91,'CUSTOS MENSAIS'!$H:$H,F91)</f>
        <v>67738.1661</v>
      </c>
      <c r="E91" s="21" t="n">
        <f aca="false">IFERROR(D91/IF(B91="Clientes",SUMIFS(PARÂMETROS!$B$8:$B$33,PARÂMETROS!$G$8:$G$33,F91),SUMIFS(PARÂMETROS!$C$8:$C$33,PARÂMETROS!$G$8:$G$33,F91)),0)</f>
        <v>62.1451065137615</v>
      </c>
      <c r="F91" s="11" t="s">
        <v>21</v>
      </c>
      <c r="G91" s="31" t="n">
        <f aca="false">IF(B91="Clientes",SUMIFS(PARÂMETROS!$B$8:$B$33,PARÂMETROS!$G$8:$G$33,F91),SUMIFS(PARÂMETROS!$C$8:$C$33,PARÂMETROS!$G$8:$G$33,F91))</f>
        <v>1090</v>
      </c>
    </row>
    <row r="92" customFormat="false" ht="14.25" hidden="false" customHeight="true" outlineLevel="0" collapsed="false">
      <c r="A92" s="27" t="s">
        <v>45</v>
      </c>
      <c r="B92" s="28" t="s">
        <v>95</v>
      </c>
      <c r="C92" s="29" t="s">
        <v>111</v>
      </c>
      <c r="D92" s="21" t="n">
        <f aca="false">SUMIFS('CUSTOS MENSAIS'!$F:$F,'CUSTOS MENSAIS'!$A:$A,A92,'CUSTOS MENSAIS'!$H:$H,F92)</f>
        <v>85648.729</v>
      </c>
      <c r="E92" s="21" t="n">
        <f aca="false">IFERROR(D92/IF(B92="Clientes",SUMIFS(PARÂMETROS!$B$8:$B$33,PARÂMETROS!$G$8:$G$33,F92),SUMIFS(PARÂMETROS!$C$8:$C$33,PARÂMETROS!$G$8:$G$33,F92)),0)</f>
        <v>0.425074713014477</v>
      </c>
      <c r="F92" s="11" t="s">
        <v>21</v>
      </c>
      <c r="G92" s="31" t="n">
        <f aca="false">IF(B92="Clientes",SUMIFS(PARÂMETROS!$B$8:$B$33,PARÂMETROS!$G$8:$G$33,F92),SUMIFS(PARÂMETROS!$C$8:$C$33,PARÂMETROS!$G$8:$G$33,F92))</f>
        <v>201491</v>
      </c>
    </row>
    <row r="93" customFormat="false" ht="14.25" hidden="false" customHeight="true" outlineLevel="0" collapsed="false">
      <c r="A93" s="27" t="s">
        <v>46</v>
      </c>
      <c r="B93" s="28" t="s">
        <v>95</v>
      </c>
      <c r="C93" s="29" t="s">
        <v>112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IFERROR(D93/IF(B93="Clientes",SUMIFS(PARÂMETROS!$B$8:$B$33,PARÂMETROS!$G$8:$G$33,F93),SUMIFS(PARÂMETROS!$C$8:$C$33,PARÂMETROS!$G$8:$G$33,F93)),0)</f>
        <v>0.90590616950633</v>
      </c>
      <c r="F93" s="11" t="s">
        <v>21</v>
      </c>
      <c r="G93" s="31" t="n">
        <f aca="false">IF(B93="Clientes",SUMIFS(PARÂMETROS!$B$8:$B$33,PARÂMETROS!$G$8:$G$33,F93),SUMIFS(PARÂMETROS!$C$8:$C$33,PARÂMETROS!$G$8:$G$33,F93))</f>
        <v>201491</v>
      </c>
    </row>
    <row r="94" customFormat="false" ht="14.25" hidden="false" customHeight="true" outlineLevel="0" collapsed="false">
      <c r="A94" s="27" t="s">
        <v>47</v>
      </c>
      <c r="B94" s="28" t="s">
        <v>95</v>
      </c>
      <c r="C94" s="29" t="s">
        <v>113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IFERROR(D94/IF(B94="Clientes",SUMIFS(PARÂMETROS!$B$8:$B$33,PARÂMETROS!$G$8:$G$33,F94),SUMIFS(PARÂMETROS!$C$8:$C$33,PARÂMETROS!$G$8:$G$33,F94)),0)</f>
        <v>0.596180027892065</v>
      </c>
      <c r="F94" s="11" t="s">
        <v>21</v>
      </c>
      <c r="G94" s="31" t="n">
        <f aca="false">IF(B94="Clientes",SUMIFS(PARÂMETROS!$B$8:$B$33,PARÂMETROS!$G$8:$G$33,F94),SUMIFS(PARÂMETROS!$C$8:$C$33,PARÂMETROS!$G$8:$G$33,F94))</f>
        <v>201491</v>
      </c>
    </row>
    <row r="95" customFormat="false" ht="14.25" hidden="false" customHeight="true" outlineLevel="0" collapsed="false">
      <c r="A95" s="27" t="s">
        <v>48</v>
      </c>
      <c r="B95" s="28" t="s">
        <v>95</v>
      </c>
      <c r="C95" s="29" t="s">
        <v>114</v>
      </c>
      <c r="D95" s="21" t="n">
        <f aca="false">SUMIFS('CUSTOS MENSAIS'!$F:$F,'CUSTOS MENSAIS'!$A:$A,A95,'CUSTOS MENSAIS'!$H:$H,F95)</f>
        <v>119483.087562</v>
      </c>
      <c r="E95" s="21" t="n">
        <f aca="false">IFERROR(D95/IF(B95="Clientes",SUMIFS(PARÂMETROS!$B$8:$B$33,PARÂMETROS!$G$8:$G$33,F95),SUMIFS(PARÂMETROS!$C$8:$C$33,PARÂMETROS!$G$8:$G$33,F95)),0)</f>
        <v>0.592994662600315</v>
      </c>
      <c r="F95" s="11" t="s">
        <v>21</v>
      </c>
      <c r="G95" s="31" t="n">
        <f aca="false">IF(B95="Clientes",SUMIFS(PARÂMETROS!$B$8:$B$33,PARÂMETROS!$G$8:$G$33,F95),SUMIFS(PARÂMETROS!$C$8:$C$33,PARÂMETROS!$G$8:$G$33,F95))</f>
        <v>201491</v>
      </c>
    </row>
    <row r="96" customFormat="false" ht="14.25" hidden="false" customHeight="true" outlineLevel="0" collapsed="false">
      <c r="A96" s="27" t="s">
        <v>49</v>
      </c>
      <c r="B96" s="28" t="s">
        <v>95</v>
      </c>
      <c r="C96" s="29" t="s">
        <v>115</v>
      </c>
      <c r="D96" s="21" t="n">
        <f aca="false">SUMIFS('CUSTOS MENSAIS'!$F:$F,'CUSTOS MENSAIS'!$A:$A,A96,'CUSTOS MENSAIS'!$H:$H,F96)</f>
        <v>29394.164638</v>
      </c>
      <c r="E96" s="21" t="n">
        <f aca="false">IFERROR(D96/IF(B96="Clientes",SUMIFS(PARÂMETROS!$B$8:$B$33,PARÂMETROS!$G$8:$G$33,F96),SUMIFS(PARÂMETROS!$C$8:$C$33,PARÂMETROS!$G$8:$G$33,F96)),0)</f>
        <v>0.145883263460899</v>
      </c>
      <c r="F96" s="11" t="s">
        <v>21</v>
      </c>
      <c r="G96" s="31" t="n">
        <f aca="false">IF(B96="Clientes",SUMIFS(PARÂMETROS!$B$8:$B$33,PARÂMETROS!$G$8:$G$33,F96),SUMIFS(PARÂMETROS!$C$8:$C$33,PARÂMETROS!$G$8:$G$33,F96))</f>
        <v>201491</v>
      </c>
    </row>
    <row r="97" customFormat="false" ht="14.25" hidden="false" customHeight="true" outlineLevel="0" collapsed="false">
      <c r="A97" s="27" t="s">
        <v>50</v>
      </c>
      <c r="B97" s="28" t="s">
        <v>95</v>
      </c>
      <c r="C97" s="29" t="s">
        <v>116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IFERROR(D97/IF(B97="Clientes",SUMIFS(PARÂMETROS!$B$8:$B$33,PARÂMETROS!$G$8:$G$33,F97),SUMIFS(PARÂMETROS!$C$8:$C$33,PARÂMETROS!$G$8:$G$33,F97)),0)</f>
        <v>0.581586901648213</v>
      </c>
      <c r="F97" s="11" t="s">
        <v>21</v>
      </c>
      <c r="G97" s="31" t="n">
        <f aca="false">IF(B97="Clientes",SUMIFS(PARÂMETROS!$B$8:$B$33,PARÂMETROS!$G$8:$G$33,F97),SUMIFS(PARÂMETROS!$C$8:$C$33,PARÂMETROS!$G$8:$G$33,F97))</f>
        <v>201491</v>
      </c>
    </row>
    <row r="98" customFormat="false" ht="14.25" hidden="false" customHeight="true" outlineLevel="0" collapsed="false">
      <c r="A98" s="27" t="s">
        <v>51</v>
      </c>
      <c r="B98" s="28" t="s">
        <v>95</v>
      </c>
      <c r="C98" s="29" t="s">
        <v>117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IFERROR(D98/IF(B98="Clientes",SUMIFS(PARÂMETROS!$B$8:$B$33,PARÂMETROS!$G$8:$G$33,F98),SUMIFS(PARÂMETROS!$C$8:$C$33,PARÂMETROS!$G$8:$G$33,F98)),0)</f>
        <v>0.699132999353157</v>
      </c>
      <c r="F98" s="11" t="s">
        <v>21</v>
      </c>
      <c r="G98" s="31" t="n">
        <f aca="false">IF(B98="Clientes",SUMIFS(PARÂMETROS!$B$8:$B$33,PARÂMETROS!$G$8:$G$33,F98),SUMIFS(PARÂMETROS!$C$8:$C$33,PARÂMETROS!$G$8:$G$33,F98))</f>
        <v>201491</v>
      </c>
    </row>
    <row r="99" customFormat="false" ht="14.25" hidden="false" customHeight="true" outlineLevel="0" collapsed="false">
      <c r="A99" s="27" t="s">
        <v>52</v>
      </c>
      <c r="B99" s="28" t="s">
        <v>95</v>
      </c>
      <c r="C99" s="29" t="s">
        <v>118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IFERROR(D99/IF(B99="Clientes",SUMIFS(PARÂMETROS!$B$8:$B$33,PARÂMETROS!$G$8:$G$33,F99),SUMIFS(PARÂMETROS!$C$8:$C$33,PARÂMETROS!$G$8:$G$33,F99)),0)</f>
        <v>0.143388229017673</v>
      </c>
      <c r="F99" s="11" t="s">
        <v>21</v>
      </c>
      <c r="G99" s="31" t="n">
        <f aca="false">IF(B99="Clientes",SUMIFS(PARÂMETROS!$B$8:$B$33,PARÂMETROS!$G$8:$G$33,F99),SUMIFS(PARÂMETROS!$C$8:$C$33,PARÂMETROS!$G$8:$G$33,F99))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95</v>
      </c>
      <c r="C100" s="29" t="s">
        <v>119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IFERROR(D100/IF(B100="Clientes",SUMIFS(PARÂMETROS!$B$8:$B$33,PARÂMETROS!$G$8:$G$33,F100),SUMIFS(PARÂMETROS!$C$8:$C$33,PARÂMETROS!$G$8:$G$33,F100)),0)</f>
        <v>1.05899765507144</v>
      </c>
      <c r="F100" s="11" t="s">
        <v>21</v>
      </c>
      <c r="G100" s="31" t="n">
        <f aca="false">IF(B100="Clientes",SUMIFS(PARÂMETROS!$B$8:$B$33,PARÂMETROS!$G$8:$G$33,F100),SUMIFS(PARÂMETROS!$C$8:$C$33,PARÂMETROS!$G$8:$G$33,F100))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95</v>
      </c>
      <c r="C101" s="29" t="s">
        <v>120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IFERROR(D101/IF(B101="Clientes",SUMIFS(PARÂMETROS!$B$8:$B$33,PARÂMETROS!$G$8:$G$33,F101),SUMIFS(PARÂMETROS!$C$8:$C$33,PARÂMETROS!$G$8:$G$33,F101)),0)</f>
        <v>0.623590602121187</v>
      </c>
      <c r="F101" s="11" t="s">
        <v>21</v>
      </c>
      <c r="G101" s="31" t="n">
        <f aca="false">IF(B101="Clientes",SUMIFS(PARÂMETROS!$B$8:$B$33,PARÂMETROS!$G$8:$G$33,F101),SUMIFS(PARÂMETROS!$C$8:$C$33,PARÂMETROS!$G$8:$G$33,F101))</f>
        <v>201491</v>
      </c>
    </row>
    <row r="102" customFormat="false" ht="14.25" hidden="false" customHeight="true" outlineLevel="0" collapsed="false">
      <c r="A102" s="27" t="s">
        <v>55</v>
      </c>
      <c r="B102" s="28" t="s">
        <v>97</v>
      </c>
      <c r="C102" s="29" t="s">
        <v>121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  <c r="G102" s="31" t="n">
        <f aca="false">IF(B102="Clientes",SUMIFS(PARÂMETROS!$B$8:$B$33,PARÂMETROS!$G$8:$G$33,F102),SUMIFS(PARÂMETROS!$C$8:$C$33,PARÂMETROS!$G$8:$G$33,F102))</f>
        <v>1090</v>
      </c>
    </row>
    <row r="103" customFormat="false" ht="14.25" hidden="false" customHeight="true" outlineLevel="0" collapsed="false">
      <c r="A103" s="27" t="s">
        <v>86</v>
      </c>
      <c r="B103" s="28" t="s">
        <v>95</v>
      </c>
      <c r="C103" s="29" t="s">
        <v>122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IFERROR(D103/IF(B103="Clientes",SUMIFS(PARÂMETROS!$B$8:$B$33,PARÂMETROS!$G$8:$G$33,F103),SUMIFS(PARÂMETROS!$C$8:$C$33,PARÂMETROS!$G$8:$G$33,F103)),0)</f>
        <v>0.146287986778566</v>
      </c>
      <c r="F103" s="11" t="s">
        <v>21</v>
      </c>
      <c r="G103" s="31" t="n">
        <f aca="false">IF(B103="Clientes",SUMIFS(PARÂMETROS!$B$8:$B$33,PARÂMETROS!$G$8:$G$33,F103),SUMIFS(PARÂMETROS!$C$8:$C$33,PARÂMETROS!$G$8:$G$33,F103))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95</v>
      </c>
      <c r="C104" s="29" t="s">
        <v>123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IFERROR(D104/IF(B104="Clientes",SUMIFS(PARÂMETROS!$B$8:$B$33,PARÂMETROS!$G$8:$G$33,F104),SUMIFS(PARÂMETROS!$C$8:$C$33,PARÂMETROS!$G$8:$G$33,F104)),0)</f>
        <v>0.0793753070856763</v>
      </c>
      <c r="F104" s="11" t="s">
        <v>21</v>
      </c>
      <c r="G104" s="31" t="n">
        <f aca="false">IF(B104="Clientes",SUMIFS(PARÂMETROS!$B$8:$B$33,PARÂMETROS!$G$8:$G$33,F104),SUMIFS(PARÂMETROS!$C$8:$C$33,PARÂMETROS!$G$8:$G$33,F104))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95</v>
      </c>
      <c r="C105" s="29" t="s">
        <v>124</v>
      </c>
      <c r="D105" s="21" t="n">
        <f aca="false">SUMIFS('CUSTOS MENSAIS'!$F:$F,'CUSTOS MENSAIS'!$A:$A,A105,'CUSTOS MENSAIS'!$H:$H,F105)</f>
        <v>60322.867</v>
      </c>
      <c r="E105" s="21" t="n">
        <f aca="false">IFERROR(D105/IF(B105="Clientes",SUMIFS(PARÂMETROS!$B$8:$B$33,PARÂMETROS!$G$8:$G$33,F105),SUMIFS(PARÂMETROS!$C$8:$C$33,PARÂMETROS!$G$8:$G$33,F105)),0)</f>
        <v>0.299382438917867</v>
      </c>
      <c r="F105" s="11" t="s">
        <v>21</v>
      </c>
      <c r="G105" s="31" t="n">
        <f aca="false">IF(B105="Clientes",SUMIFS(PARÂMETROS!$B$8:$B$33,PARÂMETROS!$G$8:$G$33,F105),SUMIFS(PARÂMETROS!$C$8:$C$33,PARÂMETROS!$G$8:$G$33,F105))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95</v>
      </c>
      <c r="C106" s="29" t="s">
        <v>125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IFERROR(D106/IF(B106="Clientes",SUMIFS(PARÂMETROS!$B$8:$B$33,PARÂMETROS!$G$8:$G$33,F106),SUMIFS(PARÂMETROS!$C$8:$C$33,PARÂMETROS!$G$8:$G$33,F106)),0)</f>
        <v>0.170974700825347</v>
      </c>
      <c r="F106" s="11" t="s">
        <v>21</v>
      </c>
      <c r="G106" s="31" t="n">
        <f aca="false">IF(B106="Clientes",SUMIFS(PARÂMETROS!$B$8:$B$33,PARÂMETROS!$G$8:$G$33,F106),SUMIFS(PARÂMETROS!$C$8:$C$33,PARÂMETROS!$G$8:$G$33,F106))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95</v>
      </c>
      <c r="C107" s="29" t="s">
        <v>126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IFERROR(D107/IF(B107="Clientes",SUMIFS(PARÂMETROS!$B$8:$B$33,PARÂMETROS!$G$8:$G$33,F107),SUMIFS(PARÂMETROS!$C$8:$C$33,PARÂMETROS!$G$8:$G$33,F107)),0)</f>
        <v>0.39039808527428</v>
      </c>
      <c r="F107" s="11" t="s">
        <v>21</v>
      </c>
      <c r="G107" s="31" t="n">
        <f aca="false">IF(B107="Clientes",SUMIFS(PARÂMETROS!$B$8:$B$33,PARÂMETROS!$G$8:$G$33,F107),SUMIFS(PARÂMETROS!$C$8:$C$33,PARÂMETROS!$G$8:$G$33,F107))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95</v>
      </c>
      <c r="C108" s="29" t="s">
        <v>127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IFERROR(D108/IF(B108="Clientes",SUMIFS(PARÂMETROS!$B$8:$B$33,PARÂMETROS!$G$8:$G$33,F108),SUMIFS(PARÂMETROS!$C$8:$C$33,PARÂMETROS!$G$8:$G$33,F108)),0)</f>
        <v>0.071167700671494</v>
      </c>
      <c r="F108" s="11" t="s">
        <v>21</v>
      </c>
      <c r="G108" s="31" t="n">
        <f aca="false">IF(B108="Clientes",SUMIFS(PARÂMETROS!$B$8:$B$33,PARÂMETROS!$G$8:$G$33,F108),SUMIFS(PARÂMETROS!$C$8:$C$33,PARÂMETROS!$G$8:$G$33,F108))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95</v>
      </c>
      <c r="C109" s="29" t="s">
        <v>128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IFERROR(D109/IF(B109="Clientes",SUMIFS(PARÂMETROS!$B$8:$B$33,PARÂMETROS!$G$8:$G$33,F109),SUMIFS(PARÂMETROS!$C$8:$C$33,PARÂMETROS!$G$8:$G$33,F109)),0)</f>
        <v>0.894133881910358</v>
      </c>
      <c r="F109" s="11" t="s">
        <v>21</v>
      </c>
      <c r="G109" s="31" t="n">
        <f aca="false">IF(B109="Clientes",SUMIFS(PARÂMETROS!$B$8:$B$33,PARÂMETROS!$G$8:$G$33,F109),SUMIFS(PARÂMETROS!$C$8:$C$33,PARÂMETROS!$G$8:$G$33,F109))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95</v>
      </c>
      <c r="C110" s="29" t="s">
        <v>129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IFERROR(D110/IF(B110="Clientes",SUMIFS(PARÂMETROS!$B$8:$B$33,PARÂMETROS!$G$8:$G$33,F110),SUMIFS(PARÂMETROS!$C$8:$C$33,PARÂMETROS!$G$8:$G$33,F110)),0)</f>
        <v>0.376515725268126</v>
      </c>
      <c r="F110" s="11" t="s">
        <v>21</v>
      </c>
      <c r="G110" s="31" t="n">
        <f aca="false">IF(B110="Clientes",SUMIFS(PARÂMETROS!$B$8:$B$33,PARÂMETROS!$G$8:$G$33,F110),SUMIFS(PARÂMETROS!$C$8:$C$33,PARÂMETROS!$G$8:$G$33,F110))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95</v>
      </c>
      <c r="C111" s="29" t="s">
        <v>130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IFERROR(D111/IF(B111="Clientes",SUMIFS(PARÂMETROS!$B$8:$B$33,PARÂMETROS!$G$8:$G$33,F111),SUMIFS(PARÂMETROS!$C$8:$C$33,PARÂMETROS!$G$8:$G$33,F111)),0)</f>
        <v>0.145289779573281</v>
      </c>
      <c r="F111" s="11" t="s">
        <v>21</v>
      </c>
      <c r="G111" s="31" t="n">
        <f aca="false">IF(B111="Clientes",SUMIFS(PARÂMETROS!$B$8:$B$33,PARÂMETROS!$G$8:$G$33,F111),SUMIFS(PARÂMETROS!$C$8:$C$33,PARÂMETROS!$G$8:$G$33,F111))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97</v>
      </c>
      <c r="C112" s="29" t="s">
        <v>131</v>
      </c>
      <c r="D112" s="21" t="n">
        <f aca="false">SUMIFS('CUSTOS MENSAIS'!$F:$F,'CUSTOS MENSAIS'!$A:$A,A112,'CUSTOS MENSAIS'!$H:$H,F112)</f>
        <v>104526.2045</v>
      </c>
      <c r="E112" s="21" t="n">
        <f aca="false">IFERROR(D112/G112,0)</f>
        <v>115.371086644592</v>
      </c>
      <c r="F112" s="11" t="s">
        <v>21</v>
      </c>
      <c r="G112" s="31" t="n">
        <f aca="false">SUMIFS(PARÂMETROS!$C$8:$C$33,PARÂMETROS!$G$8:$G$33,F112,PARÂMETROS!$A$8:$A$33,"DTEL (uso próprio)")</f>
        <v>906</v>
      </c>
    </row>
    <row r="113" customFormat="false" ht="14.25" hidden="false" customHeight="true" outlineLevel="0" collapsed="false">
      <c r="A113" s="17" t="s">
        <v>134</v>
      </c>
      <c r="B113" s="32"/>
      <c r="C113" s="33"/>
      <c r="D113" s="34" t="n">
        <f aca="false">SUM(D78:D112)+D116+D119+D122</f>
        <v>2645689.90846245</v>
      </c>
      <c r="E113" s="34"/>
      <c r="F113" s="32"/>
      <c r="G113" s="35"/>
    </row>
    <row r="114" customFormat="false" ht="14.25" hidden="false" customHeight="true" outlineLevel="0" collapsed="false">
      <c r="A114" s="27" t="s">
        <v>135</v>
      </c>
      <c r="B114" s="28" t="s">
        <v>95</v>
      </c>
      <c r="C114" s="29" t="s">
        <v>136</v>
      </c>
      <c r="D114" s="21" t="n">
        <f aca="false">SUMIFS('CUSTOS MENSAIS'!$F:$F,'CUSTOS MENSAIS'!$A:$A,A114,'CUSTOS MENSAIS'!$H:$H,F114)</f>
        <v>7773.6916</v>
      </c>
      <c r="E114" s="21" t="n">
        <f aca="false">IFERROR(D114/IF(B114="Clientes",SUMIFS(PARÂMETROS!$B$8:$B$33,PARÂMETROS!$G$8:$G$33,F114),SUMIFS(PARÂMETROS!$C$8:$C$33,PARÂMETROS!$G$8:$G$33,F114)),0)</f>
        <v>0.0406303950827641</v>
      </c>
      <c r="F114" s="11" t="s">
        <v>20</v>
      </c>
      <c r="G114" s="31" t="n">
        <f aca="false">IF(B114="Clientes",SUMIFS(PARÂMETROS!$B$8:$B$33,PARÂMETROS!$G$8:$G$33,F114),SUMIFS(PARÂMETROS!$C$8:$C$33,PARÂMETROS!$G$8:$G$33,F114))</f>
        <v>191327</v>
      </c>
    </row>
    <row r="115" customFormat="false" ht="14.25" hidden="false" customHeight="true" outlineLevel="0" collapsed="false">
      <c r="A115" s="27" t="s">
        <v>135</v>
      </c>
      <c r="B115" s="28" t="s">
        <v>95</v>
      </c>
      <c r="C115" s="29" t="s">
        <v>136</v>
      </c>
      <c r="D115" s="21" t="n">
        <f aca="false">SUMIFS('CUSTOS MENSAIS'!$F:$F,'CUSTOS MENSAIS'!$A:$A,A115,'CUSTOS MENSAIS'!$H:$H,F115)</f>
        <v>8501.6744</v>
      </c>
      <c r="E115" s="21" t="n">
        <f aca="false">IFERROR(D115/IF(B115="Clientes",SUMIFS(PARÂMETROS!$B$8:$B$33,PARÂMETROS!$G$8:$G$33,F115),SUMIFS(PARÂMETROS!$C$8:$C$33,PARÂMETROS!$G$8:$G$33,F115)),0)</f>
        <v>0.0436334607863767</v>
      </c>
      <c r="F115" s="11" t="s">
        <v>11</v>
      </c>
      <c r="G115" s="31" t="n">
        <f aca="false">IF(B115="Clientes",SUMIFS(PARÂMETROS!$B$8:$B$33,PARÂMETROS!$G$8:$G$33,F115),SUMIFS(PARÂMETROS!$C$8:$C$33,PARÂMETROS!$G$8:$G$33,F115))</f>
        <v>194843</v>
      </c>
    </row>
    <row r="116" customFormat="false" ht="14.25" hidden="false" customHeight="true" outlineLevel="0" collapsed="false">
      <c r="A116" s="27" t="s">
        <v>135</v>
      </c>
      <c r="B116" s="28" t="s">
        <v>95</v>
      </c>
      <c r="C116" s="29" t="s">
        <v>136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IFERROR(D116/IF(B116="Clientes",SUMIFS(PARÂMETROS!$B$8:$B$33,PARÂMETROS!$G$8:$G$33,F116),SUMIFS(PARÂMETROS!$C$8:$C$33,PARÂMETROS!$G$8:$G$33,F116)),0)</f>
        <v>0.0386680521710647</v>
      </c>
      <c r="F116" s="11" t="s">
        <v>21</v>
      </c>
      <c r="G116" s="31" t="n">
        <f aca="false">IF(B116="Clientes",SUMIFS(PARÂMETROS!$B$8:$B$33,PARÂMETROS!$G$8:$G$33,F116),SUMIFS(PARÂMETROS!$C$8:$C$33,PARÂMETROS!$G$8:$G$33,F116))</f>
        <v>201491</v>
      </c>
    </row>
    <row r="117" customFormat="false" ht="14.25" hidden="false" customHeight="true" outlineLevel="0" collapsed="false">
      <c r="A117" s="27" t="s">
        <v>137</v>
      </c>
      <c r="B117" s="28" t="s">
        <v>97</v>
      </c>
      <c r="C117" s="29" t="s">
        <v>138</v>
      </c>
      <c r="D117" s="21" t="n">
        <f aca="false">SUMIFS('CUSTOS MENSAIS'!$F:$F,'CUSTOS MENSAIS'!$A:$A,A117,'CUSTOS MENSAIS'!$H:$H,F117)</f>
        <v>18141.12</v>
      </c>
      <c r="E117" s="21" t="n">
        <f aca="false">IFERROR(D117/IF(B117="Clientes",SUMIFS(PARÂMETROS!$B$8:$B$33,PARÂMETROS!$G$8:$G$33,F117),SUMIFS(PARÂMETROS!$C$8:$C$33,PARÂMETROS!$G$8:$G$33,F117)),0)</f>
        <v>17.2280341880342</v>
      </c>
      <c r="F117" s="11" t="s">
        <v>20</v>
      </c>
      <c r="G117" s="31" t="n">
        <f aca="false">IF(B117="Clientes",SUMIFS(PARÂMETROS!$B$8:$B$33,PARÂMETROS!$G$8:$G$33,F117),SUMIFS(PARÂMETROS!$C$8:$C$33,PARÂMETROS!$G$8:$G$33,F117))</f>
        <v>1053</v>
      </c>
    </row>
    <row r="118" customFormat="false" ht="14.25" hidden="false" customHeight="true" outlineLevel="0" collapsed="false">
      <c r="A118" s="27" t="s">
        <v>137</v>
      </c>
      <c r="B118" s="28" t="s">
        <v>97</v>
      </c>
      <c r="C118" s="29" t="s">
        <v>138</v>
      </c>
      <c r="D118" s="21" t="n">
        <f aca="false">SUMIFS('CUSTOS MENSAIS'!$F:$F,'CUSTOS MENSAIS'!$A:$A,A118,'CUSTOS MENSAIS'!$H:$H,F118)</f>
        <v>34453.93</v>
      </c>
      <c r="E118" s="21" t="n">
        <f aca="false">IFERROR(D118/IF(B118="Clientes",SUMIFS(PARÂMETROS!$B$8:$B$33,PARÂMETROS!$G$8:$G$33,F118),SUMIFS(PARÂMETROS!$C$8:$C$33,PARÂMETROS!$G$8:$G$33,F118)),0)</f>
        <v>32.8445471877979</v>
      </c>
      <c r="F118" s="11" t="s">
        <v>11</v>
      </c>
      <c r="G118" s="31" t="n">
        <f aca="false">IF(B118="Clientes",SUMIFS(PARÂMETROS!$B$8:$B$33,PARÂMETROS!$G$8:$G$33,F118),SUMIFS(PARÂMETROS!$C$8:$C$33,PARÂMETROS!$G$8:$G$33,F118))</f>
        <v>1049</v>
      </c>
    </row>
    <row r="119" customFormat="false" ht="14.25" hidden="false" customHeight="true" outlineLevel="0" collapsed="false">
      <c r="A119" s="27" t="s">
        <v>137</v>
      </c>
      <c r="B119" s="28" t="s">
        <v>97</v>
      </c>
      <c r="C119" s="29" t="s">
        <v>138</v>
      </c>
      <c r="D119" s="21" t="n">
        <f aca="false">SUMIFS('CUSTOS MENSAIS'!$F:$F,'CUSTOS MENSAIS'!$A:$A,A119,'CUSTOS MENSAIS'!$H:$H,F119)</f>
        <v>30202.05</v>
      </c>
      <c r="E119" s="21" t="n">
        <f aca="false">IFERROR(D119/IF(B119="Clientes",SUMIFS(PARÂMETROS!$B$8:$B$33,PARÂMETROS!$G$8:$G$33,F119),SUMIFS(PARÂMETROS!$C$8:$C$33,PARÂMETROS!$G$8:$G$33,F119)),0)</f>
        <v>27.7083027522936</v>
      </c>
      <c r="F119" s="11" t="s">
        <v>21</v>
      </c>
      <c r="G119" s="31" t="n">
        <f aca="false">IF(B119="Clientes",SUMIFS(PARÂMETROS!$B$8:$B$33,PARÂMETROS!$G$8:$G$33,F119),SUMIFS(PARÂMETROS!$C$8:$C$33,PARÂMETROS!$G$8:$G$33,F119))</f>
        <v>1090</v>
      </c>
    </row>
    <row r="120" customFormat="false" ht="14.25" hidden="false" customHeight="false" outlineLevel="0" collapsed="false">
      <c r="A120" s="27" t="s">
        <v>139</v>
      </c>
      <c r="B120" s="28" t="s">
        <v>95</v>
      </c>
      <c r="C120" s="29" t="s">
        <v>140</v>
      </c>
      <c r="D120" s="21" t="n">
        <f aca="false">SUMIFS('CUSTOS MENSAIS'!$F:$F,'CUSTOS MENSAIS'!$A:$A,A120,'CUSTOS MENSAIS'!$H:$H,F120)</f>
        <v>18352.58</v>
      </c>
      <c r="E120" s="21" t="n">
        <f aca="false">IFERROR(D120/IF(B120="Clientes",SUMIFS(PARÂMETROS!$B$8:$B$33,PARÂMETROS!$G$8:$G$33,F120),SUMIFS(PARÂMETROS!$C$8:$C$33,PARÂMETROS!$G$8:$G$33,F120)),0)</f>
        <v>0.0959225828032635</v>
      </c>
      <c r="F120" s="11" t="s">
        <v>20</v>
      </c>
      <c r="G120" s="31" t="n">
        <f aca="false">IF(B120="Clientes",SUMIFS(PARÂMETROS!$B$8:$B$33,PARÂMETROS!$G$8:$G$33,F120),SUMIFS(PARÂMETROS!$C$8:$C$33,PARÂMETROS!$G$8:$G$33,F120))</f>
        <v>191327</v>
      </c>
    </row>
    <row r="121" customFormat="false" ht="14.25" hidden="false" customHeight="false" outlineLevel="0" collapsed="false">
      <c r="A121" s="27" t="s">
        <v>139</v>
      </c>
      <c r="B121" s="28" t="s">
        <v>95</v>
      </c>
      <c r="C121" s="29" t="s">
        <v>140</v>
      </c>
      <c r="D121" s="21" t="n">
        <f aca="false">SUMIFS('CUSTOS MENSAIS'!$F:$F,'CUSTOS MENSAIS'!$A:$A,A121,'CUSTOS MENSAIS'!$H:$H,F121)</f>
        <v>20632.94</v>
      </c>
      <c r="E121" s="21" t="n">
        <f aca="false">IFERROR(D121/IF(B121="Clientes",SUMIFS(PARÂMETROS!$B$8:$B$33,PARÂMETROS!$G$8:$G$33,F121),SUMIFS(PARÂMETROS!$C$8:$C$33,PARÂMETROS!$G$8:$G$33,F121)),0)</f>
        <v>0.105895207936646</v>
      </c>
      <c r="F121" s="11" t="s">
        <v>11</v>
      </c>
      <c r="G121" s="31" t="n">
        <f aca="false">IF(B121="Clientes",SUMIFS(PARÂMETROS!$B$8:$B$33,PARÂMETROS!$G$8:$G$33,F121),SUMIFS(PARÂMETROS!$C$8:$C$33,PARÂMETROS!$G$8:$G$33,F121))</f>
        <v>194843</v>
      </c>
    </row>
    <row r="122" customFormat="false" ht="14.25" hidden="false" customHeight="false" outlineLevel="0" collapsed="false">
      <c r="A122" s="27" t="s">
        <v>139</v>
      </c>
      <c r="B122" s="28" t="s">
        <v>95</v>
      </c>
      <c r="C122" s="29" t="s">
        <v>140</v>
      </c>
      <c r="D122" s="21" t="n">
        <f aca="false">SUMIFS('CUSTOS MENSAIS'!$F:$F,'CUSTOS MENSAIS'!$A:$A,A122,'CUSTOS MENSAIS'!$H:$H,F122)</f>
        <v>20362.12</v>
      </c>
      <c r="E122" s="21" t="n">
        <f aca="false">IFERROR(D122/IF(B122="Clientes",SUMIFS(PARÂMETROS!$B$8:$B$33,PARÂMETROS!$G$8:$G$33,F122),SUMIFS(PARÂMETROS!$C$8:$C$33,PARÂMETROS!$G$8:$G$33,F122)),0)</f>
        <v>0.101057218436555</v>
      </c>
      <c r="F122" s="11" t="s">
        <v>21</v>
      </c>
      <c r="G122" s="31" t="n">
        <f aca="false">IF(B122="Clientes",SUMIFS(PARÂMETROS!$B$8:$B$33,PARÂMETROS!$G$8:$G$33,F122),SUMIFS(PARÂMETROS!$C$8:$C$33,PARÂMETROS!$G$8:$G$33,F122))</f>
        <v>201491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5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141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142</v>
      </c>
    </row>
    <row r="4" customFormat="false" ht="26.25" hidden="false" customHeight="true" outlineLevel="0" collapsed="false">
      <c r="A4" s="6" t="s">
        <v>24</v>
      </c>
      <c r="B4" s="6" t="s">
        <v>143</v>
      </c>
      <c r="C4" s="6" t="s">
        <v>144</v>
      </c>
      <c r="D4" s="6" t="s">
        <v>145</v>
      </c>
      <c r="E4" s="6" t="s">
        <v>146</v>
      </c>
      <c r="F4" s="6" t="s">
        <v>147</v>
      </c>
      <c r="G4" s="6" t="s">
        <v>90</v>
      </c>
      <c r="H4" s="6" t="s">
        <v>9</v>
      </c>
    </row>
    <row r="5" customFormat="false" ht="14.25" hidden="false" customHeight="true" outlineLevel="0" collapsed="false">
      <c r="A5" s="16" t="s">
        <v>34</v>
      </c>
      <c r="B5" s="16" t="s">
        <v>148</v>
      </c>
      <c r="C5" s="16" t="s">
        <v>149</v>
      </c>
      <c r="D5" s="38"/>
      <c r="E5" s="39"/>
      <c r="F5" s="22" t="n">
        <v>0</v>
      </c>
      <c r="G5" s="16" t="str">
        <f aca="false">INDEX(SETORES!$B:$B,MATCH(A5,SETORES!$A:$A,0))</f>
        <v>Clientes</v>
      </c>
      <c r="H5" s="16" t="s">
        <v>20</v>
      </c>
    </row>
    <row r="6" customFormat="false" ht="14.25" hidden="false" customHeight="true" outlineLevel="0" collapsed="false">
      <c r="A6" s="40" t="s">
        <v>34</v>
      </c>
      <c r="B6" s="40" t="s">
        <v>148</v>
      </c>
      <c r="C6" s="40" t="s">
        <v>150</v>
      </c>
      <c r="D6" s="41" t="n">
        <v>1</v>
      </c>
      <c r="E6" s="42" t="n">
        <v>130.4</v>
      </c>
      <c r="F6" s="43" t="n">
        <v>130.4</v>
      </c>
      <c r="G6" s="40" t="str">
        <f aca="false">INDEX(SETORES!$B:$B,MATCH(A6,SETORES!$A:$A,0))</f>
        <v>Clientes</v>
      </c>
      <c r="H6" s="40" t="s">
        <v>20</v>
      </c>
    </row>
    <row r="7" customFormat="false" ht="14.25" hidden="false" customHeight="true" outlineLevel="0" collapsed="false">
      <c r="A7" s="16" t="s">
        <v>34</v>
      </c>
      <c r="B7" s="16" t="s">
        <v>148</v>
      </c>
      <c r="C7" s="16" t="s">
        <v>151</v>
      </c>
      <c r="D7" s="38" t="n">
        <v>1</v>
      </c>
      <c r="E7" s="39" t="n">
        <v>42.554</v>
      </c>
      <c r="F7" s="22" t="n">
        <v>42.554</v>
      </c>
      <c r="G7" s="16" t="str">
        <f aca="false">INDEX(SETORES!$B:$B,MATCH(A7,SETORES!$A:$A,0))</f>
        <v>Clientes</v>
      </c>
      <c r="H7" s="16" t="s">
        <v>20</v>
      </c>
    </row>
    <row r="8" customFormat="false" ht="14.25" hidden="false" customHeight="true" outlineLevel="0" collapsed="false">
      <c r="A8" s="40" t="s">
        <v>34</v>
      </c>
      <c r="B8" s="40" t="s">
        <v>148</v>
      </c>
      <c r="C8" s="40" t="s">
        <v>152</v>
      </c>
      <c r="D8" s="41" t="n">
        <v>1</v>
      </c>
      <c r="E8" s="42" t="n">
        <v>0</v>
      </c>
      <c r="F8" s="43" t="n">
        <v>0</v>
      </c>
      <c r="G8" s="40" t="str">
        <f aca="false">INDEX(SETORES!$B:$B,MATCH(A8,SETORES!$A:$A,0))</f>
        <v>Clientes</v>
      </c>
      <c r="H8" s="40" t="s">
        <v>20</v>
      </c>
    </row>
    <row r="9" customFormat="false" ht="14.25" hidden="false" customHeight="true" outlineLevel="0" collapsed="false">
      <c r="A9" s="16" t="s">
        <v>34</v>
      </c>
      <c r="B9" s="16" t="s">
        <v>148</v>
      </c>
      <c r="C9" s="16" t="s">
        <v>153</v>
      </c>
      <c r="D9" s="38"/>
      <c r="E9" s="39"/>
      <c r="F9" s="22" t="n">
        <f aca="false">IFERROR(D9*E9,0)</f>
        <v>0</v>
      </c>
      <c r="G9" s="16" t="str">
        <f aca="false">INDEX(SETORES!$B:$B,MATCH(A9,SETORES!$A:$A,0))</f>
        <v>Clientes</v>
      </c>
      <c r="H9" s="16" t="s">
        <v>20</v>
      </c>
    </row>
    <row r="10" customFormat="false" ht="14.25" hidden="false" customHeight="true" outlineLevel="0" collapsed="false">
      <c r="A10" s="40" t="s">
        <v>34</v>
      </c>
      <c r="B10" s="40" t="s">
        <v>148</v>
      </c>
      <c r="C10" s="40" t="s">
        <v>154</v>
      </c>
      <c r="D10" s="41" t="n">
        <v>1</v>
      </c>
      <c r="E10" s="42" t="n">
        <v>15762.09</v>
      </c>
      <c r="F10" s="43" t="n">
        <f aca="false">IFERROR(E10,0)</f>
        <v>15762.09</v>
      </c>
      <c r="G10" s="40" t="str">
        <f aca="false">INDEX(SETORES!$B:$B,MATCH(A10,SETORES!$A:$A,0))</f>
        <v>Clientes</v>
      </c>
      <c r="H10" s="40" t="s">
        <v>20</v>
      </c>
    </row>
    <row r="11" customFormat="false" ht="14.25" hidden="false" customHeight="true" outlineLevel="0" collapsed="false">
      <c r="A11" s="16" t="s">
        <v>34</v>
      </c>
      <c r="B11" s="16" t="s">
        <v>155</v>
      </c>
      <c r="C11" s="16" t="s">
        <v>156</v>
      </c>
      <c r="D11" s="38" t="n">
        <v>1</v>
      </c>
      <c r="E11" s="39" t="n">
        <v>174</v>
      </c>
      <c r="F11" s="22" t="n">
        <f aca="false">IFERROR(D11*E11,0)</f>
        <v>174</v>
      </c>
      <c r="G11" s="16" t="str">
        <f aca="false">INDEX(SETORES!$B:$B,MATCH(A11,SETORES!$A:$A,0))</f>
        <v>Clientes</v>
      </c>
      <c r="H11" s="16" t="s">
        <v>20</v>
      </c>
    </row>
    <row r="12" customFormat="false" ht="14.25" hidden="false" customHeight="true" outlineLevel="0" collapsed="false">
      <c r="A12" s="40" t="s">
        <v>34</v>
      </c>
      <c r="B12" s="40" t="s">
        <v>155</v>
      </c>
      <c r="C12" s="40" t="s">
        <v>157</v>
      </c>
      <c r="D12" s="41" t="n">
        <v>1</v>
      </c>
      <c r="E12" s="42" t="n">
        <v>38</v>
      </c>
      <c r="F12" s="43" t="n">
        <f aca="false">IFERROR(D12*E12,0)</f>
        <v>38</v>
      </c>
      <c r="G12" s="40" t="str">
        <f aca="false">INDEX(SETORES!$B:$B,MATCH(A12,SETORES!$A:$A,0))</f>
        <v>Clientes</v>
      </c>
      <c r="H12" s="40" t="s">
        <v>20</v>
      </c>
    </row>
    <row r="13" customFormat="false" ht="14.25" hidden="false" customHeight="true" outlineLevel="0" collapsed="false">
      <c r="A13" s="16" t="s">
        <v>34</v>
      </c>
      <c r="B13" s="16" t="s">
        <v>155</v>
      </c>
      <c r="C13" s="16" t="s">
        <v>158</v>
      </c>
      <c r="D13" s="38"/>
      <c r="E13" s="39"/>
      <c r="F13" s="22" t="n">
        <f aca="false">IFERROR(D13*E13,0)</f>
        <v>0</v>
      </c>
      <c r="G13" s="16" t="str">
        <f aca="false">INDEX(SETORES!$B:$B,MATCH(A13,SETORES!$A:$A,0))</f>
        <v>Clientes</v>
      </c>
      <c r="H13" s="16" t="s">
        <v>20</v>
      </c>
    </row>
    <row r="14" customFormat="false" ht="14.25" hidden="false" customHeight="true" outlineLevel="0" collapsed="false">
      <c r="A14" s="40" t="s">
        <v>34</v>
      </c>
      <c r="B14" s="40" t="s">
        <v>148</v>
      </c>
      <c r="C14" s="40" t="s">
        <v>159</v>
      </c>
      <c r="D14" s="41" t="n">
        <v>8</v>
      </c>
      <c r="E14" s="42" t="n">
        <v>50</v>
      </c>
      <c r="F14" s="43" t="n">
        <f aca="false">IFERROR(D14*E14,0)</f>
        <v>400</v>
      </c>
      <c r="G14" s="40" t="str">
        <f aca="false">INDEX(SETORES!$B:$B,MATCH(A14,SETORES!$A:$A,0))</f>
        <v>Clientes</v>
      </c>
      <c r="H14" s="40" t="s">
        <v>20</v>
      </c>
    </row>
    <row r="15" customFormat="false" ht="14.25" hidden="false" customHeight="true" outlineLevel="0" collapsed="false">
      <c r="A15" s="16" t="s">
        <v>34</v>
      </c>
      <c r="B15" s="16" t="s">
        <v>148</v>
      </c>
      <c r="C15" s="16" t="s">
        <v>160</v>
      </c>
      <c r="D15" s="38" t="n">
        <v>5</v>
      </c>
      <c r="E15" s="39" t="n">
        <v>10.05</v>
      </c>
      <c r="F15" s="22" t="n">
        <f aca="false">IFERROR(D15*E15,0)</f>
        <v>50.25</v>
      </c>
      <c r="G15" s="16" t="str">
        <f aca="false">INDEX(SETORES!$B:$B,MATCH(A15,SETORES!$A:$A,0))</f>
        <v>Clientes</v>
      </c>
      <c r="H15" s="16" t="s">
        <v>20</v>
      </c>
    </row>
    <row r="16" customFormat="false" ht="14.25" hidden="false" customHeight="true" outlineLevel="0" collapsed="false">
      <c r="A16" s="40" t="s">
        <v>34</v>
      </c>
      <c r="B16" s="40" t="s">
        <v>148</v>
      </c>
      <c r="C16" s="40" t="s">
        <v>161</v>
      </c>
      <c r="D16" s="41" t="n">
        <v>5</v>
      </c>
      <c r="E16" s="42" t="n">
        <v>2.07</v>
      </c>
      <c r="F16" s="43" t="n">
        <f aca="false">IFERROR(D16*E16,0)</f>
        <v>10.35</v>
      </c>
      <c r="G16" s="40" t="str">
        <f aca="false">INDEX(SETORES!$B:$B,MATCH(A16,SETORES!$A:$A,0))</f>
        <v>Clientes</v>
      </c>
      <c r="H16" s="40" t="s">
        <v>20</v>
      </c>
    </row>
    <row r="17" customFormat="false" ht="14.25" hidden="false" customHeight="true" outlineLevel="0" collapsed="false">
      <c r="A17" s="16" t="s">
        <v>34</v>
      </c>
      <c r="B17" s="16" t="s">
        <v>148</v>
      </c>
      <c r="C17" s="16" t="s">
        <v>162</v>
      </c>
      <c r="D17" s="38" t="n">
        <v>5</v>
      </c>
      <c r="E17" s="39" t="n">
        <v>64.57</v>
      </c>
      <c r="F17" s="22" t="n">
        <f aca="false">IFERROR(D17*E17,0)</f>
        <v>322.85</v>
      </c>
      <c r="G17" s="16" t="str">
        <f aca="false">INDEX(SETORES!$B:$B,MATCH(A17,SETORES!$A:$A,0))</f>
        <v>Clientes</v>
      </c>
      <c r="H17" s="16" t="s">
        <v>20</v>
      </c>
    </row>
    <row r="18" customFormat="false" ht="14.25" hidden="false" customHeight="true" outlineLevel="0" collapsed="false">
      <c r="A18" s="40" t="s">
        <v>34</v>
      </c>
      <c r="B18" s="40" t="s">
        <v>148</v>
      </c>
      <c r="C18" s="40" t="s">
        <v>163</v>
      </c>
      <c r="D18" s="41" t="n">
        <v>5</v>
      </c>
      <c r="E18" s="42" t="n">
        <v>28.31</v>
      </c>
      <c r="F18" s="43" t="n">
        <f aca="false">IFERROR(D18*E18,0)</f>
        <v>141.55</v>
      </c>
      <c r="G18" s="40" t="str">
        <f aca="false">INDEX(SETORES!$B:$B,MATCH(A18,SETORES!$A:$A,0))</f>
        <v>Clientes</v>
      </c>
      <c r="H18" s="40" t="s">
        <v>20</v>
      </c>
    </row>
    <row r="19" customFormat="false" ht="14.25" hidden="false" customHeight="true" outlineLevel="0" collapsed="false">
      <c r="A19" s="16" t="s">
        <v>34</v>
      </c>
      <c r="B19" s="16" t="s">
        <v>148</v>
      </c>
      <c r="C19" s="16" t="s">
        <v>164</v>
      </c>
      <c r="D19" s="38" t="n">
        <v>5</v>
      </c>
      <c r="E19" s="39" t="n">
        <v>47.79</v>
      </c>
      <c r="F19" s="22" t="n">
        <f aca="false">IFERROR(D19*E19,0)</f>
        <v>238.95</v>
      </c>
      <c r="G19" s="16" t="str">
        <f aca="false">INDEX(SETORES!$B:$B,MATCH(A19,SETORES!$A:$A,0))</f>
        <v>Clientes</v>
      </c>
      <c r="H19" s="16" t="s">
        <v>20</v>
      </c>
    </row>
    <row r="20" customFormat="false" ht="14.25" hidden="false" customHeight="true" outlineLevel="0" collapsed="false">
      <c r="A20" s="40" t="s">
        <v>55</v>
      </c>
      <c r="B20" s="40" t="s">
        <v>148</v>
      </c>
      <c r="C20" s="40" t="s">
        <v>165</v>
      </c>
      <c r="D20" s="41"/>
      <c r="E20" s="42"/>
      <c r="F20" s="43" t="n">
        <f aca="false">IFERROR(D20*E20,0)</f>
        <v>0</v>
      </c>
      <c r="G20" s="40" t="str">
        <f aca="false">INDEX(SETORES!$B:$B,MATCH(A20,SETORES!$A:$A,0))</f>
        <v>Funcionários</v>
      </c>
      <c r="H20" s="40" t="s">
        <v>20</v>
      </c>
    </row>
    <row r="21" customFormat="false" ht="14.25" hidden="false" customHeight="true" outlineLevel="0" collapsed="false">
      <c r="A21" s="16" t="s">
        <v>55</v>
      </c>
      <c r="B21" s="16" t="s">
        <v>148</v>
      </c>
      <c r="C21" s="16" t="s">
        <v>166</v>
      </c>
      <c r="D21" s="38" t="n">
        <v>1</v>
      </c>
      <c r="E21" s="39" t="n">
        <v>1614.4</v>
      </c>
      <c r="F21" s="22" t="n">
        <f aca="false">IFERROR(D21*E21,0)</f>
        <v>1614.4</v>
      </c>
      <c r="G21" s="16" t="str">
        <f aca="false">INDEX(SETORES!$B:$B,MATCH(A21,SETORES!$A:$A,0))</f>
        <v>Funcionários</v>
      </c>
      <c r="H21" s="16" t="s">
        <v>20</v>
      </c>
    </row>
    <row r="22" customFormat="false" ht="14.25" hidden="false" customHeight="true" outlineLevel="0" collapsed="false">
      <c r="A22" s="40" t="s">
        <v>55</v>
      </c>
      <c r="B22" s="40" t="s">
        <v>148</v>
      </c>
      <c r="C22" s="40" t="s">
        <v>167</v>
      </c>
      <c r="D22" s="41" t="n">
        <v>1</v>
      </c>
      <c r="E22" s="42" t="n">
        <v>2000</v>
      </c>
      <c r="F22" s="43" t="n">
        <f aca="false">IFERROR(D22*E22,0)</f>
        <v>2000</v>
      </c>
      <c r="G22" s="40" t="str">
        <f aca="false">INDEX(SETORES!$B:$B,MATCH(A22,SETORES!$A:$A,0))</f>
        <v>Funcionários</v>
      </c>
      <c r="H22" s="40" t="s">
        <v>20</v>
      </c>
    </row>
    <row r="23" customFormat="false" ht="14.25" hidden="false" customHeight="true" outlineLevel="0" collapsed="false">
      <c r="A23" s="16" t="s">
        <v>55</v>
      </c>
      <c r="B23" s="16" t="s">
        <v>148</v>
      </c>
      <c r="C23" s="16" t="s">
        <v>168</v>
      </c>
      <c r="D23" s="38" t="n">
        <v>1</v>
      </c>
      <c r="E23" s="39" t="n">
        <v>2500</v>
      </c>
      <c r="F23" s="22" t="n">
        <f aca="false">IFERROR(D23*E23,0)</f>
        <v>2500</v>
      </c>
      <c r="G23" s="16" t="str">
        <f aca="false">INDEX(SETORES!$B:$B,MATCH(A23,SETORES!$A:$A,0))</f>
        <v>Funcionários</v>
      </c>
      <c r="H23" s="16" t="s">
        <v>20</v>
      </c>
    </row>
    <row r="24" customFormat="false" ht="14.25" hidden="false" customHeight="true" outlineLevel="0" collapsed="false">
      <c r="A24" s="40" t="s">
        <v>55</v>
      </c>
      <c r="B24" s="40" t="s">
        <v>148</v>
      </c>
      <c r="C24" s="40" t="s">
        <v>169</v>
      </c>
      <c r="D24" s="41" t="n">
        <v>1</v>
      </c>
      <c r="E24" s="42" t="n">
        <v>2612.9</v>
      </c>
      <c r="F24" s="43" t="n">
        <f aca="false">IFERROR(D24*E24,0)</f>
        <v>2612.9</v>
      </c>
      <c r="G24" s="40" t="str">
        <f aca="false">INDEX(SETORES!$B:$B,MATCH(A24,SETORES!$A:$A,0))</f>
        <v>Funcionários</v>
      </c>
      <c r="H24" s="40" t="s">
        <v>20</v>
      </c>
    </row>
    <row r="25" customFormat="false" ht="14.25" hidden="false" customHeight="true" outlineLevel="0" collapsed="false">
      <c r="A25" s="16" t="s">
        <v>55</v>
      </c>
      <c r="B25" s="16" t="s">
        <v>148</v>
      </c>
      <c r="C25" s="16" t="s">
        <v>170</v>
      </c>
      <c r="D25" s="38" t="n">
        <v>1</v>
      </c>
      <c r="E25" s="39" t="n">
        <v>2559.44</v>
      </c>
      <c r="F25" s="22" t="n">
        <f aca="false">IFERROR(D25*E25,0)</f>
        <v>2559.44</v>
      </c>
      <c r="G25" s="16" t="str">
        <f aca="false">INDEX(SETORES!$B:$B,MATCH(A25,SETORES!$A:$A,0))</f>
        <v>Funcionários</v>
      </c>
      <c r="H25" s="16" t="s">
        <v>20</v>
      </c>
    </row>
    <row r="26" customFormat="false" ht="14.25" hidden="false" customHeight="true" outlineLevel="0" collapsed="false">
      <c r="A26" s="40" t="s">
        <v>55</v>
      </c>
      <c r="B26" s="40" t="s">
        <v>148</v>
      </c>
      <c r="C26" s="40" t="s">
        <v>171</v>
      </c>
      <c r="D26" s="41" t="n">
        <v>1</v>
      </c>
      <c r="E26" s="42" t="n">
        <v>4226.8</v>
      </c>
      <c r="F26" s="43" t="n">
        <f aca="false">IFERROR(D26*E26,0)</f>
        <v>4226.8</v>
      </c>
      <c r="G26" s="40" t="str">
        <f aca="false">INDEX(SETORES!$B:$B,MATCH(A26,SETORES!$A:$A,0))</f>
        <v>Funcionários</v>
      </c>
      <c r="H26" s="40" t="s">
        <v>20</v>
      </c>
    </row>
    <row r="27" customFormat="false" ht="14.25" hidden="false" customHeight="true" outlineLevel="0" collapsed="false">
      <c r="A27" s="16" t="s">
        <v>55</v>
      </c>
      <c r="B27" s="16" t="s">
        <v>148</v>
      </c>
      <c r="C27" s="16" t="s">
        <v>172</v>
      </c>
      <c r="D27" s="38" t="n">
        <v>1</v>
      </c>
      <c r="E27" s="39" t="n">
        <v>837.06</v>
      </c>
      <c r="F27" s="22" t="n">
        <f aca="false">IFERROR(D27*E27,0)</f>
        <v>837.06</v>
      </c>
      <c r="G27" s="16" t="str">
        <f aca="false">INDEX(SETORES!$B:$B,MATCH(A27,SETORES!$A:$A,0))</f>
        <v>Funcionários</v>
      </c>
      <c r="H27" s="16" t="s">
        <v>20</v>
      </c>
    </row>
    <row r="28" customFormat="false" ht="14.25" hidden="false" customHeight="true" outlineLevel="0" collapsed="false">
      <c r="A28" s="40" t="s">
        <v>55</v>
      </c>
      <c r="B28" s="40" t="s">
        <v>148</v>
      </c>
      <c r="C28" s="40" t="s">
        <v>173</v>
      </c>
      <c r="D28" s="41" t="n">
        <v>1</v>
      </c>
      <c r="E28" s="42" t="n">
        <v>3714.01</v>
      </c>
      <c r="F28" s="43" t="n">
        <f aca="false">IFERROR(D28*E28,0)</f>
        <v>3714.01</v>
      </c>
      <c r="G28" s="40" t="str">
        <f aca="false">INDEX(SETORES!$B:$B,MATCH(A28,SETORES!$A:$A,0))</f>
        <v>Funcionários</v>
      </c>
      <c r="H28" s="40" t="s">
        <v>20</v>
      </c>
    </row>
    <row r="29" customFormat="false" ht="14.25" hidden="false" customHeight="true" outlineLevel="0" collapsed="false">
      <c r="A29" s="16" t="s">
        <v>55</v>
      </c>
      <c r="B29" s="16" t="s">
        <v>148</v>
      </c>
      <c r="C29" s="16" t="s">
        <v>174</v>
      </c>
      <c r="D29" s="38" t="n">
        <v>1</v>
      </c>
      <c r="E29" s="39" t="n">
        <v>2559.45</v>
      </c>
      <c r="F29" s="22" t="n">
        <f aca="false">IFERROR(D29*E29,0)</f>
        <v>2559.45</v>
      </c>
      <c r="G29" s="16" t="str">
        <f aca="false">INDEX(SETORES!$B:$B,MATCH(A29,SETORES!$A:$A,0))</f>
        <v>Funcionários</v>
      </c>
      <c r="H29" s="16" t="s">
        <v>20</v>
      </c>
    </row>
    <row r="30" customFormat="false" ht="14.25" hidden="false" customHeight="true" outlineLevel="0" collapsed="false">
      <c r="A30" s="40" t="s">
        <v>55</v>
      </c>
      <c r="B30" s="40" t="s">
        <v>148</v>
      </c>
      <c r="C30" s="40" t="s">
        <v>175</v>
      </c>
      <c r="D30" s="41"/>
      <c r="E30" s="42"/>
      <c r="F30" s="43" t="n">
        <f aca="false">IFERROR(D30*E30,0)</f>
        <v>0</v>
      </c>
      <c r="G30" s="40" t="str">
        <f aca="false">INDEX(SETORES!$B:$B,MATCH(A30,SETORES!$A:$A,0))</f>
        <v>Funcionários</v>
      </c>
      <c r="H30" s="40" t="s">
        <v>20</v>
      </c>
    </row>
    <row r="31" customFormat="false" ht="14.25" hidden="false" customHeight="true" outlineLevel="0" collapsed="false">
      <c r="A31" s="16" t="s">
        <v>55</v>
      </c>
      <c r="B31" s="16" t="s">
        <v>148</v>
      </c>
      <c r="C31" s="16" t="s">
        <v>176</v>
      </c>
      <c r="D31" s="38" t="n">
        <v>1</v>
      </c>
      <c r="E31" s="39" t="n">
        <v>666.2</v>
      </c>
      <c r="F31" s="22" t="n">
        <f aca="false">IFERROR(D31*E31,0)</f>
        <v>666.2</v>
      </c>
      <c r="G31" s="16" t="str">
        <f aca="false">INDEX(SETORES!$B:$B,MATCH(A31,SETORES!$A:$A,0))</f>
        <v>Funcionários</v>
      </c>
      <c r="H31" s="16" t="s">
        <v>20</v>
      </c>
    </row>
    <row r="32" customFormat="false" ht="14.25" hidden="false" customHeight="true" outlineLevel="0" collapsed="false">
      <c r="A32" s="40" t="s">
        <v>55</v>
      </c>
      <c r="B32" s="40" t="s">
        <v>148</v>
      </c>
      <c r="C32" s="40" t="s">
        <v>177</v>
      </c>
      <c r="D32" s="41" t="n">
        <v>1</v>
      </c>
      <c r="E32" s="42" t="n">
        <v>470</v>
      </c>
      <c r="F32" s="43" t="n">
        <f aca="false">IFERROR(D32*E32,0)</f>
        <v>470</v>
      </c>
      <c r="G32" s="40" t="str">
        <f aca="false">INDEX(SETORES!$B:$B,MATCH(A32,SETORES!$A:$A,0))</f>
        <v>Funcionários</v>
      </c>
      <c r="H32" s="40" t="s">
        <v>20</v>
      </c>
    </row>
    <row r="33" customFormat="false" ht="14.25" hidden="false" customHeight="true" outlineLevel="0" collapsed="false">
      <c r="A33" s="16" t="s">
        <v>55</v>
      </c>
      <c r="B33" s="16" t="s">
        <v>148</v>
      </c>
      <c r="C33" s="16" t="s">
        <v>178</v>
      </c>
      <c r="D33" s="38" t="n">
        <v>1</v>
      </c>
      <c r="E33" s="39" t="n">
        <v>99</v>
      </c>
      <c r="F33" s="22" t="n">
        <f aca="false">IFERROR(D33*E33,0)</f>
        <v>99</v>
      </c>
      <c r="G33" s="16" t="str">
        <f aca="false">INDEX(SETORES!$B:$B,MATCH(A33,SETORES!$A:$A,0))</f>
        <v>Funcionários</v>
      </c>
      <c r="H33" s="16" t="s">
        <v>20</v>
      </c>
    </row>
    <row r="34" customFormat="false" ht="14.25" hidden="false" customHeight="true" outlineLevel="0" collapsed="false">
      <c r="A34" s="40" t="s">
        <v>55</v>
      </c>
      <c r="B34" s="40" t="s">
        <v>148</v>
      </c>
      <c r="C34" s="40" t="s">
        <v>179</v>
      </c>
      <c r="D34" s="41" t="n">
        <v>1</v>
      </c>
      <c r="E34" s="42" t="n">
        <v>2534</v>
      </c>
      <c r="F34" s="43" t="n">
        <f aca="false">IFERROR(D34*E34,0)</f>
        <v>2534</v>
      </c>
      <c r="G34" s="40" t="str">
        <f aca="false">INDEX(SETORES!$B:$B,MATCH(A34,SETORES!$A:$A,0))</f>
        <v>Funcionários</v>
      </c>
      <c r="H34" s="40" t="s">
        <v>20</v>
      </c>
    </row>
    <row r="35" customFormat="false" ht="14.25" hidden="false" customHeight="true" outlineLevel="0" collapsed="false">
      <c r="A35" s="16" t="s">
        <v>35</v>
      </c>
      <c r="B35" s="16" t="s">
        <v>148</v>
      </c>
      <c r="C35" s="16" t="s">
        <v>149</v>
      </c>
      <c r="D35" s="38"/>
      <c r="E35" s="39"/>
      <c r="F35" s="22" t="n">
        <v>0</v>
      </c>
      <c r="G35" s="16" t="str">
        <f aca="false">INDEX(SETORES!$B:$B,MATCH(A35,SETORES!$A:$A,0))</f>
        <v>Clientes</v>
      </c>
      <c r="H35" s="16" t="s">
        <v>20</v>
      </c>
    </row>
    <row r="36" customFormat="false" ht="14.25" hidden="false" customHeight="true" outlineLevel="0" collapsed="false">
      <c r="A36" s="40" t="s">
        <v>35</v>
      </c>
      <c r="B36" s="40" t="s">
        <v>148</v>
      </c>
      <c r="C36" s="40" t="s">
        <v>150</v>
      </c>
      <c r="D36" s="41" t="n">
        <v>1</v>
      </c>
      <c r="E36" s="42" t="n">
        <v>65.2</v>
      </c>
      <c r="F36" s="43" t="n">
        <v>65.2</v>
      </c>
      <c r="G36" s="40" t="str">
        <f aca="false">INDEX(SETORES!$B:$B,MATCH(A36,SETORES!$A:$A,0))</f>
        <v>Clientes</v>
      </c>
      <c r="H36" s="40" t="s">
        <v>20</v>
      </c>
    </row>
    <row r="37" customFormat="false" ht="14.25" hidden="false" customHeight="true" outlineLevel="0" collapsed="false">
      <c r="A37" s="16" t="s">
        <v>35</v>
      </c>
      <c r="B37" s="16" t="s">
        <v>148</v>
      </c>
      <c r="C37" s="16" t="s">
        <v>151</v>
      </c>
      <c r="D37" s="38" t="n">
        <v>1</v>
      </c>
      <c r="E37" s="39" t="n">
        <v>34.0432</v>
      </c>
      <c r="F37" s="22" t="n">
        <v>34.0432</v>
      </c>
      <c r="G37" s="16" t="str">
        <f aca="false">INDEX(SETORES!$B:$B,MATCH(A37,SETORES!$A:$A,0))</f>
        <v>Clientes</v>
      </c>
      <c r="H37" s="16" t="s">
        <v>20</v>
      </c>
    </row>
    <row r="38" customFormat="false" ht="14.25" hidden="false" customHeight="true" outlineLevel="0" collapsed="false">
      <c r="A38" s="40" t="s">
        <v>35</v>
      </c>
      <c r="B38" s="40" t="s">
        <v>148</v>
      </c>
      <c r="C38" s="40" t="s">
        <v>152</v>
      </c>
      <c r="D38" s="41" t="n">
        <v>1</v>
      </c>
      <c r="E38" s="42" t="n">
        <v>0</v>
      </c>
      <c r="F38" s="43" t="n">
        <v>0</v>
      </c>
      <c r="G38" s="40" t="str">
        <f aca="false">INDEX(SETORES!$B:$B,MATCH(A38,SETORES!$A:$A,0))</f>
        <v>Clientes</v>
      </c>
      <c r="H38" s="40" t="s">
        <v>20</v>
      </c>
    </row>
    <row r="39" customFormat="false" ht="14.25" hidden="false" customHeight="true" outlineLevel="0" collapsed="false">
      <c r="A39" s="16" t="s">
        <v>35</v>
      </c>
      <c r="B39" s="16" t="s">
        <v>148</v>
      </c>
      <c r="C39" s="16" t="s">
        <v>153</v>
      </c>
      <c r="D39" s="38"/>
      <c r="E39" s="39"/>
      <c r="F39" s="22" t="n">
        <f aca="false">IFERROR(D39*E39,0)</f>
        <v>0</v>
      </c>
      <c r="G39" s="16" t="str">
        <f aca="false">INDEX(SETORES!$B:$B,MATCH(A39,SETORES!$A:$A,0))</f>
        <v>Clientes</v>
      </c>
      <c r="H39" s="16" t="s">
        <v>20</v>
      </c>
    </row>
    <row r="40" customFormat="false" ht="14.25" hidden="false" customHeight="true" outlineLevel="0" collapsed="false">
      <c r="A40" s="40" t="s">
        <v>35</v>
      </c>
      <c r="B40" s="40" t="s">
        <v>148</v>
      </c>
      <c r="C40" s="40" t="s">
        <v>154</v>
      </c>
      <c r="D40" s="41" t="n">
        <v>1</v>
      </c>
      <c r="E40" s="42" t="n">
        <v>12057.21</v>
      </c>
      <c r="F40" s="43" t="n">
        <f aca="false">IFERROR(E40,0)</f>
        <v>12057.21</v>
      </c>
      <c r="G40" s="40" t="str">
        <f aca="false">INDEX(SETORES!$B:$B,MATCH(A40,SETORES!$A:$A,0))</f>
        <v>Clientes</v>
      </c>
      <c r="H40" s="40" t="s">
        <v>20</v>
      </c>
    </row>
    <row r="41" customFormat="false" ht="14.25" hidden="false" customHeight="true" outlineLevel="0" collapsed="false">
      <c r="A41" s="16" t="s">
        <v>35</v>
      </c>
      <c r="B41" s="16" t="s">
        <v>155</v>
      </c>
      <c r="C41" s="16" t="s">
        <v>156</v>
      </c>
      <c r="D41" s="38" t="n">
        <v>1</v>
      </c>
      <c r="E41" s="39" t="n">
        <v>174</v>
      </c>
      <c r="F41" s="22" t="n">
        <f aca="false">IFERROR(D41*E41,0)</f>
        <v>174</v>
      </c>
      <c r="G41" s="16" t="str">
        <f aca="false">INDEX(SETORES!$B:$B,MATCH(A41,SETORES!$A:$A,0))</f>
        <v>Clientes</v>
      </c>
      <c r="H41" s="16" t="s">
        <v>20</v>
      </c>
    </row>
    <row r="42" customFormat="false" ht="14.25" hidden="false" customHeight="true" outlineLevel="0" collapsed="false">
      <c r="A42" s="40" t="s">
        <v>35</v>
      </c>
      <c r="B42" s="40" t="s">
        <v>155</v>
      </c>
      <c r="C42" s="40" t="s">
        <v>157</v>
      </c>
      <c r="D42" s="41" t="n">
        <v>1</v>
      </c>
      <c r="E42" s="42" t="n">
        <v>38</v>
      </c>
      <c r="F42" s="43" t="n">
        <f aca="false">IFERROR(D42*E42,0)</f>
        <v>38</v>
      </c>
      <c r="G42" s="40" t="str">
        <f aca="false">INDEX(SETORES!$B:$B,MATCH(A42,SETORES!$A:$A,0))</f>
        <v>Clientes</v>
      </c>
      <c r="H42" s="40" t="s">
        <v>20</v>
      </c>
    </row>
    <row r="43" customFormat="false" ht="14.25" hidden="false" customHeight="true" outlineLevel="0" collapsed="false">
      <c r="A43" s="16" t="s">
        <v>35</v>
      </c>
      <c r="B43" s="16" t="s">
        <v>155</v>
      </c>
      <c r="C43" s="16" t="s">
        <v>158</v>
      </c>
      <c r="D43" s="38" t="n">
        <v>1</v>
      </c>
      <c r="E43" s="39" t="n">
        <v>950</v>
      </c>
      <c r="F43" s="22" t="n">
        <f aca="false">IFERROR(D43*E43,0)</f>
        <v>950</v>
      </c>
      <c r="G43" s="16" t="str">
        <f aca="false">INDEX(SETORES!$B:$B,MATCH(A43,SETORES!$A:$A,0))</f>
        <v>Clientes</v>
      </c>
      <c r="H43" s="16" t="s">
        <v>20</v>
      </c>
    </row>
    <row r="44" customFormat="false" ht="14.25" hidden="false" customHeight="true" outlineLevel="0" collapsed="false">
      <c r="A44" s="40" t="s">
        <v>35</v>
      </c>
      <c r="B44" s="40" t="s">
        <v>148</v>
      </c>
      <c r="C44" s="40" t="s">
        <v>159</v>
      </c>
      <c r="D44" s="41" t="n">
        <v>3</v>
      </c>
      <c r="E44" s="42" t="n">
        <v>50</v>
      </c>
      <c r="F44" s="43" t="n">
        <f aca="false">IFERROR(D44*E44,0)</f>
        <v>150</v>
      </c>
      <c r="G44" s="40" t="str">
        <f aca="false">INDEX(SETORES!$B:$B,MATCH(A44,SETORES!$A:$A,0))</f>
        <v>Clientes</v>
      </c>
      <c r="H44" s="40" t="s">
        <v>20</v>
      </c>
    </row>
    <row r="45" customFormat="false" ht="14.25" hidden="false" customHeight="true" outlineLevel="0" collapsed="false">
      <c r="A45" s="16" t="s">
        <v>35</v>
      </c>
      <c r="B45" s="16" t="s">
        <v>148</v>
      </c>
      <c r="C45" s="16" t="s">
        <v>160</v>
      </c>
      <c r="D45" s="38" t="n">
        <v>4</v>
      </c>
      <c r="E45" s="39" t="n">
        <v>10.05</v>
      </c>
      <c r="F45" s="22" t="n">
        <f aca="false">IFERROR(D45*E45,0)</f>
        <v>40.2</v>
      </c>
      <c r="G45" s="16" t="str">
        <f aca="false">INDEX(SETORES!$B:$B,MATCH(A45,SETORES!$A:$A,0))</f>
        <v>Clientes</v>
      </c>
      <c r="H45" s="16" t="s">
        <v>20</v>
      </c>
    </row>
    <row r="46" customFormat="false" ht="14.25" hidden="false" customHeight="true" outlineLevel="0" collapsed="false">
      <c r="A46" s="40" t="s">
        <v>35</v>
      </c>
      <c r="B46" s="40" t="s">
        <v>148</v>
      </c>
      <c r="C46" s="40" t="s">
        <v>161</v>
      </c>
      <c r="D46" s="41" t="n">
        <v>4</v>
      </c>
      <c r="E46" s="42" t="n">
        <v>2.07</v>
      </c>
      <c r="F46" s="43" t="n">
        <f aca="false">IFERROR(D46*E46,0)</f>
        <v>8.28</v>
      </c>
      <c r="G46" s="40" t="str">
        <f aca="false">INDEX(SETORES!$B:$B,MATCH(A46,SETORES!$A:$A,0))</f>
        <v>Clientes</v>
      </c>
      <c r="H46" s="40" t="s">
        <v>20</v>
      </c>
    </row>
    <row r="47" customFormat="false" ht="14.25" hidden="false" customHeight="true" outlineLevel="0" collapsed="false">
      <c r="A47" s="16" t="s">
        <v>35</v>
      </c>
      <c r="B47" s="16" t="s">
        <v>148</v>
      </c>
      <c r="C47" s="16" t="s">
        <v>162</v>
      </c>
      <c r="D47" s="38" t="n">
        <v>4</v>
      </c>
      <c r="E47" s="39" t="n">
        <v>64.57</v>
      </c>
      <c r="F47" s="22" t="n">
        <f aca="false">IFERROR(D47*E47,0)</f>
        <v>258.28</v>
      </c>
      <c r="G47" s="16" t="str">
        <f aca="false">INDEX(SETORES!$B:$B,MATCH(A47,SETORES!$A:$A,0))</f>
        <v>Clientes</v>
      </c>
      <c r="H47" s="16" t="s">
        <v>20</v>
      </c>
    </row>
    <row r="48" customFormat="false" ht="14.25" hidden="false" customHeight="true" outlineLevel="0" collapsed="false">
      <c r="A48" s="40" t="s">
        <v>35</v>
      </c>
      <c r="B48" s="40" t="s">
        <v>148</v>
      </c>
      <c r="C48" s="40" t="s">
        <v>163</v>
      </c>
      <c r="D48" s="41" t="n">
        <v>4</v>
      </c>
      <c r="E48" s="42" t="n">
        <v>28.31</v>
      </c>
      <c r="F48" s="43" t="n">
        <f aca="false">IFERROR(D48*E48,0)</f>
        <v>113.24</v>
      </c>
      <c r="G48" s="40" t="str">
        <f aca="false">INDEX(SETORES!$B:$B,MATCH(A48,SETORES!$A:$A,0))</f>
        <v>Clientes</v>
      </c>
      <c r="H48" s="40" t="s">
        <v>20</v>
      </c>
    </row>
    <row r="49" customFormat="false" ht="14.25" hidden="false" customHeight="true" outlineLevel="0" collapsed="false">
      <c r="A49" s="16" t="s">
        <v>35</v>
      </c>
      <c r="B49" s="16" t="s">
        <v>148</v>
      </c>
      <c r="C49" s="16" t="s">
        <v>164</v>
      </c>
      <c r="D49" s="38" t="n">
        <v>4</v>
      </c>
      <c r="E49" s="39" t="n">
        <v>47.79</v>
      </c>
      <c r="F49" s="22" t="n">
        <f aca="false">IFERROR(D49*E49,0)</f>
        <v>191.16</v>
      </c>
      <c r="G49" s="16" t="str">
        <f aca="false">INDEX(SETORES!$B:$B,MATCH(A49,SETORES!$A:$A,0))</f>
        <v>Clientes</v>
      </c>
      <c r="H49" s="16" t="s">
        <v>20</v>
      </c>
    </row>
    <row r="50" customFormat="false" ht="14.25" hidden="false" customHeight="true" outlineLevel="0" collapsed="false">
      <c r="A50" s="40" t="s">
        <v>38</v>
      </c>
      <c r="B50" s="40" t="s">
        <v>148</v>
      </c>
      <c r="C50" s="40" t="s">
        <v>149</v>
      </c>
      <c r="D50" s="41" t="n">
        <v>12</v>
      </c>
      <c r="E50" s="42" t="n">
        <v>0.3648</v>
      </c>
      <c r="F50" s="43" t="n">
        <v>4.3776</v>
      </c>
      <c r="G50" s="40" t="str">
        <f aca="false">INDEX(SETORES!$B:$B,MATCH(A50,SETORES!$A:$A,0))</f>
        <v>Clientes</v>
      </c>
      <c r="H50" s="40" t="s">
        <v>20</v>
      </c>
    </row>
    <row r="51" customFormat="false" ht="14.25" hidden="false" customHeight="true" outlineLevel="0" collapsed="false">
      <c r="A51" s="16" t="s">
        <v>38</v>
      </c>
      <c r="B51" s="16" t="s">
        <v>148</v>
      </c>
      <c r="C51" s="16" t="s">
        <v>150</v>
      </c>
      <c r="D51" s="38" t="n">
        <v>1</v>
      </c>
      <c r="E51" s="39" t="n">
        <v>339.577241</v>
      </c>
      <c r="F51" s="22" t="n">
        <v>339.577241</v>
      </c>
      <c r="G51" s="16" t="str">
        <f aca="false">INDEX(SETORES!$B:$B,MATCH(A51,SETORES!$A:$A,0))</f>
        <v>Clientes</v>
      </c>
      <c r="H51" s="16" t="s">
        <v>20</v>
      </c>
    </row>
    <row r="52" customFormat="false" ht="14.25" hidden="false" customHeight="true" outlineLevel="0" collapsed="false">
      <c r="A52" s="40" t="s">
        <v>38</v>
      </c>
      <c r="B52" s="40" t="s">
        <v>148</v>
      </c>
      <c r="C52" s="40" t="s">
        <v>151</v>
      </c>
      <c r="D52" s="41" t="n">
        <v>1</v>
      </c>
      <c r="E52" s="42" t="n">
        <v>102.1295</v>
      </c>
      <c r="F52" s="43" t="n">
        <v>102.1295</v>
      </c>
      <c r="G52" s="40" t="str">
        <f aca="false">INDEX(SETORES!$B:$B,MATCH(A52,SETORES!$A:$A,0))</f>
        <v>Clientes</v>
      </c>
      <c r="H52" s="40" t="s">
        <v>20</v>
      </c>
    </row>
    <row r="53" customFormat="false" ht="14.25" hidden="false" customHeight="true" outlineLevel="0" collapsed="false">
      <c r="A53" s="16" t="s">
        <v>38</v>
      </c>
      <c r="B53" s="16" t="s">
        <v>148</v>
      </c>
      <c r="C53" s="16" t="s">
        <v>152</v>
      </c>
      <c r="D53" s="38" t="n">
        <v>1</v>
      </c>
      <c r="E53" s="39" t="n">
        <v>0</v>
      </c>
      <c r="F53" s="22" t="n">
        <v>0</v>
      </c>
      <c r="G53" s="16" t="str">
        <f aca="false">INDEX(SETORES!$B:$B,MATCH(A53,SETORES!$A:$A,0))</f>
        <v>Clientes</v>
      </c>
      <c r="H53" s="16" t="s">
        <v>20</v>
      </c>
    </row>
    <row r="54" customFormat="false" ht="14.25" hidden="false" customHeight="true" outlineLevel="0" collapsed="false">
      <c r="A54" s="40" t="s">
        <v>38</v>
      </c>
      <c r="B54" s="40" t="s">
        <v>148</v>
      </c>
      <c r="C54" s="40" t="s">
        <v>153</v>
      </c>
      <c r="D54" s="41"/>
      <c r="E54" s="42"/>
      <c r="F54" s="43" t="n">
        <f aca="false">IFERROR(D54*E54,0)</f>
        <v>0</v>
      </c>
      <c r="G54" s="40" t="str">
        <f aca="false">INDEX(SETORES!$B:$B,MATCH(A54,SETORES!$A:$A,0))</f>
        <v>Clientes</v>
      </c>
      <c r="H54" s="40" t="s">
        <v>20</v>
      </c>
    </row>
    <row r="55" customFormat="false" ht="14.25" hidden="false" customHeight="true" outlineLevel="0" collapsed="false">
      <c r="A55" s="16" t="s">
        <v>38</v>
      </c>
      <c r="B55" s="16" t="s">
        <v>148</v>
      </c>
      <c r="C55" s="16" t="s">
        <v>154</v>
      </c>
      <c r="D55" s="38" t="n">
        <v>1</v>
      </c>
      <c r="E55" s="39" t="n">
        <v>35259.81</v>
      </c>
      <c r="F55" s="22" t="n">
        <f aca="false">IFERROR(E55,0)</f>
        <v>35259.81</v>
      </c>
      <c r="G55" s="16" t="str">
        <f aca="false">INDEX(SETORES!$B:$B,MATCH(A55,SETORES!$A:$A,0))</f>
        <v>Clientes</v>
      </c>
      <c r="H55" s="16" t="s">
        <v>20</v>
      </c>
    </row>
    <row r="56" customFormat="false" ht="14.25" hidden="false" customHeight="true" outlineLevel="0" collapsed="false">
      <c r="A56" s="40" t="s">
        <v>38</v>
      </c>
      <c r="B56" s="40" t="s">
        <v>155</v>
      </c>
      <c r="C56" s="40" t="s">
        <v>156</v>
      </c>
      <c r="D56" s="41" t="n">
        <v>1</v>
      </c>
      <c r="E56" s="42" t="n">
        <v>340</v>
      </c>
      <c r="F56" s="43" t="n">
        <f aca="false">IFERROR(D56*E56,0)</f>
        <v>340</v>
      </c>
      <c r="G56" s="40" t="str">
        <f aca="false">INDEX(SETORES!$B:$B,MATCH(A56,SETORES!$A:$A,0))</f>
        <v>Clientes</v>
      </c>
      <c r="H56" s="40" t="s">
        <v>20</v>
      </c>
    </row>
    <row r="57" customFormat="false" ht="14.25" hidden="false" customHeight="true" outlineLevel="0" collapsed="false">
      <c r="A57" s="16" t="s">
        <v>38</v>
      </c>
      <c r="B57" s="16" t="s">
        <v>155</v>
      </c>
      <c r="C57" s="16" t="s">
        <v>157</v>
      </c>
      <c r="D57" s="38" t="n">
        <v>1</v>
      </c>
      <c r="E57" s="39" t="n">
        <v>181.33</v>
      </c>
      <c r="F57" s="22" t="n">
        <f aca="false">IFERROR(D57*E57,0)</f>
        <v>181.33</v>
      </c>
      <c r="G57" s="16" t="str">
        <f aca="false">INDEX(SETORES!$B:$B,MATCH(A57,SETORES!$A:$A,0))</f>
        <v>Clientes</v>
      </c>
      <c r="H57" s="16" t="s">
        <v>20</v>
      </c>
    </row>
    <row r="58" customFormat="false" ht="14.25" hidden="false" customHeight="true" outlineLevel="0" collapsed="false">
      <c r="A58" s="40" t="s">
        <v>38</v>
      </c>
      <c r="B58" s="40" t="s">
        <v>155</v>
      </c>
      <c r="C58" s="40" t="s">
        <v>158</v>
      </c>
      <c r="D58" s="41" t="n">
        <v>1</v>
      </c>
      <c r="E58" s="42" t="n">
        <v>316.67</v>
      </c>
      <c r="F58" s="43" t="n">
        <f aca="false">IFERROR(D58*E58,0)</f>
        <v>316.67</v>
      </c>
      <c r="G58" s="40" t="str">
        <f aca="false">INDEX(SETORES!$B:$B,MATCH(A58,SETORES!$A:$A,0))</f>
        <v>Clientes</v>
      </c>
      <c r="H58" s="40" t="s">
        <v>20</v>
      </c>
    </row>
    <row r="59" customFormat="false" ht="14.25" hidden="false" customHeight="true" outlineLevel="0" collapsed="false">
      <c r="A59" s="16" t="s">
        <v>38</v>
      </c>
      <c r="B59" s="16" t="s">
        <v>148</v>
      </c>
      <c r="C59" s="16" t="s">
        <v>159</v>
      </c>
      <c r="D59" s="38" t="n">
        <v>13</v>
      </c>
      <c r="E59" s="39" t="n">
        <v>50</v>
      </c>
      <c r="F59" s="22" t="n">
        <f aca="false">IFERROR(D59*E59,0)</f>
        <v>650</v>
      </c>
      <c r="G59" s="16" t="str">
        <f aca="false">INDEX(SETORES!$B:$B,MATCH(A59,SETORES!$A:$A,0))</f>
        <v>Clientes</v>
      </c>
      <c r="H59" s="16" t="s">
        <v>20</v>
      </c>
    </row>
    <row r="60" customFormat="false" ht="14.25" hidden="false" customHeight="true" outlineLevel="0" collapsed="false">
      <c r="A60" s="40" t="s">
        <v>38</v>
      </c>
      <c r="B60" s="40" t="s">
        <v>148</v>
      </c>
      <c r="C60" s="40" t="s">
        <v>180</v>
      </c>
      <c r="D60" s="41" t="n">
        <v>1</v>
      </c>
      <c r="E60" s="42" t="n">
        <v>550.095516</v>
      </c>
      <c r="F60" s="43" t="n">
        <f aca="false">IFERROR(D60*E60,0)</f>
        <v>550.095516</v>
      </c>
      <c r="G60" s="40" t="str">
        <f aca="false">INDEX(SETORES!$B:$B,MATCH(A60,SETORES!$A:$A,0))</f>
        <v>Clientes</v>
      </c>
      <c r="H60" s="40" t="s">
        <v>20</v>
      </c>
    </row>
    <row r="61" customFormat="false" ht="14.25" hidden="false" customHeight="true" outlineLevel="0" collapsed="false">
      <c r="A61" s="16" t="s">
        <v>38</v>
      </c>
      <c r="B61" s="16" t="s">
        <v>148</v>
      </c>
      <c r="C61" s="16" t="s">
        <v>181</v>
      </c>
      <c r="D61" s="38" t="n">
        <v>1</v>
      </c>
      <c r="E61" s="39" t="n">
        <v>1641.85</v>
      </c>
      <c r="F61" s="22" t="n">
        <f aca="false">IFERROR(D61*E61,0)</f>
        <v>1641.85</v>
      </c>
      <c r="G61" s="16" t="str">
        <f aca="false">INDEX(SETORES!$B:$B,MATCH(A61,SETORES!$A:$A,0))</f>
        <v>Clientes</v>
      </c>
      <c r="H61" s="16" t="s">
        <v>20</v>
      </c>
    </row>
    <row r="62" customFormat="false" ht="14.25" hidden="false" customHeight="true" outlineLevel="0" collapsed="false">
      <c r="A62" s="40" t="s">
        <v>38</v>
      </c>
      <c r="B62" s="40" t="s">
        <v>148</v>
      </c>
      <c r="C62" s="40" t="s">
        <v>182</v>
      </c>
      <c r="D62" s="41" t="n">
        <v>1</v>
      </c>
      <c r="E62" s="42" t="n">
        <v>258.620688</v>
      </c>
      <c r="F62" s="43" t="n">
        <f aca="false">IFERROR(D62*E62,0)</f>
        <v>258.620688</v>
      </c>
      <c r="G62" s="40" t="str">
        <f aca="false">INDEX(SETORES!$B:$B,MATCH(A62,SETORES!$A:$A,0))</f>
        <v>Clientes</v>
      </c>
      <c r="H62" s="40" t="s">
        <v>20</v>
      </c>
    </row>
    <row r="63" customFormat="false" ht="14.25" hidden="false" customHeight="true" outlineLevel="0" collapsed="false">
      <c r="A63" s="16" t="s">
        <v>38</v>
      </c>
      <c r="B63" s="16" t="s">
        <v>148</v>
      </c>
      <c r="C63" s="16" t="s">
        <v>183</v>
      </c>
      <c r="D63" s="38" t="n">
        <v>1</v>
      </c>
      <c r="E63" s="39" t="n">
        <v>34.482408</v>
      </c>
      <c r="F63" s="22" t="n">
        <f aca="false">IFERROR(D63*E63,0)</f>
        <v>34.482408</v>
      </c>
      <c r="G63" s="16" t="str">
        <f aca="false">INDEX(SETORES!$B:$B,MATCH(A63,SETORES!$A:$A,0))</f>
        <v>Clientes</v>
      </c>
      <c r="H63" s="16" t="s">
        <v>20</v>
      </c>
    </row>
    <row r="64" customFormat="false" ht="14.25" hidden="false" customHeight="true" outlineLevel="0" collapsed="false">
      <c r="A64" s="40" t="s">
        <v>38</v>
      </c>
      <c r="B64" s="40" t="s">
        <v>155</v>
      </c>
      <c r="C64" s="40" t="s">
        <v>184</v>
      </c>
      <c r="D64" s="41" t="n">
        <v>1</v>
      </c>
      <c r="E64" s="42" t="n">
        <v>95.568624</v>
      </c>
      <c r="F64" s="43" t="n">
        <f aca="false">IFERROR(D64*E64,0)</f>
        <v>95.568624</v>
      </c>
      <c r="G64" s="40" t="str">
        <f aca="false">INDEX(SETORES!$B:$B,MATCH(A64,SETORES!$A:$A,0))</f>
        <v>Clientes</v>
      </c>
      <c r="H64" s="40" t="s">
        <v>20</v>
      </c>
    </row>
    <row r="65" customFormat="false" ht="14.25" hidden="false" customHeight="true" outlineLevel="0" collapsed="false">
      <c r="A65" s="16" t="s">
        <v>38</v>
      </c>
      <c r="B65" s="16" t="s">
        <v>155</v>
      </c>
      <c r="C65" s="16" t="s">
        <v>185</v>
      </c>
      <c r="D65" s="38" t="n">
        <v>1</v>
      </c>
      <c r="E65" s="39" t="n">
        <v>242.73</v>
      </c>
      <c r="F65" s="22" t="n">
        <f aca="false">IFERROR(D65*E65,0)</f>
        <v>242.73</v>
      </c>
      <c r="G65" s="16" t="str">
        <f aca="false">INDEX(SETORES!$B:$B,MATCH(A65,SETORES!$A:$A,0))</f>
        <v>Clientes</v>
      </c>
      <c r="H65" s="16" t="s">
        <v>20</v>
      </c>
    </row>
    <row r="66" customFormat="false" ht="14.25" hidden="false" customHeight="true" outlineLevel="0" collapsed="false">
      <c r="A66" s="40" t="s">
        <v>38</v>
      </c>
      <c r="B66" s="40" t="s">
        <v>148</v>
      </c>
      <c r="C66" s="40" t="s">
        <v>186</v>
      </c>
      <c r="D66" s="41" t="n">
        <v>1</v>
      </c>
      <c r="E66" s="42" t="n">
        <v>52</v>
      </c>
      <c r="F66" s="43" t="n">
        <f aca="false">IFERROR(D66*E66,0)</f>
        <v>52</v>
      </c>
      <c r="G66" s="40" t="str">
        <f aca="false">INDEX(SETORES!$B:$B,MATCH(A66,SETORES!$A:$A,0))</f>
        <v>Clientes</v>
      </c>
      <c r="H66" s="40" t="s">
        <v>20</v>
      </c>
    </row>
    <row r="67" customFormat="false" ht="14.25" hidden="false" customHeight="true" outlineLevel="0" collapsed="false">
      <c r="A67" s="16" t="s">
        <v>38</v>
      </c>
      <c r="B67" s="16" t="s">
        <v>155</v>
      </c>
      <c r="C67" s="16" t="s">
        <v>187</v>
      </c>
      <c r="D67" s="38" t="n">
        <v>1</v>
      </c>
      <c r="E67" s="39" t="n">
        <v>23.5</v>
      </c>
      <c r="F67" s="22" t="n">
        <f aca="false">IFERROR(D67*E67,0)</f>
        <v>23.5</v>
      </c>
      <c r="G67" s="16" t="str">
        <f aca="false">INDEX(SETORES!$B:$B,MATCH(A67,SETORES!$A:$A,0))</f>
        <v>Clientes</v>
      </c>
      <c r="H67" s="16" t="s">
        <v>20</v>
      </c>
    </row>
    <row r="68" customFormat="false" ht="14.25" hidden="false" customHeight="true" outlineLevel="0" collapsed="false">
      <c r="A68" s="40" t="s">
        <v>38</v>
      </c>
      <c r="B68" s="40" t="s">
        <v>148</v>
      </c>
      <c r="C68" s="40" t="s">
        <v>160</v>
      </c>
      <c r="D68" s="41" t="n">
        <v>12</v>
      </c>
      <c r="E68" s="42" t="n">
        <v>10.05</v>
      </c>
      <c r="F68" s="43" t="n">
        <f aca="false">IFERROR(D68*E68,0)</f>
        <v>120.6</v>
      </c>
      <c r="G68" s="40" t="str">
        <f aca="false">INDEX(SETORES!$B:$B,MATCH(A68,SETORES!$A:$A,0))</f>
        <v>Clientes</v>
      </c>
      <c r="H68" s="40" t="s">
        <v>20</v>
      </c>
    </row>
    <row r="69" customFormat="false" ht="14.25" hidden="false" customHeight="true" outlineLevel="0" collapsed="false">
      <c r="A69" s="16" t="s">
        <v>38</v>
      </c>
      <c r="B69" s="16" t="s">
        <v>148</v>
      </c>
      <c r="C69" s="16" t="s">
        <v>161</v>
      </c>
      <c r="D69" s="38" t="n">
        <v>12</v>
      </c>
      <c r="E69" s="39" t="n">
        <v>2.07</v>
      </c>
      <c r="F69" s="22" t="n">
        <f aca="false">IFERROR(D69*E69,0)</f>
        <v>24.84</v>
      </c>
      <c r="G69" s="16" t="str">
        <f aca="false">INDEX(SETORES!$B:$B,MATCH(A69,SETORES!$A:$A,0))</f>
        <v>Clientes</v>
      </c>
      <c r="H69" s="16" t="s">
        <v>20</v>
      </c>
    </row>
    <row r="70" customFormat="false" ht="14.25" hidden="false" customHeight="true" outlineLevel="0" collapsed="false">
      <c r="A70" s="40" t="s">
        <v>38</v>
      </c>
      <c r="B70" s="40" t="s">
        <v>148</v>
      </c>
      <c r="C70" s="40" t="s">
        <v>162</v>
      </c>
      <c r="D70" s="41" t="n">
        <v>12</v>
      </c>
      <c r="E70" s="42" t="n">
        <v>64.57</v>
      </c>
      <c r="F70" s="43" t="n">
        <f aca="false">IFERROR(D70*E70,0)</f>
        <v>774.84</v>
      </c>
      <c r="G70" s="40" t="str">
        <f aca="false">INDEX(SETORES!$B:$B,MATCH(A70,SETORES!$A:$A,0))</f>
        <v>Clientes</v>
      </c>
      <c r="H70" s="40" t="s">
        <v>20</v>
      </c>
    </row>
    <row r="71" customFormat="false" ht="14.25" hidden="false" customHeight="true" outlineLevel="0" collapsed="false">
      <c r="A71" s="16" t="s">
        <v>38</v>
      </c>
      <c r="B71" s="16" t="s">
        <v>148</v>
      </c>
      <c r="C71" s="16" t="s">
        <v>163</v>
      </c>
      <c r="D71" s="38" t="n">
        <v>12</v>
      </c>
      <c r="E71" s="39" t="n">
        <v>28.31</v>
      </c>
      <c r="F71" s="22" t="n">
        <f aca="false">IFERROR(D71*E71,0)</f>
        <v>339.72</v>
      </c>
      <c r="G71" s="16" t="str">
        <f aca="false">INDEX(SETORES!$B:$B,MATCH(A71,SETORES!$A:$A,0))</f>
        <v>Clientes</v>
      </c>
      <c r="H71" s="16" t="s">
        <v>20</v>
      </c>
    </row>
    <row r="72" customFormat="false" ht="14.25" hidden="false" customHeight="true" outlineLevel="0" collapsed="false">
      <c r="A72" s="40" t="s">
        <v>38</v>
      </c>
      <c r="B72" s="40" t="s">
        <v>148</v>
      </c>
      <c r="C72" s="40" t="s">
        <v>164</v>
      </c>
      <c r="D72" s="41" t="n">
        <v>12</v>
      </c>
      <c r="E72" s="42" t="n">
        <v>47.79</v>
      </c>
      <c r="F72" s="43" t="n">
        <f aca="false">IFERROR(D72*E72,0)</f>
        <v>573.48</v>
      </c>
      <c r="G72" s="40" t="str">
        <f aca="false">INDEX(SETORES!$B:$B,MATCH(A72,SETORES!$A:$A,0))</f>
        <v>Clientes</v>
      </c>
      <c r="H72" s="40" t="s">
        <v>20</v>
      </c>
    </row>
    <row r="73" customFormat="false" ht="14.25" hidden="false" customHeight="true" outlineLevel="0" collapsed="false">
      <c r="A73" s="16" t="s">
        <v>54</v>
      </c>
      <c r="B73" s="16" t="s">
        <v>155</v>
      </c>
      <c r="C73" s="16" t="s">
        <v>187</v>
      </c>
      <c r="D73" s="38"/>
      <c r="E73" s="39"/>
      <c r="F73" s="22" t="n">
        <f aca="false">IFERROR(D73*E73,0)</f>
        <v>0</v>
      </c>
      <c r="G73" s="16" t="str">
        <f aca="false">INDEX(SETORES!$B:$B,MATCH(A73,SETORES!$A:$A,0))</f>
        <v>Clientes</v>
      </c>
      <c r="H73" s="16" t="s">
        <v>20</v>
      </c>
    </row>
    <row r="74" customFormat="false" ht="14.25" hidden="false" customHeight="true" outlineLevel="0" collapsed="false">
      <c r="A74" s="40" t="s">
        <v>54</v>
      </c>
      <c r="B74" s="40" t="s">
        <v>155</v>
      </c>
      <c r="C74" s="40" t="s">
        <v>188</v>
      </c>
      <c r="D74" s="41"/>
      <c r="E74" s="42"/>
      <c r="F74" s="43" t="n">
        <f aca="false">IFERROR(D74*E74,0)</f>
        <v>0</v>
      </c>
      <c r="G74" s="40" t="str">
        <f aca="false">INDEX(SETORES!$B:$B,MATCH(A74,SETORES!$A:$A,0))</f>
        <v>Clientes</v>
      </c>
      <c r="H74" s="40" t="s">
        <v>20</v>
      </c>
    </row>
    <row r="75" customFormat="false" ht="14.25" hidden="false" customHeight="true" outlineLevel="0" collapsed="false">
      <c r="A75" s="16" t="s">
        <v>54</v>
      </c>
      <c r="B75" s="16" t="s">
        <v>148</v>
      </c>
      <c r="C75" s="16" t="s">
        <v>189</v>
      </c>
      <c r="D75" s="38" t="n">
        <v>10</v>
      </c>
      <c r="E75" s="39" t="n">
        <v>50</v>
      </c>
      <c r="F75" s="22" t="n">
        <f aca="false">IFERROR(D75*E75,0)</f>
        <v>500</v>
      </c>
      <c r="G75" s="16" t="str">
        <f aca="false">INDEX(SETORES!$B:$B,MATCH(A75,SETORES!$A:$A,0))</f>
        <v>Clientes</v>
      </c>
      <c r="H75" s="16" t="s">
        <v>20</v>
      </c>
    </row>
    <row r="76" customFormat="false" ht="14.25" hidden="false" customHeight="true" outlineLevel="0" collapsed="false">
      <c r="A76" s="40" t="s">
        <v>54</v>
      </c>
      <c r="B76" s="40" t="s">
        <v>148</v>
      </c>
      <c r="C76" s="40" t="s">
        <v>190</v>
      </c>
      <c r="D76" s="41" t="n">
        <v>10</v>
      </c>
      <c r="E76" s="42" t="n">
        <v>102601.16</v>
      </c>
      <c r="F76" s="43" t="n">
        <f aca="false">IFERROR(E76,0)</f>
        <v>102601.16</v>
      </c>
      <c r="G76" s="40" t="str">
        <f aca="false">INDEX(SETORES!$B:$B,MATCH(A76,SETORES!$A:$A,0))</f>
        <v>Clientes</v>
      </c>
      <c r="H76" s="40" t="s">
        <v>20</v>
      </c>
    </row>
    <row r="77" customFormat="false" ht="14.25" hidden="false" customHeight="true" outlineLevel="0" collapsed="false">
      <c r="A77" s="16" t="s">
        <v>54</v>
      </c>
      <c r="B77" s="16" t="s">
        <v>148</v>
      </c>
      <c r="C77" s="16" t="s">
        <v>191</v>
      </c>
      <c r="D77" s="38" t="n">
        <v>7</v>
      </c>
      <c r="E77" s="39" t="n">
        <v>30</v>
      </c>
      <c r="F77" s="22" t="n">
        <f aca="false">IFERROR(D77*E77,0)</f>
        <v>210</v>
      </c>
      <c r="G77" s="16" t="str">
        <f aca="false">INDEX(SETORES!$B:$B,MATCH(A77,SETORES!$A:$A,0))</f>
        <v>Clientes</v>
      </c>
      <c r="H77" s="16" t="s">
        <v>20</v>
      </c>
    </row>
    <row r="78" customFormat="false" ht="14.25" hidden="false" customHeight="true" outlineLevel="0" collapsed="false">
      <c r="A78" s="40" t="s">
        <v>54</v>
      </c>
      <c r="B78" s="40" t="s">
        <v>148</v>
      </c>
      <c r="C78" s="40" t="s">
        <v>163</v>
      </c>
      <c r="D78" s="41" t="n">
        <v>10</v>
      </c>
      <c r="E78" s="42" t="n">
        <v>28.31</v>
      </c>
      <c r="F78" s="43" t="n">
        <f aca="false">IFERROR(D78*E78,0)</f>
        <v>283.1</v>
      </c>
      <c r="G78" s="40" t="str">
        <f aca="false">INDEX(SETORES!$B:$B,MATCH(A78,SETORES!$A:$A,0))</f>
        <v>Clientes</v>
      </c>
      <c r="H78" s="40" t="s">
        <v>20</v>
      </c>
    </row>
    <row r="79" customFormat="false" ht="14.25" hidden="false" customHeight="true" outlineLevel="0" collapsed="false">
      <c r="A79" s="16" t="s">
        <v>54</v>
      </c>
      <c r="B79" s="16" t="s">
        <v>148</v>
      </c>
      <c r="C79" s="16" t="s">
        <v>164</v>
      </c>
      <c r="D79" s="38" t="n">
        <v>10</v>
      </c>
      <c r="E79" s="39" t="n">
        <v>47.79</v>
      </c>
      <c r="F79" s="22" t="n">
        <f aca="false">IFERROR(D79*E79,0)</f>
        <v>477.9</v>
      </c>
      <c r="G79" s="16" t="str">
        <f aca="false">INDEX(SETORES!$B:$B,MATCH(A79,SETORES!$A:$A,0))</f>
        <v>Clientes</v>
      </c>
      <c r="H79" s="16" t="s">
        <v>20</v>
      </c>
    </row>
    <row r="80" customFormat="false" ht="14.25" hidden="false" customHeight="true" outlineLevel="0" collapsed="false">
      <c r="A80" s="40" t="s">
        <v>54</v>
      </c>
      <c r="B80" s="40" t="s">
        <v>148</v>
      </c>
      <c r="C80" s="40" t="s">
        <v>162</v>
      </c>
      <c r="D80" s="41" t="n">
        <v>9</v>
      </c>
      <c r="E80" s="42" t="n">
        <v>64.57</v>
      </c>
      <c r="F80" s="43" t="n">
        <f aca="false">IFERROR(D80*E80,0)</f>
        <v>581.13</v>
      </c>
      <c r="G80" s="40" t="str">
        <f aca="false">INDEX(SETORES!$B:$B,MATCH(A80,SETORES!$A:$A,0))</f>
        <v>Clientes</v>
      </c>
      <c r="H80" s="40" t="s">
        <v>20</v>
      </c>
    </row>
    <row r="81" customFormat="false" ht="14.25" hidden="false" customHeight="true" outlineLevel="0" collapsed="false">
      <c r="A81" s="16" t="s">
        <v>54</v>
      </c>
      <c r="B81" s="16" t="s">
        <v>155</v>
      </c>
      <c r="C81" s="16" t="s">
        <v>192</v>
      </c>
      <c r="D81" s="38"/>
      <c r="E81" s="39"/>
      <c r="F81" s="22" t="n">
        <f aca="false">IFERROR(D81*E81,0)</f>
        <v>0</v>
      </c>
      <c r="G81" s="16" t="str">
        <f aca="false">INDEX(SETORES!$B:$B,MATCH(A81,SETORES!$A:$A,0))</f>
        <v>Clientes</v>
      </c>
      <c r="H81" s="16" t="s">
        <v>20</v>
      </c>
    </row>
    <row r="82" customFormat="false" ht="14.25" hidden="false" customHeight="true" outlineLevel="0" collapsed="false">
      <c r="A82" s="40" t="s">
        <v>54</v>
      </c>
      <c r="B82" s="40" t="s">
        <v>155</v>
      </c>
      <c r="C82" s="40" t="s">
        <v>193</v>
      </c>
      <c r="D82" s="41" t="n">
        <v>2</v>
      </c>
      <c r="E82" s="42" t="n">
        <v>68</v>
      </c>
      <c r="F82" s="43" t="n">
        <f aca="false">IFERROR(D82*E82,0)</f>
        <v>136</v>
      </c>
      <c r="G82" s="40" t="str">
        <f aca="false">INDEX(SETORES!$B:$B,MATCH(A82,SETORES!$A:$A,0))</f>
        <v>Clientes</v>
      </c>
      <c r="H82" s="40" t="s">
        <v>20</v>
      </c>
    </row>
    <row r="83" customFormat="false" ht="14.25" hidden="false" customHeight="true" outlineLevel="0" collapsed="false">
      <c r="A83" s="16" t="s">
        <v>54</v>
      </c>
      <c r="B83" s="16" t="s">
        <v>155</v>
      </c>
      <c r="C83" s="16" t="s">
        <v>194</v>
      </c>
      <c r="D83" s="38"/>
      <c r="E83" s="39"/>
      <c r="F83" s="22" t="n">
        <f aca="false">IFERROR(D83*E83,0)</f>
        <v>0</v>
      </c>
      <c r="G83" s="16" t="str">
        <f aca="false">INDEX(SETORES!$B:$B,MATCH(A83,SETORES!$A:$A,0))</f>
        <v>Clientes</v>
      </c>
      <c r="H83" s="16" t="s">
        <v>20</v>
      </c>
    </row>
    <row r="84" customFormat="false" ht="14.25" hidden="false" customHeight="true" outlineLevel="0" collapsed="false">
      <c r="A84" s="40" t="s">
        <v>54</v>
      </c>
      <c r="B84" s="40" t="s">
        <v>155</v>
      </c>
      <c r="C84" s="40" t="s">
        <v>195</v>
      </c>
      <c r="D84" s="41"/>
      <c r="E84" s="42"/>
      <c r="F84" s="43" t="n">
        <f aca="false">IFERROR(D84*E84,0)</f>
        <v>0</v>
      </c>
      <c r="G84" s="40" t="str">
        <f aca="false">INDEX(SETORES!$B:$B,MATCH(A84,SETORES!$A:$A,0))</f>
        <v>Clientes</v>
      </c>
      <c r="H84" s="40" t="s">
        <v>20</v>
      </c>
    </row>
    <row r="85" customFormat="false" ht="14.25" hidden="false" customHeight="true" outlineLevel="0" collapsed="false">
      <c r="A85" s="16" t="s">
        <v>54</v>
      </c>
      <c r="B85" s="16" t="s">
        <v>155</v>
      </c>
      <c r="C85" s="16" t="s">
        <v>196</v>
      </c>
      <c r="D85" s="38" t="n">
        <v>1</v>
      </c>
      <c r="E85" s="39" t="n">
        <v>3504.09</v>
      </c>
      <c r="F85" s="22" t="n">
        <f aca="false">IFERROR(D85*E85,0)</f>
        <v>3504.09</v>
      </c>
      <c r="G85" s="16" t="str">
        <f aca="false">INDEX(SETORES!$B:$B,MATCH(A85,SETORES!$A:$A,0))</f>
        <v>Clientes</v>
      </c>
      <c r="H85" s="16" t="s">
        <v>20</v>
      </c>
    </row>
    <row r="86" customFormat="false" ht="14.25" hidden="false" customHeight="true" outlineLevel="0" collapsed="false">
      <c r="A86" s="40" t="s">
        <v>54</v>
      </c>
      <c r="B86" s="40" t="s">
        <v>148</v>
      </c>
      <c r="C86" s="40" t="s">
        <v>160</v>
      </c>
      <c r="D86" s="41" t="n">
        <v>10</v>
      </c>
      <c r="E86" s="42" t="n">
        <v>10.05</v>
      </c>
      <c r="F86" s="43" t="n">
        <f aca="false">IFERROR(D86*E86,0)</f>
        <v>100.5</v>
      </c>
      <c r="G86" s="40" t="str">
        <f aca="false">INDEX(SETORES!$B:$B,MATCH(A86,SETORES!$A:$A,0))</f>
        <v>Clientes</v>
      </c>
      <c r="H86" s="40" t="s">
        <v>20</v>
      </c>
    </row>
    <row r="87" customFormat="false" ht="14.25" hidden="false" customHeight="true" outlineLevel="0" collapsed="false">
      <c r="A87" s="16" t="s">
        <v>54</v>
      </c>
      <c r="B87" s="16" t="s">
        <v>148</v>
      </c>
      <c r="C87" s="16" t="s">
        <v>161</v>
      </c>
      <c r="D87" s="38" t="n">
        <v>10</v>
      </c>
      <c r="E87" s="39" t="n">
        <v>2.07</v>
      </c>
      <c r="F87" s="22" t="n">
        <f aca="false">IFERROR(D87*E87,0)</f>
        <v>20.7</v>
      </c>
      <c r="G87" s="16" t="str">
        <f aca="false">INDEX(SETORES!$B:$B,MATCH(A87,SETORES!$A:$A,0))</f>
        <v>Clientes</v>
      </c>
      <c r="H87" s="16" t="s">
        <v>20</v>
      </c>
    </row>
    <row r="88" customFormat="false" ht="14.25" hidden="false" customHeight="true" outlineLevel="0" collapsed="false">
      <c r="A88" s="40" t="s">
        <v>54</v>
      </c>
      <c r="B88" s="40" t="s">
        <v>155</v>
      </c>
      <c r="C88" s="40" t="s">
        <v>197</v>
      </c>
      <c r="D88" s="41"/>
      <c r="E88" s="42"/>
      <c r="F88" s="43" t="n">
        <f aca="false">IFERROR(D88*E88,0)</f>
        <v>0</v>
      </c>
      <c r="G88" s="40" t="str">
        <f aca="false">INDEX(SETORES!$B:$B,MATCH(A88,SETORES!$A:$A,0))</f>
        <v>Clientes</v>
      </c>
      <c r="H88" s="40" t="s">
        <v>20</v>
      </c>
    </row>
    <row r="89" customFormat="false" ht="14.25" hidden="false" customHeight="true" outlineLevel="0" collapsed="false">
      <c r="A89" s="16" t="s">
        <v>54</v>
      </c>
      <c r="B89" s="16" t="s">
        <v>148</v>
      </c>
      <c r="C89" s="16" t="s">
        <v>198</v>
      </c>
      <c r="D89" s="38" t="n">
        <v>1</v>
      </c>
      <c r="E89" s="39" t="n">
        <v>2997</v>
      </c>
      <c r="F89" s="22" t="n">
        <f aca="false">IFERROR(D89*E89,0)</f>
        <v>2997</v>
      </c>
      <c r="G89" s="16" t="str">
        <f aca="false">INDEX(SETORES!$B:$B,MATCH(A89,SETORES!$A:$A,0))</f>
        <v>Clientes</v>
      </c>
      <c r="H89" s="16" t="s">
        <v>20</v>
      </c>
    </row>
    <row r="90" customFormat="false" ht="14.25" hidden="false" customHeight="true" outlineLevel="0" collapsed="false">
      <c r="A90" s="40" t="s">
        <v>54</v>
      </c>
      <c r="B90" s="40" t="s">
        <v>148</v>
      </c>
      <c r="C90" s="40" t="s">
        <v>199</v>
      </c>
      <c r="D90" s="41" t="n">
        <v>1</v>
      </c>
      <c r="E90" s="42" t="n">
        <v>545.99</v>
      </c>
      <c r="F90" s="43" t="n">
        <f aca="false">IFERROR(D90*E90,0)</f>
        <v>545.99</v>
      </c>
      <c r="G90" s="40" t="str">
        <f aca="false">INDEX(SETORES!$B:$B,MATCH(A90,SETORES!$A:$A,0))</f>
        <v>Clientes</v>
      </c>
      <c r="H90" s="40" t="s">
        <v>20</v>
      </c>
    </row>
    <row r="91" customFormat="false" ht="14.25" hidden="false" customHeight="true" outlineLevel="0" collapsed="false">
      <c r="A91" s="16" t="s">
        <v>54</v>
      </c>
      <c r="B91" s="16" t="s">
        <v>148</v>
      </c>
      <c r="C91" s="16" t="s">
        <v>200</v>
      </c>
      <c r="D91" s="38"/>
      <c r="E91" s="39"/>
      <c r="F91" s="22" t="n">
        <f aca="false">IFERROR(D91*E91,0)</f>
        <v>0</v>
      </c>
      <c r="G91" s="16" t="str">
        <f aca="false">INDEX(SETORES!$B:$B,MATCH(A91,SETORES!$A:$A,0))</f>
        <v>Clientes</v>
      </c>
      <c r="H91" s="16" t="s">
        <v>20</v>
      </c>
    </row>
    <row r="92" customFormat="false" ht="14.25" hidden="false" customHeight="true" outlineLevel="0" collapsed="false">
      <c r="A92" s="40" t="s">
        <v>54</v>
      </c>
      <c r="B92" s="40" t="s">
        <v>148</v>
      </c>
      <c r="C92" s="40" t="s">
        <v>201</v>
      </c>
      <c r="D92" s="41" t="n">
        <v>1</v>
      </c>
      <c r="E92" s="42" t="n">
        <v>3042.34</v>
      </c>
      <c r="F92" s="43" t="n">
        <f aca="false">IFERROR(D92*E92,0)</f>
        <v>3042.34</v>
      </c>
      <c r="G92" s="40" t="str">
        <f aca="false">INDEX(SETORES!$B:$B,MATCH(A92,SETORES!$A:$A,0))</f>
        <v>Clientes</v>
      </c>
      <c r="H92" s="40" t="s">
        <v>20</v>
      </c>
    </row>
    <row r="93" customFormat="false" ht="14.25" hidden="false" customHeight="true" outlineLevel="0" collapsed="false">
      <c r="A93" s="16" t="s">
        <v>43</v>
      </c>
      <c r="B93" s="16" t="s">
        <v>148</v>
      </c>
      <c r="C93" s="16" t="s">
        <v>149</v>
      </c>
      <c r="D93" s="38"/>
      <c r="E93" s="39"/>
      <c r="F93" s="22" t="n">
        <v>0</v>
      </c>
      <c r="G93" s="16" t="str">
        <f aca="false">INDEX(SETORES!$B:$B,MATCH(A93,SETORES!$A:$A,0))</f>
        <v>Clientes</v>
      </c>
      <c r="H93" s="16" t="s">
        <v>20</v>
      </c>
    </row>
    <row r="94" customFormat="false" ht="14.25" hidden="false" customHeight="true" outlineLevel="0" collapsed="false">
      <c r="A94" s="40" t="s">
        <v>43</v>
      </c>
      <c r="B94" s="40" t="s">
        <v>148</v>
      </c>
      <c r="C94" s="40" t="s">
        <v>150</v>
      </c>
      <c r="D94" s="41"/>
      <c r="E94" s="42"/>
      <c r="F94" s="43" t="n">
        <v>0</v>
      </c>
      <c r="G94" s="40" t="str">
        <f aca="false">INDEX(SETORES!$B:$B,MATCH(A94,SETORES!$A:$A,0))</f>
        <v>Clientes</v>
      </c>
      <c r="H94" s="40" t="s">
        <v>20</v>
      </c>
    </row>
    <row r="95" customFormat="false" ht="14.25" hidden="false" customHeight="true" outlineLevel="0" collapsed="false">
      <c r="A95" s="16" t="s">
        <v>43</v>
      </c>
      <c r="B95" s="16" t="s">
        <v>148</v>
      </c>
      <c r="C95" s="16" t="s">
        <v>151</v>
      </c>
      <c r="D95" s="38" t="n">
        <v>4</v>
      </c>
      <c r="E95" s="39" t="n">
        <v>24.8613</v>
      </c>
      <c r="F95" s="22" t="n">
        <v>99.4452</v>
      </c>
      <c r="G95" s="16" t="str">
        <f aca="false">INDEX(SETORES!$B:$B,MATCH(A95,SETORES!$A:$A,0))</f>
        <v>Clientes</v>
      </c>
      <c r="H95" s="16" t="s">
        <v>20</v>
      </c>
    </row>
    <row r="96" customFormat="false" ht="14.25" hidden="false" customHeight="true" outlineLevel="0" collapsed="false">
      <c r="A96" s="40" t="s">
        <v>43</v>
      </c>
      <c r="B96" s="40" t="s">
        <v>148</v>
      </c>
      <c r="C96" s="40" t="s">
        <v>153</v>
      </c>
      <c r="D96" s="41"/>
      <c r="E96" s="42"/>
      <c r="F96" s="43" t="n">
        <f aca="false">IFERROR(D96*E96,0)</f>
        <v>0</v>
      </c>
      <c r="G96" s="40" t="str">
        <f aca="false">INDEX(SETORES!$B:$B,MATCH(A96,SETORES!$A:$A,0))</f>
        <v>Clientes</v>
      </c>
      <c r="H96" s="40" t="s">
        <v>20</v>
      </c>
    </row>
    <row r="97" customFormat="false" ht="14.25" hidden="false" customHeight="true" outlineLevel="0" collapsed="false">
      <c r="A97" s="16" t="s">
        <v>43</v>
      </c>
      <c r="B97" s="16" t="s">
        <v>148</v>
      </c>
      <c r="C97" s="16" t="s">
        <v>154</v>
      </c>
      <c r="D97" s="38" t="n">
        <v>1</v>
      </c>
      <c r="E97" s="39" t="n">
        <v>20620.48</v>
      </c>
      <c r="F97" s="22" t="n">
        <f aca="false">IFERROR(E97,0)</f>
        <v>20620.48</v>
      </c>
      <c r="G97" s="16" t="str">
        <f aca="false">INDEX(SETORES!$B:$B,MATCH(A97,SETORES!$A:$A,0))</f>
        <v>Clientes</v>
      </c>
      <c r="H97" s="16" t="s">
        <v>20</v>
      </c>
    </row>
    <row r="98" customFormat="false" ht="14.25" hidden="false" customHeight="true" outlineLevel="0" collapsed="false">
      <c r="A98" s="40" t="s">
        <v>43</v>
      </c>
      <c r="B98" s="40" t="s">
        <v>155</v>
      </c>
      <c r="C98" s="40" t="s">
        <v>202</v>
      </c>
      <c r="D98" s="41" t="n">
        <v>4</v>
      </c>
      <c r="E98" s="42" t="n">
        <v>89.55</v>
      </c>
      <c r="F98" s="43" t="n">
        <f aca="false">IFERROR(D98*E98,0)</f>
        <v>358.2</v>
      </c>
      <c r="G98" s="40" t="str">
        <f aca="false">INDEX(SETORES!$B:$B,MATCH(A98,SETORES!$A:$A,0))</f>
        <v>Clientes</v>
      </c>
      <c r="H98" s="40" t="s">
        <v>20</v>
      </c>
    </row>
    <row r="99" customFormat="false" ht="14.25" hidden="false" customHeight="true" outlineLevel="0" collapsed="false">
      <c r="A99" s="16" t="s">
        <v>43</v>
      </c>
      <c r="B99" s="16" t="s">
        <v>155</v>
      </c>
      <c r="C99" s="16" t="s">
        <v>158</v>
      </c>
      <c r="D99" s="38" t="n">
        <v>1</v>
      </c>
      <c r="E99" s="39" t="n">
        <v>38</v>
      </c>
      <c r="F99" s="22" t="n">
        <f aca="false">IFERROR(D99*E99,0)</f>
        <v>38</v>
      </c>
      <c r="G99" s="16" t="str">
        <f aca="false">INDEX(SETORES!$B:$B,MATCH(A99,SETORES!$A:$A,0))</f>
        <v>Clientes</v>
      </c>
      <c r="H99" s="16" t="s">
        <v>20</v>
      </c>
    </row>
    <row r="100" customFormat="false" ht="14.25" hidden="false" customHeight="true" outlineLevel="0" collapsed="false">
      <c r="A100" s="40" t="s">
        <v>43</v>
      </c>
      <c r="B100" s="40" t="s">
        <v>148</v>
      </c>
      <c r="C100" s="40" t="s">
        <v>159</v>
      </c>
      <c r="D100" s="41" t="n">
        <v>4</v>
      </c>
      <c r="E100" s="42" t="n">
        <v>50</v>
      </c>
      <c r="F100" s="43" t="n">
        <f aca="false">IFERROR(D100*E100,0)</f>
        <v>200</v>
      </c>
      <c r="G100" s="40" t="str">
        <f aca="false">INDEX(SETORES!$B:$B,MATCH(A100,SETORES!$A:$A,0))</f>
        <v>Clientes</v>
      </c>
      <c r="H100" s="40" t="s">
        <v>20</v>
      </c>
    </row>
    <row r="101" customFormat="false" ht="14.25" hidden="false" customHeight="true" outlineLevel="0" collapsed="false">
      <c r="A101" s="16" t="s">
        <v>43</v>
      </c>
      <c r="B101" s="16" t="s">
        <v>148</v>
      </c>
      <c r="C101" s="16" t="s">
        <v>160</v>
      </c>
      <c r="D101" s="38" t="n">
        <v>4</v>
      </c>
      <c r="E101" s="39" t="n">
        <v>10.05</v>
      </c>
      <c r="F101" s="22" t="n">
        <f aca="false">IFERROR(D101*E101,0)</f>
        <v>40.2</v>
      </c>
      <c r="G101" s="16" t="str">
        <f aca="false">INDEX(SETORES!$B:$B,MATCH(A101,SETORES!$A:$A,0))</f>
        <v>Clientes</v>
      </c>
      <c r="H101" s="16" t="s">
        <v>20</v>
      </c>
    </row>
    <row r="102" customFormat="false" ht="14.25" hidden="false" customHeight="true" outlineLevel="0" collapsed="false">
      <c r="A102" s="40" t="s">
        <v>43</v>
      </c>
      <c r="B102" s="40" t="s">
        <v>148</v>
      </c>
      <c r="C102" s="40" t="s">
        <v>161</v>
      </c>
      <c r="D102" s="41" t="n">
        <v>4</v>
      </c>
      <c r="E102" s="42" t="n">
        <v>2.07</v>
      </c>
      <c r="F102" s="43" t="n">
        <f aca="false">IFERROR(D102*E102,0)</f>
        <v>8.28</v>
      </c>
      <c r="G102" s="40" t="str">
        <f aca="false">INDEX(SETORES!$B:$B,MATCH(A102,SETORES!$A:$A,0))</f>
        <v>Clientes</v>
      </c>
      <c r="H102" s="40" t="s">
        <v>20</v>
      </c>
    </row>
    <row r="103" customFormat="false" ht="14.25" hidden="false" customHeight="true" outlineLevel="0" collapsed="false">
      <c r="A103" s="16" t="s">
        <v>43</v>
      </c>
      <c r="B103" s="16" t="s">
        <v>148</v>
      </c>
      <c r="C103" s="16" t="s">
        <v>162</v>
      </c>
      <c r="D103" s="38" t="n">
        <v>4</v>
      </c>
      <c r="E103" s="39" t="n">
        <v>64.57</v>
      </c>
      <c r="F103" s="22" t="n">
        <f aca="false">IFERROR(D103*E103,0)</f>
        <v>258.28</v>
      </c>
      <c r="G103" s="16" t="str">
        <f aca="false">INDEX(SETORES!$B:$B,MATCH(A103,SETORES!$A:$A,0))</f>
        <v>Clientes</v>
      </c>
      <c r="H103" s="16" t="s">
        <v>20</v>
      </c>
    </row>
    <row r="104" customFormat="false" ht="14.25" hidden="false" customHeight="true" outlineLevel="0" collapsed="false">
      <c r="A104" s="40" t="s">
        <v>43</v>
      </c>
      <c r="B104" s="40" t="s">
        <v>148</v>
      </c>
      <c r="C104" s="40" t="s">
        <v>163</v>
      </c>
      <c r="D104" s="41" t="n">
        <v>4</v>
      </c>
      <c r="E104" s="42" t="n">
        <v>28.31</v>
      </c>
      <c r="F104" s="43" t="n">
        <f aca="false">IFERROR(D104*E104,0)</f>
        <v>113.24</v>
      </c>
      <c r="G104" s="40" t="str">
        <f aca="false">INDEX(SETORES!$B:$B,MATCH(A104,SETORES!$A:$A,0))</f>
        <v>Clientes</v>
      </c>
      <c r="H104" s="40" t="s">
        <v>20</v>
      </c>
    </row>
    <row r="105" customFormat="false" ht="14.25" hidden="false" customHeight="true" outlineLevel="0" collapsed="false">
      <c r="A105" s="16" t="s">
        <v>43</v>
      </c>
      <c r="B105" s="16" t="s">
        <v>148</v>
      </c>
      <c r="C105" s="16" t="s">
        <v>164</v>
      </c>
      <c r="D105" s="38" t="n">
        <v>4</v>
      </c>
      <c r="E105" s="39" t="n">
        <v>47.79</v>
      </c>
      <c r="F105" s="22" t="n">
        <f aca="false">IFERROR(D105*E105,0)</f>
        <v>191.16</v>
      </c>
      <c r="G105" s="16" t="str">
        <f aca="false">INDEX(SETORES!$B:$B,MATCH(A105,SETORES!$A:$A,0))</f>
        <v>Clientes</v>
      </c>
      <c r="H105" s="16" t="s">
        <v>20</v>
      </c>
    </row>
    <row r="106" customFormat="false" ht="14.25" hidden="false" customHeight="true" outlineLevel="0" collapsed="false">
      <c r="A106" s="40" t="s">
        <v>40</v>
      </c>
      <c r="B106" s="40" t="s">
        <v>148</v>
      </c>
      <c r="C106" s="40" t="s">
        <v>149</v>
      </c>
      <c r="D106" s="41"/>
      <c r="E106" s="42"/>
      <c r="F106" s="43" t="n">
        <v>0</v>
      </c>
      <c r="G106" s="40" t="str">
        <f aca="false">INDEX(SETORES!$B:$B,MATCH(A106,SETORES!$A:$A,0))</f>
        <v>Clientes</v>
      </c>
      <c r="H106" s="40" t="s">
        <v>20</v>
      </c>
    </row>
    <row r="107" customFormat="false" ht="14.25" hidden="false" customHeight="true" outlineLevel="0" collapsed="false">
      <c r="A107" s="16" t="s">
        <v>40</v>
      </c>
      <c r="B107" s="16" t="s">
        <v>148</v>
      </c>
      <c r="C107" s="16" t="s">
        <v>150</v>
      </c>
      <c r="D107" s="38"/>
      <c r="E107" s="39"/>
      <c r="F107" s="22" t="n">
        <v>0</v>
      </c>
      <c r="G107" s="16" t="str">
        <f aca="false">INDEX(SETORES!$B:$B,MATCH(A107,SETORES!$A:$A,0))</f>
        <v>Clientes</v>
      </c>
      <c r="H107" s="16" t="s">
        <v>20</v>
      </c>
    </row>
    <row r="108" customFormat="false" ht="14.25" hidden="false" customHeight="true" outlineLevel="0" collapsed="false">
      <c r="A108" s="40" t="s">
        <v>40</v>
      </c>
      <c r="B108" s="40" t="s">
        <v>148</v>
      </c>
      <c r="C108" s="40" t="s">
        <v>151</v>
      </c>
      <c r="D108" s="41" t="n">
        <v>1</v>
      </c>
      <c r="E108" s="42" t="n">
        <v>42.554</v>
      </c>
      <c r="F108" s="43" t="n">
        <v>42.554</v>
      </c>
      <c r="G108" s="40" t="str">
        <f aca="false">INDEX(SETORES!$B:$B,MATCH(A108,SETORES!$A:$A,0))</f>
        <v>Clientes</v>
      </c>
      <c r="H108" s="40" t="s">
        <v>20</v>
      </c>
    </row>
    <row r="109" customFormat="false" ht="14.25" hidden="false" customHeight="true" outlineLevel="0" collapsed="false">
      <c r="A109" s="16" t="s">
        <v>40</v>
      </c>
      <c r="B109" s="16" t="s">
        <v>148</v>
      </c>
      <c r="C109" s="16" t="s">
        <v>152</v>
      </c>
      <c r="D109" s="38" t="n">
        <v>1</v>
      </c>
      <c r="E109" s="39" t="n">
        <v>0</v>
      </c>
      <c r="F109" s="22" t="n">
        <v>0</v>
      </c>
      <c r="G109" s="16" t="str">
        <f aca="false">INDEX(SETORES!$B:$B,MATCH(A109,SETORES!$A:$A,0))</f>
        <v>Clientes</v>
      </c>
      <c r="H109" s="16" t="s">
        <v>20</v>
      </c>
    </row>
    <row r="110" customFormat="false" ht="14.25" hidden="false" customHeight="true" outlineLevel="0" collapsed="false">
      <c r="A110" s="40" t="s">
        <v>40</v>
      </c>
      <c r="B110" s="40" t="s">
        <v>148</v>
      </c>
      <c r="C110" s="40" t="s">
        <v>153</v>
      </c>
      <c r="D110" s="41"/>
      <c r="E110" s="42"/>
      <c r="F110" s="43" t="n">
        <f aca="false">IFERROR(D110*E110,0)</f>
        <v>0</v>
      </c>
      <c r="G110" s="40" t="str">
        <f aca="false">INDEX(SETORES!$B:$B,MATCH(A110,SETORES!$A:$A,0))</f>
        <v>Clientes</v>
      </c>
      <c r="H110" s="40" t="s">
        <v>20</v>
      </c>
    </row>
    <row r="111" customFormat="false" ht="14.25" hidden="false" customHeight="true" outlineLevel="0" collapsed="false">
      <c r="A111" s="16" t="s">
        <v>40</v>
      </c>
      <c r="B111" s="16" t="s">
        <v>148</v>
      </c>
      <c r="C111" s="16" t="s">
        <v>154</v>
      </c>
      <c r="D111" s="38" t="n">
        <v>1</v>
      </c>
      <c r="E111" s="39" t="n">
        <v>14135.77</v>
      </c>
      <c r="F111" s="22" t="n">
        <f aca="false">IFERROR(E111,0)</f>
        <v>14135.77</v>
      </c>
      <c r="G111" s="16" t="str">
        <f aca="false">INDEX(SETORES!$B:$B,MATCH(A111,SETORES!$A:$A,0))</f>
        <v>Clientes</v>
      </c>
      <c r="H111" s="16" t="s">
        <v>20</v>
      </c>
    </row>
    <row r="112" customFormat="false" ht="14.25" hidden="false" customHeight="true" outlineLevel="0" collapsed="false">
      <c r="A112" s="40" t="s">
        <v>40</v>
      </c>
      <c r="B112" s="40" t="s">
        <v>155</v>
      </c>
      <c r="C112" s="40" t="s">
        <v>203</v>
      </c>
      <c r="D112" s="41"/>
      <c r="E112" s="42"/>
      <c r="F112" s="43" t="n">
        <f aca="false">IFERROR(D112*E112,0)</f>
        <v>0</v>
      </c>
      <c r="G112" s="40" t="str">
        <f aca="false">INDEX(SETORES!$B:$B,MATCH(A112,SETORES!$A:$A,0))</f>
        <v>Clientes</v>
      </c>
      <c r="H112" s="40" t="s">
        <v>20</v>
      </c>
    </row>
    <row r="113" customFormat="false" ht="14.25" hidden="false" customHeight="true" outlineLevel="0" collapsed="false">
      <c r="A113" s="16" t="s">
        <v>40</v>
      </c>
      <c r="B113" s="16" t="s">
        <v>155</v>
      </c>
      <c r="C113" s="16" t="s">
        <v>156</v>
      </c>
      <c r="D113" s="38"/>
      <c r="E113" s="39"/>
      <c r="F113" s="22" t="n">
        <f aca="false">IFERROR(D113*E113,0)</f>
        <v>0</v>
      </c>
      <c r="G113" s="16" t="str">
        <f aca="false">INDEX(SETORES!$B:$B,MATCH(A113,SETORES!$A:$A,0))</f>
        <v>Clientes</v>
      </c>
      <c r="H113" s="16" t="s">
        <v>20</v>
      </c>
    </row>
    <row r="114" customFormat="false" ht="14.25" hidden="false" customHeight="true" outlineLevel="0" collapsed="false">
      <c r="A114" s="40" t="s">
        <v>40</v>
      </c>
      <c r="B114" s="40" t="s">
        <v>155</v>
      </c>
      <c r="C114" s="40" t="s">
        <v>157</v>
      </c>
      <c r="D114" s="41" t="n">
        <v>1</v>
      </c>
      <c r="E114" s="42" t="n">
        <v>68</v>
      </c>
      <c r="F114" s="43" t="n">
        <f aca="false">IFERROR(D114*E114,0)</f>
        <v>68</v>
      </c>
      <c r="G114" s="40" t="str">
        <f aca="false">INDEX(SETORES!$B:$B,MATCH(A114,SETORES!$A:$A,0))</f>
        <v>Clientes</v>
      </c>
      <c r="H114" s="40" t="s">
        <v>20</v>
      </c>
    </row>
    <row r="115" customFormat="false" ht="14.25" hidden="false" customHeight="true" outlineLevel="0" collapsed="false">
      <c r="A115" s="16" t="s">
        <v>40</v>
      </c>
      <c r="B115" s="16" t="s">
        <v>148</v>
      </c>
      <c r="C115" s="16" t="s">
        <v>159</v>
      </c>
      <c r="D115" s="38" t="n">
        <v>5</v>
      </c>
      <c r="E115" s="39" t="n">
        <v>50</v>
      </c>
      <c r="F115" s="22" t="n">
        <f aca="false">IFERROR(D115*E115,0)</f>
        <v>250</v>
      </c>
      <c r="G115" s="16" t="str">
        <f aca="false">INDEX(SETORES!$B:$B,MATCH(A115,SETORES!$A:$A,0))</f>
        <v>Clientes</v>
      </c>
      <c r="H115" s="16" t="s">
        <v>20</v>
      </c>
    </row>
    <row r="116" customFormat="false" ht="14.25" hidden="false" customHeight="true" outlineLevel="0" collapsed="false">
      <c r="A116" s="40" t="s">
        <v>40</v>
      </c>
      <c r="B116" s="40" t="s">
        <v>148</v>
      </c>
      <c r="C116" s="40" t="s">
        <v>160</v>
      </c>
      <c r="D116" s="41" t="n">
        <v>5</v>
      </c>
      <c r="E116" s="42" t="n">
        <v>10.05</v>
      </c>
      <c r="F116" s="43" t="n">
        <f aca="false">IFERROR(D116*E116,0)</f>
        <v>50.25</v>
      </c>
      <c r="G116" s="40" t="str">
        <f aca="false">INDEX(SETORES!$B:$B,MATCH(A116,SETORES!$A:$A,0))</f>
        <v>Clientes</v>
      </c>
      <c r="H116" s="40" t="s">
        <v>20</v>
      </c>
    </row>
    <row r="117" customFormat="false" ht="14.25" hidden="false" customHeight="true" outlineLevel="0" collapsed="false">
      <c r="A117" s="16" t="s">
        <v>40</v>
      </c>
      <c r="B117" s="16" t="s">
        <v>148</v>
      </c>
      <c r="C117" s="16" t="s">
        <v>161</v>
      </c>
      <c r="D117" s="38" t="n">
        <v>5</v>
      </c>
      <c r="E117" s="39" t="n">
        <v>2.07</v>
      </c>
      <c r="F117" s="22" t="n">
        <f aca="false">IFERROR(D117*E117,0)</f>
        <v>10.35</v>
      </c>
      <c r="G117" s="16" t="str">
        <f aca="false">INDEX(SETORES!$B:$B,MATCH(A117,SETORES!$A:$A,0))</f>
        <v>Clientes</v>
      </c>
      <c r="H117" s="16" t="s">
        <v>20</v>
      </c>
    </row>
    <row r="118" customFormat="false" ht="14.25" hidden="false" customHeight="true" outlineLevel="0" collapsed="false">
      <c r="A118" s="40" t="s">
        <v>40</v>
      </c>
      <c r="B118" s="40" t="s">
        <v>148</v>
      </c>
      <c r="C118" s="40" t="s">
        <v>162</v>
      </c>
      <c r="D118" s="41" t="n">
        <v>5</v>
      </c>
      <c r="E118" s="42" t="n">
        <v>64.57</v>
      </c>
      <c r="F118" s="43" t="n">
        <f aca="false">IFERROR(D118*E118,0)</f>
        <v>322.85</v>
      </c>
      <c r="G118" s="40" t="str">
        <f aca="false">INDEX(SETORES!$B:$B,MATCH(A118,SETORES!$A:$A,0))</f>
        <v>Clientes</v>
      </c>
      <c r="H118" s="40" t="s">
        <v>20</v>
      </c>
    </row>
    <row r="119" customFormat="false" ht="14.25" hidden="false" customHeight="true" outlineLevel="0" collapsed="false">
      <c r="A119" s="16" t="s">
        <v>40</v>
      </c>
      <c r="B119" s="16" t="s">
        <v>148</v>
      </c>
      <c r="C119" s="16" t="s">
        <v>163</v>
      </c>
      <c r="D119" s="38" t="n">
        <v>5</v>
      </c>
      <c r="E119" s="39" t="n">
        <v>28.31</v>
      </c>
      <c r="F119" s="22" t="n">
        <f aca="false">IFERROR(D119*E119,0)</f>
        <v>141.55</v>
      </c>
      <c r="G119" s="16" t="str">
        <f aca="false">INDEX(SETORES!$B:$B,MATCH(A119,SETORES!$A:$A,0))</f>
        <v>Clientes</v>
      </c>
      <c r="H119" s="16" t="s">
        <v>20</v>
      </c>
    </row>
    <row r="120" customFormat="false" ht="14.25" hidden="false" customHeight="true" outlineLevel="0" collapsed="false">
      <c r="A120" s="40" t="s">
        <v>40</v>
      </c>
      <c r="B120" s="40" t="s">
        <v>148</v>
      </c>
      <c r="C120" s="40" t="s">
        <v>164</v>
      </c>
      <c r="D120" s="41" t="n">
        <v>5</v>
      </c>
      <c r="E120" s="42" t="n">
        <v>47.79</v>
      </c>
      <c r="F120" s="43" t="n">
        <f aca="false">IFERROR(D120*E120,0)</f>
        <v>238.95</v>
      </c>
      <c r="G120" s="40" t="str">
        <f aca="false">INDEX(SETORES!$B:$B,MATCH(A120,SETORES!$A:$A,0))</f>
        <v>Clientes</v>
      </c>
      <c r="H120" s="40" t="s">
        <v>20</v>
      </c>
    </row>
    <row r="121" customFormat="false" ht="14.25" hidden="false" customHeight="true" outlineLevel="0" collapsed="false">
      <c r="A121" s="16" t="s">
        <v>40</v>
      </c>
      <c r="B121" s="16" t="s">
        <v>155</v>
      </c>
      <c r="C121" s="16" t="s">
        <v>204</v>
      </c>
      <c r="D121" s="38" t="n">
        <v>1</v>
      </c>
      <c r="E121" s="39" t="n">
        <v>9468</v>
      </c>
      <c r="F121" s="22" t="n">
        <f aca="false">IFERROR(D121*E121,0)</f>
        <v>9468</v>
      </c>
      <c r="G121" s="16" t="str">
        <f aca="false">INDEX(SETORES!$B:$B,MATCH(A121,SETORES!$A:$A,0))</f>
        <v>Clientes</v>
      </c>
      <c r="H121" s="16" t="s">
        <v>20</v>
      </c>
    </row>
    <row r="122" customFormat="false" ht="14.25" hidden="false" customHeight="true" outlineLevel="0" collapsed="false">
      <c r="A122" s="40" t="s">
        <v>41</v>
      </c>
      <c r="B122" s="40" t="s">
        <v>148</v>
      </c>
      <c r="C122" s="40" t="s">
        <v>149</v>
      </c>
      <c r="D122" s="41"/>
      <c r="E122" s="42"/>
      <c r="F122" s="43" t="n">
        <v>0</v>
      </c>
      <c r="G122" s="40" t="str">
        <f aca="false">INDEX(SETORES!$B:$B,MATCH(A122,SETORES!$A:$A,0))</f>
        <v>Clientes</v>
      </c>
      <c r="H122" s="40" t="s">
        <v>20</v>
      </c>
    </row>
    <row r="123" customFormat="false" ht="14.25" hidden="false" customHeight="true" outlineLevel="0" collapsed="false">
      <c r="A123" s="16" t="s">
        <v>41</v>
      </c>
      <c r="B123" s="16" t="s">
        <v>148</v>
      </c>
      <c r="C123" s="16" t="s">
        <v>150</v>
      </c>
      <c r="D123" s="38"/>
      <c r="E123" s="39"/>
      <c r="F123" s="22" t="n">
        <v>0</v>
      </c>
      <c r="G123" s="16" t="str">
        <f aca="false">INDEX(SETORES!$B:$B,MATCH(A123,SETORES!$A:$A,0))</f>
        <v>Clientes</v>
      </c>
      <c r="H123" s="16" t="s">
        <v>20</v>
      </c>
    </row>
    <row r="124" customFormat="false" ht="14.25" hidden="false" customHeight="true" outlineLevel="0" collapsed="false">
      <c r="A124" s="40" t="s">
        <v>41</v>
      </c>
      <c r="B124" s="40" t="s">
        <v>148</v>
      </c>
      <c r="C124" s="40" t="s">
        <v>151</v>
      </c>
      <c r="D124" s="41" t="n">
        <v>1</v>
      </c>
      <c r="E124" s="42" t="n">
        <v>8.5108</v>
      </c>
      <c r="F124" s="43" t="n">
        <v>8.5108</v>
      </c>
      <c r="G124" s="40" t="str">
        <f aca="false">INDEX(SETORES!$B:$B,MATCH(A124,SETORES!$A:$A,0))</f>
        <v>Clientes</v>
      </c>
      <c r="H124" s="40" t="s">
        <v>20</v>
      </c>
    </row>
    <row r="125" customFormat="false" ht="14.25" hidden="false" customHeight="true" outlineLevel="0" collapsed="false">
      <c r="A125" s="16" t="s">
        <v>41</v>
      </c>
      <c r="B125" s="16" t="s">
        <v>148</v>
      </c>
      <c r="C125" s="16" t="s">
        <v>152</v>
      </c>
      <c r="D125" s="38" t="n">
        <v>1</v>
      </c>
      <c r="E125" s="39" t="n">
        <v>0</v>
      </c>
      <c r="F125" s="22" t="n">
        <v>0</v>
      </c>
      <c r="G125" s="16" t="str">
        <f aca="false">INDEX(SETORES!$B:$B,MATCH(A125,SETORES!$A:$A,0))</f>
        <v>Clientes</v>
      </c>
      <c r="H125" s="16" t="s">
        <v>20</v>
      </c>
    </row>
    <row r="126" customFormat="false" ht="14.25" hidden="false" customHeight="true" outlineLevel="0" collapsed="false">
      <c r="A126" s="40" t="s">
        <v>41</v>
      </c>
      <c r="B126" s="40" t="s">
        <v>148</v>
      </c>
      <c r="C126" s="40" t="s">
        <v>205</v>
      </c>
      <c r="D126" s="41" t="n">
        <v>1</v>
      </c>
      <c r="E126" s="42" t="n">
        <v>30</v>
      </c>
      <c r="F126" s="43" t="n">
        <f aca="false">IFERROR(D126*E126,0)</f>
        <v>30</v>
      </c>
      <c r="G126" s="40" t="str">
        <f aca="false">INDEX(SETORES!$B:$B,MATCH(A126,SETORES!$A:$A,0))</f>
        <v>Clientes</v>
      </c>
      <c r="H126" s="40" t="s">
        <v>20</v>
      </c>
    </row>
    <row r="127" customFormat="false" ht="14.25" hidden="false" customHeight="true" outlineLevel="0" collapsed="false">
      <c r="A127" s="16" t="s">
        <v>41</v>
      </c>
      <c r="B127" s="16" t="s">
        <v>148</v>
      </c>
      <c r="C127" s="16" t="s">
        <v>154</v>
      </c>
      <c r="D127" s="38" t="n">
        <v>1</v>
      </c>
      <c r="E127" s="39" t="n">
        <v>18000</v>
      </c>
      <c r="F127" s="22" t="n">
        <f aca="false">IFERROR(E127,0)</f>
        <v>18000</v>
      </c>
      <c r="G127" s="16" t="str">
        <f aca="false">INDEX(SETORES!$B:$B,MATCH(A127,SETORES!$A:$A,0))</f>
        <v>Clientes</v>
      </c>
      <c r="H127" s="16" t="s">
        <v>20</v>
      </c>
    </row>
    <row r="128" customFormat="false" ht="14.25" hidden="false" customHeight="true" outlineLevel="0" collapsed="false">
      <c r="A128" s="40" t="s">
        <v>41</v>
      </c>
      <c r="B128" s="40" t="s">
        <v>148</v>
      </c>
      <c r="C128" s="40" t="s">
        <v>160</v>
      </c>
      <c r="D128" s="41" t="n">
        <f aca="false">D890</f>
        <v>1</v>
      </c>
      <c r="E128" s="42" t="n">
        <v>10.05</v>
      </c>
      <c r="F128" s="43" t="n">
        <f aca="false">IFERROR(D128*E128,0)</f>
        <v>10.05</v>
      </c>
      <c r="G128" s="40" t="str">
        <f aca="false">INDEX(SETORES!$B:$B,MATCH(A128,SETORES!$A:$A,0))</f>
        <v>Clientes</v>
      </c>
      <c r="H128" s="40" t="s">
        <v>20</v>
      </c>
    </row>
    <row r="129" customFormat="false" ht="14.25" hidden="false" customHeight="true" outlineLevel="0" collapsed="false">
      <c r="A129" s="16" t="s">
        <v>41</v>
      </c>
      <c r="B129" s="16" t="s">
        <v>148</v>
      </c>
      <c r="C129" s="16" t="s">
        <v>161</v>
      </c>
      <c r="D129" s="38" t="n">
        <f aca="false">D890</f>
        <v>1</v>
      </c>
      <c r="E129" s="39" t="n">
        <v>2.07</v>
      </c>
      <c r="F129" s="22" t="n">
        <f aca="false">IFERROR(D129*E129,0)</f>
        <v>2.07</v>
      </c>
      <c r="G129" s="16" t="str">
        <f aca="false">INDEX(SETORES!$B:$B,MATCH(A129,SETORES!$A:$A,0))</f>
        <v>Clientes</v>
      </c>
      <c r="H129" s="16" t="s">
        <v>20</v>
      </c>
    </row>
    <row r="130" customFormat="false" ht="14.25" hidden="false" customHeight="true" outlineLevel="0" collapsed="false">
      <c r="A130" s="40" t="s">
        <v>41</v>
      </c>
      <c r="B130" s="40" t="s">
        <v>148</v>
      </c>
      <c r="C130" s="40" t="s">
        <v>162</v>
      </c>
      <c r="D130" s="41" t="n">
        <f aca="false">D890</f>
        <v>1</v>
      </c>
      <c r="E130" s="42" t="n">
        <v>64.57</v>
      </c>
      <c r="F130" s="43" t="n">
        <f aca="false">IFERROR(D130*E130,0)</f>
        <v>64.57</v>
      </c>
      <c r="G130" s="40" t="str">
        <f aca="false">INDEX(SETORES!$B:$B,MATCH(A130,SETORES!$A:$A,0))</f>
        <v>Clientes</v>
      </c>
      <c r="H130" s="40" t="s">
        <v>20</v>
      </c>
    </row>
    <row r="131" customFormat="false" ht="14.25" hidden="false" customHeight="true" outlineLevel="0" collapsed="false">
      <c r="A131" s="16" t="s">
        <v>41</v>
      </c>
      <c r="B131" s="16" t="s">
        <v>148</v>
      </c>
      <c r="C131" s="16" t="s">
        <v>163</v>
      </c>
      <c r="D131" s="38" t="n">
        <f aca="false">D890</f>
        <v>1</v>
      </c>
      <c r="E131" s="39" t="n">
        <v>28.31</v>
      </c>
      <c r="F131" s="22" t="n">
        <f aca="false">IFERROR(D131*E131,0)</f>
        <v>28.31</v>
      </c>
      <c r="G131" s="16" t="str">
        <f aca="false">INDEX(SETORES!$B:$B,MATCH(A131,SETORES!$A:$A,0))</f>
        <v>Clientes</v>
      </c>
      <c r="H131" s="16" t="s">
        <v>20</v>
      </c>
    </row>
    <row r="132" customFormat="false" ht="14.25" hidden="false" customHeight="true" outlineLevel="0" collapsed="false">
      <c r="A132" s="40" t="s">
        <v>41</v>
      </c>
      <c r="B132" s="40" t="s">
        <v>148</v>
      </c>
      <c r="C132" s="40" t="s">
        <v>164</v>
      </c>
      <c r="D132" s="41" t="n">
        <f aca="false">D890</f>
        <v>1</v>
      </c>
      <c r="E132" s="42" t="n">
        <v>47.79</v>
      </c>
      <c r="F132" s="43" t="n">
        <f aca="false">IFERROR(D132*E132,0)</f>
        <v>47.79</v>
      </c>
      <c r="G132" s="40" t="str">
        <f aca="false">INDEX(SETORES!$B:$B,MATCH(A132,SETORES!$A:$A,0))</f>
        <v>Clientes</v>
      </c>
      <c r="H132" s="40" t="s">
        <v>20</v>
      </c>
    </row>
    <row r="133" customFormat="false" ht="14.25" hidden="false" customHeight="true" outlineLevel="0" collapsed="false">
      <c r="A133" s="16" t="s">
        <v>33</v>
      </c>
      <c r="B133" s="16" t="s">
        <v>148</v>
      </c>
      <c r="C133" s="16" t="s">
        <v>149</v>
      </c>
      <c r="D133" s="38" t="n">
        <v>1</v>
      </c>
      <c r="E133" s="39" t="n">
        <v>28.5</v>
      </c>
      <c r="F133" s="22" t="n">
        <v>57.0003</v>
      </c>
      <c r="G133" s="16" t="str">
        <f aca="false">INDEX(SETORES!$B:$B,MATCH(A133,SETORES!$A:$A,0))</f>
        <v>Funcionários</v>
      </c>
      <c r="H133" s="16" t="s">
        <v>20</v>
      </c>
    </row>
    <row r="134" customFormat="false" ht="14.25" hidden="false" customHeight="true" outlineLevel="0" collapsed="false">
      <c r="A134" s="40" t="s">
        <v>33</v>
      </c>
      <c r="B134" s="40" t="s">
        <v>148</v>
      </c>
      <c r="C134" s="40" t="s">
        <v>150</v>
      </c>
      <c r="D134" s="41" t="n">
        <v>1</v>
      </c>
      <c r="E134" s="42" t="n">
        <v>28.5</v>
      </c>
      <c r="F134" s="43" t="n">
        <v>28.5</v>
      </c>
      <c r="G134" s="40" t="str">
        <f aca="false">INDEX(SETORES!$B:$B,MATCH(A134,SETORES!$A:$A,0))</f>
        <v>Funcionários</v>
      </c>
      <c r="H134" s="40" t="s">
        <v>20</v>
      </c>
    </row>
    <row r="135" customFormat="false" ht="14.25" hidden="false" customHeight="true" outlineLevel="0" collapsed="false">
      <c r="A135" s="16" t="s">
        <v>33</v>
      </c>
      <c r="B135" s="16" t="s">
        <v>148</v>
      </c>
      <c r="C135" s="16" t="s">
        <v>151</v>
      </c>
      <c r="D135" s="38" t="n">
        <v>1</v>
      </c>
      <c r="E135" s="39" t="n">
        <v>59.5756</v>
      </c>
      <c r="F135" s="22" t="n">
        <v>59.5756</v>
      </c>
      <c r="G135" s="16" t="str">
        <f aca="false">INDEX(SETORES!$B:$B,MATCH(A135,SETORES!$A:$A,0))</f>
        <v>Funcionários</v>
      </c>
      <c r="H135" s="16" t="s">
        <v>20</v>
      </c>
    </row>
    <row r="136" customFormat="false" ht="14.25" hidden="false" customHeight="true" outlineLevel="0" collapsed="false">
      <c r="A136" s="40" t="s">
        <v>33</v>
      </c>
      <c r="B136" s="40" t="s">
        <v>148</v>
      </c>
      <c r="C136" s="40" t="s">
        <v>152</v>
      </c>
      <c r="D136" s="41" t="n">
        <v>1</v>
      </c>
      <c r="E136" s="42" t="n">
        <v>0</v>
      </c>
      <c r="F136" s="43" t="n">
        <v>0</v>
      </c>
      <c r="G136" s="40" t="str">
        <f aca="false">INDEX(SETORES!$B:$B,MATCH(A136,SETORES!$A:$A,0))</f>
        <v>Funcionários</v>
      </c>
      <c r="H136" s="40" t="s">
        <v>20</v>
      </c>
    </row>
    <row r="137" customFormat="false" ht="14.25" hidden="false" customHeight="true" outlineLevel="0" collapsed="false">
      <c r="A137" s="16" t="s">
        <v>33</v>
      </c>
      <c r="B137" s="16" t="s">
        <v>148</v>
      </c>
      <c r="C137" s="16" t="s">
        <v>153</v>
      </c>
      <c r="D137" s="38"/>
      <c r="E137" s="39"/>
      <c r="F137" s="22" t="n">
        <f aca="false">IFERROR(D137*E137,0)</f>
        <v>0</v>
      </c>
      <c r="G137" s="16" t="str">
        <f aca="false">INDEX(SETORES!$B:$B,MATCH(A137,SETORES!$A:$A,0))</f>
        <v>Funcionários</v>
      </c>
      <c r="H137" s="16" t="s">
        <v>20</v>
      </c>
    </row>
    <row r="138" customFormat="false" ht="14.25" hidden="false" customHeight="true" outlineLevel="0" collapsed="false">
      <c r="A138" s="40" t="s">
        <v>33</v>
      </c>
      <c r="B138" s="40" t="s">
        <v>148</v>
      </c>
      <c r="C138" s="40" t="s">
        <v>154</v>
      </c>
      <c r="D138" s="41" t="n">
        <v>1</v>
      </c>
      <c r="E138" s="42" t="n">
        <v>36796.53</v>
      </c>
      <c r="F138" s="43" t="n">
        <f aca="false">IFERROR(E138,0)</f>
        <v>36796.53</v>
      </c>
      <c r="G138" s="40" t="str">
        <f aca="false">INDEX(SETORES!$B:$B,MATCH(A138,SETORES!$A:$A,0))</f>
        <v>Funcionários</v>
      </c>
      <c r="H138" s="40" t="s">
        <v>20</v>
      </c>
    </row>
    <row r="139" customFormat="false" ht="14.25" hidden="false" customHeight="true" outlineLevel="0" collapsed="false">
      <c r="A139" s="16" t="s">
        <v>33</v>
      </c>
      <c r="B139" s="16" t="s">
        <v>155</v>
      </c>
      <c r="C139" s="16" t="s">
        <v>206</v>
      </c>
      <c r="D139" s="38"/>
      <c r="E139" s="39"/>
      <c r="F139" s="22" t="n">
        <f aca="false">IFERROR(D139*E139,0)</f>
        <v>0</v>
      </c>
      <c r="G139" s="16" t="str">
        <f aca="false">INDEX(SETORES!$B:$B,MATCH(A139,SETORES!$A:$A,0))</f>
        <v>Funcionários</v>
      </c>
      <c r="H139" s="16" t="s">
        <v>20</v>
      </c>
    </row>
    <row r="140" customFormat="false" ht="14.25" hidden="false" customHeight="true" outlineLevel="0" collapsed="false">
      <c r="A140" s="40" t="s">
        <v>33</v>
      </c>
      <c r="B140" s="40" t="s">
        <v>155</v>
      </c>
      <c r="C140" s="40" t="s">
        <v>207</v>
      </c>
      <c r="D140" s="41"/>
      <c r="E140" s="42"/>
      <c r="F140" s="43" t="n">
        <f aca="false">IFERROR(D140*E140,0)</f>
        <v>0</v>
      </c>
      <c r="G140" s="40" t="str">
        <f aca="false">INDEX(SETORES!$B:$B,MATCH(A140,SETORES!$A:$A,0))</f>
        <v>Funcionários</v>
      </c>
      <c r="H140" s="40" t="s">
        <v>20</v>
      </c>
    </row>
    <row r="141" customFormat="false" ht="14.25" hidden="false" customHeight="true" outlineLevel="0" collapsed="false">
      <c r="A141" s="16" t="s">
        <v>33</v>
      </c>
      <c r="B141" s="16" t="s">
        <v>155</v>
      </c>
      <c r="C141" s="16" t="s">
        <v>156</v>
      </c>
      <c r="D141" s="38"/>
      <c r="E141" s="39"/>
      <c r="F141" s="22" t="n">
        <f aca="false">IFERROR(D141*E141,0)</f>
        <v>0</v>
      </c>
      <c r="G141" s="16" t="str">
        <f aca="false">INDEX(SETORES!$B:$B,MATCH(A141,SETORES!$A:$A,0))</f>
        <v>Funcionários</v>
      </c>
      <c r="H141" s="16" t="s">
        <v>20</v>
      </c>
    </row>
    <row r="142" customFormat="false" ht="14.25" hidden="false" customHeight="true" outlineLevel="0" collapsed="false">
      <c r="A142" s="40" t="s">
        <v>33</v>
      </c>
      <c r="B142" s="40" t="s">
        <v>155</v>
      </c>
      <c r="C142" s="40" t="s">
        <v>157</v>
      </c>
      <c r="D142" s="41" t="n">
        <v>1</v>
      </c>
      <c r="E142" s="42" t="n">
        <v>68</v>
      </c>
      <c r="F142" s="43" t="n">
        <f aca="false">IFERROR(D142*E142,0)</f>
        <v>68</v>
      </c>
      <c r="G142" s="40" t="str">
        <f aca="false">INDEX(SETORES!$B:$B,MATCH(A142,SETORES!$A:$A,0))</f>
        <v>Funcionários</v>
      </c>
      <c r="H142" s="40" t="s">
        <v>20</v>
      </c>
    </row>
    <row r="143" customFormat="false" ht="14.25" hidden="false" customHeight="true" outlineLevel="0" collapsed="false">
      <c r="A143" s="16" t="s">
        <v>33</v>
      </c>
      <c r="B143" s="16" t="s">
        <v>148</v>
      </c>
      <c r="C143" s="16" t="s">
        <v>159</v>
      </c>
      <c r="D143" s="38" t="n">
        <v>7</v>
      </c>
      <c r="E143" s="39" t="n">
        <v>50</v>
      </c>
      <c r="F143" s="22" t="n">
        <f aca="false">IFERROR(D143*E143,0)</f>
        <v>350</v>
      </c>
      <c r="G143" s="16" t="str">
        <f aca="false">INDEX(SETORES!$B:$B,MATCH(A143,SETORES!$A:$A,0))</f>
        <v>Funcionários</v>
      </c>
      <c r="H143" s="16" t="s">
        <v>20</v>
      </c>
    </row>
    <row r="144" customFormat="false" ht="14.25" hidden="false" customHeight="true" outlineLevel="0" collapsed="false">
      <c r="A144" s="40" t="s">
        <v>33</v>
      </c>
      <c r="B144" s="40" t="s">
        <v>148</v>
      </c>
      <c r="C144" s="40" t="s">
        <v>160</v>
      </c>
      <c r="D144" s="41" t="n">
        <v>7</v>
      </c>
      <c r="E144" s="42" t="n">
        <v>10.05</v>
      </c>
      <c r="F144" s="43" t="n">
        <f aca="false">IFERROR(D144*E144,0)</f>
        <v>70.35</v>
      </c>
      <c r="G144" s="40" t="str">
        <f aca="false">INDEX(SETORES!$B:$B,MATCH(A144,SETORES!$A:$A,0))</f>
        <v>Funcionários</v>
      </c>
      <c r="H144" s="40" t="s">
        <v>20</v>
      </c>
    </row>
    <row r="145" customFormat="false" ht="14.25" hidden="false" customHeight="true" outlineLevel="0" collapsed="false">
      <c r="A145" s="16" t="s">
        <v>33</v>
      </c>
      <c r="B145" s="16" t="s">
        <v>148</v>
      </c>
      <c r="C145" s="16" t="s">
        <v>161</v>
      </c>
      <c r="D145" s="38" t="n">
        <v>7</v>
      </c>
      <c r="E145" s="39" t="n">
        <v>2.07</v>
      </c>
      <c r="F145" s="22" t="n">
        <f aca="false">IFERROR(D145*E145,0)</f>
        <v>14.49</v>
      </c>
      <c r="G145" s="16" t="str">
        <f aca="false">INDEX(SETORES!$B:$B,MATCH(A145,SETORES!$A:$A,0))</f>
        <v>Funcionários</v>
      </c>
      <c r="H145" s="16" t="s">
        <v>20</v>
      </c>
    </row>
    <row r="146" customFormat="false" ht="14.25" hidden="false" customHeight="true" outlineLevel="0" collapsed="false">
      <c r="A146" s="40" t="s">
        <v>33</v>
      </c>
      <c r="B146" s="40" t="s">
        <v>148</v>
      </c>
      <c r="C146" s="40" t="s">
        <v>162</v>
      </c>
      <c r="D146" s="41" t="n">
        <v>7</v>
      </c>
      <c r="E146" s="42" t="n">
        <v>64.57</v>
      </c>
      <c r="F146" s="43" t="n">
        <f aca="false">IFERROR(D146*E146,0)</f>
        <v>451.99</v>
      </c>
      <c r="G146" s="40" t="str">
        <f aca="false">INDEX(SETORES!$B:$B,MATCH(A146,SETORES!$A:$A,0))</f>
        <v>Funcionários</v>
      </c>
      <c r="H146" s="40" t="s">
        <v>20</v>
      </c>
    </row>
    <row r="147" customFormat="false" ht="14.25" hidden="false" customHeight="true" outlineLevel="0" collapsed="false">
      <c r="A147" s="16" t="s">
        <v>33</v>
      </c>
      <c r="B147" s="16" t="s">
        <v>148</v>
      </c>
      <c r="C147" s="16" t="s">
        <v>163</v>
      </c>
      <c r="D147" s="38" t="n">
        <v>7</v>
      </c>
      <c r="E147" s="39" t="n">
        <v>28.31</v>
      </c>
      <c r="F147" s="22" t="n">
        <f aca="false">IFERROR(D147*E147,0)</f>
        <v>198.17</v>
      </c>
      <c r="G147" s="16" t="str">
        <f aca="false">INDEX(SETORES!$B:$B,MATCH(A147,SETORES!$A:$A,0))</f>
        <v>Funcionários</v>
      </c>
      <c r="H147" s="16" t="s">
        <v>20</v>
      </c>
    </row>
    <row r="148" customFormat="false" ht="14.25" hidden="false" customHeight="true" outlineLevel="0" collapsed="false">
      <c r="A148" s="40" t="s">
        <v>33</v>
      </c>
      <c r="B148" s="40" t="s">
        <v>148</v>
      </c>
      <c r="C148" s="40" t="s">
        <v>164</v>
      </c>
      <c r="D148" s="41" t="n">
        <v>7</v>
      </c>
      <c r="E148" s="42" t="n">
        <v>47.79</v>
      </c>
      <c r="F148" s="43" t="n">
        <f aca="false">IFERROR(D148*E148,0)</f>
        <v>334.53</v>
      </c>
      <c r="G148" s="40" t="str">
        <f aca="false">INDEX(SETORES!$B:$B,MATCH(A148,SETORES!$A:$A,0))</f>
        <v>Funcionários</v>
      </c>
      <c r="H148" s="40" t="s">
        <v>20</v>
      </c>
    </row>
    <row r="149" customFormat="false" ht="14.25" hidden="false" customHeight="true" outlineLevel="0" collapsed="false">
      <c r="A149" s="16" t="s">
        <v>42</v>
      </c>
      <c r="B149" s="16" t="s">
        <v>148</v>
      </c>
      <c r="C149" s="16" t="s">
        <v>149</v>
      </c>
      <c r="D149" s="38"/>
      <c r="E149" s="39"/>
      <c r="F149" s="22" t="n">
        <v>0</v>
      </c>
      <c r="G149" s="16" t="str">
        <f aca="false">INDEX(SETORES!$B:$B,MATCH(A149,SETORES!$A:$A,0))</f>
        <v>Clientes</v>
      </c>
      <c r="H149" s="16" t="s">
        <v>20</v>
      </c>
    </row>
    <row r="150" customFormat="false" ht="14.25" hidden="false" customHeight="true" outlineLevel="0" collapsed="false">
      <c r="A150" s="40" t="s">
        <v>42</v>
      </c>
      <c r="B150" s="40" t="s">
        <v>148</v>
      </c>
      <c r="C150" s="40" t="s">
        <v>150</v>
      </c>
      <c r="D150" s="41"/>
      <c r="E150" s="42"/>
      <c r="F150" s="43" t="n">
        <v>0</v>
      </c>
      <c r="G150" s="40" t="str">
        <f aca="false">INDEX(SETORES!$B:$B,MATCH(A150,SETORES!$A:$A,0))</f>
        <v>Clientes</v>
      </c>
      <c r="H150" s="40" t="s">
        <v>20</v>
      </c>
    </row>
    <row r="151" customFormat="false" ht="14.25" hidden="false" customHeight="true" outlineLevel="0" collapsed="false">
      <c r="A151" s="16" t="s">
        <v>42</v>
      </c>
      <c r="B151" s="16" t="s">
        <v>148</v>
      </c>
      <c r="C151" s="16" t="s">
        <v>151</v>
      </c>
      <c r="D151" s="38" t="n">
        <v>1</v>
      </c>
      <c r="E151" s="39" t="n">
        <v>17.0216</v>
      </c>
      <c r="F151" s="22" t="n">
        <v>17.0216</v>
      </c>
      <c r="G151" s="16" t="str">
        <f aca="false">INDEX(SETORES!$B:$B,MATCH(A151,SETORES!$A:$A,0))</f>
        <v>Clientes</v>
      </c>
      <c r="H151" s="16" t="s">
        <v>20</v>
      </c>
    </row>
    <row r="152" customFormat="false" ht="14.25" hidden="false" customHeight="true" outlineLevel="0" collapsed="false">
      <c r="A152" s="40" t="s">
        <v>42</v>
      </c>
      <c r="B152" s="40" t="s">
        <v>148</v>
      </c>
      <c r="C152" s="40" t="s">
        <v>152</v>
      </c>
      <c r="D152" s="41" t="n">
        <v>1</v>
      </c>
      <c r="E152" s="42" t="n">
        <v>0</v>
      </c>
      <c r="F152" s="43" t="n">
        <v>0</v>
      </c>
      <c r="G152" s="40" t="str">
        <f aca="false">INDEX(SETORES!$B:$B,MATCH(A152,SETORES!$A:$A,0))</f>
        <v>Clientes</v>
      </c>
      <c r="H152" s="40" t="s">
        <v>20</v>
      </c>
    </row>
    <row r="153" customFormat="false" ht="14.25" hidden="false" customHeight="true" outlineLevel="0" collapsed="false">
      <c r="A153" s="16" t="s">
        <v>42</v>
      </c>
      <c r="B153" s="16" t="s">
        <v>148</v>
      </c>
      <c r="C153" s="16" t="s">
        <v>153</v>
      </c>
      <c r="D153" s="38"/>
      <c r="E153" s="39"/>
      <c r="F153" s="22" t="n">
        <f aca="false">IFERROR(D153*E153,0)</f>
        <v>0</v>
      </c>
      <c r="G153" s="16" t="str">
        <f aca="false">INDEX(SETORES!$B:$B,MATCH(A153,SETORES!$A:$A,0))</f>
        <v>Clientes</v>
      </c>
      <c r="H153" s="16" t="s">
        <v>20</v>
      </c>
    </row>
    <row r="154" customFormat="false" ht="14.25" hidden="false" customHeight="true" outlineLevel="0" collapsed="false">
      <c r="A154" s="40" t="s">
        <v>42</v>
      </c>
      <c r="B154" s="40" t="s">
        <v>148</v>
      </c>
      <c r="C154" s="40" t="s">
        <v>154</v>
      </c>
      <c r="D154" s="41" t="n">
        <v>1</v>
      </c>
      <c r="E154" s="42" t="n">
        <v>27129.8033777778</v>
      </c>
      <c r="F154" s="43" t="n">
        <f aca="false">IFERROR(E154,0)</f>
        <v>27129.8033777778</v>
      </c>
      <c r="G154" s="40" t="str">
        <f aca="false">INDEX(SETORES!$B:$B,MATCH(A154,SETORES!$A:$A,0))</f>
        <v>Clientes</v>
      </c>
      <c r="H154" s="40" t="s">
        <v>20</v>
      </c>
    </row>
    <row r="155" customFormat="false" ht="14.25" hidden="false" customHeight="true" outlineLevel="0" collapsed="false">
      <c r="A155" s="16" t="s">
        <v>42</v>
      </c>
      <c r="B155" s="16" t="s">
        <v>155</v>
      </c>
      <c r="C155" s="16" t="s">
        <v>208</v>
      </c>
      <c r="D155" s="38"/>
      <c r="E155" s="39"/>
      <c r="F155" s="22" t="n">
        <f aca="false">IFERROR(D155*E155,0)</f>
        <v>0</v>
      </c>
      <c r="G155" s="16" t="str">
        <f aca="false">INDEX(SETORES!$B:$B,MATCH(A155,SETORES!$A:$A,0))</f>
        <v>Clientes</v>
      </c>
      <c r="H155" s="16" t="s">
        <v>20</v>
      </c>
    </row>
    <row r="156" customFormat="false" ht="14.25" hidden="false" customHeight="true" outlineLevel="0" collapsed="false">
      <c r="A156" s="40" t="s">
        <v>42</v>
      </c>
      <c r="B156" s="40" t="s">
        <v>155</v>
      </c>
      <c r="C156" s="40" t="s">
        <v>156</v>
      </c>
      <c r="D156" s="41"/>
      <c r="E156" s="42"/>
      <c r="F156" s="43" t="n">
        <f aca="false">IFERROR(D156*E156,0)</f>
        <v>0</v>
      </c>
      <c r="G156" s="40" t="str">
        <f aca="false">INDEX(SETORES!$B:$B,MATCH(A156,SETORES!$A:$A,0))</f>
        <v>Clientes</v>
      </c>
      <c r="H156" s="40" t="s">
        <v>20</v>
      </c>
    </row>
    <row r="157" customFormat="false" ht="14.25" hidden="false" customHeight="true" outlineLevel="0" collapsed="false">
      <c r="A157" s="16" t="s">
        <v>42</v>
      </c>
      <c r="B157" s="16" t="s">
        <v>155</v>
      </c>
      <c r="C157" s="16" t="s">
        <v>157</v>
      </c>
      <c r="D157" s="38" t="n">
        <v>1</v>
      </c>
      <c r="E157" s="39" t="n">
        <v>144</v>
      </c>
      <c r="F157" s="22" t="n">
        <f aca="false">IFERROR(D157*E157,0)</f>
        <v>144</v>
      </c>
      <c r="G157" s="16" t="str">
        <f aca="false">INDEX(SETORES!$B:$B,MATCH(A157,SETORES!$A:$A,0))</f>
        <v>Clientes</v>
      </c>
      <c r="H157" s="16" t="s">
        <v>20</v>
      </c>
    </row>
    <row r="158" customFormat="false" ht="14.25" hidden="false" customHeight="true" outlineLevel="0" collapsed="false">
      <c r="A158" s="40" t="s">
        <v>42</v>
      </c>
      <c r="B158" s="40" t="s">
        <v>148</v>
      </c>
      <c r="C158" s="40" t="s">
        <v>159</v>
      </c>
      <c r="D158" s="41" t="n">
        <v>4</v>
      </c>
      <c r="E158" s="42" t="n">
        <v>50</v>
      </c>
      <c r="F158" s="43" t="n">
        <f aca="false">IFERROR(D158*E158,0)</f>
        <v>200</v>
      </c>
      <c r="G158" s="40" t="str">
        <f aca="false">INDEX(SETORES!$B:$B,MATCH(A158,SETORES!$A:$A,0))</f>
        <v>Clientes</v>
      </c>
      <c r="H158" s="40" t="s">
        <v>20</v>
      </c>
    </row>
    <row r="159" customFormat="false" ht="14.25" hidden="false" customHeight="true" outlineLevel="0" collapsed="false">
      <c r="A159" s="16" t="s">
        <v>42</v>
      </c>
      <c r="B159" s="16" t="s">
        <v>148</v>
      </c>
      <c r="C159" s="16" t="s">
        <v>160</v>
      </c>
      <c r="D159" s="38" t="n">
        <v>2</v>
      </c>
      <c r="E159" s="39" t="n">
        <v>10.05</v>
      </c>
      <c r="F159" s="22" t="n">
        <f aca="false">IFERROR(D159*E159,0)</f>
        <v>20.1</v>
      </c>
      <c r="G159" s="16" t="str">
        <f aca="false">INDEX(SETORES!$B:$B,MATCH(A159,SETORES!$A:$A,0))</f>
        <v>Clientes</v>
      </c>
      <c r="H159" s="16" t="s">
        <v>20</v>
      </c>
    </row>
    <row r="160" customFormat="false" ht="14.25" hidden="false" customHeight="true" outlineLevel="0" collapsed="false">
      <c r="A160" s="40" t="s">
        <v>42</v>
      </c>
      <c r="B160" s="40" t="s">
        <v>148</v>
      </c>
      <c r="C160" s="40" t="s">
        <v>161</v>
      </c>
      <c r="D160" s="41" t="n">
        <v>2</v>
      </c>
      <c r="E160" s="42" t="n">
        <v>2.07</v>
      </c>
      <c r="F160" s="43" t="n">
        <f aca="false">IFERROR(D160*E160,0)</f>
        <v>4.14</v>
      </c>
      <c r="G160" s="40" t="str">
        <f aca="false">INDEX(SETORES!$B:$B,MATCH(A160,SETORES!$A:$A,0))</f>
        <v>Clientes</v>
      </c>
      <c r="H160" s="40" t="s">
        <v>20</v>
      </c>
    </row>
    <row r="161" customFormat="false" ht="14.25" hidden="false" customHeight="true" outlineLevel="0" collapsed="false">
      <c r="A161" s="16" t="s">
        <v>42</v>
      </c>
      <c r="B161" s="16" t="s">
        <v>148</v>
      </c>
      <c r="C161" s="16" t="s">
        <v>162</v>
      </c>
      <c r="D161" s="38" t="n">
        <v>2</v>
      </c>
      <c r="E161" s="39" t="n">
        <v>64.57</v>
      </c>
      <c r="F161" s="22" t="n">
        <f aca="false">IFERROR(D161*E161,0)</f>
        <v>129.14</v>
      </c>
      <c r="G161" s="16" t="str">
        <f aca="false">INDEX(SETORES!$B:$B,MATCH(A161,SETORES!$A:$A,0))</f>
        <v>Clientes</v>
      </c>
      <c r="H161" s="16" t="s">
        <v>20</v>
      </c>
    </row>
    <row r="162" customFormat="false" ht="14.25" hidden="false" customHeight="true" outlineLevel="0" collapsed="false">
      <c r="A162" s="40" t="s">
        <v>42</v>
      </c>
      <c r="B162" s="40" t="s">
        <v>148</v>
      </c>
      <c r="C162" s="40" t="s">
        <v>163</v>
      </c>
      <c r="D162" s="41" t="n">
        <v>2</v>
      </c>
      <c r="E162" s="42" t="n">
        <v>28.31</v>
      </c>
      <c r="F162" s="43" t="n">
        <f aca="false">IFERROR(D162*E162,0)</f>
        <v>56.62</v>
      </c>
      <c r="G162" s="40" t="str">
        <f aca="false">INDEX(SETORES!$B:$B,MATCH(A162,SETORES!$A:$A,0))</f>
        <v>Clientes</v>
      </c>
      <c r="H162" s="40" t="s">
        <v>20</v>
      </c>
    </row>
    <row r="163" customFormat="false" ht="14.25" hidden="false" customHeight="true" outlineLevel="0" collapsed="false">
      <c r="A163" s="16" t="s">
        <v>42</v>
      </c>
      <c r="B163" s="16" t="s">
        <v>148</v>
      </c>
      <c r="C163" s="16" t="s">
        <v>164</v>
      </c>
      <c r="D163" s="38" t="n">
        <v>2</v>
      </c>
      <c r="E163" s="39" t="n">
        <v>47.79</v>
      </c>
      <c r="F163" s="22" t="n">
        <f aca="false">IFERROR(D163*E163,0)</f>
        <v>95.58</v>
      </c>
      <c r="G163" s="16" t="str">
        <f aca="false">INDEX(SETORES!$B:$B,MATCH(A163,SETORES!$A:$A,0))</f>
        <v>Clientes</v>
      </c>
      <c r="H163" s="16" t="s">
        <v>20</v>
      </c>
    </row>
    <row r="164" customFormat="false" ht="14.25" hidden="false" customHeight="true" outlineLevel="0" collapsed="false">
      <c r="A164" s="40" t="s">
        <v>45</v>
      </c>
      <c r="B164" s="40" t="s">
        <v>148</v>
      </c>
      <c r="C164" s="40" t="s">
        <v>149</v>
      </c>
      <c r="D164" s="41"/>
      <c r="E164" s="42"/>
      <c r="F164" s="43" t="n">
        <v>0</v>
      </c>
      <c r="G164" s="40" t="str">
        <f aca="false">INDEX(SETORES!$B:$B,MATCH(A164,SETORES!$A:$A,0))</f>
        <v>Clientes</v>
      </c>
      <c r="H164" s="40" t="s">
        <v>20</v>
      </c>
    </row>
    <row r="165" customFormat="false" ht="14.25" hidden="false" customHeight="true" outlineLevel="0" collapsed="false">
      <c r="A165" s="16" t="s">
        <v>45</v>
      </c>
      <c r="B165" s="16" t="s">
        <v>148</v>
      </c>
      <c r="C165" s="16" t="s">
        <v>150</v>
      </c>
      <c r="D165" s="38"/>
      <c r="E165" s="39"/>
      <c r="F165" s="22" t="n">
        <v>0</v>
      </c>
      <c r="G165" s="16" t="str">
        <f aca="false">INDEX(SETORES!$B:$B,MATCH(A165,SETORES!$A:$A,0))</f>
        <v>Clientes</v>
      </c>
      <c r="H165" s="16" t="s">
        <v>20</v>
      </c>
    </row>
    <row r="166" customFormat="false" ht="14.25" hidden="false" customHeight="true" outlineLevel="0" collapsed="false">
      <c r="A166" s="40" t="s">
        <v>45</v>
      </c>
      <c r="B166" s="40" t="s">
        <v>148</v>
      </c>
      <c r="C166" s="40" t="s">
        <v>186</v>
      </c>
      <c r="D166" s="41" t="n">
        <v>1</v>
      </c>
      <c r="E166" s="42" t="n">
        <v>513.44</v>
      </c>
      <c r="F166" s="43" t="n">
        <f aca="false">IFERROR(D166*E166,0)</f>
        <v>513.44</v>
      </c>
      <c r="G166" s="40" t="str">
        <f aca="false">INDEX(SETORES!$B:$B,MATCH(A166,SETORES!$A:$A,0))</f>
        <v>Clientes</v>
      </c>
      <c r="H166" s="40" t="s">
        <v>20</v>
      </c>
    </row>
    <row r="167" customFormat="false" ht="14.25" hidden="false" customHeight="true" outlineLevel="0" collapsed="false">
      <c r="A167" s="16" t="s">
        <v>45</v>
      </c>
      <c r="B167" s="16" t="s">
        <v>148</v>
      </c>
      <c r="C167" s="16" t="s">
        <v>151</v>
      </c>
      <c r="D167" s="38" t="n">
        <v>7</v>
      </c>
      <c r="E167" s="39" t="n">
        <v>24.8613</v>
      </c>
      <c r="F167" s="22" t="n">
        <v>174.0291</v>
      </c>
      <c r="G167" s="16" t="str">
        <f aca="false">INDEX(SETORES!$B:$B,MATCH(A167,SETORES!$A:$A,0))</f>
        <v>Clientes</v>
      </c>
      <c r="H167" s="16" t="s">
        <v>20</v>
      </c>
    </row>
    <row r="168" customFormat="false" ht="14.25" hidden="false" customHeight="true" outlineLevel="0" collapsed="false">
      <c r="A168" s="40" t="s">
        <v>45</v>
      </c>
      <c r="B168" s="40" t="s">
        <v>148</v>
      </c>
      <c r="C168" s="40" t="s">
        <v>153</v>
      </c>
      <c r="D168" s="41"/>
      <c r="E168" s="42"/>
      <c r="F168" s="43" t="n">
        <f aca="false">IFERROR(D168*E168,0)</f>
        <v>0</v>
      </c>
      <c r="G168" s="40" t="str">
        <f aca="false">INDEX(SETORES!$B:$B,MATCH(A168,SETORES!$A:$A,0))</f>
        <v>Clientes</v>
      </c>
      <c r="H168" s="40" t="s">
        <v>20</v>
      </c>
    </row>
    <row r="169" customFormat="false" ht="14.25" hidden="false" customHeight="true" outlineLevel="0" collapsed="false">
      <c r="A169" s="16" t="s">
        <v>45</v>
      </c>
      <c r="B169" s="16" t="s">
        <v>148</v>
      </c>
      <c r="C169" s="16" t="s">
        <v>154</v>
      </c>
      <c r="D169" s="38" t="n">
        <v>1</v>
      </c>
      <c r="E169" s="39" t="n">
        <v>43379.5</v>
      </c>
      <c r="F169" s="22" t="n">
        <f aca="false">IFERROR(E169,0)</f>
        <v>43379.5</v>
      </c>
      <c r="G169" s="16" t="str">
        <f aca="false">INDEX(SETORES!$B:$B,MATCH(A169,SETORES!$A:$A,0))</f>
        <v>Clientes</v>
      </c>
      <c r="H169" s="16" t="s">
        <v>20</v>
      </c>
    </row>
    <row r="170" customFormat="false" ht="14.25" hidden="false" customHeight="true" outlineLevel="0" collapsed="false">
      <c r="A170" s="40" t="s">
        <v>45</v>
      </c>
      <c r="B170" s="40" t="s">
        <v>155</v>
      </c>
      <c r="C170" s="40" t="s">
        <v>209</v>
      </c>
      <c r="D170" s="41"/>
      <c r="E170" s="42"/>
      <c r="F170" s="43" t="n">
        <f aca="false">IFERROR(D170*E170,0)</f>
        <v>0</v>
      </c>
      <c r="G170" s="40" t="str">
        <f aca="false">INDEX(SETORES!$B:$B,MATCH(A170,SETORES!$A:$A,0))</f>
        <v>Clientes</v>
      </c>
      <c r="H170" s="40" t="s">
        <v>20</v>
      </c>
    </row>
    <row r="171" customFormat="false" ht="14.25" hidden="false" customHeight="true" outlineLevel="0" collapsed="false">
      <c r="A171" s="16" t="s">
        <v>45</v>
      </c>
      <c r="B171" s="16" t="s">
        <v>155</v>
      </c>
      <c r="C171" s="16" t="s">
        <v>156</v>
      </c>
      <c r="D171" s="38" t="n">
        <v>1</v>
      </c>
      <c r="E171" s="39" t="n">
        <v>132</v>
      </c>
      <c r="F171" s="22" t="n">
        <f aca="false">IFERROR(D171*E171,0)</f>
        <v>132</v>
      </c>
      <c r="G171" s="16" t="str">
        <f aca="false">INDEX(SETORES!$B:$B,MATCH(A171,SETORES!$A:$A,0))</f>
        <v>Clientes</v>
      </c>
      <c r="H171" s="16" t="s">
        <v>20</v>
      </c>
    </row>
    <row r="172" customFormat="false" ht="14.25" hidden="false" customHeight="true" outlineLevel="0" collapsed="false">
      <c r="A172" s="40" t="s">
        <v>45</v>
      </c>
      <c r="B172" s="40" t="s">
        <v>155</v>
      </c>
      <c r="C172" s="40" t="s">
        <v>157</v>
      </c>
      <c r="D172" s="41"/>
      <c r="E172" s="42"/>
      <c r="F172" s="43" t="n">
        <f aca="false">IFERROR(D172*E172,0)</f>
        <v>0</v>
      </c>
      <c r="G172" s="40" t="str">
        <f aca="false">INDEX(SETORES!$B:$B,MATCH(A172,SETORES!$A:$A,0))</f>
        <v>Clientes</v>
      </c>
      <c r="H172" s="40" t="s">
        <v>20</v>
      </c>
    </row>
    <row r="173" customFormat="false" ht="14.25" hidden="false" customHeight="true" outlineLevel="0" collapsed="false">
      <c r="A173" s="16" t="s">
        <v>45</v>
      </c>
      <c r="B173" s="16" t="s">
        <v>155</v>
      </c>
      <c r="C173" s="16" t="s">
        <v>202</v>
      </c>
      <c r="D173" s="38" t="n">
        <v>7</v>
      </c>
      <c r="E173" s="39" t="n">
        <v>89.55</v>
      </c>
      <c r="F173" s="22" t="n">
        <f aca="false">IFERROR(D173*E173,0)</f>
        <v>626.85</v>
      </c>
      <c r="G173" s="16" t="str">
        <f aca="false">INDEX(SETORES!$B:$B,MATCH(A173,SETORES!$A:$A,0))</f>
        <v>Clientes</v>
      </c>
      <c r="H173" s="16" t="s">
        <v>20</v>
      </c>
    </row>
    <row r="174" customFormat="false" ht="14.25" hidden="false" customHeight="true" outlineLevel="0" collapsed="false">
      <c r="A174" s="40" t="s">
        <v>45</v>
      </c>
      <c r="B174" s="40" t="s">
        <v>148</v>
      </c>
      <c r="C174" s="40" t="s">
        <v>159</v>
      </c>
      <c r="D174" s="41" t="n">
        <v>10</v>
      </c>
      <c r="E174" s="42" t="n">
        <v>50</v>
      </c>
      <c r="F174" s="43" t="n">
        <f aca="false">IFERROR(D174*E174,0)</f>
        <v>500</v>
      </c>
      <c r="G174" s="40" t="str">
        <f aca="false">INDEX(SETORES!$B:$B,MATCH(A174,SETORES!$A:$A,0))</f>
        <v>Clientes</v>
      </c>
      <c r="H174" s="40" t="s">
        <v>20</v>
      </c>
    </row>
    <row r="175" customFormat="false" ht="14.25" hidden="false" customHeight="true" outlineLevel="0" collapsed="false">
      <c r="A175" s="16" t="s">
        <v>45</v>
      </c>
      <c r="B175" s="16" t="s">
        <v>155</v>
      </c>
      <c r="C175" s="16" t="s">
        <v>210</v>
      </c>
      <c r="D175" s="38" t="n">
        <v>1</v>
      </c>
      <c r="E175" s="39" t="n">
        <v>8424.47</v>
      </c>
      <c r="F175" s="22" t="n">
        <f aca="false">IFERROR(D175*E175,0)</f>
        <v>8424.47</v>
      </c>
      <c r="G175" s="16" t="str">
        <f aca="false">INDEX(SETORES!$B:$B,MATCH(A175,SETORES!$A:$A,0))</f>
        <v>Clientes</v>
      </c>
      <c r="H175" s="16" t="s">
        <v>20</v>
      </c>
    </row>
    <row r="176" customFormat="false" ht="14.25" hidden="false" customHeight="true" outlineLevel="0" collapsed="false">
      <c r="A176" s="40" t="s">
        <v>45</v>
      </c>
      <c r="B176" s="40" t="s">
        <v>148</v>
      </c>
      <c r="C176" s="40" t="s">
        <v>160</v>
      </c>
      <c r="D176" s="41" t="n">
        <v>7</v>
      </c>
      <c r="E176" s="42" t="n">
        <v>10.05</v>
      </c>
      <c r="F176" s="43" t="n">
        <f aca="false">IFERROR(D176*E176,0)</f>
        <v>70.35</v>
      </c>
      <c r="G176" s="40" t="str">
        <f aca="false">INDEX(SETORES!$B:$B,MATCH(A176,SETORES!$A:$A,0))</f>
        <v>Clientes</v>
      </c>
      <c r="H176" s="40" t="s">
        <v>20</v>
      </c>
    </row>
    <row r="177" customFormat="false" ht="14.25" hidden="false" customHeight="true" outlineLevel="0" collapsed="false">
      <c r="A177" s="16" t="s">
        <v>45</v>
      </c>
      <c r="B177" s="16" t="s">
        <v>148</v>
      </c>
      <c r="C177" s="16" t="s">
        <v>161</v>
      </c>
      <c r="D177" s="38" t="n">
        <v>7</v>
      </c>
      <c r="E177" s="39" t="n">
        <v>2.07</v>
      </c>
      <c r="F177" s="22" t="n">
        <f aca="false">IFERROR(D177*E177,0)</f>
        <v>14.49</v>
      </c>
      <c r="G177" s="16" t="str">
        <f aca="false">INDEX(SETORES!$B:$B,MATCH(A177,SETORES!$A:$A,0))</f>
        <v>Clientes</v>
      </c>
      <c r="H177" s="16" t="s">
        <v>20</v>
      </c>
    </row>
    <row r="178" customFormat="false" ht="14.25" hidden="false" customHeight="true" outlineLevel="0" collapsed="false">
      <c r="A178" s="40" t="s">
        <v>45</v>
      </c>
      <c r="B178" s="40" t="s">
        <v>148</v>
      </c>
      <c r="C178" s="40" t="s">
        <v>162</v>
      </c>
      <c r="D178" s="41" t="n">
        <v>7</v>
      </c>
      <c r="E178" s="42" t="n">
        <v>64.57</v>
      </c>
      <c r="F178" s="43" t="n">
        <f aca="false">IFERROR(D178*E178,0)</f>
        <v>451.99</v>
      </c>
      <c r="G178" s="40" t="str">
        <f aca="false">INDEX(SETORES!$B:$B,MATCH(A178,SETORES!$A:$A,0))</f>
        <v>Clientes</v>
      </c>
      <c r="H178" s="40" t="s">
        <v>20</v>
      </c>
    </row>
    <row r="179" customFormat="false" ht="14.25" hidden="false" customHeight="true" outlineLevel="0" collapsed="false">
      <c r="A179" s="16" t="s">
        <v>45</v>
      </c>
      <c r="B179" s="16" t="s">
        <v>148</v>
      </c>
      <c r="C179" s="16" t="s">
        <v>163</v>
      </c>
      <c r="D179" s="38" t="n">
        <v>7</v>
      </c>
      <c r="E179" s="39" t="n">
        <v>28.31</v>
      </c>
      <c r="F179" s="22" t="n">
        <f aca="false">IFERROR(D179*E179,0)</f>
        <v>198.17</v>
      </c>
      <c r="G179" s="16" t="str">
        <f aca="false">INDEX(SETORES!$B:$B,MATCH(A179,SETORES!$A:$A,0))</f>
        <v>Clientes</v>
      </c>
      <c r="H179" s="16" t="s">
        <v>20</v>
      </c>
    </row>
    <row r="180" customFormat="false" ht="14.25" hidden="false" customHeight="true" outlineLevel="0" collapsed="false">
      <c r="A180" s="40" t="s">
        <v>45</v>
      </c>
      <c r="B180" s="40" t="s">
        <v>148</v>
      </c>
      <c r="C180" s="40" t="s">
        <v>164</v>
      </c>
      <c r="D180" s="41" t="n">
        <v>7</v>
      </c>
      <c r="E180" s="42" t="n">
        <v>47.79</v>
      </c>
      <c r="F180" s="43" t="n">
        <f aca="false">IFERROR(D180*E180,0)</f>
        <v>334.53</v>
      </c>
      <c r="G180" s="40" t="str">
        <f aca="false">INDEX(SETORES!$B:$B,MATCH(A180,SETORES!$A:$A,0))</f>
        <v>Clientes</v>
      </c>
      <c r="H180" s="40" t="s">
        <v>20</v>
      </c>
    </row>
    <row r="181" customFormat="false" ht="14.25" hidden="false" customHeight="true" outlineLevel="0" collapsed="false">
      <c r="A181" s="16" t="s">
        <v>50</v>
      </c>
      <c r="B181" s="16" t="s">
        <v>148</v>
      </c>
      <c r="C181" s="16" t="s">
        <v>149</v>
      </c>
      <c r="D181" s="38"/>
      <c r="E181" s="39"/>
      <c r="F181" s="22" t="n">
        <v>0</v>
      </c>
      <c r="G181" s="16" t="str">
        <f aca="false">INDEX(SETORES!$B:$B,MATCH(A181,SETORES!$A:$A,0))</f>
        <v>Clientes</v>
      </c>
      <c r="H181" s="16" t="s">
        <v>20</v>
      </c>
    </row>
    <row r="182" customFormat="false" ht="14.25" hidden="false" customHeight="true" outlineLevel="0" collapsed="false">
      <c r="A182" s="40" t="s">
        <v>50</v>
      </c>
      <c r="B182" s="40" t="s">
        <v>148</v>
      </c>
      <c r="C182" s="40" t="s">
        <v>150</v>
      </c>
      <c r="D182" s="41"/>
      <c r="E182" s="42"/>
      <c r="F182" s="43" t="n">
        <v>0</v>
      </c>
      <c r="G182" s="40" t="str">
        <f aca="false">INDEX(SETORES!$B:$B,MATCH(A182,SETORES!$A:$A,0))</f>
        <v>Clientes</v>
      </c>
      <c r="H182" s="40" t="s">
        <v>20</v>
      </c>
    </row>
    <row r="183" customFormat="false" ht="14.25" hidden="false" customHeight="true" outlineLevel="0" collapsed="false">
      <c r="A183" s="16" t="s">
        <v>50</v>
      </c>
      <c r="B183" s="16" t="s">
        <v>148</v>
      </c>
      <c r="C183" s="16" t="s">
        <v>151</v>
      </c>
      <c r="D183" s="38" t="n">
        <v>12</v>
      </c>
      <c r="E183" s="39" t="n">
        <v>24.8613</v>
      </c>
      <c r="F183" s="22" t="n">
        <v>298.3356</v>
      </c>
      <c r="G183" s="16" t="str">
        <f aca="false">INDEX(SETORES!$B:$B,MATCH(A183,SETORES!$A:$A,0))</f>
        <v>Clientes</v>
      </c>
      <c r="H183" s="16" t="s">
        <v>20</v>
      </c>
    </row>
    <row r="184" customFormat="false" ht="14.25" hidden="false" customHeight="true" outlineLevel="0" collapsed="false">
      <c r="A184" s="40" t="s">
        <v>50</v>
      </c>
      <c r="B184" s="40" t="s">
        <v>148</v>
      </c>
      <c r="C184" s="40" t="s">
        <v>153</v>
      </c>
      <c r="D184" s="41"/>
      <c r="E184" s="42"/>
      <c r="F184" s="43" t="n">
        <f aca="false">IFERROR(D184*E184,0)</f>
        <v>0</v>
      </c>
      <c r="G184" s="40" t="str">
        <f aca="false">INDEX(SETORES!$B:$B,MATCH(A184,SETORES!$A:$A,0))</f>
        <v>Clientes</v>
      </c>
      <c r="H184" s="40" t="s">
        <v>20</v>
      </c>
    </row>
    <row r="185" customFormat="false" ht="14.25" hidden="false" customHeight="true" outlineLevel="0" collapsed="false">
      <c r="A185" s="16" t="s">
        <v>50</v>
      </c>
      <c r="B185" s="16" t="s">
        <v>148</v>
      </c>
      <c r="C185" s="16" t="s">
        <v>154</v>
      </c>
      <c r="D185" s="38" t="n">
        <v>1</v>
      </c>
      <c r="E185" s="39" t="n">
        <v>54038.56</v>
      </c>
      <c r="F185" s="22" t="n">
        <f aca="false">IFERROR(E185,0)</f>
        <v>54038.56</v>
      </c>
      <c r="G185" s="16" t="str">
        <f aca="false">INDEX(SETORES!$B:$B,MATCH(A185,SETORES!$A:$A,0))</f>
        <v>Clientes</v>
      </c>
      <c r="H185" s="16" t="s">
        <v>20</v>
      </c>
    </row>
    <row r="186" customFormat="false" ht="14.25" hidden="false" customHeight="true" outlineLevel="0" collapsed="false">
      <c r="A186" s="40" t="s">
        <v>50</v>
      </c>
      <c r="B186" s="40" t="s">
        <v>155</v>
      </c>
      <c r="C186" s="40" t="s">
        <v>211</v>
      </c>
      <c r="D186" s="41"/>
      <c r="E186" s="42"/>
      <c r="F186" s="43" t="n">
        <f aca="false">IFERROR(D186*E186,0)</f>
        <v>0</v>
      </c>
      <c r="G186" s="40" t="str">
        <f aca="false">INDEX(SETORES!$B:$B,MATCH(A186,SETORES!$A:$A,0))</f>
        <v>Clientes</v>
      </c>
      <c r="H186" s="40" t="s">
        <v>20</v>
      </c>
    </row>
    <row r="187" customFormat="false" ht="14.25" hidden="false" customHeight="true" outlineLevel="0" collapsed="false">
      <c r="A187" s="16" t="s">
        <v>50</v>
      </c>
      <c r="B187" s="16" t="s">
        <v>155</v>
      </c>
      <c r="C187" s="16" t="s">
        <v>156</v>
      </c>
      <c r="D187" s="38" t="n">
        <v>1</v>
      </c>
      <c r="E187" s="39" t="n">
        <v>135</v>
      </c>
      <c r="F187" s="22" t="n">
        <f aca="false">IFERROR(D187*E187,0)</f>
        <v>135</v>
      </c>
      <c r="G187" s="16" t="str">
        <f aca="false">INDEX(SETORES!$B:$B,MATCH(A187,SETORES!$A:$A,0))</f>
        <v>Clientes</v>
      </c>
      <c r="H187" s="16" t="s">
        <v>20</v>
      </c>
    </row>
    <row r="188" customFormat="false" ht="14.25" hidden="false" customHeight="true" outlineLevel="0" collapsed="false">
      <c r="A188" s="40" t="s">
        <v>50</v>
      </c>
      <c r="B188" s="40" t="s">
        <v>155</v>
      </c>
      <c r="C188" s="40" t="s">
        <v>157</v>
      </c>
      <c r="D188" s="41"/>
      <c r="E188" s="42"/>
      <c r="F188" s="43" t="n">
        <f aca="false">IFERROR(D188*E188,0)</f>
        <v>0</v>
      </c>
      <c r="G188" s="40" t="str">
        <f aca="false">INDEX(SETORES!$B:$B,MATCH(A188,SETORES!$A:$A,0))</f>
        <v>Clientes</v>
      </c>
      <c r="H188" s="40" t="s">
        <v>20</v>
      </c>
    </row>
    <row r="189" customFormat="false" ht="14.25" hidden="false" customHeight="true" outlineLevel="0" collapsed="false">
      <c r="A189" s="16" t="s">
        <v>50</v>
      </c>
      <c r="B189" s="16" t="s">
        <v>155</v>
      </c>
      <c r="C189" s="16" t="s">
        <v>202</v>
      </c>
      <c r="D189" s="38" t="n">
        <v>12</v>
      </c>
      <c r="E189" s="39" t="n">
        <v>89.55</v>
      </c>
      <c r="F189" s="22" t="n">
        <f aca="false">IFERROR(D189*E189,0)</f>
        <v>1074.6</v>
      </c>
      <c r="G189" s="16" t="str">
        <f aca="false">INDEX(SETORES!$B:$B,MATCH(A189,SETORES!$A:$A,0))</f>
        <v>Clientes</v>
      </c>
      <c r="H189" s="16" t="s">
        <v>20</v>
      </c>
    </row>
    <row r="190" customFormat="false" ht="14.25" hidden="false" customHeight="true" outlineLevel="0" collapsed="false">
      <c r="A190" s="40" t="s">
        <v>50</v>
      </c>
      <c r="B190" s="40" t="s">
        <v>155</v>
      </c>
      <c r="C190" s="40" t="s">
        <v>158</v>
      </c>
      <c r="D190" s="41" t="n">
        <v>1</v>
      </c>
      <c r="E190" s="42" t="n">
        <v>176</v>
      </c>
      <c r="F190" s="43" t="n">
        <f aca="false">IFERROR(D190*E190,0)</f>
        <v>176</v>
      </c>
      <c r="G190" s="40" t="str">
        <f aca="false">INDEX(SETORES!$B:$B,MATCH(A190,SETORES!$A:$A,0))</f>
        <v>Clientes</v>
      </c>
      <c r="H190" s="40" t="s">
        <v>20</v>
      </c>
    </row>
    <row r="191" customFormat="false" ht="14.25" hidden="false" customHeight="true" outlineLevel="0" collapsed="false">
      <c r="A191" s="16" t="s">
        <v>50</v>
      </c>
      <c r="B191" s="16" t="s">
        <v>148</v>
      </c>
      <c r="C191" s="16" t="s">
        <v>159</v>
      </c>
      <c r="D191" s="38" t="n">
        <v>16</v>
      </c>
      <c r="E191" s="39" t="n">
        <v>50</v>
      </c>
      <c r="F191" s="22" t="n">
        <f aca="false">IFERROR(D191*E191,0)</f>
        <v>800</v>
      </c>
      <c r="G191" s="16" t="str">
        <f aca="false">INDEX(SETORES!$B:$B,MATCH(A191,SETORES!$A:$A,0))</f>
        <v>Clientes</v>
      </c>
      <c r="H191" s="16" t="s">
        <v>20</v>
      </c>
    </row>
    <row r="192" customFormat="false" ht="14.25" hidden="false" customHeight="true" outlineLevel="0" collapsed="false">
      <c r="A192" s="40" t="s">
        <v>50</v>
      </c>
      <c r="B192" s="40" t="s">
        <v>148</v>
      </c>
      <c r="C192" s="40" t="s">
        <v>160</v>
      </c>
      <c r="D192" s="41" t="n">
        <f aca="false">D948</f>
        <v>12</v>
      </c>
      <c r="E192" s="42" t="n">
        <v>10.05</v>
      </c>
      <c r="F192" s="43" t="n">
        <f aca="false">IFERROR(D192*E192,0)</f>
        <v>120.6</v>
      </c>
      <c r="G192" s="40" t="str">
        <f aca="false">INDEX(SETORES!$B:$B,MATCH(A192,SETORES!$A:$A,0))</f>
        <v>Clientes</v>
      </c>
      <c r="H192" s="40" t="s">
        <v>20</v>
      </c>
    </row>
    <row r="193" customFormat="false" ht="14.25" hidden="false" customHeight="true" outlineLevel="0" collapsed="false">
      <c r="A193" s="16" t="s">
        <v>50</v>
      </c>
      <c r="B193" s="16" t="s">
        <v>148</v>
      </c>
      <c r="C193" s="16" t="s">
        <v>161</v>
      </c>
      <c r="D193" s="38" t="n">
        <f aca="false">D948</f>
        <v>12</v>
      </c>
      <c r="E193" s="39" t="n">
        <v>2.07</v>
      </c>
      <c r="F193" s="22" t="n">
        <f aca="false">IFERROR(D193*E193,0)</f>
        <v>24.84</v>
      </c>
      <c r="G193" s="16" t="str">
        <f aca="false">INDEX(SETORES!$B:$B,MATCH(A193,SETORES!$A:$A,0))</f>
        <v>Clientes</v>
      </c>
      <c r="H193" s="16" t="s">
        <v>20</v>
      </c>
    </row>
    <row r="194" customFormat="false" ht="14.25" hidden="false" customHeight="true" outlineLevel="0" collapsed="false">
      <c r="A194" s="40" t="s">
        <v>50</v>
      </c>
      <c r="B194" s="40" t="s">
        <v>148</v>
      </c>
      <c r="C194" s="40" t="s">
        <v>162</v>
      </c>
      <c r="D194" s="41" t="n">
        <f aca="false">D948</f>
        <v>12</v>
      </c>
      <c r="E194" s="42" t="n">
        <v>64.57</v>
      </c>
      <c r="F194" s="43" t="n">
        <f aca="false">IFERROR(D194*E194,0)</f>
        <v>774.84</v>
      </c>
      <c r="G194" s="40" t="str">
        <f aca="false">INDEX(SETORES!$B:$B,MATCH(A194,SETORES!$A:$A,0))</f>
        <v>Clientes</v>
      </c>
      <c r="H194" s="40" t="s">
        <v>20</v>
      </c>
    </row>
    <row r="195" customFormat="false" ht="14.25" hidden="false" customHeight="true" outlineLevel="0" collapsed="false">
      <c r="A195" s="16" t="s">
        <v>50</v>
      </c>
      <c r="B195" s="16" t="s">
        <v>148</v>
      </c>
      <c r="C195" s="16" t="s">
        <v>163</v>
      </c>
      <c r="D195" s="38" t="n">
        <f aca="false">D948</f>
        <v>12</v>
      </c>
      <c r="E195" s="39" t="n">
        <v>28.31</v>
      </c>
      <c r="F195" s="22" t="n">
        <f aca="false">IFERROR(D195*E195,0)</f>
        <v>339.72</v>
      </c>
      <c r="G195" s="16" t="str">
        <f aca="false">INDEX(SETORES!$B:$B,MATCH(A195,SETORES!$A:$A,0))</f>
        <v>Clientes</v>
      </c>
      <c r="H195" s="16" t="s">
        <v>20</v>
      </c>
    </row>
    <row r="196" customFormat="false" ht="14.25" hidden="false" customHeight="true" outlineLevel="0" collapsed="false">
      <c r="A196" s="40" t="s">
        <v>50</v>
      </c>
      <c r="B196" s="40" t="s">
        <v>148</v>
      </c>
      <c r="C196" s="40" t="s">
        <v>164</v>
      </c>
      <c r="D196" s="41" t="n">
        <f aca="false">D948</f>
        <v>12</v>
      </c>
      <c r="E196" s="42" t="n">
        <v>47.79</v>
      </c>
      <c r="F196" s="43" t="n">
        <f aca="false">IFERROR(D196*E196,0)</f>
        <v>573.48</v>
      </c>
      <c r="G196" s="40" t="str">
        <f aca="false">INDEX(SETORES!$B:$B,MATCH(A196,SETORES!$A:$A,0))</f>
        <v>Clientes</v>
      </c>
      <c r="H196" s="40" t="s">
        <v>20</v>
      </c>
    </row>
    <row r="197" customFormat="false" ht="14.25" hidden="false" customHeight="true" outlineLevel="0" collapsed="false">
      <c r="A197" s="16" t="s">
        <v>36</v>
      </c>
      <c r="B197" s="16" t="s">
        <v>148</v>
      </c>
      <c r="C197" s="16" t="s">
        <v>149</v>
      </c>
      <c r="D197" s="38"/>
      <c r="E197" s="39"/>
      <c r="F197" s="22" t="n">
        <v>0</v>
      </c>
      <c r="G197" s="16" t="str">
        <f aca="false">INDEX(SETORES!$B:$B,MATCH(A197,SETORES!$A:$A,0))</f>
        <v>Clientes</v>
      </c>
      <c r="H197" s="16" t="s">
        <v>20</v>
      </c>
    </row>
    <row r="198" customFormat="false" ht="14.25" hidden="false" customHeight="true" outlineLevel="0" collapsed="false">
      <c r="A198" s="40" t="s">
        <v>36</v>
      </c>
      <c r="B198" s="40" t="s">
        <v>148</v>
      </c>
      <c r="C198" s="40" t="s">
        <v>150</v>
      </c>
      <c r="D198" s="41"/>
      <c r="E198" s="42"/>
      <c r="F198" s="43" t="n">
        <v>0</v>
      </c>
      <c r="G198" s="40" t="str">
        <f aca="false">INDEX(SETORES!$B:$B,MATCH(A198,SETORES!$A:$A,0))</f>
        <v>Clientes</v>
      </c>
      <c r="H198" s="40" t="s">
        <v>20</v>
      </c>
    </row>
    <row r="199" customFormat="false" ht="14.25" hidden="false" customHeight="true" outlineLevel="0" collapsed="false">
      <c r="A199" s="16" t="s">
        <v>36</v>
      </c>
      <c r="B199" s="16" t="s">
        <v>148</v>
      </c>
      <c r="C199" s="16" t="s">
        <v>151</v>
      </c>
      <c r="D199" s="38" t="n">
        <v>1</v>
      </c>
      <c r="E199" s="39" t="n">
        <v>59.5756</v>
      </c>
      <c r="F199" s="22" t="n">
        <v>59.5756</v>
      </c>
      <c r="G199" s="16" t="str">
        <f aca="false">INDEX(SETORES!$B:$B,MATCH(A199,SETORES!$A:$A,0))</f>
        <v>Clientes</v>
      </c>
      <c r="H199" s="16" t="s">
        <v>20</v>
      </c>
    </row>
    <row r="200" customFormat="false" ht="14.25" hidden="false" customHeight="true" outlineLevel="0" collapsed="false">
      <c r="A200" s="40" t="s">
        <v>36</v>
      </c>
      <c r="B200" s="40" t="s">
        <v>148</v>
      </c>
      <c r="C200" s="40" t="s">
        <v>152</v>
      </c>
      <c r="D200" s="41" t="n">
        <v>1</v>
      </c>
      <c r="E200" s="42" t="n">
        <v>0</v>
      </c>
      <c r="F200" s="43" t="n">
        <v>0</v>
      </c>
      <c r="G200" s="40" t="str">
        <f aca="false">INDEX(SETORES!$B:$B,MATCH(A200,SETORES!$A:$A,0))</f>
        <v>Clientes</v>
      </c>
      <c r="H200" s="40" t="s">
        <v>20</v>
      </c>
    </row>
    <row r="201" customFormat="false" ht="14.25" hidden="false" customHeight="true" outlineLevel="0" collapsed="false">
      <c r="A201" s="16" t="s">
        <v>36</v>
      </c>
      <c r="B201" s="16" t="s">
        <v>148</v>
      </c>
      <c r="C201" s="16" t="s">
        <v>153</v>
      </c>
      <c r="D201" s="38"/>
      <c r="E201" s="39"/>
      <c r="F201" s="22" t="n">
        <f aca="false">IFERROR(D201*E201,0)</f>
        <v>0</v>
      </c>
      <c r="G201" s="16" t="str">
        <f aca="false">INDEX(SETORES!$B:$B,MATCH(A201,SETORES!$A:$A,0))</f>
        <v>Clientes</v>
      </c>
      <c r="H201" s="16" t="s">
        <v>20</v>
      </c>
    </row>
    <row r="202" customFormat="false" ht="14.25" hidden="false" customHeight="true" outlineLevel="0" collapsed="false">
      <c r="A202" s="40" t="s">
        <v>36</v>
      </c>
      <c r="B202" s="40" t="s">
        <v>148</v>
      </c>
      <c r="C202" s="40" t="s">
        <v>154</v>
      </c>
      <c r="D202" s="41" t="n">
        <v>1</v>
      </c>
      <c r="E202" s="42" t="n">
        <v>38547.99</v>
      </c>
      <c r="F202" s="43" t="n">
        <f aca="false">IFERROR(E202,0)</f>
        <v>38547.99</v>
      </c>
      <c r="G202" s="40" t="str">
        <f aca="false">INDEX(SETORES!$B:$B,MATCH(A202,SETORES!$A:$A,0))</f>
        <v>Clientes</v>
      </c>
      <c r="H202" s="40" t="s">
        <v>20</v>
      </c>
    </row>
    <row r="203" customFormat="false" ht="14.25" hidden="false" customHeight="true" outlineLevel="0" collapsed="false">
      <c r="A203" s="16" t="s">
        <v>36</v>
      </c>
      <c r="B203" s="16" t="s">
        <v>148</v>
      </c>
      <c r="C203" s="16" t="s">
        <v>212</v>
      </c>
      <c r="D203" s="38" t="n">
        <v>1</v>
      </c>
      <c r="E203" s="39" t="n">
        <v>29494.72</v>
      </c>
      <c r="F203" s="22" t="n">
        <f aca="false">IFERROR(D203*E203,0)</f>
        <v>29494.72</v>
      </c>
      <c r="G203" s="16" t="str">
        <f aca="false">INDEX(SETORES!$B:$B,MATCH(A203,SETORES!$A:$A,0))</f>
        <v>Clientes</v>
      </c>
      <c r="H203" s="16" t="s">
        <v>20</v>
      </c>
    </row>
    <row r="204" customFormat="false" ht="14.25" hidden="false" customHeight="true" outlineLevel="0" collapsed="false">
      <c r="A204" s="40" t="s">
        <v>36</v>
      </c>
      <c r="B204" s="40" t="s">
        <v>155</v>
      </c>
      <c r="C204" s="40" t="s">
        <v>156</v>
      </c>
      <c r="D204" s="41"/>
      <c r="E204" s="42"/>
      <c r="F204" s="43" t="n">
        <f aca="false">IFERROR(D204*E204,0)</f>
        <v>0</v>
      </c>
      <c r="G204" s="40" t="str">
        <f aca="false">INDEX(SETORES!$B:$B,MATCH(A204,SETORES!$A:$A,0))</f>
        <v>Clientes</v>
      </c>
      <c r="H204" s="40" t="s">
        <v>20</v>
      </c>
    </row>
    <row r="205" customFormat="false" ht="14.25" hidden="false" customHeight="true" outlineLevel="0" collapsed="false">
      <c r="A205" s="16" t="s">
        <v>36</v>
      </c>
      <c r="B205" s="16" t="s">
        <v>155</v>
      </c>
      <c r="C205" s="16" t="s">
        <v>157</v>
      </c>
      <c r="D205" s="38" t="n">
        <v>1</v>
      </c>
      <c r="E205" s="39" t="n">
        <v>68</v>
      </c>
      <c r="F205" s="22" t="n">
        <f aca="false">IFERROR(D205*E205,0)</f>
        <v>68</v>
      </c>
      <c r="G205" s="16" t="str">
        <f aca="false">INDEX(SETORES!$B:$B,MATCH(A205,SETORES!$A:$A,0))</f>
        <v>Clientes</v>
      </c>
      <c r="H205" s="16" t="s">
        <v>20</v>
      </c>
    </row>
    <row r="206" customFormat="false" ht="14.25" hidden="false" customHeight="true" outlineLevel="0" collapsed="false">
      <c r="A206" s="40" t="s">
        <v>36</v>
      </c>
      <c r="B206" s="40" t="s">
        <v>148</v>
      </c>
      <c r="C206" s="40" t="s">
        <v>159</v>
      </c>
      <c r="D206" s="41" t="n">
        <v>8</v>
      </c>
      <c r="E206" s="42" t="n">
        <v>50</v>
      </c>
      <c r="F206" s="43" t="n">
        <f aca="false">IFERROR(D206*E206,0)</f>
        <v>400</v>
      </c>
      <c r="G206" s="40" t="str">
        <f aca="false">INDEX(SETORES!$B:$B,MATCH(A206,SETORES!$A:$A,0))</f>
        <v>Clientes</v>
      </c>
      <c r="H206" s="40" t="s">
        <v>20</v>
      </c>
    </row>
    <row r="207" customFormat="false" ht="14.25" hidden="false" customHeight="true" outlineLevel="0" collapsed="false">
      <c r="A207" s="16" t="s">
        <v>36</v>
      </c>
      <c r="B207" s="16" t="s">
        <v>148</v>
      </c>
      <c r="C207" s="16" t="s">
        <v>160</v>
      </c>
      <c r="D207" s="38" t="n">
        <v>8</v>
      </c>
      <c r="E207" s="39" t="n">
        <v>10.05</v>
      </c>
      <c r="F207" s="22" t="n">
        <f aca="false">IFERROR(D207*E207,0)</f>
        <v>80.4</v>
      </c>
      <c r="G207" s="16" t="str">
        <f aca="false">INDEX(SETORES!$B:$B,MATCH(A207,SETORES!$A:$A,0))</f>
        <v>Clientes</v>
      </c>
      <c r="H207" s="16" t="s">
        <v>20</v>
      </c>
    </row>
    <row r="208" customFormat="false" ht="14.25" hidden="false" customHeight="true" outlineLevel="0" collapsed="false">
      <c r="A208" s="40" t="s">
        <v>36</v>
      </c>
      <c r="B208" s="40" t="s">
        <v>148</v>
      </c>
      <c r="C208" s="40" t="s">
        <v>161</v>
      </c>
      <c r="D208" s="41" t="n">
        <v>8</v>
      </c>
      <c r="E208" s="42" t="n">
        <v>2.07</v>
      </c>
      <c r="F208" s="43" t="n">
        <f aca="false">IFERROR(D208*E208,0)</f>
        <v>16.56</v>
      </c>
      <c r="G208" s="40" t="str">
        <f aca="false">INDEX(SETORES!$B:$B,MATCH(A208,SETORES!$A:$A,0))</f>
        <v>Clientes</v>
      </c>
      <c r="H208" s="40" t="s">
        <v>20</v>
      </c>
    </row>
    <row r="209" customFormat="false" ht="14.25" hidden="false" customHeight="true" outlineLevel="0" collapsed="false">
      <c r="A209" s="16" t="s">
        <v>36</v>
      </c>
      <c r="B209" s="16" t="s">
        <v>148</v>
      </c>
      <c r="C209" s="16" t="s">
        <v>162</v>
      </c>
      <c r="D209" s="38" t="n">
        <v>8</v>
      </c>
      <c r="E209" s="39" t="n">
        <v>64.57</v>
      </c>
      <c r="F209" s="22" t="n">
        <f aca="false">IFERROR(D209*E209,0)</f>
        <v>516.56</v>
      </c>
      <c r="G209" s="16" t="str">
        <f aca="false">INDEX(SETORES!$B:$B,MATCH(A209,SETORES!$A:$A,0))</f>
        <v>Clientes</v>
      </c>
      <c r="H209" s="16" t="s">
        <v>20</v>
      </c>
    </row>
    <row r="210" customFormat="false" ht="14.25" hidden="false" customHeight="true" outlineLevel="0" collapsed="false">
      <c r="A210" s="40" t="s">
        <v>36</v>
      </c>
      <c r="B210" s="40" t="s">
        <v>148</v>
      </c>
      <c r="C210" s="40" t="s">
        <v>163</v>
      </c>
      <c r="D210" s="41" t="n">
        <v>8</v>
      </c>
      <c r="E210" s="42" t="n">
        <v>28.31</v>
      </c>
      <c r="F210" s="43" t="n">
        <f aca="false">IFERROR(D210*E210,0)</f>
        <v>226.48</v>
      </c>
      <c r="G210" s="40" t="str">
        <f aca="false">INDEX(SETORES!$B:$B,MATCH(A210,SETORES!$A:$A,0))</f>
        <v>Clientes</v>
      </c>
      <c r="H210" s="40" t="s">
        <v>20</v>
      </c>
    </row>
    <row r="211" customFormat="false" ht="14.25" hidden="false" customHeight="true" outlineLevel="0" collapsed="false">
      <c r="A211" s="16" t="s">
        <v>36</v>
      </c>
      <c r="B211" s="16" t="s">
        <v>148</v>
      </c>
      <c r="C211" s="16" t="s">
        <v>164</v>
      </c>
      <c r="D211" s="38" t="n">
        <v>8</v>
      </c>
      <c r="E211" s="39" t="n">
        <v>47.79</v>
      </c>
      <c r="F211" s="22" t="n">
        <f aca="false">IFERROR(D211*E211,0)</f>
        <v>382.32</v>
      </c>
      <c r="G211" s="16" t="str">
        <f aca="false">INDEX(SETORES!$B:$B,MATCH(A211,SETORES!$A:$A,0))</f>
        <v>Clientes</v>
      </c>
      <c r="H211" s="16" t="s">
        <v>20</v>
      </c>
    </row>
    <row r="212" customFormat="false" ht="14.25" hidden="false" customHeight="true" outlineLevel="0" collapsed="false">
      <c r="A212" s="40" t="s">
        <v>43</v>
      </c>
      <c r="B212" s="40" t="s">
        <v>148</v>
      </c>
      <c r="C212" s="40" t="s">
        <v>152</v>
      </c>
      <c r="D212" s="41" t="n">
        <v>4</v>
      </c>
      <c r="E212" s="42" t="n">
        <v>0.6343</v>
      </c>
      <c r="F212" s="43" t="n">
        <v>2.5372</v>
      </c>
      <c r="G212" s="40" t="str">
        <f aca="false">INDEX(SETORES!$B:$B,MATCH(A212,SETORES!$A:$A,0))</f>
        <v>Clientes</v>
      </c>
      <c r="H212" s="40" t="s">
        <v>20</v>
      </c>
    </row>
    <row r="213" customFormat="false" ht="14.25" hidden="false" customHeight="true" outlineLevel="0" collapsed="false">
      <c r="A213" s="16" t="s">
        <v>48</v>
      </c>
      <c r="B213" s="16" t="s">
        <v>148</v>
      </c>
      <c r="C213" s="16" t="s">
        <v>149</v>
      </c>
      <c r="D213" s="38"/>
      <c r="E213" s="39"/>
      <c r="F213" s="22" t="n">
        <v>0</v>
      </c>
      <c r="G213" s="16" t="str">
        <f aca="false">INDEX(SETORES!$B:$B,MATCH(A213,SETORES!$A:$A,0))</f>
        <v>Clientes</v>
      </c>
      <c r="H213" s="16" t="s">
        <v>20</v>
      </c>
    </row>
    <row r="214" customFormat="false" ht="14.25" hidden="false" customHeight="true" outlineLevel="0" collapsed="false">
      <c r="A214" s="40" t="s">
        <v>48</v>
      </c>
      <c r="B214" s="40" t="s">
        <v>148</v>
      </c>
      <c r="C214" s="40" t="s">
        <v>150</v>
      </c>
      <c r="D214" s="41"/>
      <c r="E214" s="42"/>
      <c r="F214" s="43" t="n">
        <v>0</v>
      </c>
      <c r="G214" s="40" t="str">
        <f aca="false">INDEX(SETORES!$B:$B,MATCH(A214,SETORES!$A:$A,0))</f>
        <v>Clientes</v>
      </c>
      <c r="H214" s="40" t="s">
        <v>20</v>
      </c>
    </row>
    <row r="215" customFormat="false" ht="14.25" hidden="false" customHeight="true" outlineLevel="0" collapsed="false">
      <c r="A215" s="16" t="s">
        <v>48</v>
      </c>
      <c r="B215" s="16" t="s">
        <v>148</v>
      </c>
      <c r="C215" s="16" t="s">
        <v>151</v>
      </c>
      <c r="D215" s="38" t="n">
        <v>12</v>
      </c>
      <c r="E215" s="39" t="n">
        <v>24.8613</v>
      </c>
      <c r="F215" s="22" t="n">
        <v>298.3356</v>
      </c>
      <c r="G215" s="16" t="str">
        <f aca="false">INDEX(SETORES!$B:$B,MATCH(A215,SETORES!$A:$A,0))</f>
        <v>Clientes</v>
      </c>
      <c r="H215" s="16" t="s">
        <v>20</v>
      </c>
    </row>
    <row r="216" customFormat="false" ht="14.25" hidden="false" customHeight="true" outlineLevel="0" collapsed="false">
      <c r="A216" s="40" t="s">
        <v>45</v>
      </c>
      <c r="B216" s="40" t="s">
        <v>148</v>
      </c>
      <c r="C216" s="40" t="s">
        <v>152</v>
      </c>
      <c r="D216" s="41" t="n">
        <v>7</v>
      </c>
      <c r="E216" s="42" t="n">
        <v>0.6343</v>
      </c>
      <c r="F216" s="43" t="n">
        <v>4.4401</v>
      </c>
      <c r="G216" s="40" t="str">
        <f aca="false">INDEX(SETORES!$B:$B,MATCH(A216,SETORES!$A:$A,0))</f>
        <v>Clientes</v>
      </c>
      <c r="H216" s="40" t="s">
        <v>20</v>
      </c>
    </row>
    <row r="217" customFormat="false" ht="14.25" hidden="false" customHeight="true" outlineLevel="0" collapsed="false">
      <c r="A217" s="16" t="s">
        <v>48</v>
      </c>
      <c r="B217" s="16" t="s">
        <v>148</v>
      </c>
      <c r="C217" s="16" t="s">
        <v>153</v>
      </c>
      <c r="D217" s="38"/>
      <c r="E217" s="39"/>
      <c r="F217" s="22" t="n">
        <f aca="false">IFERROR(D217*E217,0)</f>
        <v>0</v>
      </c>
      <c r="G217" s="16" t="str">
        <f aca="false">INDEX(SETORES!$B:$B,MATCH(A217,SETORES!$A:$A,0))</f>
        <v>Clientes</v>
      </c>
      <c r="H217" s="16" t="s">
        <v>20</v>
      </c>
    </row>
    <row r="218" customFormat="false" ht="14.25" hidden="false" customHeight="true" outlineLevel="0" collapsed="false">
      <c r="A218" s="40" t="s">
        <v>48</v>
      </c>
      <c r="B218" s="40" t="s">
        <v>148</v>
      </c>
      <c r="C218" s="40" t="s">
        <v>154</v>
      </c>
      <c r="D218" s="41" t="n">
        <v>1</v>
      </c>
      <c r="E218" s="42" t="n">
        <v>49817.213157</v>
      </c>
      <c r="F218" s="43" t="n">
        <v>49817.213157</v>
      </c>
      <c r="G218" s="40" t="str">
        <f aca="false">INDEX(SETORES!$B:$B,MATCH(A218,SETORES!$A:$A,0))</f>
        <v>Clientes</v>
      </c>
      <c r="H218" s="40" t="s">
        <v>20</v>
      </c>
    </row>
    <row r="219" customFormat="false" ht="14.25" hidden="false" customHeight="true" outlineLevel="0" collapsed="false">
      <c r="A219" s="16" t="s">
        <v>48</v>
      </c>
      <c r="B219" s="16" t="s">
        <v>155</v>
      </c>
      <c r="C219" s="16" t="s">
        <v>210</v>
      </c>
      <c r="D219" s="38" t="n">
        <v>1</v>
      </c>
      <c r="E219" s="39" t="n">
        <v>53498.33</v>
      </c>
      <c r="F219" s="22" t="n">
        <f aca="false">IFERROR(D219*E219,0)</f>
        <v>53498.33</v>
      </c>
      <c r="G219" s="16" t="str">
        <f aca="false">INDEX(SETORES!$B:$B,MATCH(A219,SETORES!$A:$A,0))</f>
        <v>Clientes</v>
      </c>
      <c r="H219" s="16" t="s">
        <v>20</v>
      </c>
    </row>
    <row r="220" customFormat="false" ht="14.25" hidden="false" customHeight="true" outlineLevel="0" collapsed="false">
      <c r="A220" s="40" t="s">
        <v>48</v>
      </c>
      <c r="B220" s="40" t="s">
        <v>155</v>
      </c>
      <c r="C220" s="40" t="s">
        <v>213</v>
      </c>
      <c r="D220" s="41"/>
      <c r="E220" s="42"/>
      <c r="F220" s="43" t="n">
        <f aca="false">IFERROR(D220*E220,0)</f>
        <v>0</v>
      </c>
      <c r="G220" s="40" t="str">
        <f aca="false">INDEX(SETORES!$B:$B,MATCH(A220,SETORES!$A:$A,0))</f>
        <v>Clientes</v>
      </c>
      <c r="H220" s="40" t="s">
        <v>20</v>
      </c>
    </row>
    <row r="221" customFormat="false" ht="14.25" hidden="false" customHeight="true" outlineLevel="0" collapsed="false">
      <c r="A221" s="16" t="s">
        <v>48</v>
      </c>
      <c r="B221" s="16" t="s">
        <v>155</v>
      </c>
      <c r="C221" s="16" t="s">
        <v>156</v>
      </c>
      <c r="D221" s="38" t="n">
        <v>1</v>
      </c>
      <c r="E221" s="39" t="n">
        <v>272</v>
      </c>
      <c r="F221" s="22" t="n">
        <f aca="false">IFERROR(D221*E221,0)</f>
        <v>272</v>
      </c>
      <c r="G221" s="16" t="str">
        <f aca="false">INDEX(SETORES!$B:$B,MATCH(A221,SETORES!$A:$A,0))</f>
        <v>Clientes</v>
      </c>
      <c r="H221" s="16" t="s">
        <v>20</v>
      </c>
    </row>
    <row r="222" customFormat="false" ht="14.25" hidden="false" customHeight="true" outlineLevel="0" collapsed="false">
      <c r="A222" s="40" t="s">
        <v>48</v>
      </c>
      <c r="B222" s="40" t="s">
        <v>155</v>
      </c>
      <c r="C222" s="40" t="s">
        <v>157</v>
      </c>
      <c r="D222" s="41"/>
      <c r="E222" s="42"/>
      <c r="F222" s="43" t="n">
        <f aca="false">IFERROR(D222*E222,0)</f>
        <v>0</v>
      </c>
      <c r="G222" s="40" t="str">
        <f aca="false">INDEX(SETORES!$B:$B,MATCH(A222,SETORES!$A:$A,0))</f>
        <v>Clientes</v>
      </c>
      <c r="H222" s="40" t="s">
        <v>20</v>
      </c>
    </row>
    <row r="223" customFormat="false" ht="14.25" hidden="false" customHeight="true" outlineLevel="0" collapsed="false">
      <c r="A223" s="16" t="s">
        <v>48</v>
      </c>
      <c r="B223" s="16" t="s">
        <v>155</v>
      </c>
      <c r="C223" s="16" t="s">
        <v>214</v>
      </c>
      <c r="D223" s="38" t="n">
        <v>1</v>
      </c>
      <c r="E223" s="39" t="n">
        <v>56</v>
      </c>
      <c r="F223" s="22" t="n">
        <f aca="false">IFERROR(D223*E223,0)</f>
        <v>56</v>
      </c>
      <c r="G223" s="16" t="str">
        <f aca="false">INDEX(SETORES!$B:$B,MATCH(A223,SETORES!$A:$A,0))</f>
        <v>Clientes</v>
      </c>
      <c r="H223" s="16" t="s">
        <v>20</v>
      </c>
    </row>
    <row r="224" customFormat="false" ht="14.25" hidden="false" customHeight="true" outlineLevel="0" collapsed="false">
      <c r="A224" s="40" t="s">
        <v>48</v>
      </c>
      <c r="B224" s="40" t="s">
        <v>155</v>
      </c>
      <c r="C224" s="40" t="s">
        <v>202</v>
      </c>
      <c r="D224" s="41" t="n">
        <v>12</v>
      </c>
      <c r="E224" s="42" t="n">
        <v>89.55</v>
      </c>
      <c r="F224" s="43" t="n">
        <v>1074.6</v>
      </c>
      <c r="G224" s="40" t="str">
        <f aca="false">INDEX(SETORES!$B:$B,MATCH(A224,SETORES!$A:$A,0))</f>
        <v>Clientes</v>
      </c>
      <c r="H224" s="40" t="s">
        <v>20</v>
      </c>
    </row>
    <row r="225" customFormat="false" ht="14.25" hidden="false" customHeight="true" outlineLevel="0" collapsed="false">
      <c r="A225" s="16" t="s">
        <v>48</v>
      </c>
      <c r="B225" s="16" t="s">
        <v>148</v>
      </c>
      <c r="C225" s="16" t="s">
        <v>159</v>
      </c>
      <c r="D225" s="38" t="n">
        <v>17</v>
      </c>
      <c r="E225" s="39" t="n">
        <v>50</v>
      </c>
      <c r="F225" s="22" t="n">
        <f aca="false">IFERROR(D225*E225,0)</f>
        <v>850</v>
      </c>
      <c r="G225" s="16" t="str">
        <f aca="false">INDEX(SETORES!$B:$B,MATCH(A225,SETORES!$A:$A,0))</f>
        <v>Clientes</v>
      </c>
      <c r="H225" s="16" t="s">
        <v>20</v>
      </c>
    </row>
    <row r="226" customFormat="false" ht="14.25" hidden="false" customHeight="true" outlineLevel="0" collapsed="false">
      <c r="A226" s="40" t="s">
        <v>48</v>
      </c>
      <c r="B226" s="40" t="s">
        <v>148</v>
      </c>
      <c r="C226" s="40" t="s">
        <v>160</v>
      </c>
      <c r="D226" s="41" t="n">
        <v>12</v>
      </c>
      <c r="E226" s="42" t="n">
        <v>10.05</v>
      </c>
      <c r="F226" s="43" t="n">
        <v>120.6</v>
      </c>
      <c r="G226" s="40" t="str">
        <f aca="false">INDEX(SETORES!$B:$B,MATCH(A226,SETORES!$A:$A,0))</f>
        <v>Clientes</v>
      </c>
      <c r="H226" s="40" t="s">
        <v>20</v>
      </c>
    </row>
    <row r="227" customFormat="false" ht="14.25" hidden="false" customHeight="true" outlineLevel="0" collapsed="false">
      <c r="A227" s="16" t="s">
        <v>48</v>
      </c>
      <c r="B227" s="16" t="s">
        <v>148</v>
      </c>
      <c r="C227" s="16" t="s">
        <v>161</v>
      </c>
      <c r="D227" s="38" t="n">
        <v>12</v>
      </c>
      <c r="E227" s="39" t="n">
        <v>2.07</v>
      </c>
      <c r="F227" s="22" t="n">
        <v>24.84</v>
      </c>
      <c r="G227" s="16" t="str">
        <f aca="false">INDEX(SETORES!$B:$B,MATCH(A227,SETORES!$A:$A,0))</f>
        <v>Clientes</v>
      </c>
      <c r="H227" s="16" t="s">
        <v>20</v>
      </c>
    </row>
    <row r="228" customFormat="false" ht="14.25" hidden="false" customHeight="true" outlineLevel="0" collapsed="false">
      <c r="A228" s="40" t="s">
        <v>48</v>
      </c>
      <c r="B228" s="40" t="s">
        <v>148</v>
      </c>
      <c r="C228" s="40" t="s">
        <v>162</v>
      </c>
      <c r="D228" s="41" t="n">
        <v>12</v>
      </c>
      <c r="E228" s="42" t="n">
        <v>64.57</v>
      </c>
      <c r="F228" s="43" t="n">
        <v>774.84</v>
      </c>
      <c r="G228" s="40" t="str">
        <f aca="false">INDEX(SETORES!$B:$B,MATCH(A228,SETORES!$A:$A,0))</f>
        <v>Clientes</v>
      </c>
      <c r="H228" s="40" t="s">
        <v>20</v>
      </c>
    </row>
    <row r="229" customFormat="false" ht="14.25" hidden="false" customHeight="true" outlineLevel="0" collapsed="false">
      <c r="A229" s="16" t="s">
        <v>48</v>
      </c>
      <c r="B229" s="16" t="s">
        <v>148</v>
      </c>
      <c r="C229" s="16" t="s">
        <v>163</v>
      </c>
      <c r="D229" s="38" t="n">
        <v>12</v>
      </c>
      <c r="E229" s="39" t="n">
        <v>28.31</v>
      </c>
      <c r="F229" s="22" t="n">
        <v>339.72</v>
      </c>
      <c r="G229" s="16" t="str">
        <f aca="false">INDEX(SETORES!$B:$B,MATCH(A229,SETORES!$A:$A,0))</f>
        <v>Clientes</v>
      </c>
      <c r="H229" s="16" t="s">
        <v>20</v>
      </c>
    </row>
    <row r="230" customFormat="false" ht="14.25" hidden="false" customHeight="true" outlineLevel="0" collapsed="false">
      <c r="A230" s="40" t="s">
        <v>48</v>
      </c>
      <c r="B230" s="40" t="s">
        <v>148</v>
      </c>
      <c r="C230" s="40" t="s">
        <v>164</v>
      </c>
      <c r="D230" s="41" t="n">
        <v>12</v>
      </c>
      <c r="E230" s="42" t="n">
        <v>47.79</v>
      </c>
      <c r="F230" s="43" t="n">
        <v>573.48</v>
      </c>
      <c r="G230" s="40" t="str">
        <f aca="false">INDEX(SETORES!$B:$B,MATCH(A230,SETORES!$A:$A,0))</f>
        <v>Clientes</v>
      </c>
      <c r="H230" s="40" t="s">
        <v>20</v>
      </c>
    </row>
    <row r="231" customFormat="false" ht="14.25" hidden="false" customHeight="true" outlineLevel="0" collapsed="false">
      <c r="A231" s="16" t="s">
        <v>47</v>
      </c>
      <c r="B231" s="16" t="s">
        <v>148</v>
      </c>
      <c r="C231" s="16" t="s">
        <v>149</v>
      </c>
      <c r="D231" s="38"/>
      <c r="E231" s="39"/>
      <c r="F231" s="22" t="n">
        <v>0</v>
      </c>
      <c r="G231" s="16" t="str">
        <f aca="false">INDEX(SETORES!$B:$B,MATCH(A231,SETORES!$A:$A,0))</f>
        <v>Clientes</v>
      </c>
      <c r="H231" s="16" t="s">
        <v>20</v>
      </c>
    </row>
    <row r="232" customFormat="false" ht="14.25" hidden="false" customHeight="true" outlineLevel="0" collapsed="false">
      <c r="A232" s="40" t="s">
        <v>47</v>
      </c>
      <c r="B232" s="40" t="s">
        <v>148</v>
      </c>
      <c r="C232" s="40" t="s">
        <v>150</v>
      </c>
      <c r="D232" s="41"/>
      <c r="E232" s="42"/>
      <c r="F232" s="43" t="n">
        <v>0</v>
      </c>
      <c r="G232" s="40" t="str">
        <f aca="false">INDEX(SETORES!$B:$B,MATCH(A232,SETORES!$A:$A,0))</f>
        <v>Clientes</v>
      </c>
      <c r="H232" s="40" t="s">
        <v>20</v>
      </c>
    </row>
    <row r="233" customFormat="false" ht="14.25" hidden="false" customHeight="true" outlineLevel="0" collapsed="false">
      <c r="A233" s="16" t="s">
        <v>47</v>
      </c>
      <c r="B233" s="16" t="s">
        <v>148</v>
      </c>
      <c r="C233" s="16" t="s">
        <v>152</v>
      </c>
      <c r="D233" s="38"/>
      <c r="E233" s="39"/>
      <c r="F233" s="22" t="n">
        <f aca="false">IFERROR(D233*E233,0)</f>
        <v>0</v>
      </c>
      <c r="G233" s="16" t="str">
        <f aca="false">INDEX(SETORES!$B:$B,MATCH(A233,SETORES!$A:$A,0))</f>
        <v>Clientes</v>
      </c>
      <c r="H233" s="16" t="s">
        <v>20</v>
      </c>
    </row>
    <row r="234" customFormat="false" ht="14.25" hidden="false" customHeight="true" outlineLevel="0" collapsed="false">
      <c r="A234" s="40" t="s">
        <v>47</v>
      </c>
      <c r="B234" s="40" t="s">
        <v>148</v>
      </c>
      <c r="C234" s="40" t="s">
        <v>153</v>
      </c>
      <c r="D234" s="41"/>
      <c r="E234" s="42"/>
      <c r="F234" s="43" t="n">
        <f aca="false">IFERROR(D234*E234,0)</f>
        <v>0</v>
      </c>
      <c r="G234" s="40" t="str">
        <f aca="false">INDEX(SETORES!$B:$B,MATCH(A234,SETORES!$A:$A,0))</f>
        <v>Clientes</v>
      </c>
      <c r="H234" s="40" t="s">
        <v>20</v>
      </c>
    </row>
    <row r="235" customFormat="false" ht="14.25" hidden="false" customHeight="true" outlineLevel="0" collapsed="false">
      <c r="A235" s="16" t="s">
        <v>47</v>
      </c>
      <c r="B235" s="16" t="s">
        <v>148</v>
      </c>
      <c r="C235" s="16" t="s">
        <v>154</v>
      </c>
      <c r="D235" s="38" t="n">
        <v>1</v>
      </c>
      <c r="E235" s="39" t="n">
        <v>115351.05</v>
      </c>
      <c r="F235" s="22" t="n">
        <f aca="false">IFERROR(E235,0)</f>
        <v>115351.05</v>
      </c>
      <c r="G235" s="16" t="str">
        <f aca="false">INDEX(SETORES!$B:$B,MATCH(A235,SETORES!$A:$A,0))</f>
        <v>Clientes</v>
      </c>
      <c r="H235" s="16" t="s">
        <v>20</v>
      </c>
    </row>
    <row r="236" customFormat="false" ht="14.25" hidden="false" customHeight="true" outlineLevel="0" collapsed="false">
      <c r="A236" s="40" t="s">
        <v>47</v>
      </c>
      <c r="B236" s="40" t="s">
        <v>155</v>
      </c>
      <c r="C236" s="40" t="s">
        <v>211</v>
      </c>
      <c r="D236" s="41"/>
      <c r="E236" s="42"/>
      <c r="F236" s="43" t="n">
        <f aca="false">IFERROR(D236*E236,0)</f>
        <v>0</v>
      </c>
      <c r="G236" s="40" t="str">
        <f aca="false">INDEX(SETORES!$B:$B,MATCH(A236,SETORES!$A:$A,0))</f>
        <v>Clientes</v>
      </c>
      <c r="H236" s="40" t="s">
        <v>20</v>
      </c>
    </row>
    <row r="237" customFormat="false" ht="14.25" hidden="false" customHeight="true" outlineLevel="0" collapsed="false">
      <c r="A237" s="16" t="s">
        <v>47</v>
      </c>
      <c r="B237" s="16" t="s">
        <v>155</v>
      </c>
      <c r="C237" s="16" t="s">
        <v>214</v>
      </c>
      <c r="D237" s="38" t="n">
        <v>1</v>
      </c>
      <c r="E237" s="39" t="n">
        <v>1478.5</v>
      </c>
      <c r="F237" s="22" t="n">
        <f aca="false">IFERROR(D237*E237,0)</f>
        <v>1478.5</v>
      </c>
      <c r="G237" s="16" t="str">
        <f aca="false">INDEX(SETORES!$B:$B,MATCH(A237,SETORES!$A:$A,0))</f>
        <v>Clientes</v>
      </c>
      <c r="H237" s="16" t="s">
        <v>20</v>
      </c>
    </row>
    <row r="238" customFormat="false" ht="14.25" hidden="false" customHeight="true" outlineLevel="0" collapsed="false">
      <c r="A238" s="40" t="s">
        <v>47</v>
      </c>
      <c r="B238" s="40" t="s">
        <v>155</v>
      </c>
      <c r="C238" s="40" t="s">
        <v>215</v>
      </c>
      <c r="D238" s="41" t="n">
        <v>1</v>
      </c>
      <c r="E238" s="42" t="n">
        <v>1954.84</v>
      </c>
      <c r="F238" s="43" t="n">
        <f aca="false">IFERROR(D238*E238,0)</f>
        <v>1954.84</v>
      </c>
      <c r="G238" s="40" t="str">
        <f aca="false">INDEX(SETORES!$B:$B,MATCH(A238,SETORES!$A:$A,0))</f>
        <v>Clientes</v>
      </c>
      <c r="H238" s="40" t="s">
        <v>20</v>
      </c>
    </row>
    <row r="239" customFormat="false" ht="14.25" hidden="false" customHeight="true" outlineLevel="0" collapsed="false">
      <c r="A239" s="16" t="s">
        <v>47</v>
      </c>
      <c r="B239" s="16" t="s">
        <v>148</v>
      </c>
      <c r="C239" s="16" t="s">
        <v>159</v>
      </c>
      <c r="D239" s="38" t="n">
        <v>1</v>
      </c>
      <c r="E239" s="39" t="n">
        <v>50</v>
      </c>
      <c r="F239" s="22" t="n">
        <f aca="false">IFERROR(D239*E239,0)</f>
        <v>50</v>
      </c>
      <c r="G239" s="16" t="str">
        <f aca="false">INDEX(SETORES!$B:$B,MATCH(A239,SETORES!$A:$A,0))</f>
        <v>Clientes</v>
      </c>
      <c r="H239" s="16" t="s">
        <v>20</v>
      </c>
    </row>
    <row r="240" customFormat="false" ht="14.25" hidden="false" customHeight="true" outlineLevel="0" collapsed="false">
      <c r="A240" s="40" t="s">
        <v>47</v>
      </c>
      <c r="B240" s="40" t="s">
        <v>155</v>
      </c>
      <c r="C240" s="40" t="s">
        <v>210</v>
      </c>
      <c r="D240" s="41" t="n">
        <v>1</v>
      </c>
      <c r="E240" s="42" t="n">
        <v>14366.59</v>
      </c>
      <c r="F240" s="43" t="n">
        <f aca="false">IFERROR(D240*E240,0)</f>
        <v>14366.59</v>
      </c>
      <c r="G240" s="40" t="str">
        <f aca="false">INDEX(SETORES!$B:$B,MATCH(A240,SETORES!$A:$A,0))</f>
        <v>Clientes</v>
      </c>
      <c r="H240" s="40" t="s">
        <v>20</v>
      </c>
    </row>
    <row r="241" customFormat="false" ht="14.25" hidden="false" customHeight="true" outlineLevel="0" collapsed="false">
      <c r="A241" s="16" t="s">
        <v>47</v>
      </c>
      <c r="B241" s="16" t="s">
        <v>148</v>
      </c>
      <c r="C241" s="16" t="s">
        <v>160</v>
      </c>
      <c r="D241" s="38" t="n">
        <v>12</v>
      </c>
      <c r="E241" s="39" t="n">
        <v>10.05</v>
      </c>
      <c r="F241" s="22" t="n">
        <f aca="false">IFERROR(D241*E241,0)</f>
        <v>120.6</v>
      </c>
      <c r="G241" s="16" t="str">
        <f aca="false">INDEX(SETORES!$B:$B,MATCH(A241,SETORES!$A:$A,0))</f>
        <v>Clientes</v>
      </c>
      <c r="H241" s="16" t="s">
        <v>20</v>
      </c>
    </row>
    <row r="242" customFormat="false" ht="14.25" hidden="false" customHeight="true" outlineLevel="0" collapsed="false">
      <c r="A242" s="40" t="s">
        <v>47</v>
      </c>
      <c r="B242" s="40" t="s">
        <v>148</v>
      </c>
      <c r="C242" s="40" t="s">
        <v>161</v>
      </c>
      <c r="D242" s="41" t="n">
        <v>12</v>
      </c>
      <c r="E242" s="42" t="n">
        <v>2.07</v>
      </c>
      <c r="F242" s="43" t="n">
        <f aca="false">IFERROR(D242*E242,0)</f>
        <v>24.84</v>
      </c>
      <c r="G242" s="40" t="str">
        <f aca="false">INDEX(SETORES!$B:$B,MATCH(A242,SETORES!$A:$A,0))</f>
        <v>Clientes</v>
      </c>
      <c r="H242" s="40" t="s">
        <v>20</v>
      </c>
    </row>
    <row r="243" customFormat="false" ht="14.25" hidden="false" customHeight="true" outlineLevel="0" collapsed="false">
      <c r="A243" s="16" t="s">
        <v>47</v>
      </c>
      <c r="B243" s="16" t="s">
        <v>148</v>
      </c>
      <c r="C243" s="16" t="s">
        <v>162</v>
      </c>
      <c r="D243" s="38" t="n">
        <v>12</v>
      </c>
      <c r="E243" s="39" t="n">
        <v>64.57</v>
      </c>
      <c r="F243" s="22" t="n">
        <f aca="false">IFERROR(D243*E243,0)</f>
        <v>774.84</v>
      </c>
      <c r="G243" s="16" t="str">
        <f aca="false">INDEX(SETORES!$B:$B,MATCH(A243,SETORES!$A:$A,0))</f>
        <v>Clientes</v>
      </c>
      <c r="H243" s="16" t="s">
        <v>20</v>
      </c>
    </row>
    <row r="244" customFormat="false" ht="14.25" hidden="false" customHeight="true" outlineLevel="0" collapsed="false">
      <c r="A244" s="40" t="s">
        <v>47</v>
      </c>
      <c r="B244" s="40" t="s">
        <v>148</v>
      </c>
      <c r="C244" s="40" t="s">
        <v>163</v>
      </c>
      <c r="D244" s="41" t="n">
        <v>12</v>
      </c>
      <c r="E244" s="42" t="n">
        <v>28.31</v>
      </c>
      <c r="F244" s="43" t="n">
        <f aca="false">IFERROR(D244*E244,0)</f>
        <v>339.72</v>
      </c>
      <c r="G244" s="40" t="str">
        <f aca="false">INDEX(SETORES!$B:$B,MATCH(A244,SETORES!$A:$A,0))</f>
        <v>Clientes</v>
      </c>
      <c r="H244" s="40" t="s">
        <v>20</v>
      </c>
    </row>
    <row r="245" customFormat="false" ht="14.25" hidden="false" customHeight="true" outlineLevel="0" collapsed="false">
      <c r="A245" s="16" t="s">
        <v>47</v>
      </c>
      <c r="B245" s="16" t="s">
        <v>148</v>
      </c>
      <c r="C245" s="16" t="s">
        <v>164</v>
      </c>
      <c r="D245" s="38" t="n">
        <v>12</v>
      </c>
      <c r="E245" s="39" t="n">
        <v>47.79</v>
      </c>
      <c r="F245" s="22" t="n">
        <f aca="false">IFERROR(D245*E245,0)</f>
        <v>573.48</v>
      </c>
      <c r="G245" s="16" t="str">
        <f aca="false">INDEX(SETORES!$B:$B,MATCH(A245,SETORES!$A:$A,0))</f>
        <v>Clientes</v>
      </c>
      <c r="H245" s="16" t="s">
        <v>20</v>
      </c>
    </row>
    <row r="246" customFormat="false" ht="14.25" hidden="false" customHeight="true" outlineLevel="0" collapsed="false">
      <c r="A246" s="40" t="s">
        <v>31</v>
      </c>
      <c r="B246" s="40" t="s">
        <v>148</v>
      </c>
      <c r="C246" s="40" t="s">
        <v>149</v>
      </c>
      <c r="D246" s="41"/>
      <c r="E246" s="42"/>
      <c r="F246" s="43" t="n">
        <v>0</v>
      </c>
      <c r="G246" s="40" t="str">
        <f aca="false">INDEX(SETORES!$B:$B,MATCH(A246,SETORES!$A:$A,0))</f>
        <v>Clientes</v>
      </c>
      <c r="H246" s="40" t="s">
        <v>20</v>
      </c>
    </row>
    <row r="247" customFormat="false" ht="14.25" hidden="false" customHeight="true" outlineLevel="0" collapsed="false">
      <c r="A247" s="16" t="s">
        <v>31</v>
      </c>
      <c r="B247" s="16" t="s">
        <v>148</v>
      </c>
      <c r="C247" s="16" t="s">
        <v>150</v>
      </c>
      <c r="D247" s="38"/>
      <c r="E247" s="39"/>
      <c r="F247" s="22" t="n">
        <v>0</v>
      </c>
      <c r="G247" s="16" t="str">
        <f aca="false">INDEX(SETORES!$B:$B,MATCH(A247,SETORES!$A:$A,0))</f>
        <v>Clientes</v>
      </c>
      <c r="H247" s="16" t="s">
        <v>20</v>
      </c>
    </row>
    <row r="248" customFormat="false" ht="14.25" hidden="false" customHeight="true" outlineLevel="0" collapsed="false">
      <c r="A248" s="40" t="s">
        <v>31</v>
      </c>
      <c r="B248" s="40" t="s">
        <v>148</v>
      </c>
      <c r="C248" s="40" t="s">
        <v>151</v>
      </c>
      <c r="D248" s="41" t="n">
        <v>1</v>
      </c>
      <c r="E248" s="42" t="n">
        <v>34.0432</v>
      </c>
      <c r="F248" s="43" t="n">
        <v>34.0432</v>
      </c>
      <c r="G248" s="40" t="str">
        <f aca="false">INDEX(SETORES!$B:$B,MATCH(A248,SETORES!$A:$A,0))</f>
        <v>Clientes</v>
      </c>
      <c r="H248" s="40" t="s">
        <v>20</v>
      </c>
    </row>
    <row r="249" customFormat="false" ht="14.25" hidden="false" customHeight="true" outlineLevel="0" collapsed="false">
      <c r="A249" s="16" t="s">
        <v>31</v>
      </c>
      <c r="B249" s="16" t="s">
        <v>148</v>
      </c>
      <c r="C249" s="16" t="s">
        <v>152</v>
      </c>
      <c r="D249" s="38" t="n">
        <v>1</v>
      </c>
      <c r="E249" s="39" t="n">
        <v>0</v>
      </c>
      <c r="F249" s="22" t="n">
        <v>0</v>
      </c>
      <c r="G249" s="16" t="str">
        <f aca="false">INDEX(SETORES!$B:$B,MATCH(A249,SETORES!$A:$A,0))</f>
        <v>Clientes</v>
      </c>
      <c r="H249" s="16" t="s">
        <v>20</v>
      </c>
    </row>
    <row r="250" customFormat="false" ht="14.25" hidden="false" customHeight="true" outlineLevel="0" collapsed="false">
      <c r="A250" s="40" t="s">
        <v>31</v>
      </c>
      <c r="B250" s="40" t="s">
        <v>148</v>
      </c>
      <c r="C250" s="40" t="s">
        <v>153</v>
      </c>
      <c r="D250" s="41"/>
      <c r="E250" s="42"/>
      <c r="F250" s="43" t="n">
        <f aca="false">IFERROR(D250*E250,0)</f>
        <v>0</v>
      </c>
      <c r="G250" s="40" t="str">
        <f aca="false">INDEX(SETORES!$B:$B,MATCH(A250,SETORES!$A:$A,0))</f>
        <v>Clientes</v>
      </c>
      <c r="H250" s="40" t="s">
        <v>20</v>
      </c>
    </row>
    <row r="251" customFormat="false" ht="14.25" hidden="false" customHeight="true" outlineLevel="0" collapsed="false">
      <c r="A251" s="16" t="s">
        <v>31</v>
      </c>
      <c r="B251" s="16" t="s">
        <v>148</v>
      </c>
      <c r="C251" s="16" t="s">
        <v>154</v>
      </c>
      <c r="D251" s="38" t="n">
        <v>1</v>
      </c>
      <c r="E251" s="39" t="n">
        <v>44988.49</v>
      </c>
      <c r="F251" s="22" t="n">
        <f aca="false">IFERROR(E251,0)</f>
        <v>44988.49</v>
      </c>
      <c r="G251" s="16" t="str">
        <f aca="false">INDEX(SETORES!$B:$B,MATCH(A251,SETORES!$A:$A,0))</f>
        <v>Clientes</v>
      </c>
      <c r="H251" s="16" t="s">
        <v>20</v>
      </c>
    </row>
    <row r="252" customFormat="false" ht="14.25" hidden="false" customHeight="true" outlineLevel="0" collapsed="false">
      <c r="A252" s="40" t="s">
        <v>31</v>
      </c>
      <c r="B252" s="40" t="s">
        <v>148</v>
      </c>
      <c r="C252" s="40" t="s">
        <v>159</v>
      </c>
      <c r="D252" s="41" t="n">
        <v>4</v>
      </c>
      <c r="E252" s="42" t="n">
        <v>50</v>
      </c>
      <c r="F252" s="43" t="n">
        <f aca="false">IFERROR(D252*E252,0)</f>
        <v>200</v>
      </c>
      <c r="G252" s="40" t="str">
        <f aca="false">INDEX(SETORES!$B:$B,MATCH(A252,SETORES!$A:$A,0))</f>
        <v>Clientes</v>
      </c>
      <c r="H252" s="40" t="s">
        <v>20</v>
      </c>
    </row>
    <row r="253" customFormat="false" ht="14.25" hidden="false" customHeight="true" outlineLevel="0" collapsed="false">
      <c r="A253" s="16" t="s">
        <v>31</v>
      </c>
      <c r="B253" s="16" t="s">
        <v>155</v>
      </c>
      <c r="C253" s="16" t="s">
        <v>210</v>
      </c>
      <c r="D253" s="38" t="n">
        <v>1</v>
      </c>
      <c r="E253" s="39" t="n">
        <v>2859.16</v>
      </c>
      <c r="F253" s="22" t="n">
        <f aca="false">IFERROR(D253*E253,0)</f>
        <v>2859.16</v>
      </c>
      <c r="G253" s="16" t="str">
        <f aca="false">INDEX(SETORES!$B:$B,MATCH(A253,SETORES!$A:$A,0))</f>
        <v>Clientes</v>
      </c>
      <c r="H253" s="16" t="s">
        <v>20</v>
      </c>
    </row>
    <row r="254" customFormat="false" ht="14.25" hidden="false" customHeight="true" outlineLevel="0" collapsed="false">
      <c r="A254" s="40" t="s">
        <v>31</v>
      </c>
      <c r="B254" s="40" t="s">
        <v>148</v>
      </c>
      <c r="C254" s="40" t="s">
        <v>160</v>
      </c>
      <c r="D254" s="41" t="n">
        <v>4</v>
      </c>
      <c r="E254" s="42" t="n">
        <v>10.05</v>
      </c>
      <c r="F254" s="43" t="n">
        <f aca="false">IFERROR(D254*E254,0)</f>
        <v>40.2</v>
      </c>
      <c r="G254" s="40" t="str">
        <f aca="false">INDEX(SETORES!$B:$B,MATCH(A254,SETORES!$A:$A,0))</f>
        <v>Clientes</v>
      </c>
      <c r="H254" s="40" t="s">
        <v>20</v>
      </c>
    </row>
    <row r="255" customFormat="false" ht="14.25" hidden="false" customHeight="true" outlineLevel="0" collapsed="false">
      <c r="A255" s="16" t="s">
        <v>31</v>
      </c>
      <c r="B255" s="16" t="s">
        <v>148</v>
      </c>
      <c r="C255" s="16" t="s">
        <v>161</v>
      </c>
      <c r="D255" s="38" t="n">
        <v>4</v>
      </c>
      <c r="E255" s="39" t="n">
        <v>2.07</v>
      </c>
      <c r="F255" s="22" t="n">
        <f aca="false">IFERROR(D255*E255,0)</f>
        <v>8.28</v>
      </c>
      <c r="G255" s="16" t="str">
        <f aca="false">INDEX(SETORES!$B:$B,MATCH(A255,SETORES!$A:$A,0))</f>
        <v>Clientes</v>
      </c>
      <c r="H255" s="16" t="s">
        <v>20</v>
      </c>
    </row>
    <row r="256" customFormat="false" ht="14.25" hidden="false" customHeight="true" outlineLevel="0" collapsed="false">
      <c r="A256" s="40" t="s">
        <v>31</v>
      </c>
      <c r="B256" s="40" t="s">
        <v>148</v>
      </c>
      <c r="C256" s="40" t="s">
        <v>162</v>
      </c>
      <c r="D256" s="41" t="n">
        <v>4</v>
      </c>
      <c r="E256" s="42" t="n">
        <v>64.57</v>
      </c>
      <c r="F256" s="43" t="n">
        <f aca="false">IFERROR(D256*E256,0)</f>
        <v>258.28</v>
      </c>
      <c r="G256" s="40" t="str">
        <f aca="false">INDEX(SETORES!$B:$B,MATCH(A256,SETORES!$A:$A,0))</f>
        <v>Clientes</v>
      </c>
      <c r="H256" s="40" t="s">
        <v>20</v>
      </c>
    </row>
    <row r="257" customFormat="false" ht="14.25" hidden="false" customHeight="true" outlineLevel="0" collapsed="false">
      <c r="A257" s="16" t="s">
        <v>31</v>
      </c>
      <c r="B257" s="16" t="s">
        <v>148</v>
      </c>
      <c r="C257" s="16" t="s">
        <v>163</v>
      </c>
      <c r="D257" s="38" t="n">
        <v>4</v>
      </c>
      <c r="E257" s="39" t="n">
        <v>28.31</v>
      </c>
      <c r="F257" s="22" t="n">
        <f aca="false">IFERROR(D257*E257,0)</f>
        <v>113.24</v>
      </c>
      <c r="G257" s="16" t="str">
        <f aca="false">INDEX(SETORES!$B:$B,MATCH(A257,SETORES!$A:$A,0))</f>
        <v>Clientes</v>
      </c>
      <c r="H257" s="16" t="s">
        <v>20</v>
      </c>
    </row>
    <row r="258" customFormat="false" ht="14.25" hidden="false" customHeight="true" outlineLevel="0" collapsed="false">
      <c r="A258" s="40" t="s">
        <v>31</v>
      </c>
      <c r="B258" s="40" t="s">
        <v>148</v>
      </c>
      <c r="C258" s="40" t="s">
        <v>164</v>
      </c>
      <c r="D258" s="41" t="n">
        <v>4</v>
      </c>
      <c r="E258" s="42" t="n">
        <v>47.79</v>
      </c>
      <c r="F258" s="43" t="n">
        <f aca="false">IFERROR(D258*E258,0)</f>
        <v>191.16</v>
      </c>
      <c r="G258" s="40" t="str">
        <f aca="false">INDEX(SETORES!$B:$B,MATCH(A258,SETORES!$A:$A,0))</f>
        <v>Clientes</v>
      </c>
      <c r="H258" s="40" t="s">
        <v>20</v>
      </c>
    </row>
    <row r="259" customFormat="false" ht="14.25" hidden="false" customHeight="true" outlineLevel="0" collapsed="false">
      <c r="A259" s="16" t="s">
        <v>37</v>
      </c>
      <c r="B259" s="16" t="s">
        <v>148</v>
      </c>
      <c r="C259" s="16" t="s">
        <v>149</v>
      </c>
      <c r="D259" s="38" t="n">
        <v>41</v>
      </c>
      <c r="E259" s="39" t="n">
        <v>0.3648</v>
      </c>
      <c r="F259" s="22" t="n">
        <v>14.9568</v>
      </c>
      <c r="G259" s="16" t="str">
        <f aca="false">INDEX(SETORES!$B:$B,MATCH(A259,SETORES!$A:$A,0))</f>
        <v>Clientes</v>
      </c>
      <c r="H259" s="16" t="s">
        <v>20</v>
      </c>
    </row>
    <row r="260" customFormat="false" ht="14.25" hidden="false" customHeight="true" outlineLevel="0" collapsed="false">
      <c r="A260" s="40" t="s">
        <v>37</v>
      </c>
      <c r="B260" s="40" t="s">
        <v>148</v>
      </c>
      <c r="C260" s="40" t="s">
        <v>150</v>
      </c>
      <c r="D260" s="41" t="n">
        <v>1</v>
      </c>
      <c r="E260" s="42" t="n">
        <v>1160.222241</v>
      </c>
      <c r="F260" s="43" t="n">
        <v>1160.222241</v>
      </c>
      <c r="G260" s="40" t="str">
        <f aca="false">INDEX(SETORES!$B:$B,MATCH(A260,SETORES!$A:$A,0))</f>
        <v>Clientes</v>
      </c>
      <c r="H260" s="40" t="s">
        <v>20</v>
      </c>
    </row>
    <row r="261" customFormat="false" ht="14.25" hidden="false" customHeight="true" outlineLevel="0" collapsed="false">
      <c r="A261" s="16" t="s">
        <v>37</v>
      </c>
      <c r="B261" s="16" t="s">
        <v>148</v>
      </c>
      <c r="C261" s="16" t="s">
        <v>151</v>
      </c>
      <c r="D261" s="38" t="n">
        <v>1</v>
      </c>
      <c r="E261" s="39" t="n">
        <v>348.9425</v>
      </c>
      <c r="F261" s="22" t="n">
        <v>348.9425</v>
      </c>
      <c r="G261" s="16" t="str">
        <f aca="false">INDEX(SETORES!$B:$B,MATCH(A261,SETORES!$A:$A,0))</f>
        <v>Clientes</v>
      </c>
      <c r="H261" s="16" t="s">
        <v>20</v>
      </c>
    </row>
    <row r="262" customFormat="false" ht="14.25" hidden="false" customHeight="true" outlineLevel="0" collapsed="false">
      <c r="A262" s="40" t="s">
        <v>37</v>
      </c>
      <c r="B262" s="40" t="s">
        <v>148</v>
      </c>
      <c r="C262" s="40" t="s">
        <v>152</v>
      </c>
      <c r="D262" s="41" t="n">
        <v>1</v>
      </c>
      <c r="E262" s="42" t="n">
        <v>0</v>
      </c>
      <c r="F262" s="43" t="n">
        <v>0</v>
      </c>
      <c r="G262" s="40" t="str">
        <f aca="false">INDEX(SETORES!$B:$B,MATCH(A262,SETORES!$A:$A,0))</f>
        <v>Clientes</v>
      </c>
      <c r="H262" s="40" t="s">
        <v>20</v>
      </c>
    </row>
    <row r="263" customFormat="false" ht="14.25" hidden="false" customHeight="true" outlineLevel="0" collapsed="false">
      <c r="A263" s="16" t="s">
        <v>37</v>
      </c>
      <c r="B263" s="16" t="s">
        <v>148</v>
      </c>
      <c r="C263" s="16" t="s">
        <v>153</v>
      </c>
      <c r="D263" s="38"/>
      <c r="E263" s="39"/>
      <c r="F263" s="22" t="n">
        <f aca="false">IFERROR(D263*E263,0)</f>
        <v>0</v>
      </c>
      <c r="G263" s="16" t="str">
        <f aca="false">INDEX(SETORES!$B:$B,MATCH(A263,SETORES!$A:$A,0))</f>
        <v>Clientes</v>
      </c>
      <c r="H263" s="16" t="s">
        <v>20</v>
      </c>
    </row>
    <row r="264" customFormat="false" ht="14.25" hidden="false" customHeight="true" outlineLevel="0" collapsed="false">
      <c r="A264" s="40" t="s">
        <v>37</v>
      </c>
      <c r="B264" s="40" t="s">
        <v>148</v>
      </c>
      <c r="C264" s="40" t="s">
        <v>154</v>
      </c>
      <c r="D264" s="41" t="n">
        <v>1</v>
      </c>
      <c r="E264" s="42" t="n">
        <v>132451.46</v>
      </c>
      <c r="F264" s="43" t="n">
        <f aca="false">IFERROR(E264,0)</f>
        <v>132451.46</v>
      </c>
      <c r="G264" s="40" t="str">
        <f aca="false">INDEX(SETORES!$B:$B,MATCH(A264,SETORES!$A:$A,0))</f>
        <v>Clientes</v>
      </c>
      <c r="H264" s="40" t="s">
        <v>20</v>
      </c>
    </row>
    <row r="265" customFormat="false" ht="14.25" hidden="false" customHeight="true" outlineLevel="0" collapsed="false">
      <c r="A265" s="16" t="s">
        <v>37</v>
      </c>
      <c r="B265" s="16" t="s">
        <v>148</v>
      </c>
      <c r="C265" s="16" t="s">
        <v>216</v>
      </c>
      <c r="D265" s="38"/>
      <c r="E265" s="39"/>
      <c r="F265" s="22" t="n">
        <f aca="false">IFERROR(D265*E265,0)</f>
        <v>0</v>
      </c>
      <c r="G265" s="16" t="str">
        <f aca="false">INDEX(SETORES!$B:$B,MATCH(A265,SETORES!$A:$A,0))</f>
        <v>Clientes</v>
      </c>
      <c r="H265" s="16" t="s">
        <v>20</v>
      </c>
    </row>
    <row r="266" customFormat="false" ht="14.25" hidden="false" customHeight="true" outlineLevel="0" collapsed="false">
      <c r="A266" s="40" t="s">
        <v>37</v>
      </c>
      <c r="B266" s="40" t="s">
        <v>155</v>
      </c>
      <c r="C266" s="40" t="s">
        <v>156</v>
      </c>
      <c r="D266" s="41" t="n">
        <v>1</v>
      </c>
      <c r="E266" s="42" t="n">
        <v>340</v>
      </c>
      <c r="F266" s="43" t="n">
        <f aca="false">IFERROR(D266*E266,0)</f>
        <v>340</v>
      </c>
      <c r="G266" s="40" t="str">
        <f aca="false">INDEX(SETORES!$B:$B,MATCH(A266,SETORES!$A:$A,0))</f>
        <v>Clientes</v>
      </c>
      <c r="H266" s="40" t="s">
        <v>20</v>
      </c>
    </row>
    <row r="267" customFormat="false" ht="14.25" hidden="false" customHeight="true" outlineLevel="0" collapsed="false">
      <c r="A267" s="16" t="s">
        <v>37</v>
      </c>
      <c r="B267" s="16" t="s">
        <v>155</v>
      </c>
      <c r="C267" s="16" t="s">
        <v>157</v>
      </c>
      <c r="D267" s="38" t="n">
        <v>1</v>
      </c>
      <c r="E267" s="39" t="n">
        <v>181.33</v>
      </c>
      <c r="F267" s="22" t="n">
        <f aca="false">IFERROR(D267*E267,0)</f>
        <v>181.33</v>
      </c>
      <c r="G267" s="16" t="str">
        <f aca="false">INDEX(SETORES!$B:$B,MATCH(A267,SETORES!$A:$A,0))</f>
        <v>Clientes</v>
      </c>
      <c r="H267" s="16" t="s">
        <v>20</v>
      </c>
    </row>
    <row r="268" customFormat="false" ht="14.25" hidden="false" customHeight="true" outlineLevel="0" collapsed="false">
      <c r="A268" s="40" t="s">
        <v>37</v>
      </c>
      <c r="B268" s="40" t="s">
        <v>155</v>
      </c>
      <c r="C268" s="40" t="s">
        <v>158</v>
      </c>
      <c r="D268" s="41" t="n">
        <v>1</v>
      </c>
      <c r="E268" s="42" t="n">
        <v>316.67</v>
      </c>
      <c r="F268" s="43" t="n">
        <f aca="false">IFERROR(D268*E268,0)</f>
        <v>316.67</v>
      </c>
      <c r="G268" s="40" t="str">
        <f aca="false">INDEX(SETORES!$B:$B,MATCH(A268,SETORES!$A:$A,0))</f>
        <v>Clientes</v>
      </c>
      <c r="H268" s="40" t="s">
        <v>20</v>
      </c>
    </row>
    <row r="269" customFormat="false" ht="14.25" hidden="false" customHeight="true" outlineLevel="0" collapsed="false">
      <c r="A269" s="16" t="s">
        <v>37</v>
      </c>
      <c r="B269" s="16" t="s">
        <v>148</v>
      </c>
      <c r="C269" s="16" t="s">
        <v>159</v>
      </c>
      <c r="D269" s="38" t="n">
        <v>43</v>
      </c>
      <c r="E269" s="39" t="n">
        <v>50</v>
      </c>
      <c r="F269" s="22" t="n">
        <f aca="false">IFERROR(D269*E269,0)</f>
        <v>2150</v>
      </c>
      <c r="G269" s="16" t="str">
        <f aca="false">INDEX(SETORES!$B:$B,MATCH(A269,SETORES!$A:$A,0))</f>
        <v>Clientes</v>
      </c>
      <c r="H269" s="16" t="s">
        <v>20</v>
      </c>
    </row>
    <row r="270" customFormat="false" ht="14.25" hidden="false" customHeight="true" outlineLevel="0" collapsed="false">
      <c r="A270" s="40" t="s">
        <v>37</v>
      </c>
      <c r="B270" s="40" t="s">
        <v>148</v>
      </c>
      <c r="C270" s="40" t="s">
        <v>180</v>
      </c>
      <c r="D270" s="41" t="n">
        <v>1</v>
      </c>
      <c r="E270" s="42" t="n">
        <v>1879.493013</v>
      </c>
      <c r="F270" s="43" t="n">
        <f aca="false">IFERROR(D270*E270,0)</f>
        <v>1879.493013</v>
      </c>
      <c r="G270" s="40" t="str">
        <f aca="false">INDEX(SETORES!$B:$B,MATCH(A270,SETORES!$A:$A,0))</f>
        <v>Clientes</v>
      </c>
      <c r="H270" s="40" t="s">
        <v>20</v>
      </c>
    </row>
    <row r="271" customFormat="false" ht="14.25" hidden="false" customHeight="true" outlineLevel="0" collapsed="false">
      <c r="A271" s="16" t="s">
        <v>37</v>
      </c>
      <c r="B271" s="16" t="s">
        <v>148</v>
      </c>
      <c r="C271" s="16" t="s">
        <v>181</v>
      </c>
      <c r="D271" s="38" t="n">
        <v>1</v>
      </c>
      <c r="E271" s="39" t="n">
        <v>1641.88</v>
      </c>
      <c r="F271" s="22" t="n">
        <f aca="false">IFERROR(D271*E271,0)</f>
        <v>1641.88</v>
      </c>
      <c r="G271" s="16" t="str">
        <f aca="false">INDEX(SETORES!$B:$B,MATCH(A271,SETORES!$A:$A,0))</f>
        <v>Clientes</v>
      </c>
      <c r="H271" s="16" t="s">
        <v>20</v>
      </c>
    </row>
    <row r="272" customFormat="false" ht="14.25" hidden="false" customHeight="true" outlineLevel="0" collapsed="false">
      <c r="A272" s="40" t="s">
        <v>37</v>
      </c>
      <c r="B272" s="40" t="s">
        <v>148</v>
      </c>
      <c r="C272" s="40" t="s">
        <v>182</v>
      </c>
      <c r="D272" s="41" t="n">
        <v>1</v>
      </c>
      <c r="E272" s="42" t="n">
        <v>883.620684</v>
      </c>
      <c r="F272" s="43" t="n">
        <f aca="false">IFERROR(D272*E272,0)</f>
        <v>883.620684</v>
      </c>
      <c r="G272" s="40" t="str">
        <f aca="false">INDEX(SETORES!$B:$B,MATCH(A272,SETORES!$A:$A,0))</f>
        <v>Clientes</v>
      </c>
      <c r="H272" s="40" t="s">
        <v>20</v>
      </c>
    </row>
    <row r="273" customFormat="false" ht="14.25" hidden="false" customHeight="true" outlineLevel="0" collapsed="false">
      <c r="A273" s="16" t="s">
        <v>37</v>
      </c>
      <c r="B273" s="16" t="s">
        <v>148</v>
      </c>
      <c r="C273" s="16" t="s">
        <v>183</v>
      </c>
      <c r="D273" s="38" t="n">
        <v>1</v>
      </c>
      <c r="E273" s="39" t="n">
        <v>117.814894</v>
      </c>
      <c r="F273" s="22" t="n">
        <f aca="false">IFERROR(D273*E273,0)</f>
        <v>117.814894</v>
      </c>
      <c r="G273" s="16" t="str">
        <f aca="false">INDEX(SETORES!$B:$B,MATCH(A273,SETORES!$A:$A,0))</f>
        <v>Clientes</v>
      </c>
      <c r="H273" s="16" t="s">
        <v>20</v>
      </c>
    </row>
    <row r="274" customFormat="false" ht="14.25" hidden="false" customHeight="true" outlineLevel="0" collapsed="false">
      <c r="A274" s="40" t="s">
        <v>37</v>
      </c>
      <c r="B274" s="40" t="s">
        <v>155</v>
      </c>
      <c r="C274" s="40" t="s">
        <v>184</v>
      </c>
      <c r="D274" s="41" t="n">
        <v>1</v>
      </c>
      <c r="E274" s="42" t="n">
        <v>326.526132</v>
      </c>
      <c r="F274" s="43" t="n">
        <f aca="false">IFERROR(D274*E274,0)</f>
        <v>326.526132</v>
      </c>
      <c r="G274" s="40" t="str">
        <f aca="false">INDEX(SETORES!$B:$B,MATCH(A274,SETORES!$A:$A,0))</f>
        <v>Clientes</v>
      </c>
      <c r="H274" s="40" t="s">
        <v>20</v>
      </c>
    </row>
    <row r="275" customFormat="false" ht="14.25" hidden="false" customHeight="true" outlineLevel="0" collapsed="false">
      <c r="A275" s="16" t="s">
        <v>37</v>
      </c>
      <c r="B275" s="16" t="s">
        <v>155</v>
      </c>
      <c r="C275" s="16" t="s">
        <v>185</v>
      </c>
      <c r="D275" s="38" t="n">
        <v>1</v>
      </c>
      <c r="E275" s="39" t="n">
        <v>242.73</v>
      </c>
      <c r="F275" s="22" t="n">
        <f aca="false">IFERROR(D275*E275,0)</f>
        <v>242.73</v>
      </c>
      <c r="G275" s="16" t="str">
        <f aca="false">INDEX(SETORES!$B:$B,MATCH(A275,SETORES!$A:$A,0))</f>
        <v>Clientes</v>
      </c>
      <c r="H275" s="16" t="s">
        <v>20</v>
      </c>
    </row>
    <row r="276" customFormat="false" ht="14.25" hidden="false" customHeight="true" outlineLevel="0" collapsed="false">
      <c r="A276" s="40" t="s">
        <v>37</v>
      </c>
      <c r="B276" s="40" t="s">
        <v>148</v>
      </c>
      <c r="C276" s="40" t="s">
        <v>186</v>
      </c>
      <c r="D276" s="41" t="n">
        <v>1</v>
      </c>
      <c r="E276" s="42" t="n">
        <v>52</v>
      </c>
      <c r="F276" s="43" t="n">
        <f aca="false">IFERROR(D276*E276,0)</f>
        <v>52</v>
      </c>
      <c r="G276" s="40" t="str">
        <f aca="false">INDEX(SETORES!$B:$B,MATCH(A276,SETORES!$A:$A,0))</f>
        <v>Clientes</v>
      </c>
      <c r="H276" s="40" t="s">
        <v>20</v>
      </c>
    </row>
    <row r="277" customFormat="false" ht="14.25" hidden="false" customHeight="true" outlineLevel="0" collapsed="false">
      <c r="A277" s="16" t="s">
        <v>37</v>
      </c>
      <c r="B277" s="16" t="s">
        <v>155</v>
      </c>
      <c r="C277" s="16" t="s">
        <v>187</v>
      </c>
      <c r="D277" s="38" t="n">
        <v>1</v>
      </c>
      <c r="E277" s="39" t="n">
        <v>23.5</v>
      </c>
      <c r="F277" s="22" t="n">
        <f aca="false">IFERROR(D277*E277,0)</f>
        <v>23.5</v>
      </c>
      <c r="G277" s="16" t="str">
        <f aca="false">INDEX(SETORES!$B:$B,MATCH(A277,SETORES!$A:$A,0))</f>
        <v>Clientes</v>
      </c>
      <c r="H277" s="16" t="s">
        <v>20</v>
      </c>
    </row>
    <row r="278" customFormat="false" ht="14.25" hidden="false" customHeight="true" outlineLevel="0" collapsed="false">
      <c r="A278" s="40" t="s">
        <v>37</v>
      </c>
      <c r="B278" s="40" t="s">
        <v>148</v>
      </c>
      <c r="C278" s="40" t="s">
        <v>160</v>
      </c>
      <c r="D278" s="41" t="n">
        <v>41</v>
      </c>
      <c r="E278" s="42" t="n">
        <v>10.05</v>
      </c>
      <c r="F278" s="43" t="n">
        <f aca="false">IFERROR(D278*E278,0)</f>
        <v>412.05</v>
      </c>
      <c r="G278" s="40" t="str">
        <f aca="false">INDEX(SETORES!$B:$B,MATCH(A278,SETORES!$A:$A,0))</f>
        <v>Clientes</v>
      </c>
      <c r="H278" s="40" t="s">
        <v>20</v>
      </c>
    </row>
    <row r="279" customFormat="false" ht="14.25" hidden="false" customHeight="true" outlineLevel="0" collapsed="false">
      <c r="A279" s="16" t="s">
        <v>37</v>
      </c>
      <c r="B279" s="16" t="s">
        <v>148</v>
      </c>
      <c r="C279" s="16" t="s">
        <v>161</v>
      </c>
      <c r="D279" s="38" t="n">
        <v>41</v>
      </c>
      <c r="E279" s="39" t="n">
        <v>2.07</v>
      </c>
      <c r="F279" s="22" t="n">
        <f aca="false">IFERROR(D279*E279,0)</f>
        <v>84.87</v>
      </c>
      <c r="G279" s="16" t="str">
        <f aca="false">INDEX(SETORES!$B:$B,MATCH(A279,SETORES!$A:$A,0))</f>
        <v>Clientes</v>
      </c>
      <c r="H279" s="16" t="s">
        <v>20</v>
      </c>
    </row>
    <row r="280" customFormat="false" ht="14.25" hidden="false" customHeight="true" outlineLevel="0" collapsed="false">
      <c r="A280" s="40" t="s">
        <v>37</v>
      </c>
      <c r="B280" s="40" t="s">
        <v>148</v>
      </c>
      <c r="C280" s="40" t="s">
        <v>162</v>
      </c>
      <c r="D280" s="41" t="n">
        <v>41</v>
      </c>
      <c r="E280" s="42" t="n">
        <v>64.57</v>
      </c>
      <c r="F280" s="43" t="n">
        <f aca="false">IFERROR(D280*E280,0)</f>
        <v>2647.37</v>
      </c>
      <c r="G280" s="40" t="str">
        <f aca="false">INDEX(SETORES!$B:$B,MATCH(A280,SETORES!$A:$A,0))</f>
        <v>Clientes</v>
      </c>
      <c r="H280" s="40" t="s">
        <v>20</v>
      </c>
    </row>
    <row r="281" customFormat="false" ht="14.25" hidden="false" customHeight="true" outlineLevel="0" collapsed="false">
      <c r="A281" s="16" t="s">
        <v>37</v>
      </c>
      <c r="B281" s="16" t="s">
        <v>148</v>
      </c>
      <c r="C281" s="16" t="s">
        <v>163</v>
      </c>
      <c r="D281" s="38" t="n">
        <v>41</v>
      </c>
      <c r="E281" s="39" t="n">
        <v>28.31</v>
      </c>
      <c r="F281" s="22" t="n">
        <f aca="false">IFERROR(D281*E281,0)</f>
        <v>1160.71</v>
      </c>
      <c r="G281" s="16" t="str">
        <f aca="false">INDEX(SETORES!$B:$B,MATCH(A281,SETORES!$A:$A,0))</f>
        <v>Clientes</v>
      </c>
      <c r="H281" s="16" t="s">
        <v>20</v>
      </c>
    </row>
    <row r="282" customFormat="false" ht="14.25" hidden="false" customHeight="true" outlineLevel="0" collapsed="false">
      <c r="A282" s="40" t="s">
        <v>37</v>
      </c>
      <c r="B282" s="40" t="s">
        <v>148</v>
      </c>
      <c r="C282" s="40" t="s">
        <v>164</v>
      </c>
      <c r="D282" s="41" t="n">
        <v>41</v>
      </c>
      <c r="E282" s="42" t="n">
        <v>47.79</v>
      </c>
      <c r="F282" s="43" t="n">
        <f aca="false">IFERROR(D282*E282,0)</f>
        <v>1959.39</v>
      </c>
      <c r="G282" s="40" t="str">
        <f aca="false">INDEX(SETORES!$B:$B,MATCH(A282,SETORES!$A:$A,0))</f>
        <v>Clientes</v>
      </c>
      <c r="H282" s="40" t="s">
        <v>20</v>
      </c>
    </row>
    <row r="283" customFormat="false" ht="14.25" hidden="false" customHeight="true" outlineLevel="0" collapsed="false">
      <c r="A283" s="16" t="s">
        <v>46</v>
      </c>
      <c r="B283" s="16" t="s">
        <v>148</v>
      </c>
      <c r="C283" s="16" t="s">
        <v>149</v>
      </c>
      <c r="D283" s="38"/>
      <c r="E283" s="39"/>
      <c r="F283" s="22" t="n">
        <v>0</v>
      </c>
      <c r="G283" s="16" t="str">
        <f aca="false">INDEX(SETORES!$B:$B,MATCH(A283,SETORES!$A:$A,0))</f>
        <v>Clientes</v>
      </c>
      <c r="H283" s="16" t="s">
        <v>20</v>
      </c>
    </row>
    <row r="284" customFormat="false" ht="14.25" hidden="false" customHeight="true" outlineLevel="0" collapsed="false">
      <c r="A284" s="40" t="s">
        <v>46</v>
      </c>
      <c r="B284" s="40" t="s">
        <v>148</v>
      </c>
      <c r="C284" s="40" t="s">
        <v>150</v>
      </c>
      <c r="D284" s="41"/>
      <c r="E284" s="42"/>
      <c r="F284" s="43" t="n">
        <v>0</v>
      </c>
      <c r="G284" s="40" t="str">
        <f aca="false">INDEX(SETORES!$B:$B,MATCH(A284,SETORES!$A:$A,0))</f>
        <v>Clientes</v>
      </c>
      <c r="H284" s="40" t="s">
        <v>20</v>
      </c>
    </row>
    <row r="285" customFormat="false" ht="14.25" hidden="false" customHeight="true" outlineLevel="0" collapsed="false">
      <c r="A285" s="16" t="s">
        <v>46</v>
      </c>
      <c r="B285" s="16" t="s">
        <v>148</v>
      </c>
      <c r="C285" s="16" t="s">
        <v>152</v>
      </c>
      <c r="D285" s="38"/>
      <c r="E285" s="39"/>
      <c r="F285" s="22" t="n">
        <f aca="false">IFERROR(D285*E285,0)</f>
        <v>0</v>
      </c>
      <c r="G285" s="16" t="str">
        <f aca="false">INDEX(SETORES!$B:$B,MATCH(A285,SETORES!$A:$A,0))</f>
        <v>Clientes</v>
      </c>
      <c r="H285" s="16" t="s">
        <v>20</v>
      </c>
    </row>
    <row r="286" customFormat="false" ht="14.25" hidden="false" customHeight="true" outlineLevel="0" collapsed="false">
      <c r="A286" s="40" t="s">
        <v>46</v>
      </c>
      <c r="B286" s="40" t="s">
        <v>148</v>
      </c>
      <c r="C286" s="40" t="s">
        <v>153</v>
      </c>
      <c r="D286" s="41"/>
      <c r="E286" s="42"/>
      <c r="F286" s="43" t="n">
        <f aca="false">IFERROR(D286*E286,0)</f>
        <v>0</v>
      </c>
      <c r="G286" s="40" t="str">
        <f aca="false">INDEX(SETORES!$B:$B,MATCH(A286,SETORES!$A:$A,0))</f>
        <v>Clientes</v>
      </c>
      <c r="H286" s="40" t="s">
        <v>20</v>
      </c>
    </row>
    <row r="287" customFormat="false" ht="14.25" hidden="false" customHeight="true" outlineLevel="0" collapsed="false">
      <c r="A287" s="16" t="s">
        <v>46</v>
      </c>
      <c r="B287" s="16" t="s">
        <v>148</v>
      </c>
      <c r="C287" s="16" t="s">
        <v>154</v>
      </c>
      <c r="D287" s="38" t="n">
        <v>1</v>
      </c>
      <c r="E287" s="39" t="n">
        <v>158228.71</v>
      </c>
      <c r="F287" s="22" t="n">
        <f aca="false">IFERROR(E287,0)</f>
        <v>158228.71</v>
      </c>
      <c r="G287" s="16" t="str">
        <f aca="false">INDEX(SETORES!$B:$B,MATCH(A287,SETORES!$A:$A,0))</f>
        <v>Clientes</v>
      </c>
      <c r="H287" s="16" t="s">
        <v>20</v>
      </c>
    </row>
    <row r="288" customFormat="false" ht="14.25" hidden="false" customHeight="true" outlineLevel="0" collapsed="false">
      <c r="A288" s="40" t="s">
        <v>46</v>
      </c>
      <c r="B288" s="40" t="s">
        <v>155</v>
      </c>
      <c r="C288" s="40" t="s">
        <v>211</v>
      </c>
      <c r="D288" s="41"/>
      <c r="E288" s="42"/>
      <c r="F288" s="43" t="n">
        <f aca="false">IFERROR(D288*E288,0)</f>
        <v>0</v>
      </c>
      <c r="G288" s="40" t="str">
        <f aca="false">INDEX(SETORES!$B:$B,MATCH(A288,SETORES!$A:$A,0))</f>
        <v>Clientes</v>
      </c>
      <c r="H288" s="40" t="s">
        <v>20</v>
      </c>
    </row>
    <row r="289" customFormat="false" ht="14.25" hidden="false" customHeight="true" outlineLevel="0" collapsed="false">
      <c r="A289" s="16" t="s">
        <v>46</v>
      </c>
      <c r="B289" s="16" t="s">
        <v>155</v>
      </c>
      <c r="C289" s="16" t="s">
        <v>214</v>
      </c>
      <c r="D289" s="38" t="n">
        <v>1</v>
      </c>
      <c r="E289" s="39" t="n">
        <v>4422.39</v>
      </c>
      <c r="F289" s="22" t="n">
        <f aca="false">IFERROR(D289*E289,0)</f>
        <v>4422.39</v>
      </c>
      <c r="G289" s="16" t="str">
        <f aca="false">INDEX(SETORES!$B:$B,MATCH(A289,SETORES!$A:$A,0))</f>
        <v>Clientes</v>
      </c>
      <c r="H289" s="16" t="s">
        <v>20</v>
      </c>
    </row>
    <row r="290" customFormat="false" ht="14.25" hidden="false" customHeight="true" outlineLevel="0" collapsed="false">
      <c r="A290" s="40" t="s">
        <v>46</v>
      </c>
      <c r="B290" s="40" t="s">
        <v>148</v>
      </c>
      <c r="C290" s="40" t="s">
        <v>159</v>
      </c>
      <c r="D290" s="41"/>
      <c r="E290" s="42"/>
      <c r="F290" s="43" t="n">
        <f aca="false">IFERROR(D290*E290,0)</f>
        <v>0</v>
      </c>
      <c r="G290" s="40" t="str">
        <f aca="false">INDEX(SETORES!$B:$B,MATCH(A290,SETORES!$A:$A,0))</f>
        <v>Clientes</v>
      </c>
      <c r="H290" s="40" t="s">
        <v>20</v>
      </c>
    </row>
    <row r="291" customFormat="false" ht="14.25" hidden="false" customHeight="true" outlineLevel="0" collapsed="false">
      <c r="A291" s="16" t="s">
        <v>46</v>
      </c>
      <c r="B291" s="16" t="s">
        <v>155</v>
      </c>
      <c r="C291" s="16" t="s">
        <v>210</v>
      </c>
      <c r="D291" s="38" t="n">
        <v>1</v>
      </c>
      <c r="E291" s="39" t="n">
        <v>14279.2</v>
      </c>
      <c r="F291" s="22" t="n">
        <f aca="false">IFERROR(D291*E291,0)</f>
        <v>14279.2</v>
      </c>
      <c r="G291" s="16" t="str">
        <f aca="false">INDEX(SETORES!$B:$B,MATCH(A291,SETORES!$A:$A,0))</f>
        <v>Clientes</v>
      </c>
      <c r="H291" s="16" t="s">
        <v>20</v>
      </c>
    </row>
    <row r="292" customFormat="false" ht="14.25" hidden="false" customHeight="true" outlineLevel="0" collapsed="false">
      <c r="A292" s="40" t="s">
        <v>46</v>
      </c>
      <c r="B292" s="40" t="s">
        <v>148</v>
      </c>
      <c r="C292" s="40" t="s">
        <v>160</v>
      </c>
      <c r="D292" s="41" t="n">
        <v>23</v>
      </c>
      <c r="E292" s="42" t="n">
        <v>10.05</v>
      </c>
      <c r="F292" s="43" t="n">
        <f aca="false">IFERROR(D292*E292,0)</f>
        <v>231.15</v>
      </c>
      <c r="G292" s="40" t="str">
        <f aca="false">INDEX(SETORES!$B:$B,MATCH(A292,SETORES!$A:$A,0))</f>
        <v>Clientes</v>
      </c>
      <c r="H292" s="40" t="s">
        <v>20</v>
      </c>
    </row>
    <row r="293" customFormat="false" ht="14.25" hidden="false" customHeight="true" outlineLevel="0" collapsed="false">
      <c r="A293" s="16" t="s">
        <v>46</v>
      </c>
      <c r="B293" s="16" t="s">
        <v>148</v>
      </c>
      <c r="C293" s="16" t="s">
        <v>161</v>
      </c>
      <c r="D293" s="38" t="n">
        <v>23</v>
      </c>
      <c r="E293" s="39" t="n">
        <v>2.07</v>
      </c>
      <c r="F293" s="22" t="n">
        <f aca="false">IFERROR(D293*E293,0)</f>
        <v>47.61</v>
      </c>
      <c r="G293" s="16" t="str">
        <f aca="false">INDEX(SETORES!$B:$B,MATCH(A293,SETORES!$A:$A,0))</f>
        <v>Clientes</v>
      </c>
      <c r="H293" s="16" t="s">
        <v>20</v>
      </c>
    </row>
    <row r="294" customFormat="false" ht="14.25" hidden="false" customHeight="true" outlineLevel="0" collapsed="false">
      <c r="A294" s="40" t="s">
        <v>46</v>
      </c>
      <c r="B294" s="40" t="s">
        <v>148</v>
      </c>
      <c r="C294" s="40" t="s">
        <v>162</v>
      </c>
      <c r="D294" s="41" t="n">
        <v>23</v>
      </c>
      <c r="E294" s="42" t="n">
        <v>64.57</v>
      </c>
      <c r="F294" s="43" t="n">
        <f aca="false">IFERROR(D294*E294,0)</f>
        <v>1485.11</v>
      </c>
      <c r="G294" s="40" t="str">
        <f aca="false">INDEX(SETORES!$B:$B,MATCH(A294,SETORES!$A:$A,0))</f>
        <v>Clientes</v>
      </c>
      <c r="H294" s="40" t="s">
        <v>20</v>
      </c>
    </row>
    <row r="295" customFormat="false" ht="14.25" hidden="false" customHeight="true" outlineLevel="0" collapsed="false">
      <c r="A295" s="16" t="s">
        <v>46</v>
      </c>
      <c r="B295" s="16" t="s">
        <v>148</v>
      </c>
      <c r="C295" s="16" t="s">
        <v>163</v>
      </c>
      <c r="D295" s="38" t="n">
        <v>23</v>
      </c>
      <c r="E295" s="39" t="n">
        <v>28.31</v>
      </c>
      <c r="F295" s="22" t="n">
        <f aca="false">IFERROR(D295*E295,0)</f>
        <v>651.13</v>
      </c>
      <c r="G295" s="16" t="str">
        <f aca="false">INDEX(SETORES!$B:$B,MATCH(A295,SETORES!$A:$A,0))</f>
        <v>Clientes</v>
      </c>
      <c r="H295" s="16" t="s">
        <v>20</v>
      </c>
    </row>
    <row r="296" customFormat="false" ht="14.25" hidden="false" customHeight="true" outlineLevel="0" collapsed="false">
      <c r="A296" s="40" t="s">
        <v>46</v>
      </c>
      <c r="B296" s="40" t="s">
        <v>148</v>
      </c>
      <c r="C296" s="40" t="s">
        <v>164</v>
      </c>
      <c r="D296" s="41" t="n">
        <v>23</v>
      </c>
      <c r="E296" s="42" t="n">
        <v>47.79</v>
      </c>
      <c r="F296" s="43" t="n">
        <f aca="false">IFERROR(D296*E296,0)</f>
        <v>1099.17</v>
      </c>
      <c r="G296" s="40" t="str">
        <f aca="false">INDEX(SETORES!$B:$B,MATCH(A296,SETORES!$A:$A,0))</f>
        <v>Clientes</v>
      </c>
      <c r="H296" s="40" t="s">
        <v>20</v>
      </c>
    </row>
    <row r="297" customFormat="false" ht="14.25" hidden="false" customHeight="true" outlineLevel="0" collapsed="false">
      <c r="A297" s="16" t="s">
        <v>50</v>
      </c>
      <c r="B297" s="16" t="s">
        <v>148</v>
      </c>
      <c r="C297" s="16" t="s">
        <v>152</v>
      </c>
      <c r="D297" s="38" t="n">
        <v>12</v>
      </c>
      <c r="E297" s="39" t="n">
        <v>0.6343</v>
      </c>
      <c r="F297" s="22" t="n">
        <v>7.6116</v>
      </c>
      <c r="G297" s="16" t="str">
        <f aca="false">INDEX(SETORES!$B:$B,MATCH(A297,SETORES!$A:$A,0))</f>
        <v>Clientes</v>
      </c>
      <c r="H297" s="16" t="s">
        <v>20</v>
      </c>
    </row>
    <row r="298" customFormat="false" ht="14.25" hidden="false" customHeight="true" outlineLevel="0" collapsed="false">
      <c r="A298" s="40" t="s">
        <v>49</v>
      </c>
      <c r="B298" s="40" t="s">
        <v>148</v>
      </c>
      <c r="C298" s="40" t="s">
        <v>149</v>
      </c>
      <c r="D298" s="41"/>
      <c r="E298" s="42"/>
      <c r="F298" s="43" t="n">
        <v>0</v>
      </c>
      <c r="G298" s="40" t="str">
        <f aca="false">INDEX(SETORES!$B:$B,MATCH(A298,SETORES!$A:$A,0))</f>
        <v>Clientes</v>
      </c>
      <c r="H298" s="40" t="s">
        <v>20</v>
      </c>
    </row>
    <row r="299" customFormat="false" ht="14.25" hidden="false" customHeight="true" outlineLevel="0" collapsed="false">
      <c r="A299" s="16" t="s">
        <v>49</v>
      </c>
      <c r="B299" s="16" t="s">
        <v>148</v>
      </c>
      <c r="C299" s="16" t="s">
        <v>150</v>
      </c>
      <c r="D299" s="38"/>
      <c r="E299" s="39"/>
      <c r="F299" s="22" t="n">
        <v>0</v>
      </c>
      <c r="G299" s="16" t="str">
        <f aca="false">INDEX(SETORES!$B:$B,MATCH(A299,SETORES!$A:$A,0))</f>
        <v>Clientes</v>
      </c>
      <c r="H299" s="16" t="s">
        <v>20</v>
      </c>
    </row>
    <row r="300" customFormat="false" ht="14.25" hidden="false" customHeight="true" outlineLevel="0" collapsed="false">
      <c r="A300" s="40" t="s">
        <v>49</v>
      </c>
      <c r="B300" s="40" t="s">
        <v>148</v>
      </c>
      <c r="C300" s="40" t="s">
        <v>151</v>
      </c>
      <c r="D300" s="41" t="n">
        <v>4</v>
      </c>
      <c r="E300" s="42" t="n">
        <v>24.8613</v>
      </c>
      <c r="F300" s="43" t="n">
        <v>99.4452</v>
      </c>
      <c r="G300" s="40" t="str">
        <f aca="false">INDEX(SETORES!$B:$B,MATCH(A300,SETORES!$A:$A,0))</f>
        <v>Clientes</v>
      </c>
      <c r="H300" s="40" t="s">
        <v>20</v>
      </c>
    </row>
    <row r="301" customFormat="false" ht="14.25" hidden="false" customHeight="true" outlineLevel="0" collapsed="false">
      <c r="A301" s="16" t="s">
        <v>48</v>
      </c>
      <c r="B301" s="16" t="s">
        <v>148</v>
      </c>
      <c r="C301" s="16" t="s">
        <v>152</v>
      </c>
      <c r="D301" s="38" t="n">
        <v>12</v>
      </c>
      <c r="E301" s="39" t="n">
        <v>0.6343</v>
      </c>
      <c r="F301" s="22" t="n">
        <v>7.6116</v>
      </c>
      <c r="G301" s="16" t="str">
        <f aca="false">INDEX(SETORES!$B:$B,MATCH(A301,SETORES!$A:$A,0))</f>
        <v>Clientes</v>
      </c>
      <c r="H301" s="16" t="s">
        <v>20</v>
      </c>
    </row>
    <row r="302" customFormat="false" ht="14.25" hidden="false" customHeight="true" outlineLevel="0" collapsed="false">
      <c r="A302" s="40" t="s">
        <v>49</v>
      </c>
      <c r="B302" s="40" t="s">
        <v>148</v>
      </c>
      <c r="C302" s="40" t="s">
        <v>153</v>
      </c>
      <c r="D302" s="41"/>
      <c r="E302" s="42"/>
      <c r="F302" s="43" t="n">
        <f aca="false">IFERROR(D302*E302,0)</f>
        <v>0</v>
      </c>
      <c r="G302" s="40" t="str">
        <f aca="false">INDEX(SETORES!$B:$B,MATCH(A302,SETORES!$A:$A,0))</f>
        <v>Clientes</v>
      </c>
      <c r="H302" s="40" t="s">
        <v>20</v>
      </c>
    </row>
    <row r="303" customFormat="false" ht="14.25" hidden="false" customHeight="true" outlineLevel="0" collapsed="false">
      <c r="A303" s="16" t="s">
        <v>49</v>
      </c>
      <c r="B303" s="16" t="s">
        <v>148</v>
      </c>
      <c r="C303" s="16" t="s">
        <v>154</v>
      </c>
      <c r="D303" s="38" t="n">
        <v>1</v>
      </c>
      <c r="E303" s="39" t="n">
        <v>23497.04</v>
      </c>
      <c r="F303" s="22" t="n">
        <f aca="false">IFERROR(E303,0)</f>
        <v>23497.04</v>
      </c>
      <c r="G303" s="16" t="str">
        <f aca="false">INDEX(SETORES!$B:$B,MATCH(A303,SETORES!$A:$A,0))</f>
        <v>Clientes</v>
      </c>
      <c r="H303" s="16" t="s">
        <v>20</v>
      </c>
    </row>
    <row r="304" customFormat="false" ht="14.25" hidden="false" customHeight="true" outlineLevel="0" collapsed="false">
      <c r="A304" s="40" t="s">
        <v>49</v>
      </c>
      <c r="B304" s="40" t="s">
        <v>148</v>
      </c>
      <c r="C304" s="40" t="s">
        <v>217</v>
      </c>
      <c r="D304" s="41" t="n">
        <v>1</v>
      </c>
      <c r="E304" s="42" t="n">
        <v>1800</v>
      </c>
      <c r="F304" s="43" t="n">
        <f aca="false">IFERROR(D304*E304,0)</f>
        <v>1800</v>
      </c>
      <c r="G304" s="40" t="str">
        <f aca="false">INDEX(SETORES!$B:$B,MATCH(A304,SETORES!$A:$A,0))</f>
        <v>Clientes</v>
      </c>
      <c r="H304" s="40" t="s">
        <v>20</v>
      </c>
    </row>
    <row r="305" customFormat="false" ht="14.25" hidden="false" customHeight="true" outlineLevel="0" collapsed="false">
      <c r="A305" s="16" t="s">
        <v>49</v>
      </c>
      <c r="B305" s="16" t="s">
        <v>155</v>
      </c>
      <c r="C305" s="16" t="s">
        <v>210</v>
      </c>
      <c r="D305" s="38"/>
      <c r="E305" s="39"/>
      <c r="F305" s="22" t="n">
        <f aca="false">IFERROR(D305*E305,0)</f>
        <v>0</v>
      </c>
      <c r="G305" s="16" t="str">
        <f aca="false">INDEX(SETORES!$B:$B,MATCH(A305,SETORES!$A:$A,0))</f>
        <v>Clientes</v>
      </c>
      <c r="H305" s="16" t="s">
        <v>20</v>
      </c>
    </row>
    <row r="306" customFormat="false" ht="14.25" hidden="false" customHeight="true" outlineLevel="0" collapsed="false">
      <c r="A306" s="40" t="s">
        <v>49</v>
      </c>
      <c r="B306" s="40" t="s">
        <v>155</v>
      </c>
      <c r="C306" s="40" t="s">
        <v>213</v>
      </c>
      <c r="D306" s="41"/>
      <c r="E306" s="42"/>
      <c r="F306" s="43" t="n">
        <f aca="false">IFERROR(D306*E306,0)</f>
        <v>0</v>
      </c>
      <c r="G306" s="40" t="str">
        <f aca="false">INDEX(SETORES!$B:$B,MATCH(A306,SETORES!$A:$A,0))</f>
        <v>Clientes</v>
      </c>
      <c r="H306" s="40" t="s">
        <v>20</v>
      </c>
    </row>
    <row r="307" customFormat="false" ht="14.25" hidden="false" customHeight="true" outlineLevel="0" collapsed="false">
      <c r="A307" s="16" t="s">
        <v>49</v>
      </c>
      <c r="B307" s="16" t="s">
        <v>155</v>
      </c>
      <c r="C307" s="16" t="s">
        <v>202</v>
      </c>
      <c r="D307" s="38" t="n">
        <v>4</v>
      </c>
      <c r="E307" s="39" t="n">
        <v>89.55</v>
      </c>
      <c r="F307" s="22" t="n">
        <f aca="false">IFERROR(D307*E307,0)</f>
        <v>358.2</v>
      </c>
      <c r="G307" s="16" t="str">
        <f aca="false">INDEX(SETORES!$B:$B,MATCH(A307,SETORES!$A:$A,0))</f>
        <v>Clientes</v>
      </c>
      <c r="H307" s="16" t="s">
        <v>20</v>
      </c>
    </row>
    <row r="308" customFormat="false" ht="14.25" hidden="false" customHeight="true" outlineLevel="0" collapsed="false">
      <c r="A308" s="40" t="s">
        <v>49</v>
      </c>
      <c r="B308" s="40" t="s">
        <v>155</v>
      </c>
      <c r="C308" s="40" t="s">
        <v>158</v>
      </c>
      <c r="D308" s="41" t="n">
        <v>1</v>
      </c>
      <c r="E308" s="42" t="n">
        <v>184</v>
      </c>
      <c r="F308" s="43" t="n">
        <f aca="false">IFERROR(D308*E308,0)</f>
        <v>184</v>
      </c>
      <c r="G308" s="40" t="str">
        <f aca="false">INDEX(SETORES!$B:$B,MATCH(A308,SETORES!$A:$A,0))</f>
        <v>Clientes</v>
      </c>
      <c r="H308" s="40" t="s">
        <v>20</v>
      </c>
    </row>
    <row r="309" customFormat="false" ht="14.25" hidden="false" customHeight="true" outlineLevel="0" collapsed="false">
      <c r="A309" s="16" t="s">
        <v>49</v>
      </c>
      <c r="B309" s="16" t="s">
        <v>148</v>
      </c>
      <c r="C309" s="16" t="s">
        <v>160</v>
      </c>
      <c r="D309" s="38" t="n">
        <v>4</v>
      </c>
      <c r="E309" s="39" t="n">
        <v>10.05</v>
      </c>
      <c r="F309" s="22" t="n">
        <f aca="false">IFERROR(D309*E309,0)</f>
        <v>40.2</v>
      </c>
      <c r="G309" s="16" t="str">
        <f aca="false">INDEX(SETORES!$B:$B,MATCH(A309,SETORES!$A:$A,0))</f>
        <v>Clientes</v>
      </c>
      <c r="H309" s="16" t="s">
        <v>20</v>
      </c>
    </row>
    <row r="310" customFormat="false" ht="14.25" hidden="false" customHeight="true" outlineLevel="0" collapsed="false">
      <c r="A310" s="40" t="s">
        <v>49</v>
      </c>
      <c r="B310" s="40" t="s">
        <v>148</v>
      </c>
      <c r="C310" s="40" t="s">
        <v>161</v>
      </c>
      <c r="D310" s="41" t="n">
        <v>4</v>
      </c>
      <c r="E310" s="42" t="n">
        <v>2.07</v>
      </c>
      <c r="F310" s="43" t="n">
        <f aca="false">IFERROR(D310*E310,0)</f>
        <v>8.28</v>
      </c>
      <c r="G310" s="40" t="str">
        <f aca="false">INDEX(SETORES!$B:$B,MATCH(A310,SETORES!$A:$A,0))</f>
        <v>Clientes</v>
      </c>
      <c r="H310" s="40" t="s">
        <v>20</v>
      </c>
    </row>
    <row r="311" customFormat="false" ht="14.25" hidden="false" customHeight="true" outlineLevel="0" collapsed="false">
      <c r="A311" s="16" t="s">
        <v>49</v>
      </c>
      <c r="B311" s="16" t="s">
        <v>148</v>
      </c>
      <c r="C311" s="16" t="s">
        <v>162</v>
      </c>
      <c r="D311" s="38" t="n">
        <v>4</v>
      </c>
      <c r="E311" s="39" t="n">
        <v>64.57</v>
      </c>
      <c r="F311" s="22" t="n">
        <f aca="false">IFERROR(D311*E311,0)</f>
        <v>258.28</v>
      </c>
      <c r="G311" s="16" t="str">
        <f aca="false">INDEX(SETORES!$B:$B,MATCH(A311,SETORES!$A:$A,0))</f>
        <v>Clientes</v>
      </c>
      <c r="H311" s="16" t="s">
        <v>20</v>
      </c>
    </row>
    <row r="312" customFormat="false" ht="14.25" hidden="false" customHeight="true" outlineLevel="0" collapsed="false">
      <c r="A312" s="40" t="s">
        <v>49</v>
      </c>
      <c r="B312" s="40" t="s">
        <v>148</v>
      </c>
      <c r="C312" s="40" t="s">
        <v>163</v>
      </c>
      <c r="D312" s="41" t="n">
        <v>4</v>
      </c>
      <c r="E312" s="42" t="n">
        <v>28.31</v>
      </c>
      <c r="F312" s="43" t="n">
        <f aca="false">IFERROR(D312*E312,0)</f>
        <v>113.24</v>
      </c>
      <c r="G312" s="40" t="str">
        <f aca="false">INDEX(SETORES!$B:$B,MATCH(A312,SETORES!$A:$A,0))</f>
        <v>Clientes</v>
      </c>
      <c r="H312" s="40" t="s">
        <v>20</v>
      </c>
    </row>
    <row r="313" customFormat="false" ht="14.25" hidden="false" customHeight="true" outlineLevel="0" collapsed="false">
      <c r="A313" s="16" t="s">
        <v>49</v>
      </c>
      <c r="B313" s="16" t="s">
        <v>148</v>
      </c>
      <c r="C313" s="16" t="s">
        <v>164</v>
      </c>
      <c r="D313" s="38" t="n">
        <v>4</v>
      </c>
      <c r="E313" s="39" t="n">
        <v>47.79</v>
      </c>
      <c r="F313" s="22" t="n">
        <f aca="false">IFERROR(D313*E313,0)</f>
        <v>191.16</v>
      </c>
      <c r="G313" s="16" t="str">
        <f aca="false">INDEX(SETORES!$B:$B,MATCH(A313,SETORES!$A:$A,0))</f>
        <v>Clientes</v>
      </c>
      <c r="H313" s="16" t="s">
        <v>20</v>
      </c>
    </row>
    <row r="314" customFormat="false" ht="14.25" hidden="false" customHeight="true" outlineLevel="0" collapsed="false">
      <c r="A314" s="40" t="s">
        <v>32</v>
      </c>
      <c r="B314" s="40" t="s">
        <v>148</v>
      </c>
      <c r="C314" s="40" t="s">
        <v>149</v>
      </c>
      <c r="D314" s="41"/>
      <c r="E314" s="42"/>
      <c r="F314" s="43" t="n">
        <v>0</v>
      </c>
      <c r="G314" s="40" t="str">
        <f aca="false">INDEX(SETORES!$B:$B,MATCH(A314,SETORES!$A:$A,0))</f>
        <v>Funcionários</v>
      </c>
      <c r="H314" s="40" t="s">
        <v>20</v>
      </c>
    </row>
    <row r="315" customFormat="false" ht="14.25" hidden="false" customHeight="true" outlineLevel="0" collapsed="false">
      <c r="A315" s="16" t="s">
        <v>32</v>
      </c>
      <c r="B315" s="16" t="s">
        <v>148</v>
      </c>
      <c r="C315" s="16" t="s">
        <v>150</v>
      </c>
      <c r="D315" s="38" t="n">
        <v>1</v>
      </c>
      <c r="E315" s="39" t="n">
        <v>65.7</v>
      </c>
      <c r="F315" s="22" t="n">
        <v>65.7</v>
      </c>
      <c r="G315" s="16" t="str">
        <f aca="false">INDEX(SETORES!$B:$B,MATCH(A315,SETORES!$A:$A,0))</f>
        <v>Funcionários</v>
      </c>
      <c r="H315" s="16" t="s">
        <v>20</v>
      </c>
    </row>
    <row r="316" customFormat="false" ht="14.25" hidden="false" customHeight="true" outlineLevel="0" collapsed="false">
      <c r="A316" s="40" t="s">
        <v>32</v>
      </c>
      <c r="B316" s="40" t="s">
        <v>148</v>
      </c>
      <c r="C316" s="40" t="s">
        <v>151</v>
      </c>
      <c r="D316" s="41" t="n">
        <v>1</v>
      </c>
      <c r="E316" s="42" t="n">
        <v>34.0432</v>
      </c>
      <c r="F316" s="43" t="n">
        <v>34.0432</v>
      </c>
      <c r="G316" s="40" t="str">
        <f aca="false">INDEX(SETORES!$B:$B,MATCH(A316,SETORES!$A:$A,0))</f>
        <v>Funcionários</v>
      </c>
      <c r="H316" s="40" t="s">
        <v>20</v>
      </c>
    </row>
    <row r="317" customFormat="false" ht="14.25" hidden="false" customHeight="true" outlineLevel="0" collapsed="false">
      <c r="A317" s="16" t="s">
        <v>32</v>
      </c>
      <c r="B317" s="16" t="s">
        <v>148</v>
      </c>
      <c r="C317" s="16" t="s">
        <v>152</v>
      </c>
      <c r="D317" s="38" t="n">
        <v>1</v>
      </c>
      <c r="E317" s="39" t="n">
        <v>0</v>
      </c>
      <c r="F317" s="22" t="n">
        <v>0</v>
      </c>
      <c r="G317" s="16" t="str">
        <f aca="false">INDEX(SETORES!$B:$B,MATCH(A317,SETORES!$A:$A,0))</f>
        <v>Funcionários</v>
      </c>
      <c r="H317" s="16" t="s">
        <v>20</v>
      </c>
    </row>
    <row r="318" customFormat="false" ht="14.25" hidden="false" customHeight="true" outlineLevel="0" collapsed="false">
      <c r="A318" s="40" t="s">
        <v>32</v>
      </c>
      <c r="B318" s="40" t="s">
        <v>148</v>
      </c>
      <c r="C318" s="40" t="s">
        <v>153</v>
      </c>
      <c r="D318" s="41"/>
      <c r="E318" s="42"/>
      <c r="F318" s="43" t="n">
        <f aca="false">IFERROR(D318*E318,0)</f>
        <v>0</v>
      </c>
      <c r="G318" s="40" t="str">
        <f aca="false">INDEX(SETORES!$B:$B,MATCH(A318,SETORES!$A:$A,0))</f>
        <v>Funcionários</v>
      </c>
      <c r="H318" s="40" t="s">
        <v>20</v>
      </c>
    </row>
    <row r="319" customFormat="false" ht="14.25" hidden="false" customHeight="true" outlineLevel="0" collapsed="false">
      <c r="A319" s="16" t="s">
        <v>32</v>
      </c>
      <c r="B319" s="16" t="s">
        <v>148</v>
      </c>
      <c r="C319" s="16" t="s">
        <v>154</v>
      </c>
      <c r="D319" s="38" t="n">
        <v>1</v>
      </c>
      <c r="E319" s="39" t="n">
        <v>21711.44</v>
      </c>
      <c r="F319" s="22" t="n">
        <f aca="false">IFERROR(E319,0)</f>
        <v>21711.44</v>
      </c>
      <c r="G319" s="16" t="str">
        <f aca="false">INDEX(SETORES!$B:$B,MATCH(A319,SETORES!$A:$A,0))</f>
        <v>Funcionários</v>
      </c>
      <c r="H319" s="16" t="s">
        <v>20</v>
      </c>
    </row>
    <row r="320" customFormat="false" ht="14.25" hidden="false" customHeight="true" outlineLevel="0" collapsed="false">
      <c r="A320" s="40" t="s">
        <v>32</v>
      </c>
      <c r="B320" s="40" t="s">
        <v>155</v>
      </c>
      <c r="C320" s="40" t="s">
        <v>218</v>
      </c>
      <c r="D320" s="41"/>
      <c r="E320" s="42"/>
      <c r="F320" s="43" t="n">
        <f aca="false">IFERROR(D320*E320,0)</f>
        <v>0</v>
      </c>
      <c r="G320" s="40" t="str">
        <f aca="false">INDEX(SETORES!$B:$B,MATCH(A320,SETORES!$A:$A,0))</f>
        <v>Funcionários</v>
      </c>
      <c r="H320" s="40" t="s">
        <v>20</v>
      </c>
    </row>
    <row r="321" customFormat="false" ht="14.25" hidden="false" customHeight="true" outlineLevel="0" collapsed="false">
      <c r="A321" s="16" t="s">
        <v>32</v>
      </c>
      <c r="B321" s="16" t="s">
        <v>155</v>
      </c>
      <c r="C321" s="16" t="s">
        <v>219</v>
      </c>
      <c r="D321" s="38"/>
      <c r="E321" s="39"/>
      <c r="F321" s="22" t="n">
        <f aca="false">IFERROR(D321*E321,0)</f>
        <v>0</v>
      </c>
      <c r="G321" s="16" t="str">
        <f aca="false">INDEX(SETORES!$B:$B,MATCH(A321,SETORES!$A:$A,0))</f>
        <v>Funcionários</v>
      </c>
      <c r="H321" s="16" t="s">
        <v>20</v>
      </c>
    </row>
    <row r="322" customFormat="false" ht="14.25" hidden="false" customHeight="true" outlineLevel="0" collapsed="false">
      <c r="A322" s="40" t="s">
        <v>32</v>
      </c>
      <c r="B322" s="40" t="s">
        <v>148</v>
      </c>
      <c r="C322" s="40" t="s">
        <v>220</v>
      </c>
      <c r="D322" s="41"/>
      <c r="E322" s="42"/>
      <c r="F322" s="43" t="n">
        <f aca="false">IFERROR(D322*E322,0)</f>
        <v>0</v>
      </c>
      <c r="G322" s="40" t="str">
        <f aca="false">INDEX(SETORES!$B:$B,MATCH(A322,SETORES!$A:$A,0))</f>
        <v>Funcionários</v>
      </c>
      <c r="H322" s="40" t="s">
        <v>20</v>
      </c>
    </row>
    <row r="323" customFormat="false" ht="14.25" hidden="false" customHeight="true" outlineLevel="0" collapsed="false">
      <c r="A323" s="16" t="s">
        <v>32</v>
      </c>
      <c r="B323" s="16" t="s">
        <v>155</v>
      </c>
      <c r="C323" s="16" t="s">
        <v>221</v>
      </c>
      <c r="D323" s="38"/>
      <c r="E323" s="39"/>
      <c r="F323" s="22" t="n">
        <f aca="false">IFERROR(D323*E323,0)</f>
        <v>0</v>
      </c>
      <c r="G323" s="16" t="str">
        <f aca="false">INDEX(SETORES!$B:$B,MATCH(A323,SETORES!$A:$A,0))</f>
        <v>Funcionários</v>
      </c>
      <c r="H323" s="16" t="s">
        <v>20</v>
      </c>
    </row>
    <row r="324" customFormat="false" ht="14.25" hidden="false" customHeight="true" outlineLevel="0" collapsed="false">
      <c r="A324" s="40" t="s">
        <v>32</v>
      </c>
      <c r="B324" s="40" t="s">
        <v>148</v>
      </c>
      <c r="C324" s="40" t="s">
        <v>222</v>
      </c>
      <c r="D324" s="41"/>
      <c r="E324" s="42"/>
      <c r="F324" s="43" t="n">
        <f aca="false">IFERROR(D324*E324,0)</f>
        <v>0</v>
      </c>
      <c r="G324" s="40" t="str">
        <f aca="false">INDEX(SETORES!$B:$B,MATCH(A324,SETORES!$A:$A,0))</f>
        <v>Funcionários</v>
      </c>
      <c r="H324" s="40" t="s">
        <v>20</v>
      </c>
    </row>
    <row r="325" customFormat="false" ht="14.25" hidden="false" customHeight="true" outlineLevel="0" collapsed="false">
      <c r="A325" s="16" t="s">
        <v>32</v>
      </c>
      <c r="B325" s="16" t="s">
        <v>148</v>
      </c>
      <c r="C325" s="16" t="s">
        <v>223</v>
      </c>
      <c r="D325" s="38"/>
      <c r="E325" s="39"/>
      <c r="F325" s="22" t="n">
        <f aca="false">IFERROR(D325*E325,0)</f>
        <v>0</v>
      </c>
      <c r="G325" s="16" t="str">
        <f aca="false">INDEX(SETORES!$B:$B,MATCH(A325,SETORES!$A:$A,0))</f>
        <v>Funcionários</v>
      </c>
      <c r="H325" s="16" t="s">
        <v>20</v>
      </c>
    </row>
    <row r="326" customFormat="false" ht="14.25" hidden="false" customHeight="true" outlineLevel="0" collapsed="false">
      <c r="A326" s="40" t="s">
        <v>32</v>
      </c>
      <c r="B326" s="40" t="s">
        <v>148</v>
      </c>
      <c r="C326" s="40" t="s">
        <v>159</v>
      </c>
      <c r="D326" s="41" t="n">
        <v>4</v>
      </c>
      <c r="E326" s="42" t="n">
        <v>50</v>
      </c>
      <c r="F326" s="43" t="n">
        <f aca="false">IFERROR(D326*E326,0)</f>
        <v>200</v>
      </c>
      <c r="G326" s="40" t="str">
        <f aca="false">INDEX(SETORES!$B:$B,MATCH(A326,SETORES!$A:$A,0))</f>
        <v>Funcionários</v>
      </c>
      <c r="H326" s="40" t="s">
        <v>20</v>
      </c>
    </row>
    <row r="327" customFormat="false" ht="14.25" hidden="false" customHeight="true" outlineLevel="0" collapsed="false">
      <c r="A327" s="16" t="s">
        <v>32</v>
      </c>
      <c r="B327" s="16" t="s">
        <v>148</v>
      </c>
      <c r="C327" s="16" t="s">
        <v>160</v>
      </c>
      <c r="D327" s="38" t="n">
        <v>4</v>
      </c>
      <c r="E327" s="39" t="n">
        <v>10.05</v>
      </c>
      <c r="F327" s="22" t="n">
        <f aca="false">IFERROR(D327*E327,0)</f>
        <v>40.2</v>
      </c>
      <c r="G327" s="16" t="str">
        <f aca="false">INDEX(SETORES!$B:$B,MATCH(A327,SETORES!$A:$A,0))</f>
        <v>Funcionários</v>
      </c>
      <c r="H327" s="16" t="s">
        <v>20</v>
      </c>
    </row>
    <row r="328" customFormat="false" ht="14.25" hidden="false" customHeight="true" outlineLevel="0" collapsed="false">
      <c r="A328" s="40" t="s">
        <v>32</v>
      </c>
      <c r="B328" s="40" t="s">
        <v>148</v>
      </c>
      <c r="C328" s="40" t="s">
        <v>161</v>
      </c>
      <c r="D328" s="41" t="n">
        <v>4</v>
      </c>
      <c r="E328" s="42" t="n">
        <v>2.07</v>
      </c>
      <c r="F328" s="43" t="n">
        <f aca="false">IFERROR(D328*E328,0)</f>
        <v>8.28</v>
      </c>
      <c r="G328" s="40" t="str">
        <f aca="false">INDEX(SETORES!$B:$B,MATCH(A328,SETORES!$A:$A,0))</f>
        <v>Funcionários</v>
      </c>
      <c r="H328" s="40" t="s">
        <v>20</v>
      </c>
    </row>
    <row r="329" customFormat="false" ht="14.25" hidden="false" customHeight="true" outlineLevel="0" collapsed="false">
      <c r="A329" s="16" t="s">
        <v>32</v>
      </c>
      <c r="B329" s="16" t="s">
        <v>148</v>
      </c>
      <c r="C329" s="16" t="s">
        <v>162</v>
      </c>
      <c r="D329" s="38" t="n">
        <f aca="false">D49</f>
        <v>4</v>
      </c>
      <c r="E329" s="39" t="n">
        <v>64.57</v>
      </c>
      <c r="F329" s="22" t="n">
        <f aca="false">IFERROR(D329*E329,0)</f>
        <v>258.28</v>
      </c>
      <c r="G329" s="16" t="str">
        <f aca="false">INDEX(SETORES!$B:$B,MATCH(A329,SETORES!$A:$A,0))</f>
        <v>Funcionários</v>
      </c>
      <c r="H329" s="16" t="s">
        <v>20</v>
      </c>
    </row>
    <row r="330" customFormat="false" ht="14.25" hidden="false" customHeight="true" outlineLevel="0" collapsed="false">
      <c r="A330" s="40" t="s">
        <v>32</v>
      </c>
      <c r="B330" s="40" t="s">
        <v>148</v>
      </c>
      <c r="C330" s="40" t="s">
        <v>163</v>
      </c>
      <c r="D330" s="41" t="n">
        <v>4</v>
      </c>
      <c r="E330" s="42" t="n">
        <v>28.31</v>
      </c>
      <c r="F330" s="43" t="n">
        <f aca="false">IFERROR(D330*E330,0)</f>
        <v>113.24</v>
      </c>
      <c r="G330" s="40" t="str">
        <f aca="false">INDEX(SETORES!$B:$B,MATCH(A330,SETORES!$A:$A,0))</f>
        <v>Funcionários</v>
      </c>
      <c r="H330" s="40" t="s">
        <v>20</v>
      </c>
    </row>
    <row r="331" customFormat="false" ht="14.25" hidden="false" customHeight="true" outlineLevel="0" collapsed="false">
      <c r="A331" s="16" t="s">
        <v>32</v>
      </c>
      <c r="B331" s="16" t="s">
        <v>148</v>
      </c>
      <c r="C331" s="16" t="s">
        <v>164</v>
      </c>
      <c r="D331" s="38" t="n">
        <v>4</v>
      </c>
      <c r="E331" s="39" t="n">
        <v>47.79</v>
      </c>
      <c r="F331" s="22" t="n">
        <f aca="false">IFERROR(D331*E331,0)</f>
        <v>191.16</v>
      </c>
      <c r="G331" s="16" t="str">
        <f aca="false">INDEX(SETORES!$B:$B,MATCH(A331,SETORES!$A:$A,0))</f>
        <v>Funcionários</v>
      </c>
      <c r="H331" s="16" t="s">
        <v>20</v>
      </c>
    </row>
    <row r="332" customFormat="false" ht="14.25" hidden="false" customHeight="true" outlineLevel="0" collapsed="false">
      <c r="A332" s="40" t="s">
        <v>39</v>
      </c>
      <c r="B332" s="40" t="s">
        <v>148</v>
      </c>
      <c r="C332" s="40" t="s">
        <v>149</v>
      </c>
      <c r="D332" s="41" t="n">
        <v>10</v>
      </c>
      <c r="E332" s="42" t="n">
        <v>0.3648</v>
      </c>
      <c r="F332" s="43" t="n">
        <v>3.648</v>
      </c>
      <c r="G332" s="40" t="str">
        <f aca="false">INDEX(SETORES!$B:$B,MATCH(A332,SETORES!$A:$A,0))</f>
        <v>Clientes</v>
      </c>
      <c r="H332" s="40" t="s">
        <v>20</v>
      </c>
    </row>
    <row r="333" customFormat="false" ht="14.25" hidden="false" customHeight="true" outlineLevel="0" collapsed="false">
      <c r="A333" s="16" t="s">
        <v>39</v>
      </c>
      <c r="B333" s="16" t="s">
        <v>148</v>
      </c>
      <c r="C333" s="16" t="s">
        <v>150</v>
      </c>
      <c r="D333" s="38" t="n">
        <v>1</v>
      </c>
      <c r="E333" s="39" t="n">
        <v>282.981034</v>
      </c>
      <c r="F333" s="22" t="n">
        <v>282.981034</v>
      </c>
      <c r="G333" s="16" t="str">
        <f aca="false">INDEX(SETORES!$B:$B,MATCH(A333,SETORES!$A:$A,0))</f>
        <v>Clientes</v>
      </c>
      <c r="H333" s="16" t="s">
        <v>20</v>
      </c>
    </row>
    <row r="334" customFormat="false" ht="14.25" hidden="false" customHeight="true" outlineLevel="0" collapsed="false">
      <c r="A334" s="40" t="s">
        <v>39</v>
      </c>
      <c r="B334" s="40" t="s">
        <v>148</v>
      </c>
      <c r="C334" s="40" t="s">
        <v>151</v>
      </c>
      <c r="D334" s="41" t="n">
        <v>1</v>
      </c>
      <c r="E334" s="42" t="n">
        <v>85.1079</v>
      </c>
      <c r="F334" s="43" t="n">
        <v>85.1079</v>
      </c>
      <c r="G334" s="40" t="str">
        <f aca="false">INDEX(SETORES!$B:$B,MATCH(A334,SETORES!$A:$A,0))</f>
        <v>Clientes</v>
      </c>
      <c r="H334" s="40" t="s">
        <v>20</v>
      </c>
    </row>
    <row r="335" customFormat="false" ht="14.25" hidden="false" customHeight="true" outlineLevel="0" collapsed="false">
      <c r="A335" s="16" t="s">
        <v>39</v>
      </c>
      <c r="B335" s="16" t="s">
        <v>148</v>
      </c>
      <c r="C335" s="16" t="s">
        <v>152</v>
      </c>
      <c r="D335" s="38" t="n">
        <v>1</v>
      </c>
      <c r="E335" s="39" t="n">
        <v>0</v>
      </c>
      <c r="F335" s="22" t="n">
        <v>0</v>
      </c>
      <c r="G335" s="16" t="str">
        <f aca="false">INDEX(SETORES!$B:$B,MATCH(A335,SETORES!$A:$A,0))</f>
        <v>Clientes</v>
      </c>
      <c r="H335" s="16" t="s">
        <v>20</v>
      </c>
    </row>
    <row r="336" customFormat="false" ht="14.25" hidden="false" customHeight="true" outlineLevel="0" collapsed="false">
      <c r="A336" s="40" t="s">
        <v>39</v>
      </c>
      <c r="B336" s="40" t="s">
        <v>148</v>
      </c>
      <c r="C336" s="40" t="s">
        <v>153</v>
      </c>
      <c r="D336" s="41"/>
      <c r="E336" s="42"/>
      <c r="F336" s="43" t="n">
        <f aca="false">IFERROR(D336*E336,0)</f>
        <v>0</v>
      </c>
      <c r="G336" s="40" t="str">
        <f aca="false">INDEX(SETORES!$B:$B,MATCH(A336,SETORES!$A:$A,0))</f>
        <v>Clientes</v>
      </c>
      <c r="H336" s="40" t="s">
        <v>20</v>
      </c>
    </row>
    <row r="337" customFormat="false" ht="14.25" hidden="false" customHeight="true" outlineLevel="0" collapsed="false">
      <c r="A337" s="16" t="s">
        <v>39</v>
      </c>
      <c r="B337" s="16" t="s">
        <v>148</v>
      </c>
      <c r="C337" s="16" t="s">
        <v>154</v>
      </c>
      <c r="D337" s="38" t="n">
        <v>1</v>
      </c>
      <c r="E337" s="39" t="n">
        <v>30713.94</v>
      </c>
      <c r="F337" s="22" t="n">
        <f aca="false">IFERROR(E337,0)</f>
        <v>30713.94</v>
      </c>
      <c r="G337" s="16" t="str">
        <f aca="false">INDEX(SETORES!$B:$B,MATCH(A337,SETORES!$A:$A,0))</f>
        <v>Clientes</v>
      </c>
      <c r="H337" s="16" t="s">
        <v>20</v>
      </c>
    </row>
    <row r="338" customFormat="false" ht="14.25" hidden="false" customHeight="true" outlineLevel="0" collapsed="false">
      <c r="A338" s="40" t="s">
        <v>39</v>
      </c>
      <c r="B338" s="40" t="s">
        <v>148</v>
      </c>
      <c r="C338" s="40" t="s">
        <v>216</v>
      </c>
      <c r="D338" s="41"/>
      <c r="E338" s="42"/>
      <c r="F338" s="43" t="n">
        <f aca="false">IFERROR(D338*E338,0)</f>
        <v>0</v>
      </c>
      <c r="G338" s="40" t="str">
        <f aca="false">INDEX(SETORES!$B:$B,MATCH(A338,SETORES!$A:$A,0))</f>
        <v>Clientes</v>
      </c>
      <c r="H338" s="40" t="s">
        <v>20</v>
      </c>
    </row>
    <row r="339" customFormat="false" ht="14.25" hidden="false" customHeight="true" outlineLevel="0" collapsed="false">
      <c r="A339" s="16" t="s">
        <v>39</v>
      </c>
      <c r="B339" s="16" t="s">
        <v>155</v>
      </c>
      <c r="C339" s="16" t="s">
        <v>224</v>
      </c>
      <c r="D339" s="38"/>
      <c r="E339" s="39"/>
      <c r="F339" s="22" t="n">
        <f aca="false">IFERROR(D339*E339,0)</f>
        <v>0</v>
      </c>
      <c r="G339" s="16" t="str">
        <f aca="false">INDEX(SETORES!$B:$B,MATCH(A339,SETORES!$A:$A,0))</f>
        <v>Clientes</v>
      </c>
      <c r="H339" s="16" t="s">
        <v>20</v>
      </c>
    </row>
    <row r="340" customFormat="false" ht="14.25" hidden="false" customHeight="true" outlineLevel="0" collapsed="false">
      <c r="A340" s="40" t="s">
        <v>39</v>
      </c>
      <c r="B340" s="40" t="s">
        <v>155</v>
      </c>
      <c r="C340" s="40" t="s">
        <v>156</v>
      </c>
      <c r="D340" s="41" t="n">
        <v>1</v>
      </c>
      <c r="E340" s="42" t="n">
        <v>340</v>
      </c>
      <c r="F340" s="43" t="n">
        <f aca="false">IFERROR(D340*E340,0)</f>
        <v>340</v>
      </c>
      <c r="G340" s="40" t="str">
        <f aca="false">INDEX(SETORES!$B:$B,MATCH(A340,SETORES!$A:$A,0))</f>
        <v>Clientes</v>
      </c>
      <c r="H340" s="40" t="s">
        <v>20</v>
      </c>
    </row>
    <row r="341" customFormat="false" ht="14.25" hidden="false" customHeight="true" outlineLevel="0" collapsed="false">
      <c r="A341" s="16" t="s">
        <v>39</v>
      </c>
      <c r="B341" s="16" t="s">
        <v>155</v>
      </c>
      <c r="C341" s="16" t="s">
        <v>157</v>
      </c>
      <c r="D341" s="38" t="n">
        <v>1</v>
      </c>
      <c r="E341" s="39" t="n">
        <v>181.33</v>
      </c>
      <c r="F341" s="22" t="n">
        <f aca="false">IFERROR(D341*E341,0)</f>
        <v>181.33</v>
      </c>
      <c r="G341" s="16" t="str">
        <f aca="false">INDEX(SETORES!$B:$B,MATCH(A341,SETORES!$A:$A,0))</f>
        <v>Clientes</v>
      </c>
      <c r="H341" s="16" t="s">
        <v>20</v>
      </c>
    </row>
    <row r="342" customFormat="false" ht="14.25" hidden="false" customHeight="true" outlineLevel="0" collapsed="false">
      <c r="A342" s="40" t="s">
        <v>39</v>
      </c>
      <c r="B342" s="40" t="s">
        <v>155</v>
      </c>
      <c r="C342" s="40" t="s">
        <v>158</v>
      </c>
      <c r="D342" s="41" t="n">
        <v>1</v>
      </c>
      <c r="E342" s="42" t="n">
        <v>316.67</v>
      </c>
      <c r="F342" s="43" t="n">
        <f aca="false">IFERROR(D342*E342,0)</f>
        <v>316.67</v>
      </c>
      <c r="G342" s="40" t="str">
        <f aca="false">INDEX(SETORES!$B:$B,MATCH(A342,SETORES!$A:$A,0))</f>
        <v>Clientes</v>
      </c>
      <c r="H342" s="40" t="s">
        <v>20</v>
      </c>
    </row>
    <row r="343" customFormat="false" ht="14.25" hidden="false" customHeight="true" outlineLevel="0" collapsed="false">
      <c r="A343" s="16" t="s">
        <v>39</v>
      </c>
      <c r="B343" s="16" t="s">
        <v>148</v>
      </c>
      <c r="C343" s="16" t="s">
        <v>159</v>
      </c>
      <c r="D343" s="38" t="n">
        <v>11</v>
      </c>
      <c r="E343" s="39" t="n">
        <v>50</v>
      </c>
      <c r="F343" s="22" t="n">
        <f aca="false">IFERROR(D343*E343,0)</f>
        <v>550</v>
      </c>
      <c r="G343" s="16" t="str">
        <f aca="false">INDEX(SETORES!$B:$B,MATCH(A343,SETORES!$A:$A,0))</f>
        <v>Clientes</v>
      </c>
      <c r="H343" s="16" t="s">
        <v>20</v>
      </c>
    </row>
    <row r="344" customFormat="false" ht="14.25" hidden="false" customHeight="true" outlineLevel="0" collapsed="false">
      <c r="A344" s="40" t="s">
        <v>39</v>
      </c>
      <c r="B344" s="40" t="s">
        <v>148</v>
      </c>
      <c r="C344" s="40" t="s">
        <v>180</v>
      </c>
      <c r="D344" s="41" t="n">
        <v>1</v>
      </c>
      <c r="E344" s="42" t="n">
        <v>458.41293</v>
      </c>
      <c r="F344" s="43" t="n">
        <f aca="false">IFERROR(D344*E344,0)</f>
        <v>458.41293</v>
      </c>
      <c r="G344" s="40" t="str">
        <f aca="false">INDEX(SETORES!$B:$B,MATCH(A344,SETORES!$A:$A,0))</f>
        <v>Clientes</v>
      </c>
      <c r="H344" s="40" t="s">
        <v>20</v>
      </c>
    </row>
    <row r="345" customFormat="false" ht="14.25" hidden="false" customHeight="true" outlineLevel="0" collapsed="false">
      <c r="A345" s="16" t="s">
        <v>39</v>
      </c>
      <c r="B345" s="16" t="s">
        <v>148</v>
      </c>
      <c r="C345" s="16" t="s">
        <v>181</v>
      </c>
      <c r="D345" s="38" t="n">
        <v>1</v>
      </c>
      <c r="E345" s="39" t="n">
        <v>1641.85</v>
      </c>
      <c r="F345" s="22" t="n">
        <f aca="false">IFERROR(D345*E345,0)</f>
        <v>1641.85</v>
      </c>
      <c r="G345" s="16" t="str">
        <f aca="false">INDEX(SETORES!$B:$B,MATCH(A345,SETORES!$A:$A,0))</f>
        <v>Clientes</v>
      </c>
      <c r="H345" s="16" t="s">
        <v>20</v>
      </c>
    </row>
    <row r="346" customFormat="false" ht="14.25" hidden="false" customHeight="true" outlineLevel="0" collapsed="false">
      <c r="A346" s="40" t="s">
        <v>39</v>
      </c>
      <c r="B346" s="40" t="s">
        <v>148</v>
      </c>
      <c r="C346" s="40" t="s">
        <v>182</v>
      </c>
      <c r="D346" s="41" t="n">
        <v>1</v>
      </c>
      <c r="E346" s="42" t="n">
        <v>215.51724</v>
      </c>
      <c r="F346" s="43" t="n">
        <f aca="false">IFERROR(D346*E346,0)</f>
        <v>215.51724</v>
      </c>
      <c r="G346" s="40" t="str">
        <f aca="false">INDEX(SETORES!$B:$B,MATCH(A346,SETORES!$A:$A,0))</f>
        <v>Clientes</v>
      </c>
      <c r="H346" s="40" t="s">
        <v>20</v>
      </c>
    </row>
    <row r="347" customFormat="false" ht="14.25" hidden="false" customHeight="true" outlineLevel="0" collapsed="false">
      <c r="A347" s="16" t="s">
        <v>39</v>
      </c>
      <c r="B347" s="16" t="s">
        <v>148</v>
      </c>
      <c r="C347" s="16" t="s">
        <v>183</v>
      </c>
      <c r="D347" s="38" t="n">
        <v>1</v>
      </c>
      <c r="E347" s="39" t="n">
        <v>28.73534</v>
      </c>
      <c r="F347" s="22" t="n">
        <f aca="false">IFERROR(D347*E347,0)</f>
        <v>28.73534</v>
      </c>
      <c r="G347" s="16" t="str">
        <f aca="false">INDEX(SETORES!$B:$B,MATCH(A347,SETORES!$A:$A,0))</f>
        <v>Clientes</v>
      </c>
      <c r="H347" s="16" t="s">
        <v>20</v>
      </c>
    </row>
    <row r="348" customFormat="false" ht="14.25" hidden="false" customHeight="true" outlineLevel="0" collapsed="false">
      <c r="A348" s="40" t="s">
        <v>39</v>
      </c>
      <c r="B348" s="40" t="s">
        <v>155</v>
      </c>
      <c r="C348" s="40" t="s">
        <v>184</v>
      </c>
      <c r="D348" s="41" t="n">
        <v>1</v>
      </c>
      <c r="E348" s="42" t="n">
        <v>79.64052</v>
      </c>
      <c r="F348" s="43" t="n">
        <f aca="false">IFERROR(D348*E348,0)</f>
        <v>79.64052</v>
      </c>
      <c r="G348" s="40" t="str">
        <f aca="false">INDEX(SETORES!$B:$B,MATCH(A348,SETORES!$A:$A,0))</f>
        <v>Clientes</v>
      </c>
      <c r="H348" s="40" t="s">
        <v>20</v>
      </c>
    </row>
    <row r="349" customFormat="false" ht="14.25" hidden="false" customHeight="true" outlineLevel="0" collapsed="false">
      <c r="A349" s="16" t="s">
        <v>39</v>
      </c>
      <c r="B349" s="16" t="s">
        <v>155</v>
      </c>
      <c r="C349" s="16" t="s">
        <v>185</v>
      </c>
      <c r="D349" s="38" t="n">
        <v>1</v>
      </c>
      <c r="E349" s="39" t="n">
        <v>242.73</v>
      </c>
      <c r="F349" s="22" t="n">
        <f aca="false">IFERROR(D349*E349,0)</f>
        <v>242.73</v>
      </c>
      <c r="G349" s="16" t="str">
        <f aca="false">INDEX(SETORES!$B:$B,MATCH(A349,SETORES!$A:$A,0))</f>
        <v>Clientes</v>
      </c>
      <c r="H349" s="16" t="s">
        <v>20</v>
      </c>
    </row>
    <row r="350" customFormat="false" ht="14.25" hidden="false" customHeight="true" outlineLevel="0" collapsed="false">
      <c r="A350" s="40" t="s">
        <v>39</v>
      </c>
      <c r="B350" s="40" t="s">
        <v>148</v>
      </c>
      <c r="C350" s="40" t="s">
        <v>186</v>
      </c>
      <c r="D350" s="41" t="n">
        <v>1</v>
      </c>
      <c r="E350" s="42" t="n">
        <v>52</v>
      </c>
      <c r="F350" s="43" t="n">
        <f aca="false">IFERROR(D350*E350,0)</f>
        <v>52</v>
      </c>
      <c r="G350" s="40" t="str">
        <f aca="false">INDEX(SETORES!$B:$B,MATCH(A350,SETORES!$A:$A,0))</f>
        <v>Clientes</v>
      </c>
      <c r="H350" s="40" t="s">
        <v>20</v>
      </c>
    </row>
    <row r="351" customFormat="false" ht="14.25" hidden="false" customHeight="true" outlineLevel="0" collapsed="false">
      <c r="A351" s="16" t="s">
        <v>39</v>
      </c>
      <c r="B351" s="16" t="s">
        <v>155</v>
      </c>
      <c r="C351" s="16" t="s">
        <v>187</v>
      </c>
      <c r="D351" s="38" t="n">
        <v>1</v>
      </c>
      <c r="E351" s="39" t="n">
        <v>23.5</v>
      </c>
      <c r="F351" s="22" t="n">
        <f aca="false">IFERROR(D351*E351,0)</f>
        <v>23.5</v>
      </c>
      <c r="G351" s="16" t="str">
        <f aca="false">INDEX(SETORES!$B:$B,MATCH(A351,SETORES!$A:$A,0))</f>
        <v>Clientes</v>
      </c>
      <c r="H351" s="16" t="s">
        <v>20</v>
      </c>
    </row>
    <row r="352" customFormat="false" ht="14.25" hidden="false" customHeight="true" outlineLevel="0" collapsed="false">
      <c r="A352" s="40" t="s">
        <v>39</v>
      </c>
      <c r="B352" s="40" t="s">
        <v>148</v>
      </c>
      <c r="C352" s="40" t="s">
        <v>160</v>
      </c>
      <c r="D352" s="41" t="n">
        <v>10</v>
      </c>
      <c r="E352" s="42" t="n">
        <v>10.05</v>
      </c>
      <c r="F352" s="43" t="n">
        <f aca="false">IFERROR(D352*E352,0)</f>
        <v>100.5</v>
      </c>
      <c r="G352" s="40" t="str">
        <f aca="false">INDEX(SETORES!$B:$B,MATCH(A352,SETORES!$A:$A,0))</f>
        <v>Clientes</v>
      </c>
      <c r="H352" s="40" t="s">
        <v>20</v>
      </c>
    </row>
    <row r="353" customFormat="false" ht="14.25" hidden="false" customHeight="true" outlineLevel="0" collapsed="false">
      <c r="A353" s="16" t="s">
        <v>39</v>
      </c>
      <c r="B353" s="16" t="s">
        <v>148</v>
      </c>
      <c r="C353" s="16" t="s">
        <v>161</v>
      </c>
      <c r="D353" s="38" t="n">
        <v>10</v>
      </c>
      <c r="E353" s="39" t="n">
        <v>2.07</v>
      </c>
      <c r="F353" s="22" t="n">
        <f aca="false">IFERROR(D353*E353,0)</f>
        <v>20.7</v>
      </c>
      <c r="G353" s="16" t="str">
        <f aca="false">INDEX(SETORES!$B:$B,MATCH(A353,SETORES!$A:$A,0))</f>
        <v>Clientes</v>
      </c>
      <c r="H353" s="16" t="s">
        <v>20</v>
      </c>
    </row>
    <row r="354" customFormat="false" ht="14.25" hidden="false" customHeight="true" outlineLevel="0" collapsed="false">
      <c r="A354" s="40" t="s">
        <v>39</v>
      </c>
      <c r="B354" s="40" t="s">
        <v>148</v>
      </c>
      <c r="C354" s="40" t="s">
        <v>162</v>
      </c>
      <c r="D354" s="41" t="n">
        <v>10</v>
      </c>
      <c r="E354" s="42" t="n">
        <v>64.57</v>
      </c>
      <c r="F354" s="43" t="n">
        <f aca="false">IFERROR(D354*E354,0)</f>
        <v>645.7</v>
      </c>
      <c r="G354" s="40" t="str">
        <f aca="false">INDEX(SETORES!$B:$B,MATCH(A354,SETORES!$A:$A,0))</f>
        <v>Clientes</v>
      </c>
      <c r="H354" s="40" t="s">
        <v>20</v>
      </c>
    </row>
    <row r="355" customFormat="false" ht="14.25" hidden="false" customHeight="true" outlineLevel="0" collapsed="false">
      <c r="A355" s="16" t="s">
        <v>39</v>
      </c>
      <c r="B355" s="16" t="s">
        <v>148</v>
      </c>
      <c r="C355" s="16" t="s">
        <v>163</v>
      </c>
      <c r="D355" s="38" t="n">
        <v>10</v>
      </c>
      <c r="E355" s="39" t="n">
        <v>28.31</v>
      </c>
      <c r="F355" s="22" t="n">
        <f aca="false">IFERROR(D355*E355,0)</f>
        <v>283.1</v>
      </c>
      <c r="G355" s="16" t="str">
        <f aca="false">INDEX(SETORES!$B:$B,MATCH(A355,SETORES!$A:$A,0))</f>
        <v>Clientes</v>
      </c>
      <c r="H355" s="16" t="s">
        <v>20</v>
      </c>
    </row>
    <row r="356" customFormat="false" ht="14.25" hidden="false" customHeight="true" outlineLevel="0" collapsed="false">
      <c r="A356" s="40" t="s">
        <v>39</v>
      </c>
      <c r="B356" s="40" t="s">
        <v>148</v>
      </c>
      <c r="C356" s="40" t="s">
        <v>164</v>
      </c>
      <c r="D356" s="41" t="n">
        <v>10</v>
      </c>
      <c r="E356" s="42" t="n">
        <v>47.79</v>
      </c>
      <c r="F356" s="43" t="n">
        <f aca="false">IFERROR(D356*E356,0)</f>
        <v>477.9</v>
      </c>
      <c r="G356" s="40" t="str">
        <f aca="false">INDEX(SETORES!$B:$B,MATCH(A356,SETORES!$A:$A,0))</f>
        <v>Clientes</v>
      </c>
      <c r="H356" s="40" t="s">
        <v>20</v>
      </c>
    </row>
    <row r="357" customFormat="false" ht="14.25" hidden="false" customHeight="true" outlineLevel="0" collapsed="false">
      <c r="A357" s="16" t="s">
        <v>49</v>
      </c>
      <c r="B357" s="16" t="s">
        <v>148</v>
      </c>
      <c r="C357" s="16" t="s">
        <v>152</v>
      </c>
      <c r="D357" s="38" t="n">
        <v>4</v>
      </c>
      <c r="E357" s="39" t="n">
        <v>0.6343</v>
      </c>
      <c r="F357" s="22" t="n">
        <v>2.5372</v>
      </c>
      <c r="G357" s="16" t="str">
        <f aca="false">INDEX(SETORES!$B:$B,MATCH(A357,SETORES!$A:$A,0))</f>
        <v>Clientes</v>
      </c>
      <c r="H357" s="16" t="s">
        <v>20</v>
      </c>
    </row>
    <row r="358" customFormat="false" ht="14.25" hidden="false" customHeight="true" outlineLevel="0" collapsed="false">
      <c r="A358" s="40" t="s">
        <v>44</v>
      </c>
      <c r="B358" s="40" t="s">
        <v>148</v>
      </c>
      <c r="C358" s="40" t="s">
        <v>149</v>
      </c>
      <c r="D358" s="41"/>
      <c r="E358" s="42"/>
      <c r="F358" s="43" t="n">
        <v>0</v>
      </c>
      <c r="G358" s="40" t="str">
        <f aca="false">INDEX(SETORES!$B:$B,MATCH(A358,SETORES!$A:$A,0))</f>
        <v>Funcionários</v>
      </c>
      <c r="H358" s="40" t="s">
        <v>20</v>
      </c>
    </row>
    <row r="359" customFormat="false" ht="14.25" hidden="false" customHeight="true" outlineLevel="0" collapsed="false">
      <c r="A359" s="16" t="s">
        <v>44</v>
      </c>
      <c r="B359" s="16" t="s">
        <v>148</v>
      </c>
      <c r="C359" s="16" t="s">
        <v>150</v>
      </c>
      <c r="D359" s="38"/>
      <c r="E359" s="39"/>
      <c r="F359" s="22" t="n">
        <v>0</v>
      </c>
      <c r="G359" s="16" t="str">
        <f aca="false">INDEX(SETORES!$B:$B,MATCH(A359,SETORES!$A:$A,0))</f>
        <v>Funcionários</v>
      </c>
      <c r="H359" s="16" t="s">
        <v>20</v>
      </c>
    </row>
    <row r="360" customFormat="false" ht="14.25" hidden="false" customHeight="true" outlineLevel="0" collapsed="false">
      <c r="A360" s="40" t="s">
        <v>44</v>
      </c>
      <c r="B360" s="40" t="s">
        <v>148</v>
      </c>
      <c r="C360" s="40" t="s">
        <v>151</v>
      </c>
      <c r="D360" s="41" t="n">
        <v>6</v>
      </c>
      <c r="E360" s="42" t="n">
        <v>24.8613</v>
      </c>
      <c r="F360" s="43" t="n">
        <v>149.1678</v>
      </c>
      <c r="G360" s="40" t="str">
        <f aca="false">INDEX(SETORES!$B:$B,MATCH(A360,SETORES!$A:$A,0))</f>
        <v>Funcionários</v>
      </c>
      <c r="H360" s="40" t="s">
        <v>20</v>
      </c>
    </row>
    <row r="361" customFormat="false" ht="14.25" hidden="false" customHeight="true" outlineLevel="0" collapsed="false">
      <c r="A361" s="16" t="s">
        <v>44</v>
      </c>
      <c r="B361" s="16" t="s">
        <v>148</v>
      </c>
      <c r="C361" s="16" t="s">
        <v>152</v>
      </c>
      <c r="D361" s="38" t="n">
        <v>6</v>
      </c>
      <c r="E361" s="39" t="n">
        <v>0.6343</v>
      </c>
      <c r="F361" s="22" t="n">
        <v>3.8058</v>
      </c>
      <c r="G361" s="16" t="str">
        <f aca="false">INDEX(SETORES!$B:$B,MATCH(A361,SETORES!$A:$A,0))</f>
        <v>Funcionários</v>
      </c>
      <c r="H361" s="16" t="s">
        <v>20</v>
      </c>
    </row>
    <row r="362" customFormat="false" ht="14.25" hidden="false" customHeight="true" outlineLevel="0" collapsed="false">
      <c r="A362" s="40" t="s">
        <v>44</v>
      </c>
      <c r="B362" s="40" t="s">
        <v>148</v>
      </c>
      <c r="C362" s="40" t="s">
        <v>153</v>
      </c>
      <c r="D362" s="41"/>
      <c r="E362" s="42"/>
      <c r="F362" s="43" t="n">
        <f aca="false">IFERROR(D362*E362,0)</f>
        <v>0</v>
      </c>
      <c r="G362" s="40" t="str">
        <f aca="false">INDEX(SETORES!$B:$B,MATCH(A362,SETORES!$A:$A,0))</f>
        <v>Funcionários</v>
      </c>
      <c r="H362" s="40" t="s">
        <v>20</v>
      </c>
    </row>
    <row r="363" customFormat="false" ht="14.25" hidden="false" customHeight="true" outlineLevel="0" collapsed="false">
      <c r="A363" s="16" t="s">
        <v>44</v>
      </c>
      <c r="B363" s="16" t="s">
        <v>148</v>
      </c>
      <c r="C363" s="16" t="s">
        <v>154</v>
      </c>
      <c r="D363" s="38" t="n">
        <v>1</v>
      </c>
      <c r="E363" s="39" t="n">
        <v>38002.07</v>
      </c>
      <c r="F363" s="22" t="n">
        <f aca="false">IFERROR(E363,0)</f>
        <v>38002.07</v>
      </c>
      <c r="G363" s="16" t="str">
        <f aca="false">INDEX(SETORES!$B:$B,MATCH(A363,SETORES!$A:$A,0))</f>
        <v>Funcionários</v>
      </c>
      <c r="H363" s="16" t="s">
        <v>20</v>
      </c>
    </row>
    <row r="364" customFormat="false" ht="14.25" hidden="false" customHeight="true" outlineLevel="0" collapsed="false">
      <c r="A364" s="40" t="s">
        <v>44</v>
      </c>
      <c r="B364" s="40" t="s">
        <v>155</v>
      </c>
      <c r="C364" s="40" t="s">
        <v>214</v>
      </c>
      <c r="D364" s="41"/>
      <c r="E364" s="42"/>
      <c r="F364" s="43" t="n">
        <f aca="false">IFERROR(D364*E364,0)</f>
        <v>0</v>
      </c>
      <c r="G364" s="40" t="str">
        <f aca="false">INDEX(SETORES!$B:$B,MATCH(A364,SETORES!$A:$A,0))</f>
        <v>Funcionários</v>
      </c>
      <c r="H364" s="40" t="s">
        <v>20</v>
      </c>
    </row>
    <row r="365" customFormat="false" ht="14.25" hidden="false" customHeight="true" outlineLevel="0" collapsed="false">
      <c r="A365" s="16" t="s">
        <v>44</v>
      </c>
      <c r="B365" s="16" t="s">
        <v>155</v>
      </c>
      <c r="C365" s="16" t="s">
        <v>158</v>
      </c>
      <c r="D365" s="38"/>
      <c r="E365" s="39"/>
      <c r="F365" s="22" t="n">
        <f aca="false">IFERROR(D365*E365,0)</f>
        <v>0</v>
      </c>
      <c r="G365" s="16" t="str">
        <f aca="false">INDEX(SETORES!$B:$B,MATCH(A365,SETORES!$A:$A,0))</f>
        <v>Funcionários</v>
      </c>
      <c r="H365" s="16" t="s">
        <v>20</v>
      </c>
    </row>
    <row r="366" customFormat="false" ht="14.25" hidden="false" customHeight="true" outlineLevel="0" collapsed="false">
      <c r="A366" s="40" t="s">
        <v>44</v>
      </c>
      <c r="B366" s="40" t="s">
        <v>155</v>
      </c>
      <c r="C366" s="40" t="s">
        <v>156</v>
      </c>
      <c r="D366" s="41"/>
      <c r="E366" s="42"/>
      <c r="F366" s="43" t="n">
        <f aca="false">IFERROR(D366*E366,0)</f>
        <v>0</v>
      </c>
      <c r="G366" s="40" t="str">
        <f aca="false">INDEX(SETORES!$B:$B,MATCH(A366,SETORES!$A:$A,0))</f>
        <v>Funcionários</v>
      </c>
      <c r="H366" s="40" t="s">
        <v>20</v>
      </c>
    </row>
    <row r="367" customFormat="false" ht="14.25" hidden="false" customHeight="true" outlineLevel="0" collapsed="false">
      <c r="A367" s="16" t="s">
        <v>44</v>
      </c>
      <c r="B367" s="16" t="s">
        <v>155</v>
      </c>
      <c r="C367" s="16" t="s">
        <v>157</v>
      </c>
      <c r="D367" s="38"/>
      <c r="E367" s="39"/>
      <c r="F367" s="22" t="n">
        <f aca="false">IFERROR(D367*E367,0)</f>
        <v>0</v>
      </c>
      <c r="G367" s="16" t="str">
        <f aca="false">INDEX(SETORES!$B:$B,MATCH(A367,SETORES!$A:$A,0))</f>
        <v>Funcionários</v>
      </c>
      <c r="H367" s="16" t="s">
        <v>20</v>
      </c>
    </row>
    <row r="368" customFormat="false" ht="14.25" hidden="false" customHeight="true" outlineLevel="0" collapsed="false">
      <c r="A368" s="40" t="s">
        <v>44</v>
      </c>
      <c r="B368" s="40" t="s">
        <v>155</v>
      </c>
      <c r="C368" s="40" t="s">
        <v>202</v>
      </c>
      <c r="D368" s="41" t="n">
        <v>6</v>
      </c>
      <c r="E368" s="42" t="n">
        <v>89.55</v>
      </c>
      <c r="F368" s="43" t="n">
        <f aca="false">IFERROR(D368*E368,0)</f>
        <v>537.3</v>
      </c>
      <c r="G368" s="40" t="str">
        <f aca="false">INDEX(SETORES!$B:$B,MATCH(A368,SETORES!$A:$A,0))</f>
        <v>Funcionários</v>
      </c>
      <c r="H368" s="40" t="s">
        <v>20</v>
      </c>
    </row>
    <row r="369" customFormat="false" ht="14.25" hidden="false" customHeight="true" outlineLevel="0" collapsed="false">
      <c r="A369" s="16" t="s">
        <v>44</v>
      </c>
      <c r="B369" s="16" t="s">
        <v>155</v>
      </c>
      <c r="C369" s="16" t="s">
        <v>225</v>
      </c>
      <c r="D369" s="38" t="n">
        <v>1</v>
      </c>
      <c r="E369" s="39" t="n">
        <v>7689.8</v>
      </c>
      <c r="F369" s="22" t="n">
        <f aca="false">IFERROR(D369*E369,0)</f>
        <v>7689.8</v>
      </c>
      <c r="G369" s="16" t="str">
        <f aca="false">INDEX(SETORES!$B:$B,MATCH(A369,SETORES!$A:$A,0))</f>
        <v>Funcionários</v>
      </c>
      <c r="H369" s="16" t="s">
        <v>20</v>
      </c>
    </row>
    <row r="370" customFormat="false" ht="14.25" hidden="false" customHeight="true" outlineLevel="0" collapsed="false">
      <c r="A370" s="40" t="s">
        <v>44</v>
      </c>
      <c r="B370" s="40" t="s">
        <v>148</v>
      </c>
      <c r="C370" s="40" t="s">
        <v>159</v>
      </c>
      <c r="D370" s="41" t="n">
        <v>9</v>
      </c>
      <c r="E370" s="42" t="n">
        <v>50</v>
      </c>
      <c r="F370" s="43" t="n">
        <f aca="false">IFERROR(D370*E370,0)</f>
        <v>450</v>
      </c>
      <c r="G370" s="40" t="str">
        <f aca="false">INDEX(SETORES!$B:$B,MATCH(A370,SETORES!$A:$A,0))</f>
        <v>Funcionários</v>
      </c>
      <c r="H370" s="40" t="s">
        <v>20</v>
      </c>
    </row>
    <row r="371" customFormat="false" ht="14.25" hidden="false" customHeight="true" outlineLevel="0" collapsed="false">
      <c r="A371" s="16" t="s">
        <v>44</v>
      </c>
      <c r="B371" s="16" t="s">
        <v>155</v>
      </c>
      <c r="C371" s="16" t="s">
        <v>210</v>
      </c>
      <c r="D371" s="38" t="n">
        <v>1</v>
      </c>
      <c r="E371" s="39" t="n">
        <v>5677.72</v>
      </c>
      <c r="F371" s="22" t="n">
        <f aca="false">IFERROR(D371*E371,0)</f>
        <v>5677.72</v>
      </c>
      <c r="G371" s="16" t="str">
        <f aca="false">INDEX(SETORES!$B:$B,MATCH(A371,SETORES!$A:$A,0))</f>
        <v>Funcionários</v>
      </c>
      <c r="H371" s="16" t="s">
        <v>20</v>
      </c>
    </row>
    <row r="372" customFormat="false" ht="14.25" hidden="false" customHeight="true" outlineLevel="0" collapsed="false">
      <c r="A372" s="40" t="s">
        <v>44</v>
      </c>
      <c r="B372" s="40" t="s">
        <v>148</v>
      </c>
      <c r="C372" s="40" t="s">
        <v>160</v>
      </c>
      <c r="D372" s="41" t="n">
        <v>6</v>
      </c>
      <c r="E372" s="42" t="n">
        <v>10.05</v>
      </c>
      <c r="F372" s="43" t="n">
        <f aca="false">IFERROR(D372*E372,0)</f>
        <v>60.3</v>
      </c>
      <c r="G372" s="40" t="str">
        <f aca="false">INDEX(SETORES!$B:$B,MATCH(A372,SETORES!$A:$A,0))</f>
        <v>Funcionários</v>
      </c>
      <c r="H372" s="40" t="s">
        <v>20</v>
      </c>
    </row>
    <row r="373" customFormat="false" ht="14.25" hidden="false" customHeight="true" outlineLevel="0" collapsed="false">
      <c r="A373" s="16" t="s">
        <v>44</v>
      </c>
      <c r="B373" s="16" t="s">
        <v>148</v>
      </c>
      <c r="C373" s="16" t="s">
        <v>161</v>
      </c>
      <c r="D373" s="38" t="n">
        <v>6</v>
      </c>
      <c r="E373" s="39" t="n">
        <v>2.07</v>
      </c>
      <c r="F373" s="22" t="n">
        <f aca="false">IFERROR(D373*E373,0)</f>
        <v>12.42</v>
      </c>
      <c r="G373" s="16" t="str">
        <f aca="false">INDEX(SETORES!$B:$B,MATCH(A373,SETORES!$A:$A,0))</f>
        <v>Funcionários</v>
      </c>
      <c r="H373" s="16" t="s">
        <v>20</v>
      </c>
    </row>
    <row r="374" customFormat="false" ht="14.25" hidden="false" customHeight="true" outlineLevel="0" collapsed="false">
      <c r="A374" s="40" t="s">
        <v>44</v>
      </c>
      <c r="B374" s="40" t="s">
        <v>148</v>
      </c>
      <c r="C374" s="40" t="s">
        <v>162</v>
      </c>
      <c r="D374" s="41" t="n">
        <v>6</v>
      </c>
      <c r="E374" s="42" t="n">
        <v>64.57</v>
      </c>
      <c r="F374" s="43" t="n">
        <f aca="false">IFERROR(D374*E374,0)</f>
        <v>387.42</v>
      </c>
      <c r="G374" s="40" t="str">
        <f aca="false">INDEX(SETORES!$B:$B,MATCH(A374,SETORES!$A:$A,0))</f>
        <v>Funcionários</v>
      </c>
      <c r="H374" s="40" t="s">
        <v>20</v>
      </c>
    </row>
    <row r="375" customFormat="false" ht="14.25" hidden="false" customHeight="true" outlineLevel="0" collapsed="false">
      <c r="A375" s="16" t="s">
        <v>44</v>
      </c>
      <c r="B375" s="16" t="s">
        <v>148</v>
      </c>
      <c r="C375" s="16" t="s">
        <v>163</v>
      </c>
      <c r="D375" s="38" t="n">
        <v>6</v>
      </c>
      <c r="E375" s="39" t="n">
        <v>28.31</v>
      </c>
      <c r="F375" s="22" t="n">
        <f aca="false">IFERROR(D375*E375,0)</f>
        <v>169.86</v>
      </c>
      <c r="G375" s="16" t="str">
        <f aca="false">INDEX(SETORES!$B:$B,MATCH(A375,SETORES!$A:$A,0))</f>
        <v>Funcionários</v>
      </c>
      <c r="H375" s="16" t="s">
        <v>20</v>
      </c>
    </row>
    <row r="376" customFormat="false" ht="14.25" hidden="false" customHeight="true" outlineLevel="0" collapsed="false">
      <c r="A376" s="40" t="s">
        <v>44</v>
      </c>
      <c r="B376" s="40" t="s">
        <v>148</v>
      </c>
      <c r="C376" s="40" t="s">
        <v>164</v>
      </c>
      <c r="D376" s="41" t="n">
        <v>6</v>
      </c>
      <c r="E376" s="42" t="n">
        <v>47.79</v>
      </c>
      <c r="F376" s="43" t="n">
        <f aca="false">IFERROR(D376*E376,0)</f>
        <v>286.74</v>
      </c>
      <c r="G376" s="40" t="str">
        <f aca="false">INDEX(SETORES!$B:$B,MATCH(A376,SETORES!$A:$A,0))</f>
        <v>Funcionários</v>
      </c>
      <c r="H376" s="40" t="s">
        <v>20</v>
      </c>
    </row>
    <row r="377" customFormat="false" ht="14.25" hidden="false" customHeight="true" outlineLevel="0" collapsed="false">
      <c r="A377" s="16" t="s">
        <v>52</v>
      </c>
      <c r="B377" s="16" t="s">
        <v>148</v>
      </c>
      <c r="C377" s="16" t="s">
        <v>149</v>
      </c>
      <c r="D377" s="38" t="n">
        <v>9</v>
      </c>
      <c r="E377" s="39" t="n">
        <v>0.3648</v>
      </c>
      <c r="F377" s="22" t="n">
        <v>3.2832</v>
      </c>
      <c r="G377" s="16" t="str">
        <f aca="false">INDEX(SETORES!$B:$B,MATCH(A377,SETORES!$A:$A,0))</f>
        <v>Clientes</v>
      </c>
      <c r="H377" s="16" t="s">
        <v>20</v>
      </c>
    </row>
    <row r="378" customFormat="false" ht="14.25" hidden="false" customHeight="true" outlineLevel="0" collapsed="false">
      <c r="A378" s="40" t="s">
        <v>52</v>
      </c>
      <c r="B378" s="40" t="s">
        <v>148</v>
      </c>
      <c r="C378" s="40" t="s">
        <v>150</v>
      </c>
      <c r="D378" s="41" t="n">
        <v>1</v>
      </c>
      <c r="E378" s="42" t="n">
        <v>254.682931</v>
      </c>
      <c r="F378" s="43" t="n">
        <v>254.682931</v>
      </c>
      <c r="G378" s="40" t="str">
        <f aca="false">INDEX(SETORES!$B:$B,MATCH(A378,SETORES!$A:$A,0))</f>
        <v>Clientes</v>
      </c>
      <c r="H378" s="40" t="s">
        <v>20</v>
      </c>
    </row>
    <row r="379" customFormat="false" ht="14.25" hidden="false" customHeight="true" outlineLevel="0" collapsed="false">
      <c r="A379" s="16" t="s">
        <v>52</v>
      </c>
      <c r="B379" s="16" t="s">
        <v>148</v>
      </c>
      <c r="C379" s="16" t="s">
        <v>151</v>
      </c>
      <c r="D379" s="38" t="n">
        <v>1</v>
      </c>
      <c r="E379" s="39" t="n">
        <v>76.5971</v>
      </c>
      <c r="F379" s="22" t="n">
        <v>76.5971</v>
      </c>
      <c r="G379" s="16" t="str">
        <f aca="false">INDEX(SETORES!$B:$B,MATCH(A379,SETORES!$A:$A,0))</f>
        <v>Clientes</v>
      </c>
      <c r="H379" s="16" t="s">
        <v>20</v>
      </c>
    </row>
    <row r="380" customFormat="false" ht="14.25" hidden="false" customHeight="true" outlineLevel="0" collapsed="false">
      <c r="A380" s="40" t="s">
        <v>52</v>
      </c>
      <c r="B380" s="40" t="s">
        <v>148</v>
      </c>
      <c r="C380" s="40" t="s">
        <v>152</v>
      </c>
      <c r="D380" s="41" t="n">
        <v>1</v>
      </c>
      <c r="E380" s="42" t="n">
        <v>0</v>
      </c>
      <c r="F380" s="43" t="n">
        <v>0</v>
      </c>
      <c r="G380" s="40" t="str">
        <f aca="false">INDEX(SETORES!$B:$B,MATCH(A380,SETORES!$A:$A,0))</f>
        <v>Clientes</v>
      </c>
      <c r="H380" s="40" t="s">
        <v>20</v>
      </c>
    </row>
    <row r="381" customFormat="false" ht="14.25" hidden="false" customHeight="true" outlineLevel="0" collapsed="false">
      <c r="A381" s="16" t="s">
        <v>52</v>
      </c>
      <c r="B381" s="16" t="s">
        <v>148</v>
      </c>
      <c r="C381" s="16" t="s">
        <v>153</v>
      </c>
      <c r="D381" s="38"/>
      <c r="E381" s="39"/>
      <c r="F381" s="22" t="n">
        <f aca="false">IFERROR(D381*E381,0)</f>
        <v>0</v>
      </c>
      <c r="G381" s="16" t="str">
        <f aca="false">INDEX(SETORES!$B:$B,MATCH(A381,SETORES!$A:$A,0))</f>
        <v>Clientes</v>
      </c>
      <c r="H381" s="16" t="s">
        <v>20</v>
      </c>
    </row>
    <row r="382" customFormat="false" ht="14.25" hidden="false" customHeight="true" outlineLevel="0" collapsed="false">
      <c r="A382" s="40" t="s">
        <v>52</v>
      </c>
      <c r="B382" s="40" t="s">
        <v>148</v>
      </c>
      <c r="C382" s="40" t="s">
        <v>154</v>
      </c>
      <c r="D382" s="41" t="n">
        <v>1</v>
      </c>
      <c r="E382" s="42" t="n">
        <v>29920.5</v>
      </c>
      <c r="F382" s="43" t="n">
        <f aca="false">IFERROR(E382,0)</f>
        <v>29920.5</v>
      </c>
      <c r="G382" s="40" t="str">
        <f aca="false">INDEX(SETORES!$B:$B,MATCH(A382,SETORES!$A:$A,0))</f>
        <v>Clientes</v>
      </c>
      <c r="H382" s="40" t="s">
        <v>20</v>
      </c>
    </row>
    <row r="383" customFormat="false" ht="14.25" hidden="false" customHeight="true" outlineLevel="0" collapsed="false">
      <c r="A383" s="16" t="s">
        <v>52</v>
      </c>
      <c r="B383" s="16" t="s">
        <v>148</v>
      </c>
      <c r="C383" s="16" t="s">
        <v>159</v>
      </c>
      <c r="D383" s="38" t="n">
        <v>8</v>
      </c>
      <c r="E383" s="39" t="n">
        <v>50</v>
      </c>
      <c r="F383" s="22" t="n">
        <f aca="false">IFERROR(D383*E383,0)</f>
        <v>400</v>
      </c>
      <c r="G383" s="16" t="str">
        <f aca="false">INDEX(SETORES!$B:$B,MATCH(A383,SETORES!$A:$A,0))</f>
        <v>Clientes</v>
      </c>
      <c r="H383" s="16" t="s">
        <v>20</v>
      </c>
    </row>
    <row r="384" customFormat="false" ht="14.25" hidden="false" customHeight="true" outlineLevel="0" collapsed="false">
      <c r="A384" s="40" t="s">
        <v>52</v>
      </c>
      <c r="B384" s="40" t="s">
        <v>148</v>
      </c>
      <c r="C384" s="40" t="s">
        <v>226</v>
      </c>
      <c r="D384" s="41"/>
      <c r="E384" s="42"/>
      <c r="F384" s="43" t="n">
        <f aca="false">IFERROR(D384*E384,0)</f>
        <v>0</v>
      </c>
      <c r="G384" s="40" t="str">
        <f aca="false">INDEX(SETORES!$B:$B,MATCH(A384,SETORES!$A:$A,0))</f>
        <v>Clientes</v>
      </c>
      <c r="H384" s="40" t="s">
        <v>20</v>
      </c>
    </row>
    <row r="385" customFormat="false" ht="14.25" hidden="false" customHeight="true" outlineLevel="0" collapsed="false">
      <c r="A385" s="16" t="s">
        <v>52</v>
      </c>
      <c r="B385" s="16" t="s">
        <v>148</v>
      </c>
      <c r="C385" s="16" t="s">
        <v>180</v>
      </c>
      <c r="D385" s="38" t="n">
        <v>1</v>
      </c>
      <c r="E385" s="39" t="n">
        <v>412.571637</v>
      </c>
      <c r="F385" s="22" t="n">
        <f aca="false">IFERROR(D385*E385,0)</f>
        <v>412.571637</v>
      </c>
      <c r="G385" s="16" t="str">
        <f aca="false">INDEX(SETORES!$B:$B,MATCH(A385,SETORES!$A:$A,0))</f>
        <v>Clientes</v>
      </c>
      <c r="H385" s="16" t="s">
        <v>20</v>
      </c>
    </row>
    <row r="386" customFormat="false" ht="14.25" hidden="false" customHeight="true" outlineLevel="0" collapsed="false">
      <c r="A386" s="40" t="s">
        <v>52</v>
      </c>
      <c r="B386" s="40" t="s">
        <v>148</v>
      </c>
      <c r="C386" s="40" t="s">
        <v>181</v>
      </c>
      <c r="D386" s="41" t="n">
        <v>1</v>
      </c>
      <c r="E386" s="42" t="n">
        <v>1641.85</v>
      </c>
      <c r="F386" s="43" t="n">
        <f aca="false">IFERROR(D386*E386,0)</f>
        <v>1641.85</v>
      </c>
      <c r="G386" s="40" t="str">
        <f aca="false">INDEX(SETORES!$B:$B,MATCH(A386,SETORES!$A:$A,0))</f>
        <v>Clientes</v>
      </c>
      <c r="H386" s="40" t="s">
        <v>20</v>
      </c>
    </row>
    <row r="387" customFormat="false" ht="14.25" hidden="false" customHeight="true" outlineLevel="0" collapsed="false">
      <c r="A387" s="16" t="s">
        <v>52</v>
      </c>
      <c r="B387" s="16" t="s">
        <v>148</v>
      </c>
      <c r="C387" s="16" t="s">
        <v>182</v>
      </c>
      <c r="D387" s="38" t="n">
        <v>1</v>
      </c>
      <c r="E387" s="39" t="n">
        <v>193.965516</v>
      </c>
      <c r="F387" s="22" t="n">
        <f aca="false">IFERROR(D387*E387,0)</f>
        <v>193.965516</v>
      </c>
      <c r="G387" s="16" t="str">
        <f aca="false">INDEX(SETORES!$B:$B,MATCH(A387,SETORES!$A:$A,0))</f>
        <v>Clientes</v>
      </c>
      <c r="H387" s="16" t="s">
        <v>20</v>
      </c>
    </row>
    <row r="388" customFormat="false" ht="14.25" hidden="false" customHeight="true" outlineLevel="0" collapsed="false">
      <c r="A388" s="40" t="s">
        <v>52</v>
      </c>
      <c r="B388" s="40" t="s">
        <v>148</v>
      </c>
      <c r="C388" s="40" t="s">
        <v>183</v>
      </c>
      <c r="D388" s="41" t="n">
        <v>1</v>
      </c>
      <c r="E388" s="42" t="n">
        <v>25.861806</v>
      </c>
      <c r="F388" s="43" t="n">
        <f aca="false">IFERROR(D388*E388,0)</f>
        <v>25.861806</v>
      </c>
      <c r="G388" s="40" t="str">
        <f aca="false">INDEX(SETORES!$B:$B,MATCH(A388,SETORES!$A:$A,0))</f>
        <v>Clientes</v>
      </c>
      <c r="H388" s="40" t="s">
        <v>20</v>
      </c>
    </row>
    <row r="389" customFormat="false" ht="14.25" hidden="false" customHeight="true" outlineLevel="0" collapsed="false">
      <c r="A389" s="16" t="s">
        <v>52</v>
      </c>
      <c r="B389" s="16" t="s">
        <v>155</v>
      </c>
      <c r="C389" s="16" t="s">
        <v>184</v>
      </c>
      <c r="D389" s="38" t="n">
        <v>1</v>
      </c>
      <c r="E389" s="39" t="n">
        <v>71.676468</v>
      </c>
      <c r="F389" s="22" t="n">
        <f aca="false">IFERROR(D389*E389,0)</f>
        <v>71.676468</v>
      </c>
      <c r="G389" s="16" t="str">
        <f aca="false">INDEX(SETORES!$B:$B,MATCH(A389,SETORES!$A:$A,0))</f>
        <v>Clientes</v>
      </c>
      <c r="H389" s="16" t="s">
        <v>20</v>
      </c>
    </row>
    <row r="390" customFormat="false" ht="14.25" hidden="false" customHeight="true" outlineLevel="0" collapsed="false">
      <c r="A390" s="40" t="s">
        <v>52</v>
      </c>
      <c r="B390" s="40" t="s">
        <v>155</v>
      </c>
      <c r="C390" s="40" t="s">
        <v>185</v>
      </c>
      <c r="D390" s="41" t="n">
        <v>1</v>
      </c>
      <c r="E390" s="42" t="n">
        <v>242.73</v>
      </c>
      <c r="F390" s="43" t="n">
        <f aca="false">IFERROR(D390*E390,0)</f>
        <v>242.73</v>
      </c>
      <c r="G390" s="40" t="str">
        <f aca="false">INDEX(SETORES!$B:$B,MATCH(A390,SETORES!$A:$A,0))</f>
        <v>Clientes</v>
      </c>
      <c r="H390" s="40" t="s">
        <v>20</v>
      </c>
    </row>
    <row r="391" customFormat="false" ht="14.25" hidden="false" customHeight="true" outlineLevel="0" collapsed="false">
      <c r="A391" s="16" t="s">
        <v>52</v>
      </c>
      <c r="B391" s="16" t="s">
        <v>148</v>
      </c>
      <c r="C391" s="16" t="s">
        <v>186</v>
      </c>
      <c r="D391" s="38" t="n">
        <v>1</v>
      </c>
      <c r="E391" s="39" t="n">
        <v>52</v>
      </c>
      <c r="F391" s="22" t="n">
        <f aca="false">IFERROR(D391*E391,0)</f>
        <v>52</v>
      </c>
      <c r="G391" s="16" t="str">
        <f aca="false">INDEX(SETORES!$B:$B,MATCH(A391,SETORES!$A:$A,0))</f>
        <v>Clientes</v>
      </c>
      <c r="H391" s="16" t="s">
        <v>20</v>
      </c>
    </row>
    <row r="392" customFormat="false" ht="14.25" hidden="false" customHeight="true" outlineLevel="0" collapsed="false">
      <c r="A392" s="40" t="s">
        <v>52</v>
      </c>
      <c r="B392" s="40" t="s">
        <v>155</v>
      </c>
      <c r="C392" s="40" t="s">
        <v>187</v>
      </c>
      <c r="D392" s="41" t="n">
        <v>1</v>
      </c>
      <c r="E392" s="42" t="n">
        <v>23.5</v>
      </c>
      <c r="F392" s="43" t="n">
        <f aca="false">IFERROR(D392*E392,0)</f>
        <v>23.5</v>
      </c>
      <c r="G392" s="40" t="str">
        <f aca="false">INDEX(SETORES!$B:$B,MATCH(A392,SETORES!$A:$A,0))</f>
        <v>Clientes</v>
      </c>
      <c r="H392" s="40" t="s">
        <v>20</v>
      </c>
    </row>
    <row r="393" customFormat="false" ht="14.25" hidden="false" customHeight="true" outlineLevel="0" collapsed="false">
      <c r="A393" s="16" t="s">
        <v>52</v>
      </c>
      <c r="B393" s="16" t="s">
        <v>148</v>
      </c>
      <c r="C393" s="16" t="s">
        <v>160</v>
      </c>
      <c r="D393" s="38" t="n">
        <v>9</v>
      </c>
      <c r="E393" s="39" t="n">
        <v>10.05</v>
      </c>
      <c r="F393" s="22" t="n">
        <f aca="false">IFERROR(D393*E393,0)</f>
        <v>90.45</v>
      </c>
      <c r="G393" s="16" t="str">
        <f aca="false">INDEX(SETORES!$B:$B,MATCH(A393,SETORES!$A:$A,0))</f>
        <v>Clientes</v>
      </c>
      <c r="H393" s="16" t="s">
        <v>20</v>
      </c>
    </row>
    <row r="394" customFormat="false" ht="14.25" hidden="false" customHeight="true" outlineLevel="0" collapsed="false">
      <c r="A394" s="40" t="s">
        <v>52</v>
      </c>
      <c r="B394" s="40" t="s">
        <v>148</v>
      </c>
      <c r="C394" s="40" t="s">
        <v>161</v>
      </c>
      <c r="D394" s="41" t="n">
        <v>9</v>
      </c>
      <c r="E394" s="42" t="n">
        <v>2.07</v>
      </c>
      <c r="F394" s="43" t="n">
        <f aca="false">IFERROR(D394*E394,0)</f>
        <v>18.63</v>
      </c>
      <c r="G394" s="40" t="str">
        <f aca="false">INDEX(SETORES!$B:$B,MATCH(A394,SETORES!$A:$A,0))</f>
        <v>Clientes</v>
      </c>
      <c r="H394" s="40" t="s">
        <v>20</v>
      </c>
    </row>
    <row r="395" customFormat="false" ht="14.25" hidden="false" customHeight="true" outlineLevel="0" collapsed="false">
      <c r="A395" s="16" t="s">
        <v>52</v>
      </c>
      <c r="B395" s="16" t="s">
        <v>148</v>
      </c>
      <c r="C395" s="16" t="s">
        <v>162</v>
      </c>
      <c r="D395" s="38" t="n">
        <v>9</v>
      </c>
      <c r="E395" s="39" t="n">
        <v>64.57</v>
      </c>
      <c r="F395" s="22" t="n">
        <f aca="false">IFERROR(D395*E395,0)</f>
        <v>581.13</v>
      </c>
      <c r="G395" s="16" t="str">
        <f aca="false">INDEX(SETORES!$B:$B,MATCH(A395,SETORES!$A:$A,0))</f>
        <v>Clientes</v>
      </c>
      <c r="H395" s="16" t="s">
        <v>20</v>
      </c>
    </row>
    <row r="396" customFormat="false" ht="14.25" hidden="false" customHeight="true" outlineLevel="0" collapsed="false">
      <c r="A396" s="40" t="s">
        <v>52</v>
      </c>
      <c r="B396" s="40" t="s">
        <v>148</v>
      </c>
      <c r="C396" s="40" t="s">
        <v>163</v>
      </c>
      <c r="D396" s="41" t="n">
        <v>9</v>
      </c>
      <c r="E396" s="42" t="n">
        <v>28.31</v>
      </c>
      <c r="F396" s="43" t="n">
        <f aca="false">IFERROR(D396*E396,0)</f>
        <v>254.79</v>
      </c>
      <c r="G396" s="40" t="str">
        <f aca="false">INDEX(SETORES!$B:$B,MATCH(A396,SETORES!$A:$A,0))</f>
        <v>Clientes</v>
      </c>
      <c r="H396" s="40" t="s">
        <v>20</v>
      </c>
    </row>
    <row r="397" customFormat="false" ht="14.25" hidden="false" customHeight="true" outlineLevel="0" collapsed="false">
      <c r="A397" s="16" t="s">
        <v>52</v>
      </c>
      <c r="B397" s="16" t="s">
        <v>148</v>
      </c>
      <c r="C397" s="16" t="s">
        <v>164</v>
      </c>
      <c r="D397" s="38" t="n">
        <v>9</v>
      </c>
      <c r="E397" s="39" t="n">
        <v>47.79</v>
      </c>
      <c r="F397" s="22" t="n">
        <f aca="false">IFERROR(D397*E397,0)</f>
        <v>430.11</v>
      </c>
      <c r="G397" s="16" t="str">
        <f aca="false">INDEX(SETORES!$B:$B,MATCH(A397,SETORES!$A:$A,0))</f>
        <v>Clientes</v>
      </c>
      <c r="H397" s="16" t="s">
        <v>20</v>
      </c>
    </row>
    <row r="398" customFormat="false" ht="14.25" hidden="false" customHeight="true" outlineLevel="0" collapsed="false">
      <c r="A398" s="40" t="s">
        <v>53</v>
      </c>
      <c r="B398" s="40" t="s">
        <v>148</v>
      </c>
      <c r="C398" s="40" t="s">
        <v>149</v>
      </c>
      <c r="D398" s="41" t="n">
        <v>31</v>
      </c>
      <c r="E398" s="42" t="n">
        <v>0.3648</v>
      </c>
      <c r="F398" s="43" t="n">
        <v>11.3088</v>
      </c>
      <c r="G398" s="40" t="str">
        <f aca="false">INDEX(SETORES!$B:$B,MATCH(A398,SETORES!$A:$A,0))</f>
        <v>Clientes</v>
      </c>
      <c r="H398" s="40" t="s">
        <v>20</v>
      </c>
    </row>
    <row r="399" customFormat="false" ht="14.25" hidden="false" customHeight="true" outlineLevel="0" collapsed="false">
      <c r="A399" s="16" t="s">
        <v>53</v>
      </c>
      <c r="B399" s="16" t="s">
        <v>148</v>
      </c>
      <c r="C399" s="16" t="s">
        <v>150</v>
      </c>
      <c r="D399" s="38" t="n">
        <v>1</v>
      </c>
      <c r="E399" s="39" t="n">
        <v>877.241207</v>
      </c>
      <c r="F399" s="22" t="n">
        <v>877.241207</v>
      </c>
      <c r="G399" s="16" t="str">
        <f aca="false">INDEX(SETORES!$B:$B,MATCH(A399,SETORES!$A:$A,0))</f>
        <v>Clientes</v>
      </c>
      <c r="H399" s="16" t="s">
        <v>20</v>
      </c>
    </row>
    <row r="400" customFormat="false" ht="14.25" hidden="false" customHeight="true" outlineLevel="0" collapsed="false">
      <c r="A400" s="40" t="s">
        <v>53</v>
      </c>
      <c r="B400" s="40" t="s">
        <v>148</v>
      </c>
      <c r="C400" s="40" t="s">
        <v>151</v>
      </c>
      <c r="D400" s="41" t="n">
        <v>1</v>
      </c>
      <c r="E400" s="42" t="n">
        <v>263.8346</v>
      </c>
      <c r="F400" s="43" t="n">
        <v>263.8346</v>
      </c>
      <c r="G400" s="40" t="str">
        <f aca="false">INDEX(SETORES!$B:$B,MATCH(A400,SETORES!$A:$A,0))</f>
        <v>Clientes</v>
      </c>
      <c r="H400" s="40" t="s">
        <v>20</v>
      </c>
    </row>
    <row r="401" customFormat="false" ht="14.25" hidden="false" customHeight="true" outlineLevel="0" collapsed="false">
      <c r="A401" s="16" t="s">
        <v>53</v>
      </c>
      <c r="B401" s="16" t="s">
        <v>148</v>
      </c>
      <c r="C401" s="16" t="s">
        <v>152</v>
      </c>
      <c r="D401" s="38" t="n">
        <v>1</v>
      </c>
      <c r="E401" s="39" t="n">
        <v>0</v>
      </c>
      <c r="F401" s="22" t="n">
        <v>0</v>
      </c>
      <c r="G401" s="16" t="str">
        <f aca="false">INDEX(SETORES!$B:$B,MATCH(A401,SETORES!$A:$A,0))</f>
        <v>Clientes</v>
      </c>
      <c r="H401" s="16" t="s">
        <v>20</v>
      </c>
    </row>
    <row r="402" customFormat="false" ht="14.25" hidden="false" customHeight="true" outlineLevel="0" collapsed="false">
      <c r="A402" s="40" t="s">
        <v>53</v>
      </c>
      <c r="B402" s="40" t="s">
        <v>148</v>
      </c>
      <c r="C402" s="40" t="s">
        <v>153</v>
      </c>
      <c r="D402" s="41"/>
      <c r="E402" s="42"/>
      <c r="F402" s="43" t="n">
        <f aca="false">IFERROR(D402*E402,0)</f>
        <v>0</v>
      </c>
      <c r="G402" s="40" t="str">
        <f aca="false">INDEX(SETORES!$B:$B,MATCH(A402,SETORES!$A:$A,0))</f>
        <v>Clientes</v>
      </c>
      <c r="H402" s="40" t="s">
        <v>20</v>
      </c>
    </row>
    <row r="403" customFormat="false" ht="14.25" hidden="false" customHeight="true" outlineLevel="0" collapsed="false">
      <c r="A403" s="16" t="s">
        <v>53</v>
      </c>
      <c r="B403" s="16" t="s">
        <v>148</v>
      </c>
      <c r="C403" s="16" t="s">
        <v>154</v>
      </c>
      <c r="D403" s="38" t="n">
        <v>1</v>
      </c>
      <c r="E403" s="39" t="n">
        <v>92773.57</v>
      </c>
      <c r="F403" s="22" t="n">
        <f aca="false">IFERROR(E403,0)</f>
        <v>92773.57</v>
      </c>
      <c r="G403" s="16" t="str">
        <f aca="false">INDEX(SETORES!$B:$B,MATCH(A403,SETORES!$A:$A,0))</f>
        <v>Clientes</v>
      </c>
      <c r="H403" s="16" t="s">
        <v>20</v>
      </c>
    </row>
    <row r="404" customFormat="false" ht="14.25" hidden="false" customHeight="true" outlineLevel="0" collapsed="false">
      <c r="A404" s="40" t="s">
        <v>53</v>
      </c>
      <c r="B404" s="40" t="s">
        <v>148</v>
      </c>
      <c r="C404" s="40" t="s">
        <v>159</v>
      </c>
      <c r="D404" s="41" t="n">
        <v>31</v>
      </c>
      <c r="E404" s="42"/>
      <c r="F404" s="43" t="n">
        <f aca="false">IFERROR(D404*E404,0)</f>
        <v>0</v>
      </c>
      <c r="G404" s="40" t="str">
        <f aca="false">INDEX(SETORES!$B:$B,MATCH(A404,SETORES!$A:$A,0))</f>
        <v>Clientes</v>
      </c>
      <c r="H404" s="40" t="s">
        <v>20</v>
      </c>
    </row>
    <row r="405" customFormat="false" ht="14.25" hidden="false" customHeight="true" outlineLevel="0" collapsed="false">
      <c r="A405" s="16" t="s">
        <v>53</v>
      </c>
      <c r="B405" s="16" t="s">
        <v>148</v>
      </c>
      <c r="C405" s="16" t="s">
        <v>180</v>
      </c>
      <c r="D405" s="38" t="n">
        <v>1</v>
      </c>
      <c r="E405" s="39" t="n">
        <v>1421.080083</v>
      </c>
      <c r="F405" s="22" t="n">
        <f aca="false">IFERROR(D405*E405,0)</f>
        <v>1421.080083</v>
      </c>
      <c r="G405" s="16" t="str">
        <f aca="false">INDEX(SETORES!$B:$B,MATCH(A405,SETORES!$A:$A,0))</f>
        <v>Clientes</v>
      </c>
      <c r="H405" s="16" t="s">
        <v>20</v>
      </c>
    </row>
    <row r="406" customFormat="false" ht="14.25" hidden="false" customHeight="true" outlineLevel="0" collapsed="false">
      <c r="A406" s="40" t="s">
        <v>53</v>
      </c>
      <c r="B406" s="40" t="s">
        <v>148</v>
      </c>
      <c r="C406" s="40" t="s">
        <v>181</v>
      </c>
      <c r="D406" s="41" t="n">
        <v>1</v>
      </c>
      <c r="E406" s="42" t="n">
        <v>1641.85</v>
      </c>
      <c r="F406" s="43" t="n">
        <f aca="false">IFERROR(D406*E406,0)</f>
        <v>1641.85</v>
      </c>
      <c r="G406" s="40" t="str">
        <f aca="false">INDEX(SETORES!$B:$B,MATCH(A406,SETORES!$A:$A,0))</f>
        <v>Clientes</v>
      </c>
      <c r="H406" s="40" t="s">
        <v>20</v>
      </c>
    </row>
    <row r="407" customFormat="false" ht="14.25" hidden="false" customHeight="true" outlineLevel="0" collapsed="false">
      <c r="A407" s="16" t="s">
        <v>53</v>
      </c>
      <c r="B407" s="16" t="s">
        <v>148</v>
      </c>
      <c r="C407" s="16" t="s">
        <v>182</v>
      </c>
      <c r="D407" s="38" t="n">
        <v>1</v>
      </c>
      <c r="E407" s="39" t="n">
        <v>668.103444</v>
      </c>
      <c r="F407" s="22" t="n">
        <f aca="false">IFERROR(D407*E407,0)</f>
        <v>668.103444</v>
      </c>
      <c r="G407" s="16" t="str">
        <f aca="false">INDEX(SETORES!$B:$B,MATCH(A407,SETORES!$A:$A,0))</f>
        <v>Clientes</v>
      </c>
      <c r="H407" s="16" t="s">
        <v>20</v>
      </c>
    </row>
    <row r="408" customFormat="false" ht="14.25" hidden="false" customHeight="true" outlineLevel="0" collapsed="false">
      <c r="A408" s="40" t="s">
        <v>53</v>
      </c>
      <c r="B408" s="40" t="s">
        <v>148</v>
      </c>
      <c r="C408" s="40" t="s">
        <v>183</v>
      </c>
      <c r="D408" s="41" t="n">
        <v>1</v>
      </c>
      <c r="E408" s="42" t="n">
        <v>89.079554</v>
      </c>
      <c r="F408" s="43" t="n">
        <f aca="false">IFERROR(D408*E408,0)</f>
        <v>89.079554</v>
      </c>
      <c r="G408" s="40" t="str">
        <f aca="false">INDEX(SETORES!$B:$B,MATCH(A408,SETORES!$A:$A,0))</f>
        <v>Clientes</v>
      </c>
      <c r="H408" s="40" t="s">
        <v>20</v>
      </c>
    </row>
    <row r="409" customFormat="false" ht="14.25" hidden="false" customHeight="true" outlineLevel="0" collapsed="false">
      <c r="A409" s="16" t="s">
        <v>53</v>
      </c>
      <c r="B409" s="16" t="s">
        <v>155</v>
      </c>
      <c r="C409" s="16" t="s">
        <v>184</v>
      </c>
      <c r="D409" s="38" t="n">
        <v>1</v>
      </c>
      <c r="E409" s="39" t="n">
        <v>246.885612</v>
      </c>
      <c r="F409" s="22" t="n">
        <f aca="false">IFERROR(D409*E409,0)</f>
        <v>246.885612</v>
      </c>
      <c r="G409" s="16" t="str">
        <f aca="false">INDEX(SETORES!$B:$B,MATCH(A409,SETORES!$A:$A,0))</f>
        <v>Clientes</v>
      </c>
      <c r="H409" s="16" t="s">
        <v>20</v>
      </c>
    </row>
    <row r="410" customFormat="false" ht="14.25" hidden="false" customHeight="true" outlineLevel="0" collapsed="false">
      <c r="A410" s="40" t="s">
        <v>53</v>
      </c>
      <c r="B410" s="40" t="s">
        <v>155</v>
      </c>
      <c r="C410" s="40" t="s">
        <v>185</v>
      </c>
      <c r="D410" s="41" t="n">
        <v>1</v>
      </c>
      <c r="E410" s="42" t="n">
        <v>242.73</v>
      </c>
      <c r="F410" s="43" t="n">
        <f aca="false">IFERROR(D410*E410,0)</f>
        <v>242.73</v>
      </c>
      <c r="G410" s="40" t="str">
        <f aca="false">INDEX(SETORES!$B:$B,MATCH(A410,SETORES!$A:$A,0))</f>
        <v>Clientes</v>
      </c>
      <c r="H410" s="40" t="s">
        <v>20</v>
      </c>
    </row>
    <row r="411" customFormat="false" ht="14.25" hidden="false" customHeight="true" outlineLevel="0" collapsed="false">
      <c r="A411" s="16" t="s">
        <v>53</v>
      </c>
      <c r="B411" s="16" t="s">
        <v>148</v>
      </c>
      <c r="C411" s="16" t="s">
        <v>186</v>
      </c>
      <c r="D411" s="38" t="n">
        <v>1</v>
      </c>
      <c r="E411" s="39" t="n">
        <v>52</v>
      </c>
      <c r="F411" s="22" t="n">
        <f aca="false">IFERROR(D411*E411,0)</f>
        <v>52</v>
      </c>
      <c r="G411" s="16" t="str">
        <f aca="false">INDEX(SETORES!$B:$B,MATCH(A411,SETORES!$A:$A,0))</f>
        <v>Clientes</v>
      </c>
      <c r="H411" s="16" t="s">
        <v>20</v>
      </c>
    </row>
    <row r="412" customFormat="false" ht="14.25" hidden="false" customHeight="true" outlineLevel="0" collapsed="false">
      <c r="A412" s="40" t="s">
        <v>53</v>
      </c>
      <c r="B412" s="40" t="s">
        <v>155</v>
      </c>
      <c r="C412" s="40" t="s">
        <v>187</v>
      </c>
      <c r="D412" s="41" t="n">
        <v>1</v>
      </c>
      <c r="E412" s="42" t="n">
        <v>23.5</v>
      </c>
      <c r="F412" s="43" t="n">
        <f aca="false">IFERROR(D412*E412,0)</f>
        <v>23.5</v>
      </c>
      <c r="G412" s="40" t="str">
        <f aca="false">INDEX(SETORES!$B:$B,MATCH(A412,SETORES!$A:$A,0))</f>
        <v>Clientes</v>
      </c>
      <c r="H412" s="40" t="s">
        <v>20</v>
      </c>
    </row>
    <row r="413" customFormat="false" ht="14.25" hidden="false" customHeight="true" outlineLevel="0" collapsed="false">
      <c r="A413" s="16" t="s">
        <v>53</v>
      </c>
      <c r="B413" s="16" t="s">
        <v>148</v>
      </c>
      <c r="C413" s="16" t="s">
        <v>160</v>
      </c>
      <c r="D413" s="38" t="n">
        <v>31</v>
      </c>
      <c r="E413" s="39" t="n">
        <v>10.05</v>
      </c>
      <c r="F413" s="22" t="n">
        <f aca="false">IFERROR(D413*E413,0)</f>
        <v>311.55</v>
      </c>
      <c r="G413" s="16" t="str">
        <f aca="false">INDEX(SETORES!$B:$B,MATCH(A413,SETORES!$A:$A,0))</f>
        <v>Clientes</v>
      </c>
      <c r="H413" s="16" t="s">
        <v>20</v>
      </c>
    </row>
    <row r="414" customFormat="false" ht="14.25" hidden="false" customHeight="true" outlineLevel="0" collapsed="false">
      <c r="A414" s="40" t="s">
        <v>53</v>
      </c>
      <c r="B414" s="40" t="s">
        <v>148</v>
      </c>
      <c r="C414" s="40" t="s">
        <v>161</v>
      </c>
      <c r="D414" s="41" t="n">
        <v>31</v>
      </c>
      <c r="E414" s="42" t="n">
        <v>2.07</v>
      </c>
      <c r="F414" s="43" t="n">
        <f aca="false">IFERROR(D414*E414,0)</f>
        <v>64.17</v>
      </c>
      <c r="G414" s="40" t="str">
        <f aca="false">INDEX(SETORES!$B:$B,MATCH(A414,SETORES!$A:$A,0))</f>
        <v>Clientes</v>
      </c>
      <c r="H414" s="40" t="s">
        <v>20</v>
      </c>
    </row>
    <row r="415" customFormat="false" ht="14.25" hidden="false" customHeight="true" outlineLevel="0" collapsed="false">
      <c r="A415" s="16" t="s">
        <v>53</v>
      </c>
      <c r="B415" s="16" t="s">
        <v>148</v>
      </c>
      <c r="C415" s="16" t="s">
        <v>162</v>
      </c>
      <c r="D415" s="38" t="n">
        <v>31</v>
      </c>
      <c r="E415" s="39" t="n">
        <v>64.57</v>
      </c>
      <c r="F415" s="22" t="n">
        <f aca="false">IFERROR(D415*E415,0)</f>
        <v>2001.67</v>
      </c>
      <c r="G415" s="16" t="str">
        <f aca="false">INDEX(SETORES!$B:$B,MATCH(A415,SETORES!$A:$A,0))</f>
        <v>Clientes</v>
      </c>
      <c r="H415" s="16" t="s">
        <v>20</v>
      </c>
    </row>
    <row r="416" customFormat="false" ht="14.25" hidden="false" customHeight="true" outlineLevel="0" collapsed="false">
      <c r="A416" s="40" t="s">
        <v>53</v>
      </c>
      <c r="B416" s="40" t="s">
        <v>148</v>
      </c>
      <c r="C416" s="40" t="s">
        <v>163</v>
      </c>
      <c r="D416" s="41" t="n">
        <v>31</v>
      </c>
      <c r="E416" s="42" t="n">
        <v>28.31</v>
      </c>
      <c r="F416" s="43" t="n">
        <f aca="false">IFERROR(D416*E416,0)</f>
        <v>877.61</v>
      </c>
      <c r="G416" s="40" t="str">
        <f aca="false">INDEX(SETORES!$B:$B,MATCH(A416,SETORES!$A:$A,0))</f>
        <v>Clientes</v>
      </c>
      <c r="H416" s="40" t="s">
        <v>20</v>
      </c>
    </row>
    <row r="417" customFormat="false" ht="14.25" hidden="true" customHeight="true" outlineLevel="0" collapsed="false">
      <c r="A417" s="16" t="s">
        <v>53</v>
      </c>
      <c r="B417" s="16" t="s">
        <v>148</v>
      </c>
      <c r="C417" s="16" t="s">
        <v>164</v>
      </c>
      <c r="D417" s="38" t="n">
        <v>31</v>
      </c>
      <c r="E417" s="39" t="n">
        <v>47.79</v>
      </c>
      <c r="F417" s="22" t="n">
        <f aca="false">IFERROR(D417*E417,0)</f>
        <v>1481.49</v>
      </c>
      <c r="G417" s="16" t="str">
        <f aca="false">INDEX(SETORES!$B:$B,MATCH(A417,SETORES!$A:$A,0))</f>
        <v>Clientes</v>
      </c>
      <c r="H417" s="16" t="s">
        <v>20</v>
      </c>
    </row>
    <row r="418" customFormat="false" ht="14.25" hidden="true" customHeight="true" outlineLevel="0" collapsed="false">
      <c r="A418" s="40" t="s">
        <v>51</v>
      </c>
      <c r="B418" s="40" t="s">
        <v>148</v>
      </c>
      <c r="C418" s="40" t="s">
        <v>149</v>
      </c>
      <c r="D418" s="41" t="n">
        <v>13</v>
      </c>
      <c r="E418" s="42" t="n">
        <v>0.3648</v>
      </c>
      <c r="F418" s="43" t="n">
        <v>4.7424</v>
      </c>
      <c r="G418" s="40" t="str">
        <f aca="false">INDEX(SETORES!$B:$B,MATCH(A418,SETORES!$A:$A,0))</f>
        <v>Clientes</v>
      </c>
      <c r="H418" s="40" t="s">
        <v>20</v>
      </c>
    </row>
    <row r="419" customFormat="false" ht="14.25" hidden="true" customHeight="true" outlineLevel="0" collapsed="false">
      <c r="A419" s="16" t="s">
        <v>51</v>
      </c>
      <c r="B419" s="16" t="s">
        <v>148</v>
      </c>
      <c r="C419" s="16" t="s">
        <v>150</v>
      </c>
      <c r="D419" s="38" t="n">
        <v>1</v>
      </c>
      <c r="E419" s="39" t="n">
        <v>367.875345</v>
      </c>
      <c r="F419" s="22" t="n">
        <v>367.875345</v>
      </c>
      <c r="G419" s="16" t="str">
        <f aca="false">INDEX(SETORES!$B:$B,MATCH(A419,SETORES!$A:$A,0))</f>
        <v>Clientes</v>
      </c>
      <c r="H419" s="16" t="s">
        <v>20</v>
      </c>
    </row>
    <row r="420" customFormat="false" ht="14.25" hidden="true" customHeight="true" outlineLevel="0" collapsed="false">
      <c r="A420" s="40" t="s">
        <v>51</v>
      </c>
      <c r="B420" s="40" t="s">
        <v>148</v>
      </c>
      <c r="C420" s="40" t="s">
        <v>151</v>
      </c>
      <c r="D420" s="41" t="n">
        <v>1</v>
      </c>
      <c r="E420" s="42" t="n">
        <v>110.6403</v>
      </c>
      <c r="F420" s="43" t="n">
        <v>110.6403</v>
      </c>
      <c r="G420" s="40" t="str">
        <f aca="false">INDEX(SETORES!$B:$B,MATCH(A420,SETORES!$A:$A,0))</f>
        <v>Clientes</v>
      </c>
      <c r="H420" s="40" t="s">
        <v>20</v>
      </c>
    </row>
    <row r="421" customFormat="false" ht="14.25" hidden="true" customHeight="true" outlineLevel="0" collapsed="false">
      <c r="A421" s="16" t="s">
        <v>51</v>
      </c>
      <c r="B421" s="16" t="s">
        <v>148</v>
      </c>
      <c r="C421" s="16" t="s">
        <v>152</v>
      </c>
      <c r="D421" s="38" t="n">
        <v>1</v>
      </c>
      <c r="E421" s="39" t="n">
        <v>0</v>
      </c>
      <c r="F421" s="22" t="n">
        <v>0</v>
      </c>
      <c r="G421" s="16" t="str">
        <f aca="false">INDEX(SETORES!$B:$B,MATCH(A421,SETORES!$A:$A,0))</f>
        <v>Clientes</v>
      </c>
      <c r="H421" s="16" t="s">
        <v>20</v>
      </c>
    </row>
    <row r="422" customFormat="false" ht="14.25" hidden="true" customHeight="true" outlineLevel="0" collapsed="false">
      <c r="A422" s="40" t="s">
        <v>51</v>
      </c>
      <c r="B422" s="40" t="s">
        <v>148</v>
      </c>
      <c r="C422" s="40" t="s">
        <v>153</v>
      </c>
      <c r="D422" s="41"/>
      <c r="E422" s="42"/>
      <c r="F422" s="43" t="n">
        <f aca="false">IFERROR(D422*E422,0)</f>
        <v>0</v>
      </c>
      <c r="G422" s="40" t="str">
        <f aca="false">INDEX(SETORES!$B:$B,MATCH(A422,SETORES!$A:$A,0))</f>
        <v>Clientes</v>
      </c>
      <c r="H422" s="40" t="s">
        <v>20</v>
      </c>
    </row>
    <row r="423" customFormat="false" ht="14.25" hidden="true" customHeight="true" outlineLevel="0" collapsed="false">
      <c r="A423" s="16" t="s">
        <v>51</v>
      </c>
      <c r="B423" s="16" t="s">
        <v>148</v>
      </c>
      <c r="C423" s="16" t="s">
        <v>154</v>
      </c>
      <c r="D423" s="38" t="n">
        <v>1</v>
      </c>
      <c r="E423" s="39" t="n">
        <v>56398.2299555556</v>
      </c>
      <c r="F423" s="22" t="n">
        <v>56398.2299555556</v>
      </c>
      <c r="G423" s="16" t="str">
        <f aca="false">INDEX(SETORES!$B:$B,MATCH(A423,SETORES!$A:$A,0))</f>
        <v>Clientes</v>
      </c>
      <c r="H423" s="16" t="s">
        <v>20</v>
      </c>
    </row>
    <row r="424" customFormat="false" ht="14.25" hidden="true" customHeight="true" outlineLevel="0" collapsed="false">
      <c r="A424" s="40" t="s">
        <v>51</v>
      </c>
      <c r="B424" s="40" t="s">
        <v>148</v>
      </c>
      <c r="C424" s="40" t="s">
        <v>159</v>
      </c>
      <c r="D424" s="41" t="n">
        <v>14</v>
      </c>
      <c r="E424" s="42" t="n">
        <v>50</v>
      </c>
      <c r="F424" s="43" t="n">
        <f aca="false">IFERROR(D424*E424,0)</f>
        <v>700</v>
      </c>
      <c r="G424" s="40" t="str">
        <f aca="false">INDEX(SETORES!$B:$B,MATCH(A424,SETORES!$A:$A,0))</f>
        <v>Clientes</v>
      </c>
      <c r="H424" s="40" t="s">
        <v>20</v>
      </c>
    </row>
    <row r="425" customFormat="false" ht="14.25" hidden="true" customHeight="true" outlineLevel="0" collapsed="false">
      <c r="A425" s="16" t="s">
        <v>51</v>
      </c>
      <c r="B425" s="16" t="s">
        <v>155</v>
      </c>
      <c r="C425" s="16" t="s">
        <v>227</v>
      </c>
      <c r="D425" s="38"/>
      <c r="E425" s="39"/>
      <c r="F425" s="22" t="n">
        <f aca="false">IFERROR(D425*E425,0)</f>
        <v>0</v>
      </c>
      <c r="G425" s="16" t="str">
        <f aca="false">INDEX(SETORES!$B:$B,MATCH(A425,SETORES!$A:$A,0))</f>
        <v>Clientes</v>
      </c>
      <c r="H425" s="16" t="s">
        <v>20</v>
      </c>
    </row>
    <row r="426" customFormat="false" ht="14.25" hidden="true" customHeight="true" outlineLevel="0" collapsed="false">
      <c r="A426" s="40" t="s">
        <v>51</v>
      </c>
      <c r="B426" s="40" t="s">
        <v>148</v>
      </c>
      <c r="C426" s="40" t="s">
        <v>228</v>
      </c>
      <c r="D426" s="41" t="n">
        <v>1</v>
      </c>
      <c r="E426" s="42" t="n">
        <v>595.936809</v>
      </c>
      <c r="F426" s="43" t="n">
        <f aca="false">IFERROR(D426*E426,0)</f>
        <v>595.936809</v>
      </c>
      <c r="G426" s="40" t="str">
        <f aca="false">INDEX(SETORES!$B:$B,MATCH(A426,SETORES!$A:$A,0))</f>
        <v>Clientes</v>
      </c>
      <c r="H426" s="40" t="s">
        <v>20</v>
      </c>
    </row>
    <row r="427" customFormat="false" ht="14.25" hidden="true" customHeight="true" outlineLevel="0" collapsed="false">
      <c r="A427" s="16" t="s">
        <v>51</v>
      </c>
      <c r="B427" s="16" t="s">
        <v>148</v>
      </c>
      <c r="C427" s="16" t="s">
        <v>181</v>
      </c>
      <c r="D427" s="38" t="n">
        <v>1</v>
      </c>
      <c r="E427" s="39" t="n">
        <v>1641.85</v>
      </c>
      <c r="F427" s="22" t="n">
        <f aca="false">IFERROR(D427*E427,0)</f>
        <v>1641.85</v>
      </c>
      <c r="G427" s="16" t="str">
        <f aca="false">INDEX(SETORES!$B:$B,MATCH(A427,SETORES!$A:$A,0))</f>
        <v>Clientes</v>
      </c>
      <c r="H427" s="16" t="s">
        <v>20</v>
      </c>
    </row>
    <row r="428" customFormat="false" ht="14.25" hidden="true" customHeight="true" outlineLevel="0" collapsed="false">
      <c r="A428" s="40" t="s">
        <v>51</v>
      </c>
      <c r="B428" s="40" t="s">
        <v>148</v>
      </c>
      <c r="C428" s="40" t="s">
        <v>182</v>
      </c>
      <c r="D428" s="41" t="n">
        <v>1</v>
      </c>
      <c r="E428" s="42" t="n">
        <v>280.172412</v>
      </c>
      <c r="F428" s="43" t="n">
        <f aca="false">IFERROR(D428*E428,0)</f>
        <v>280.172412</v>
      </c>
      <c r="G428" s="40" t="str">
        <f aca="false">INDEX(SETORES!$B:$B,MATCH(A428,SETORES!$A:$A,0))</f>
        <v>Clientes</v>
      </c>
      <c r="H428" s="40" t="s">
        <v>20</v>
      </c>
    </row>
    <row r="429" customFormat="false" ht="14.25" hidden="true" customHeight="true" outlineLevel="0" collapsed="false">
      <c r="A429" s="16" t="s">
        <v>51</v>
      </c>
      <c r="B429" s="16" t="s">
        <v>148</v>
      </c>
      <c r="C429" s="16" t="s">
        <v>183</v>
      </c>
      <c r="D429" s="38" t="n">
        <v>1</v>
      </c>
      <c r="E429" s="39" t="n">
        <v>37.355942</v>
      </c>
      <c r="F429" s="22" t="n">
        <f aca="false">IFERROR(D429*E429,0)</f>
        <v>37.355942</v>
      </c>
      <c r="G429" s="16" t="str">
        <f aca="false">INDEX(SETORES!$B:$B,MATCH(A429,SETORES!$A:$A,0))</f>
        <v>Clientes</v>
      </c>
      <c r="H429" s="16" t="s">
        <v>20</v>
      </c>
    </row>
    <row r="430" customFormat="false" ht="14.25" hidden="true" customHeight="true" outlineLevel="0" collapsed="false">
      <c r="A430" s="40" t="s">
        <v>51</v>
      </c>
      <c r="B430" s="40" t="s">
        <v>155</v>
      </c>
      <c r="C430" s="40" t="s">
        <v>184</v>
      </c>
      <c r="D430" s="41" t="n">
        <v>1</v>
      </c>
      <c r="E430" s="42" t="n">
        <v>103.532676</v>
      </c>
      <c r="F430" s="43" t="n">
        <f aca="false">IFERROR(D430*E430,0)</f>
        <v>103.532676</v>
      </c>
      <c r="G430" s="40" t="str">
        <f aca="false">INDEX(SETORES!$B:$B,MATCH(A430,SETORES!$A:$A,0))</f>
        <v>Clientes</v>
      </c>
      <c r="H430" s="40" t="s">
        <v>20</v>
      </c>
    </row>
    <row r="431" customFormat="false" ht="14.25" hidden="true" customHeight="true" outlineLevel="0" collapsed="false">
      <c r="A431" s="16" t="s">
        <v>51</v>
      </c>
      <c r="B431" s="16" t="s">
        <v>155</v>
      </c>
      <c r="C431" s="16" t="s">
        <v>185</v>
      </c>
      <c r="D431" s="38" t="n">
        <v>1</v>
      </c>
      <c r="E431" s="39" t="n">
        <v>242.73</v>
      </c>
      <c r="F431" s="22" t="n">
        <f aca="false">IFERROR(D431*E431,0)</f>
        <v>242.73</v>
      </c>
      <c r="G431" s="16" t="str">
        <f aca="false">INDEX(SETORES!$B:$B,MATCH(A431,SETORES!$A:$A,0))</f>
        <v>Clientes</v>
      </c>
      <c r="H431" s="16" t="s">
        <v>20</v>
      </c>
    </row>
    <row r="432" customFormat="false" ht="14.25" hidden="true" customHeight="true" outlineLevel="0" collapsed="false">
      <c r="A432" s="40" t="s">
        <v>51</v>
      </c>
      <c r="B432" s="40" t="s">
        <v>148</v>
      </c>
      <c r="C432" s="40" t="s">
        <v>186</v>
      </c>
      <c r="D432" s="41" t="n">
        <v>1</v>
      </c>
      <c r="E432" s="42" t="n">
        <v>52</v>
      </c>
      <c r="F432" s="43" t="n">
        <f aca="false">IFERROR(D432*E432,0)</f>
        <v>52</v>
      </c>
      <c r="G432" s="40" t="str">
        <f aca="false">INDEX(SETORES!$B:$B,MATCH(A432,SETORES!$A:$A,0))</f>
        <v>Clientes</v>
      </c>
      <c r="H432" s="40" t="s">
        <v>20</v>
      </c>
    </row>
    <row r="433" customFormat="false" ht="14.25" hidden="true" customHeight="true" outlineLevel="0" collapsed="false">
      <c r="A433" s="16" t="s">
        <v>51</v>
      </c>
      <c r="B433" s="16" t="s">
        <v>155</v>
      </c>
      <c r="C433" s="16" t="s">
        <v>187</v>
      </c>
      <c r="D433" s="38" t="n">
        <v>1</v>
      </c>
      <c r="E433" s="39" t="n">
        <v>23.5</v>
      </c>
      <c r="F433" s="22" t="n">
        <f aca="false">IFERROR(D433*E433,0)</f>
        <v>23.5</v>
      </c>
      <c r="G433" s="16" t="str">
        <f aca="false">INDEX(SETORES!$B:$B,MATCH(A433,SETORES!$A:$A,0))</f>
        <v>Clientes</v>
      </c>
      <c r="H433" s="16" t="s">
        <v>20</v>
      </c>
    </row>
    <row r="434" customFormat="false" ht="14.25" hidden="true" customHeight="true" outlineLevel="0" collapsed="false">
      <c r="A434" s="40" t="s">
        <v>51</v>
      </c>
      <c r="B434" s="40" t="s">
        <v>148</v>
      </c>
      <c r="C434" s="40" t="s">
        <v>160</v>
      </c>
      <c r="D434" s="41" t="n">
        <v>13</v>
      </c>
      <c r="E434" s="42" t="n">
        <v>10.05</v>
      </c>
      <c r="F434" s="43" t="n">
        <v>130.65</v>
      </c>
      <c r="G434" s="40" t="str">
        <f aca="false">INDEX(SETORES!$B:$B,MATCH(A434,SETORES!$A:$A,0))</f>
        <v>Clientes</v>
      </c>
      <c r="H434" s="40" t="s">
        <v>20</v>
      </c>
    </row>
    <row r="435" customFormat="false" ht="14.25" hidden="true" customHeight="true" outlineLevel="0" collapsed="false">
      <c r="A435" s="16" t="s">
        <v>51</v>
      </c>
      <c r="B435" s="16" t="s">
        <v>148</v>
      </c>
      <c r="C435" s="16" t="s">
        <v>161</v>
      </c>
      <c r="D435" s="38" t="n">
        <v>13</v>
      </c>
      <c r="E435" s="39" t="n">
        <v>2.07</v>
      </c>
      <c r="F435" s="22" t="n">
        <v>26.91</v>
      </c>
      <c r="G435" s="16" t="str">
        <f aca="false">INDEX(SETORES!$B:$B,MATCH(A435,SETORES!$A:$A,0))</f>
        <v>Clientes</v>
      </c>
      <c r="H435" s="16" t="s">
        <v>20</v>
      </c>
    </row>
    <row r="436" customFormat="false" ht="14.25" hidden="true" customHeight="true" outlineLevel="0" collapsed="false">
      <c r="A436" s="40" t="s">
        <v>51</v>
      </c>
      <c r="B436" s="40" t="s">
        <v>148</v>
      </c>
      <c r="C436" s="40" t="s">
        <v>162</v>
      </c>
      <c r="D436" s="41" t="n">
        <v>13</v>
      </c>
      <c r="E436" s="42" t="n">
        <v>64.57</v>
      </c>
      <c r="F436" s="43" t="n">
        <v>839.41</v>
      </c>
      <c r="G436" s="40" t="str">
        <f aca="false">INDEX(SETORES!$B:$B,MATCH(A436,SETORES!$A:$A,0))</f>
        <v>Clientes</v>
      </c>
      <c r="H436" s="40" t="s">
        <v>20</v>
      </c>
    </row>
    <row r="437" customFormat="false" ht="14.25" hidden="true" customHeight="true" outlineLevel="0" collapsed="false">
      <c r="A437" s="16" t="s">
        <v>51</v>
      </c>
      <c r="B437" s="16" t="s">
        <v>148</v>
      </c>
      <c r="C437" s="16" t="s">
        <v>163</v>
      </c>
      <c r="D437" s="38" t="n">
        <v>13</v>
      </c>
      <c r="E437" s="39" t="n">
        <v>28.31</v>
      </c>
      <c r="F437" s="22" t="n">
        <v>368.03</v>
      </c>
      <c r="G437" s="16" t="str">
        <f aca="false">INDEX(SETORES!$B:$B,MATCH(A437,SETORES!$A:$A,0))</f>
        <v>Clientes</v>
      </c>
      <c r="H437" s="16" t="s">
        <v>20</v>
      </c>
    </row>
    <row r="438" customFormat="false" ht="14.25" hidden="true" customHeight="true" outlineLevel="0" collapsed="false">
      <c r="A438" s="40" t="s">
        <v>51</v>
      </c>
      <c r="B438" s="40" t="s">
        <v>148</v>
      </c>
      <c r="C438" s="40" t="s">
        <v>164</v>
      </c>
      <c r="D438" s="41" t="n">
        <v>13</v>
      </c>
      <c r="E438" s="42" t="n">
        <v>47.79</v>
      </c>
      <c r="F438" s="43" t="n">
        <v>621.27</v>
      </c>
      <c r="G438" s="40" t="str">
        <f aca="false">INDEX(SETORES!$B:$B,MATCH(A438,SETORES!$A:$A,0))</f>
        <v>Clientes</v>
      </c>
      <c r="H438" s="40" t="s">
        <v>20</v>
      </c>
    </row>
    <row r="439" customFormat="false" ht="14.25" hidden="true" customHeight="true" outlineLevel="0" collapsed="false">
      <c r="A439" s="16" t="s">
        <v>53</v>
      </c>
      <c r="B439" s="16" t="s">
        <v>155</v>
      </c>
      <c r="C439" s="16" t="s">
        <v>210</v>
      </c>
      <c r="D439" s="38"/>
      <c r="E439" s="39"/>
      <c r="F439" s="22" t="n">
        <f aca="false">IFERROR(D439*E439,0)</f>
        <v>0</v>
      </c>
      <c r="G439" s="16" t="str">
        <f aca="false">INDEX(SETORES!$B:$B,MATCH(A439,SETORES!$A:$A,0))</f>
        <v>Clientes</v>
      </c>
      <c r="H439" s="16" t="s">
        <v>20</v>
      </c>
    </row>
    <row r="440" customFormat="false" ht="14.25" hidden="true" customHeight="true" outlineLevel="0" collapsed="false">
      <c r="A440" s="40" t="s">
        <v>51</v>
      </c>
      <c r="B440" s="40" t="s">
        <v>155</v>
      </c>
      <c r="C440" s="40" t="s">
        <v>210</v>
      </c>
      <c r="D440" s="41"/>
      <c r="E440" s="42"/>
      <c r="F440" s="43" t="n">
        <f aca="false">IFERROR(D440*E440,0)</f>
        <v>0</v>
      </c>
      <c r="G440" s="40" t="str">
        <f aca="false">INDEX(SETORES!$B:$B,MATCH(A440,SETORES!$A:$A,0))</f>
        <v>Clientes</v>
      </c>
      <c r="H440" s="40" t="s">
        <v>20</v>
      </c>
    </row>
    <row r="441" customFormat="false" ht="14.25" hidden="true" customHeight="true" outlineLevel="0" collapsed="false">
      <c r="A441" s="16" t="s">
        <v>54</v>
      </c>
      <c r="B441" s="16" t="s">
        <v>155</v>
      </c>
      <c r="C441" s="16" t="s">
        <v>210</v>
      </c>
      <c r="D441" s="38"/>
      <c r="E441" s="39"/>
      <c r="F441" s="22" t="n">
        <f aca="false">IFERROR(D441*E441,0)</f>
        <v>0</v>
      </c>
      <c r="G441" s="16" t="str">
        <f aca="false">INDEX(SETORES!$B:$B,MATCH(A441,SETORES!$A:$A,0))</f>
        <v>Clientes</v>
      </c>
      <c r="H441" s="16" t="s">
        <v>20</v>
      </c>
    </row>
    <row r="442" customFormat="false" ht="14.25" hidden="true" customHeight="true" outlineLevel="0" collapsed="false">
      <c r="A442" s="40" t="s">
        <v>53</v>
      </c>
      <c r="B442" s="40" t="s">
        <v>155</v>
      </c>
      <c r="C442" s="40" t="s">
        <v>158</v>
      </c>
      <c r="D442" s="41" t="n">
        <v>1</v>
      </c>
      <c r="E442" s="42" t="n">
        <v>9622.9</v>
      </c>
      <c r="F442" s="43" t="n">
        <f aca="false">IFERROR(D442*E442,0)</f>
        <v>9622.9</v>
      </c>
      <c r="G442" s="40" t="str">
        <f aca="false">INDEX(SETORES!$B:$B,MATCH(A442,SETORES!$A:$A,0))</f>
        <v>Clientes</v>
      </c>
      <c r="H442" s="40" t="s">
        <v>20</v>
      </c>
    </row>
    <row r="443" customFormat="false" ht="14.25" hidden="true" customHeight="true" outlineLevel="0" collapsed="false">
      <c r="A443" s="16" t="s">
        <v>53</v>
      </c>
      <c r="B443" s="16" t="s">
        <v>155</v>
      </c>
      <c r="C443" s="16" t="s">
        <v>215</v>
      </c>
      <c r="D443" s="38"/>
      <c r="E443" s="39"/>
      <c r="F443" s="22" t="n">
        <f aca="false">IFERROR(D443*E443,0)</f>
        <v>0</v>
      </c>
      <c r="G443" s="16" t="str">
        <f aca="false">INDEX(SETORES!$B:$B,MATCH(A443,SETORES!$A:$A,0))</f>
        <v>Clientes</v>
      </c>
      <c r="H443" s="16" t="s">
        <v>20</v>
      </c>
    </row>
    <row r="444" customFormat="false" ht="14.25" hidden="true" customHeight="true" outlineLevel="0" collapsed="false">
      <c r="A444" s="40" t="s">
        <v>51</v>
      </c>
      <c r="B444" s="40" t="s">
        <v>155</v>
      </c>
      <c r="C444" s="40" t="s">
        <v>215</v>
      </c>
      <c r="D444" s="41"/>
      <c r="E444" s="42"/>
      <c r="F444" s="43" t="n">
        <f aca="false">IFERROR(D444*E444,0)</f>
        <v>0</v>
      </c>
      <c r="G444" s="40" t="str">
        <f aca="false">INDEX(SETORES!$B:$B,MATCH(A444,SETORES!$A:$A,0))</f>
        <v>Clientes</v>
      </c>
      <c r="H444" s="40" t="s">
        <v>20</v>
      </c>
    </row>
    <row r="445" customFormat="false" ht="14.25" hidden="true" customHeight="true" outlineLevel="0" collapsed="false">
      <c r="A445" s="16" t="s">
        <v>55</v>
      </c>
      <c r="B445" s="16" t="s">
        <v>148</v>
      </c>
      <c r="C445" s="16" t="s">
        <v>229</v>
      </c>
      <c r="D445" s="38" t="n">
        <v>1</v>
      </c>
      <c r="E445" s="39" t="n">
        <v>21454</v>
      </c>
      <c r="F445" s="22" t="n">
        <f aca="false">IFERROR(D445*E445,0)</f>
        <v>21454</v>
      </c>
      <c r="G445" s="16" t="str">
        <f aca="false">INDEX(SETORES!$B:$B,MATCH(A445,SETORES!$A:$A,0))</f>
        <v>Funcionários</v>
      </c>
      <c r="H445" s="16" t="s">
        <v>20</v>
      </c>
    </row>
    <row r="446" customFormat="false" ht="14.25" hidden="true" customHeight="true" outlineLevel="0" collapsed="false">
      <c r="A446" s="40" t="s">
        <v>86</v>
      </c>
      <c r="B446" s="40" t="s">
        <v>148</v>
      </c>
      <c r="C446" s="40" t="s">
        <v>154</v>
      </c>
      <c r="D446" s="41" t="n">
        <v>1</v>
      </c>
      <c r="E446" s="42" t="n">
        <v>24142.91</v>
      </c>
      <c r="F446" s="43" t="n">
        <f aca="false">IFERROR(E446,0)</f>
        <v>24142.91</v>
      </c>
      <c r="G446" s="40" t="str">
        <f aca="false">INDEX(SETORES!$B:$B,MATCH(A446,SETORES!$A:$A,0))</f>
        <v>Clientes</v>
      </c>
      <c r="H446" s="40" t="s">
        <v>20</v>
      </c>
    </row>
    <row r="447" customFormat="false" ht="14.25" hidden="true" customHeight="true" outlineLevel="0" collapsed="false">
      <c r="A447" s="16" t="s">
        <v>86</v>
      </c>
      <c r="B447" s="16" t="s">
        <v>148</v>
      </c>
      <c r="C447" s="16" t="s">
        <v>150</v>
      </c>
      <c r="D447" s="38" t="n">
        <v>1</v>
      </c>
      <c r="E447" s="39" t="n">
        <v>160.86</v>
      </c>
      <c r="F447" s="22" t="n">
        <v>160.86</v>
      </c>
      <c r="G447" s="16" t="str">
        <f aca="false">INDEX(SETORES!$B:$B,MATCH(A447,SETORES!$A:$A,0))</f>
        <v>Clientes</v>
      </c>
      <c r="H447" s="16" t="s">
        <v>20</v>
      </c>
    </row>
    <row r="448" customFormat="false" ht="14.25" hidden="true" customHeight="true" outlineLevel="0" collapsed="false">
      <c r="A448" s="40" t="s">
        <v>83</v>
      </c>
      <c r="B448" s="40" t="s">
        <v>148</v>
      </c>
      <c r="C448" s="40" t="s">
        <v>154</v>
      </c>
      <c r="D448" s="41" t="n">
        <v>1</v>
      </c>
      <c r="E448" s="42" t="n">
        <v>4665.95</v>
      </c>
      <c r="F448" s="43" t="n">
        <f aca="false">IFERROR(E448,0)</f>
        <v>4665.95</v>
      </c>
      <c r="G448" s="40" t="str">
        <f aca="false">INDEX(SETORES!$B:$B,MATCH(A448,SETORES!$A:$A,0))</f>
        <v>Clientes</v>
      </c>
      <c r="H448" s="40" t="s">
        <v>20</v>
      </c>
    </row>
    <row r="449" customFormat="false" ht="14.25" hidden="true" customHeight="true" outlineLevel="0" collapsed="false">
      <c r="A449" s="16" t="s">
        <v>85</v>
      </c>
      <c r="B449" s="16" t="s">
        <v>148</v>
      </c>
      <c r="C449" s="16" t="s">
        <v>154</v>
      </c>
      <c r="D449" s="38" t="n">
        <v>1</v>
      </c>
      <c r="E449" s="39" t="n">
        <v>55569.77</v>
      </c>
      <c r="F449" s="22" t="n">
        <f aca="false">IFERROR(E449,0)</f>
        <v>55569.77</v>
      </c>
      <c r="G449" s="16" t="str">
        <f aca="false">INDEX(SETORES!$B:$B,MATCH(A449,SETORES!$A:$A,0))</f>
        <v>Clientes</v>
      </c>
      <c r="H449" s="16" t="s">
        <v>20</v>
      </c>
    </row>
    <row r="450" customFormat="false" ht="14.25" hidden="true" customHeight="true" outlineLevel="0" collapsed="false">
      <c r="A450" s="40" t="s">
        <v>85</v>
      </c>
      <c r="B450" s="40" t="s">
        <v>155</v>
      </c>
      <c r="C450" s="40" t="s">
        <v>210</v>
      </c>
      <c r="D450" s="41" t="n">
        <v>1</v>
      </c>
      <c r="E450" s="42" t="n">
        <v>2716.71</v>
      </c>
      <c r="F450" s="43" t="n">
        <f aca="false">IFERROR(D450*E450,0)</f>
        <v>2716.71</v>
      </c>
      <c r="G450" s="40" t="str">
        <f aca="false">INDEX(SETORES!$B:$B,MATCH(A450,SETORES!$A:$A,0))</f>
        <v>Clientes</v>
      </c>
      <c r="H450" s="40" t="s">
        <v>20</v>
      </c>
    </row>
    <row r="451" customFormat="false" ht="14.25" hidden="true" customHeight="true" outlineLevel="0" collapsed="false">
      <c r="A451" s="16" t="s">
        <v>87</v>
      </c>
      <c r="B451" s="16" t="s">
        <v>148</v>
      </c>
      <c r="C451" s="16" t="s">
        <v>154</v>
      </c>
      <c r="D451" s="38" t="n">
        <v>1</v>
      </c>
      <c r="E451" s="39" t="n">
        <v>26750.76</v>
      </c>
      <c r="F451" s="22" t="n">
        <f aca="false">IFERROR(E451,0)</f>
        <v>26750.76</v>
      </c>
      <c r="G451" s="16" t="str">
        <f aca="false">INDEX(SETORES!$B:$B,MATCH(A451,SETORES!$A:$A,0))</f>
        <v>Clientes</v>
      </c>
      <c r="H451" s="16" t="s">
        <v>20</v>
      </c>
    </row>
    <row r="452" customFormat="false" ht="14.25" hidden="true" customHeight="true" outlineLevel="0" collapsed="false">
      <c r="A452" s="40" t="s">
        <v>78</v>
      </c>
      <c r="B452" s="40" t="s">
        <v>148</v>
      </c>
      <c r="C452" s="40" t="s">
        <v>154</v>
      </c>
      <c r="D452" s="41" t="n">
        <v>1</v>
      </c>
      <c r="E452" s="42" t="n">
        <v>78365.15</v>
      </c>
      <c r="F452" s="43" t="n">
        <f aca="false">IFERROR(E452,0)</f>
        <v>78365.15</v>
      </c>
      <c r="G452" s="40" t="str">
        <f aca="false">INDEX(SETORES!$B:$B,MATCH(A452,SETORES!$A:$A,0))</f>
        <v>Clientes</v>
      </c>
      <c r="H452" s="40" t="s">
        <v>20</v>
      </c>
    </row>
    <row r="453" customFormat="false" ht="14.25" hidden="true" customHeight="true" outlineLevel="0" collapsed="false">
      <c r="A453" s="16" t="s">
        <v>81</v>
      </c>
      <c r="B453" s="16" t="s">
        <v>148</v>
      </c>
      <c r="C453" s="16" t="s">
        <v>154</v>
      </c>
      <c r="D453" s="38" t="n">
        <v>1</v>
      </c>
      <c r="E453" s="39" t="n">
        <v>9414.74</v>
      </c>
      <c r="F453" s="22" t="n">
        <f aca="false">IFERROR(E453,0)</f>
        <v>9414.74</v>
      </c>
      <c r="G453" s="16" t="str">
        <f aca="false">INDEX(SETORES!$B:$B,MATCH(A453,SETORES!$A:$A,0))</f>
        <v>Clientes</v>
      </c>
      <c r="H453" s="16" t="s">
        <v>20</v>
      </c>
    </row>
    <row r="454" customFormat="false" ht="14.25" hidden="true" customHeight="true" outlineLevel="0" collapsed="false">
      <c r="A454" s="40" t="s">
        <v>84</v>
      </c>
      <c r="B454" s="40" t="s">
        <v>148</v>
      </c>
      <c r="C454" s="40" t="s">
        <v>154</v>
      </c>
      <c r="D454" s="41" t="n">
        <v>1</v>
      </c>
      <c r="E454" s="42" t="n">
        <v>107136.79</v>
      </c>
      <c r="F454" s="43" t="n">
        <f aca="false">IFERROR(E454,0)</f>
        <v>107136.79</v>
      </c>
      <c r="G454" s="40" t="str">
        <f aca="false">INDEX(SETORES!$B:$B,MATCH(A454,SETORES!$A:$A,0))</f>
        <v>Clientes</v>
      </c>
      <c r="H454" s="40" t="s">
        <v>20</v>
      </c>
    </row>
    <row r="455" customFormat="false" ht="14.25" hidden="true" customHeight="true" outlineLevel="0" collapsed="false">
      <c r="A455" s="16" t="s">
        <v>84</v>
      </c>
      <c r="B455" s="16" t="s">
        <v>155</v>
      </c>
      <c r="C455" s="16" t="s">
        <v>210</v>
      </c>
      <c r="D455" s="38" t="n">
        <v>1</v>
      </c>
      <c r="E455" s="39" t="n">
        <v>13697.37</v>
      </c>
      <c r="F455" s="22" t="n">
        <f aca="false">IFERROR(D455*E455,0)</f>
        <v>13697.37</v>
      </c>
      <c r="G455" s="16" t="str">
        <f aca="false">INDEX(SETORES!$B:$B,MATCH(A455,SETORES!$A:$A,0))</f>
        <v>Clientes</v>
      </c>
      <c r="H455" s="16" t="s">
        <v>20</v>
      </c>
    </row>
    <row r="456" customFormat="false" ht="14.25" hidden="true" customHeight="true" outlineLevel="0" collapsed="false">
      <c r="A456" s="40" t="s">
        <v>84</v>
      </c>
      <c r="B456" s="40" t="s">
        <v>155</v>
      </c>
      <c r="C456" s="40" t="s">
        <v>214</v>
      </c>
      <c r="D456" s="41" t="n">
        <v>1</v>
      </c>
      <c r="E456" s="42" t="n">
        <v>7221.35</v>
      </c>
      <c r="F456" s="43" t="n">
        <f aca="false">IFERROR(D456*E456,0)</f>
        <v>7221.35</v>
      </c>
      <c r="G456" s="40" t="str">
        <f aca="false">INDEX(SETORES!$B:$B,MATCH(A456,SETORES!$A:$A,0))</f>
        <v>Clientes</v>
      </c>
      <c r="H456" s="40" t="s">
        <v>20</v>
      </c>
    </row>
    <row r="457" customFormat="false" ht="14.25" hidden="true" customHeight="true" outlineLevel="0" collapsed="false">
      <c r="A457" s="16" t="s">
        <v>84</v>
      </c>
      <c r="B457" s="16" t="s">
        <v>155</v>
      </c>
      <c r="C457" s="16" t="s">
        <v>215</v>
      </c>
      <c r="D457" s="38" t="n">
        <v>1</v>
      </c>
      <c r="E457" s="39" t="n">
        <v>1746.63</v>
      </c>
      <c r="F457" s="22" t="n">
        <f aca="false">IFERROR(D457*E457,0)</f>
        <v>1746.63</v>
      </c>
      <c r="G457" s="16" t="str">
        <f aca="false">INDEX(SETORES!$B:$B,MATCH(A457,SETORES!$A:$A,0))</f>
        <v>Clientes</v>
      </c>
      <c r="H457" s="16" t="s">
        <v>20</v>
      </c>
    </row>
    <row r="458" customFormat="false" ht="14.25" hidden="true" customHeight="true" outlineLevel="0" collapsed="false">
      <c r="A458" s="40" t="s">
        <v>82</v>
      </c>
      <c r="B458" s="40" t="s">
        <v>148</v>
      </c>
      <c r="C458" s="40" t="s">
        <v>154</v>
      </c>
      <c r="D458" s="41" t="n">
        <v>1</v>
      </c>
      <c r="E458" s="42" t="n">
        <v>51299.35</v>
      </c>
      <c r="F458" s="43" t="n">
        <f aca="false">IFERROR(E458,0)</f>
        <v>51299.35</v>
      </c>
      <c r="G458" s="40" t="str">
        <f aca="false">INDEX(SETORES!$B:$B,MATCH(A458,SETORES!$A:$A,0))</f>
        <v>Clientes</v>
      </c>
      <c r="H458" s="40" t="s">
        <v>20</v>
      </c>
    </row>
    <row r="459" customFormat="false" ht="14.25" hidden="true" customHeight="true" outlineLevel="0" collapsed="false">
      <c r="A459" s="16" t="s">
        <v>82</v>
      </c>
      <c r="B459" s="16" t="s">
        <v>155</v>
      </c>
      <c r="C459" s="16" t="s">
        <v>210</v>
      </c>
      <c r="D459" s="38" t="n">
        <v>1</v>
      </c>
      <c r="E459" s="39" t="n">
        <v>14428.61</v>
      </c>
      <c r="F459" s="22" t="n">
        <f aca="false">IFERROR(D459*E459,0)</f>
        <v>14428.61</v>
      </c>
      <c r="G459" s="16" t="str">
        <f aca="false">INDEX(SETORES!$B:$B,MATCH(A459,SETORES!$A:$A,0))</f>
        <v>Clientes</v>
      </c>
      <c r="H459" s="16" t="s">
        <v>20</v>
      </c>
    </row>
    <row r="460" customFormat="false" ht="14.25" hidden="true" customHeight="true" outlineLevel="0" collapsed="false">
      <c r="A460" s="40" t="s">
        <v>82</v>
      </c>
      <c r="B460" s="40" t="s">
        <v>155</v>
      </c>
      <c r="C460" s="40" t="s">
        <v>214</v>
      </c>
      <c r="D460" s="41" t="n">
        <v>1</v>
      </c>
      <c r="E460" s="42" t="n">
        <v>1397</v>
      </c>
      <c r="F460" s="43" t="n">
        <f aca="false">IFERROR(D460*E460,0)</f>
        <v>1397</v>
      </c>
      <c r="G460" s="40" t="str">
        <f aca="false">INDEX(SETORES!$B:$B,MATCH(A460,SETORES!$A:$A,0))</f>
        <v>Clientes</v>
      </c>
      <c r="H460" s="40" t="s">
        <v>20</v>
      </c>
    </row>
    <row r="461" customFormat="false" ht="14.25" hidden="true" customHeight="true" outlineLevel="0" collapsed="false">
      <c r="A461" s="16" t="s">
        <v>80</v>
      </c>
      <c r="B461" s="16" t="s">
        <v>148</v>
      </c>
      <c r="C461" s="16" t="s">
        <v>154</v>
      </c>
      <c r="D461" s="38" t="n">
        <v>1</v>
      </c>
      <c r="E461" s="39" t="n">
        <v>28931.13</v>
      </c>
      <c r="F461" s="22" t="n">
        <f aca="false">IFERROR(E461,0)</f>
        <v>28931.13</v>
      </c>
      <c r="G461" s="16" t="str">
        <f aca="false">INDEX(SETORES!$B:$B,MATCH(A461,SETORES!$A:$A,0))</f>
        <v>Clientes</v>
      </c>
      <c r="H461" s="16" t="s">
        <v>20</v>
      </c>
    </row>
    <row r="462" customFormat="false" ht="14.25" hidden="true" customHeight="true" outlineLevel="0" collapsed="false">
      <c r="A462" s="40" t="s">
        <v>86</v>
      </c>
      <c r="B462" s="40" t="s">
        <v>148</v>
      </c>
      <c r="C462" s="40" t="s">
        <v>160</v>
      </c>
      <c r="D462" s="41" t="n">
        <v>7</v>
      </c>
      <c r="E462" s="42" t="n">
        <v>10.05</v>
      </c>
      <c r="F462" s="43" t="n">
        <f aca="false">IFERROR(D462*E462,0)</f>
        <v>70.35</v>
      </c>
      <c r="G462" s="40" t="str">
        <f aca="false">INDEX(SETORES!$B:$B,MATCH(A462,SETORES!$A:$A,0))</f>
        <v>Clientes</v>
      </c>
      <c r="H462" s="40" t="s">
        <v>20</v>
      </c>
    </row>
    <row r="463" customFormat="false" ht="14.25" hidden="true" customHeight="true" outlineLevel="0" collapsed="false">
      <c r="A463" s="16" t="s">
        <v>86</v>
      </c>
      <c r="B463" s="16" t="s">
        <v>148</v>
      </c>
      <c r="C463" s="16" t="s">
        <v>161</v>
      </c>
      <c r="D463" s="38" t="n">
        <v>7</v>
      </c>
      <c r="E463" s="39" t="n">
        <v>2.07</v>
      </c>
      <c r="F463" s="22" t="n">
        <f aca="false">IFERROR(D463*E463,0)</f>
        <v>14.49</v>
      </c>
      <c r="G463" s="16" t="str">
        <f aca="false">INDEX(SETORES!$B:$B,MATCH(A463,SETORES!$A:$A,0))</f>
        <v>Clientes</v>
      </c>
      <c r="H463" s="16" t="s">
        <v>20</v>
      </c>
    </row>
    <row r="464" customFormat="false" ht="14.25" hidden="true" customHeight="true" outlineLevel="0" collapsed="false">
      <c r="A464" s="40" t="s">
        <v>86</v>
      </c>
      <c r="B464" s="40" t="s">
        <v>148</v>
      </c>
      <c r="C464" s="40" t="s">
        <v>159</v>
      </c>
      <c r="D464" s="41" t="n">
        <v>8</v>
      </c>
      <c r="E464" s="42" t="n">
        <v>50</v>
      </c>
      <c r="F464" s="43" t="n">
        <f aca="false">IFERROR(D464*E464,0)</f>
        <v>400</v>
      </c>
      <c r="G464" s="40" t="str">
        <f aca="false">INDEX(SETORES!$B:$B,MATCH(A464,SETORES!$A:$A,0))</f>
        <v>Clientes</v>
      </c>
      <c r="H464" s="40" t="s">
        <v>20</v>
      </c>
    </row>
    <row r="465" customFormat="false" ht="14.25" hidden="true" customHeight="true" outlineLevel="0" collapsed="false">
      <c r="A465" s="16" t="s">
        <v>86</v>
      </c>
      <c r="B465" s="16" t="s">
        <v>148</v>
      </c>
      <c r="C465" s="16" t="s">
        <v>163</v>
      </c>
      <c r="D465" s="38" t="n">
        <v>7</v>
      </c>
      <c r="E465" s="39" t="n">
        <v>28.31</v>
      </c>
      <c r="F465" s="22" t="n">
        <f aca="false">IFERROR(D465*E465,0)</f>
        <v>198.17</v>
      </c>
      <c r="G465" s="16" t="str">
        <f aca="false">INDEX(SETORES!$B:$B,MATCH(A465,SETORES!$A:$A,0))</f>
        <v>Clientes</v>
      </c>
      <c r="H465" s="16" t="s">
        <v>20</v>
      </c>
    </row>
    <row r="466" customFormat="false" ht="14.25" hidden="true" customHeight="true" outlineLevel="0" collapsed="false">
      <c r="A466" s="40" t="s">
        <v>86</v>
      </c>
      <c r="B466" s="40" t="s">
        <v>148</v>
      </c>
      <c r="C466" s="40" t="s">
        <v>164</v>
      </c>
      <c r="D466" s="41" t="n">
        <v>7</v>
      </c>
      <c r="E466" s="42" t="n">
        <v>47.79</v>
      </c>
      <c r="F466" s="43" t="n">
        <f aca="false">IFERROR(D466*E466,0)</f>
        <v>334.53</v>
      </c>
      <c r="G466" s="40" t="str">
        <f aca="false">INDEX(SETORES!$B:$B,MATCH(A466,SETORES!$A:$A,0))</f>
        <v>Clientes</v>
      </c>
      <c r="H466" s="40" t="s">
        <v>20</v>
      </c>
    </row>
    <row r="467" customFormat="false" ht="14.25" hidden="true" customHeight="true" outlineLevel="0" collapsed="false">
      <c r="A467" s="16" t="s">
        <v>86</v>
      </c>
      <c r="B467" s="16" t="s">
        <v>148</v>
      </c>
      <c r="C467" s="16" t="s">
        <v>162</v>
      </c>
      <c r="D467" s="38" t="n">
        <v>7</v>
      </c>
      <c r="E467" s="39" t="n">
        <v>64.57</v>
      </c>
      <c r="F467" s="22" t="n">
        <f aca="false">IFERROR(D467*E467,0)</f>
        <v>451.99</v>
      </c>
      <c r="G467" s="16" t="str">
        <f aca="false">INDEX(SETORES!$B:$B,MATCH(A467,SETORES!$A:$A,0))</f>
        <v>Clientes</v>
      </c>
      <c r="H467" s="16" t="s">
        <v>20</v>
      </c>
    </row>
    <row r="468" customFormat="false" ht="14.25" hidden="true" customHeight="true" outlineLevel="0" collapsed="false">
      <c r="A468" s="40" t="s">
        <v>83</v>
      </c>
      <c r="B468" s="40" t="s">
        <v>148</v>
      </c>
      <c r="C468" s="40" t="s">
        <v>160</v>
      </c>
      <c r="D468" s="41" t="n">
        <v>2</v>
      </c>
      <c r="E468" s="42" t="n">
        <v>10.05</v>
      </c>
      <c r="F468" s="43" t="n">
        <f aca="false">IFERROR(D468*E468,0)</f>
        <v>20.1</v>
      </c>
      <c r="G468" s="40" t="str">
        <f aca="false">INDEX(SETORES!$B:$B,MATCH(A468,SETORES!$A:$A,0))</f>
        <v>Clientes</v>
      </c>
      <c r="H468" s="40" t="s">
        <v>20</v>
      </c>
    </row>
    <row r="469" customFormat="false" ht="14.25" hidden="true" customHeight="true" outlineLevel="0" collapsed="false">
      <c r="A469" s="16" t="s">
        <v>83</v>
      </c>
      <c r="B469" s="16" t="s">
        <v>148</v>
      </c>
      <c r="C469" s="16" t="s">
        <v>161</v>
      </c>
      <c r="D469" s="38" t="n">
        <v>2</v>
      </c>
      <c r="E469" s="39" t="n">
        <v>2.07</v>
      </c>
      <c r="F469" s="22" t="n">
        <f aca="false">IFERROR(D469*E469,0)</f>
        <v>4.14</v>
      </c>
      <c r="G469" s="16" t="str">
        <f aca="false">INDEX(SETORES!$B:$B,MATCH(A469,SETORES!$A:$A,0))</f>
        <v>Clientes</v>
      </c>
      <c r="H469" s="16" t="s">
        <v>20</v>
      </c>
    </row>
    <row r="470" customFormat="false" ht="14.25" hidden="true" customHeight="true" outlineLevel="0" collapsed="false">
      <c r="A470" s="40" t="s">
        <v>83</v>
      </c>
      <c r="B470" s="40" t="s">
        <v>148</v>
      </c>
      <c r="C470" s="40" t="s">
        <v>159</v>
      </c>
      <c r="D470" s="41" t="n">
        <v>2</v>
      </c>
      <c r="E470" s="42" t="n">
        <v>50</v>
      </c>
      <c r="F470" s="43" t="n">
        <f aca="false">IFERROR(D470*E470,0)</f>
        <v>100</v>
      </c>
      <c r="G470" s="40" t="str">
        <f aca="false">INDEX(SETORES!$B:$B,MATCH(A470,SETORES!$A:$A,0))</f>
        <v>Clientes</v>
      </c>
      <c r="H470" s="40" t="s">
        <v>20</v>
      </c>
    </row>
    <row r="471" customFormat="false" ht="14.25" hidden="true" customHeight="true" outlineLevel="0" collapsed="false">
      <c r="A471" s="16" t="s">
        <v>83</v>
      </c>
      <c r="B471" s="16" t="s">
        <v>148</v>
      </c>
      <c r="C471" s="16" t="s">
        <v>163</v>
      </c>
      <c r="D471" s="38" t="n">
        <v>2</v>
      </c>
      <c r="E471" s="39" t="n">
        <v>28.31</v>
      </c>
      <c r="F471" s="22" t="n">
        <f aca="false">IFERROR(D471*E471,0)</f>
        <v>56.62</v>
      </c>
      <c r="G471" s="16" t="str">
        <f aca="false">INDEX(SETORES!$B:$B,MATCH(A471,SETORES!$A:$A,0))</f>
        <v>Clientes</v>
      </c>
      <c r="H471" s="16" t="s">
        <v>20</v>
      </c>
    </row>
    <row r="472" customFormat="false" ht="14.25" hidden="true" customHeight="true" outlineLevel="0" collapsed="false">
      <c r="A472" s="40" t="s">
        <v>83</v>
      </c>
      <c r="B472" s="40" t="s">
        <v>148</v>
      </c>
      <c r="C472" s="40" t="s">
        <v>164</v>
      </c>
      <c r="D472" s="41" t="n">
        <v>2</v>
      </c>
      <c r="E472" s="42" t="n">
        <v>47.79</v>
      </c>
      <c r="F472" s="43" t="n">
        <f aca="false">IFERROR(D472*E472,0)</f>
        <v>95.58</v>
      </c>
      <c r="G472" s="40" t="str">
        <f aca="false">INDEX(SETORES!$B:$B,MATCH(A472,SETORES!$A:$A,0))</f>
        <v>Clientes</v>
      </c>
      <c r="H472" s="40" t="s">
        <v>20</v>
      </c>
    </row>
    <row r="473" customFormat="false" ht="14.25" hidden="true" customHeight="true" outlineLevel="0" collapsed="false">
      <c r="A473" s="16" t="s">
        <v>83</v>
      </c>
      <c r="B473" s="16" t="s">
        <v>148</v>
      </c>
      <c r="C473" s="16" t="s">
        <v>162</v>
      </c>
      <c r="D473" s="38" t="n">
        <v>2</v>
      </c>
      <c r="E473" s="39" t="n">
        <v>64.57</v>
      </c>
      <c r="F473" s="22" t="n">
        <f aca="false">IFERROR(D473*E473,0)</f>
        <v>129.14</v>
      </c>
      <c r="G473" s="16" t="str">
        <f aca="false">INDEX(SETORES!$B:$B,MATCH(A473,SETORES!$A:$A,0))</f>
        <v>Clientes</v>
      </c>
      <c r="H473" s="16" t="s">
        <v>20</v>
      </c>
    </row>
    <row r="474" customFormat="false" ht="14.25" hidden="true" customHeight="true" outlineLevel="0" collapsed="false">
      <c r="A474" s="40" t="s">
        <v>85</v>
      </c>
      <c r="B474" s="40" t="s">
        <v>148</v>
      </c>
      <c r="C474" s="40" t="s">
        <v>160</v>
      </c>
      <c r="D474" s="41" t="n">
        <v>12</v>
      </c>
      <c r="E474" s="42" t="n">
        <v>10.05</v>
      </c>
      <c r="F474" s="43" t="n">
        <f aca="false">IFERROR(D474*E474,0)</f>
        <v>120.6</v>
      </c>
      <c r="G474" s="40" t="str">
        <f aca="false">INDEX(SETORES!$B:$B,MATCH(A474,SETORES!$A:$A,0))</f>
        <v>Clientes</v>
      </c>
      <c r="H474" s="40" t="s">
        <v>20</v>
      </c>
    </row>
    <row r="475" customFormat="false" ht="14.25" hidden="true" customHeight="true" outlineLevel="0" collapsed="false">
      <c r="A475" s="16" t="s">
        <v>85</v>
      </c>
      <c r="B475" s="16" t="s">
        <v>148</v>
      </c>
      <c r="C475" s="16" t="s">
        <v>161</v>
      </c>
      <c r="D475" s="38" t="n">
        <v>12</v>
      </c>
      <c r="E475" s="39" t="n">
        <v>2.07</v>
      </c>
      <c r="F475" s="22" t="n">
        <f aca="false">IFERROR(D475*E475,0)</f>
        <v>24.84</v>
      </c>
      <c r="G475" s="16" t="str">
        <f aca="false">INDEX(SETORES!$B:$B,MATCH(A475,SETORES!$A:$A,0))</f>
        <v>Clientes</v>
      </c>
      <c r="H475" s="16" t="s">
        <v>20</v>
      </c>
    </row>
    <row r="476" customFormat="false" ht="14.25" hidden="true" customHeight="true" outlineLevel="0" collapsed="false">
      <c r="A476" s="40" t="s">
        <v>85</v>
      </c>
      <c r="B476" s="40" t="s">
        <v>148</v>
      </c>
      <c r="C476" s="40" t="s">
        <v>159</v>
      </c>
      <c r="D476" s="41" t="n">
        <v>12</v>
      </c>
      <c r="E476" s="42" t="n">
        <v>50</v>
      </c>
      <c r="F476" s="43" t="n">
        <f aca="false">IFERROR(D476*E476,0)</f>
        <v>600</v>
      </c>
      <c r="G476" s="40" t="str">
        <f aca="false">INDEX(SETORES!$B:$B,MATCH(A476,SETORES!$A:$A,0))</f>
        <v>Clientes</v>
      </c>
      <c r="H476" s="40" t="s">
        <v>20</v>
      </c>
    </row>
    <row r="477" customFormat="false" ht="14.25" hidden="true" customHeight="true" outlineLevel="0" collapsed="false">
      <c r="A477" s="16" t="s">
        <v>85</v>
      </c>
      <c r="B477" s="16" t="s">
        <v>148</v>
      </c>
      <c r="C477" s="16" t="s">
        <v>163</v>
      </c>
      <c r="D477" s="38" t="n">
        <v>12</v>
      </c>
      <c r="E477" s="39" t="n">
        <v>28.31</v>
      </c>
      <c r="F477" s="22" t="n">
        <f aca="false">IFERROR(D477*E477,0)</f>
        <v>339.72</v>
      </c>
      <c r="G477" s="16" t="str">
        <f aca="false">INDEX(SETORES!$B:$B,MATCH(A477,SETORES!$A:$A,0))</f>
        <v>Clientes</v>
      </c>
      <c r="H477" s="16" t="s">
        <v>20</v>
      </c>
    </row>
    <row r="478" customFormat="false" ht="14.25" hidden="true" customHeight="true" outlineLevel="0" collapsed="false">
      <c r="A478" s="40" t="s">
        <v>85</v>
      </c>
      <c r="B478" s="40" t="s">
        <v>148</v>
      </c>
      <c r="C478" s="40" t="s">
        <v>164</v>
      </c>
      <c r="D478" s="41" t="n">
        <v>12</v>
      </c>
      <c r="E478" s="42" t="n">
        <v>47.79</v>
      </c>
      <c r="F478" s="43" t="n">
        <f aca="false">IFERROR(D478*E478,0)</f>
        <v>573.48</v>
      </c>
      <c r="G478" s="40" t="str">
        <f aca="false">INDEX(SETORES!$B:$B,MATCH(A478,SETORES!$A:$A,0))</f>
        <v>Clientes</v>
      </c>
      <c r="H478" s="40" t="s">
        <v>20</v>
      </c>
    </row>
    <row r="479" customFormat="false" ht="14.25" hidden="true" customHeight="true" outlineLevel="0" collapsed="false">
      <c r="A479" s="16" t="s">
        <v>85</v>
      </c>
      <c r="B479" s="16" t="s">
        <v>148</v>
      </c>
      <c r="C479" s="16" t="s">
        <v>162</v>
      </c>
      <c r="D479" s="38" t="n">
        <v>12</v>
      </c>
      <c r="E479" s="39" t="n">
        <v>64.57</v>
      </c>
      <c r="F479" s="22" t="n">
        <f aca="false">IFERROR(D479*E479,0)</f>
        <v>774.84</v>
      </c>
      <c r="G479" s="16" t="str">
        <f aca="false">INDEX(SETORES!$B:$B,MATCH(A479,SETORES!$A:$A,0))</f>
        <v>Clientes</v>
      </c>
      <c r="H479" s="16" t="s">
        <v>20</v>
      </c>
    </row>
    <row r="480" customFormat="false" ht="14.25" hidden="true" customHeight="true" outlineLevel="0" collapsed="false">
      <c r="A480" s="40" t="s">
        <v>87</v>
      </c>
      <c r="B480" s="40" t="s">
        <v>148</v>
      </c>
      <c r="C480" s="40" t="s">
        <v>160</v>
      </c>
      <c r="D480" s="41" t="n">
        <v>6</v>
      </c>
      <c r="E480" s="42" t="n">
        <v>10.05</v>
      </c>
      <c r="F480" s="43" t="n">
        <f aca="false">IFERROR(D480*E480,0)</f>
        <v>60.3</v>
      </c>
      <c r="G480" s="40" t="str">
        <f aca="false">INDEX(SETORES!$B:$B,MATCH(A480,SETORES!$A:$A,0))</f>
        <v>Clientes</v>
      </c>
      <c r="H480" s="40" t="s">
        <v>20</v>
      </c>
    </row>
    <row r="481" customFormat="false" ht="14.25" hidden="true" customHeight="true" outlineLevel="0" collapsed="false">
      <c r="A481" s="16" t="s">
        <v>87</v>
      </c>
      <c r="B481" s="16" t="s">
        <v>148</v>
      </c>
      <c r="C481" s="16" t="s">
        <v>161</v>
      </c>
      <c r="D481" s="38" t="n">
        <v>6</v>
      </c>
      <c r="E481" s="39" t="n">
        <v>2.07</v>
      </c>
      <c r="F481" s="22" t="n">
        <f aca="false">IFERROR(D481*E481,0)</f>
        <v>12.42</v>
      </c>
      <c r="G481" s="16" t="str">
        <f aca="false">INDEX(SETORES!$B:$B,MATCH(A481,SETORES!$A:$A,0))</f>
        <v>Clientes</v>
      </c>
      <c r="H481" s="16" t="s">
        <v>20</v>
      </c>
    </row>
    <row r="482" customFormat="false" ht="14.25" hidden="true" customHeight="true" outlineLevel="0" collapsed="false">
      <c r="A482" s="40" t="s">
        <v>87</v>
      </c>
      <c r="B482" s="40" t="s">
        <v>148</v>
      </c>
      <c r="C482" s="40" t="s">
        <v>159</v>
      </c>
      <c r="D482" s="41" t="n">
        <v>6</v>
      </c>
      <c r="E482" s="42" t="n">
        <v>100</v>
      </c>
      <c r="F482" s="43" t="n">
        <f aca="false">IFERROR(D482*E482,0)</f>
        <v>600</v>
      </c>
      <c r="G482" s="40" t="str">
        <f aca="false">INDEX(SETORES!$B:$B,MATCH(A482,SETORES!$A:$A,0))</f>
        <v>Clientes</v>
      </c>
      <c r="H482" s="40" t="s">
        <v>20</v>
      </c>
    </row>
    <row r="483" customFormat="false" ht="14.25" hidden="true" customHeight="true" outlineLevel="0" collapsed="false">
      <c r="A483" s="16" t="s">
        <v>87</v>
      </c>
      <c r="B483" s="16" t="s">
        <v>148</v>
      </c>
      <c r="C483" s="16" t="s">
        <v>163</v>
      </c>
      <c r="D483" s="38" t="n">
        <v>6</v>
      </c>
      <c r="E483" s="39" t="n">
        <v>28.31</v>
      </c>
      <c r="F483" s="22" t="n">
        <f aca="false">IFERROR(D483*E483,0)</f>
        <v>169.86</v>
      </c>
      <c r="G483" s="16" t="str">
        <f aca="false">INDEX(SETORES!$B:$B,MATCH(A483,SETORES!$A:$A,0))</f>
        <v>Clientes</v>
      </c>
      <c r="H483" s="16" t="s">
        <v>20</v>
      </c>
    </row>
    <row r="484" customFormat="false" ht="14.25" hidden="true" customHeight="true" outlineLevel="0" collapsed="false">
      <c r="A484" s="40" t="s">
        <v>87</v>
      </c>
      <c r="B484" s="40" t="s">
        <v>148</v>
      </c>
      <c r="C484" s="40" t="s">
        <v>164</v>
      </c>
      <c r="D484" s="41" t="n">
        <v>6</v>
      </c>
      <c r="E484" s="42" t="n">
        <v>47.79</v>
      </c>
      <c r="F484" s="43" t="n">
        <f aca="false">IFERROR(D484*E484,0)</f>
        <v>286.74</v>
      </c>
      <c r="G484" s="40" t="str">
        <f aca="false">INDEX(SETORES!$B:$B,MATCH(A484,SETORES!$A:$A,0))</f>
        <v>Clientes</v>
      </c>
      <c r="H484" s="40" t="s">
        <v>20</v>
      </c>
    </row>
    <row r="485" customFormat="false" ht="14.25" hidden="true" customHeight="true" outlineLevel="0" collapsed="false">
      <c r="A485" s="16" t="s">
        <v>87</v>
      </c>
      <c r="B485" s="16" t="s">
        <v>148</v>
      </c>
      <c r="C485" s="16" t="s">
        <v>162</v>
      </c>
      <c r="D485" s="38" t="n">
        <v>6</v>
      </c>
      <c r="E485" s="39" t="n">
        <v>64.57</v>
      </c>
      <c r="F485" s="22" t="n">
        <f aca="false">IFERROR(D485*E485,0)</f>
        <v>387.42</v>
      </c>
      <c r="G485" s="16" t="str">
        <f aca="false">INDEX(SETORES!$B:$B,MATCH(A485,SETORES!$A:$A,0))</f>
        <v>Clientes</v>
      </c>
      <c r="H485" s="16" t="s">
        <v>20</v>
      </c>
    </row>
    <row r="486" customFormat="false" ht="14.25" hidden="true" customHeight="true" outlineLevel="0" collapsed="false">
      <c r="A486" s="40" t="s">
        <v>78</v>
      </c>
      <c r="B486" s="40" t="s">
        <v>148</v>
      </c>
      <c r="C486" s="40" t="s">
        <v>160</v>
      </c>
      <c r="D486" s="41" t="n">
        <v>14</v>
      </c>
      <c r="E486" s="42" t="n">
        <v>10.05</v>
      </c>
      <c r="F486" s="43" t="n">
        <f aca="false">IFERROR(D486*E486,0)</f>
        <v>140.7</v>
      </c>
      <c r="G486" s="40" t="str">
        <f aca="false">INDEX(SETORES!$B:$B,MATCH(A486,SETORES!$A:$A,0))</f>
        <v>Clientes</v>
      </c>
      <c r="H486" s="40" t="s">
        <v>20</v>
      </c>
    </row>
    <row r="487" customFormat="false" ht="14.25" hidden="true" customHeight="true" outlineLevel="0" collapsed="false">
      <c r="A487" s="16" t="s">
        <v>78</v>
      </c>
      <c r="B487" s="16" t="s">
        <v>148</v>
      </c>
      <c r="C487" s="16" t="s">
        <v>161</v>
      </c>
      <c r="D487" s="38" t="n">
        <v>14</v>
      </c>
      <c r="E487" s="39" t="n">
        <v>2.07</v>
      </c>
      <c r="F487" s="22" t="n">
        <f aca="false">IFERROR(D487*E487,0)</f>
        <v>28.98</v>
      </c>
      <c r="G487" s="16" t="str">
        <f aca="false">INDEX(SETORES!$B:$B,MATCH(A487,SETORES!$A:$A,0))</f>
        <v>Clientes</v>
      </c>
      <c r="H487" s="16" t="s">
        <v>20</v>
      </c>
    </row>
    <row r="488" customFormat="false" ht="14.25" hidden="true" customHeight="true" outlineLevel="0" collapsed="false">
      <c r="A488" s="40" t="s">
        <v>78</v>
      </c>
      <c r="B488" s="40" t="s">
        <v>148</v>
      </c>
      <c r="C488" s="40" t="s">
        <v>159</v>
      </c>
      <c r="D488" s="41" t="n">
        <v>14</v>
      </c>
      <c r="E488" s="42" t="n">
        <v>50</v>
      </c>
      <c r="F488" s="43" t="n">
        <f aca="false">IFERROR(D488*E488,0)</f>
        <v>700</v>
      </c>
      <c r="G488" s="40" t="str">
        <f aca="false">INDEX(SETORES!$B:$B,MATCH(A488,SETORES!$A:$A,0))</f>
        <v>Clientes</v>
      </c>
      <c r="H488" s="40" t="s">
        <v>20</v>
      </c>
    </row>
    <row r="489" customFormat="false" ht="14.25" hidden="true" customHeight="true" outlineLevel="0" collapsed="false">
      <c r="A489" s="16" t="s">
        <v>78</v>
      </c>
      <c r="B489" s="16" t="s">
        <v>148</v>
      </c>
      <c r="C489" s="16" t="s">
        <v>163</v>
      </c>
      <c r="D489" s="38" t="n">
        <v>14</v>
      </c>
      <c r="E489" s="39" t="n">
        <v>28.31</v>
      </c>
      <c r="F489" s="22" t="n">
        <f aca="false">IFERROR(D489*E489,0)</f>
        <v>396.34</v>
      </c>
      <c r="G489" s="16" t="str">
        <f aca="false">INDEX(SETORES!$B:$B,MATCH(A489,SETORES!$A:$A,0))</f>
        <v>Clientes</v>
      </c>
      <c r="H489" s="16" t="s">
        <v>20</v>
      </c>
    </row>
    <row r="490" customFormat="false" ht="14.25" hidden="true" customHeight="true" outlineLevel="0" collapsed="false">
      <c r="A490" s="40" t="s">
        <v>78</v>
      </c>
      <c r="B490" s="40" t="s">
        <v>148</v>
      </c>
      <c r="C490" s="40" t="s">
        <v>164</v>
      </c>
      <c r="D490" s="41" t="n">
        <v>14</v>
      </c>
      <c r="E490" s="42" t="n">
        <v>47.79</v>
      </c>
      <c r="F490" s="43" t="n">
        <f aca="false">IFERROR(D490*E490,0)</f>
        <v>669.06</v>
      </c>
      <c r="G490" s="40" t="str">
        <f aca="false">INDEX(SETORES!$B:$B,MATCH(A490,SETORES!$A:$A,0))</f>
        <v>Clientes</v>
      </c>
      <c r="H490" s="40" t="s">
        <v>20</v>
      </c>
    </row>
    <row r="491" customFormat="false" ht="14.25" hidden="true" customHeight="true" outlineLevel="0" collapsed="false">
      <c r="A491" s="16" t="s">
        <v>78</v>
      </c>
      <c r="B491" s="16" t="s">
        <v>148</v>
      </c>
      <c r="C491" s="16" t="s">
        <v>162</v>
      </c>
      <c r="D491" s="38" t="n">
        <v>14</v>
      </c>
      <c r="E491" s="39" t="n">
        <v>64.57</v>
      </c>
      <c r="F491" s="22" t="n">
        <f aca="false">IFERROR(D491*E491,0)</f>
        <v>903.98</v>
      </c>
      <c r="G491" s="16" t="str">
        <f aca="false">INDEX(SETORES!$B:$B,MATCH(A491,SETORES!$A:$A,0))</f>
        <v>Clientes</v>
      </c>
      <c r="H491" s="16" t="s">
        <v>20</v>
      </c>
    </row>
    <row r="492" customFormat="false" ht="14.25" hidden="true" customHeight="true" outlineLevel="0" collapsed="false">
      <c r="A492" s="40" t="s">
        <v>81</v>
      </c>
      <c r="B492" s="40" t="s">
        <v>148</v>
      </c>
      <c r="C492" s="40" t="s">
        <v>160</v>
      </c>
      <c r="D492" s="41" t="n">
        <v>2</v>
      </c>
      <c r="E492" s="42" t="n">
        <v>10.05</v>
      </c>
      <c r="F492" s="43" t="n">
        <f aca="false">IFERROR(D492*E492,0)</f>
        <v>20.1</v>
      </c>
      <c r="G492" s="40" t="str">
        <f aca="false">INDEX(SETORES!$B:$B,MATCH(A492,SETORES!$A:$A,0))</f>
        <v>Clientes</v>
      </c>
      <c r="H492" s="40" t="s">
        <v>20</v>
      </c>
    </row>
    <row r="493" customFormat="false" ht="14.25" hidden="true" customHeight="true" outlineLevel="0" collapsed="false">
      <c r="A493" s="16" t="s">
        <v>81</v>
      </c>
      <c r="B493" s="16" t="s">
        <v>148</v>
      </c>
      <c r="C493" s="16" t="s">
        <v>161</v>
      </c>
      <c r="D493" s="38" t="n">
        <v>2</v>
      </c>
      <c r="E493" s="39" t="n">
        <v>2.07</v>
      </c>
      <c r="F493" s="22" t="n">
        <f aca="false">IFERROR(D493*E493,0)</f>
        <v>4.14</v>
      </c>
      <c r="G493" s="16" t="str">
        <f aca="false">INDEX(SETORES!$B:$B,MATCH(A493,SETORES!$A:$A,0))</f>
        <v>Clientes</v>
      </c>
      <c r="H493" s="16" t="s">
        <v>20</v>
      </c>
    </row>
    <row r="494" customFormat="false" ht="14.25" hidden="true" customHeight="true" outlineLevel="0" collapsed="false">
      <c r="A494" s="40" t="s">
        <v>81</v>
      </c>
      <c r="B494" s="40" t="s">
        <v>148</v>
      </c>
      <c r="C494" s="40" t="s">
        <v>159</v>
      </c>
      <c r="D494" s="41" t="n">
        <v>2</v>
      </c>
      <c r="E494" s="42" t="n">
        <v>50</v>
      </c>
      <c r="F494" s="43" t="n">
        <f aca="false">IFERROR(D494*E494,0)</f>
        <v>100</v>
      </c>
      <c r="G494" s="40" t="str">
        <f aca="false">INDEX(SETORES!$B:$B,MATCH(A494,SETORES!$A:$A,0))</f>
        <v>Clientes</v>
      </c>
      <c r="H494" s="40" t="s">
        <v>20</v>
      </c>
    </row>
    <row r="495" customFormat="false" ht="14.25" hidden="true" customHeight="true" outlineLevel="0" collapsed="false">
      <c r="A495" s="16" t="s">
        <v>81</v>
      </c>
      <c r="B495" s="16" t="s">
        <v>148</v>
      </c>
      <c r="C495" s="16" t="s">
        <v>163</v>
      </c>
      <c r="D495" s="38" t="n">
        <v>2</v>
      </c>
      <c r="E495" s="39" t="n">
        <v>28.31</v>
      </c>
      <c r="F495" s="22" t="n">
        <f aca="false">IFERROR(D495*E495,0)</f>
        <v>56.62</v>
      </c>
      <c r="G495" s="16" t="str">
        <f aca="false">INDEX(SETORES!$B:$B,MATCH(A495,SETORES!$A:$A,0))</f>
        <v>Clientes</v>
      </c>
      <c r="H495" s="16" t="s">
        <v>20</v>
      </c>
    </row>
    <row r="496" customFormat="false" ht="14.25" hidden="true" customHeight="true" outlineLevel="0" collapsed="false">
      <c r="A496" s="40" t="s">
        <v>81</v>
      </c>
      <c r="B496" s="40" t="s">
        <v>148</v>
      </c>
      <c r="C496" s="40" t="s">
        <v>164</v>
      </c>
      <c r="D496" s="41" t="n">
        <v>2</v>
      </c>
      <c r="E496" s="42" t="n">
        <v>47.79</v>
      </c>
      <c r="F496" s="43" t="n">
        <f aca="false">IFERROR(D496*E496,0)</f>
        <v>95.58</v>
      </c>
      <c r="G496" s="40" t="str">
        <f aca="false">INDEX(SETORES!$B:$B,MATCH(A496,SETORES!$A:$A,0))</f>
        <v>Clientes</v>
      </c>
      <c r="H496" s="40" t="s">
        <v>20</v>
      </c>
    </row>
    <row r="497" customFormat="false" ht="14.25" hidden="true" customHeight="true" outlineLevel="0" collapsed="false">
      <c r="A497" s="16" t="s">
        <v>81</v>
      </c>
      <c r="B497" s="16" t="s">
        <v>148</v>
      </c>
      <c r="C497" s="16" t="s">
        <v>162</v>
      </c>
      <c r="D497" s="38" t="n">
        <v>2</v>
      </c>
      <c r="E497" s="39" t="n">
        <v>64.57</v>
      </c>
      <c r="F497" s="22" t="n">
        <f aca="false">IFERROR(D497*E497,0)</f>
        <v>129.14</v>
      </c>
      <c r="G497" s="16" t="str">
        <f aca="false">INDEX(SETORES!$B:$B,MATCH(A497,SETORES!$A:$A,0))</f>
        <v>Clientes</v>
      </c>
      <c r="H497" s="16" t="s">
        <v>20</v>
      </c>
    </row>
    <row r="498" customFormat="false" ht="14.25" hidden="true" customHeight="true" outlineLevel="0" collapsed="false">
      <c r="A498" s="40" t="s">
        <v>84</v>
      </c>
      <c r="B498" s="40" t="s">
        <v>148</v>
      </c>
      <c r="C498" s="40" t="s">
        <v>160</v>
      </c>
      <c r="D498" s="41" t="n">
        <v>22</v>
      </c>
      <c r="E498" s="42" t="n">
        <v>10.05</v>
      </c>
      <c r="F498" s="43" t="n">
        <f aca="false">IFERROR(D498*E498,0)</f>
        <v>221.1</v>
      </c>
      <c r="G498" s="40" t="str">
        <f aca="false">INDEX(SETORES!$B:$B,MATCH(A498,SETORES!$A:$A,0))</f>
        <v>Clientes</v>
      </c>
      <c r="H498" s="40" t="s">
        <v>20</v>
      </c>
    </row>
    <row r="499" customFormat="false" ht="14.25" hidden="true" customHeight="true" outlineLevel="0" collapsed="false">
      <c r="A499" s="16" t="s">
        <v>84</v>
      </c>
      <c r="B499" s="16" t="s">
        <v>148</v>
      </c>
      <c r="C499" s="16" t="s">
        <v>161</v>
      </c>
      <c r="D499" s="38" t="n">
        <v>22</v>
      </c>
      <c r="E499" s="39" t="n">
        <v>2.07</v>
      </c>
      <c r="F499" s="22" t="n">
        <f aca="false">IFERROR(D499*E499,0)</f>
        <v>45.54</v>
      </c>
      <c r="G499" s="16" t="str">
        <f aca="false">INDEX(SETORES!$B:$B,MATCH(A499,SETORES!$A:$A,0))</f>
        <v>Clientes</v>
      </c>
      <c r="H499" s="16" t="s">
        <v>20</v>
      </c>
    </row>
    <row r="500" customFormat="false" ht="14.25" hidden="true" customHeight="true" outlineLevel="0" collapsed="false">
      <c r="A500" s="40" t="s">
        <v>84</v>
      </c>
      <c r="B500" s="40" t="s">
        <v>148</v>
      </c>
      <c r="C500" s="40" t="s">
        <v>159</v>
      </c>
      <c r="D500" s="41" t="n">
        <v>22</v>
      </c>
      <c r="E500" s="42" t="n">
        <v>50</v>
      </c>
      <c r="F500" s="43" t="n">
        <f aca="false">IFERROR(D500*E500,0)</f>
        <v>1100</v>
      </c>
      <c r="G500" s="40" t="str">
        <f aca="false">INDEX(SETORES!$B:$B,MATCH(A500,SETORES!$A:$A,0))</f>
        <v>Clientes</v>
      </c>
      <c r="H500" s="40" t="s">
        <v>20</v>
      </c>
    </row>
    <row r="501" customFormat="false" ht="14.25" hidden="true" customHeight="true" outlineLevel="0" collapsed="false">
      <c r="A501" s="16" t="s">
        <v>84</v>
      </c>
      <c r="B501" s="16" t="s">
        <v>148</v>
      </c>
      <c r="C501" s="16" t="s">
        <v>163</v>
      </c>
      <c r="D501" s="38" t="n">
        <v>22</v>
      </c>
      <c r="E501" s="39" t="n">
        <v>28.31</v>
      </c>
      <c r="F501" s="22" t="n">
        <f aca="false">IFERROR(D501*E501,0)</f>
        <v>622.82</v>
      </c>
      <c r="G501" s="16" t="str">
        <f aca="false">INDEX(SETORES!$B:$B,MATCH(A501,SETORES!$A:$A,0))</f>
        <v>Clientes</v>
      </c>
      <c r="H501" s="16" t="s">
        <v>20</v>
      </c>
    </row>
    <row r="502" customFormat="false" ht="14.25" hidden="true" customHeight="true" outlineLevel="0" collapsed="false">
      <c r="A502" s="40" t="s">
        <v>84</v>
      </c>
      <c r="B502" s="40" t="s">
        <v>148</v>
      </c>
      <c r="C502" s="40" t="s">
        <v>164</v>
      </c>
      <c r="D502" s="41" t="n">
        <v>22</v>
      </c>
      <c r="E502" s="42" t="n">
        <v>47.79</v>
      </c>
      <c r="F502" s="43" t="n">
        <f aca="false">IFERROR(D502*E502,0)</f>
        <v>1051.38</v>
      </c>
      <c r="G502" s="40" t="str">
        <f aca="false">INDEX(SETORES!$B:$B,MATCH(A502,SETORES!$A:$A,0))</f>
        <v>Clientes</v>
      </c>
      <c r="H502" s="40" t="s">
        <v>20</v>
      </c>
    </row>
    <row r="503" customFormat="false" ht="14.25" hidden="true" customHeight="true" outlineLevel="0" collapsed="false">
      <c r="A503" s="16" t="s">
        <v>84</v>
      </c>
      <c r="B503" s="16" t="s">
        <v>148</v>
      </c>
      <c r="C503" s="16" t="s">
        <v>162</v>
      </c>
      <c r="D503" s="38" t="n">
        <v>22</v>
      </c>
      <c r="E503" s="39" t="n">
        <v>64.57</v>
      </c>
      <c r="F503" s="22" t="n">
        <f aca="false">IFERROR(D503*E503,0)</f>
        <v>1420.54</v>
      </c>
      <c r="G503" s="16" t="str">
        <f aca="false">INDEX(SETORES!$B:$B,MATCH(A503,SETORES!$A:$A,0))</f>
        <v>Clientes</v>
      </c>
      <c r="H503" s="16" t="s">
        <v>20</v>
      </c>
    </row>
    <row r="504" customFormat="false" ht="14.25" hidden="true" customHeight="true" outlineLevel="0" collapsed="false">
      <c r="A504" s="40" t="s">
        <v>82</v>
      </c>
      <c r="B504" s="40" t="s">
        <v>148</v>
      </c>
      <c r="C504" s="40" t="s">
        <v>160</v>
      </c>
      <c r="D504" s="41" t="n">
        <v>9</v>
      </c>
      <c r="E504" s="42" t="n">
        <v>10.05</v>
      </c>
      <c r="F504" s="43" t="n">
        <f aca="false">IFERROR(D504*E504,0)</f>
        <v>90.45</v>
      </c>
      <c r="G504" s="40" t="str">
        <f aca="false">INDEX(SETORES!$B:$B,MATCH(A504,SETORES!$A:$A,0))</f>
        <v>Clientes</v>
      </c>
      <c r="H504" s="40" t="s">
        <v>20</v>
      </c>
    </row>
    <row r="505" customFormat="false" ht="14.25" hidden="true" customHeight="true" outlineLevel="0" collapsed="false">
      <c r="A505" s="16" t="s">
        <v>82</v>
      </c>
      <c r="B505" s="16" t="s">
        <v>148</v>
      </c>
      <c r="C505" s="16" t="s">
        <v>161</v>
      </c>
      <c r="D505" s="38" t="n">
        <v>9</v>
      </c>
      <c r="E505" s="39" t="n">
        <v>2.07</v>
      </c>
      <c r="F505" s="22" t="n">
        <f aca="false">IFERROR(D505*E505,0)</f>
        <v>18.63</v>
      </c>
      <c r="G505" s="16" t="str">
        <f aca="false">INDEX(SETORES!$B:$B,MATCH(A505,SETORES!$A:$A,0))</f>
        <v>Clientes</v>
      </c>
      <c r="H505" s="16" t="s">
        <v>20</v>
      </c>
    </row>
    <row r="506" customFormat="false" ht="14.25" hidden="true" customHeight="true" outlineLevel="0" collapsed="false">
      <c r="A506" s="40" t="s">
        <v>82</v>
      </c>
      <c r="B506" s="40" t="s">
        <v>148</v>
      </c>
      <c r="C506" s="40" t="s">
        <v>159</v>
      </c>
      <c r="D506" s="41" t="n">
        <v>10</v>
      </c>
      <c r="E506" s="42" t="n">
        <v>50</v>
      </c>
      <c r="F506" s="43" t="n">
        <f aca="false">IFERROR(D506*E506,0)</f>
        <v>500</v>
      </c>
      <c r="G506" s="40" t="str">
        <f aca="false">INDEX(SETORES!$B:$B,MATCH(A506,SETORES!$A:$A,0))</f>
        <v>Clientes</v>
      </c>
      <c r="H506" s="40" t="s">
        <v>20</v>
      </c>
    </row>
    <row r="507" customFormat="false" ht="14.25" hidden="true" customHeight="true" outlineLevel="0" collapsed="false">
      <c r="A507" s="16" t="s">
        <v>82</v>
      </c>
      <c r="B507" s="16" t="s">
        <v>148</v>
      </c>
      <c r="C507" s="16" t="s">
        <v>163</v>
      </c>
      <c r="D507" s="38" t="n">
        <v>9</v>
      </c>
      <c r="E507" s="39" t="n">
        <v>28.31</v>
      </c>
      <c r="F507" s="22" t="n">
        <f aca="false">IFERROR(D507*E507,0)</f>
        <v>254.79</v>
      </c>
      <c r="G507" s="16" t="str">
        <f aca="false">INDEX(SETORES!$B:$B,MATCH(A507,SETORES!$A:$A,0))</f>
        <v>Clientes</v>
      </c>
      <c r="H507" s="16" t="s">
        <v>20</v>
      </c>
    </row>
    <row r="508" customFormat="false" ht="14.25" hidden="true" customHeight="true" outlineLevel="0" collapsed="false">
      <c r="A508" s="40" t="s">
        <v>82</v>
      </c>
      <c r="B508" s="40" t="s">
        <v>148</v>
      </c>
      <c r="C508" s="40" t="s">
        <v>164</v>
      </c>
      <c r="D508" s="41" t="n">
        <v>9</v>
      </c>
      <c r="E508" s="42" t="n">
        <v>47.79</v>
      </c>
      <c r="F508" s="43" t="n">
        <f aca="false">IFERROR(D508*E508,0)</f>
        <v>430.11</v>
      </c>
      <c r="G508" s="40" t="str">
        <f aca="false">INDEX(SETORES!$B:$B,MATCH(A508,SETORES!$A:$A,0))</f>
        <v>Clientes</v>
      </c>
      <c r="H508" s="40" t="s">
        <v>20</v>
      </c>
    </row>
    <row r="509" customFormat="false" ht="14.25" hidden="true" customHeight="true" outlineLevel="0" collapsed="false">
      <c r="A509" s="16" t="s">
        <v>82</v>
      </c>
      <c r="B509" s="16" t="s">
        <v>148</v>
      </c>
      <c r="C509" s="16" t="s">
        <v>162</v>
      </c>
      <c r="D509" s="38" t="n">
        <v>9</v>
      </c>
      <c r="E509" s="39" t="n">
        <v>64.57</v>
      </c>
      <c r="F509" s="22" t="n">
        <f aca="false">IFERROR(D509*E509,0)</f>
        <v>581.13</v>
      </c>
      <c r="G509" s="16" t="str">
        <f aca="false">INDEX(SETORES!$B:$B,MATCH(A509,SETORES!$A:$A,0))</f>
        <v>Clientes</v>
      </c>
      <c r="H509" s="16" t="s">
        <v>20</v>
      </c>
    </row>
    <row r="510" customFormat="false" ht="14.25" hidden="true" customHeight="true" outlineLevel="0" collapsed="false">
      <c r="A510" s="40" t="s">
        <v>80</v>
      </c>
      <c r="B510" s="40" t="s">
        <v>148</v>
      </c>
      <c r="C510" s="40" t="s">
        <v>160</v>
      </c>
      <c r="D510" s="41" t="n">
        <v>3</v>
      </c>
      <c r="E510" s="42" t="n">
        <v>10.05</v>
      </c>
      <c r="F510" s="43" t="n">
        <f aca="false">IFERROR(D510*E510,0)</f>
        <v>30.15</v>
      </c>
      <c r="G510" s="40" t="str">
        <f aca="false">INDEX(SETORES!$B:$B,MATCH(A510,SETORES!$A:$A,0))</f>
        <v>Clientes</v>
      </c>
      <c r="H510" s="40" t="s">
        <v>20</v>
      </c>
    </row>
    <row r="511" customFormat="false" ht="14.25" hidden="true" customHeight="true" outlineLevel="0" collapsed="false">
      <c r="A511" s="16" t="s">
        <v>80</v>
      </c>
      <c r="B511" s="16" t="s">
        <v>148</v>
      </c>
      <c r="C511" s="16" t="s">
        <v>161</v>
      </c>
      <c r="D511" s="38" t="n">
        <v>3</v>
      </c>
      <c r="E511" s="39" t="n">
        <v>2.07</v>
      </c>
      <c r="F511" s="22" t="n">
        <f aca="false">IFERROR(D511*E511,0)</f>
        <v>6.21</v>
      </c>
      <c r="G511" s="16" t="str">
        <f aca="false">INDEX(SETORES!$B:$B,MATCH(A511,SETORES!$A:$A,0))</f>
        <v>Clientes</v>
      </c>
      <c r="H511" s="16" t="s">
        <v>20</v>
      </c>
    </row>
    <row r="512" customFormat="false" ht="14.25" hidden="true" customHeight="true" outlineLevel="0" collapsed="false">
      <c r="A512" s="40" t="s">
        <v>80</v>
      </c>
      <c r="B512" s="40" t="s">
        <v>148</v>
      </c>
      <c r="C512" s="40" t="s">
        <v>159</v>
      </c>
      <c r="D512" s="41" t="n">
        <v>3</v>
      </c>
      <c r="E512" s="42" t="n">
        <v>50</v>
      </c>
      <c r="F512" s="43" t="n">
        <f aca="false">IFERROR(D512*E512,0)</f>
        <v>150</v>
      </c>
      <c r="G512" s="40" t="str">
        <f aca="false">INDEX(SETORES!$B:$B,MATCH(A512,SETORES!$A:$A,0))</f>
        <v>Clientes</v>
      </c>
      <c r="H512" s="40" t="s">
        <v>20</v>
      </c>
    </row>
    <row r="513" customFormat="false" ht="14.25" hidden="true" customHeight="true" outlineLevel="0" collapsed="false">
      <c r="A513" s="16" t="s">
        <v>80</v>
      </c>
      <c r="B513" s="16" t="s">
        <v>148</v>
      </c>
      <c r="C513" s="16" t="s">
        <v>163</v>
      </c>
      <c r="D513" s="38" t="n">
        <v>3</v>
      </c>
      <c r="E513" s="39" t="n">
        <v>28.31</v>
      </c>
      <c r="F513" s="22" t="n">
        <f aca="false">IFERROR(D513*E513,0)</f>
        <v>84.93</v>
      </c>
      <c r="G513" s="16" t="str">
        <f aca="false">INDEX(SETORES!$B:$B,MATCH(A513,SETORES!$A:$A,0))</f>
        <v>Clientes</v>
      </c>
      <c r="H513" s="16" t="s">
        <v>20</v>
      </c>
    </row>
    <row r="514" customFormat="false" ht="14.25" hidden="true" customHeight="true" outlineLevel="0" collapsed="false">
      <c r="A514" s="40" t="s">
        <v>80</v>
      </c>
      <c r="B514" s="40" t="s">
        <v>148</v>
      </c>
      <c r="C514" s="40" t="s">
        <v>164</v>
      </c>
      <c r="D514" s="41" t="n">
        <v>3</v>
      </c>
      <c r="E514" s="42" t="n">
        <v>47.79</v>
      </c>
      <c r="F514" s="43" t="n">
        <f aca="false">IFERROR(D514*E514,0)</f>
        <v>143.37</v>
      </c>
      <c r="G514" s="40" t="str">
        <f aca="false">INDEX(SETORES!$B:$B,MATCH(A514,SETORES!$A:$A,0))</f>
        <v>Clientes</v>
      </c>
      <c r="H514" s="40" t="s">
        <v>20</v>
      </c>
    </row>
    <row r="515" customFormat="false" ht="14.25" hidden="true" customHeight="true" outlineLevel="0" collapsed="false">
      <c r="A515" s="16" t="s">
        <v>80</v>
      </c>
      <c r="B515" s="16" t="s">
        <v>148</v>
      </c>
      <c r="C515" s="16" t="s">
        <v>162</v>
      </c>
      <c r="D515" s="38" t="n">
        <v>3</v>
      </c>
      <c r="E515" s="39" t="n">
        <v>64.57</v>
      </c>
      <c r="F515" s="22" t="n">
        <f aca="false">IFERROR(D515*E515,0)</f>
        <v>193.71</v>
      </c>
      <c r="G515" s="16" t="str">
        <f aca="false">INDEX(SETORES!$B:$B,MATCH(A515,SETORES!$A:$A,0))</f>
        <v>Clientes</v>
      </c>
      <c r="H515" s="16" t="s">
        <v>20</v>
      </c>
    </row>
    <row r="516" customFormat="false" ht="14.25" hidden="true" customHeight="true" outlineLevel="0" collapsed="false">
      <c r="A516" s="40" t="s">
        <v>83</v>
      </c>
      <c r="B516" s="40" t="s">
        <v>148</v>
      </c>
      <c r="C516" s="40" t="s">
        <v>230</v>
      </c>
      <c r="D516" s="41" t="n">
        <v>1</v>
      </c>
      <c r="E516" s="42" t="n">
        <v>7500</v>
      </c>
      <c r="F516" s="43" t="n">
        <f aca="false">IFERROR(D516*E516,0)</f>
        <v>7500</v>
      </c>
      <c r="G516" s="40" t="str">
        <f aca="false">INDEX(SETORES!$B:$B,MATCH(A516,SETORES!$A:$A,0))</f>
        <v>Clientes</v>
      </c>
      <c r="H516" s="40" t="s">
        <v>20</v>
      </c>
    </row>
    <row r="517" customFormat="false" ht="14.25" hidden="true" customHeight="true" outlineLevel="0" collapsed="false">
      <c r="A517" s="16" t="s">
        <v>79</v>
      </c>
      <c r="B517" s="16" t="s">
        <v>148</v>
      </c>
      <c r="C517" s="16" t="s">
        <v>154</v>
      </c>
      <c r="D517" s="38" t="n">
        <v>1</v>
      </c>
      <c r="E517" s="39" t="n">
        <v>22222.82</v>
      </c>
      <c r="F517" s="22" t="n">
        <f aca="false">IFERROR(E517,0)</f>
        <v>22222.82</v>
      </c>
      <c r="G517" s="16" t="str">
        <f aca="false">INDEX(SETORES!$B:$B,MATCH(A517,SETORES!$A:$A,0))</f>
        <v>Funcionários</v>
      </c>
      <c r="H517" s="16" t="s">
        <v>20</v>
      </c>
    </row>
    <row r="518" customFormat="false" ht="14.25" hidden="true" customHeight="true" outlineLevel="0" collapsed="false">
      <c r="A518" s="40" t="s">
        <v>78</v>
      </c>
      <c r="B518" s="40" t="s">
        <v>155</v>
      </c>
      <c r="C518" s="40" t="s">
        <v>202</v>
      </c>
      <c r="D518" s="41" t="n">
        <v>14</v>
      </c>
      <c r="E518" s="42" t="n">
        <v>89.55</v>
      </c>
      <c r="F518" s="43" t="n">
        <f aca="false">IFERROR(D518*E518,0)</f>
        <v>1253.7</v>
      </c>
      <c r="G518" s="40" t="str">
        <f aca="false">INDEX(SETORES!$B:$B,MATCH(A518,SETORES!$A:$A,0))</f>
        <v>Clientes</v>
      </c>
      <c r="H518" s="40" t="s">
        <v>20</v>
      </c>
    </row>
    <row r="519" customFormat="false" ht="14.25" hidden="true" customHeight="true" outlineLevel="0" collapsed="false">
      <c r="A519" s="16" t="s">
        <v>79</v>
      </c>
      <c r="B519" s="16" t="s">
        <v>155</v>
      </c>
      <c r="C519" s="16" t="s">
        <v>202</v>
      </c>
      <c r="D519" s="38" t="n">
        <v>7</v>
      </c>
      <c r="E519" s="39" t="n">
        <v>89.55</v>
      </c>
      <c r="F519" s="22" t="n">
        <f aca="false">IFERROR(D519*E519,0)</f>
        <v>626.85</v>
      </c>
      <c r="G519" s="16" t="str">
        <f aca="false">INDEX(SETORES!$B:$B,MATCH(A519,SETORES!$A:$A,0))</f>
        <v>Funcionários</v>
      </c>
      <c r="H519" s="16" t="s">
        <v>20</v>
      </c>
    </row>
    <row r="520" customFormat="false" ht="14.25" hidden="true" customHeight="true" outlineLevel="0" collapsed="false">
      <c r="A520" s="40" t="s">
        <v>78</v>
      </c>
      <c r="B520" s="40" t="s">
        <v>148</v>
      </c>
      <c r="C520" s="40" t="s">
        <v>151</v>
      </c>
      <c r="D520" s="41" t="n">
        <v>14</v>
      </c>
      <c r="E520" s="42" t="n">
        <v>24.8613</v>
      </c>
      <c r="F520" s="43" t="n">
        <v>348.0582</v>
      </c>
      <c r="G520" s="40" t="str">
        <f aca="false">INDEX(SETORES!$B:$B,MATCH(A520,SETORES!$A:$A,0))</f>
        <v>Clientes</v>
      </c>
      <c r="H520" s="40" t="s">
        <v>20</v>
      </c>
    </row>
    <row r="521" customFormat="false" ht="14.25" hidden="true" customHeight="true" outlineLevel="0" collapsed="false">
      <c r="A521" s="16" t="s">
        <v>78</v>
      </c>
      <c r="B521" s="16" t="s">
        <v>148</v>
      </c>
      <c r="C521" s="16" t="s">
        <v>152</v>
      </c>
      <c r="D521" s="38" t="n">
        <v>14</v>
      </c>
      <c r="E521" s="39" t="n">
        <v>0.6343</v>
      </c>
      <c r="F521" s="22" t="n">
        <v>8.8802</v>
      </c>
      <c r="G521" s="16" t="str">
        <f aca="false">INDEX(SETORES!$B:$B,MATCH(A521,SETORES!$A:$A,0))</f>
        <v>Clientes</v>
      </c>
      <c r="H521" s="16" t="s">
        <v>20</v>
      </c>
    </row>
    <row r="522" customFormat="false" ht="14.25" hidden="true" customHeight="true" outlineLevel="0" collapsed="false">
      <c r="A522" s="40" t="s">
        <v>79</v>
      </c>
      <c r="B522" s="40" t="s">
        <v>148</v>
      </c>
      <c r="C522" s="40" t="s">
        <v>151</v>
      </c>
      <c r="D522" s="41" t="n">
        <v>7</v>
      </c>
      <c r="E522" s="42" t="n">
        <v>24.8613</v>
      </c>
      <c r="F522" s="43" t="n">
        <v>174.0291</v>
      </c>
      <c r="G522" s="40" t="str">
        <f aca="false">INDEX(SETORES!$B:$B,MATCH(A522,SETORES!$A:$A,0))</f>
        <v>Funcionários</v>
      </c>
      <c r="H522" s="40" t="s">
        <v>20</v>
      </c>
    </row>
    <row r="523" customFormat="false" ht="14.25" hidden="true" customHeight="true" outlineLevel="0" collapsed="false">
      <c r="A523" s="16" t="s">
        <v>79</v>
      </c>
      <c r="B523" s="16" t="s">
        <v>148</v>
      </c>
      <c r="C523" s="16" t="s">
        <v>152</v>
      </c>
      <c r="D523" s="38" t="n">
        <v>7</v>
      </c>
      <c r="E523" s="39" t="n">
        <v>0.6343</v>
      </c>
      <c r="F523" s="22" t="n">
        <v>4.4401</v>
      </c>
      <c r="G523" s="16" t="str">
        <f aca="false">INDEX(SETORES!$B:$B,MATCH(A523,SETORES!$A:$A,0))</f>
        <v>Funcionários</v>
      </c>
      <c r="H523" s="16" t="s">
        <v>20</v>
      </c>
    </row>
    <row r="524" customFormat="false" ht="14.25" hidden="true" customHeight="true" outlineLevel="0" collapsed="false">
      <c r="A524" s="40" t="s">
        <v>78</v>
      </c>
      <c r="B524" s="40" t="s">
        <v>155</v>
      </c>
      <c r="C524" s="40" t="s">
        <v>215</v>
      </c>
      <c r="D524" s="41"/>
      <c r="E524" s="42"/>
      <c r="F524" s="43" t="n">
        <f aca="false">IFERROR(D524*E524,0)</f>
        <v>0</v>
      </c>
      <c r="G524" s="40" t="str">
        <f aca="false">INDEX(SETORES!$B:$B,MATCH(A524,SETORES!$A:$A,0))</f>
        <v>Clientes</v>
      </c>
      <c r="H524" s="40" t="s">
        <v>20</v>
      </c>
    </row>
    <row r="525" customFormat="false" ht="14.25" hidden="true" customHeight="true" outlineLevel="0" collapsed="false">
      <c r="A525" s="16" t="s">
        <v>43</v>
      </c>
      <c r="B525" s="16" t="s">
        <v>155</v>
      </c>
      <c r="C525" s="16" t="s">
        <v>215</v>
      </c>
      <c r="D525" s="38"/>
      <c r="E525" s="39"/>
      <c r="F525" s="22" t="n">
        <f aca="false">IFERROR(D525*E525,0)</f>
        <v>0</v>
      </c>
      <c r="G525" s="16" t="str">
        <f aca="false">INDEX(SETORES!$B:$B,MATCH(A525,SETORES!$A:$A,0))</f>
        <v>Clientes</v>
      </c>
      <c r="H525" s="16" t="s">
        <v>20</v>
      </c>
    </row>
    <row r="526" customFormat="false" ht="14.25" hidden="true" customHeight="true" outlineLevel="0" collapsed="false">
      <c r="A526" s="40" t="s">
        <v>41</v>
      </c>
      <c r="B526" s="40" t="s">
        <v>155</v>
      </c>
      <c r="C526" s="40" t="s">
        <v>215</v>
      </c>
      <c r="D526" s="41"/>
      <c r="E526" s="42"/>
      <c r="F526" s="43" t="n">
        <f aca="false">IFERROR(D526*E526,0)</f>
        <v>0</v>
      </c>
      <c r="G526" s="40" t="str">
        <f aca="false">INDEX(SETORES!$B:$B,MATCH(A526,SETORES!$A:$A,0))</f>
        <v>Clientes</v>
      </c>
      <c r="H526" s="40" t="s">
        <v>20</v>
      </c>
    </row>
    <row r="527" customFormat="false" ht="14.25" hidden="true" customHeight="true" outlineLevel="0" collapsed="false">
      <c r="A527" s="16" t="s">
        <v>79</v>
      </c>
      <c r="B527" s="16" t="s">
        <v>155</v>
      </c>
      <c r="C527" s="16" t="s">
        <v>215</v>
      </c>
      <c r="D527" s="38"/>
      <c r="E527" s="39"/>
      <c r="F527" s="22" t="n">
        <f aca="false">IFERROR(D527*E527,0)</f>
        <v>0</v>
      </c>
      <c r="G527" s="16" t="str">
        <f aca="false">INDEX(SETORES!$B:$B,MATCH(A527,SETORES!$A:$A,0))</f>
        <v>Funcionários</v>
      </c>
      <c r="H527" s="16" t="s">
        <v>20</v>
      </c>
    </row>
    <row r="528" customFormat="false" ht="14.25" hidden="true" customHeight="true" outlineLevel="0" collapsed="false">
      <c r="A528" s="40" t="s">
        <v>80</v>
      </c>
      <c r="B528" s="40" t="s">
        <v>155</v>
      </c>
      <c r="C528" s="40" t="s">
        <v>215</v>
      </c>
      <c r="D528" s="41"/>
      <c r="E528" s="42"/>
      <c r="F528" s="43" t="n">
        <f aca="false">IFERROR(D528*E528,0)</f>
        <v>0</v>
      </c>
      <c r="G528" s="40" t="str">
        <f aca="false">INDEX(SETORES!$B:$B,MATCH(A528,SETORES!$A:$A,0))</f>
        <v>Clientes</v>
      </c>
      <c r="H528" s="40" t="s">
        <v>20</v>
      </c>
    </row>
    <row r="529" customFormat="false" ht="14.25" hidden="true" customHeight="true" outlineLevel="0" collapsed="false">
      <c r="A529" s="16" t="s">
        <v>42</v>
      </c>
      <c r="B529" s="16" t="s">
        <v>155</v>
      </c>
      <c r="C529" s="16" t="s">
        <v>215</v>
      </c>
      <c r="D529" s="38"/>
      <c r="E529" s="39"/>
      <c r="F529" s="22" t="n">
        <f aca="false">IFERROR(D529*E529,0)</f>
        <v>0</v>
      </c>
      <c r="G529" s="16" t="str">
        <f aca="false">INDEX(SETORES!$B:$B,MATCH(A529,SETORES!$A:$A,0))</f>
        <v>Clientes</v>
      </c>
      <c r="H529" s="16" t="s">
        <v>20</v>
      </c>
    </row>
    <row r="530" customFormat="false" ht="14.25" hidden="true" customHeight="true" outlineLevel="0" collapsed="false">
      <c r="A530" s="40" t="s">
        <v>36</v>
      </c>
      <c r="B530" s="40" t="s">
        <v>155</v>
      </c>
      <c r="C530" s="40" t="s">
        <v>215</v>
      </c>
      <c r="D530" s="41"/>
      <c r="E530" s="42"/>
      <c r="F530" s="43" t="n">
        <f aca="false">IFERROR(D530*E530,0)</f>
        <v>0</v>
      </c>
      <c r="G530" s="40" t="str">
        <f aca="false">INDEX(SETORES!$B:$B,MATCH(A530,SETORES!$A:$A,0))</f>
        <v>Clientes</v>
      </c>
      <c r="H530" s="40" t="s">
        <v>20</v>
      </c>
    </row>
    <row r="531" customFormat="false" ht="14.25" hidden="true" customHeight="true" outlineLevel="0" collapsed="false">
      <c r="A531" s="16" t="s">
        <v>81</v>
      </c>
      <c r="B531" s="16" t="s">
        <v>155</v>
      </c>
      <c r="C531" s="16" t="s">
        <v>215</v>
      </c>
      <c r="D531" s="38"/>
      <c r="E531" s="39"/>
      <c r="F531" s="22" t="n">
        <f aca="false">IFERROR(D531*E531,0)</f>
        <v>0</v>
      </c>
      <c r="G531" s="16" t="str">
        <f aca="false">INDEX(SETORES!$B:$B,MATCH(A531,SETORES!$A:$A,0))</f>
        <v>Clientes</v>
      </c>
      <c r="H531" s="16" t="s">
        <v>20</v>
      </c>
    </row>
    <row r="532" customFormat="false" ht="14.25" hidden="true" customHeight="true" outlineLevel="0" collapsed="false">
      <c r="A532" s="40" t="s">
        <v>82</v>
      </c>
      <c r="B532" s="40" t="s">
        <v>155</v>
      </c>
      <c r="C532" s="40" t="s">
        <v>215</v>
      </c>
      <c r="D532" s="41"/>
      <c r="E532" s="42"/>
      <c r="F532" s="43" t="n">
        <f aca="false">IFERROR(D532*E532,0)</f>
        <v>0</v>
      </c>
      <c r="G532" s="40" t="str">
        <f aca="false">INDEX(SETORES!$B:$B,MATCH(A532,SETORES!$A:$A,0))</f>
        <v>Clientes</v>
      </c>
      <c r="H532" s="40" t="s">
        <v>20</v>
      </c>
    </row>
    <row r="533" customFormat="false" ht="14.25" hidden="true" customHeight="true" outlineLevel="0" collapsed="false">
      <c r="A533" s="16" t="s">
        <v>34</v>
      </c>
      <c r="B533" s="16" t="s">
        <v>155</v>
      </c>
      <c r="C533" s="16" t="s">
        <v>215</v>
      </c>
      <c r="D533" s="38"/>
      <c r="E533" s="39"/>
      <c r="F533" s="22" t="n">
        <f aca="false">IFERROR(D533*E533,0)</f>
        <v>0</v>
      </c>
      <c r="G533" s="16" t="str">
        <f aca="false">INDEX(SETORES!$B:$B,MATCH(A533,SETORES!$A:$A,0))</f>
        <v>Clientes</v>
      </c>
      <c r="H533" s="16" t="s">
        <v>20</v>
      </c>
    </row>
    <row r="534" customFormat="false" ht="14.25" hidden="true" customHeight="true" outlineLevel="0" collapsed="false">
      <c r="A534" s="40" t="s">
        <v>83</v>
      </c>
      <c r="B534" s="40" t="s">
        <v>155</v>
      </c>
      <c r="C534" s="40" t="s">
        <v>215</v>
      </c>
      <c r="D534" s="41"/>
      <c r="E534" s="42"/>
      <c r="F534" s="43" t="n">
        <f aca="false">IFERROR(D534*E534,0)</f>
        <v>0</v>
      </c>
      <c r="G534" s="40" t="str">
        <f aca="false">INDEX(SETORES!$B:$B,MATCH(A534,SETORES!$A:$A,0))</f>
        <v>Clientes</v>
      </c>
      <c r="H534" s="40" t="s">
        <v>20</v>
      </c>
    </row>
    <row r="535" customFormat="false" ht="14.25" hidden="true" customHeight="true" outlineLevel="0" collapsed="false">
      <c r="A535" s="16" t="s">
        <v>48</v>
      </c>
      <c r="B535" s="16" t="s">
        <v>155</v>
      </c>
      <c r="C535" s="16" t="s">
        <v>215</v>
      </c>
      <c r="D535" s="38"/>
      <c r="E535" s="39"/>
      <c r="F535" s="22" t="n">
        <f aca="false">IFERROR(D535*E535,0)</f>
        <v>0</v>
      </c>
      <c r="G535" s="16" t="str">
        <f aca="false">INDEX(SETORES!$B:$B,MATCH(A535,SETORES!$A:$A,0))</f>
        <v>Clientes</v>
      </c>
      <c r="H535" s="16" t="s">
        <v>20</v>
      </c>
    </row>
    <row r="536" customFormat="false" ht="14.25" hidden="true" customHeight="true" outlineLevel="0" collapsed="false">
      <c r="A536" s="40" t="s">
        <v>85</v>
      </c>
      <c r="B536" s="40" t="s">
        <v>155</v>
      </c>
      <c r="C536" s="40" t="s">
        <v>215</v>
      </c>
      <c r="D536" s="41"/>
      <c r="E536" s="42"/>
      <c r="F536" s="43" t="n">
        <f aca="false">IFERROR(D536*E536,0)</f>
        <v>0</v>
      </c>
      <c r="G536" s="40" t="str">
        <f aca="false">INDEX(SETORES!$B:$B,MATCH(A536,SETORES!$A:$A,0))</f>
        <v>Clientes</v>
      </c>
      <c r="H536" s="40" t="s">
        <v>20</v>
      </c>
    </row>
    <row r="537" customFormat="false" ht="14.25" hidden="true" customHeight="true" outlineLevel="0" collapsed="false">
      <c r="A537" s="16" t="s">
        <v>49</v>
      </c>
      <c r="B537" s="16" t="s">
        <v>155</v>
      </c>
      <c r="C537" s="16" t="s">
        <v>215</v>
      </c>
      <c r="D537" s="38"/>
      <c r="E537" s="39"/>
      <c r="F537" s="22" t="n">
        <f aca="false">IFERROR(D537*E537,0)</f>
        <v>0</v>
      </c>
      <c r="G537" s="16" t="str">
        <f aca="false">INDEX(SETORES!$B:$B,MATCH(A537,SETORES!$A:$A,0))</f>
        <v>Clientes</v>
      </c>
      <c r="H537" s="16" t="s">
        <v>20</v>
      </c>
    </row>
    <row r="538" customFormat="false" ht="14.25" hidden="true" customHeight="true" outlineLevel="0" collapsed="false">
      <c r="A538" s="40" t="s">
        <v>86</v>
      </c>
      <c r="B538" s="40" t="s">
        <v>155</v>
      </c>
      <c r="C538" s="40" t="s">
        <v>215</v>
      </c>
      <c r="D538" s="41"/>
      <c r="E538" s="42"/>
      <c r="F538" s="43" t="n">
        <f aca="false">IFERROR(D538*E538,0)</f>
        <v>0</v>
      </c>
      <c r="G538" s="40" t="str">
        <f aca="false">INDEX(SETORES!$B:$B,MATCH(A538,SETORES!$A:$A,0))</f>
        <v>Clientes</v>
      </c>
      <c r="H538" s="40" t="s">
        <v>20</v>
      </c>
    </row>
    <row r="539" customFormat="false" ht="14.25" hidden="true" customHeight="true" outlineLevel="0" collapsed="false">
      <c r="A539" s="16" t="s">
        <v>32</v>
      </c>
      <c r="B539" s="16" t="s">
        <v>155</v>
      </c>
      <c r="C539" s="16" t="s">
        <v>215</v>
      </c>
      <c r="D539" s="38"/>
      <c r="E539" s="39"/>
      <c r="F539" s="22" t="n">
        <f aca="false">IFERROR(D539*E539,0)</f>
        <v>0</v>
      </c>
      <c r="G539" s="16" t="str">
        <f aca="false">INDEX(SETORES!$B:$B,MATCH(A539,SETORES!$A:$A,0))</f>
        <v>Funcionários</v>
      </c>
      <c r="H539" s="16" t="s">
        <v>20</v>
      </c>
    </row>
    <row r="540" customFormat="false" ht="14.25" hidden="true" customHeight="true" outlineLevel="0" collapsed="false">
      <c r="A540" s="40" t="s">
        <v>81</v>
      </c>
      <c r="B540" s="40" t="s">
        <v>148</v>
      </c>
      <c r="C540" s="40" t="s">
        <v>231</v>
      </c>
      <c r="D540" s="41" t="n">
        <v>1</v>
      </c>
      <c r="E540" s="42" t="n">
        <v>2.222222</v>
      </c>
      <c r="F540" s="43" t="n">
        <f aca="false">IFERROR(D540*E540,0)</f>
        <v>2.222222</v>
      </c>
      <c r="G540" s="40" t="str">
        <f aca="false">INDEX(SETORES!$B:$B,MATCH(A540,SETORES!$A:$A,0))</f>
        <v>Clientes</v>
      </c>
      <c r="H540" s="40" t="s">
        <v>20</v>
      </c>
    </row>
    <row r="541" customFormat="false" ht="14.25" hidden="true" customHeight="true" outlineLevel="0" collapsed="false">
      <c r="A541" s="16" t="s">
        <v>87</v>
      </c>
      <c r="B541" s="16" t="s">
        <v>148</v>
      </c>
      <c r="C541" s="16" t="s">
        <v>231</v>
      </c>
      <c r="D541" s="38" t="n">
        <v>1</v>
      </c>
      <c r="E541" s="39" t="n">
        <v>6.666666</v>
      </c>
      <c r="F541" s="22" t="n">
        <f aca="false">IFERROR(D541*E541,0)</f>
        <v>6.666666</v>
      </c>
      <c r="G541" s="16" t="str">
        <f aca="false">INDEX(SETORES!$B:$B,MATCH(A541,SETORES!$A:$A,0))</f>
        <v>Clientes</v>
      </c>
      <c r="H541" s="16" t="s">
        <v>20</v>
      </c>
    </row>
    <row r="542" customFormat="false" ht="14.25" hidden="true" customHeight="true" outlineLevel="0" collapsed="false">
      <c r="A542" s="40" t="s">
        <v>54</v>
      </c>
      <c r="B542" s="40" t="s">
        <v>148</v>
      </c>
      <c r="C542" s="40" t="s">
        <v>231</v>
      </c>
      <c r="D542" s="41" t="n">
        <v>1</v>
      </c>
      <c r="E542" s="42" t="n">
        <v>11.11111</v>
      </c>
      <c r="F542" s="43" t="n">
        <f aca="false">IFERROR(D542*E542,0)</f>
        <v>11.11111</v>
      </c>
      <c r="G542" s="40" t="str">
        <f aca="false">INDEX(SETORES!$B:$B,MATCH(A542,SETORES!$A:$A,0))</f>
        <v>Clientes</v>
      </c>
      <c r="H542" s="40" t="s">
        <v>20</v>
      </c>
    </row>
    <row r="543" customFormat="false" ht="14.25" hidden="true" customHeight="true" outlineLevel="0" collapsed="false">
      <c r="A543" s="16" t="s">
        <v>40</v>
      </c>
      <c r="B543" s="16" t="s">
        <v>148</v>
      </c>
      <c r="C543" s="16" t="s">
        <v>231</v>
      </c>
      <c r="D543" s="38" t="n">
        <v>1</v>
      </c>
      <c r="E543" s="39" t="n">
        <v>5.555555</v>
      </c>
      <c r="F543" s="22" t="n">
        <f aca="false">IFERROR(D543*E543,0)</f>
        <v>5.555555</v>
      </c>
      <c r="G543" s="16" t="str">
        <f aca="false">INDEX(SETORES!$B:$B,MATCH(A543,SETORES!$A:$A,0))</f>
        <v>Clientes</v>
      </c>
      <c r="H543" s="16" t="s">
        <v>20</v>
      </c>
    </row>
    <row r="544" customFormat="false" ht="14.25" hidden="true" customHeight="true" outlineLevel="0" collapsed="false">
      <c r="A544" s="40" t="s">
        <v>86</v>
      </c>
      <c r="B544" s="40" t="s">
        <v>148</v>
      </c>
      <c r="C544" s="40" t="s">
        <v>231</v>
      </c>
      <c r="D544" s="41" t="n">
        <v>1</v>
      </c>
      <c r="E544" s="42" t="n">
        <v>7.777777</v>
      </c>
      <c r="F544" s="43" t="n">
        <f aca="false">IFERROR(D544*E544,0)</f>
        <v>7.777777</v>
      </c>
      <c r="G544" s="40" t="str">
        <f aca="false">INDEX(SETORES!$B:$B,MATCH(A544,SETORES!$A:$A,0))</f>
        <v>Clientes</v>
      </c>
      <c r="H544" s="40" t="s">
        <v>20</v>
      </c>
    </row>
    <row r="545" customFormat="false" ht="14.25" hidden="true" customHeight="true" outlineLevel="0" collapsed="false">
      <c r="A545" s="16" t="s">
        <v>32</v>
      </c>
      <c r="B545" s="16" t="s">
        <v>148</v>
      </c>
      <c r="C545" s="16" t="s">
        <v>231</v>
      </c>
      <c r="D545" s="38" t="n">
        <v>1</v>
      </c>
      <c r="E545" s="39" t="n">
        <v>4.444444</v>
      </c>
      <c r="F545" s="22" t="n">
        <f aca="false">IFERROR(D545*E545,0)</f>
        <v>4.444444</v>
      </c>
      <c r="G545" s="16" t="str">
        <f aca="false">INDEX(SETORES!$B:$B,MATCH(A545,SETORES!$A:$A,0))</f>
        <v>Funcionários</v>
      </c>
      <c r="H545" s="16" t="s">
        <v>20</v>
      </c>
    </row>
    <row r="546" customFormat="false" ht="14.25" hidden="true" customHeight="true" outlineLevel="0" collapsed="false">
      <c r="A546" s="40" t="s">
        <v>80</v>
      </c>
      <c r="B546" s="40" t="s">
        <v>148</v>
      </c>
      <c r="C546" s="40" t="s">
        <v>231</v>
      </c>
      <c r="D546" s="41" t="n">
        <v>1</v>
      </c>
      <c r="E546" s="42" t="n">
        <v>3.333333</v>
      </c>
      <c r="F546" s="43" t="n">
        <f aca="false">IFERROR(D546*E546,0)</f>
        <v>3.333333</v>
      </c>
      <c r="G546" s="40" t="str">
        <f aca="false">INDEX(SETORES!$B:$B,MATCH(A546,SETORES!$A:$A,0))</f>
        <v>Clientes</v>
      </c>
      <c r="H546" s="40" t="s">
        <v>20</v>
      </c>
    </row>
    <row r="547" customFormat="false" ht="14.25" hidden="true" customHeight="true" outlineLevel="0" collapsed="false">
      <c r="A547" s="16" t="s">
        <v>42</v>
      </c>
      <c r="B547" s="16" t="s">
        <v>148</v>
      </c>
      <c r="C547" s="16" t="s">
        <v>231</v>
      </c>
      <c r="D547" s="38" t="n">
        <v>1</v>
      </c>
      <c r="E547" s="39" t="n">
        <v>2.222222</v>
      </c>
      <c r="F547" s="22" t="n">
        <f aca="false">IFERROR(D547*E547,0)</f>
        <v>2.222222</v>
      </c>
      <c r="G547" s="16" t="str">
        <f aca="false">INDEX(SETORES!$B:$B,MATCH(A547,SETORES!$A:$A,0))</f>
        <v>Clientes</v>
      </c>
      <c r="H547" s="16" t="s">
        <v>20</v>
      </c>
    </row>
    <row r="548" customFormat="false" ht="14.25" hidden="true" customHeight="true" outlineLevel="0" collapsed="false">
      <c r="A548" s="40" t="s">
        <v>34</v>
      </c>
      <c r="B548" s="40" t="s">
        <v>148</v>
      </c>
      <c r="C548" s="40" t="s">
        <v>231</v>
      </c>
      <c r="D548" s="41" t="n">
        <v>1</v>
      </c>
      <c r="E548" s="42" t="n">
        <v>5.555555</v>
      </c>
      <c r="F548" s="43" t="n">
        <f aca="false">IFERROR(D548*E548,0)</f>
        <v>5.555555</v>
      </c>
      <c r="G548" s="40" t="str">
        <f aca="false">INDEX(SETORES!$B:$B,MATCH(A548,SETORES!$A:$A,0))</f>
        <v>Clientes</v>
      </c>
      <c r="H548" s="40" t="s">
        <v>20</v>
      </c>
    </row>
    <row r="549" customFormat="false" ht="14.25" hidden="true" customHeight="true" outlineLevel="0" collapsed="false">
      <c r="A549" s="16" t="s">
        <v>41</v>
      </c>
      <c r="B549" s="16" t="s">
        <v>148</v>
      </c>
      <c r="C549" s="16" t="s">
        <v>231</v>
      </c>
      <c r="D549" s="38" t="n">
        <v>1</v>
      </c>
      <c r="E549" s="39" t="n">
        <v>1.111111</v>
      </c>
      <c r="F549" s="22" t="n">
        <f aca="false">IFERROR(D549*E549,0)</f>
        <v>1.111111</v>
      </c>
      <c r="G549" s="16" t="str">
        <f aca="false">INDEX(SETORES!$B:$B,MATCH(A549,SETORES!$A:$A,0))</f>
        <v>Clientes</v>
      </c>
      <c r="H549" s="16" t="s">
        <v>20</v>
      </c>
    </row>
    <row r="550" customFormat="false" ht="14.25" hidden="true" customHeight="true" outlineLevel="0" collapsed="false">
      <c r="A550" s="40" t="s">
        <v>35</v>
      </c>
      <c r="B550" s="40" t="s">
        <v>148</v>
      </c>
      <c r="C550" s="40" t="s">
        <v>205</v>
      </c>
      <c r="D550" s="41" t="n">
        <v>1</v>
      </c>
      <c r="E550" s="42" t="n">
        <v>30</v>
      </c>
      <c r="F550" s="43" t="n">
        <f aca="false">IFERROR(D550*E550,0)</f>
        <v>30</v>
      </c>
      <c r="G550" s="40" t="str">
        <f aca="false">INDEX(SETORES!$B:$B,MATCH(A550,SETORES!$A:$A,0))</f>
        <v>Clientes</v>
      </c>
      <c r="H550" s="40" t="s">
        <v>20</v>
      </c>
    </row>
    <row r="551" customFormat="false" ht="14.25" hidden="true" customHeight="true" outlineLevel="0" collapsed="false">
      <c r="A551" s="16" t="s">
        <v>78</v>
      </c>
      <c r="B551" s="16" t="s">
        <v>148</v>
      </c>
      <c r="C551" s="16" t="s">
        <v>205</v>
      </c>
      <c r="D551" s="38" t="n">
        <v>12</v>
      </c>
      <c r="E551" s="39" t="n">
        <v>30</v>
      </c>
      <c r="F551" s="22" t="n">
        <f aca="false">IFERROR(D551*E551,0)</f>
        <v>360</v>
      </c>
      <c r="G551" s="16" t="str">
        <f aca="false">INDEX(SETORES!$B:$B,MATCH(A551,SETORES!$A:$A,0))</f>
        <v>Clientes</v>
      </c>
      <c r="H551" s="16" t="s">
        <v>20</v>
      </c>
    </row>
    <row r="552" customFormat="false" ht="14.25" hidden="true" customHeight="true" outlineLevel="0" collapsed="false">
      <c r="A552" s="40" t="s">
        <v>43</v>
      </c>
      <c r="B552" s="40" t="s">
        <v>148</v>
      </c>
      <c r="C552" s="40" t="s">
        <v>205</v>
      </c>
      <c r="D552" s="41" t="n">
        <v>2</v>
      </c>
      <c r="E552" s="42" t="n">
        <v>30</v>
      </c>
      <c r="F552" s="43" t="n">
        <f aca="false">IFERROR(D552*E552,0)</f>
        <v>60</v>
      </c>
      <c r="G552" s="40" t="str">
        <f aca="false">INDEX(SETORES!$B:$B,MATCH(A552,SETORES!$A:$A,0))</f>
        <v>Clientes</v>
      </c>
      <c r="H552" s="40" t="s">
        <v>20</v>
      </c>
    </row>
    <row r="553" customFormat="false" ht="14.25" hidden="true" customHeight="true" outlineLevel="0" collapsed="false">
      <c r="A553" s="16" t="s">
        <v>40</v>
      </c>
      <c r="B553" s="16" t="s">
        <v>148</v>
      </c>
      <c r="C553" s="16" t="s">
        <v>205</v>
      </c>
      <c r="D553" s="38" t="n">
        <v>2</v>
      </c>
      <c r="E553" s="39" t="n">
        <v>30</v>
      </c>
      <c r="F553" s="22" t="n">
        <f aca="false">IFERROR(D553*E553,0)</f>
        <v>60</v>
      </c>
      <c r="G553" s="16" t="str">
        <f aca="false">INDEX(SETORES!$B:$B,MATCH(A553,SETORES!$A:$A,0))</f>
        <v>Clientes</v>
      </c>
      <c r="H553" s="16" t="s">
        <v>20</v>
      </c>
    </row>
    <row r="554" customFormat="false" ht="14.25" hidden="true" customHeight="true" outlineLevel="0" collapsed="false">
      <c r="A554" s="40" t="s">
        <v>33</v>
      </c>
      <c r="B554" s="40" t="s">
        <v>148</v>
      </c>
      <c r="C554" s="40" t="s">
        <v>205</v>
      </c>
      <c r="D554" s="41" t="n">
        <v>2</v>
      </c>
      <c r="E554" s="42" t="n">
        <v>30</v>
      </c>
      <c r="F554" s="43" t="n">
        <f aca="false">IFERROR(D554*E554,0)</f>
        <v>60</v>
      </c>
      <c r="G554" s="40" t="str">
        <f aca="false">INDEX(SETORES!$B:$B,MATCH(A554,SETORES!$A:$A,0))</f>
        <v>Funcionários</v>
      </c>
      <c r="H554" s="40" t="s">
        <v>20</v>
      </c>
    </row>
    <row r="555" customFormat="false" ht="14.25" hidden="true" customHeight="true" outlineLevel="0" collapsed="false">
      <c r="A555" s="16" t="s">
        <v>45</v>
      </c>
      <c r="B555" s="16" t="s">
        <v>148</v>
      </c>
      <c r="C555" s="16" t="s">
        <v>205</v>
      </c>
      <c r="D555" s="38" t="n">
        <v>8</v>
      </c>
      <c r="E555" s="39" t="n">
        <v>30</v>
      </c>
      <c r="F555" s="22" t="n">
        <f aca="false">IFERROR(D555*E555,0)</f>
        <v>240</v>
      </c>
      <c r="G555" s="16" t="str">
        <f aca="false">INDEX(SETORES!$B:$B,MATCH(A555,SETORES!$A:$A,0))</f>
        <v>Clientes</v>
      </c>
      <c r="H555" s="16" t="s">
        <v>20</v>
      </c>
    </row>
    <row r="556" customFormat="false" ht="14.25" hidden="true" customHeight="true" outlineLevel="0" collapsed="false">
      <c r="A556" s="40" t="s">
        <v>36</v>
      </c>
      <c r="B556" s="40" t="s">
        <v>148</v>
      </c>
      <c r="C556" s="40" t="s">
        <v>205</v>
      </c>
      <c r="D556" s="41" t="n">
        <v>2</v>
      </c>
      <c r="E556" s="42" t="n">
        <v>30</v>
      </c>
      <c r="F556" s="43" t="n">
        <f aca="false">IFERROR(D556*E556,0)</f>
        <v>60</v>
      </c>
      <c r="G556" s="40" t="str">
        <f aca="false">INDEX(SETORES!$B:$B,MATCH(A556,SETORES!$A:$A,0))</f>
        <v>Clientes</v>
      </c>
      <c r="H556" s="40" t="s">
        <v>20</v>
      </c>
    </row>
    <row r="557" customFormat="false" ht="14.25" hidden="true" customHeight="true" outlineLevel="0" collapsed="false">
      <c r="A557" s="16" t="s">
        <v>81</v>
      </c>
      <c r="B557" s="16" t="s">
        <v>148</v>
      </c>
      <c r="C557" s="16" t="s">
        <v>205</v>
      </c>
      <c r="D557" s="38" t="n">
        <v>2</v>
      </c>
      <c r="E557" s="39" t="n">
        <v>30</v>
      </c>
      <c r="F557" s="22" t="n">
        <f aca="false">IFERROR(D557*E557,0)</f>
        <v>60</v>
      </c>
      <c r="G557" s="16" t="str">
        <f aca="false">INDEX(SETORES!$B:$B,MATCH(A557,SETORES!$A:$A,0))</f>
        <v>Clientes</v>
      </c>
      <c r="H557" s="16" t="s">
        <v>20</v>
      </c>
    </row>
    <row r="558" customFormat="false" ht="14.25" hidden="true" customHeight="true" outlineLevel="0" collapsed="false">
      <c r="A558" s="40" t="s">
        <v>34</v>
      </c>
      <c r="B558" s="40" t="s">
        <v>148</v>
      </c>
      <c r="C558" s="40" t="s">
        <v>205</v>
      </c>
      <c r="D558" s="41" t="n">
        <v>2</v>
      </c>
      <c r="E558" s="42" t="n">
        <v>30</v>
      </c>
      <c r="F558" s="43" t="n">
        <f aca="false">IFERROR(D558*E558,0)</f>
        <v>60</v>
      </c>
      <c r="G558" s="40" t="str">
        <f aca="false">INDEX(SETORES!$B:$B,MATCH(A558,SETORES!$A:$A,0))</f>
        <v>Clientes</v>
      </c>
      <c r="H558" s="40" t="s">
        <v>20</v>
      </c>
    </row>
    <row r="559" customFormat="false" ht="14.25" hidden="true" customHeight="true" outlineLevel="0" collapsed="false">
      <c r="A559" s="16" t="s">
        <v>83</v>
      </c>
      <c r="B559" s="16" t="s">
        <v>148</v>
      </c>
      <c r="C559" s="16" t="s">
        <v>205</v>
      </c>
      <c r="D559" s="38" t="n">
        <v>2</v>
      </c>
      <c r="E559" s="39" t="n">
        <v>30</v>
      </c>
      <c r="F559" s="22" t="n">
        <f aca="false">IFERROR(D559*E559,0)</f>
        <v>60</v>
      </c>
      <c r="G559" s="16" t="str">
        <f aca="false">INDEX(SETORES!$B:$B,MATCH(A559,SETORES!$A:$A,0))</f>
        <v>Clientes</v>
      </c>
      <c r="H559" s="16" t="s">
        <v>20</v>
      </c>
    </row>
    <row r="560" customFormat="false" ht="14.25" hidden="true" customHeight="true" outlineLevel="0" collapsed="false">
      <c r="A560" s="40" t="s">
        <v>48</v>
      </c>
      <c r="B560" s="40" t="s">
        <v>148</v>
      </c>
      <c r="C560" s="40" t="s">
        <v>205</v>
      </c>
      <c r="D560" s="41" t="n">
        <v>7</v>
      </c>
      <c r="E560" s="42" t="n">
        <v>30</v>
      </c>
      <c r="F560" s="43" t="n">
        <f aca="false">IFERROR(D560*E560,0)</f>
        <v>210</v>
      </c>
      <c r="G560" s="40" t="str">
        <f aca="false">INDEX(SETORES!$B:$B,MATCH(A560,SETORES!$A:$A,0))</f>
        <v>Clientes</v>
      </c>
      <c r="H560" s="40" t="s">
        <v>20</v>
      </c>
    </row>
    <row r="561" customFormat="false" ht="14.25" hidden="true" customHeight="true" outlineLevel="0" collapsed="false">
      <c r="A561" s="16" t="s">
        <v>47</v>
      </c>
      <c r="B561" s="16" t="s">
        <v>148</v>
      </c>
      <c r="C561" s="16" t="s">
        <v>205</v>
      </c>
      <c r="D561" s="38" t="n">
        <v>7</v>
      </c>
      <c r="E561" s="39" t="n">
        <v>30</v>
      </c>
      <c r="F561" s="22" t="n">
        <f aca="false">IFERROR(D561*E561,0)</f>
        <v>210</v>
      </c>
      <c r="G561" s="16" t="str">
        <f aca="false">INDEX(SETORES!$B:$B,MATCH(A561,SETORES!$A:$A,0))</f>
        <v>Clientes</v>
      </c>
      <c r="H561" s="16" t="s">
        <v>20</v>
      </c>
    </row>
    <row r="562" customFormat="false" ht="14.25" hidden="true" customHeight="true" outlineLevel="0" collapsed="false">
      <c r="A562" s="40" t="s">
        <v>85</v>
      </c>
      <c r="B562" s="40" t="s">
        <v>148</v>
      </c>
      <c r="C562" s="40" t="s">
        <v>205</v>
      </c>
      <c r="D562" s="41" t="n">
        <v>10</v>
      </c>
      <c r="E562" s="42" t="n">
        <v>30</v>
      </c>
      <c r="F562" s="43" t="n">
        <f aca="false">IFERROR(D562*E562,0)</f>
        <v>300</v>
      </c>
      <c r="G562" s="40" t="str">
        <f aca="false">INDEX(SETORES!$B:$B,MATCH(A562,SETORES!$A:$A,0))</f>
        <v>Clientes</v>
      </c>
      <c r="H562" s="40" t="s">
        <v>20</v>
      </c>
    </row>
    <row r="563" customFormat="false" ht="14.25" hidden="true" customHeight="true" outlineLevel="0" collapsed="false">
      <c r="A563" s="16" t="s">
        <v>31</v>
      </c>
      <c r="B563" s="16" t="s">
        <v>148</v>
      </c>
      <c r="C563" s="16" t="s">
        <v>205</v>
      </c>
      <c r="D563" s="38" t="n">
        <v>3</v>
      </c>
      <c r="E563" s="39" t="n">
        <v>30</v>
      </c>
      <c r="F563" s="22" t="n">
        <f aca="false">IFERROR(D563*E563,0)</f>
        <v>90</v>
      </c>
      <c r="G563" s="16" t="str">
        <f aca="false">INDEX(SETORES!$B:$B,MATCH(A563,SETORES!$A:$A,0))</f>
        <v>Clientes</v>
      </c>
      <c r="H563" s="16" t="s">
        <v>20</v>
      </c>
    </row>
    <row r="564" customFormat="false" ht="14.25" hidden="true" customHeight="true" outlineLevel="0" collapsed="false">
      <c r="A564" s="40" t="s">
        <v>46</v>
      </c>
      <c r="B564" s="40" t="s">
        <v>148</v>
      </c>
      <c r="C564" s="40" t="s">
        <v>205</v>
      </c>
      <c r="D564" s="41" t="n">
        <v>4</v>
      </c>
      <c r="E564" s="42" t="n">
        <v>30</v>
      </c>
      <c r="F564" s="43" t="n">
        <f aca="false">IFERROR(D564*E564,0)</f>
        <v>120</v>
      </c>
      <c r="G564" s="40" t="str">
        <f aca="false">INDEX(SETORES!$B:$B,MATCH(A564,SETORES!$A:$A,0))</f>
        <v>Clientes</v>
      </c>
      <c r="H564" s="40" t="s">
        <v>20</v>
      </c>
    </row>
    <row r="565" customFormat="false" ht="14.25" hidden="true" customHeight="true" outlineLevel="0" collapsed="false">
      <c r="A565" s="16" t="s">
        <v>86</v>
      </c>
      <c r="B565" s="16" t="s">
        <v>148</v>
      </c>
      <c r="C565" s="16" t="s">
        <v>205</v>
      </c>
      <c r="D565" s="38" t="n">
        <v>4</v>
      </c>
      <c r="E565" s="39" t="n">
        <v>30</v>
      </c>
      <c r="F565" s="22" t="n">
        <f aca="false">IFERROR(D565*E565,0)</f>
        <v>120</v>
      </c>
      <c r="G565" s="16" t="str">
        <f aca="false">INDEX(SETORES!$B:$B,MATCH(A565,SETORES!$A:$A,0))</f>
        <v>Clientes</v>
      </c>
      <c r="H565" s="16" t="s">
        <v>20</v>
      </c>
    </row>
    <row r="566" customFormat="false" ht="14.25" hidden="true" customHeight="true" outlineLevel="0" collapsed="false">
      <c r="A566" s="40" t="s">
        <v>32</v>
      </c>
      <c r="B566" s="40" t="s">
        <v>148</v>
      </c>
      <c r="C566" s="40" t="s">
        <v>205</v>
      </c>
      <c r="D566" s="41" t="n">
        <v>3</v>
      </c>
      <c r="E566" s="42" t="n">
        <v>30</v>
      </c>
      <c r="F566" s="43" t="n">
        <f aca="false">IFERROR(D566*E566,0)</f>
        <v>90</v>
      </c>
      <c r="G566" s="40" t="str">
        <f aca="false">INDEX(SETORES!$B:$B,MATCH(A566,SETORES!$A:$A,0))</f>
        <v>Funcionários</v>
      </c>
      <c r="H566" s="40" t="s">
        <v>20</v>
      </c>
    </row>
    <row r="567" customFormat="false" ht="14.25" hidden="true" customHeight="true" outlineLevel="0" collapsed="false">
      <c r="A567" s="16" t="s">
        <v>44</v>
      </c>
      <c r="B567" s="16" t="s">
        <v>148</v>
      </c>
      <c r="C567" s="16" t="s">
        <v>205</v>
      </c>
      <c r="D567" s="38" t="n">
        <v>5</v>
      </c>
      <c r="E567" s="39" t="n">
        <v>30</v>
      </c>
      <c r="F567" s="22" t="n">
        <f aca="false">IFERROR(D567*E567,0)</f>
        <v>150</v>
      </c>
      <c r="G567" s="16" t="str">
        <f aca="false">INDEX(SETORES!$B:$B,MATCH(A567,SETORES!$A:$A,0))</f>
        <v>Funcionários</v>
      </c>
      <c r="H567" s="16" t="s">
        <v>20</v>
      </c>
    </row>
    <row r="568" customFormat="false" ht="14.25" hidden="true" customHeight="true" outlineLevel="0" collapsed="false">
      <c r="A568" s="40" t="s">
        <v>87</v>
      </c>
      <c r="B568" s="40" t="s">
        <v>148</v>
      </c>
      <c r="C568" s="40" t="s">
        <v>205</v>
      </c>
      <c r="D568" s="41" t="n">
        <v>5</v>
      </c>
      <c r="E568" s="42" t="n">
        <v>30</v>
      </c>
      <c r="F568" s="43" t="n">
        <f aca="false">IFERROR(D568*E568,0)</f>
        <v>150</v>
      </c>
      <c r="G568" s="40" t="str">
        <f aca="false">INDEX(SETORES!$B:$B,MATCH(A568,SETORES!$A:$A,0))</f>
        <v>Clientes</v>
      </c>
      <c r="H568" s="40" t="s">
        <v>20</v>
      </c>
    </row>
    <row r="569" customFormat="false" ht="14.25" hidden="true" customHeight="true" outlineLevel="0" collapsed="false">
      <c r="A569" s="40" t="s">
        <v>34</v>
      </c>
      <c r="B569" s="40" t="s">
        <v>148</v>
      </c>
      <c r="C569" s="40" t="s">
        <v>149</v>
      </c>
      <c r="D569" s="41" t="n">
        <v>5</v>
      </c>
      <c r="E569" s="42" t="n">
        <v>28</v>
      </c>
      <c r="F569" s="43" t="n">
        <v>140</v>
      </c>
      <c r="G569" s="40" t="str">
        <f aca="false">INDEX(SETORES!$B:$B,MATCH(A569,SETORES!$A:$A,0))</f>
        <v>Clientes</v>
      </c>
      <c r="H569" s="40" t="s">
        <v>11</v>
      </c>
    </row>
    <row r="570" customFormat="false" ht="14.25" hidden="true" customHeight="true" outlineLevel="0" collapsed="false">
      <c r="A570" s="16" t="s">
        <v>34</v>
      </c>
      <c r="B570" s="16" t="s">
        <v>148</v>
      </c>
      <c r="C570" s="16" t="s">
        <v>150</v>
      </c>
      <c r="D570" s="38" t="n">
        <v>1</v>
      </c>
      <c r="E570" s="39" t="n">
        <v>184.6</v>
      </c>
      <c r="F570" s="22" t="n">
        <v>184.6</v>
      </c>
      <c r="G570" s="16" t="str">
        <f aca="false">INDEX(SETORES!$B:$B,MATCH(A570,SETORES!$A:$A,0))</f>
        <v>Clientes</v>
      </c>
      <c r="H570" s="16" t="s">
        <v>11</v>
      </c>
    </row>
    <row r="571" customFormat="false" ht="14.25" hidden="true" customHeight="true" outlineLevel="0" collapsed="false">
      <c r="A571" s="40" t="s">
        <v>34</v>
      </c>
      <c r="B571" s="40" t="s">
        <v>148</v>
      </c>
      <c r="C571" s="40" t="s">
        <v>151</v>
      </c>
      <c r="D571" s="41" t="n">
        <v>1</v>
      </c>
      <c r="E571" s="42" t="n">
        <v>43.7861</v>
      </c>
      <c r="F571" s="43" t="n">
        <v>43.7861</v>
      </c>
      <c r="G571" s="40" t="str">
        <f aca="false">INDEX(SETORES!$B:$B,MATCH(A571,SETORES!$A:$A,0))</f>
        <v>Clientes</v>
      </c>
      <c r="H571" s="40" t="s">
        <v>11</v>
      </c>
    </row>
    <row r="572" customFormat="false" ht="14.25" hidden="true" customHeight="true" outlineLevel="0" collapsed="false">
      <c r="A572" s="16" t="s">
        <v>34</v>
      </c>
      <c r="B572" s="16" t="s">
        <v>148</v>
      </c>
      <c r="C572" s="16" t="s">
        <v>152</v>
      </c>
      <c r="D572" s="38" t="n">
        <v>1</v>
      </c>
      <c r="E572" s="39" t="n">
        <v>0.125</v>
      </c>
      <c r="F572" s="22" t="n">
        <v>0.125</v>
      </c>
      <c r="G572" s="16" t="str">
        <f aca="false">INDEX(SETORES!$B:$B,MATCH(A572,SETORES!$A:$A,0))</f>
        <v>Clientes</v>
      </c>
      <c r="H572" s="16" t="s">
        <v>11</v>
      </c>
    </row>
    <row r="573" customFormat="false" ht="14.25" hidden="true" customHeight="true" outlineLevel="0" collapsed="false">
      <c r="A573" s="40" t="s">
        <v>34</v>
      </c>
      <c r="B573" s="40" t="s">
        <v>148</v>
      </c>
      <c r="C573" s="40" t="s">
        <v>153</v>
      </c>
      <c r="D573" s="41"/>
      <c r="E573" s="42"/>
      <c r="F573" s="43" t="n">
        <f aca="false">IFERROR(D573*E573,0)</f>
        <v>0</v>
      </c>
      <c r="G573" s="40" t="str">
        <f aca="false">INDEX(SETORES!$B:$B,MATCH(A573,SETORES!$A:$A,0))</f>
        <v>Clientes</v>
      </c>
      <c r="H573" s="40" t="s">
        <v>11</v>
      </c>
    </row>
    <row r="574" customFormat="false" ht="14.25" hidden="true" customHeight="true" outlineLevel="0" collapsed="false">
      <c r="A574" s="16" t="s">
        <v>34</v>
      </c>
      <c r="B574" s="16" t="s">
        <v>148</v>
      </c>
      <c r="C574" s="16" t="s">
        <v>154</v>
      </c>
      <c r="D574" s="38" t="n">
        <v>1</v>
      </c>
      <c r="E574" s="39" t="n">
        <v>19835.21</v>
      </c>
      <c r="F574" s="22" t="n">
        <f aca="false">IFERROR(E574,0)</f>
        <v>19835.21</v>
      </c>
      <c r="G574" s="16" t="str">
        <f aca="false">INDEX(SETORES!$B:$B,MATCH(A574,SETORES!$A:$A,0))</f>
        <v>Clientes</v>
      </c>
      <c r="H574" s="16" t="s">
        <v>11</v>
      </c>
    </row>
    <row r="575" customFormat="false" ht="14.25" hidden="true" customHeight="true" outlineLevel="0" collapsed="false">
      <c r="A575" s="40" t="s">
        <v>34</v>
      </c>
      <c r="B575" s="40" t="s">
        <v>155</v>
      </c>
      <c r="C575" s="40" t="s">
        <v>156</v>
      </c>
      <c r="D575" s="41"/>
      <c r="E575" s="42"/>
      <c r="F575" s="43" t="n">
        <f aca="false">IFERROR(D575*E575,0)</f>
        <v>0</v>
      </c>
      <c r="G575" s="40" t="str">
        <f aca="false">INDEX(SETORES!$B:$B,MATCH(A575,SETORES!$A:$A,0))</f>
        <v>Clientes</v>
      </c>
      <c r="H575" s="40" t="s">
        <v>11</v>
      </c>
    </row>
    <row r="576" customFormat="false" ht="14.25" hidden="true" customHeight="true" outlineLevel="0" collapsed="false">
      <c r="A576" s="16" t="s">
        <v>34</v>
      </c>
      <c r="B576" s="16" t="s">
        <v>155</v>
      </c>
      <c r="C576" s="16" t="s">
        <v>157</v>
      </c>
      <c r="D576" s="38" t="n">
        <v>1</v>
      </c>
      <c r="E576" s="39" t="n">
        <v>38</v>
      </c>
      <c r="F576" s="22" t="n">
        <f aca="false">IFERROR(D576*E576,0)</f>
        <v>38</v>
      </c>
      <c r="G576" s="16" t="str">
        <f aca="false">INDEX(SETORES!$B:$B,MATCH(A576,SETORES!$A:$A,0))</f>
        <v>Clientes</v>
      </c>
      <c r="H576" s="16" t="s">
        <v>11</v>
      </c>
    </row>
    <row r="577" customFormat="false" ht="14.25" hidden="true" customHeight="true" outlineLevel="0" collapsed="false">
      <c r="A577" s="40" t="s">
        <v>34</v>
      </c>
      <c r="B577" s="40" t="s">
        <v>155</v>
      </c>
      <c r="C577" s="40" t="s">
        <v>158</v>
      </c>
      <c r="D577" s="41"/>
      <c r="E577" s="42"/>
      <c r="F577" s="43" t="n">
        <f aca="false">IFERROR(D577*E577,0)</f>
        <v>0</v>
      </c>
      <c r="G577" s="40" t="str">
        <f aca="false">INDEX(SETORES!$B:$B,MATCH(A577,SETORES!$A:$A,0))</f>
        <v>Clientes</v>
      </c>
      <c r="H577" s="40" t="s">
        <v>11</v>
      </c>
    </row>
    <row r="578" customFormat="false" ht="14.25" hidden="true" customHeight="true" outlineLevel="0" collapsed="false">
      <c r="A578" s="16" t="s">
        <v>34</v>
      </c>
      <c r="B578" s="16" t="s">
        <v>148</v>
      </c>
      <c r="C578" s="16" t="s">
        <v>159</v>
      </c>
      <c r="D578" s="38" t="n">
        <v>8</v>
      </c>
      <c r="E578" s="39" t="n">
        <v>50</v>
      </c>
      <c r="F578" s="22" t="n">
        <f aca="false">IFERROR(D578*E578,0)</f>
        <v>400</v>
      </c>
      <c r="G578" s="16" t="str">
        <f aca="false">INDEX(SETORES!$B:$B,MATCH(A578,SETORES!$A:$A,0))</f>
        <v>Clientes</v>
      </c>
      <c r="H578" s="16" t="s">
        <v>11</v>
      </c>
    </row>
    <row r="579" customFormat="false" ht="14.25" hidden="true" customHeight="true" outlineLevel="0" collapsed="false">
      <c r="A579" s="40" t="s">
        <v>34</v>
      </c>
      <c r="B579" s="40" t="s">
        <v>148</v>
      </c>
      <c r="C579" s="40" t="s">
        <v>160</v>
      </c>
      <c r="D579" s="41" t="n">
        <v>5</v>
      </c>
      <c r="E579" s="42" t="n">
        <v>9.85</v>
      </c>
      <c r="F579" s="43" t="n">
        <f aca="false">IFERROR(D579*E579,0)</f>
        <v>49.25</v>
      </c>
      <c r="G579" s="40" t="str">
        <f aca="false">INDEX(SETORES!$B:$B,MATCH(A579,SETORES!$A:$A,0))</f>
        <v>Clientes</v>
      </c>
      <c r="H579" s="40" t="s">
        <v>11</v>
      </c>
    </row>
    <row r="580" customFormat="false" ht="14.25" hidden="true" customHeight="true" outlineLevel="0" collapsed="false">
      <c r="A580" s="16" t="s">
        <v>34</v>
      </c>
      <c r="B580" s="16" t="s">
        <v>148</v>
      </c>
      <c r="C580" s="16" t="s">
        <v>161</v>
      </c>
      <c r="D580" s="38" t="n">
        <v>5</v>
      </c>
      <c r="E580" s="39" t="n">
        <v>2.04</v>
      </c>
      <c r="F580" s="22" t="n">
        <f aca="false">IFERROR(D580*E580,0)</f>
        <v>10.2</v>
      </c>
      <c r="G580" s="16" t="str">
        <f aca="false">INDEX(SETORES!$B:$B,MATCH(A580,SETORES!$A:$A,0))</f>
        <v>Clientes</v>
      </c>
      <c r="H580" s="16" t="s">
        <v>11</v>
      </c>
    </row>
    <row r="581" customFormat="false" ht="14.25" hidden="true" customHeight="true" outlineLevel="0" collapsed="false">
      <c r="A581" s="40" t="s">
        <v>55</v>
      </c>
      <c r="B581" s="40" t="s">
        <v>148</v>
      </c>
      <c r="C581" s="40" t="s">
        <v>165</v>
      </c>
      <c r="D581" s="41"/>
      <c r="E581" s="42"/>
      <c r="F581" s="43" t="n">
        <f aca="false">IFERROR(D581*E581,0)</f>
        <v>0</v>
      </c>
      <c r="G581" s="40" t="str">
        <f aca="false">INDEX(SETORES!$B:$B,MATCH(A581,SETORES!$A:$A,0))</f>
        <v>Funcionários</v>
      </c>
      <c r="H581" s="40" t="s">
        <v>11</v>
      </c>
    </row>
    <row r="582" customFormat="false" ht="14.25" hidden="true" customHeight="true" outlineLevel="0" collapsed="false">
      <c r="A582" s="16" t="s">
        <v>55</v>
      </c>
      <c r="B582" s="16" t="s">
        <v>148</v>
      </c>
      <c r="C582" s="16" t="s">
        <v>168</v>
      </c>
      <c r="D582" s="38" t="n">
        <v>1</v>
      </c>
      <c r="E582" s="39" t="n">
        <v>2500</v>
      </c>
      <c r="F582" s="22" t="n">
        <f aca="false">IFERROR(D582*E582,0)</f>
        <v>2500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40" t="s">
        <v>55</v>
      </c>
      <c r="B583" s="40" t="s">
        <v>148</v>
      </c>
      <c r="C583" s="40" t="s">
        <v>169</v>
      </c>
      <c r="D583" s="41" t="n">
        <v>1</v>
      </c>
      <c r="E583" s="42" t="n">
        <v>2612.9</v>
      </c>
      <c r="F583" s="43" t="n">
        <f aca="false">IFERROR(D583*E583,0)</f>
        <v>2612.9</v>
      </c>
      <c r="G583" s="40" t="str">
        <f aca="false">INDEX(SETORES!$B:$B,MATCH(A583,SETORES!$A:$A,0))</f>
        <v>Funcionários</v>
      </c>
      <c r="H583" s="40" t="s">
        <v>11</v>
      </c>
    </row>
    <row r="584" customFormat="false" ht="14.25" hidden="true" customHeight="true" outlineLevel="0" collapsed="false">
      <c r="A584" s="16" t="s">
        <v>55</v>
      </c>
      <c r="B584" s="16" t="s">
        <v>148</v>
      </c>
      <c r="C584" s="16" t="s">
        <v>178</v>
      </c>
      <c r="D584" s="38" t="n">
        <v>1</v>
      </c>
      <c r="E584" s="39" t="n">
        <v>99</v>
      </c>
      <c r="F584" s="22" t="n">
        <f aca="false">IFERROR(D584*E584,0)</f>
        <v>99</v>
      </c>
      <c r="G584" s="16" t="str">
        <f aca="false">INDEX(SETORES!$B:$B,MATCH(A584,SETORES!$A:$A,0))</f>
        <v>Funcionários</v>
      </c>
      <c r="H584" s="16" t="s">
        <v>11</v>
      </c>
    </row>
    <row r="585" customFormat="false" ht="14.25" hidden="true" customHeight="true" outlineLevel="0" collapsed="false">
      <c r="A585" s="40" t="s">
        <v>55</v>
      </c>
      <c r="B585" s="40" t="s">
        <v>148</v>
      </c>
      <c r="C585" s="40" t="s">
        <v>166</v>
      </c>
      <c r="D585" s="41" t="n">
        <v>1</v>
      </c>
      <c r="E585" s="42" t="n">
        <v>1649.77</v>
      </c>
      <c r="F585" s="43" t="n">
        <f aca="false">IFERROR(D585*E585,0)</f>
        <v>1649.77</v>
      </c>
      <c r="G585" s="40" t="str">
        <f aca="false">INDEX(SETORES!$B:$B,MATCH(A585,SETORES!$A:$A,0))</f>
        <v>Funcionários</v>
      </c>
      <c r="H585" s="40" t="s">
        <v>11</v>
      </c>
    </row>
    <row r="586" customFormat="false" ht="14.25" hidden="true" customHeight="true" outlineLevel="0" collapsed="false">
      <c r="A586" s="16" t="s">
        <v>55</v>
      </c>
      <c r="B586" s="16" t="s">
        <v>148</v>
      </c>
      <c r="C586" s="16" t="s">
        <v>170</v>
      </c>
      <c r="D586" s="38" t="n">
        <v>1</v>
      </c>
      <c r="E586" s="39" t="n">
        <v>2559.44</v>
      </c>
      <c r="F586" s="22" t="n">
        <f aca="false">IFERROR(D586*E586,0)</f>
        <v>2559.44</v>
      </c>
      <c r="G586" s="16" t="str">
        <f aca="false">INDEX(SETORES!$B:$B,MATCH(A586,SETORES!$A:$A,0))</f>
        <v>Funcionários</v>
      </c>
      <c r="H586" s="16" t="s">
        <v>11</v>
      </c>
    </row>
    <row r="587" customFormat="false" ht="14.25" hidden="true" customHeight="true" outlineLevel="0" collapsed="false">
      <c r="A587" s="40" t="s">
        <v>55</v>
      </c>
      <c r="B587" s="40" t="s">
        <v>148</v>
      </c>
      <c r="C587" s="40" t="s">
        <v>232</v>
      </c>
      <c r="D587" s="41" t="n">
        <v>1</v>
      </c>
      <c r="E587" s="42" t="n">
        <v>4226.8</v>
      </c>
      <c r="F587" s="43" t="n">
        <f aca="false">IFERROR(D587*E587,0)</f>
        <v>4226.8</v>
      </c>
      <c r="G587" s="40" t="str">
        <f aca="false">INDEX(SETORES!$B:$B,MATCH(A587,SETORES!$A:$A,0))</f>
        <v>Funcionários</v>
      </c>
      <c r="H587" s="40" t="s">
        <v>11</v>
      </c>
    </row>
    <row r="588" customFormat="false" ht="14.25" hidden="true" customHeight="true" outlineLevel="0" collapsed="false">
      <c r="A588" s="16" t="s">
        <v>55</v>
      </c>
      <c r="B588" s="16" t="s">
        <v>148</v>
      </c>
      <c r="C588" s="16" t="s">
        <v>167</v>
      </c>
      <c r="D588" s="38" t="n">
        <v>1</v>
      </c>
      <c r="E588" s="39" t="n">
        <v>2000</v>
      </c>
      <c r="F588" s="22" t="n">
        <f aca="false">IFERROR(D588*E588,0)</f>
        <v>2000</v>
      </c>
      <c r="G588" s="16" t="str">
        <f aca="false">INDEX(SETORES!$B:$B,MATCH(A588,SETORES!$A:$A,0))</f>
        <v>Funcionários</v>
      </c>
      <c r="H588" s="16" t="s">
        <v>11</v>
      </c>
    </row>
    <row r="589" customFormat="false" ht="14.25" hidden="true" customHeight="true" outlineLevel="0" collapsed="false">
      <c r="A589" s="40" t="s">
        <v>55</v>
      </c>
      <c r="B589" s="40" t="s">
        <v>148</v>
      </c>
      <c r="C589" s="40" t="s">
        <v>172</v>
      </c>
      <c r="D589" s="41" t="n">
        <v>1</v>
      </c>
      <c r="E589" s="42" t="n">
        <v>1099.93</v>
      </c>
      <c r="F589" s="43" t="n">
        <f aca="false">IFERROR(D589*E589,0)</f>
        <v>1099.93</v>
      </c>
      <c r="G589" s="40" t="str">
        <f aca="false">INDEX(SETORES!$B:$B,MATCH(A589,SETORES!$A:$A,0))</f>
        <v>Funcionários</v>
      </c>
      <c r="H589" s="40" t="s">
        <v>11</v>
      </c>
    </row>
    <row r="590" customFormat="false" ht="14.25" hidden="true" customHeight="true" outlineLevel="0" collapsed="false">
      <c r="A590" s="16" t="s">
        <v>55</v>
      </c>
      <c r="B590" s="16" t="s">
        <v>148</v>
      </c>
      <c r="C590" s="16" t="s">
        <v>173</v>
      </c>
      <c r="D590" s="38" t="n">
        <v>1</v>
      </c>
      <c r="E590" s="39" t="n">
        <v>3714.01</v>
      </c>
      <c r="F590" s="22" t="n">
        <f aca="false">IFERROR(D590*E590,0)</f>
        <v>3714.01</v>
      </c>
      <c r="G590" s="16" t="str">
        <f aca="false">INDEX(SETORES!$B:$B,MATCH(A590,SETORES!$A:$A,0))</f>
        <v>Funcionários</v>
      </c>
      <c r="H590" s="16" t="s">
        <v>11</v>
      </c>
    </row>
    <row r="591" customFormat="false" ht="14.25" hidden="true" customHeight="true" outlineLevel="0" collapsed="false">
      <c r="A591" s="40" t="s">
        <v>55</v>
      </c>
      <c r="B591" s="40" t="s">
        <v>148</v>
      </c>
      <c r="C591" s="40" t="s">
        <v>174</v>
      </c>
      <c r="D591" s="41" t="n">
        <v>1</v>
      </c>
      <c r="E591" s="42" t="n">
        <v>2559.45</v>
      </c>
      <c r="F591" s="43" t="n">
        <f aca="false">IFERROR(D591*E591,0)</f>
        <v>2559.45</v>
      </c>
      <c r="G591" s="40" t="str">
        <f aca="false">INDEX(SETORES!$B:$B,MATCH(A591,SETORES!$A:$A,0))</f>
        <v>Funcionários</v>
      </c>
      <c r="H591" s="40" t="s">
        <v>11</v>
      </c>
    </row>
    <row r="592" customFormat="false" ht="14.25" hidden="true" customHeight="true" outlineLevel="0" collapsed="false">
      <c r="A592" s="16" t="s">
        <v>55</v>
      </c>
      <c r="B592" s="16" t="s">
        <v>148</v>
      </c>
      <c r="C592" s="16" t="s">
        <v>175</v>
      </c>
      <c r="D592" s="38"/>
      <c r="E592" s="39"/>
      <c r="F592" s="22" t="n">
        <f aca="false">IFERROR(D592*E592,0)</f>
        <v>0</v>
      </c>
      <c r="G592" s="16" t="str">
        <f aca="false">INDEX(SETORES!$B:$B,MATCH(A592,SETORES!$A:$A,0))</f>
        <v>Funcionários</v>
      </c>
      <c r="H592" s="16" t="s">
        <v>11</v>
      </c>
    </row>
    <row r="593" customFormat="false" ht="14.25" hidden="true" customHeight="true" outlineLevel="0" collapsed="false">
      <c r="A593" s="40" t="s">
        <v>55</v>
      </c>
      <c r="B593" s="40" t="s">
        <v>148</v>
      </c>
      <c r="C593" s="40" t="s">
        <v>176</v>
      </c>
      <c r="D593" s="41" t="n">
        <v>1</v>
      </c>
      <c r="E593" s="42" t="n">
        <v>666.2</v>
      </c>
      <c r="F593" s="43" t="n">
        <f aca="false">IFERROR(D593*E593,0)</f>
        <v>666.2</v>
      </c>
      <c r="G593" s="40" t="str">
        <f aca="false">INDEX(SETORES!$B:$B,MATCH(A593,SETORES!$A:$A,0))</f>
        <v>Funcionários</v>
      </c>
      <c r="H593" s="40" t="s">
        <v>11</v>
      </c>
    </row>
    <row r="594" customFormat="false" ht="14.25" hidden="true" customHeight="true" outlineLevel="0" collapsed="false">
      <c r="A594" s="16" t="s">
        <v>55</v>
      </c>
      <c r="B594" s="16" t="s">
        <v>148</v>
      </c>
      <c r="C594" s="16" t="s">
        <v>179</v>
      </c>
      <c r="D594" s="38" t="n">
        <v>1</v>
      </c>
      <c r="E594" s="39" t="n">
        <v>2638.1</v>
      </c>
      <c r="F594" s="22" t="n">
        <f aca="false">IFERROR(D594*E594,0)</f>
        <v>2638.1</v>
      </c>
      <c r="G594" s="16" t="str">
        <f aca="false">INDEX(SETORES!$B:$B,MATCH(A594,SETORES!$A:$A,0))</f>
        <v>Funcionários</v>
      </c>
      <c r="H594" s="16" t="s">
        <v>11</v>
      </c>
    </row>
    <row r="595" customFormat="false" ht="14.25" hidden="true" customHeight="true" outlineLevel="0" collapsed="false">
      <c r="A595" s="40" t="s">
        <v>35</v>
      </c>
      <c r="B595" s="40" t="s">
        <v>148</v>
      </c>
      <c r="C595" s="40" t="s">
        <v>149</v>
      </c>
      <c r="D595" s="41" t="n">
        <v>4</v>
      </c>
      <c r="E595" s="42" t="n">
        <v>4.375</v>
      </c>
      <c r="F595" s="43" t="n">
        <v>17.5</v>
      </c>
      <c r="G595" s="40" t="str">
        <f aca="false">INDEX(SETORES!$B:$B,MATCH(A595,SETORES!$A:$A,0))</f>
        <v>Clientes</v>
      </c>
      <c r="H595" s="40" t="s">
        <v>11</v>
      </c>
    </row>
    <row r="596" customFormat="false" ht="14.25" hidden="true" customHeight="true" outlineLevel="0" collapsed="false">
      <c r="A596" s="16" t="s">
        <v>35</v>
      </c>
      <c r="B596" s="16" t="s">
        <v>148</v>
      </c>
      <c r="C596" s="16" t="s">
        <v>150</v>
      </c>
      <c r="D596" s="38" t="n">
        <v>1</v>
      </c>
      <c r="E596" s="39" t="n">
        <v>74.8</v>
      </c>
      <c r="F596" s="22" t="n">
        <v>74.8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40" t="s">
        <v>35</v>
      </c>
      <c r="B597" s="40" t="s">
        <v>148</v>
      </c>
      <c r="C597" s="40" t="s">
        <v>151</v>
      </c>
      <c r="D597" s="41" t="n">
        <v>1</v>
      </c>
      <c r="E597" s="42" t="n">
        <v>35.0289</v>
      </c>
      <c r="F597" s="43" t="n">
        <v>35.0289</v>
      </c>
      <c r="G597" s="40" t="str">
        <f aca="false">INDEX(SETORES!$B:$B,MATCH(A597,SETORES!$A:$A,0))</f>
        <v>Clientes</v>
      </c>
      <c r="H597" s="40" t="s">
        <v>11</v>
      </c>
    </row>
    <row r="598" customFormat="false" ht="14.25" hidden="true" customHeight="true" outlineLevel="0" collapsed="false">
      <c r="A598" s="16" t="s">
        <v>35</v>
      </c>
      <c r="B598" s="16" t="s">
        <v>148</v>
      </c>
      <c r="C598" s="16" t="s">
        <v>152</v>
      </c>
      <c r="D598" s="38" t="n">
        <v>1</v>
      </c>
      <c r="E598" s="39" t="n">
        <v>0.1</v>
      </c>
      <c r="F598" s="22" t="n">
        <v>0.1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40" t="s">
        <v>35</v>
      </c>
      <c r="B599" s="40" t="s">
        <v>148</v>
      </c>
      <c r="C599" s="40" t="s">
        <v>153</v>
      </c>
      <c r="D599" s="41"/>
      <c r="E599" s="42"/>
      <c r="F599" s="43" t="n">
        <f aca="false">IFERROR(D599*E599,0)</f>
        <v>0</v>
      </c>
      <c r="G599" s="40" t="str">
        <f aca="false">INDEX(SETORES!$B:$B,MATCH(A599,SETORES!$A:$A,0))</f>
        <v>Clientes</v>
      </c>
      <c r="H599" s="40" t="s">
        <v>11</v>
      </c>
    </row>
    <row r="600" customFormat="false" ht="14.25" hidden="true" customHeight="true" outlineLevel="0" collapsed="false">
      <c r="A600" s="16" t="s">
        <v>35</v>
      </c>
      <c r="B600" s="16" t="s">
        <v>148</v>
      </c>
      <c r="C600" s="16" t="s">
        <v>154</v>
      </c>
      <c r="D600" s="38" t="n">
        <v>1</v>
      </c>
      <c r="E600" s="39" t="n">
        <v>14018.17</v>
      </c>
      <c r="F600" s="22" t="n">
        <f aca="false">IFERROR(E600,0)</f>
        <v>14018.17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40" t="s">
        <v>35</v>
      </c>
      <c r="B601" s="40" t="s">
        <v>155</v>
      </c>
      <c r="C601" s="40" t="s">
        <v>156</v>
      </c>
      <c r="D601" s="41"/>
      <c r="E601" s="42"/>
      <c r="F601" s="43" t="n">
        <f aca="false">IFERROR(D601*E601,0)</f>
        <v>0</v>
      </c>
      <c r="G601" s="40" t="str">
        <f aca="false">INDEX(SETORES!$B:$B,MATCH(A601,SETORES!$A:$A,0))</f>
        <v>Clientes</v>
      </c>
      <c r="H601" s="40" t="s">
        <v>11</v>
      </c>
    </row>
    <row r="602" customFormat="false" ht="14.25" hidden="true" customHeight="true" outlineLevel="0" collapsed="false">
      <c r="A602" s="16" t="s">
        <v>35</v>
      </c>
      <c r="B602" s="16" t="s">
        <v>155</v>
      </c>
      <c r="C602" s="16" t="s">
        <v>157</v>
      </c>
      <c r="D602" s="38" t="n">
        <v>1</v>
      </c>
      <c r="E602" s="39" t="n">
        <v>38</v>
      </c>
      <c r="F602" s="22" t="n">
        <f aca="false">IFERROR(D602*E602,0)</f>
        <v>38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40" t="s">
        <v>35</v>
      </c>
      <c r="B603" s="40" t="s">
        <v>155</v>
      </c>
      <c r="C603" s="40" t="s">
        <v>158</v>
      </c>
      <c r="D603" s="41"/>
      <c r="E603" s="42"/>
      <c r="F603" s="43" t="n">
        <f aca="false">IFERROR(D603*E603,0)</f>
        <v>0</v>
      </c>
      <c r="G603" s="40" t="str">
        <f aca="false">INDEX(SETORES!$B:$B,MATCH(A603,SETORES!$A:$A,0))</f>
        <v>Clientes</v>
      </c>
      <c r="H603" s="40" t="s">
        <v>11</v>
      </c>
    </row>
    <row r="604" customFormat="false" ht="14.25" hidden="true" customHeight="true" outlineLevel="0" collapsed="false">
      <c r="A604" s="16" t="s">
        <v>35</v>
      </c>
      <c r="B604" s="16" t="s">
        <v>148</v>
      </c>
      <c r="C604" s="16" t="s">
        <v>159</v>
      </c>
      <c r="D604" s="38" t="n">
        <v>3</v>
      </c>
      <c r="E604" s="39" t="n">
        <v>50</v>
      </c>
      <c r="F604" s="22" t="n">
        <f aca="false">IFERROR(D604*E604,0)</f>
        <v>150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40" t="s">
        <v>35</v>
      </c>
      <c r="B605" s="40" t="s">
        <v>148</v>
      </c>
      <c r="C605" s="40" t="s">
        <v>160</v>
      </c>
      <c r="D605" s="41" t="n">
        <v>4</v>
      </c>
      <c r="E605" s="42" t="n">
        <v>9.85</v>
      </c>
      <c r="F605" s="43" t="n">
        <f aca="false">IFERROR(D605*E605,0)</f>
        <v>39.4</v>
      </c>
      <c r="G605" s="40" t="str">
        <f aca="false">INDEX(SETORES!$B:$B,MATCH(A605,SETORES!$A:$A,0))</f>
        <v>Clientes</v>
      </c>
      <c r="H605" s="40" t="s">
        <v>11</v>
      </c>
    </row>
    <row r="606" customFormat="false" ht="14.25" hidden="true" customHeight="true" outlineLevel="0" collapsed="false">
      <c r="A606" s="16" t="s">
        <v>35</v>
      </c>
      <c r="B606" s="16" t="s">
        <v>148</v>
      </c>
      <c r="C606" s="16" t="s">
        <v>161</v>
      </c>
      <c r="D606" s="38" t="n">
        <v>4</v>
      </c>
      <c r="E606" s="39" t="n">
        <v>2.04</v>
      </c>
      <c r="F606" s="22" t="n">
        <f aca="false">IFERROR(D606*E606,0)</f>
        <v>8.16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40" t="s">
        <v>38</v>
      </c>
      <c r="B607" s="40" t="s">
        <v>148</v>
      </c>
      <c r="C607" s="40" t="s">
        <v>149</v>
      </c>
      <c r="D607" s="41" t="n">
        <v>11</v>
      </c>
      <c r="E607" s="42" t="n">
        <v>0.2641</v>
      </c>
      <c r="F607" s="43" t="n">
        <v>2.9051</v>
      </c>
      <c r="G607" s="40" t="str">
        <f aca="false">INDEX(SETORES!$B:$B,MATCH(A607,SETORES!$A:$A,0))</f>
        <v>Clientes</v>
      </c>
      <c r="H607" s="40" t="s">
        <v>11</v>
      </c>
    </row>
    <row r="608" customFormat="false" ht="14.25" hidden="true" customHeight="true" outlineLevel="0" collapsed="false">
      <c r="A608" s="16" t="s">
        <v>38</v>
      </c>
      <c r="B608" s="16" t="s">
        <v>148</v>
      </c>
      <c r="C608" s="16" t="s">
        <v>150</v>
      </c>
      <c r="D608" s="38" t="n">
        <v>1</v>
      </c>
      <c r="E608" s="39" t="n">
        <v>677.233934</v>
      </c>
      <c r="F608" s="22" t="n">
        <v>677.233934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40" t="s">
        <v>38</v>
      </c>
      <c r="B609" s="40" t="s">
        <v>148</v>
      </c>
      <c r="C609" s="40" t="s">
        <v>151</v>
      </c>
      <c r="D609" s="41" t="n">
        <v>1</v>
      </c>
      <c r="E609" s="42" t="n">
        <v>96.3294</v>
      </c>
      <c r="F609" s="43" t="n">
        <v>96.3294</v>
      </c>
      <c r="G609" s="40" t="str">
        <f aca="false">INDEX(SETORES!$B:$B,MATCH(A609,SETORES!$A:$A,0))</f>
        <v>Clientes</v>
      </c>
      <c r="H609" s="40" t="s">
        <v>11</v>
      </c>
    </row>
    <row r="610" customFormat="false" ht="14.25" hidden="true" customHeight="true" outlineLevel="0" collapsed="false">
      <c r="A610" s="16" t="s">
        <v>38</v>
      </c>
      <c r="B610" s="16" t="s">
        <v>148</v>
      </c>
      <c r="C610" s="16" t="s">
        <v>152</v>
      </c>
      <c r="D610" s="38" t="n">
        <v>1</v>
      </c>
      <c r="E610" s="39" t="n">
        <v>0.275</v>
      </c>
      <c r="F610" s="22" t="n">
        <v>0.275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40" t="s">
        <v>38</v>
      </c>
      <c r="B611" s="40" t="s">
        <v>148</v>
      </c>
      <c r="C611" s="40" t="s">
        <v>153</v>
      </c>
      <c r="D611" s="41"/>
      <c r="E611" s="42"/>
      <c r="F611" s="43" t="n">
        <f aca="false">IFERROR(D611*E611,0)</f>
        <v>0</v>
      </c>
      <c r="G611" s="40" t="str">
        <f aca="false">INDEX(SETORES!$B:$B,MATCH(A611,SETORES!$A:$A,0))</f>
        <v>Clientes</v>
      </c>
      <c r="H611" s="40" t="s">
        <v>11</v>
      </c>
    </row>
    <row r="612" customFormat="false" ht="14.25" hidden="true" customHeight="true" outlineLevel="0" collapsed="false">
      <c r="A612" s="16" t="s">
        <v>38</v>
      </c>
      <c r="B612" s="16" t="s">
        <v>148</v>
      </c>
      <c r="C612" s="16" t="s">
        <v>154</v>
      </c>
      <c r="D612" s="38" t="n">
        <v>1</v>
      </c>
      <c r="E612" s="39" t="n">
        <v>35079.61</v>
      </c>
      <c r="F612" s="22" t="n">
        <f aca="false">IFERROR(E612,0)</f>
        <v>35079.61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40" t="s">
        <v>38</v>
      </c>
      <c r="B613" s="40" t="s">
        <v>155</v>
      </c>
      <c r="C613" s="40" t="s">
        <v>156</v>
      </c>
      <c r="D613" s="41" t="n">
        <v>1</v>
      </c>
      <c r="E613" s="42" t="n">
        <v>496</v>
      </c>
      <c r="F613" s="43" t="n">
        <f aca="false">IFERROR(D613*E613,0)</f>
        <v>496</v>
      </c>
      <c r="G613" s="40" t="str">
        <f aca="false">INDEX(SETORES!$B:$B,MATCH(A613,SETORES!$A:$A,0))</f>
        <v>Clientes</v>
      </c>
      <c r="H613" s="40" t="s">
        <v>11</v>
      </c>
    </row>
    <row r="614" customFormat="false" ht="14.25" hidden="true" customHeight="true" outlineLevel="0" collapsed="false">
      <c r="A614" s="16" t="s">
        <v>38</v>
      </c>
      <c r="B614" s="16" t="s">
        <v>155</v>
      </c>
      <c r="C614" s="16" t="s">
        <v>157</v>
      </c>
      <c r="D614" s="38" t="n">
        <v>1</v>
      </c>
      <c r="E614" s="39" t="n">
        <v>65.33</v>
      </c>
      <c r="F614" s="22" t="n">
        <f aca="false">IFERROR(D614*E614,0)</f>
        <v>65.33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40" t="s">
        <v>38</v>
      </c>
      <c r="B615" s="40" t="s">
        <v>155</v>
      </c>
      <c r="C615" s="40" t="s">
        <v>215</v>
      </c>
      <c r="D615" s="41" t="n">
        <v>1</v>
      </c>
      <c r="E615" s="42" t="n">
        <v>2340.76</v>
      </c>
      <c r="F615" s="43" t="n">
        <f aca="false">IFERROR(D615*E615,0)</f>
        <v>2340.76</v>
      </c>
      <c r="G615" s="40" t="str">
        <f aca="false">INDEX(SETORES!$B:$B,MATCH(A615,SETORES!$A:$A,0))</f>
        <v>Clientes</v>
      </c>
      <c r="H615" s="40" t="s">
        <v>11</v>
      </c>
    </row>
    <row r="616" customFormat="false" ht="14.25" hidden="true" customHeight="true" outlineLevel="0" collapsed="false">
      <c r="A616" s="16" t="s">
        <v>38</v>
      </c>
      <c r="B616" s="16" t="s">
        <v>148</v>
      </c>
      <c r="C616" s="16" t="s">
        <v>159</v>
      </c>
      <c r="D616" s="38" t="n">
        <v>13</v>
      </c>
      <c r="E616" s="39" t="n">
        <v>50</v>
      </c>
      <c r="F616" s="22" t="n">
        <f aca="false">IFERROR(D616*E616,0)</f>
        <v>650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40" t="s">
        <v>38</v>
      </c>
      <c r="B617" s="40" t="s">
        <v>148</v>
      </c>
      <c r="C617" s="40" t="s">
        <v>180</v>
      </c>
      <c r="D617" s="41" t="n">
        <v>1</v>
      </c>
      <c r="E617" s="42" t="n">
        <v>608.770657</v>
      </c>
      <c r="F617" s="43" t="n">
        <f aca="false">IFERROR(D617*E617,0)</f>
        <v>608.770657</v>
      </c>
      <c r="G617" s="40" t="str">
        <f aca="false">INDEX(SETORES!$B:$B,MATCH(A617,SETORES!$A:$A,0))</f>
        <v>Clientes</v>
      </c>
      <c r="H617" s="40" t="s">
        <v>11</v>
      </c>
    </row>
    <row r="618" customFormat="false" ht="14.25" hidden="true" customHeight="true" outlineLevel="0" collapsed="false">
      <c r="A618" s="16" t="s">
        <v>38</v>
      </c>
      <c r="B618" s="16" t="s">
        <v>148</v>
      </c>
      <c r="C618" s="16" t="s">
        <v>233</v>
      </c>
      <c r="D618" s="38" t="n">
        <v>1</v>
      </c>
      <c r="E618" s="39" t="n">
        <v>2.308196</v>
      </c>
      <c r="F618" s="22" t="n">
        <f aca="false">IFERROR(D618*E618,0)</f>
        <v>2.308196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40" t="s">
        <v>38</v>
      </c>
      <c r="B619" s="40" t="s">
        <v>148</v>
      </c>
      <c r="C619" s="40" t="s">
        <v>160</v>
      </c>
      <c r="D619" s="41" t="n">
        <v>11</v>
      </c>
      <c r="E619" s="42" t="n">
        <v>9.85</v>
      </c>
      <c r="F619" s="43" t="n">
        <f aca="false">IFERROR(D619*E619,0)</f>
        <v>108.35</v>
      </c>
      <c r="G619" s="40" t="str">
        <f aca="false">INDEX(SETORES!$B:$B,MATCH(A619,SETORES!$A:$A,0))</f>
        <v>Clientes</v>
      </c>
      <c r="H619" s="40" t="s">
        <v>11</v>
      </c>
    </row>
    <row r="620" customFormat="false" ht="14.25" hidden="true" customHeight="true" outlineLevel="0" collapsed="false">
      <c r="A620" s="16" t="s">
        <v>38</v>
      </c>
      <c r="B620" s="16" t="s">
        <v>148</v>
      </c>
      <c r="C620" s="16" t="s">
        <v>161</v>
      </c>
      <c r="D620" s="38" t="n">
        <v>11</v>
      </c>
      <c r="E620" s="39" t="n">
        <v>2.04</v>
      </c>
      <c r="F620" s="22" t="n">
        <f aca="false">IFERROR(D620*E620,0)</f>
        <v>22.44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40" t="s">
        <v>54</v>
      </c>
      <c r="B621" s="40" t="s">
        <v>155</v>
      </c>
      <c r="C621" s="40" t="s">
        <v>187</v>
      </c>
      <c r="D621" s="41"/>
      <c r="E621" s="42"/>
      <c r="F621" s="43" t="n">
        <f aca="false">IFERROR(D621*E621,0)</f>
        <v>0</v>
      </c>
      <c r="G621" s="40" t="str">
        <f aca="false">INDEX(SETORES!$B:$B,MATCH(A621,SETORES!$A:$A,0))</f>
        <v>Clientes</v>
      </c>
      <c r="H621" s="40" t="s">
        <v>11</v>
      </c>
    </row>
    <row r="622" customFormat="false" ht="14.25" hidden="true" customHeight="true" outlineLevel="0" collapsed="false">
      <c r="A622" s="16" t="s">
        <v>54</v>
      </c>
      <c r="B622" s="16" t="s">
        <v>155</v>
      </c>
      <c r="C622" s="16" t="s">
        <v>188</v>
      </c>
      <c r="D622" s="38"/>
      <c r="E622" s="39"/>
      <c r="F622" s="22" t="n">
        <f aca="false">IFERROR(D622*E622,0)</f>
        <v>0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40" t="s">
        <v>54</v>
      </c>
      <c r="B623" s="40" t="s">
        <v>148</v>
      </c>
      <c r="C623" s="40" t="s">
        <v>189</v>
      </c>
      <c r="D623" s="41" t="n">
        <v>10</v>
      </c>
      <c r="E623" s="42" t="n">
        <v>50</v>
      </c>
      <c r="F623" s="43" t="n">
        <f aca="false">IFERROR(D623*E623,0)</f>
        <v>500</v>
      </c>
      <c r="G623" s="40" t="str">
        <f aca="false">INDEX(SETORES!$B:$B,MATCH(A623,SETORES!$A:$A,0))</f>
        <v>Clientes</v>
      </c>
      <c r="H623" s="40" t="s">
        <v>11</v>
      </c>
    </row>
    <row r="624" customFormat="false" ht="14.25" hidden="true" customHeight="true" outlineLevel="0" collapsed="false">
      <c r="A624" s="16" t="s">
        <v>54</v>
      </c>
      <c r="B624" s="16" t="s">
        <v>148</v>
      </c>
      <c r="C624" s="16" t="s">
        <v>190</v>
      </c>
      <c r="D624" s="38" t="n">
        <v>10</v>
      </c>
      <c r="E624" s="39" t="n">
        <v>128551.32</v>
      </c>
      <c r="F624" s="22" t="n">
        <f aca="false">IFERROR(E624,0)</f>
        <v>128551.32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40" t="s">
        <v>54</v>
      </c>
      <c r="B625" s="40" t="s">
        <v>148</v>
      </c>
      <c r="C625" s="40" t="s">
        <v>191</v>
      </c>
      <c r="D625" s="41" t="n">
        <v>7</v>
      </c>
      <c r="E625" s="42" t="n">
        <v>30</v>
      </c>
      <c r="F625" s="43" t="n">
        <f aca="false">IFERROR(D625*E625,0)</f>
        <v>210</v>
      </c>
      <c r="G625" s="40" t="str">
        <f aca="false">INDEX(SETORES!$B:$B,MATCH(A625,SETORES!$A:$A,0))</f>
        <v>Clientes</v>
      </c>
      <c r="H625" s="40" t="s">
        <v>11</v>
      </c>
    </row>
    <row r="626" customFormat="false" ht="14.25" hidden="true" customHeight="true" outlineLevel="0" collapsed="false">
      <c r="A626" s="16" t="s">
        <v>54</v>
      </c>
      <c r="B626" s="16" t="s">
        <v>148</v>
      </c>
      <c r="C626" s="16" t="s">
        <v>163</v>
      </c>
      <c r="D626" s="38" t="n">
        <v>10</v>
      </c>
      <c r="E626" s="39" t="n">
        <v>28.31</v>
      </c>
      <c r="F626" s="22" t="n">
        <f aca="false">IFERROR(D626*E626,0)</f>
        <v>283.1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40" t="s">
        <v>54</v>
      </c>
      <c r="B627" s="40" t="s">
        <v>148</v>
      </c>
      <c r="C627" s="40" t="s">
        <v>164</v>
      </c>
      <c r="D627" s="41" t="n">
        <v>10</v>
      </c>
      <c r="E627" s="42" t="n">
        <v>47.79</v>
      </c>
      <c r="F627" s="43" t="n">
        <f aca="false">IFERROR(D627*E627,0)</f>
        <v>477.9</v>
      </c>
      <c r="G627" s="40" t="str">
        <f aca="false">INDEX(SETORES!$B:$B,MATCH(A627,SETORES!$A:$A,0))</f>
        <v>Clientes</v>
      </c>
      <c r="H627" s="40" t="s">
        <v>11</v>
      </c>
    </row>
    <row r="628" customFormat="false" ht="14.25" hidden="true" customHeight="true" outlineLevel="0" collapsed="false">
      <c r="A628" s="16" t="s">
        <v>54</v>
      </c>
      <c r="B628" s="16" t="s">
        <v>148</v>
      </c>
      <c r="C628" s="16" t="s">
        <v>162</v>
      </c>
      <c r="D628" s="38" t="n">
        <v>11</v>
      </c>
      <c r="E628" s="39" t="n">
        <v>64.54</v>
      </c>
      <c r="F628" s="22" t="n">
        <f aca="false">IFERROR(D628*E628,0)</f>
        <v>709.94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40" t="s">
        <v>54</v>
      </c>
      <c r="B629" s="40" t="s">
        <v>155</v>
      </c>
      <c r="C629" s="40" t="s">
        <v>192</v>
      </c>
      <c r="D629" s="41"/>
      <c r="E629" s="42"/>
      <c r="F629" s="43" t="n">
        <f aca="false">IFERROR(D629*E629,0)</f>
        <v>0</v>
      </c>
      <c r="G629" s="40" t="str">
        <f aca="false">INDEX(SETORES!$B:$B,MATCH(A629,SETORES!$A:$A,0))</f>
        <v>Clientes</v>
      </c>
      <c r="H629" s="40" t="s">
        <v>11</v>
      </c>
    </row>
    <row r="630" customFormat="false" ht="14.25" hidden="true" customHeight="true" outlineLevel="0" collapsed="false">
      <c r="A630" s="16" t="s">
        <v>54</v>
      </c>
      <c r="B630" s="16" t="s">
        <v>155</v>
      </c>
      <c r="C630" s="16" t="s">
        <v>193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40" t="s">
        <v>54</v>
      </c>
      <c r="B631" s="40" t="s">
        <v>155</v>
      </c>
      <c r="C631" s="40" t="s">
        <v>194</v>
      </c>
      <c r="D631" s="41"/>
      <c r="E631" s="42"/>
      <c r="F631" s="43" t="n">
        <f aca="false">IFERROR(D631*E631,0)</f>
        <v>0</v>
      </c>
      <c r="G631" s="40" t="str">
        <f aca="false">INDEX(SETORES!$B:$B,MATCH(A631,SETORES!$A:$A,0))</f>
        <v>Clientes</v>
      </c>
      <c r="H631" s="40" t="s">
        <v>11</v>
      </c>
    </row>
    <row r="632" customFormat="false" ht="14.25" hidden="true" customHeight="true" outlineLevel="0" collapsed="false">
      <c r="A632" s="16" t="s">
        <v>54</v>
      </c>
      <c r="B632" s="16" t="s">
        <v>155</v>
      </c>
      <c r="C632" s="16" t="s">
        <v>195</v>
      </c>
      <c r="D632" s="38"/>
      <c r="E632" s="39"/>
      <c r="F632" s="22" t="n">
        <f aca="false">IFERROR(D632*E632,0)</f>
        <v>0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40" t="s">
        <v>54</v>
      </c>
      <c r="B633" s="40" t="s">
        <v>155</v>
      </c>
      <c r="C633" s="40" t="s">
        <v>196</v>
      </c>
      <c r="D633" s="41" t="n">
        <v>1</v>
      </c>
      <c r="E633" s="42" t="n">
        <v>2950.58</v>
      </c>
      <c r="F633" s="43" t="n">
        <f aca="false">IFERROR(D633*E633,0)</f>
        <v>2950.58</v>
      </c>
      <c r="G633" s="40" t="str">
        <f aca="false">INDEX(SETORES!$B:$B,MATCH(A633,SETORES!$A:$A,0))</f>
        <v>Clientes</v>
      </c>
      <c r="H633" s="40" t="s">
        <v>11</v>
      </c>
    </row>
    <row r="634" customFormat="false" ht="14.25" hidden="true" customHeight="true" outlineLevel="0" collapsed="false">
      <c r="A634" s="16" t="s">
        <v>54</v>
      </c>
      <c r="B634" s="16" t="s">
        <v>148</v>
      </c>
      <c r="C634" s="16" t="s">
        <v>160</v>
      </c>
      <c r="D634" s="38" t="n">
        <v>10</v>
      </c>
      <c r="E634" s="39" t="n">
        <v>9.85</v>
      </c>
      <c r="F634" s="22" t="n">
        <f aca="false">IFERROR(D634*E634,0)</f>
        <v>98.5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40" t="s">
        <v>54</v>
      </c>
      <c r="B635" s="40" t="s">
        <v>148</v>
      </c>
      <c r="C635" s="40" t="s">
        <v>161</v>
      </c>
      <c r="D635" s="41" t="n">
        <v>10</v>
      </c>
      <c r="E635" s="42" t="n">
        <v>2.04</v>
      </c>
      <c r="F635" s="43" t="n">
        <f aca="false">IFERROR(D635*E635,0)</f>
        <v>20.4</v>
      </c>
      <c r="G635" s="40" t="str">
        <f aca="false">INDEX(SETORES!$B:$B,MATCH(A635,SETORES!$A:$A,0))</f>
        <v>Clientes</v>
      </c>
      <c r="H635" s="40" t="s">
        <v>11</v>
      </c>
    </row>
    <row r="636" customFormat="false" ht="14.25" hidden="true" customHeight="true" outlineLevel="0" collapsed="false">
      <c r="A636" s="16" t="s">
        <v>54</v>
      </c>
      <c r="B636" s="16" t="s">
        <v>155</v>
      </c>
      <c r="C636" s="16" t="s">
        <v>197</v>
      </c>
      <c r="D636" s="38" t="n">
        <v>1</v>
      </c>
      <c r="E636" s="39" t="n">
        <v>3022.47</v>
      </c>
      <c r="F636" s="22" t="n">
        <f aca="false">IFERROR(D636*E636,0)</f>
        <v>3022.47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40" t="s">
        <v>54</v>
      </c>
      <c r="B637" s="40" t="s">
        <v>148</v>
      </c>
      <c r="C637" s="40" t="s">
        <v>198</v>
      </c>
      <c r="D637" s="41" t="n">
        <v>1</v>
      </c>
      <c r="E637" s="42" t="n">
        <v>2997</v>
      </c>
      <c r="F637" s="43" t="n">
        <f aca="false">IFERROR(D637*E637,0)</f>
        <v>2997</v>
      </c>
      <c r="G637" s="40" t="str">
        <f aca="false">INDEX(SETORES!$B:$B,MATCH(A637,SETORES!$A:$A,0))</f>
        <v>Clientes</v>
      </c>
      <c r="H637" s="40" t="s">
        <v>11</v>
      </c>
    </row>
    <row r="638" customFormat="false" ht="14.25" hidden="true" customHeight="true" outlineLevel="0" collapsed="false">
      <c r="A638" s="16" t="s">
        <v>54</v>
      </c>
      <c r="B638" s="16" t="s">
        <v>148</v>
      </c>
      <c r="C638" s="16" t="s">
        <v>199</v>
      </c>
      <c r="D638" s="38" t="n">
        <v>1</v>
      </c>
      <c r="E638" s="39" t="n">
        <v>545.99</v>
      </c>
      <c r="F638" s="22" t="n">
        <f aca="false">IFERROR(D638*E638,0)</f>
        <v>545.99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40" t="s">
        <v>54</v>
      </c>
      <c r="B639" s="40" t="s">
        <v>148</v>
      </c>
      <c r="C639" s="40" t="s">
        <v>200</v>
      </c>
      <c r="D639" s="41"/>
      <c r="E639" s="42"/>
      <c r="F639" s="43" t="n">
        <f aca="false">IFERROR(D639*E639,0)</f>
        <v>0</v>
      </c>
      <c r="G639" s="40" t="str">
        <f aca="false">INDEX(SETORES!$B:$B,MATCH(A639,SETORES!$A:$A,0))</f>
        <v>Clientes</v>
      </c>
      <c r="H639" s="40" t="s">
        <v>11</v>
      </c>
    </row>
    <row r="640" customFormat="false" ht="14.25" hidden="true" customHeight="true" outlineLevel="0" collapsed="false">
      <c r="A640" s="16" t="s">
        <v>54</v>
      </c>
      <c r="B640" s="16" t="s">
        <v>148</v>
      </c>
      <c r="C640" s="16" t="s">
        <v>201</v>
      </c>
      <c r="D640" s="38" t="n">
        <v>1</v>
      </c>
      <c r="E640" s="39" t="n">
        <v>3042.34</v>
      </c>
      <c r="F640" s="22" t="n">
        <f aca="false">IFERROR(D640*E640,0)</f>
        <v>3042.34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40" t="s">
        <v>43</v>
      </c>
      <c r="B641" s="40" t="s">
        <v>148</v>
      </c>
      <c r="C641" s="40" t="s">
        <v>149</v>
      </c>
      <c r="D641" s="41"/>
      <c r="E641" s="42"/>
      <c r="F641" s="43" t="n">
        <v>0</v>
      </c>
      <c r="G641" s="40" t="str">
        <f aca="false">INDEX(SETORES!$B:$B,MATCH(A641,SETORES!$A:$A,0))</f>
        <v>Clientes</v>
      </c>
      <c r="H641" s="40" t="s">
        <v>11</v>
      </c>
    </row>
    <row r="642" customFormat="false" ht="14.25" hidden="true" customHeight="true" outlineLevel="0" collapsed="false">
      <c r="A642" s="16" t="s">
        <v>43</v>
      </c>
      <c r="B642" s="16" t="s">
        <v>148</v>
      </c>
      <c r="C642" s="16" t="s">
        <v>150</v>
      </c>
      <c r="D642" s="38"/>
      <c r="E642" s="39"/>
      <c r="F642" s="22" t="n">
        <v>0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40" t="s">
        <v>43</v>
      </c>
      <c r="B643" s="40" t="s">
        <v>148</v>
      </c>
      <c r="C643" s="40" t="s">
        <v>151</v>
      </c>
      <c r="D643" s="41" t="n">
        <v>4</v>
      </c>
      <c r="E643" s="42" t="n">
        <v>23.6877</v>
      </c>
      <c r="F643" s="43" t="n">
        <v>94.7508</v>
      </c>
      <c r="G643" s="40" t="str">
        <f aca="false">INDEX(SETORES!$B:$B,MATCH(A643,SETORES!$A:$A,0))</f>
        <v>Clientes</v>
      </c>
      <c r="H643" s="40" t="s">
        <v>11</v>
      </c>
    </row>
    <row r="644" customFormat="false" ht="14.25" hidden="true" customHeight="true" outlineLevel="0" collapsed="false">
      <c r="A644" s="16" t="s">
        <v>43</v>
      </c>
      <c r="B644" s="16" t="s">
        <v>148</v>
      </c>
      <c r="C644" s="16" t="s">
        <v>152</v>
      </c>
      <c r="D644" s="38" t="n">
        <v>4</v>
      </c>
      <c r="E644" s="39" t="n">
        <v>0.3124</v>
      </c>
      <c r="F644" s="22" t="n">
        <v>1.2496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40" t="s">
        <v>43</v>
      </c>
      <c r="B645" s="40" t="s">
        <v>148</v>
      </c>
      <c r="C645" s="40" t="s">
        <v>153</v>
      </c>
      <c r="D645" s="41"/>
      <c r="E645" s="42"/>
      <c r="F645" s="43" t="n">
        <f aca="false">IFERROR(D645*E645,0)</f>
        <v>0</v>
      </c>
      <c r="G645" s="40" t="str">
        <f aca="false">INDEX(SETORES!$B:$B,MATCH(A645,SETORES!$A:$A,0))</f>
        <v>Clientes</v>
      </c>
      <c r="H645" s="40" t="s">
        <v>11</v>
      </c>
    </row>
    <row r="646" customFormat="false" ht="14.25" hidden="true" customHeight="true" outlineLevel="0" collapsed="false">
      <c r="A646" s="16" t="s">
        <v>43</v>
      </c>
      <c r="B646" s="16" t="s">
        <v>148</v>
      </c>
      <c r="C646" s="16" t="s">
        <v>154</v>
      </c>
      <c r="D646" s="38" t="n">
        <v>1</v>
      </c>
      <c r="E646" s="39" t="n">
        <v>23138.39</v>
      </c>
      <c r="F646" s="22" t="n">
        <f aca="false">IFERROR(E646,0)</f>
        <v>23138.39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40" t="s">
        <v>43</v>
      </c>
      <c r="B647" s="40" t="s">
        <v>155</v>
      </c>
      <c r="C647" s="40" t="s">
        <v>202</v>
      </c>
      <c r="D647" s="41" t="n">
        <v>4</v>
      </c>
      <c r="E647" s="42" t="n">
        <v>85.71</v>
      </c>
      <c r="F647" s="43" t="n">
        <f aca="false">IFERROR(D647*E647,0)</f>
        <v>342.84</v>
      </c>
      <c r="G647" s="40" t="str">
        <f aca="false">INDEX(SETORES!$B:$B,MATCH(A647,SETORES!$A:$A,0))</f>
        <v>Clientes</v>
      </c>
      <c r="H647" s="40" t="s">
        <v>11</v>
      </c>
    </row>
    <row r="648" customFormat="false" ht="14.25" hidden="true" customHeight="true" outlineLevel="0" collapsed="false">
      <c r="A648" s="16" t="s">
        <v>43</v>
      </c>
      <c r="B648" s="16" t="s">
        <v>148</v>
      </c>
      <c r="C648" s="16" t="s">
        <v>159</v>
      </c>
      <c r="D648" s="38" t="n">
        <v>4</v>
      </c>
      <c r="E648" s="39" t="n">
        <v>50</v>
      </c>
      <c r="F648" s="22" t="n">
        <f aca="false">IFERROR(D648*E648,0)</f>
        <v>200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40" t="s">
        <v>43</v>
      </c>
      <c r="B649" s="40" t="s">
        <v>148</v>
      </c>
      <c r="C649" s="40" t="s">
        <v>231</v>
      </c>
      <c r="D649" s="41" t="n">
        <v>1</v>
      </c>
      <c r="E649" s="42" t="n">
        <v>25.6</v>
      </c>
      <c r="F649" s="43" t="n">
        <f aca="false">IFERROR(D649*E649,0)</f>
        <v>25.6</v>
      </c>
      <c r="G649" s="40" t="str">
        <f aca="false">INDEX(SETORES!$B:$B,MATCH(A649,SETORES!$A:$A,0))</f>
        <v>Clientes</v>
      </c>
      <c r="H649" s="40" t="s">
        <v>11</v>
      </c>
    </row>
    <row r="650" customFormat="false" ht="14.25" hidden="true" customHeight="true" outlineLevel="0" collapsed="false">
      <c r="A650" s="16" t="s">
        <v>43</v>
      </c>
      <c r="B650" s="16" t="s">
        <v>148</v>
      </c>
      <c r="C650" s="16" t="s">
        <v>160</v>
      </c>
      <c r="D650" s="38" t="n">
        <v>4</v>
      </c>
      <c r="E650" s="39" t="n">
        <v>9.85</v>
      </c>
      <c r="F650" s="22" t="n">
        <f aca="false">IFERROR(D650*E650,0)</f>
        <v>39.4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40" t="s">
        <v>43</v>
      </c>
      <c r="B651" s="40" t="s">
        <v>148</v>
      </c>
      <c r="C651" s="40" t="s">
        <v>161</v>
      </c>
      <c r="D651" s="41" t="n">
        <v>4</v>
      </c>
      <c r="E651" s="42" t="n">
        <v>2.04</v>
      </c>
      <c r="F651" s="43" t="n">
        <f aca="false">IFERROR(D651*E651,0)</f>
        <v>8.16</v>
      </c>
      <c r="G651" s="40" t="str">
        <f aca="false">INDEX(SETORES!$B:$B,MATCH(A651,SETORES!$A:$A,0))</f>
        <v>Clientes</v>
      </c>
      <c r="H651" s="40" t="s">
        <v>11</v>
      </c>
    </row>
    <row r="652" customFormat="false" ht="14.25" hidden="true" customHeight="true" outlineLevel="0" collapsed="false">
      <c r="A652" s="16" t="s">
        <v>45</v>
      </c>
      <c r="B652" s="16" t="s">
        <v>148</v>
      </c>
      <c r="C652" s="16" t="s">
        <v>152</v>
      </c>
      <c r="D652" s="38" t="n">
        <v>7</v>
      </c>
      <c r="E652" s="39" t="n">
        <v>0.3124</v>
      </c>
      <c r="F652" s="22" t="n">
        <v>2.1868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40" t="s">
        <v>40</v>
      </c>
      <c r="B653" s="40" t="s">
        <v>148</v>
      </c>
      <c r="C653" s="40" t="s">
        <v>149</v>
      </c>
      <c r="D653" s="41"/>
      <c r="E653" s="42"/>
      <c r="F653" s="43" t="n">
        <v>0</v>
      </c>
      <c r="G653" s="40" t="str">
        <f aca="false">INDEX(SETORES!$B:$B,MATCH(A653,SETORES!$A:$A,0))</f>
        <v>Clientes</v>
      </c>
      <c r="H653" s="40" t="s">
        <v>11</v>
      </c>
    </row>
    <row r="654" customFormat="false" ht="14.25" hidden="true" customHeight="true" outlineLevel="0" collapsed="false">
      <c r="A654" s="16" t="s">
        <v>40</v>
      </c>
      <c r="B654" s="16" t="s">
        <v>148</v>
      </c>
      <c r="C654" s="16" t="s">
        <v>150</v>
      </c>
      <c r="D654" s="38" t="n">
        <v>1</v>
      </c>
      <c r="E654" s="39" t="n">
        <v>63.95</v>
      </c>
      <c r="F654" s="22" t="n">
        <v>63.95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40" t="s">
        <v>40</v>
      </c>
      <c r="B655" s="40" t="s">
        <v>148</v>
      </c>
      <c r="C655" s="40" t="s">
        <v>151</v>
      </c>
      <c r="D655" s="41" t="n">
        <v>1</v>
      </c>
      <c r="E655" s="42" t="n">
        <v>35.0289</v>
      </c>
      <c r="F655" s="43" t="n">
        <v>35.0289</v>
      </c>
      <c r="G655" s="40" t="str">
        <f aca="false">INDEX(SETORES!$B:$B,MATCH(A655,SETORES!$A:$A,0))</f>
        <v>Clientes</v>
      </c>
      <c r="H655" s="40" t="s">
        <v>11</v>
      </c>
    </row>
    <row r="656" customFormat="false" ht="14.25" hidden="true" customHeight="true" outlineLevel="0" collapsed="false">
      <c r="A656" s="16" t="s">
        <v>40</v>
      </c>
      <c r="B656" s="16" t="s">
        <v>148</v>
      </c>
      <c r="C656" s="16" t="s">
        <v>152</v>
      </c>
      <c r="D656" s="38" t="n">
        <v>1</v>
      </c>
      <c r="E656" s="39" t="n">
        <v>0.1</v>
      </c>
      <c r="F656" s="22" t="n">
        <v>0.1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40" t="s">
        <v>40</v>
      </c>
      <c r="B657" s="40" t="s">
        <v>148</v>
      </c>
      <c r="C657" s="40" t="s">
        <v>153</v>
      </c>
      <c r="D657" s="41"/>
      <c r="E657" s="42"/>
      <c r="F657" s="43" t="n">
        <f aca="false">IFERROR(D657*E657,0)</f>
        <v>0</v>
      </c>
      <c r="G657" s="40" t="str">
        <f aca="false">INDEX(SETORES!$B:$B,MATCH(A657,SETORES!$A:$A,0))</f>
        <v>Clientes</v>
      </c>
      <c r="H657" s="40" t="s">
        <v>11</v>
      </c>
    </row>
    <row r="658" customFormat="false" ht="14.25" hidden="true" customHeight="true" outlineLevel="0" collapsed="false">
      <c r="A658" s="16" t="s">
        <v>40</v>
      </c>
      <c r="B658" s="16" t="s">
        <v>148</v>
      </c>
      <c r="C658" s="16" t="s">
        <v>154</v>
      </c>
      <c r="D658" s="38" t="n">
        <v>1</v>
      </c>
      <c r="E658" s="39" t="n">
        <v>13442.74</v>
      </c>
      <c r="F658" s="22" t="n">
        <f aca="false">IFERROR(E658,0)</f>
        <v>13442.74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40" t="s">
        <v>40</v>
      </c>
      <c r="B659" s="40" t="s">
        <v>155</v>
      </c>
      <c r="C659" s="40" t="s">
        <v>234</v>
      </c>
      <c r="D659" s="41" t="n">
        <v>1</v>
      </c>
      <c r="E659" s="42" t="n">
        <v>6000</v>
      </c>
      <c r="F659" s="43" t="n">
        <f aca="false">IFERROR(D659*E659,0)</f>
        <v>6000</v>
      </c>
      <c r="G659" s="40" t="str">
        <f aca="false">INDEX(SETORES!$B:$B,MATCH(A659,SETORES!$A:$A,0))</f>
        <v>Clientes</v>
      </c>
      <c r="H659" s="40" t="s">
        <v>11</v>
      </c>
    </row>
    <row r="660" customFormat="false" ht="14.25" hidden="true" customHeight="true" outlineLevel="0" collapsed="false">
      <c r="A660" s="16" t="s">
        <v>40</v>
      </c>
      <c r="B660" s="16" t="s">
        <v>155</v>
      </c>
      <c r="C660" s="16" t="s">
        <v>156</v>
      </c>
      <c r="D660" s="38" t="n">
        <v>1</v>
      </c>
      <c r="E660" s="39" t="n">
        <v>136</v>
      </c>
      <c r="F660" s="22" t="n">
        <f aca="false">IFERROR(D660*E660,0)</f>
        <v>136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40" t="s">
        <v>40</v>
      </c>
      <c r="B661" s="40" t="s">
        <v>155</v>
      </c>
      <c r="C661" s="40" t="s">
        <v>157</v>
      </c>
      <c r="D661" s="41" t="n">
        <v>1</v>
      </c>
      <c r="E661" s="42" t="n">
        <v>68</v>
      </c>
      <c r="F661" s="43" t="n">
        <f aca="false">IFERROR(D661*E661,0)</f>
        <v>68</v>
      </c>
      <c r="G661" s="40" t="str">
        <f aca="false">INDEX(SETORES!$B:$B,MATCH(A661,SETORES!$A:$A,0))</f>
        <v>Clientes</v>
      </c>
      <c r="H661" s="40" t="s">
        <v>11</v>
      </c>
    </row>
    <row r="662" customFormat="false" ht="14.25" hidden="true" customHeight="true" outlineLevel="0" collapsed="false">
      <c r="A662" s="16" t="s">
        <v>40</v>
      </c>
      <c r="B662" s="16" t="s">
        <v>155</v>
      </c>
      <c r="C662" s="16" t="s">
        <v>215</v>
      </c>
      <c r="D662" s="38" t="n">
        <v>1</v>
      </c>
      <c r="E662" s="39" t="n">
        <v>3112.37</v>
      </c>
      <c r="F662" s="22" t="n">
        <f aca="false">IFERROR(D662*E662,0)</f>
        <v>3112.37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40" t="s">
        <v>40</v>
      </c>
      <c r="B663" s="40" t="s">
        <v>148</v>
      </c>
      <c r="C663" s="40" t="s">
        <v>159</v>
      </c>
      <c r="D663" s="41" t="n">
        <v>4</v>
      </c>
      <c r="E663" s="42" t="n">
        <v>50</v>
      </c>
      <c r="F663" s="43" t="n">
        <f aca="false">IFERROR(D663*E663,0)</f>
        <v>200</v>
      </c>
      <c r="G663" s="40" t="str">
        <f aca="false">INDEX(SETORES!$B:$B,MATCH(A663,SETORES!$A:$A,0))</f>
        <v>Clientes</v>
      </c>
      <c r="H663" s="40" t="s">
        <v>11</v>
      </c>
    </row>
    <row r="664" customFormat="false" ht="14.25" hidden="true" customHeight="true" outlineLevel="0" collapsed="false">
      <c r="A664" s="16" t="s">
        <v>40</v>
      </c>
      <c r="B664" s="16" t="s">
        <v>148</v>
      </c>
      <c r="C664" s="16" t="s">
        <v>160</v>
      </c>
      <c r="D664" s="38" t="n">
        <v>4</v>
      </c>
      <c r="E664" s="39" t="n">
        <v>9.85</v>
      </c>
      <c r="F664" s="22" t="n">
        <f aca="false">IFERROR(D664*E664,0)</f>
        <v>39.4</v>
      </c>
      <c r="G664" s="16" t="str">
        <f aca="false">INDEX(SETORES!$B:$B,MATCH(A664,SETORES!$A:$A,0))</f>
        <v>Clientes</v>
      </c>
      <c r="H664" s="16" t="s">
        <v>11</v>
      </c>
    </row>
    <row r="665" customFormat="false" ht="14.25" hidden="true" customHeight="true" outlineLevel="0" collapsed="false">
      <c r="A665" s="40" t="s">
        <v>40</v>
      </c>
      <c r="B665" s="40" t="s">
        <v>148</v>
      </c>
      <c r="C665" s="40" t="s">
        <v>161</v>
      </c>
      <c r="D665" s="41" t="n">
        <v>4</v>
      </c>
      <c r="E665" s="42" t="n">
        <v>2.04</v>
      </c>
      <c r="F665" s="43" t="n">
        <f aca="false">IFERROR(D665*E665,0)</f>
        <v>8.16</v>
      </c>
      <c r="G665" s="40" t="str">
        <f aca="false">INDEX(SETORES!$B:$B,MATCH(A665,SETORES!$A:$A,0))</f>
        <v>Clientes</v>
      </c>
      <c r="H665" s="40" t="s">
        <v>11</v>
      </c>
    </row>
    <row r="666" customFormat="false" ht="14.25" hidden="true" customHeight="true" outlineLevel="0" collapsed="false">
      <c r="A666" s="16" t="s">
        <v>40</v>
      </c>
      <c r="B666" s="16" t="s">
        <v>155</v>
      </c>
      <c r="C666" s="16" t="s">
        <v>204</v>
      </c>
      <c r="D666" s="38" t="n">
        <v>1</v>
      </c>
      <c r="E666" s="39" t="n">
        <v>12000</v>
      </c>
      <c r="F666" s="22" t="n">
        <f aca="false">IFERROR(D666*E666,0)</f>
        <v>12000</v>
      </c>
      <c r="G666" s="16" t="str">
        <f aca="false">INDEX(SETORES!$B:$B,MATCH(A666,SETORES!$A:$A,0))</f>
        <v>Clientes</v>
      </c>
      <c r="H666" s="16" t="s">
        <v>11</v>
      </c>
    </row>
    <row r="667" customFormat="false" ht="14.25" hidden="true" customHeight="true" outlineLevel="0" collapsed="false">
      <c r="A667" s="40" t="s">
        <v>41</v>
      </c>
      <c r="B667" s="40" t="s">
        <v>148</v>
      </c>
      <c r="C667" s="40" t="s">
        <v>149</v>
      </c>
      <c r="D667" s="41"/>
      <c r="E667" s="42"/>
      <c r="F667" s="43" t="n">
        <v>0</v>
      </c>
      <c r="G667" s="40" t="str">
        <f aca="false">INDEX(SETORES!$B:$B,MATCH(A667,SETORES!$A:$A,0))</f>
        <v>Clientes</v>
      </c>
      <c r="H667" s="40" t="s">
        <v>11</v>
      </c>
    </row>
    <row r="668" customFormat="false" ht="14.25" hidden="true" customHeight="true" outlineLevel="0" collapsed="false">
      <c r="A668" s="16" t="s">
        <v>41</v>
      </c>
      <c r="B668" s="16" t="s">
        <v>148</v>
      </c>
      <c r="C668" s="16" t="s">
        <v>150</v>
      </c>
      <c r="D668" s="38"/>
      <c r="E668" s="39"/>
      <c r="F668" s="22" t="n">
        <v>0</v>
      </c>
      <c r="G668" s="16" t="str">
        <f aca="false">INDEX(SETORES!$B:$B,MATCH(A668,SETORES!$A:$A,0))</f>
        <v>Clientes</v>
      </c>
      <c r="H668" s="16" t="s">
        <v>11</v>
      </c>
    </row>
    <row r="669" customFormat="false" ht="14.25" hidden="true" customHeight="true" outlineLevel="0" collapsed="false">
      <c r="A669" s="40" t="s">
        <v>41</v>
      </c>
      <c r="B669" s="40" t="s">
        <v>148</v>
      </c>
      <c r="C669" s="40" t="s">
        <v>151</v>
      </c>
      <c r="D669" s="41" t="n">
        <v>1</v>
      </c>
      <c r="E669" s="42" t="n">
        <v>8.7572</v>
      </c>
      <c r="F669" s="43" t="n">
        <v>8.7572</v>
      </c>
      <c r="G669" s="40" t="str">
        <f aca="false">INDEX(SETORES!$B:$B,MATCH(A669,SETORES!$A:$A,0))</f>
        <v>Clientes</v>
      </c>
      <c r="H669" s="40" t="s">
        <v>11</v>
      </c>
    </row>
    <row r="670" customFormat="false" ht="14.25" hidden="true" customHeight="true" outlineLevel="0" collapsed="false">
      <c r="A670" s="16" t="s">
        <v>41</v>
      </c>
      <c r="B670" s="16" t="s">
        <v>148</v>
      </c>
      <c r="C670" s="16" t="s">
        <v>152</v>
      </c>
      <c r="D670" s="38" t="n">
        <v>1</v>
      </c>
      <c r="E670" s="39" t="n">
        <v>0.025</v>
      </c>
      <c r="F670" s="22" t="n">
        <v>0.025</v>
      </c>
      <c r="G670" s="16" t="str">
        <f aca="false">INDEX(SETORES!$B:$B,MATCH(A670,SETORES!$A:$A,0))</f>
        <v>Clientes</v>
      </c>
      <c r="H670" s="16" t="s">
        <v>11</v>
      </c>
    </row>
    <row r="671" customFormat="false" ht="14.25" hidden="true" customHeight="true" outlineLevel="0" collapsed="false">
      <c r="A671" s="40" t="s">
        <v>41</v>
      </c>
      <c r="B671" s="40" t="s">
        <v>148</v>
      </c>
      <c r="C671" s="40" t="s">
        <v>205</v>
      </c>
      <c r="D671" s="41" t="n">
        <v>1</v>
      </c>
      <c r="E671" s="42" t="n">
        <v>30</v>
      </c>
      <c r="F671" s="43" t="n">
        <f aca="false">IFERROR(D671*E671,0)</f>
        <v>30</v>
      </c>
      <c r="G671" s="40" t="str">
        <f aca="false">INDEX(SETORES!$B:$B,MATCH(A671,SETORES!$A:$A,0))</f>
        <v>Clientes</v>
      </c>
      <c r="H671" s="40" t="s">
        <v>11</v>
      </c>
    </row>
    <row r="672" customFormat="false" ht="14.25" hidden="true" customHeight="true" outlineLevel="0" collapsed="false">
      <c r="A672" s="16" t="s">
        <v>41</v>
      </c>
      <c r="B672" s="16" t="s">
        <v>148</v>
      </c>
      <c r="C672" s="16" t="s">
        <v>154</v>
      </c>
      <c r="D672" s="38" t="n">
        <v>1</v>
      </c>
      <c r="E672" s="39" t="n">
        <v>18000</v>
      </c>
      <c r="F672" s="22" t="n">
        <f aca="false">IFERROR(E672,0)</f>
        <v>18000</v>
      </c>
      <c r="G672" s="16" t="str">
        <f aca="false">INDEX(SETORES!$B:$B,MATCH(A672,SETORES!$A:$A,0))</f>
        <v>Clientes</v>
      </c>
      <c r="H672" s="16" t="s">
        <v>11</v>
      </c>
    </row>
    <row r="673" customFormat="false" ht="14.25" hidden="true" customHeight="true" outlineLevel="0" collapsed="false">
      <c r="A673" s="40" t="s">
        <v>41</v>
      </c>
      <c r="B673" s="40" t="s">
        <v>148</v>
      </c>
      <c r="C673" s="40" t="s">
        <v>160</v>
      </c>
      <c r="D673" s="41" t="n">
        <v>1</v>
      </c>
      <c r="E673" s="42" t="n">
        <v>9.85</v>
      </c>
      <c r="F673" s="43" t="n">
        <f aca="false">IFERROR(D673*E673,0)</f>
        <v>9.85</v>
      </c>
      <c r="G673" s="40" t="str">
        <f aca="false">INDEX(SETORES!$B:$B,MATCH(A673,SETORES!$A:$A,0))</f>
        <v>Clientes</v>
      </c>
      <c r="H673" s="40" t="s">
        <v>11</v>
      </c>
    </row>
    <row r="674" customFormat="false" ht="14.25" hidden="true" customHeight="true" outlineLevel="0" collapsed="false">
      <c r="A674" s="16" t="s">
        <v>41</v>
      </c>
      <c r="B674" s="16" t="s">
        <v>148</v>
      </c>
      <c r="C674" s="16" t="s">
        <v>161</v>
      </c>
      <c r="D674" s="38" t="n">
        <v>1</v>
      </c>
      <c r="E674" s="39" t="n">
        <v>2.04</v>
      </c>
      <c r="F674" s="22" t="n">
        <f aca="false">IFERROR(D674*E674,0)</f>
        <v>2.04</v>
      </c>
      <c r="G674" s="16" t="str">
        <f aca="false">INDEX(SETORES!$B:$B,MATCH(A674,SETORES!$A:$A,0))</f>
        <v>Clientes</v>
      </c>
      <c r="H674" s="16" t="s">
        <v>11</v>
      </c>
    </row>
    <row r="675" customFormat="false" ht="14.25" hidden="true" customHeight="true" outlineLevel="0" collapsed="false">
      <c r="A675" s="40" t="s">
        <v>33</v>
      </c>
      <c r="B675" s="40" t="s">
        <v>148</v>
      </c>
      <c r="C675" s="40" t="s">
        <v>149</v>
      </c>
      <c r="D675" s="41" t="n">
        <v>7</v>
      </c>
      <c r="E675" s="42" t="n">
        <v>1</v>
      </c>
      <c r="F675" s="43" t="n">
        <v>7</v>
      </c>
      <c r="G675" s="40" t="str">
        <f aca="false">INDEX(SETORES!$B:$B,MATCH(A675,SETORES!$A:$A,0))</f>
        <v>Funcionários</v>
      </c>
      <c r="H675" s="40" t="s">
        <v>11</v>
      </c>
    </row>
    <row r="676" customFormat="false" ht="14.25" hidden="true" customHeight="true" outlineLevel="0" collapsed="false">
      <c r="A676" s="16" t="s">
        <v>33</v>
      </c>
      <c r="B676" s="16" t="s">
        <v>148</v>
      </c>
      <c r="C676" s="16" t="s">
        <v>150</v>
      </c>
      <c r="D676" s="38" t="n">
        <v>1</v>
      </c>
      <c r="E676" s="39" t="n">
        <v>60.8</v>
      </c>
      <c r="F676" s="22" t="n">
        <v>60.8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40" t="s">
        <v>33</v>
      </c>
      <c r="B677" s="40" t="s">
        <v>148</v>
      </c>
      <c r="C677" s="40" t="s">
        <v>151</v>
      </c>
      <c r="D677" s="41" t="n">
        <v>1</v>
      </c>
      <c r="E677" s="42" t="n">
        <v>61.3005</v>
      </c>
      <c r="F677" s="43" t="n">
        <v>61.3005</v>
      </c>
      <c r="G677" s="40" t="str">
        <f aca="false">INDEX(SETORES!$B:$B,MATCH(A677,SETORES!$A:$A,0))</f>
        <v>Funcionários</v>
      </c>
      <c r="H677" s="40" t="s">
        <v>11</v>
      </c>
    </row>
    <row r="678" customFormat="false" ht="14.25" hidden="true" customHeight="true" outlineLevel="0" collapsed="false">
      <c r="A678" s="16" t="s">
        <v>33</v>
      </c>
      <c r="B678" s="16" t="s">
        <v>148</v>
      </c>
      <c r="C678" s="16" t="s">
        <v>152</v>
      </c>
      <c r="D678" s="38" t="n">
        <v>1</v>
      </c>
      <c r="E678" s="39" t="n">
        <v>0.175</v>
      </c>
      <c r="F678" s="22" t="n">
        <v>0.175</v>
      </c>
      <c r="G678" s="16" t="str">
        <f aca="false">INDEX(SETORES!$B:$B,MATCH(A678,SETORES!$A:$A,0))</f>
        <v>Funcionários</v>
      </c>
      <c r="H678" s="16" t="s">
        <v>11</v>
      </c>
    </row>
    <row r="679" customFormat="false" ht="14.25" hidden="true" customHeight="true" outlineLevel="0" collapsed="false">
      <c r="A679" s="40" t="s">
        <v>33</v>
      </c>
      <c r="B679" s="40" t="s">
        <v>148</v>
      </c>
      <c r="C679" s="40" t="s">
        <v>153</v>
      </c>
      <c r="D679" s="41"/>
      <c r="E679" s="42"/>
      <c r="F679" s="43" t="n">
        <f aca="false">IFERROR(D679*E679,0)</f>
        <v>0</v>
      </c>
      <c r="G679" s="40" t="str">
        <f aca="false">INDEX(SETORES!$B:$B,MATCH(A679,SETORES!$A:$A,0))</f>
        <v>Funcionários</v>
      </c>
      <c r="H679" s="40" t="s">
        <v>11</v>
      </c>
    </row>
    <row r="680" customFormat="false" ht="14.25" hidden="true" customHeight="true" outlineLevel="0" collapsed="false">
      <c r="A680" s="16" t="s">
        <v>33</v>
      </c>
      <c r="B680" s="16" t="s">
        <v>148</v>
      </c>
      <c r="C680" s="16" t="s">
        <v>154</v>
      </c>
      <c r="D680" s="38" t="n">
        <v>1</v>
      </c>
      <c r="E680" s="39" t="n">
        <v>41967.61</v>
      </c>
      <c r="F680" s="22" t="n">
        <f aca="false">IFERROR(E680,0)</f>
        <v>41967.61</v>
      </c>
      <c r="G680" s="16" t="str">
        <f aca="false">INDEX(SETORES!$B:$B,MATCH(A680,SETORES!$A:$A,0))</f>
        <v>Funcionários</v>
      </c>
      <c r="H680" s="16" t="s">
        <v>11</v>
      </c>
    </row>
    <row r="681" customFormat="false" ht="14.25" hidden="true" customHeight="true" outlineLevel="0" collapsed="false">
      <c r="A681" s="40" t="s">
        <v>33</v>
      </c>
      <c r="B681" s="40" t="s">
        <v>155</v>
      </c>
      <c r="C681" s="40" t="s">
        <v>206</v>
      </c>
      <c r="D681" s="41"/>
      <c r="E681" s="42"/>
      <c r="F681" s="43" t="n">
        <f aca="false">IFERROR(D681*E681,0)</f>
        <v>0</v>
      </c>
      <c r="G681" s="40" t="str">
        <f aca="false">INDEX(SETORES!$B:$B,MATCH(A681,SETORES!$A:$A,0))</f>
        <v>Funcionários</v>
      </c>
      <c r="H681" s="40" t="s">
        <v>11</v>
      </c>
    </row>
    <row r="682" customFormat="false" ht="14.25" hidden="true" customHeight="true" outlineLevel="0" collapsed="false">
      <c r="A682" s="16" t="s">
        <v>33</v>
      </c>
      <c r="B682" s="16" t="s">
        <v>155</v>
      </c>
      <c r="C682" s="16" t="s">
        <v>207</v>
      </c>
      <c r="D682" s="38"/>
      <c r="E682" s="39"/>
      <c r="F682" s="22" t="n">
        <f aca="false">IFERROR(D682*E682,0)</f>
        <v>0</v>
      </c>
      <c r="G682" s="16" t="str">
        <f aca="false">INDEX(SETORES!$B:$B,MATCH(A682,SETORES!$A:$A,0))</f>
        <v>Funcionários</v>
      </c>
      <c r="H682" s="16" t="s">
        <v>11</v>
      </c>
    </row>
    <row r="683" customFormat="false" ht="14.25" hidden="true" customHeight="true" outlineLevel="0" collapsed="false">
      <c r="A683" s="40" t="s">
        <v>33</v>
      </c>
      <c r="B683" s="40" t="s">
        <v>155</v>
      </c>
      <c r="C683" s="40" t="s">
        <v>156</v>
      </c>
      <c r="D683" s="41" t="n">
        <v>1</v>
      </c>
      <c r="E683" s="42" t="n">
        <v>272</v>
      </c>
      <c r="F683" s="43" t="n">
        <f aca="false">IFERROR(D683*E683,0)</f>
        <v>272</v>
      </c>
      <c r="G683" s="40" t="str">
        <f aca="false">INDEX(SETORES!$B:$B,MATCH(A683,SETORES!$A:$A,0))</f>
        <v>Funcionários</v>
      </c>
      <c r="H683" s="40" t="s">
        <v>11</v>
      </c>
    </row>
    <row r="684" customFormat="false" ht="14.25" hidden="true" customHeight="true" outlineLevel="0" collapsed="false">
      <c r="A684" s="16" t="s">
        <v>33</v>
      </c>
      <c r="B684" s="16" t="s">
        <v>155</v>
      </c>
      <c r="C684" s="16" t="s">
        <v>157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Funcionários</v>
      </c>
      <c r="H684" s="16" t="s">
        <v>11</v>
      </c>
    </row>
    <row r="685" customFormat="false" ht="14.25" hidden="true" customHeight="true" outlineLevel="0" collapsed="false">
      <c r="A685" s="40" t="s">
        <v>33</v>
      </c>
      <c r="B685" s="40" t="s">
        <v>148</v>
      </c>
      <c r="C685" s="40" t="s">
        <v>159</v>
      </c>
      <c r="D685" s="41" t="n">
        <v>7</v>
      </c>
      <c r="E685" s="42" t="n">
        <v>50</v>
      </c>
      <c r="F685" s="43" t="n">
        <f aca="false">IFERROR(D685*E685,0)</f>
        <v>350</v>
      </c>
      <c r="G685" s="40" t="str">
        <f aca="false">INDEX(SETORES!$B:$B,MATCH(A685,SETORES!$A:$A,0))</f>
        <v>Funcionários</v>
      </c>
      <c r="H685" s="40" t="s">
        <v>11</v>
      </c>
    </row>
    <row r="686" customFormat="false" ht="14.25" hidden="true" customHeight="true" outlineLevel="0" collapsed="false">
      <c r="A686" s="16" t="s">
        <v>33</v>
      </c>
      <c r="B686" s="16" t="s">
        <v>148</v>
      </c>
      <c r="C686" s="16" t="s">
        <v>231</v>
      </c>
      <c r="D686" s="38" t="n">
        <v>1</v>
      </c>
      <c r="E686" s="39" t="n">
        <v>153.58</v>
      </c>
      <c r="F686" s="22" t="n">
        <f aca="false">IFERROR(D686*E686,0)</f>
        <v>153.58</v>
      </c>
      <c r="G686" s="16" t="str">
        <f aca="false">INDEX(SETORES!$B:$B,MATCH(A686,SETORES!$A:$A,0))</f>
        <v>Funcionários</v>
      </c>
      <c r="H686" s="16" t="s">
        <v>11</v>
      </c>
    </row>
    <row r="687" customFormat="false" ht="14.25" hidden="true" customHeight="true" outlineLevel="0" collapsed="false">
      <c r="A687" s="40" t="s">
        <v>33</v>
      </c>
      <c r="B687" s="40" t="s">
        <v>148</v>
      </c>
      <c r="C687" s="40" t="s">
        <v>160</v>
      </c>
      <c r="D687" s="41" t="n">
        <v>7</v>
      </c>
      <c r="E687" s="42" t="n">
        <v>9.85</v>
      </c>
      <c r="F687" s="43" t="n">
        <f aca="false">IFERROR(D687*E687,0)</f>
        <v>68.95</v>
      </c>
      <c r="G687" s="40" t="str">
        <f aca="false">INDEX(SETORES!$B:$B,MATCH(A687,SETORES!$A:$A,0))</f>
        <v>Funcionários</v>
      </c>
      <c r="H687" s="40" t="s">
        <v>11</v>
      </c>
    </row>
    <row r="688" customFormat="false" ht="14.25" hidden="true" customHeight="true" outlineLevel="0" collapsed="false">
      <c r="A688" s="16" t="s">
        <v>33</v>
      </c>
      <c r="B688" s="16" t="s">
        <v>148</v>
      </c>
      <c r="C688" s="16" t="s">
        <v>161</v>
      </c>
      <c r="D688" s="38" t="n">
        <v>7</v>
      </c>
      <c r="E688" s="39" t="n">
        <v>2.04</v>
      </c>
      <c r="F688" s="22" t="n">
        <f aca="false">IFERROR(D688*E688,0)</f>
        <v>14.28</v>
      </c>
      <c r="G688" s="16" t="str">
        <f aca="false">INDEX(SETORES!$B:$B,MATCH(A688,SETORES!$A:$A,0))</f>
        <v>Funcionários</v>
      </c>
      <c r="H688" s="16" t="s">
        <v>11</v>
      </c>
    </row>
    <row r="689" customFormat="false" ht="14.25" hidden="true" customHeight="true" outlineLevel="0" collapsed="false">
      <c r="A689" s="40" t="s">
        <v>42</v>
      </c>
      <c r="B689" s="40" t="s">
        <v>148</v>
      </c>
      <c r="C689" s="40" t="s">
        <v>149</v>
      </c>
      <c r="D689" s="41" t="n">
        <v>2</v>
      </c>
      <c r="E689" s="42" t="n">
        <v>5</v>
      </c>
      <c r="F689" s="43" t="n">
        <v>10</v>
      </c>
      <c r="G689" s="40" t="str">
        <f aca="false">INDEX(SETORES!$B:$B,MATCH(A689,SETORES!$A:$A,0))</f>
        <v>Clientes</v>
      </c>
      <c r="H689" s="40" t="s">
        <v>11</v>
      </c>
    </row>
    <row r="690" customFormat="false" ht="14.25" hidden="true" customHeight="true" outlineLevel="0" collapsed="false">
      <c r="A690" s="16" t="s">
        <v>42</v>
      </c>
      <c r="B690" s="16" t="s">
        <v>148</v>
      </c>
      <c r="C690" s="16" t="s">
        <v>150</v>
      </c>
      <c r="D690" s="38" t="n">
        <v>1</v>
      </c>
      <c r="E690" s="39" t="n">
        <v>70.8</v>
      </c>
      <c r="F690" s="22" t="n">
        <v>70.8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40" t="s">
        <v>42</v>
      </c>
      <c r="B691" s="40" t="s">
        <v>148</v>
      </c>
      <c r="C691" s="40" t="s">
        <v>151</v>
      </c>
      <c r="D691" s="41" t="n">
        <v>1</v>
      </c>
      <c r="E691" s="42" t="n">
        <v>17.5144</v>
      </c>
      <c r="F691" s="43" t="n">
        <v>17.5144</v>
      </c>
      <c r="G691" s="40" t="str">
        <f aca="false">INDEX(SETORES!$B:$B,MATCH(A691,SETORES!$A:$A,0))</f>
        <v>Clientes</v>
      </c>
      <c r="H691" s="40" t="s">
        <v>11</v>
      </c>
    </row>
    <row r="692" customFormat="false" ht="14.25" hidden="true" customHeight="true" outlineLevel="0" collapsed="false">
      <c r="A692" s="16" t="s">
        <v>42</v>
      </c>
      <c r="B692" s="16" t="s">
        <v>148</v>
      </c>
      <c r="C692" s="16" t="s">
        <v>152</v>
      </c>
      <c r="D692" s="38" t="n">
        <v>1</v>
      </c>
      <c r="E692" s="39" t="n">
        <v>0.05</v>
      </c>
      <c r="F692" s="22" t="n">
        <v>0.05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40" t="s">
        <v>42</v>
      </c>
      <c r="B693" s="40" t="s">
        <v>148</v>
      </c>
      <c r="C693" s="40" t="s">
        <v>153</v>
      </c>
      <c r="D693" s="41"/>
      <c r="E693" s="42"/>
      <c r="F693" s="43" t="n">
        <f aca="false">IFERROR(D693*E693,0)</f>
        <v>0</v>
      </c>
      <c r="G693" s="40" t="str">
        <f aca="false">INDEX(SETORES!$B:$B,MATCH(A693,SETORES!$A:$A,0))</f>
        <v>Clientes</v>
      </c>
      <c r="H693" s="40" t="s">
        <v>11</v>
      </c>
    </row>
    <row r="694" customFormat="false" ht="14.25" hidden="true" customHeight="true" outlineLevel="0" collapsed="false">
      <c r="A694" s="16" t="s">
        <v>42</v>
      </c>
      <c r="B694" s="16" t="s">
        <v>148</v>
      </c>
      <c r="C694" s="16" t="s">
        <v>154</v>
      </c>
      <c r="D694" s="38" t="n">
        <v>1</v>
      </c>
      <c r="E694" s="39" t="n">
        <v>28225.1106607408</v>
      </c>
      <c r="F694" s="22" t="n">
        <f aca="false">IFERROR(E694,0)</f>
        <v>28225.1106607408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40" t="s">
        <v>42</v>
      </c>
      <c r="B695" s="40" t="s">
        <v>155</v>
      </c>
      <c r="C695" s="40" t="s">
        <v>208</v>
      </c>
      <c r="D695" s="41"/>
      <c r="E695" s="42"/>
      <c r="F695" s="43" t="n">
        <f aca="false">IFERROR(D695*E695,0)</f>
        <v>0</v>
      </c>
      <c r="G695" s="40" t="str">
        <f aca="false">INDEX(SETORES!$B:$B,MATCH(A695,SETORES!$A:$A,0))</f>
        <v>Clientes</v>
      </c>
      <c r="H695" s="40" t="s">
        <v>11</v>
      </c>
    </row>
    <row r="696" customFormat="false" ht="14.25" hidden="true" customHeight="true" outlineLevel="0" collapsed="false">
      <c r="A696" s="16" t="s">
        <v>42</v>
      </c>
      <c r="B696" s="16" t="s">
        <v>155</v>
      </c>
      <c r="C696" s="16" t="s">
        <v>156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40" t="s">
        <v>42</v>
      </c>
      <c r="B697" s="40" t="s">
        <v>155</v>
      </c>
      <c r="C697" s="40" t="s">
        <v>157</v>
      </c>
      <c r="D697" s="41"/>
      <c r="E697" s="42"/>
      <c r="F697" s="43" t="n">
        <f aca="false">IFERROR(D697*E697,0)</f>
        <v>0</v>
      </c>
      <c r="G697" s="40" t="str">
        <f aca="false">INDEX(SETORES!$B:$B,MATCH(A697,SETORES!$A:$A,0))</f>
        <v>Clientes</v>
      </c>
      <c r="H697" s="40" t="s">
        <v>11</v>
      </c>
    </row>
    <row r="698" customFormat="false" ht="14.25" hidden="true" customHeight="true" outlineLevel="0" collapsed="false">
      <c r="A698" s="16" t="s">
        <v>42</v>
      </c>
      <c r="B698" s="16" t="s">
        <v>148</v>
      </c>
      <c r="C698" s="16" t="s">
        <v>159</v>
      </c>
      <c r="D698" s="38" t="n">
        <v>5</v>
      </c>
      <c r="E698" s="39" t="n">
        <v>50</v>
      </c>
      <c r="F698" s="22" t="n">
        <f aca="false">IFERROR(D698*E698,0)</f>
        <v>250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40" t="s">
        <v>42</v>
      </c>
      <c r="B699" s="40" t="s">
        <v>148</v>
      </c>
      <c r="C699" s="40" t="s">
        <v>160</v>
      </c>
      <c r="D699" s="41" t="n">
        <v>2</v>
      </c>
      <c r="E699" s="42" t="n">
        <v>9.85</v>
      </c>
      <c r="F699" s="43" t="n">
        <f aca="false">IFERROR(D699*E699,0)</f>
        <v>19.7</v>
      </c>
      <c r="G699" s="40" t="str">
        <f aca="false">INDEX(SETORES!$B:$B,MATCH(A699,SETORES!$A:$A,0))</f>
        <v>Clientes</v>
      </c>
      <c r="H699" s="40" t="s">
        <v>11</v>
      </c>
    </row>
    <row r="700" customFormat="false" ht="14.25" hidden="true" customHeight="true" outlineLevel="0" collapsed="false">
      <c r="A700" s="16" t="s">
        <v>42</v>
      </c>
      <c r="B700" s="16" t="s">
        <v>148</v>
      </c>
      <c r="C700" s="16" t="s">
        <v>161</v>
      </c>
      <c r="D700" s="38" t="n">
        <v>2</v>
      </c>
      <c r="E700" s="39" t="n">
        <v>2.04</v>
      </c>
      <c r="F700" s="22" t="n">
        <f aca="false">IFERROR(D700*E700,0)</f>
        <v>4.08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40" t="s">
        <v>45</v>
      </c>
      <c r="B701" s="40" t="s">
        <v>148</v>
      </c>
      <c r="C701" s="40" t="s">
        <v>149</v>
      </c>
      <c r="D701" s="41" t="n">
        <v>1</v>
      </c>
      <c r="E701" s="42" t="n">
        <v>22.5</v>
      </c>
      <c r="F701" s="43" t="n">
        <v>45</v>
      </c>
      <c r="G701" s="40" t="str">
        <f aca="false">INDEX(SETORES!$B:$B,MATCH(A701,SETORES!$A:$A,0))</f>
        <v>Clientes</v>
      </c>
      <c r="H701" s="40" t="s">
        <v>11</v>
      </c>
    </row>
    <row r="702" customFormat="false" ht="14.25" hidden="true" customHeight="true" outlineLevel="0" collapsed="false">
      <c r="A702" s="16" t="s">
        <v>45</v>
      </c>
      <c r="B702" s="16" t="s">
        <v>148</v>
      </c>
      <c r="C702" s="16" t="s">
        <v>150</v>
      </c>
      <c r="D702" s="38" t="n">
        <v>1</v>
      </c>
      <c r="E702" s="39" t="n">
        <v>22.5</v>
      </c>
      <c r="F702" s="22" t="n">
        <v>22.5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40" t="s">
        <v>45</v>
      </c>
      <c r="B703" s="40" t="s">
        <v>155</v>
      </c>
      <c r="C703" s="40" t="s">
        <v>187</v>
      </c>
      <c r="D703" s="41" t="n">
        <v>1</v>
      </c>
      <c r="E703" s="42" t="n">
        <v>700</v>
      </c>
      <c r="F703" s="43" t="n">
        <f aca="false">IFERROR(D703*E703,0)</f>
        <v>700</v>
      </c>
      <c r="G703" s="40" t="str">
        <f aca="false">INDEX(SETORES!$B:$B,MATCH(A703,SETORES!$A:$A,0))</f>
        <v>Clientes</v>
      </c>
      <c r="H703" s="40" t="s">
        <v>11</v>
      </c>
    </row>
    <row r="704" customFormat="false" ht="14.25" hidden="true" customHeight="true" outlineLevel="0" collapsed="false">
      <c r="A704" s="16" t="s">
        <v>45</v>
      </c>
      <c r="B704" s="16" t="s">
        <v>148</v>
      </c>
      <c r="C704" s="16" t="s">
        <v>151</v>
      </c>
      <c r="D704" s="38" t="n">
        <v>7</v>
      </c>
      <c r="E704" s="39" t="n">
        <v>23.6877</v>
      </c>
      <c r="F704" s="22" t="n">
        <v>165.8139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40" t="s">
        <v>50</v>
      </c>
      <c r="B705" s="40" t="s">
        <v>148</v>
      </c>
      <c r="C705" s="40" t="s">
        <v>152</v>
      </c>
      <c r="D705" s="41" t="n">
        <v>12</v>
      </c>
      <c r="E705" s="42" t="n">
        <v>0.3124</v>
      </c>
      <c r="F705" s="43" t="n">
        <v>3.7488</v>
      </c>
      <c r="G705" s="40" t="str">
        <f aca="false">INDEX(SETORES!$B:$B,MATCH(A705,SETORES!$A:$A,0))</f>
        <v>Clientes</v>
      </c>
      <c r="H705" s="40" t="s">
        <v>11</v>
      </c>
    </row>
    <row r="706" customFormat="false" ht="14.25" hidden="true" customHeight="true" outlineLevel="0" collapsed="false">
      <c r="A706" s="16" t="s">
        <v>45</v>
      </c>
      <c r="B706" s="16" t="s">
        <v>148</v>
      </c>
      <c r="C706" s="16" t="s">
        <v>153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40" t="s">
        <v>45</v>
      </c>
      <c r="B707" s="40" t="s">
        <v>148</v>
      </c>
      <c r="C707" s="40" t="s">
        <v>154</v>
      </c>
      <c r="D707" s="41" t="n">
        <v>1</v>
      </c>
      <c r="E707" s="42" t="n">
        <v>51262.88</v>
      </c>
      <c r="F707" s="43" t="n">
        <f aca="false">IFERROR(E707,0)</f>
        <v>51262.88</v>
      </c>
      <c r="G707" s="40" t="str">
        <f aca="false">INDEX(SETORES!$B:$B,MATCH(A707,SETORES!$A:$A,0))</f>
        <v>Clientes</v>
      </c>
      <c r="H707" s="40" t="s">
        <v>11</v>
      </c>
    </row>
    <row r="708" customFormat="false" ht="14.25" hidden="true" customHeight="true" outlineLevel="0" collapsed="false">
      <c r="A708" s="16" t="s">
        <v>45</v>
      </c>
      <c r="B708" s="16" t="s">
        <v>155</v>
      </c>
      <c r="C708" s="16" t="s">
        <v>156</v>
      </c>
      <c r="D708" s="38"/>
      <c r="E708" s="39"/>
      <c r="F708" s="22" t="n">
        <f aca="false">IFERROR(D708*E708,0)</f>
        <v>0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40" t="s">
        <v>45</v>
      </c>
      <c r="B709" s="40" t="s">
        <v>155</v>
      </c>
      <c r="C709" s="40" t="s">
        <v>157</v>
      </c>
      <c r="D709" s="41"/>
      <c r="E709" s="42"/>
      <c r="F709" s="43" t="n">
        <f aca="false">IFERROR(D709*E709,0)</f>
        <v>0</v>
      </c>
      <c r="G709" s="40" t="str">
        <f aca="false">INDEX(SETORES!$B:$B,MATCH(A709,SETORES!$A:$A,0))</f>
        <v>Clientes</v>
      </c>
      <c r="H709" s="40" t="s">
        <v>11</v>
      </c>
    </row>
    <row r="710" customFormat="false" ht="14.25" hidden="true" customHeight="true" outlineLevel="0" collapsed="false">
      <c r="A710" s="16" t="s">
        <v>45</v>
      </c>
      <c r="B710" s="16" t="s">
        <v>155</v>
      </c>
      <c r="C710" s="16" t="s">
        <v>202</v>
      </c>
      <c r="D710" s="38" t="n">
        <v>7</v>
      </c>
      <c r="E710" s="39" t="n">
        <v>85.71</v>
      </c>
      <c r="F710" s="22" t="n">
        <f aca="false">IFERROR(D710*E710,0)</f>
        <v>599.97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40" t="s">
        <v>45</v>
      </c>
      <c r="B711" s="40" t="s">
        <v>155</v>
      </c>
      <c r="C711" s="40" t="s">
        <v>215</v>
      </c>
      <c r="D711" s="41" t="n">
        <v>1</v>
      </c>
      <c r="E711" s="42" t="n">
        <v>3121.37</v>
      </c>
      <c r="F711" s="43" t="n">
        <f aca="false">IFERROR(D711*E711,0)</f>
        <v>3121.37</v>
      </c>
      <c r="G711" s="40" t="str">
        <f aca="false">INDEX(SETORES!$B:$B,MATCH(A711,SETORES!$A:$A,0))</f>
        <v>Clientes</v>
      </c>
      <c r="H711" s="40" t="s">
        <v>11</v>
      </c>
    </row>
    <row r="712" customFormat="false" ht="14.25" hidden="true" customHeight="true" outlineLevel="0" collapsed="false">
      <c r="A712" s="16" t="s">
        <v>45</v>
      </c>
      <c r="B712" s="16" t="s">
        <v>148</v>
      </c>
      <c r="C712" s="16" t="s">
        <v>159</v>
      </c>
      <c r="D712" s="38" t="n">
        <v>10</v>
      </c>
      <c r="E712" s="39" t="n">
        <v>50</v>
      </c>
      <c r="F712" s="22" t="n">
        <f aca="false">IFERROR(D712*E712,0)</f>
        <v>500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40" t="s">
        <v>45</v>
      </c>
      <c r="B713" s="40" t="s">
        <v>155</v>
      </c>
      <c r="C713" s="40" t="s">
        <v>210</v>
      </c>
      <c r="D713" s="41" t="n">
        <v>1</v>
      </c>
      <c r="E713" s="42" t="n">
        <v>5735.95</v>
      </c>
      <c r="F713" s="43" t="n">
        <f aca="false">IFERROR(D713*E713,0)</f>
        <v>5735.95</v>
      </c>
      <c r="G713" s="40" t="str">
        <f aca="false">INDEX(SETORES!$B:$B,MATCH(A713,SETORES!$A:$A,0))</f>
        <v>Clientes</v>
      </c>
      <c r="H713" s="40" t="s">
        <v>11</v>
      </c>
    </row>
    <row r="714" customFormat="false" ht="14.25" hidden="true" customHeight="true" outlineLevel="0" collapsed="false">
      <c r="A714" s="16" t="s">
        <v>45</v>
      </c>
      <c r="B714" s="16" t="s">
        <v>148</v>
      </c>
      <c r="C714" s="16" t="s">
        <v>231</v>
      </c>
      <c r="D714" s="38" t="n">
        <v>1</v>
      </c>
      <c r="E714" s="39" t="n">
        <v>128.68</v>
      </c>
      <c r="F714" s="22" t="n">
        <f aca="false">IFERROR(D714*E714,0)</f>
        <v>128.68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40" t="s">
        <v>45</v>
      </c>
      <c r="B715" s="40" t="s">
        <v>148</v>
      </c>
      <c r="C715" s="40" t="s">
        <v>160</v>
      </c>
      <c r="D715" s="41" t="n">
        <v>7</v>
      </c>
      <c r="E715" s="42" t="n">
        <v>9.85</v>
      </c>
      <c r="F715" s="43" t="n">
        <f aca="false">IFERROR(D715*E715,0)</f>
        <v>68.95</v>
      </c>
      <c r="G715" s="40" t="str">
        <f aca="false">INDEX(SETORES!$B:$B,MATCH(A715,SETORES!$A:$A,0))</f>
        <v>Clientes</v>
      </c>
      <c r="H715" s="40" t="s">
        <v>11</v>
      </c>
    </row>
    <row r="716" customFormat="false" ht="14.25" hidden="true" customHeight="true" outlineLevel="0" collapsed="false">
      <c r="A716" s="16" t="s">
        <v>45</v>
      </c>
      <c r="B716" s="16" t="s">
        <v>148</v>
      </c>
      <c r="C716" s="16" t="s">
        <v>161</v>
      </c>
      <c r="D716" s="38" t="n">
        <v>7</v>
      </c>
      <c r="E716" s="39" t="n">
        <v>2.04</v>
      </c>
      <c r="F716" s="22" t="n">
        <f aca="false">IFERROR(D716*E716,0)</f>
        <v>14.28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40" t="s">
        <v>48</v>
      </c>
      <c r="B717" s="40" t="s">
        <v>148</v>
      </c>
      <c r="C717" s="40" t="s">
        <v>152</v>
      </c>
      <c r="D717" s="41" t="n">
        <v>14</v>
      </c>
      <c r="E717" s="42" t="n">
        <v>0.3124</v>
      </c>
      <c r="F717" s="43" t="n">
        <v>4.3736</v>
      </c>
      <c r="G717" s="40" t="str">
        <f aca="false">INDEX(SETORES!$B:$B,MATCH(A717,SETORES!$A:$A,0))</f>
        <v>Clientes</v>
      </c>
      <c r="H717" s="40" t="s">
        <v>11</v>
      </c>
    </row>
    <row r="718" customFormat="false" ht="14.25" hidden="true" customHeight="true" outlineLevel="0" collapsed="false">
      <c r="A718" s="16" t="s">
        <v>50</v>
      </c>
      <c r="B718" s="16" t="s">
        <v>148</v>
      </c>
      <c r="C718" s="16" t="s">
        <v>149</v>
      </c>
      <c r="D718" s="38"/>
      <c r="E718" s="39"/>
      <c r="F718" s="22" t="n">
        <v>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40" t="s">
        <v>50</v>
      </c>
      <c r="B719" s="40" t="s">
        <v>148</v>
      </c>
      <c r="C719" s="40" t="s">
        <v>150</v>
      </c>
      <c r="D719" s="41" t="n">
        <v>1</v>
      </c>
      <c r="E719" s="42" t="n">
        <v>624.39</v>
      </c>
      <c r="F719" s="43" t="n">
        <v>624.39</v>
      </c>
      <c r="G719" s="40" t="str">
        <f aca="false">INDEX(SETORES!$B:$B,MATCH(A719,SETORES!$A:$A,0))</f>
        <v>Clientes</v>
      </c>
      <c r="H719" s="40" t="s">
        <v>11</v>
      </c>
    </row>
    <row r="720" customFormat="false" ht="14.25" hidden="true" customHeight="true" outlineLevel="0" collapsed="false">
      <c r="A720" s="16" t="s">
        <v>50</v>
      </c>
      <c r="B720" s="16" t="s">
        <v>148</v>
      </c>
      <c r="C720" s="16" t="s">
        <v>151</v>
      </c>
      <c r="D720" s="38" t="n">
        <v>12</v>
      </c>
      <c r="E720" s="39" t="n">
        <v>23.6877</v>
      </c>
      <c r="F720" s="22" t="n">
        <v>284.2524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40" t="s">
        <v>49</v>
      </c>
      <c r="B721" s="40" t="s">
        <v>148</v>
      </c>
      <c r="C721" s="40" t="s">
        <v>152</v>
      </c>
      <c r="D721" s="41" t="n">
        <v>4</v>
      </c>
      <c r="E721" s="42" t="n">
        <v>0.3124</v>
      </c>
      <c r="F721" s="43" t="n">
        <v>1.2496</v>
      </c>
      <c r="G721" s="40" t="str">
        <f aca="false">INDEX(SETORES!$B:$B,MATCH(A721,SETORES!$A:$A,0))</f>
        <v>Clientes</v>
      </c>
      <c r="H721" s="40" t="s">
        <v>11</v>
      </c>
    </row>
    <row r="722" customFormat="false" ht="14.25" hidden="true" customHeight="true" outlineLevel="0" collapsed="false">
      <c r="A722" s="16" t="s">
        <v>50</v>
      </c>
      <c r="B722" s="16" t="s">
        <v>148</v>
      </c>
      <c r="C722" s="16" t="s">
        <v>153</v>
      </c>
      <c r="D722" s="38"/>
      <c r="E722" s="39"/>
      <c r="F722" s="22" t="n">
        <f aca="false">IFERROR(D722*E722,0)</f>
        <v>0</v>
      </c>
      <c r="G722" s="16" t="str">
        <f aca="false">INDEX(SETORES!$B:$B,MATCH(A722,SETORES!$A:$A,0))</f>
        <v>Clientes</v>
      </c>
      <c r="H722" s="16" t="s">
        <v>11</v>
      </c>
    </row>
    <row r="723" customFormat="false" ht="14.25" hidden="true" customHeight="true" outlineLevel="0" collapsed="false">
      <c r="A723" s="40" t="s">
        <v>50</v>
      </c>
      <c r="B723" s="40" t="s">
        <v>148</v>
      </c>
      <c r="C723" s="40" t="s">
        <v>154</v>
      </c>
      <c r="D723" s="41" t="n">
        <v>1</v>
      </c>
      <c r="E723" s="42" t="n">
        <v>60103.48</v>
      </c>
      <c r="F723" s="43" t="n">
        <f aca="false">IFERROR(E723,0)</f>
        <v>60103.48</v>
      </c>
      <c r="G723" s="40" t="str">
        <f aca="false">INDEX(SETORES!$B:$B,MATCH(A723,SETORES!$A:$A,0))</f>
        <v>Clientes</v>
      </c>
      <c r="H723" s="40" t="s">
        <v>11</v>
      </c>
    </row>
    <row r="724" customFormat="false" ht="14.25" hidden="true" customHeight="true" outlineLevel="0" collapsed="false">
      <c r="A724" s="16" t="s">
        <v>50</v>
      </c>
      <c r="B724" s="16" t="s">
        <v>155</v>
      </c>
      <c r="C724" s="16" t="s">
        <v>211</v>
      </c>
      <c r="D724" s="38"/>
      <c r="E724" s="39"/>
      <c r="F724" s="22" t="n">
        <f aca="false">IFERROR(D724*E724,0)</f>
        <v>0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40" t="s">
        <v>50</v>
      </c>
      <c r="B725" s="40" t="s">
        <v>155</v>
      </c>
      <c r="C725" s="40" t="s">
        <v>156</v>
      </c>
      <c r="D725" s="41"/>
      <c r="E725" s="42"/>
      <c r="F725" s="43" t="n">
        <f aca="false">IFERROR(D725*E725,0)</f>
        <v>0</v>
      </c>
      <c r="G725" s="40" t="str">
        <f aca="false">INDEX(SETORES!$B:$B,MATCH(A725,SETORES!$A:$A,0))</f>
        <v>Clientes</v>
      </c>
      <c r="H725" s="40" t="s">
        <v>11</v>
      </c>
    </row>
    <row r="726" customFormat="false" ht="14.25" hidden="true" customHeight="true" outlineLevel="0" collapsed="false">
      <c r="A726" s="16" t="s">
        <v>50</v>
      </c>
      <c r="B726" s="16" t="s">
        <v>155</v>
      </c>
      <c r="C726" s="16" t="s">
        <v>157</v>
      </c>
      <c r="D726" s="38"/>
      <c r="E726" s="39"/>
      <c r="F726" s="22" t="n">
        <f aca="false">IFERROR(D726*E726,0)</f>
        <v>0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40" t="s">
        <v>50</v>
      </c>
      <c r="B727" s="40" t="s">
        <v>155</v>
      </c>
      <c r="C727" s="40" t="s">
        <v>202</v>
      </c>
      <c r="D727" s="41" t="n">
        <v>12</v>
      </c>
      <c r="E727" s="42" t="n">
        <v>85.71</v>
      </c>
      <c r="F727" s="43" t="n">
        <f aca="false">IFERROR(D727*E727,0)</f>
        <v>1028.52</v>
      </c>
      <c r="G727" s="40" t="str">
        <f aca="false">INDEX(SETORES!$B:$B,MATCH(A727,SETORES!$A:$A,0))</f>
        <v>Clientes</v>
      </c>
      <c r="H727" s="40" t="s">
        <v>11</v>
      </c>
    </row>
    <row r="728" customFormat="false" ht="14.25" hidden="true" customHeight="true" outlineLevel="0" collapsed="false">
      <c r="A728" s="16" t="s">
        <v>50</v>
      </c>
      <c r="B728" s="16" t="s">
        <v>155</v>
      </c>
      <c r="C728" s="16" t="s">
        <v>215</v>
      </c>
      <c r="D728" s="38" t="n">
        <v>1</v>
      </c>
      <c r="E728" s="39" t="n">
        <v>3112.37</v>
      </c>
      <c r="F728" s="22" t="n">
        <f aca="false">IFERROR(D728*E728,0)</f>
        <v>3112.37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40" t="s">
        <v>50</v>
      </c>
      <c r="B729" s="40" t="s">
        <v>155</v>
      </c>
      <c r="C729" s="40" t="s">
        <v>158</v>
      </c>
      <c r="D729" s="41" t="n">
        <v>1</v>
      </c>
      <c r="E729" s="42" t="n">
        <v>50</v>
      </c>
      <c r="F729" s="43" t="n">
        <f aca="false">IFERROR(D729*E729,0)</f>
        <v>50</v>
      </c>
      <c r="G729" s="40" t="str">
        <f aca="false">INDEX(SETORES!$B:$B,MATCH(A729,SETORES!$A:$A,0))</f>
        <v>Clientes</v>
      </c>
      <c r="H729" s="40" t="s">
        <v>11</v>
      </c>
    </row>
    <row r="730" customFormat="false" ht="14.25" hidden="true" customHeight="true" outlineLevel="0" collapsed="false">
      <c r="A730" s="16" t="s">
        <v>50</v>
      </c>
      <c r="B730" s="16" t="s">
        <v>148</v>
      </c>
      <c r="C730" s="16" t="s">
        <v>159</v>
      </c>
      <c r="D730" s="38" t="n">
        <v>16</v>
      </c>
      <c r="E730" s="39" t="n">
        <v>50</v>
      </c>
      <c r="F730" s="22" t="n">
        <f aca="false">IFERROR(D730*E730,0)</f>
        <v>800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40" t="s">
        <v>50</v>
      </c>
      <c r="B731" s="40" t="s">
        <v>148</v>
      </c>
      <c r="C731" s="40" t="s">
        <v>231</v>
      </c>
      <c r="D731" s="41" t="n">
        <v>1</v>
      </c>
      <c r="E731" s="42" t="n">
        <v>153.58</v>
      </c>
      <c r="F731" s="43" t="n">
        <f aca="false">IFERROR(D731*E731,0)</f>
        <v>153.58</v>
      </c>
      <c r="G731" s="40" t="str">
        <f aca="false">INDEX(SETORES!$B:$B,MATCH(A731,SETORES!$A:$A,0))</f>
        <v>Clientes</v>
      </c>
      <c r="H731" s="40" t="s">
        <v>11</v>
      </c>
    </row>
    <row r="732" customFormat="false" ht="14.25" hidden="true" customHeight="true" outlineLevel="0" collapsed="false">
      <c r="A732" s="16" t="s">
        <v>50</v>
      </c>
      <c r="B732" s="16" t="s">
        <v>148</v>
      </c>
      <c r="C732" s="16" t="s">
        <v>160</v>
      </c>
      <c r="D732" s="38" t="n">
        <v>12</v>
      </c>
      <c r="E732" s="39" t="n">
        <v>9.85</v>
      </c>
      <c r="F732" s="22" t="n">
        <f aca="false">IFERROR(D732*E732,0)</f>
        <v>118.2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40" t="s">
        <v>50</v>
      </c>
      <c r="B733" s="40" t="s">
        <v>148</v>
      </c>
      <c r="C733" s="40" t="s">
        <v>161</v>
      </c>
      <c r="D733" s="41" t="n">
        <v>12</v>
      </c>
      <c r="E733" s="42" t="n">
        <v>2.04</v>
      </c>
      <c r="F733" s="43" t="n">
        <f aca="false">IFERROR(D733*E733,0)</f>
        <v>24.48</v>
      </c>
      <c r="G733" s="40" t="str">
        <f aca="false">INDEX(SETORES!$B:$B,MATCH(A733,SETORES!$A:$A,0))</f>
        <v>Clientes</v>
      </c>
      <c r="H733" s="40" t="s">
        <v>11</v>
      </c>
    </row>
    <row r="734" customFormat="false" ht="14.25" hidden="true" customHeight="true" outlineLevel="0" collapsed="false">
      <c r="A734" s="16" t="s">
        <v>44</v>
      </c>
      <c r="B734" s="16" t="s">
        <v>148</v>
      </c>
      <c r="C734" s="16" t="s">
        <v>152</v>
      </c>
      <c r="D734" s="38" t="n">
        <v>6</v>
      </c>
      <c r="E734" s="39" t="n">
        <v>0.3124</v>
      </c>
      <c r="F734" s="22" t="n">
        <v>1.8744</v>
      </c>
      <c r="G734" s="16" t="str">
        <f aca="false">INDEX(SETORES!$B:$B,MATCH(A734,SETORES!$A:$A,0))</f>
        <v>Funcionários</v>
      </c>
      <c r="H734" s="16" t="s">
        <v>11</v>
      </c>
    </row>
    <row r="735" customFormat="false" ht="14.25" hidden="true" customHeight="true" outlineLevel="0" collapsed="false">
      <c r="A735" s="40" t="s">
        <v>36</v>
      </c>
      <c r="B735" s="40" t="s">
        <v>148</v>
      </c>
      <c r="C735" s="40" t="s">
        <v>149</v>
      </c>
      <c r="D735" s="41" t="n">
        <v>8</v>
      </c>
      <c r="E735" s="42" t="n">
        <v>2.75</v>
      </c>
      <c r="F735" s="43" t="n">
        <v>22</v>
      </c>
      <c r="G735" s="40" t="str">
        <f aca="false">INDEX(SETORES!$B:$B,MATCH(A735,SETORES!$A:$A,0))</f>
        <v>Clientes</v>
      </c>
      <c r="H735" s="40" t="s">
        <v>11</v>
      </c>
    </row>
    <row r="736" customFormat="false" ht="14.25" hidden="true" customHeight="true" outlineLevel="0" collapsed="false">
      <c r="A736" s="16" t="s">
        <v>36</v>
      </c>
      <c r="B736" s="16" t="s">
        <v>148</v>
      </c>
      <c r="C736" s="16" t="s">
        <v>150</v>
      </c>
      <c r="D736" s="38" t="n">
        <v>1</v>
      </c>
      <c r="E736" s="39" t="n">
        <v>138.53</v>
      </c>
      <c r="F736" s="22" t="n">
        <v>138.53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40" t="s">
        <v>36</v>
      </c>
      <c r="B737" s="40" t="s">
        <v>148</v>
      </c>
      <c r="C737" s="40" t="s">
        <v>151</v>
      </c>
      <c r="D737" s="41" t="n">
        <v>1</v>
      </c>
      <c r="E737" s="42" t="n">
        <v>61.3005</v>
      </c>
      <c r="F737" s="43" t="n">
        <v>61.3005</v>
      </c>
      <c r="G737" s="40" t="str">
        <f aca="false">INDEX(SETORES!$B:$B,MATCH(A737,SETORES!$A:$A,0))</f>
        <v>Clientes</v>
      </c>
      <c r="H737" s="40" t="s">
        <v>11</v>
      </c>
    </row>
    <row r="738" customFormat="false" ht="14.25" hidden="true" customHeight="true" outlineLevel="0" collapsed="false">
      <c r="A738" s="16" t="s">
        <v>36</v>
      </c>
      <c r="B738" s="16" t="s">
        <v>148</v>
      </c>
      <c r="C738" s="16" t="s">
        <v>152</v>
      </c>
      <c r="D738" s="38" t="n">
        <v>1</v>
      </c>
      <c r="E738" s="39" t="n">
        <v>0.175</v>
      </c>
      <c r="F738" s="22" t="n">
        <v>0.175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40" t="s">
        <v>36</v>
      </c>
      <c r="B739" s="40" t="s">
        <v>148</v>
      </c>
      <c r="C739" s="40" t="s">
        <v>153</v>
      </c>
      <c r="D739" s="41"/>
      <c r="E739" s="42"/>
      <c r="F739" s="43" t="n">
        <f aca="false">IFERROR(D739*E739,0)</f>
        <v>0</v>
      </c>
      <c r="G739" s="40" t="str">
        <f aca="false">INDEX(SETORES!$B:$B,MATCH(A739,SETORES!$A:$A,0))</f>
        <v>Clientes</v>
      </c>
      <c r="H739" s="40" t="s">
        <v>11</v>
      </c>
    </row>
    <row r="740" customFormat="false" ht="14.25" hidden="true" customHeight="true" outlineLevel="0" collapsed="false">
      <c r="A740" s="16" t="s">
        <v>36</v>
      </c>
      <c r="B740" s="16" t="s">
        <v>148</v>
      </c>
      <c r="C740" s="16" t="s">
        <v>154</v>
      </c>
      <c r="D740" s="38" t="n">
        <v>1</v>
      </c>
      <c r="E740" s="39" t="n">
        <v>38865.14</v>
      </c>
      <c r="F740" s="22" t="n">
        <f aca="false">IFERROR(E740,0)</f>
        <v>38865.14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40" t="s">
        <v>36</v>
      </c>
      <c r="B741" s="40" t="s">
        <v>148</v>
      </c>
      <c r="C741" s="40" t="s">
        <v>212</v>
      </c>
      <c r="D741" s="41" t="n">
        <v>1</v>
      </c>
      <c r="E741" s="42" t="n">
        <v>29185.01</v>
      </c>
      <c r="F741" s="43" t="n">
        <f aca="false">IFERROR(D741*E741,0)</f>
        <v>29185.01</v>
      </c>
      <c r="G741" s="40" t="str">
        <f aca="false">INDEX(SETORES!$B:$B,MATCH(A741,SETORES!$A:$A,0))</f>
        <v>Clientes</v>
      </c>
      <c r="H741" s="40" t="s">
        <v>11</v>
      </c>
    </row>
    <row r="742" customFormat="false" ht="14.25" hidden="true" customHeight="true" outlineLevel="0" collapsed="false">
      <c r="A742" s="16" t="s">
        <v>36</v>
      </c>
      <c r="B742" s="16" t="s">
        <v>155</v>
      </c>
      <c r="C742" s="16" t="s">
        <v>156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40" t="s">
        <v>36</v>
      </c>
      <c r="B743" s="40" t="s">
        <v>155</v>
      </c>
      <c r="C743" s="40" t="s">
        <v>157</v>
      </c>
      <c r="D743" s="41"/>
      <c r="E743" s="42"/>
      <c r="F743" s="43" t="n">
        <f aca="false">IFERROR(D743*E743,0)</f>
        <v>0</v>
      </c>
      <c r="G743" s="40" t="str">
        <f aca="false">INDEX(SETORES!$B:$B,MATCH(A743,SETORES!$A:$A,0))</f>
        <v>Clientes</v>
      </c>
      <c r="H743" s="40" t="s">
        <v>11</v>
      </c>
    </row>
    <row r="744" customFormat="false" ht="14.25" hidden="true" customHeight="true" outlineLevel="0" collapsed="false">
      <c r="A744" s="16" t="s">
        <v>36</v>
      </c>
      <c r="B744" s="16" t="s">
        <v>148</v>
      </c>
      <c r="C744" s="16" t="s">
        <v>159</v>
      </c>
      <c r="D744" s="38" t="n">
        <v>8</v>
      </c>
      <c r="E744" s="39" t="n">
        <v>50</v>
      </c>
      <c r="F744" s="22" t="n">
        <f aca="false">IFERROR(D744*E744,0)</f>
        <v>400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40" t="s">
        <v>36</v>
      </c>
      <c r="B745" s="40" t="s">
        <v>148</v>
      </c>
      <c r="C745" s="40" t="s">
        <v>231</v>
      </c>
      <c r="D745" s="41" t="n">
        <v>1</v>
      </c>
      <c r="E745" s="42" t="n">
        <v>153.58</v>
      </c>
      <c r="F745" s="43" t="n">
        <f aca="false">IFERROR(D745*E745,0)</f>
        <v>153.58</v>
      </c>
      <c r="G745" s="40" t="str">
        <f aca="false">INDEX(SETORES!$B:$B,MATCH(A745,SETORES!$A:$A,0))</f>
        <v>Clientes</v>
      </c>
      <c r="H745" s="40" t="s">
        <v>11</v>
      </c>
    </row>
    <row r="746" customFormat="false" ht="14.25" hidden="true" customHeight="true" outlineLevel="0" collapsed="false">
      <c r="A746" s="16" t="s">
        <v>36</v>
      </c>
      <c r="B746" s="16" t="s">
        <v>148</v>
      </c>
      <c r="C746" s="16" t="s">
        <v>160</v>
      </c>
      <c r="D746" s="38" t="n">
        <v>8</v>
      </c>
      <c r="E746" s="39" t="n">
        <v>9.85</v>
      </c>
      <c r="F746" s="22" t="n">
        <f aca="false">IFERROR(D746*E746,0)</f>
        <v>78.8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40" t="s">
        <v>36</v>
      </c>
      <c r="B747" s="40" t="s">
        <v>148</v>
      </c>
      <c r="C747" s="40" t="s">
        <v>161</v>
      </c>
      <c r="D747" s="41" t="n">
        <v>8</v>
      </c>
      <c r="E747" s="42" t="n">
        <v>2.04</v>
      </c>
      <c r="F747" s="43" t="n">
        <f aca="false">IFERROR(D747*E747,0)</f>
        <v>16.32</v>
      </c>
      <c r="G747" s="40" t="str">
        <f aca="false">INDEX(SETORES!$B:$B,MATCH(A747,SETORES!$A:$A,0))</f>
        <v>Clientes</v>
      </c>
      <c r="H747" s="40" t="s">
        <v>11</v>
      </c>
    </row>
    <row r="748" customFormat="false" ht="14.25" hidden="true" customHeight="true" outlineLevel="0" collapsed="false">
      <c r="A748" s="16" t="s">
        <v>48</v>
      </c>
      <c r="B748" s="16" t="s">
        <v>148</v>
      </c>
      <c r="C748" s="16" t="s">
        <v>149</v>
      </c>
      <c r="D748" s="38"/>
      <c r="E748" s="39"/>
      <c r="F748" s="22" t="n">
        <v>0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40" t="s">
        <v>48</v>
      </c>
      <c r="B749" s="40" t="s">
        <v>148</v>
      </c>
      <c r="C749" s="40" t="s">
        <v>150</v>
      </c>
      <c r="D749" s="41"/>
      <c r="E749" s="42"/>
      <c r="F749" s="43" t="n">
        <v>0</v>
      </c>
      <c r="G749" s="40" t="str">
        <f aca="false">INDEX(SETORES!$B:$B,MATCH(A749,SETORES!$A:$A,0))</f>
        <v>Clientes</v>
      </c>
      <c r="H749" s="40" t="s">
        <v>11</v>
      </c>
    </row>
    <row r="750" customFormat="false" ht="14.25" hidden="true" customHeight="true" outlineLevel="0" collapsed="false">
      <c r="A750" s="16" t="s">
        <v>48</v>
      </c>
      <c r="B750" s="16" t="s">
        <v>148</v>
      </c>
      <c r="C750" s="16" t="s">
        <v>151</v>
      </c>
      <c r="D750" s="38" t="n">
        <v>14</v>
      </c>
      <c r="E750" s="39" t="n">
        <v>23.6877</v>
      </c>
      <c r="F750" s="22" t="n">
        <v>331.6278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40" t="s">
        <v>48</v>
      </c>
      <c r="B751" s="40" t="s">
        <v>148</v>
      </c>
      <c r="C751" s="40" t="s">
        <v>153</v>
      </c>
      <c r="D751" s="41"/>
      <c r="E751" s="42"/>
      <c r="F751" s="43" t="n">
        <f aca="false">IFERROR(D751*E751,0)</f>
        <v>0</v>
      </c>
      <c r="G751" s="40" t="str">
        <f aca="false">INDEX(SETORES!$B:$B,MATCH(A751,SETORES!$A:$A,0))</f>
        <v>Clientes</v>
      </c>
      <c r="H751" s="40" t="s">
        <v>11</v>
      </c>
    </row>
    <row r="752" customFormat="false" ht="14.25" hidden="true" customHeight="true" outlineLevel="0" collapsed="false">
      <c r="A752" s="16" t="s">
        <v>48</v>
      </c>
      <c r="B752" s="16" t="s">
        <v>148</v>
      </c>
      <c r="C752" s="16" t="s">
        <v>154</v>
      </c>
      <c r="D752" s="38" t="n">
        <v>1</v>
      </c>
      <c r="E752" s="39" t="n">
        <v>72779.044107</v>
      </c>
      <c r="F752" s="22" t="n">
        <v>72779.044107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40" t="s">
        <v>48</v>
      </c>
      <c r="B753" s="40" t="s">
        <v>155</v>
      </c>
      <c r="C753" s="40" t="s">
        <v>210</v>
      </c>
      <c r="D753" s="41" t="n">
        <v>1</v>
      </c>
      <c r="E753" s="42" t="n">
        <v>41144.77</v>
      </c>
      <c r="F753" s="43" t="n">
        <f aca="false">IFERROR(D753*E753,0)</f>
        <v>41144.77</v>
      </c>
      <c r="G753" s="40" t="str">
        <f aca="false">INDEX(SETORES!$B:$B,MATCH(A753,SETORES!$A:$A,0))</f>
        <v>Clientes</v>
      </c>
      <c r="H753" s="40" t="s">
        <v>11</v>
      </c>
    </row>
    <row r="754" customFormat="false" ht="14.25" hidden="true" customHeight="true" outlineLevel="0" collapsed="false">
      <c r="A754" s="16" t="s">
        <v>48</v>
      </c>
      <c r="B754" s="16" t="s">
        <v>155</v>
      </c>
      <c r="C754" s="16" t="s">
        <v>213</v>
      </c>
      <c r="D754" s="38"/>
      <c r="E754" s="39"/>
      <c r="F754" s="22" t="n">
        <f aca="false">IFERROR(D754*E754,0)</f>
        <v>0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40" t="s">
        <v>48</v>
      </c>
      <c r="B755" s="40" t="s">
        <v>155</v>
      </c>
      <c r="C755" s="40" t="s">
        <v>156</v>
      </c>
      <c r="D755" s="41" t="n">
        <v>1</v>
      </c>
      <c r="E755" s="42" t="n">
        <v>136</v>
      </c>
      <c r="F755" s="43" t="n">
        <f aca="false">IFERROR(D755*E755,0)</f>
        <v>136</v>
      </c>
      <c r="G755" s="40" t="str">
        <f aca="false">INDEX(SETORES!$B:$B,MATCH(A755,SETORES!$A:$A,0))</f>
        <v>Clientes</v>
      </c>
      <c r="H755" s="40" t="s">
        <v>11</v>
      </c>
    </row>
    <row r="756" customFormat="false" ht="14.25" hidden="true" customHeight="true" outlineLevel="0" collapsed="false">
      <c r="A756" s="16" t="s">
        <v>48</v>
      </c>
      <c r="B756" s="16" t="s">
        <v>155</v>
      </c>
      <c r="C756" s="16" t="s">
        <v>157</v>
      </c>
      <c r="D756" s="38"/>
      <c r="E756" s="39"/>
      <c r="F756" s="22" t="n">
        <f aca="false">IFERROR(D756*E756,0)</f>
        <v>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40" t="s">
        <v>48</v>
      </c>
      <c r="B757" s="40" t="s">
        <v>155</v>
      </c>
      <c r="C757" s="40" t="s">
        <v>214</v>
      </c>
      <c r="D757" s="41"/>
      <c r="E757" s="42"/>
      <c r="F757" s="43" t="n">
        <f aca="false">IFERROR(D757*E757,0)</f>
        <v>0</v>
      </c>
      <c r="G757" s="40" t="str">
        <f aca="false">INDEX(SETORES!$B:$B,MATCH(A757,SETORES!$A:$A,0))</f>
        <v>Clientes</v>
      </c>
      <c r="H757" s="40" t="s">
        <v>11</v>
      </c>
    </row>
    <row r="758" customFormat="false" ht="14.25" hidden="true" customHeight="true" outlineLevel="0" collapsed="false">
      <c r="A758" s="16" t="s">
        <v>48</v>
      </c>
      <c r="B758" s="16" t="s">
        <v>155</v>
      </c>
      <c r="C758" s="16" t="s">
        <v>202</v>
      </c>
      <c r="D758" s="38" t="n">
        <v>14</v>
      </c>
      <c r="E758" s="39" t="n">
        <v>85.71</v>
      </c>
      <c r="F758" s="22" t="n">
        <v>1199.94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40" t="s">
        <v>48</v>
      </c>
      <c r="B759" s="40" t="s">
        <v>148</v>
      </c>
      <c r="C759" s="40" t="s">
        <v>159</v>
      </c>
      <c r="D759" s="41" t="n">
        <v>19</v>
      </c>
      <c r="E759" s="42" t="n">
        <v>50</v>
      </c>
      <c r="F759" s="43" t="n">
        <f aca="false">IFERROR(D759*E759,0)</f>
        <v>950</v>
      </c>
      <c r="G759" s="40" t="str">
        <f aca="false">INDEX(SETORES!$B:$B,MATCH(A759,SETORES!$A:$A,0))</f>
        <v>Clientes</v>
      </c>
      <c r="H759" s="40" t="s">
        <v>11</v>
      </c>
    </row>
    <row r="760" customFormat="false" ht="14.25" hidden="true" customHeight="true" outlineLevel="0" collapsed="false">
      <c r="A760" s="16" t="s">
        <v>48</v>
      </c>
      <c r="B760" s="16" t="s">
        <v>148</v>
      </c>
      <c r="C760" s="16" t="s">
        <v>231</v>
      </c>
      <c r="D760" s="38" t="n">
        <v>1</v>
      </c>
      <c r="E760" s="39" t="n">
        <v>153.58</v>
      </c>
      <c r="F760" s="22" t="n">
        <f aca="false">IFERROR(D760*E760,0)</f>
        <v>153.58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40" t="s">
        <v>48</v>
      </c>
      <c r="B761" s="40" t="s">
        <v>148</v>
      </c>
      <c r="C761" s="40" t="s">
        <v>160</v>
      </c>
      <c r="D761" s="41" t="n">
        <v>14</v>
      </c>
      <c r="E761" s="42" t="n">
        <v>9.85</v>
      </c>
      <c r="F761" s="43" t="n">
        <v>137.9</v>
      </c>
      <c r="G761" s="40" t="str">
        <f aca="false">INDEX(SETORES!$B:$B,MATCH(A761,SETORES!$A:$A,0))</f>
        <v>Clientes</v>
      </c>
      <c r="H761" s="40" t="s">
        <v>11</v>
      </c>
    </row>
    <row r="762" customFormat="false" ht="14.25" hidden="true" customHeight="true" outlineLevel="0" collapsed="false">
      <c r="A762" s="16" t="s">
        <v>48</v>
      </c>
      <c r="B762" s="16" t="s">
        <v>148</v>
      </c>
      <c r="C762" s="16" t="s">
        <v>161</v>
      </c>
      <c r="D762" s="38" t="n">
        <v>14</v>
      </c>
      <c r="E762" s="39" t="n">
        <v>2.04</v>
      </c>
      <c r="F762" s="22" t="n">
        <v>28.56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40" t="s">
        <v>47</v>
      </c>
      <c r="B763" s="40" t="s">
        <v>148</v>
      </c>
      <c r="C763" s="40" t="s">
        <v>149</v>
      </c>
      <c r="D763" s="41"/>
      <c r="E763" s="42"/>
      <c r="F763" s="43" t="n">
        <v>0</v>
      </c>
      <c r="G763" s="40" t="str">
        <f aca="false">INDEX(SETORES!$B:$B,MATCH(A763,SETORES!$A:$A,0))</f>
        <v>Clientes</v>
      </c>
      <c r="H763" s="40" t="s">
        <v>11</v>
      </c>
    </row>
    <row r="764" customFormat="false" ht="14.25" hidden="true" customHeight="true" outlineLevel="0" collapsed="false">
      <c r="A764" s="16" t="s">
        <v>47</v>
      </c>
      <c r="B764" s="16" t="s">
        <v>148</v>
      </c>
      <c r="C764" s="16" t="s">
        <v>150</v>
      </c>
      <c r="D764" s="38"/>
      <c r="E764" s="39"/>
      <c r="F764" s="22" t="n">
        <v>0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40" t="s">
        <v>47</v>
      </c>
      <c r="B765" s="40" t="s">
        <v>148</v>
      </c>
      <c r="C765" s="40" t="s">
        <v>153</v>
      </c>
      <c r="D765" s="41"/>
      <c r="E765" s="42"/>
      <c r="F765" s="43" t="n">
        <f aca="false">IFERROR(D765*E765,0)</f>
        <v>0</v>
      </c>
      <c r="G765" s="40" t="str">
        <f aca="false">INDEX(SETORES!$B:$B,MATCH(A765,SETORES!$A:$A,0))</f>
        <v>Clientes</v>
      </c>
      <c r="H765" s="40" t="s">
        <v>11</v>
      </c>
    </row>
    <row r="766" customFormat="false" ht="14.25" hidden="true" customHeight="true" outlineLevel="0" collapsed="false">
      <c r="A766" s="16" t="s">
        <v>47</v>
      </c>
      <c r="B766" s="16" t="s">
        <v>148</v>
      </c>
      <c r="C766" s="16" t="s">
        <v>154</v>
      </c>
      <c r="D766" s="38" t="n">
        <v>1</v>
      </c>
      <c r="E766" s="39" t="n">
        <v>112868.09</v>
      </c>
      <c r="F766" s="22" t="n">
        <f aca="false">IFERROR(E766,0)</f>
        <v>112868.09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40" t="s">
        <v>47</v>
      </c>
      <c r="B767" s="40" t="s">
        <v>155</v>
      </c>
      <c r="C767" s="40" t="s">
        <v>211</v>
      </c>
      <c r="D767" s="41"/>
      <c r="E767" s="42"/>
      <c r="F767" s="43" t="n">
        <f aca="false">IFERROR(D767*E767,0)</f>
        <v>0</v>
      </c>
      <c r="G767" s="40" t="str">
        <f aca="false">INDEX(SETORES!$B:$B,MATCH(A767,SETORES!$A:$A,0))</f>
        <v>Clientes</v>
      </c>
      <c r="H767" s="40" t="s">
        <v>11</v>
      </c>
    </row>
    <row r="768" customFormat="false" ht="14.25" hidden="true" customHeight="true" outlineLevel="0" collapsed="false">
      <c r="A768" s="16" t="s">
        <v>47</v>
      </c>
      <c r="B768" s="16" t="s">
        <v>155</v>
      </c>
      <c r="C768" s="16" t="s">
        <v>214</v>
      </c>
      <c r="D768" s="38" t="n">
        <v>1</v>
      </c>
      <c r="E768" s="39" t="n">
        <v>250</v>
      </c>
      <c r="F768" s="22" t="n">
        <f aca="false">IFERROR(D768*E768,0)</f>
        <v>250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40" t="s">
        <v>47</v>
      </c>
      <c r="B769" s="40" t="s">
        <v>148</v>
      </c>
      <c r="C769" s="40" t="s">
        <v>159</v>
      </c>
      <c r="D769" s="41" t="n">
        <v>1</v>
      </c>
      <c r="E769" s="42" t="n">
        <v>50</v>
      </c>
      <c r="F769" s="43" t="n">
        <f aca="false">IFERROR(D769*E769,0)</f>
        <v>50</v>
      </c>
      <c r="G769" s="40" t="str">
        <f aca="false">INDEX(SETORES!$B:$B,MATCH(A769,SETORES!$A:$A,0))</f>
        <v>Clientes</v>
      </c>
      <c r="H769" s="40" t="s">
        <v>11</v>
      </c>
    </row>
    <row r="770" customFormat="false" ht="14.25" hidden="true" customHeight="true" outlineLevel="0" collapsed="false">
      <c r="A770" s="16" t="s">
        <v>47</v>
      </c>
      <c r="B770" s="16" t="s">
        <v>155</v>
      </c>
      <c r="C770" s="16" t="s">
        <v>210</v>
      </c>
      <c r="D770" s="38" t="n">
        <v>1</v>
      </c>
      <c r="E770" s="39" t="n">
        <v>11996.86</v>
      </c>
      <c r="F770" s="22" t="n">
        <f aca="false">IFERROR(D770*E770,0)</f>
        <v>11996.86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40" t="s">
        <v>47</v>
      </c>
      <c r="B771" s="40" t="s">
        <v>148</v>
      </c>
      <c r="C771" s="40" t="s">
        <v>160</v>
      </c>
      <c r="D771" s="41" t="n">
        <v>12</v>
      </c>
      <c r="E771" s="42" t="n">
        <v>9.85</v>
      </c>
      <c r="F771" s="43" t="n">
        <f aca="false">IFERROR(D771*E771,0)</f>
        <v>118.2</v>
      </c>
      <c r="G771" s="40" t="str">
        <f aca="false">INDEX(SETORES!$B:$B,MATCH(A771,SETORES!$A:$A,0))</f>
        <v>Clientes</v>
      </c>
      <c r="H771" s="40" t="s">
        <v>11</v>
      </c>
    </row>
    <row r="772" customFormat="false" ht="14.25" hidden="true" customHeight="true" outlineLevel="0" collapsed="false">
      <c r="A772" s="16" t="s">
        <v>47</v>
      </c>
      <c r="B772" s="16" t="s">
        <v>148</v>
      </c>
      <c r="C772" s="16" t="s">
        <v>161</v>
      </c>
      <c r="D772" s="38" t="n">
        <v>12</v>
      </c>
      <c r="E772" s="39" t="n">
        <v>2.04</v>
      </c>
      <c r="F772" s="22" t="n">
        <f aca="false">IFERROR(D772*E772,0)</f>
        <v>24.48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40" t="s">
        <v>31</v>
      </c>
      <c r="B773" s="40" t="s">
        <v>148</v>
      </c>
      <c r="C773" s="40" t="s">
        <v>149</v>
      </c>
      <c r="D773" s="41" t="n">
        <v>1</v>
      </c>
      <c r="E773" s="42" t="n">
        <v>14</v>
      </c>
      <c r="F773" s="43" t="n">
        <v>14</v>
      </c>
      <c r="G773" s="40" t="str">
        <f aca="false">INDEX(SETORES!$B:$B,MATCH(A773,SETORES!$A:$A,0))</f>
        <v>Clientes</v>
      </c>
      <c r="H773" s="40" t="s">
        <v>11</v>
      </c>
    </row>
    <row r="774" customFormat="false" ht="14.25" hidden="true" customHeight="true" outlineLevel="0" collapsed="false">
      <c r="A774" s="16" t="s">
        <v>31</v>
      </c>
      <c r="B774" s="16" t="s">
        <v>148</v>
      </c>
      <c r="C774" s="16" t="s">
        <v>150</v>
      </c>
      <c r="D774" s="38" t="n">
        <v>1</v>
      </c>
      <c r="E774" s="39" t="n">
        <v>190.78</v>
      </c>
      <c r="F774" s="22" t="n">
        <v>190.78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40" t="s">
        <v>31</v>
      </c>
      <c r="B775" s="40" t="s">
        <v>148</v>
      </c>
      <c r="C775" s="40" t="s">
        <v>151</v>
      </c>
      <c r="D775" s="41" t="n">
        <v>1</v>
      </c>
      <c r="E775" s="42" t="n">
        <v>43.7861</v>
      </c>
      <c r="F775" s="43" t="n">
        <v>43.7861</v>
      </c>
      <c r="G775" s="40" t="str">
        <f aca="false">INDEX(SETORES!$B:$B,MATCH(A775,SETORES!$A:$A,0))</f>
        <v>Clientes</v>
      </c>
      <c r="H775" s="40" t="s">
        <v>11</v>
      </c>
    </row>
    <row r="776" customFormat="false" ht="14.25" hidden="true" customHeight="true" outlineLevel="0" collapsed="false">
      <c r="A776" s="16" t="s">
        <v>31</v>
      </c>
      <c r="B776" s="16" t="s">
        <v>148</v>
      </c>
      <c r="C776" s="16" t="s">
        <v>152</v>
      </c>
      <c r="D776" s="38" t="n">
        <v>1</v>
      </c>
      <c r="E776" s="39" t="n">
        <v>0.125</v>
      </c>
      <c r="F776" s="22" t="n">
        <v>0.125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40" t="s">
        <v>31</v>
      </c>
      <c r="B777" s="40" t="s">
        <v>148</v>
      </c>
      <c r="C777" s="40" t="s">
        <v>153</v>
      </c>
      <c r="D777" s="41"/>
      <c r="E777" s="42"/>
      <c r="F777" s="43" t="n">
        <f aca="false">IFERROR(D777*E777,0)</f>
        <v>0</v>
      </c>
      <c r="G777" s="40" t="str">
        <f aca="false">INDEX(SETORES!$B:$B,MATCH(A777,SETORES!$A:$A,0))</f>
        <v>Clientes</v>
      </c>
      <c r="H777" s="40" t="s">
        <v>11</v>
      </c>
    </row>
    <row r="778" customFormat="false" ht="14.25" hidden="true" customHeight="true" outlineLevel="0" collapsed="false">
      <c r="A778" s="16" t="s">
        <v>31</v>
      </c>
      <c r="B778" s="16" t="s">
        <v>148</v>
      </c>
      <c r="C778" s="16" t="s">
        <v>154</v>
      </c>
      <c r="D778" s="38" t="n">
        <v>1</v>
      </c>
      <c r="E778" s="39" t="n">
        <v>61181.18</v>
      </c>
      <c r="F778" s="22" t="n">
        <f aca="false">IFERROR(E778,0)</f>
        <v>61181.18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40" t="s">
        <v>31</v>
      </c>
      <c r="B779" s="40" t="s">
        <v>148</v>
      </c>
      <c r="C779" s="40" t="s">
        <v>159</v>
      </c>
      <c r="D779" s="41" t="n">
        <v>5</v>
      </c>
      <c r="E779" s="42" t="n">
        <v>50</v>
      </c>
      <c r="F779" s="43" t="n">
        <f aca="false">IFERROR(D779*E779,0)</f>
        <v>250</v>
      </c>
      <c r="G779" s="40" t="str">
        <f aca="false">INDEX(SETORES!$B:$B,MATCH(A779,SETORES!$A:$A,0))</f>
        <v>Clientes</v>
      </c>
      <c r="H779" s="40" t="s">
        <v>11</v>
      </c>
    </row>
    <row r="780" customFormat="false" ht="14.25" hidden="true" customHeight="true" outlineLevel="0" collapsed="false">
      <c r="A780" s="16" t="s">
        <v>31</v>
      </c>
      <c r="B780" s="16" t="s">
        <v>155</v>
      </c>
      <c r="C780" s="16" t="s">
        <v>210</v>
      </c>
      <c r="D780" s="38" t="n">
        <v>1</v>
      </c>
      <c r="E780" s="39" t="n">
        <v>1905.53</v>
      </c>
      <c r="F780" s="22" t="n">
        <f aca="false">IFERROR(D780*E780,0)</f>
        <v>1905.53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40" t="s">
        <v>31</v>
      </c>
      <c r="B781" s="40" t="s">
        <v>148</v>
      </c>
      <c r="C781" s="40" t="s">
        <v>160</v>
      </c>
      <c r="D781" s="41" t="n">
        <v>5</v>
      </c>
      <c r="E781" s="42" t="n">
        <v>9.85</v>
      </c>
      <c r="F781" s="43" t="n">
        <f aca="false">IFERROR(D781*E781,0)</f>
        <v>49.25</v>
      </c>
      <c r="G781" s="40" t="str">
        <f aca="false">INDEX(SETORES!$B:$B,MATCH(A781,SETORES!$A:$A,0))</f>
        <v>Clientes</v>
      </c>
      <c r="H781" s="40" t="s">
        <v>11</v>
      </c>
    </row>
    <row r="782" customFormat="false" ht="14.25" hidden="true" customHeight="true" outlineLevel="0" collapsed="false">
      <c r="A782" s="16" t="s">
        <v>31</v>
      </c>
      <c r="B782" s="16" t="s">
        <v>148</v>
      </c>
      <c r="C782" s="16" t="s">
        <v>161</v>
      </c>
      <c r="D782" s="38" t="n">
        <v>5</v>
      </c>
      <c r="E782" s="39" t="n">
        <v>2.04</v>
      </c>
      <c r="F782" s="22" t="n">
        <f aca="false">IFERROR(D782*E782,0)</f>
        <v>10.2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40" t="s">
        <v>37</v>
      </c>
      <c r="B783" s="40" t="s">
        <v>148</v>
      </c>
      <c r="C783" s="40" t="s">
        <v>149</v>
      </c>
      <c r="D783" s="41" t="n">
        <v>44</v>
      </c>
      <c r="E783" s="42" t="n">
        <v>0.2641</v>
      </c>
      <c r="F783" s="43" t="n">
        <v>11.6204</v>
      </c>
      <c r="G783" s="40" t="str">
        <f aca="false">INDEX(SETORES!$B:$B,MATCH(A783,SETORES!$A:$A,0))</f>
        <v>Clientes</v>
      </c>
      <c r="H783" s="40" t="s">
        <v>11</v>
      </c>
    </row>
    <row r="784" customFormat="false" ht="14.25" hidden="true" customHeight="true" outlineLevel="0" collapsed="false">
      <c r="A784" s="16" t="s">
        <v>37</v>
      </c>
      <c r="B784" s="16" t="s">
        <v>148</v>
      </c>
      <c r="C784" s="16" t="s">
        <v>150</v>
      </c>
      <c r="D784" s="38" t="n">
        <v>1</v>
      </c>
      <c r="E784" s="39" t="n">
        <v>2708.935738</v>
      </c>
      <c r="F784" s="22" t="n">
        <v>2708.935738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40" t="s">
        <v>37</v>
      </c>
      <c r="B785" s="40" t="s">
        <v>148</v>
      </c>
      <c r="C785" s="40" t="s">
        <v>151</v>
      </c>
      <c r="D785" s="41" t="n">
        <v>1</v>
      </c>
      <c r="E785" s="42" t="n">
        <v>385.3175</v>
      </c>
      <c r="F785" s="43" t="n">
        <v>385.3175</v>
      </c>
      <c r="G785" s="40" t="str">
        <f aca="false">INDEX(SETORES!$B:$B,MATCH(A785,SETORES!$A:$A,0))</f>
        <v>Clientes</v>
      </c>
      <c r="H785" s="40" t="s">
        <v>11</v>
      </c>
    </row>
    <row r="786" customFormat="false" ht="14.25" hidden="true" customHeight="true" outlineLevel="0" collapsed="false">
      <c r="A786" s="16" t="s">
        <v>37</v>
      </c>
      <c r="B786" s="16" t="s">
        <v>148</v>
      </c>
      <c r="C786" s="16" t="s">
        <v>152</v>
      </c>
      <c r="D786" s="38" t="n">
        <v>1</v>
      </c>
      <c r="E786" s="39" t="n">
        <v>1.1</v>
      </c>
      <c r="F786" s="22" t="n">
        <v>1.1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40" t="s">
        <v>37</v>
      </c>
      <c r="B787" s="40" t="s">
        <v>148</v>
      </c>
      <c r="C787" s="40" t="s">
        <v>153</v>
      </c>
      <c r="D787" s="41"/>
      <c r="E787" s="42"/>
      <c r="F787" s="43" t="n">
        <f aca="false">IFERROR(D787*E787,0)</f>
        <v>0</v>
      </c>
      <c r="G787" s="40" t="str">
        <f aca="false">INDEX(SETORES!$B:$B,MATCH(A787,SETORES!$A:$A,0))</f>
        <v>Clientes</v>
      </c>
      <c r="H787" s="40" t="s">
        <v>11</v>
      </c>
    </row>
    <row r="788" customFormat="false" ht="14.25" hidden="true" customHeight="true" outlineLevel="0" collapsed="false">
      <c r="A788" s="16" t="s">
        <v>37</v>
      </c>
      <c r="B788" s="16" t="s">
        <v>148</v>
      </c>
      <c r="C788" s="16" t="s">
        <v>154</v>
      </c>
      <c r="D788" s="38" t="n">
        <v>1</v>
      </c>
      <c r="E788" s="39" t="n">
        <v>151070.37</v>
      </c>
      <c r="F788" s="22" t="n">
        <f aca="false">IFERROR(E788,0)</f>
        <v>151070.37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40" t="s">
        <v>37</v>
      </c>
      <c r="B789" s="40" t="s">
        <v>148</v>
      </c>
      <c r="C789" s="40" t="s">
        <v>216</v>
      </c>
      <c r="D789" s="41"/>
      <c r="E789" s="42"/>
      <c r="F789" s="43" t="n">
        <f aca="false">IFERROR(D789*E789,0)</f>
        <v>0</v>
      </c>
      <c r="G789" s="40" t="str">
        <f aca="false">INDEX(SETORES!$B:$B,MATCH(A789,SETORES!$A:$A,0))</f>
        <v>Clientes</v>
      </c>
      <c r="H789" s="40" t="s">
        <v>11</v>
      </c>
    </row>
    <row r="790" customFormat="false" ht="14.25" hidden="true" customHeight="true" outlineLevel="0" collapsed="false">
      <c r="A790" s="16" t="s">
        <v>37</v>
      </c>
      <c r="B790" s="16" t="s">
        <v>155</v>
      </c>
      <c r="C790" s="16" t="s">
        <v>156</v>
      </c>
      <c r="D790" s="38" t="n">
        <v>1</v>
      </c>
      <c r="E790" s="39" t="n">
        <v>496</v>
      </c>
      <c r="F790" s="22" t="n">
        <f aca="false">IFERROR(D790*E790,0)</f>
        <v>496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40" t="s">
        <v>37</v>
      </c>
      <c r="B791" s="40" t="s">
        <v>155</v>
      </c>
      <c r="C791" s="40" t="s">
        <v>157</v>
      </c>
      <c r="D791" s="41" t="n">
        <v>1</v>
      </c>
      <c r="E791" s="42" t="n">
        <v>65.33</v>
      </c>
      <c r="F791" s="43" t="n">
        <f aca="false">IFERROR(D791*E791,0)</f>
        <v>65.33</v>
      </c>
      <c r="G791" s="40" t="str">
        <f aca="false">INDEX(SETORES!$B:$B,MATCH(A791,SETORES!$A:$A,0))</f>
        <v>Clientes</v>
      </c>
      <c r="H791" s="40" t="s">
        <v>11</v>
      </c>
    </row>
    <row r="792" customFormat="false" ht="14.25" hidden="true" customHeight="true" outlineLevel="0" collapsed="false">
      <c r="A792" s="16" t="s">
        <v>37</v>
      </c>
      <c r="B792" s="16" t="s">
        <v>155</v>
      </c>
      <c r="C792" s="16" t="s">
        <v>215</v>
      </c>
      <c r="D792" s="38" t="n">
        <v>1</v>
      </c>
      <c r="E792" s="39" t="n">
        <v>3112.37</v>
      </c>
      <c r="F792" s="22" t="n">
        <f aca="false">IFERROR(D792*E792,0)</f>
        <v>3112.37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40" t="s">
        <v>37</v>
      </c>
      <c r="B793" s="40" t="s">
        <v>148</v>
      </c>
      <c r="C793" s="40" t="s">
        <v>159</v>
      </c>
      <c r="D793" s="41" t="n">
        <v>47</v>
      </c>
      <c r="E793" s="42" t="n">
        <v>50</v>
      </c>
      <c r="F793" s="43" t="n">
        <f aca="false">IFERROR(D793*E793,0)</f>
        <v>2350</v>
      </c>
      <c r="G793" s="40" t="str">
        <f aca="false">INDEX(SETORES!$B:$B,MATCH(A793,SETORES!$A:$A,0))</f>
        <v>Clientes</v>
      </c>
      <c r="H793" s="40" t="s">
        <v>11</v>
      </c>
    </row>
    <row r="794" customFormat="false" ht="14.25" hidden="true" customHeight="true" outlineLevel="0" collapsed="false">
      <c r="A794" s="16" t="s">
        <v>37</v>
      </c>
      <c r="B794" s="16" t="s">
        <v>148</v>
      </c>
      <c r="C794" s="16" t="s">
        <v>180</v>
      </c>
      <c r="D794" s="38" t="n">
        <v>1</v>
      </c>
      <c r="E794" s="39" t="n">
        <v>2435.082628</v>
      </c>
      <c r="F794" s="22" t="n">
        <f aca="false">IFERROR(D794*E794,0)</f>
        <v>2435.082628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40" t="s">
        <v>37</v>
      </c>
      <c r="B795" s="40" t="s">
        <v>148</v>
      </c>
      <c r="C795" s="40" t="s">
        <v>233</v>
      </c>
      <c r="D795" s="41" t="n">
        <v>1</v>
      </c>
      <c r="E795" s="42" t="n">
        <v>9.232784</v>
      </c>
      <c r="F795" s="43" t="n">
        <f aca="false">IFERROR(D795*E795,0)</f>
        <v>9.232784</v>
      </c>
      <c r="G795" s="40" t="str">
        <f aca="false">INDEX(SETORES!$B:$B,MATCH(A795,SETORES!$A:$A,0))</f>
        <v>Clientes</v>
      </c>
      <c r="H795" s="40" t="s">
        <v>11</v>
      </c>
    </row>
    <row r="796" customFormat="false" ht="14.25" hidden="true" customHeight="true" outlineLevel="0" collapsed="false">
      <c r="A796" s="16" t="s">
        <v>37</v>
      </c>
      <c r="B796" s="16" t="s">
        <v>148</v>
      </c>
      <c r="C796" s="16" t="s">
        <v>160</v>
      </c>
      <c r="D796" s="38" t="n">
        <v>44</v>
      </c>
      <c r="E796" s="39" t="n">
        <v>9.85</v>
      </c>
      <c r="F796" s="22" t="n">
        <f aca="false">IFERROR(D796*E796,0)</f>
        <v>433.4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40" t="s">
        <v>37</v>
      </c>
      <c r="B797" s="40" t="s">
        <v>148</v>
      </c>
      <c r="C797" s="40" t="s">
        <v>161</v>
      </c>
      <c r="D797" s="41" t="n">
        <v>44</v>
      </c>
      <c r="E797" s="42" t="n">
        <v>2.04</v>
      </c>
      <c r="F797" s="43" t="n">
        <f aca="false">IFERROR(D797*E797,0)</f>
        <v>89.76</v>
      </c>
      <c r="G797" s="40" t="str">
        <f aca="false">INDEX(SETORES!$B:$B,MATCH(A797,SETORES!$A:$A,0))</f>
        <v>Clientes</v>
      </c>
      <c r="H797" s="40" t="s">
        <v>11</v>
      </c>
    </row>
    <row r="798" customFormat="false" ht="14.25" hidden="true" customHeight="true" outlineLevel="0" collapsed="false">
      <c r="A798" s="16" t="s">
        <v>46</v>
      </c>
      <c r="B798" s="16" t="s">
        <v>148</v>
      </c>
      <c r="C798" s="16" t="s">
        <v>149</v>
      </c>
      <c r="D798" s="38"/>
      <c r="E798" s="39"/>
      <c r="F798" s="22" t="n">
        <v>0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40" t="s">
        <v>46</v>
      </c>
      <c r="B799" s="40" t="s">
        <v>148</v>
      </c>
      <c r="C799" s="40" t="s">
        <v>150</v>
      </c>
      <c r="D799" s="41"/>
      <c r="E799" s="42"/>
      <c r="F799" s="43" t="n">
        <v>0</v>
      </c>
      <c r="G799" s="40" t="str">
        <f aca="false">INDEX(SETORES!$B:$B,MATCH(A799,SETORES!$A:$A,0))</f>
        <v>Clientes</v>
      </c>
      <c r="H799" s="40" t="s">
        <v>11</v>
      </c>
    </row>
    <row r="800" customFormat="false" ht="14.25" hidden="true" customHeight="true" outlineLevel="0" collapsed="false">
      <c r="A800" s="16" t="s">
        <v>46</v>
      </c>
      <c r="B800" s="16" t="s">
        <v>148</v>
      </c>
      <c r="C800" s="16" t="s">
        <v>153</v>
      </c>
      <c r="D800" s="38"/>
      <c r="E800" s="39"/>
      <c r="F800" s="22" t="n">
        <f aca="false">IFERROR(D800*E800,0)</f>
        <v>0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40" t="s">
        <v>46</v>
      </c>
      <c r="B801" s="40" t="s">
        <v>148</v>
      </c>
      <c r="C801" s="40" t="s">
        <v>154</v>
      </c>
      <c r="D801" s="41" t="n">
        <v>1</v>
      </c>
      <c r="E801" s="42" t="n">
        <v>162051.25</v>
      </c>
      <c r="F801" s="43" t="n">
        <f aca="false">IFERROR(E801,0)</f>
        <v>162051.25</v>
      </c>
      <c r="G801" s="40" t="str">
        <f aca="false">INDEX(SETORES!$B:$B,MATCH(A801,SETORES!$A:$A,0))</f>
        <v>Clientes</v>
      </c>
      <c r="H801" s="40" t="s">
        <v>11</v>
      </c>
    </row>
    <row r="802" customFormat="false" ht="14.25" hidden="true" customHeight="true" outlineLevel="0" collapsed="false">
      <c r="A802" s="16" t="s">
        <v>46</v>
      </c>
      <c r="B802" s="16" t="s">
        <v>155</v>
      </c>
      <c r="C802" s="16" t="s">
        <v>211</v>
      </c>
      <c r="D802" s="38"/>
      <c r="E802" s="39"/>
      <c r="F802" s="22" t="n">
        <f aca="false">IFERROR(D802*E802,0)</f>
        <v>0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40" t="s">
        <v>46</v>
      </c>
      <c r="B803" s="40" t="s">
        <v>155</v>
      </c>
      <c r="C803" s="40" t="s">
        <v>214</v>
      </c>
      <c r="D803" s="41" t="n">
        <v>1</v>
      </c>
      <c r="E803" s="42" t="n">
        <v>160</v>
      </c>
      <c r="F803" s="43" t="n">
        <f aca="false">IFERROR(D803*E803,0)</f>
        <v>160</v>
      </c>
      <c r="G803" s="40" t="str">
        <f aca="false">INDEX(SETORES!$B:$B,MATCH(A803,SETORES!$A:$A,0))</f>
        <v>Clientes</v>
      </c>
      <c r="H803" s="40" t="s">
        <v>11</v>
      </c>
    </row>
    <row r="804" customFormat="false" ht="14.25" hidden="true" customHeight="true" outlineLevel="0" collapsed="false">
      <c r="A804" s="16" t="s">
        <v>46</v>
      </c>
      <c r="B804" s="16" t="s">
        <v>155</v>
      </c>
      <c r="C804" s="16" t="s">
        <v>215</v>
      </c>
      <c r="D804" s="38" t="n">
        <v>1</v>
      </c>
      <c r="E804" s="39" t="n">
        <v>7468.78</v>
      </c>
      <c r="F804" s="22" t="n">
        <f aca="false">IFERROR(D804*E804,0)</f>
        <v>7468.78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40" t="s">
        <v>46</v>
      </c>
      <c r="B805" s="40" t="s">
        <v>148</v>
      </c>
      <c r="C805" s="40" t="s">
        <v>159</v>
      </c>
      <c r="D805" s="41"/>
      <c r="E805" s="42"/>
      <c r="F805" s="43" t="n">
        <f aca="false">IFERROR(D805*E805,0)</f>
        <v>0</v>
      </c>
      <c r="G805" s="40" t="str">
        <f aca="false">INDEX(SETORES!$B:$B,MATCH(A805,SETORES!$A:$A,0))</f>
        <v>Clientes</v>
      </c>
      <c r="H805" s="40" t="s">
        <v>11</v>
      </c>
    </row>
    <row r="806" customFormat="false" ht="14.25" hidden="true" customHeight="true" outlineLevel="0" collapsed="false">
      <c r="A806" s="16" t="s">
        <v>46</v>
      </c>
      <c r="B806" s="16" t="s">
        <v>155</v>
      </c>
      <c r="C806" s="16" t="s">
        <v>210</v>
      </c>
      <c r="D806" s="38" t="n">
        <v>1</v>
      </c>
      <c r="E806" s="39" t="n">
        <v>10448.85</v>
      </c>
      <c r="F806" s="22" t="n">
        <f aca="false">IFERROR(D806*E806,0)</f>
        <v>10448.85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40" t="s">
        <v>46</v>
      </c>
      <c r="B807" s="40" t="s">
        <v>148</v>
      </c>
      <c r="C807" s="40" t="s">
        <v>160</v>
      </c>
      <c r="D807" s="41" t="n">
        <v>24</v>
      </c>
      <c r="E807" s="42" t="n">
        <v>9.85</v>
      </c>
      <c r="F807" s="43" t="n">
        <f aca="false">IFERROR(D807*E807,0)</f>
        <v>236.4</v>
      </c>
      <c r="G807" s="40" t="str">
        <f aca="false">INDEX(SETORES!$B:$B,MATCH(A807,SETORES!$A:$A,0))</f>
        <v>Clientes</v>
      </c>
      <c r="H807" s="40" t="s">
        <v>11</v>
      </c>
    </row>
    <row r="808" customFormat="false" ht="14.25" hidden="true" customHeight="true" outlineLevel="0" collapsed="false">
      <c r="A808" s="16" t="s">
        <v>46</v>
      </c>
      <c r="B808" s="16" t="s">
        <v>148</v>
      </c>
      <c r="C808" s="16" t="s">
        <v>161</v>
      </c>
      <c r="D808" s="38" t="n">
        <v>24</v>
      </c>
      <c r="E808" s="39" t="n">
        <v>2.04</v>
      </c>
      <c r="F808" s="22" t="n">
        <f aca="false">IFERROR(D808*E808,0)</f>
        <v>48.96</v>
      </c>
      <c r="G808" s="16" t="str">
        <f aca="false">INDEX(SETORES!$B:$B,MATCH(A808,SETORES!$A:$A,0))</f>
        <v>Clientes</v>
      </c>
      <c r="H808" s="16" t="s">
        <v>11</v>
      </c>
    </row>
    <row r="809" customFormat="false" ht="14.25" hidden="true" customHeight="true" outlineLevel="0" collapsed="false">
      <c r="A809" s="40" t="s">
        <v>49</v>
      </c>
      <c r="B809" s="40" t="s">
        <v>148</v>
      </c>
      <c r="C809" s="40" t="s">
        <v>149</v>
      </c>
      <c r="D809" s="41"/>
      <c r="E809" s="42"/>
      <c r="F809" s="43" t="n">
        <v>0</v>
      </c>
      <c r="G809" s="40" t="str">
        <f aca="false">INDEX(SETORES!$B:$B,MATCH(A809,SETORES!$A:$A,0))</f>
        <v>Clientes</v>
      </c>
      <c r="H809" s="40" t="s">
        <v>11</v>
      </c>
    </row>
    <row r="810" customFormat="false" ht="14.25" hidden="true" customHeight="true" outlineLevel="0" collapsed="false">
      <c r="A810" s="16" t="s">
        <v>49</v>
      </c>
      <c r="B810" s="16" t="s">
        <v>148</v>
      </c>
      <c r="C810" s="16" t="s">
        <v>150</v>
      </c>
      <c r="D810" s="38" t="n">
        <v>1</v>
      </c>
      <c r="E810" s="39" t="n">
        <v>710.95</v>
      </c>
      <c r="F810" s="22" t="n">
        <v>710.95</v>
      </c>
      <c r="G810" s="16" t="str">
        <f aca="false">INDEX(SETORES!$B:$B,MATCH(A810,SETORES!$A:$A,0))</f>
        <v>Clientes</v>
      </c>
      <c r="H810" s="16" t="s">
        <v>11</v>
      </c>
    </row>
    <row r="811" customFormat="false" ht="14.25" hidden="true" customHeight="true" outlineLevel="0" collapsed="false">
      <c r="A811" s="40" t="s">
        <v>49</v>
      </c>
      <c r="B811" s="40" t="s">
        <v>148</v>
      </c>
      <c r="C811" s="40" t="s">
        <v>217</v>
      </c>
      <c r="D811" s="41" t="n">
        <v>1</v>
      </c>
      <c r="E811" s="42" t="n">
        <v>1800</v>
      </c>
      <c r="F811" s="43" t="n">
        <f aca="false">IFERROR(D811*E811,0)</f>
        <v>1800</v>
      </c>
      <c r="G811" s="40" t="str">
        <f aca="false">INDEX(SETORES!$B:$B,MATCH(A811,SETORES!$A:$A,0))</f>
        <v>Clientes</v>
      </c>
      <c r="H811" s="40" t="s">
        <v>11</v>
      </c>
    </row>
    <row r="812" customFormat="false" ht="14.25" hidden="true" customHeight="true" outlineLevel="0" collapsed="false">
      <c r="A812" s="16" t="s">
        <v>49</v>
      </c>
      <c r="B812" s="16" t="s">
        <v>148</v>
      </c>
      <c r="C812" s="16" t="s">
        <v>151</v>
      </c>
      <c r="D812" s="38" t="n">
        <v>4</v>
      </c>
      <c r="E812" s="39" t="n">
        <v>23.6877</v>
      </c>
      <c r="F812" s="22" t="n">
        <v>94.7508</v>
      </c>
      <c r="G812" s="16" t="str">
        <f aca="false">INDEX(SETORES!$B:$B,MATCH(A812,SETORES!$A:$A,0))</f>
        <v>Clientes</v>
      </c>
      <c r="H812" s="16" t="s">
        <v>11</v>
      </c>
    </row>
    <row r="813" customFormat="false" ht="14.25" hidden="true" customHeight="true" outlineLevel="0" collapsed="false">
      <c r="A813" s="40" t="s">
        <v>49</v>
      </c>
      <c r="B813" s="40" t="s">
        <v>148</v>
      </c>
      <c r="C813" s="40" t="s">
        <v>153</v>
      </c>
      <c r="D813" s="41"/>
      <c r="E813" s="42"/>
      <c r="F813" s="43" t="n">
        <f aca="false">IFERROR(D813*E813,0)</f>
        <v>0</v>
      </c>
      <c r="G813" s="40" t="str">
        <f aca="false">INDEX(SETORES!$B:$B,MATCH(A813,SETORES!$A:$A,0))</f>
        <v>Clientes</v>
      </c>
      <c r="H813" s="40" t="s">
        <v>11</v>
      </c>
    </row>
    <row r="814" customFormat="false" ht="14.25" hidden="true" customHeight="true" outlineLevel="0" collapsed="false">
      <c r="A814" s="16" t="s">
        <v>49</v>
      </c>
      <c r="B814" s="16" t="s">
        <v>148</v>
      </c>
      <c r="C814" s="16" t="s">
        <v>154</v>
      </c>
      <c r="D814" s="38" t="n">
        <v>1</v>
      </c>
      <c r="E814" s="39" t="n">
        <v>26444.83</v>
      </c>
      <c r="F814" s="22" t="n">
        <f aca="false">IFERROR(E814,0)</f>
        <v>26444.83</v>
      </c>
      <c r="G814" s="16" t="str">
        <f aca="false">INDEX(SETORES!$B:$B,MATCH(A814,SETORES!$A:$A,0))</f>
        <v>Clientes</v>
      </c>
      <c r="H814" s="16" t="s">
        <v>11</v>
      </c>
    </row>
    <row r="815" customFormat="false" ht="14.25" hidden="true" customHeight="true" outlineLevel="0" collapsed="false">
      <c r="A815" s="40" t="s">
        <v>49</v>
      </c>
      <c r="B815" s="40" t="s">
        <v>155</v>
      </c>
      <c r="C815" s="40" t="s">
        <v>210</v>
      </c>
      <c r="D815" s="41"/>
      <c r="E815" s="42"/>
      <c r="F815" s="43" t="n">
        <f aca="false">IFERROR(D815*E815,0)</f>
        <v>0</v>
      </c>
      <c r="G815" s="40" t="str">
        <f aca="false">INDEX(SETORES!$B:$B,MATCH(A815,SETORES!$A:$A,0))</f>
        <v>Clientes</v>
      </c>
      <c r="H815" s="40" t="s">
        <v>11</v>
      </c>
    </row>
    <row r="816" customFormat="false" ht="14.25" hidden="true" customHeight="true" outlineLevel="0" collapsed="false">
      <c r="A816" s="16" t="s">
        <v>49</v>
      </c>
      <c r="B816" s="16" t="s">
        <v>155</v>
      </c>
      <c r="C816" s="16" t="s">
        <v>213</v>
      </c>
      <c r="D816" s="38"/>
      <c r="E816" s="39"/>
      <c r="F816" s="22" t="n">
        <f aca="false">IFERROR(D816*E816,0)</f>
        <v>0</v>
      </c>
      <c r="G816" s="16" t="str">
        <f aca="false">INDEX(SETORES!$B:$B,MATCH(A816,SETORES!$A:$A,0))</f>
        <v>Clientes</v>
      </c>
      <c r="H816" s="16" t="s">
        <v>11</v>
      </c>
    </row>
    <row r="817" customFormat="false" ht="14.25" hidden="true" customHeight="true" outlineLevel="0" collapsed="false">
      <c r="A817" s="40" t="s">
        <v>49</v>
      </c>
      <c r="B817" s="40" t="s">
        <v>155</v>
      </c>
      <c r="C817" s="40" t="s">
        <v>202</v>
      </c>
      <c r="D817" s="41" t="n">
        <v>4</v>
      </c>
      <c r="E817" s="42" t="n">
        <v>85.71</v>
      </c>
      <c r="F817" s="43" t="n">
        <f aca="false">IFERROR(D817*E817,0)</f>
        <v>342.84</v>
      </c>
      <c r="G817" s="40" t="str">
        <f aca="false">INDEX(SETORES!$B:$B,MATCH(A817,SETORES!$A:$A,0))</f>
        <v>Clientes</v>
      </c>
      <c r="H817" s="40" t="s">
        <v>11</v>
      </c>
    </row>
    <row r="818" customFormat="false" ht="14.25" hidden="true" customHeight="true" outlineLevel="0" collapsed="false">
      <c r="A818" s="16" t="s">
        <v>49</v>
      </c>
      <c r="B818" s="16" t="s">
        <v>148</v>
      </c>
      <c r="C818" s="16" t="s">
        <v>160</v>
      </c>
      <c r="D818" s="38" t="n">
        <v>4</v>
      </c>
      <c r="E818" s="39" t="n">
        <v>9.85</v>
      </c>
      <c r="F818" s="22" t="n">
        <f aca="false">IFERROR(D818*E818,0)</f>
        <v>39.4</v>
      </c>
      <c r="G818" s="16" t="str">
        <f aca="false">INDEX(SETORES!$B:$B,MATCH(A818,SETORES!$A:$A,0))</f>
        <v>Clientes</v>
      </c>
      <c r="H818" s="16" t="s">
        <v>11</v>
      </c>
    </row>
    <row r="819" customFormat="false" ht="14.25" hidden="true" customHeight="true" outlineLevel="0" collapsed="false">
      <c r="A819" s="40" t="s">
        <v>49</v>
      </c>
      <c r="B819" s="40" t="s">
        <v>148</v>
      </c>
      <c r="C819" s="40" t="s">
        <v>161</v>
      </c>
      <c r="D819" s="41" t="n">
        <v>4</v>
      </c>
      <c r="E819" s="42" t="n">
        <v>2.04</v>
      </c>
      <c r="F819" s="43" t="n">
        <f aca="false">IFERROR(D819*E819,0)</f>
        <v>8.16</v>
      </c>
      <c r="G819" s="40" t="str">
        <f aca="false">INDEX(SETORES!$B:$B,MATCH(A819,SETORES!$A:$A,0))</f>
        <v>Clientes</v>
      </c>
      <c r="H819" s="40" t="s">
        <v>11</v>
      </c>
    </row>
    <row r="820" customFormat="false" ht="14.25" hidden="true" customHeight="true" outlineLevel="0" collapsed="false">
      <c r="A820" s="16" t="s">
        <v>32</v>
      </c>
      <c r="B820" s="16" t="s">
        <v>148</v>
      </c>
      <c r="C820" s="16" t="s">
        <v>149</v>
      </c>
      <c r="D820" s="38"/>
      <c r="E820" s="39"/>
      <c r="F820" s="22" t="n">
        <v>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40" t="s">
        <v>32</v>
      </c>
      <c r="B821" s="40" t="s">
        <v>148</v>
      </c>
      <c r="C821" s="40" t="s">
        <v>150</v>
      </c>
      <c r="D821" s="41" t="n">
        <v>1</v>
      </c>
      <c r="E821" s="42" t="n">
        <v>52.2</v>
      </c>
      <c r="F821" s="43" t="n">
        <v>52.2</v>
      </c>
      <c r="G821" s="40" t="str">
        <f aca="false">INDEX(SETORES!$B:$B,MATCH(A821,SETORES!$A:$A,0))</f>
        <v>Funcionários</v>
      </c>
      <c r="H821" s="40" t="s">
        <v>11</v>
      </c>
    </row>
    <row r="822" customFormat="false" ht="14.25" hidden="true" customHeight="true" outlineLevel="0" collapsed="false">
      <c r="A822" s="16" t="s">
        <v>32</v>
      </c>
      <c r="B822" s="16" t="s">
        <v>148</v>
      </c>
      <c r="C822" s="16" t="s">
        <v>151</v>
      </c>
      <c r="D822" s="38" t="n">
        <v>1</v>
      </c>
      <c r="E822" s="39" t="n">
        <v>35.0289</v>
      </c>
      <c r="F822" s="22" t="n">
        <v>35.0289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40" t="s">
        <v>32</v>
      </c>
      <c r="B823" s="40" t="s">
        <v>148</v>
      </c>
      <c r="C823" s="40" t="s">
        <v>152</v>
      </c>
      <c r="D823" s="41" t="n">
        <v>1</v>
      </c>
      <c r="E823" s="42" t="n">
        <v>0.1</v>
      </c>
      <c r="F823" s="43" t="n">
        <v>0.1</v>
      </c>
      <c r="G823" s="40" t="str">
        <f aca="false">INDEX(SETORES!$B:$B,MATCH(A823,SETORES!$A:$A,0))</f>
        <v>Funcionários</v>
      </c>
      <c r="H823" s="40" t="s">
        <v>11</v>
      </c>
    </row>
    <row r="824" customFormat="false" ht="14.25" hidden="true" customHeight="true" outlineLevel="0" collapsed="false">
      <c r="A824" s="16" t="s">
        <v>32</v>
      </c>
      <c r="B824" s="16" t="s">
        <v>148</v>
      </c>
      <c r="C824" s="16" t="s">
        <v>153</v>
      </c>
      <c r="D824" s="38"/>
      <c r="E824" s="39"/>
      <c r="F824" s="22" t="n">
        <f aca="false">IFERROR(D824*E824,0)</f>
        <v>0</v>
      </c>
      <c r="G824" s="16" t="str">
        <f aca="false">INDEX(SETORES!$B:$B,MATCH(A824,SETORES!$A:$A,0))</f>
        <v>Funcionários</v>
      </c>
      <c r="H824" s="16" t="s">
        <v>11</v>
      </c>
    </row>
    <row r="825" customFormat="false" ht="14.25" hidden="true" customHeight="true" outlineLevel="0" collapsed="false">
      <c r="A825" s="40" t="s">
        <v>32</v>
      </c>
      <c r="B825" s="40" t="s">
        <v>148</v>
      </c>
      <c r="C825" s="40" t="s">
        <v>154</v>
      </c>
      <c r="D825" s="41" t="n">
        <v>1</v>
      </c>
      <c r="E825" s="42" t="n">
        <v>26729.08</v>
      </c>
      <c r="F825" s="43" t="n">
        <f aca="false">IFERROR(E825,0)</f>
        <v>26729.08</v>
      </c>
      <c r="G825" s="40" t="str">
        <f aca="false">INDEX(SETORES!$B:$B,MATCH(A825,SETORES!$A:$A,0))</f>
        <v>Funcionários</v>
      </c>
      <c r="H825" s="40" t="s">
        <v>11</v>
      </c>
    </row>
    <row r="826" customFormat="false" ht="14.25" hidden="true" customHeight="true" outlineLevel="0" collapsed="false">
      <c r="A826" s="16" t="s">
        <v>32</v>
      </c>
      <c r="B826" s="16" t="s">
        <v>155</v>
      </c>
      <c r="C826" s="16" t="s">
        <v>218</v>
      </c>
      <c r="D826" s="38"/>
      <c r="E826" s="39"/>
      <c r="F826" s="22" t="n">
        <f aca="false">IFERROR(D826*E826,0)</f>
        <v>0</v>
      </c>
      <c r="G826" s="16" t="str">
        <f aca="false">INDEX(SETORES!$B:$B,MATCH(A826,SETORES!$A:$A,0))</f>
        <v>Funcionários</v>
      </c>
      <c r="H826" s="16" t="s">
        <v>11</v>
      </c>
    </row>
    <row r="827" customFormat="false" ht="14.25" hidden="true" customHeight="true" outlineLevel="0" collapsed="false">
      <c r="A827" s="40" t="s">
        <v>32</v>
      </c>
      <c r="B827" s="40" t="s">
        <v>155</v>
      </c>
      <c r="C827" s="40" t="s">
        <v>219</v>
      </c>
      <c r="D827" s="41"/>
      <c r="E827" s="42"/>
      <c r="F827" s="43" t="n">
        <f aca="false">IFERROR(D827*E827,0)</f>
        <v>0</v>
      </c>
      <c r="G827" s="40" t="str">
        <f aca="false">INDEX(SETORES!$B:$B,MATCH(A827,SETORES!$A:$A,0))</f>
        <v>Funcionários</v>
      </c>
      <c r="H827" s="40" t="s">
        <v>11</v>
      </c>
    </row>
    <row r="828" customFormat="false" ht="14.25" hidden="true" customHeight="true" outlineLevel="0" collapsed="false">
      <c r="A828" s="16" t="s">
        <v>32</v>
      </c>
      <c r="B828" s="16" t="s">
        <v>148</v>
      </c>
      <c r="C828" s="16" t="s">
        <v>220</v>
      </c>
      <c r="D828" s="38" t="n">
        <v>1</v>
      </c>
      <c r="E828" s="39" t="n">
        <v>1776.46</v>
      </c>
      <c r="F828" s="22" t="n">
        <f aca="false">IFERROR(D828*E828,0)</f>
        <v>1776.46</v>
      </c>
      <c r="G828" s="16" t="str">
        <f aca="false">INDEX(SETORES!$B:$B,MATCH(A828,SETORES!$A:$A,0))</f>
        <v>Funcionários</v>
      </c>
      <c r="H828" s="16" t="s">
        <v>11</v>
      </c>
    </row>
    <row r="829" customFormat="false" ht="14.25" hidden="true" customHeight="true" outlineLevel="0" collapsed="false">
      <c r="A829" s="40" t="s">
        <v>32</v>
      </c>
      <c r="B829" s="40" t="s">
        <v>155</v>
      </c>
      <c r="C829" s="40" t="s">
        <v>221</v>
      </c>
      <c r="D829" s="41"/>
      <c r="E829" s="42"/>
      <c r="F829" s="43" t="n">
        <f aca="false">IFERROR(D829*E829,0)</f>
        <v>0</v>
      </c>
      <c r="G829" s="40" t="str">
        <f aca="false">INDEX(SETORES!$B:$B,MATCH(A829,SETORES!$A:$A,0))</f>
        <v>Funcionários</v>
      </c>
      <c r="H829" s="40" t="s">
        <v>11</v>
      </c>
    </row>
    <row r="830" customFormat="false" ht="14.25" hidden="true" customHeight="true" outlineLevel="0" collapsed="false">
      <c r="A830" s="16" t="s">
        <v>32</v>
      </c>
      <c r="B830" s="16" t="s">
        <v>148</v>
      </c>
      <c r="C830" s="16" t="s">
        <v>222</v>
      </c>
      <c r="D830" s="38"/>
      <c r="E830" s="39"/>
      <c r="F830" s="22" t="n">
        <f aca="false">IFERROR(D830*E830,0)</f>
        <v>0</v>
      </c>
      <c r="G830" s="16" t="str">
        <f aca="false">INDEX(SETORES!$B:$B,MATCH(A830,SETORES!$A:$A,0))</f>
        <v>Funcionários</v>
      </c>
      <c r="H830" s="16" t="s">
        <v>11</v>
      </c>
    </row>
    <row r="831" customFormat="false" ht="14.25" hidden="true" customHeight="true" outlineLevel="0" collapsed="false">
      <c r="A831" s="40" t="s">
        <v>32</v>
      </c>
      <c r="B831" s="40" t="s">
        <v>148</v>
      </c>
      <c r="C831" s="40" t="s">
        <v>223</v>
      </c>
      <c r="D831" s="41"/>
      <c r="E831" s="42"/>
      <c r="F831" s="43" t="n">
        <f aca="false">IFERROR(D831*E831,0)</f>
        <v>0</v>
      </c>
      <c r="G831" s="40" t="str">
        <f aca="false">INDEX(SETORES!$B:$B,MATCH(A831,SETORES!$A:$A,0))</f>
        <v>Funcionários</v>
      </c>
      <c r="H831" s="40" t="s">
        <v>11</v>
      </c>
    </row>
    <row r="832" customFormat="false" ht="14.25" hidden="true" customHeight="true" outlineLevel="0" collapsed="false">
      <c r="A832" s="16" t="s">
        <v>32</v>
      </c>
      <c r="B832" s="16" t="s">
        <v>148</v>
      </c>
      <c r="C832" s="16" t="s">
        <v>159</v>
      </c>
      <c r="D832" s="38" t="n">
        <v>4</v>
      </c>
      <c r="E832" s="39" t="n">
        <v>50</v>
      </c>
      <c r="F832" s="22" t="n">
        <f aca="false">IFERROR(D832*E832,0)</f>
        <v>200</v>
      </c>
      <c r="G832" s="16" t="str">
        <f aca="false">INDEX(SETORES!$B:$B,MATCH(A832,SETORES!$A:$A,0))</f>
        <v>Funcionários</v>
      </c>
      <c r="H832" s="16" t="s">
        <v>11</v>
      </c>
    </row>
    <row r="833" customFormat="false" ht="14.25" hidden="true" customHeight="true" outlineLevel="0" collapsed="false">
      <c r="A833" s="40" t="s">
        <v>32</v>
      </c>
      <c r="B833" s="40" t="s">
        <v>148</v>
      </c>
      <c r="C833" s="40" t="s">
        <v>231</v>
      </c>
      <c r="D833" s="41" t="n">
        <v>1</v>
      </c>
      <c r="E833" s="42" t="n">
        <v>4.545456</v>
      </c>
      <c r="F833" s="43" t="n">
        <f aca="false">IFERROR(D833*E833,0)</f>
        <v>4.545456</v>
      </c>
      <c r="G833" s="40" t="str">
        <f aca="false">INDEX(SETORES!$B:$B,MATCH(A833,SETORES!$A:$A,0))</f>
        <v>Funcionários</v>
      </c>
      <c r="H833" s="40" t="s">
        <v>11</v>
      </c>
    </row>
    <row r="834" customFormat="false" ht="14.25" hidden="true" customHeight="true" outlineLevel="0" collapsed="false">
      <c r="A834" s="16" t="s">
        <v>32</v>
      </c>
      <c r="B834" s="16" t="s">
        <v>148</v>
      </c>
      <c r="C834" s="16" t="s">
        <v>160</v>
      </c>
      <c r="D834" s="38" t="n">
        <v>4</v>
      </c>
      <c r="E834" s="39" t="n">
        <v>9.85</v>
      </c>
      <c r="F834" s="22" t="n">
        <f aca="false">IFERROR(D834*E834,0)</f>
        <v>39.4</v>
      </c>
      <c r="G834" s="16" t="str">
        <f aca="false">INDEX(SETORES!$B:$B,MATCH(A834,SETORES!$A:$A,0))</f>
        <v>Funcionários</v>
      </c>
      <c r="H834" s="16" t="s">
        <v>11</v>
      </c>
    </row>
    <row r="835" customFormat="false" ht="14.25" hidden="true" customHeight="true" outlineLevel="0" collapsed="false">
      <c r="A835" s="40" t="s">
        <v>32</v>
      </c>
      <c r="B835" s="40" t="s">
        <v>148</v>
      </c>
      <c r="C835" s="40" t="s">
        <v>161</v>
      </c>
      <c r="D835" s="41" t="n">
        <v>4</v>
      </c>
      <c r="E835" s="42" t="n">
        <v>2.04</v>
      </c>
      <c r="F835" s="43" t="n">
        <f aca="false">IFERROR(D835*E835,0)</f>
        <v>8.16</v>
      </c>
      <c r="G835" s="40" t="str">
        <f aca="false">INDEX(SETORES!$B:$B,MATCH(A835,SETORES!$A:$A,0))</f>
        <v>Funcionários</v>
      </c>
      <c r="H835" s="40" t="s">
        <v>11</v>
      </c>
    </row>
    <row r="836" customFormat="false" ht="14.25" hidden="true" customHeight="true" outlineLevel="0" collapsed="false">
      <c r="A836" s="16" t="s">
        <v>39</v>
      </c>
      <c r="B836" s="16" t="s">
        <v>148</v>
      </c>
      <c r="C836" s="16" t="s">
        <v>149</v>
      </c>
      <c r="D836" s="38" t="n">
        <v>14</v>
      </c>
      <c r="E836" s="39" t="n">
        <v>0.2641</v>
      </c>
      <c r="F836" s="22" t="n">
        <v>3.6974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40" t="s">
        <v>39</v>
      </c>
      <c r="B837" s="40" t="s">
        <v>148</v>
      </c>
      <c r="C837" s="40" t="s">
        <v>150</v>
      </c>
      <c r="D837" s="41" t="n">
        <v>1</v>
      </c>
      <c r="E837" s="42" t="n">
        <v>861.934098</v>
      </c>
      <c r="F837" s="43" t="n">
        <v>861.934098</v>
      </c>
      <c r="G837" s="40" t="str">
        <f aca="false">INDEX(SETORES!$B:$B,MATCH(A837,SETORES!$A:$A,0))</f>
        <v>Clientes</v>
      </c>
      <c r="H837" s="40" t="s">
        <v>11</v>
      </c>
    </row>
    <row r="838" customFormat="false" ht="14.25" hidden="true" customHeight="true" outlineLevel="0" collapsed="false">
      <c r="A838" s="16" t="s">
        <v>39</v>
      </c>
      <c r="B838" s="16" t="s">
        <v>148</v>
      </c>
      <c r="C838" s="16" t="s">
        <v>151</v>
      </c>
      <c r="D838" s="38" t="n">
        <v>1</v>
      </c>
      <c r="E838" s="39" t="n">
        <v>122.601</v>
      </c>
      <c r="F838" s="22" t="n">
        <v>122.601</v>
      </c>
      <c r="G838" s="16" t="str">
        <f aca="false">INDEX(SETORES!$B:$B,MATCH(A838,SETORES!$A:$A,0))</f>
        <v>Clientes</v>
      </c>
      <c r="H838" s="16" t="s">
        <v>11</v>
      </c>
    </row>
    <row r="839" customFormat="false" ht="14.25" hidden="true" customHeight="true" outlineLevel="0" collapsed="false">
      <c r="A839" s="40" t="s">
        <v>39</v>
      </c>
      <c r="B839" s="40" t="s">
        <v>148</v>
      </c>
      <c r="C839" s="40" t="s">
        <v>152</v>
      </c>
      <c r="D839" s="41" t="n">
        <v>1</v>
      </c>
      <c r="E839" s="42" t="n">
        <v>0.35</v>
      </c>
      <c r="F839" s="43" t="n">
        <v>0.35</v>
      </c>
      <c r="G839" s="40" t="str">
        <f aca="false">INDEX(SETORES!$B:$B,MATCH(A839,SETORES!$A:$A,0))</f>
        <v>Clientes</v>
      </c>
      <c r="H839" s="40" t="s">
        <v>11</v>
      </c>
    </row>
    <row r="840" customFormat="false" ht="14.25" hidden="true" customHeight="true" outlineLevel="0" collapsed="false">
      <c r="A840" s="16" t="s">
        <v>39</v>
      </c>
      <c r="B840" s="16" t="s">
        <v>148</v>
      </c>
      <c r="C840" s="16" t="s">
        <v>153</v>
      </c>
      <c r="D840" s="38"/>
      <c r="E840" s="39"/>
      <c r="F840" s="22" t="n">
        <f aca="false">IFERROR(D840*E840,0)</f>
        <v>0</v>
      </c>
      <c r="G840" s="16" t="str">
        <f aca="false">INDEX(SETORES!$B:$B,MATCH(A840,SETORES!$A:$A,0))</f>
        <v>Clientes</v>
      </c>
      <c r="H840" s="16" t="s">
        <v>11</v>
      </c>
    </row>
    <row r="841" customFormat="false" ht="14.25" hidden="true" customHeight="true" outlineLevel="0" collapsed="false">
      <c r="A841" s="40" t="s">
        <v>39</v>
      </c>
      <c r="B841" s="40" t="s">
        <v>148</v>
      </c>
      <c r="C841" s="40" t="s">
        <v>154</v>
      </c>
      <c r="D841" s="41" t="n">
        <v>1</v>
      </c>
      <c r="E841" s="42" t="n">
        <v>44761.3</v>
      </c>
      <c r="F841" s="43" t="n">
        <f aca="false">IFERROR(E841,0)</f>
        <v>44761.3</v>
      </c>
      <c r="G841" s="40" t="str">
        <f aca="false">INDEX(SETORES!$B:$B,MATCH(A841,SETORES!$A:$A,0))</f>
        <v>Clientes</v>
      </c>
      <c r="H841" s="40" t="s">
        <v>11</v>
      </c>
    </row>
    <row r="842" customFormat="false" ht="14.25" hidden="true" customHeight="true" outlineLevel="0" collapsed="false">
      <c r="A842" s="16" t="s">
        <v>39</v>
      </c>
      <c r="B842" s="16" t="s">
        <v>155</v>
      </c>
      <c r="C842" s="16" t="s">
        <v>156</v>
      </c>
      <c r="D842" s="38" t="n">
        <v>1</v>
      </c>
      <c r="E842" s="39" t="n">
        <v>496</v>
      </c>
      <c r="F842" s="22" t="n">
        <f aca="false">IFERROR(D842*E842,0)</f>
        <v>496</v>
      </c>
      <c r="G842" s="16" t="str">
        <f aca="false">INDEX(SETORES!$B:$B,MATCH(A842,SETORES!$A:$A,0))</f>
        <v>Clientes</v>
      </c>
      <c r="H842" s="16" t="s">
        <v>11</v>
      </c>
    </row>
    <row r="843" customFormat="false" ht="14.25" hidden="true" customHeight="true" outlineLevel="0" collapsed="false">
      <c r="A843" s="40" t="s">
        <v>39</v>
      </c>
      <c r="B843" s="40" t="s">
        <v>155</v>
      </c>
      <c r="C843" s="40" t="s">
        <v>157</v>
      </c>
      <c r="D843" s="41" t="n">
        <v>1</v>
      </c>
      <c r="E843" s="42" t="n">
        <v>65.33</v>
      </c>
      <c r="F843" s="43" t="n">
        <f aca="false">IFERROR(D843*E843,0)</f>
        <v>65.33</v>
      </c>
      <c r="G843" s="40" t="str">
        <f aca="false">INDEX(SETORES!$B:$B,MATCH(A843,SETORES!$A:$A,0))</f>
        <v>Clientes</v>
      </c>
      <c r="H843" s="40" t="s">
        <v>11</v>
      </c>
    </row>
    <row r="844" customFormat="false" ht="14.25" hidden="true" customHeight="true" outlineLevel="0" collapsed="false">
      <c r="A844" s="16" t="s">
        <v>39</v>
      </c>
      <c r="B844" s="16" t="s">
        <v>155</v>
      </c>
      <c r="C844" s="16" t="s">
        <v>215</v>
      </c>
      <c r="D844" s="38"/>
      <c r="E844" s="39"/>
      <c r="F844" s="22" t="n">
        <f aca="false">IFERROR(D844*E844,0)</f>
        <v>0</v>
      </c>
      <c r="G844" s="16" t="str">
        <f aca="false">INDEX(SETORES!$B:$B,MATCH(A844,SETORES!$A:$A,0))</f>
        <v>Clientes</v>
      </c>
      <c r="H844" s="16" t="s">
        <v>11</v>
      </c>
    </row>
    <row r="845" customFormat="false" ht="14.25" hidden="true" customHeight="true" outlineLevel="0" collapsed="false">
      <c r="A845" s="40" t="s">
        <v>39</v>
      </c>
      <c r="B845" s="40" t="s">
        <v>148</v>
      </c>
      <c r="C845" s="40" t="s">
        <v>159</v>
      </c>
      <c r="D845" s="41" t="n">
        <v>11</v>
      </c>
      <c r="E845" s="42" t="n">
        <v>50</v>
      </c>
      <c r="F845" s="43" t="n">
        <f aca="false">IFERROR(D845*E845,0)</f>
        <v>550</v>
      </c>
      <c r="G845" s="40" t="str">
        <f aca="false">INDEX(SETORES!$B:$B,MATCH(A845,SETORES!$A:$A,0))</f>
        <v>Clientes</v>
      </c>
      <c r="H845" s="40" t="s">
        <v>11</v>
      </c>
    </row>
    <row r="846" customFormat="false" ht="14.25" hidden="true" customHeight="true" outlineLevel="0" collapsed="false">
      <c r="A846" s="16" t="s">
        <v>39</v>
      </c>
      <c r="B846" s="16" t="s">
        <v>148</v>
      </c>
      <c r="C846" s="16" t="s">
        <v>180</v>
      </c>
      <c r="D846" s="38" t="n">
        <v>1</v>
      </c>
      <c r="E846" s="39" t="n">
        <v>774.799018</v>
      </c>
      <c r="F846" s="22" t="n">
        <f aca="false">IFERROR(D846*E846,0)</f>
        <v>774.799018</v>
      </c>
      <c r="G846" s="16" t="str">
        <f aca="false">INDEX(SETORES!$B:$B,MATCH(A846,SETORES!$A:$A,0))</f>
        <v>Clientes</v>
      </c>
      <c r="H846" s="16" t="s">
        <v>11</v>
      </c>
    </row>
    <row r="847" customFormat="false" ht="14.25" hidden="true" customHeight="true" outlineLevel="0" collapsed="false">
      <c r="A847" s="40" t="s">
        <v>39</v>
      </c>
      <c r="B847" s="40" t="s">
        <v>148</v>
      </c>
      <c r="C847" s="40" t="s">
        <v>233</v>
      </c>
      <c r="D847" s="41" t="n">
        <v>1</v>
      </c>
      <c r="E847" s="42" t="n">
        <v>2.937704</v>
      </c>
      <c r="F847" s="43" t="n">
        <f aca="false">IFERROR(D847*E847,0)</f>
        <v>2.937704</v>
      </c>
      <c r="G847" s="40" t="str">
        <f aca="false">INDEX(SETORES!$B:$B,MATCH(A847,SETORES!$A:$A,0))</f>
        <v>Clientes</v>
      </c>
      <c r="H847" s="40" t="s">
        <v>11</v>
      </c>
    </row>
    <row r="848" customFormat="false" ht="14.25" hidden="true" customHeight="true" outlineLevel="0" collapsed="false">
      <c r="A848" s="16" t="s">
        <v>39</v>
      </c>
      <c r="B848" s="16" t="s">
        <v>148</v>
      </c>
      <c r="C848" s="16" t="s">
        <v>160</v>
      </c>
      <c r="D848" s="38" t="n">
        <v>14</v>
      </c>
      <c r="E848" s="39" t="n">
        <v>9.85</v>
      </c>
      <c r="F848" s="22" t="n">
        <f aca="false">IFERROR(D848*E848,0)</f>
        <v>137.9</v>
      </c>
      <c r="G848" s="16" t="str">
        <f aca="false">INDEX(SETORES!$B:$B,MATCH(A848,SETORES!$A:$A,0))</f>
        <v>Clientes</v>
      </c>
      <c r="H848" s="16" t="s">
        <v>11</v>
      </c>
    </row>
    <row r="849" customFormat="false" ht="14.25" hidden="true" customHeight="true" outlineLevel="0" collapsed="false">
      <c r="A849" s="40" t="s">
        <v>39</v>
      </c>
      <c r="B849" s="40" t="s">
        <v>148</v>
      </c>
      <c r="C849" s="40" t="s">
        <v>161</v>
      </c>
      <c r="D849" s="41" t="n">
        <v>14</v>
      </c>
      <c r="E849" s="42" t="n">
        <v>2.04</v>
      </c>
      <c r="F849" s="43" t="n">
        <f aca="false">IFERROR(D849*E849,0)</f>
        <v>28.56</v>
      </c>
      <c r="G849" s="40" t="str">
        <f aca="false">INDEX(SETORES!$B:$B,MATCH(A849,SETORES!$A:$A,0))</f>
        <v>Clientes</v>
      </c>
      <c r="H849" s="40" t="s">
        <v>11</v>
      </c>
    </row>
    <row r="850" customFormat="false" ht="14.25" hidden="true" customHeight="true" outlineLevel="0" collapsed="false">
      <c r="A850" s="16" t="s">
        <v>44</v>
      </c>
      <c r="B850" s="16" t="s">
        <v>148</v>
      </c>
      <c r="C850" s="16" t="s">
        <v>149</v>
      </c>
      <c r="D850" s="38"/>
      <c r="E850" s="39"/>
      <c r="F850" s="22" t="n">
        <v>0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40" t="s">
        <v>44</v>
      </c>
      <c r="B851" s="40" t="s">
        <v>148</v>
      </c>
      <c r="C851" s="40" t="s">
        <v>150</v>
      </c>
      <c r="D851" s="41"/>
      <c r="E851" s="42"/>
      <c r="F851" s="43" t="n">
        <v>0</v>
      </c>
      <c r="G851" s="40" t="str">
        <f aca="false">INDEX(SETORES!$B:$B,MATCH(A851,SETORES!$A:$A,0))</f>
        <v>Funcionários</v>
      </c>
      <c r="H851" s="40" t="s">
        <v>11</v>
      </c>
    </row>
    <row r="852" customFormat="false" ht="14.25" hidden="true" customHeight="true" outlineLevel="0" collapsed="false">
      <c r="A852" s="16" t="s">
        <v>44</v>
      </c>
      <c r="B852" s="16" t="s">
        <v>148</v>
      </c>
      <c r="C852" s="16" t="s">
        <v>151</v>
      </c>
      <c r="D852" s="38" t="n">
        <v>6</v>
      </c>
      <c r="E852" s="39" t="n">
        <v>23.6877</v>
      </c>
      <c r="F852" s="22" t="n">
        <v>142.1262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40" t="s">
        <v>44</v>
      </c>
      <c r="B853" s="40" t="s">
        <v>148</v>
      </c>
      <c r="C853" s="40" t="s">
        <v>153</v>
      </c>
      <c r="D853" s="41"/>
      <c r="E853" s="42"/>
      <c r="F853" s="43" t="n">
        <f aca="false">IFERROR(D853*E853,0)</f>
        <v>0</v>
      </c>
      <c r="G853" s="40" t="str">
        <f aca="false">INDEX(SETORES!$B:$B,MATCH(A853,SETORES!$A:$A,0))</f>
        <v>Funcionários</v>
      </c>
      <c r="H853" s="40" t="s">
        <v>11</v>
      </c>
    </row>
    <row r="854" customFormat="false" ht="14.25" hidden="true" customHeight="true" outlineLevel="0" collapsed="false">
      <c r="A854" s="16" t="s">
        <v>44</v>
      </c>
      <c r="B854" s="16" t="s">
        <v>148</v>
      </c>
      <c r="C854" s="16" t="s">
        <v>154</v>
      </c>
      <c r="D854" s="38" t="n">
        <v>1</v>
      </c>
      <c r="E854" s="39" t="n">
        <v>37889.97</v>
      </c>
      <c r="F854" s="22" t="n">
        <f aca="false">IFERROR(E854,0)</f>
        <v>37889.97</v>
      </c>
      <c r="G854" s="16" t="str">
        <f aca="false">INDEX(SETORES!$B:$B,MATCH(A854,SETORES!$A:$A,0))</f>
        <v>Funcionários</v>
      </c>
      <c r="H854" s="16" t="s">
        <v>11</v>
      </c>
    </row>
    <row r="855" customFormat="false" ht="14.25" hidden="true" customHeight="true" outlineLevel="0" collapsed="false">
      <c r="A855" s="40" t="s">
        <v>44</v>
      </c>
      <c r="B855" s="40" t="s">
        <v>155</v>
      </c>
      <c r="C855" s="40" t="s">
        <v>214</v>
      </c>
      <c r="D855" s="41"/>
      <c r="E855" s="42"/>
      <c r="F855" s="43" t="n">
        <f aca="false">IFERROR(D855*E855,0)</f>
        <v>0</v>
      </c>
      <c r="G855" s="40" t="str">
        <f aca="false">INDEX(SETORES!$B:$B,MATCH(A855,SETORES!$A:$A,0))</f>
        <v>Funcionários</v>
      </c>
      <c r="H855" s="40" t="s">
        <v>11</v>
      </c>
    </row>
    <row r="856" customFormat="false" ht="14.25" hidden="true" customHeight="true" outlineLevel="0" collapsed="false">
      <c r="A856" s="16" t="s">
        <v>44</v>
      </c>
      <c r="B856" s="16" t="s">
        <v>155</v>
      </c>
      <c r="C856" s="16" t="s">
        <v>158</v>
      </c>
      <c r="D856" s="38" t="n">
        <v>1</v>
      </c>
      <c r="E856" s="39" t="n">
        <v>70</v>
      </c>
      <c r="F856" s="22" t="n">
        <f aca="false">IFERROR(D856*E856,0)</f>
        <v>70</v>
      </c>
      <c r="G856" s="16" t="str">
        <f aca="false">INDEX(SETORES!$B:$B,MATCH(A856,SETORES!$A:$A,0))</f>
        <v>Funcionários</v>
      </c>
      <c r="H856" s="16" t="s">
        <v>11</v>
      </c>
    </row>
    <row r="857" customFormat="false" ht="14.25" hidden="true" customHeight="true" outlineLevel="0" collapsed="false">
      <c r="A857" s="40" t="s">
        <v>44</v>
      </c>
      <c r="B857" s="40" t="s">
        <v>155</v>
      </c>
      <c r="C857" s="40" t="s">
        <v>156</v>
      </c>
      <c r="D857" s="41" t="n">
        <v>1</v>
      </c>
      <c r="E857" s="42" t="n">
        <v>328</v>
      </c>
      <c r="F857" s="43" t="n">
        <f aca="false">IFERROR(D857*E857,0)</f>
        <v>328</v>
      </c>
      <c r="G857" s="40" t="str">
        <f aca="false">INDEX(SETORES!$B:$B,MATCH(A857,SETORES!$A:$A,0))</f>
        <v>Funcionários</v>
      </c>
      <c r="H857" s="40" t="s">
        <v>11</v>
      </c>
    </row>
    <row r="858" customFormat="false" ht="14.25" hidden="true" customHeight="true" outlineLevel="0" collapsed="false">
      <c r="A858" s="16" t="s">
        <v>44</v>
      </c>
      <c r="B858" s="16" t="s">
        <v>155</v>
      </c>
      <c r="C858" s="16" t="s">
        <v>157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Funcionários</v>
      </c>
      <c r="H858" s="16" t="s">
        <v>11</v>
      </c>
    </row>
    <row r="859" customFormat="false" ht="14.25" hidden="true" customHeight="true" outlineLevel="0" collapsed="false">
      <c r="A859" s="40" t="s">
        <v>44</v>
      </c>
      <c r="B859" s="40" t="s">
        <v>155</v>
      </c>
      <c r="C859" s="40" t="s">
        <v>202</v>
      </c>
      <c r="D859" s="41" t="n">
        <v>6</v>
      </c>
      <c r="E859" s="42" t="n">
        <v>85.71</v>
      </c>
      <c r="F859" s="43" t="n">
        <f aca="false">IFERROR(D859*E859,0)</f>
        <v>514.26</v>
      </c>
      <c r="G859" s="40" t="str">
        <f aca="false">INDEX(SETORES!$B:$B,MATCH(A859,SETORES!$A:$A,0))</f>
        <v>Funcionários</v>
      </c>
      <c r="H859" s="40" t="s">
        <v>11</v>
      </c>
    </row>
    <row r="860" customFormat="false" ht="14.25" hidden="true" customHeight="true" outlineLevel="0" collapsed="false">
      <c r="A860" s="16" t="s">
        <v>44</v>
      </c>
      <c r="B860" s="16" t="s">
        <v>155</v>
      </c>
      <c r="C860" s="16" t="s">
        <v>225</v>
      </c>
      <c r="D860" s="38" t="n">
        <v>1</v>
      </c>
      <c r="E860" s="39" t="n">
        <v>7689.5</v>
      </c>
      <c r="F860" s="22" t="n">
        <f aca="false">IFERROR(D860*E860,0)</f>
        <v>7689.5</v>
      </c>
      <c r="G860" s="16" t="str">
        <f aca="false">INDEX(SETORES!$B:$B,MATCH(A860,SETORES!$A:$A,0))</f>
        <v>Funcionários</v>
      </c>
      <c r="H860" s="16" t="s">
        <v>11</v>
      </c>
    </row>
    <row r="861" customFormat="false" ht="14.25" hidden="true" customHeight="true" outlineLevel="0" collapsed="false">
      <c r="A861" s="40" t="s">
        <v>44</v>
      </c>
      <c r="B861" s="40" t="s">
        <v>148</v>
      </c>
      <c r="C861" s="40" t="s">
        <v>159</v>
      </c>
      <c r="D861" s="41" t="n">
        <v>9</v>
      </c>
      <c r="E861" s="42" t="n">
        <v>50</v>
      </c>
      <c r="F861" s="43" t="n">
        <f aca="false">IFERROR(D861*E861,0)</f>
        <v>450</v>
      </c>
      <c r="G861" s="40" t="str">
        <f aca="false">INDEX(SETORES!$B:$B,MATCH(A861,SETORES!$A:$A,0))</f>
        <v>Funcionários</v>
      </c>
      <c r="H861" s="40" t="s">
        <v>11</v>
      </c>
    </row>
    <row r="862" customFormat="false" ht="14.25" hidden="true" customHeight="true" outlineLevel="0" collapsed="false">
      <c r="A862" s="16" t="s">
        <v>44</v>
      </c>
      <c r="B862" s="16" t="s">
        <v>155</v>
      </c>
      <c r="C862" s="16" t="s">
        <v>210</v>
      </c>
      <c r="D862" s="38" t="n">
        <v>1</v>
      </c>
      <c r="E862" s="39" t="n">
        <v>4151.02</v>
      </c>
      <c r="F862" s="22" t="n">
        <f aca="false">IFERROR(D862*E862,0)</f>
        <v>4151.02</v>
      </c>
      <c r="G862" s="16" t="str">
        <f aca="false">INDEX(SETORES!$B:$B,MATCH(A862,SETORES!$A:$A,0))</f>
        <v>Funcionários</v>
      </c>
      <c r="H862" s="16" t="s">
        <v>11</v>
      </c>
    </row>
    <row r="863" customFormat="false" ht="14.25" hidden="true" customHeight="true" outlineLevel="0" collapsed="false">
      <c r="A863" s="40" t="s">
        <v>44</v>
      </c>
      <c r="B863" s="40" t="s">
        <v>148</v>
      </c>
      <c r="C863" s="40" t="s">
        <v>231</v>
      </c>
      <c r="D863" s="41" t="n">
        <v>1</v>
      </c>
      <c r="E863" s="42" t="n">
        <v>76.79</v>
      </c>
      <c r="F863" s="43" t="n">
        <f aca="false">IFERROR(D863*E863,0)</f>
        <v>76.79</v>
      </c>
      <c r="G863" s="40" t="str">
        <f aca="false">INDEX(SETORES!$B:$B,MATCH(A863,SETORES!$A:$A,0))</f>
        <v>Funcionários</v>
      </c>
      <c r="H863" s="40" t="s">
        <v>11</v>
      </c>
    </row>
    <row r="864" customFormat="false" ht="14.25" hidden="true" customHeight="true" outlineLevel="0" collapsed="false">
      <c r="A864" s="16" t="s">
        <v>44</v>
      </c>
      <c r="B864" s="16" t="s">
        <v>148</v>
      </c>
      <c r="C864" s="16" t="s">
        <v>160</v>
      </c>
      <c r="D864" s="38" t="n">
        <v>6</v>
      </c>
      <c r="E864" s="39" t="n">
        <v>9.85</v>
      </c>
      <c r="F864" s="22" t="n">
        <f aca="false">IFERROR(D864*E864,0)</f>
        <v>59.1</v>
      </c>
      <c r="G864" s="16" t="str">
        <f aca="false">INDEX(SETORES!$B:$B,MATCH(A864,SETORES!$A:$A,0))</f>
        <v>Funcionários</v>
      </c>
      <c r="H864" s="16" t="s">
        <v>11</v>
      </c>
    </row>
    <row r="865" customFormat="false" ht="14.25" hidden="true" customHeight="true" outlineLevel="0" collapsed="false">
      <c r="A865" s="40" t="s">
        <v>44</v>
      </c>
      <c r="B865" s="40" t="s">
        <v>148</v>
      </c>
      <c r="C865" s="40" t="s">
        <v>161</v>
      </c>
      <c r="D865" s="41" t="n">
        <v>6</v>
      </c>
      <c r="E865" s="42" t="n">
        <v>2.04</v>
      </c>
      <c r="F865" s="43" t="n">
        <f aca="false">IFERROR(D865*E865,0)</f>
        <v>12.24</v>
      </c>
      <c r="G865" s="40" t="str">
        <f aca="false">INDEX(SETORES!$B:$B,MATCH(A865,SETORES!$A:$A,0))</f>
        <v>Funcionários</v>
      </c>
      <c r="H865" s="40" t="s">
        <v>11</v>
      </c>
    </row>
    <row r="866" customFormat="false" ht="14.25" hidden="true" customHeight="true" outlineLevel="0" collapsed="false">
      <c r="A866" s="16" t="s">
        <v>52</v>
      </c>
      <c r="B866" s="16" t="s">
        <v>148</v>
      </c>
      <c r="C866" s="16" t="s">
        <v>149</v>
      </c>
      <c r="D866" s="38" t="n">
        <v>8</v>
      </c>
      <c r="E866" s="39" t="n">
        <v>0.2641</v>
      </c>
      <c r="F866" s="22" t="n">
        <v>2.1128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40" t="s">
        <v>52</v>
      </c>
      <c r="B867" s="40" t="s">
        <v>148</v>
      </c>
      <c r="C867" s="40" t="s">
        <v>150</v>
      </c>
      <c r="D867" s="41" t="n">
        <v>1</v>
      </c>
      <c r="E867" s="42" t="n">
        <v>492.53377</v>
      </c>
      <c r="F867" s="43" t="n">
        <v>492.53377</v>
      </c>
      <c r="G867" s="40" t="str">
        <f aca="false">INDEX(SETORES!$B:$B,MATCH(A867,SETORES!$A:$A,0))</f>
        <v>Clientes</v>
      </c>
      <c r="H867" s="40" t="s">
        <v>11</v>
      </c>
    </row>
    <row r="868" customFormat="false" ht="14.25" hidden="true" customHeight="true" outlineLevel="0" collapsed="false">
      <c r="A868" s="16" t="s">
        <v>52</v>
      </c>
      <c r="B868" s="16" t="s">
        <v>148</v>
      </c>
      <c r="C868" s="16" t="s">
        <v>151</v>
      </c>
      <c r="D868" s="38" t="n">
        <v>1</v>
      </c>
      <c r="E868" s="39" t="n">
        <v>70.0577</v>
      </c>
      <c r="F868" s="22" t="n">
        <v>70.0577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40" t="s">
        <v>52</v>
      </c>
      <c r="B869" s="40" t="s">
        <v>148</v>
      </c>
      <c r="C869" s="40" t="s">
        <v>152</v>
      </c>
      <c r="D869" s="41" t="n">
        <v>1</v>
      </c>
      <c r="E869" s="42" t="n">
        <v>0.2</v>
      </c>
      <c r="F869" s="43" t="n">
        <v>0.2</v>
      </c>
      <c r="G869" s="40" t="str">
        <f aca="false">INDEX(SETORES!$B:$B,MATCH(A869,SETORES!$A:$A,0))</f>
        <v>Clientes</v>
      </c>
      <c r="H869" s="40" t="s">
        <v>11</v>
      </c>
    </row>
    <row r="870" customFormat="false" ht="14.25" hidden="true" customHeight="true" outlineLevel="0" collapsed="false">
      <c r="A870" s="16" t="s">
        <v>52</v>
      </c>
      <c r="B870" s="16" t="s">
        <v>148</v>
      </c>
      <c r="C870" s="16" t="s">
        <v>153</v>
      </c>
      <c r="D870" s="38"/>
      <c r="E870" s="39"/>
      <c r="F870" s="22" t="n">
        <f aca="false">IFERROR(D870*E870,0)</f>
        <v>0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40" t="s">
        <v>52</v>
      </c>
      <c r="B871" s="40" t="s">
        <v>148</v>
      </c>
      <c r="C871" s="40" t="s">
        <v>154</v>
      </c>
      <c r="D871" s="41" t="n">
        <v>1</v>
      </c>
      <c r="E871" s="42" t="n">
        <v>31846.16</v>
      </c>
      <c r="F871" s="43" t="n">
        <f aca="false">IFERROR(E871,0)</f>
        <v>31846.16</v>
      </c>
      <c r="G871" s="40" t="str">
        <f aca="false">INDEX(SETORES!$B:$B,MATCH(A871,SETORES!$A:$A,0))</f>
        <v>Clientes</v>
      </c>
      <c r="H871" s="40" t="s">
        <v>11</v>
      </c>
    </row>
    <row r="872" customFormat="false" ht="14.25" hidden="true" customHeight="true" outlineLevel="0" collapsed="false">
      <c r="A872" s="16" t="s">
        <v>52</v>
      </c>
      <c r="B872" s="16" t="s">
        <v>148</v>
      </c>
      <c r="C872" s="16" t="s">
        <v>159</v>
      </c>
      <c r="D872" s="38" t="n">
        <v>8</v>
      </c>
      <c r="E872" s="39" t="n">
        <v>50</v>
      </c>
      <c r="F872" s="22" t="n">
        <f aca="false">IFERROR(D872*E872,0)</f>
        <v>400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40" t="s">
        <v>52</v>
      </c>
      <c r="B873" s="40" t="s">
        <v>148</v>
      </c>
      <c r="C873" s="40" t="s">
        <v>180</v>
      </c>
      <c r="D873" s="41" t="n">
        <v>1</v>
      </c>
      <c r="E873" s="42" t="n">
        <v>442.742296</v>
      </c>
      <c r="F873" s="43" t="n">
        <f aca="false">IFERROR(D873*E873,0)</f>
        <v>442.742296</v>
      </c>
      <c r="G873" s="40" t="str">
        <f aca="false">INDEX(SETORES!$B:$B,MATCH(A873,SETORES!$A:$A,0))</f>
        <v>Clientes</v>
      </c>
      <c r="H873" s="40" t="s">
        <v>11</v>
      </c>
    </row>
    <row r="874" customFormat="false" ht="14.25" hidden="true" customHeight="true" outlineLevel="0" collapsed="false">
      <c r="A874" s="16" t="s">
        <v>52</v>
      </c>
      <c r="B874" s="16" t="s">
        <v>148</v>
      </c>
      <c r="C874" s="16" t="s">
        <v>233</v>
      </c>
      <c r="D874" s="38" t="n">
        <v>1</v>
      </c>
      <c r="E874" s="39" t="n">
        <v>1.678688</v>
      </c>
      <c r="F874" s="22" t="n">
        <f aca="false">IFERROR(D874*E874,0)</f>
        <v>1.678688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40" t="s">
        <v>52</v>
      </c>
      <c r="B875" s="40" t="s">
        <v>148</v>
      </c>
      <c r="C875" s="40" t="s">
        <v>160</v>
      </c>
      <c r="D875" s="41" t="n">
        <v>8</v>
      </c>
      <c r="E875" s="42" t="n">
        <v>9.85</v>
      </c>
      <c r="F875" s="43" t="n">
        <f aca="false">IFERROR(D875*E875,0)</f>
        <v>78.8</v>
      </c>
      <c r="G875" s="40" t="str">
        <f aca="false">INDEX(SETORES!$B:$B,MATCH(A875,SETORES!$A:$A,0))</f>
        <v>Clientes</v>
      </c>
      <c r="H875" s="40" t="s">
        <v>11</v>
      </c>
    </row>
    <row r="876" customFormat="false" ht="14.25" hidden="true" customHeight="true" outlineLevel="0" collapsed="false">
      <c r="A876" s="16" t="s">
        <v>52</v>
      </c>
      <c r="B876" s="16" t="s">
        <v>148</v>
      </c>
      <c r="C876" s="16" t="s">
        <v>161</v>
      </c>
      <c r="D876" s="38" t="n">
        <v>8</v>
      </c>
      <c r="E876" s="39" t="n">
        <v>2.04</v>
      </c>
      <c r="F876" s="22" t="n">
        <f aca="false">IFERROR(D876*E876,0)</f>
        <v>16.32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40" t="s">
        <v>53</v>
      </c>
      <c r="B877" s="40" t="s">
        <v>148</v>
      </c>
      <c r="C877" s="40" t="s">
        <v>149</v>
      </c>
      <c r="D877" s="41" t="n">
        <v>32</v>
      </c>
      <c r="E877" s="42" t="n">
        <v>0.2641</v>
      </c>
      <c r="F877" s="43" t="n">
        <v>8.4512</v>
      </c>
      <c r="G877" s="40" t="str">
        <f aca="false">INDEX(SETORES!$B:$B,MATCH(A877,SETORES!$A:$A,0))</f>
        <v>Clientes</v>
      </c>
      <c r="H877" s="40" t="s">
        <v>11</v>
      </c>
    </row>
    <row r="878" customFormat="false" ht="14.25" hidden="true" customHeight="true" outlineLevel="0" collapsed="false">
      <c r="A878" s="16" t="s">
        <v>53</v>
      </c>
      <c r="B878" s="16" t="s">
        <v>148</v>
      </c>
      <c r="C878" s="16" t="s">
        <v>150</v>
      </c>
      <c r="D878" s="38" t="n">
        <v>1</v>
      </c>
      <c r="E878" s="39" t="n">
        <v>1970.135082</v>
      </c>
      <c r="F878" s="22" t="n">
        <v>1970.135082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40" t="s">
        <v>53</v>
      </c>
      <c r="B879" s="40" t="s">
        <v>148</v>
      </c>
      <c r="C879" s="40" t="s">
        <v>151</v>
      </c>
      <c r="D879" s="41" t="n">
        <v>1</v>
      </c>
      <c r="E879" s="42" t="n">
        <v>280.2309</v>
      </c>
      <c r="F879" s="43" t="n">
        <v>280.2309</v>
      </c>
      <c r="G879" s="40" t="str">
        <f aca="false">INDEX(SETORES!$B:$B,MATCH(A879,SETORES!$A:$A,0))</f>
        <v>Clientes</v>
      </c>
      <c r="H879" s="40" t="s">
        <v>11</v>
      </c>
    </row>
    <row r="880" customFormat="false" ht="14.25" hidden="true" customHeight="true" outlineLevel="0" collapsed="false">
      <c r="A880" s="16" t="s">
        <v>53</v>
      </c>
      <c r="B880" s="16" t="s">
        <v>148</v>
      </c>
      <c r="C880" s="16" t="s">
        <v>152</v>
      </c>
      <c r="D880" s="38" t="n">
        <v>1</v>
      </c>
      <c r="E880" s="39" t="n">
        <v>0.8</v>
      </c>
      <c r="F880" s="22" t="n">
        <v>0.8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40" t="s">
        <v>53</v>
      </c>
      <c r="B881" s="40" t="s">
        <v>148</v>
      </c>
      <c r="C881" s="40" t="s">
        <v>153</v>
      </c>
      <c r="D881" s="41"/>
      <c r="E881" s="42"/>
      <c r="F881" s="43" t="n">
        <f aca="false">IFERROR(D881*E881,0)</f>
        <v>0</v>
      </c>
      <c r="G881" s="40" t="str">
        <f aca="false">INDEX(SETORES!$B:$B,MATCH(A881,SETORES!$A:$A,0))</f>
        <v>Clientes</v>
      </c>
      <c r="H881" s="40" t="s">
        <v>11</v>
      </c>
    </row>
    <row r="882" customFormat="false" ht="14.25" hidden="true" customHeight="true" outlineLevel="0" collapsed="false">
      <c r="A882" s="16" t="s">
        <v>53</v>
      </c>
      <c r="B882" s="16" t="s">
        <v>148</v>
      </c>
      <c r="C882" s="16" t="s">
        <v>154</v>
      </c>
      <c r="D882" s="38" t="n">
        <v>1</v>
      </c>
      <c r="E882" s="39" t="n">
        <v>101577.79</v>
      </c>
      <c r="F882" s="22" t="n">
        <f aca="false">IFERROR(E882,0)</f>
        <v>101577.79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40" t="s">
        <v>53</v>
      </c>
      <c r="B883" s="40" t="s">
        <v>148</v>
      </c>
      <c r="C883" s="40" t="s">
        <v>159</v>
      </c>
      <c r="D883" s="41" t="n">
        <v>33</v>
      </c>
      <c r="E883" s="42" t="n">
        <v>50</v>
      </c>
      <c r="F883" s="43" t="n">
        <f aca="false">IFERROR(D883*E883,0)</f>
        <v>1650</v>
      </c>
      <c r="G883" s="40" t="str">
        <f aca="false">INDEX(SETORES!$B:$B,MATCH(A883,SETORES!$A:$A,0))</f>
        <v>Clientes</v>
      </c>
      <c r="H883" s="40" t="s">
        <v>11</v>
      </c>
    </row>
    <row r="884" customFormat="false" ht="14.25" hidden="true" customHeight="true" outlineLevel="0" collapsed="false">
      <c r="A884" s="16" t="s">
        <v>53</v>
      </c>
      <c r="B884" s="16" t="s">
        <v>148</v>
      </c>
      <c r="C884" s="16" t="s">
        <v>180</v>
      </c>
      <c r="D884" s="38" t="n">
        <v>1</v>
      </c>
      <c r="E884" s="39" t="n">
        <v>1770.969184</v>
      </c>
      <c r="F884" s="22" t="n">
        <f aca="false">IFERROR(D884*E884,0)</f>
        <v>1770.969184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40" t="s">
        <v>53</v>
      </c>
      <c r="B885" s="40" t="s">
        <v>148</v>
      </c>
      <c r="C885" s="40" t="s">
        <v>233</v>
      </c>
      <c r="D885" s="41" t="n">
        <v>1</v>
      </c>
      <c r="E885" s="42" t="n">
        <v>6.714752</v>
      </c>
      <c r="F885" s="43" t="n">
        <f aca="false">IFERROR(D885*E885,0)</f>
        <v>6.714752</v>
      </c>
      <c r="G885" s="40" t="str">
        <f aca="false">INDEX(SETORES!$B:$B,MATCH(A885,SETORES!$A:$A,0))</f>
        <v>Clientes</v>
      </c>
      <c r="H885" s="40" t="s">
        <v>11</v>
      </c>
    </row>
    <row r="886" customFormat="false" ht="14.25" hidden="true" customHeight="true" outlineLevel="0" collapsed="false">
      <c r="A886" s="16" t="s">
        <v>53</v>
      </c>
      <c r="B886" s="16" t="s">
        <v>148</v>
      </c>
      <c r="C886" s="16" t="s">
        <v>160</v>
      </c>
      <c r="D886" s="38" t="n">
        <v>32</v>
      </c>
      <c r="E886" s="39" t="n">
        <v>9.85</v>
      </c>
      <c r="F886" s="22" t="n">
        <f aca="false">IFERROR(D886*E886,0)</f>
        <v>315.2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40" t="s">
        <v>53</v>
      </c>
      <c r="B887" s="40" t="s">
        <v>148</v>
      </c>
      <c r="C887" s="40" t="s">
        <v>161</v>
      </c>
      <c r="D887" s="41" t="n">
        <v>32</v>
      </c>
      <c r="E887" s="42" t="n">
        <v>2.04</v>
      </c>
      <c r="F887" s="43" t="n">
        <f aca="false">IFERROR(D887*E887,0)</f>
        <v>65.28</v>
      </c>
      <c r="G887" s="40" t="str">
        <f aca="false">INDEX(SETORES!$B:$B,MATCH(A887,SETORES!$A:$A,0))</f>
        <v>Clientes</v>
      </c>
      <c r="H887" s="40" t="s">
        <v>11</v>
      </c>
    </row>
    <row r="888" customFormat="false" ht="14.25" hidden="true" customHeight="true" outlineLevel="0" collapsed="false">
      <c r="A888" s="16" t="s">
        <v>51</v>
      </c>
      <c r="B888" s="16" t="s">
        <v>148</v>
      </c>
      <c r="C888" s="16" t="s">
        <v>149</v>
      </c>
      <c r="D888" s="38" t="n">
        <v>13</v>
      </c>
      <c r="E888" s="39" t="n">
        <v>0.2641</v>
      </c>
      <c r="F888" s="22" t="n">
        <v>3.4333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40" t="s">
        <v>51</v>
      </c>
      <c r="B889" s="40" t="s">
        <v>148</v>
      </c>
      <c r="C889" s="40" t="s">
        <v>150</v>
      </c>
      <c r="D889" s="41" t="n">
        <v>1</v>
      </c>
      <c r="E889" s="42" t="n">
        <v>800.367377</v>
      </c>
      <c r="F889" s="43" t="n">
        <v>800.367377</v>
      </c>
      <c r="G889" s="40" t="str">
        <f aca="false">INDEX(SETORES!$B:$B,MATCH(A889,SETORES!$A:$A,0))</f>
        <v>Clientes</v>
      </c>
      <c r="H889" s="40" t="s">
        <v>11</v>
      </c>
    </row>
    <row r="890" customFormat="false" ht="14.25" hidden="true" customHeight="true" outlineLevel="0" collapsed="false">
      <c r="A890" s="16" t="s">
        <v>51</v>
      </c>
      <c r="B890" s="16" t="s">
        <v>148</v>
      </c>
      <c r="C890" s="16" t="s">
        <v>151</v>
      </c>
      <c r="D890" s="38" t="n">
        <v>1</v>
      </c>
      <c r="E890" s="39" t="n">
        <v>113.8438</v>
      </c>
      <c r="F890" s="22" t="n">
        <v>113.8438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40" t="s">
        <v>51</v>
      </c>
      <c r="B891" s="40" t="s">
        <v>148</v>
      </c>
      <c r="C891" s="40" t="s">
        <v>152</v>
      </c>
      <c r="D891" s="41" t="n">
        <v>1</v>
      </c>
      <c r="E891" s="42" t="n">
        <v>0.325</v>
      </c>
      <c r="F891" s="43" t="n">
        <v>0.325</v>
      </c>
      <c r="G891" s="40" t="str">
        <f aca="false">INDEX(SETORES!$B:$B,MATCH(A891,SETORES!$A:$A,0))</f>
        <v>Clientes</v>
      </c>
      <c r="H891" s="40" t="s">
        <v>11</v>
      </c>
    </row>
    <row r="892" customFormat="false" ht="14.25" hidden="true" customHeight="true" outlineLevel="0" collapsed="false">
      <c r="A892" s="16" t="s">
        <v>51</v>
      </c>
      <c r="B892" s="16" t="s">
        <v>148</v>
      </c>
      <c r="C892" s="16" t="s">
        <v>153</v>
      </c>
      <c r="D892" s="38"/>
      <c r="E892" s="39"/>
      <c r="F892" s="22" t="n">
        <f aca="false">IFERROR(D892*E892,0)</f>
        <v>0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40" t="s">
        <v>51</v>
      </c>
      <c r="B893" s="40" t="s">
        <v>148</v>
      </c>
      <c r="C893" s="40" t="s">
        <v>154</v>
      </c>
      <c r="D893" s="41" t="n">
        <v>1</v>
      </c>
      <c r="E893" s="42" t="n">
        <v>150112.883730445</v>
      </c>
      <c r="F893" s="43" t="n">
        <v>150112.883730445</v>
      </c>
      <c r="G893" s="40" t="str">
        <f aca="false">INDEX(SETORES!$B:$B,MATCH(A893,SETORES!$A:$A,0))</f>
        <v>Clientes</v>
      </c>
      <c r="H893" s="40" t="s">
        <v>11</v>
      </c>
    </row>
    <row r="894" customFormat="false" ht="14.25" hidden="true" customHeight="true" outlineLevel="0" collapsed="false">
      <c r="A894" s="16" t="s">
        <v>51</v>
      </c>
      <c r="B894" s="16" t="s">
        <v>148</v>
      </c>
      <c r="C894" s="16" t="s">
        <v>159</v>
      </c>
      <c r="D894" s="38" t="n">
        <v>14</v>
      </c>
      <c r="E894" s="39" t="n">
        <v>50</v>
      </c>
      <c r="F894" s="22" t="n">
        <f aca="false">IFERROR(D894*E894,0)</f>
        <v>700</v>
      </c>
      <c r="G894" s="16" t="str">
        <f aca="false">INDEX(SETORES!$B:$B,MATCH(A894,SETORES!$A:$A,0))</f>
        <v>Clientes</v>
      </c>
      <c r="H894" s="16" t="s">
        <v>11</v>
      </c>
    </row>
    <row r="895" customFormat="false" ht="14.25" hidden="true" customHeight="true" outlineLevel="0" collapsed="false">
      <c r="A895" s="40" t="s">
        <v>51</v>
      </c>
      <c r="B895" s="40" t="s">
        <v>148</v>
      </c>
      <c r="C895" s="40" t="s">
        <v>160</v>
      </c>
      <c r="D895" s="41" t="n">
        <v>13</v>
      </c>
      <c r="E895" s="42" t="n">
        <v>9.85</v>
      </c>
      <c r="F895" s="43" t="n">
        <v>128.05</v>
      </c>
      <c r="G895" s="40" t="str">
        <f aca="false">INDEX(SETORES!$B:$B,MATCH(A895,SETORES!$A:$A,0))</f>
        <v>Clientes</v>
      </c>
      <c r="H895" s="40" t="s">
        <v>11</v>
      </c>
    </row>
    <row r="896" customFormat="false" ht="14.25" hidden="true" customHeight="true" outlineLevel="0" collapsed="false">
      <c r="A896" s="16" t="s">
        <v>51</v>
      </c>
      <c r="B896" s="16" t="s">
        <v>148</v>
      </c>
      <c r="C896" s="16" t="s">
        <v>161</v>
      </c>
      <c r="D896" s="38" t="n">
        <v>13</v>
      </c>
      <c r="E896" s="39" t="n">
        <v>2.04</v>
      </c>
      <c r="F896" s="22" t="n">
        <v>26.52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40" t="s">
        <v>53</v>
      </c>
      <c r="B897" s="40" t="s">
        <v>155</v>
      </c>
      <c r="C897" s="40" t="s">
        <v>210</v>
      </c>
      <c r="D897" s="41"/>
      <c r="E897" s="42"/>
      <c r="F897" s="43" t="n">
        <f aca="false">IFERROR(D897*E897,0)</f>
        <v>0</v>
      </c>
      <c r="G897" s="40" t="str">
        <f aca="false">INDEX(SETORES!$B:$B,MATCH(A897,SETORES!$A:$A,0))</f>
        <v>Clientes</v>
      </c>
      <c r="H897" s="40" t="s">
        <v>11</v>
      </c>
    </row>
    <row r="898" customFormat="false" ht="14.25" hidden="true" customHeight="true" outlineLevel="0" collapsed="false">
      <c r="A898" s="16" t="s">
        <v>51</v>
      </c>
      <c r="B898" s="16" t="s">
        <v>155</v>
      </c>
      <c r="C898" s="16" t="s">
        <v>210</v>
      </c>
      <c r="D898" s="38"/>
      <c r="E898" s="39"/>
      <c r="F898" s="22" t="n">
        <f aca="false">IFERROR(D898*E898,0)</f>
        <v>0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40" t="s">
        <v>54</v>
      </c>
      <c r="B899" s="40" t="s">
        <v>155</v>
      </c>
      <c r="C899" s="40" t="s">
        <v>210</v>
      </c>
      <c r="D899" s="41"/>
      <c r="E899" s="42"/>
      <c r="F899" s="43" t="n">
        <f aca="false">IFERROR(D899*E899,0)</f>
        <v>0</v>
      </c>
      <c r="G899" s="40" t="str">
        <f aca="false">INDEX(SETORES!$B:$B,MATCH(A899,SETORES!$A:$A,0))</f>
        <v>Clientes</v>
      </c>
      <c r="H899" s="40" t="s">
        <v>11</v>
      </c>
    </row>
    <row r="900" customFormat="false" ht="14.25" hidden="true" customHeight="true" outlineLevel="0" collapsed="false">
      <c r="A900" s="16" t="s">
        <v>53</v>
      </c>
      <c r="B900" s="16" t="s">
        <v>155</v>
      </c>
      <c r="C900" s="16" t="s">
        <v>158</v>
      </c>
      <c r="D900" s="38" t="n">
        <v>1</v>
      </c>
      <c r="E900" s="39" t="n">
        <v>6245.8</v>
      </c>
      <c r="F900" s="22" t="n">
        <f aca="false">IFERROR(D900*E900,0)</f>
        <v>6245.8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40" t="s">
        <v>51</v>
      </c>
      <c r="B901" s="40" t="s">
        <v>155</v>
      </c>
      <c r="C901" s="40" t="s">
        <v>215</v>
      </c>
      <c r="D901" s="41"/>
      <c r="E901" s="42"/>
      <c r="F901" s="43" t="n">
        <f aca="false">IFERROR(D901*E901,0)</f>
        <v>0</v>
      </c>
      <c r="G901" s="40" t="str">
        <f aca="false">INDEX(SETORES!$B:$B,MATCH(A901,SETORES!$A:$A,0))</f>
        <v>Clientes</v>
      </c>
      <c r="H901" s="40" t="s">
        <v>11</v>
      </c>
    </row>
    <row r="902" customFormat="false" ht="14.25" hidden="true" customHeight="true" outlineLevel="0" collapsed="false">
      <c r="A902" s="16" t="s">
        <v>35</v>
      </c>
      <c r="B902" s="16" t="s">
        <v>155</v>
      </c>
      <c r="C902" s="16" t="s">
        <v>215</v>
      </c>
      <c r="D902" s="38"/>
      <c r="E902" s="39"/>
      <c r="F902" s="22" t="n">
        <f aca="false">IFERROR(D902*E902,0)</f>
        <v>0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40" t="s">
        <v>31</v>
      </c>
      <c r="B903" s="40" t="s">
        <v>155</v>
      </c>
      <c r="C903" s="40" t="s">
        <v>215</v>
      </c>
      <c r="D903" s="41" t="n">
        <v>1</v>
      </c>
      <c r="E903" s="42" t="n">
        <v>6209</v>
      </c>
      <c r="F903" s="43" t="n">
        <f aca="false">IFERROR(D903*E903,0)</f>
        <v>6209</v>
      </c>
      <c r="G903" s="40" t="str">
        <f aca="false">INDEX(SETORES!$B:$B,MATCH(A903,SETORES!$A:$A,0))</f>
        <v>Clientes</v>
      </c>
      <c r="H903" s="40" t="s">
        <v>11</v>
      </c>
    </row>
    <row r="904" customFormat="false" ht="14.25" hidden="true" customHeight="true" outlineLevel="0" collapsed="false">
      <c r="A904" s="16" t="s">
        <v>53</v>
      </c>
      <c r="B904" s="16" t="s">
        <v>155</v>
      </c>
      <c r="C904" s="16" t="s">
        <v>215</v>
      </c>
      <c r="D904" s="38" t="n">
        <v>1</v>
      </c>
      <c r="E904" s="39" t="n">
        <v>5707.48</v>
      </c>
      <c r="F904" s="22" t="n">
        <f aca="false">IFERROR(D904*E904,0)</f>
        <v>5707.48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40" t="s">
        <v>54</v>
      </c>
      <c r="B905" s="40" t="s">
        <v>155</v>
      </c>
      <c r="C905" s="40" t="s">
        <v>215</v>
      </c>
      <c r="D905" s="41"/>
      <c r="E905" s="42"/>
      <c r="F905" s="43" t="n">
        <f aca="false">IFERROR(D905*E905,0)</f>
        <v>0</v>
      </c>
      <c r="G905" s="40" t="str">
        <f aca="false">INDEX(SETORES!$B:$B,MATCH(A905,SETORES!$A:$A,0))</f>
        <v>Clientes</v>
      </c>
      <c r="H905" s="40" t="s">
        <v>11</v>
      </c>
    </row>
    <row r="906" customFormat="false" ht="14.25" hidden="true" customHeight="true" outlineLevel="0" collapsed="false">
      <c r="A906" s="16" t="s">
        <v>55</v>
      </c>
      <c r="B906" s="16" t="s">
        <v>148</v>
      </c>
      <c r="C906" s="16" t="s">
        <v>229</v>
      </c>
      <c r="D906" s="38" t="n">
        <v>1</v>
      </c>
      <c r="E906" s="39" t="n">
        <v>21454</v>
      </c>
      <c r="F906" s="22" t="n">
        <f aca="false">IFERROR(D906*E906,0)</f>
        <v>21454</v>
      </c>
      <c r="G906" s="16" t="str">
        <f aca="false">INDEX(SETORES!$B:$B,MATCH(A906,SETORES!$A:$A,0))</f>
        <v>Funcionários</v>
      </c>
      <c r="H906" s="16" t="s">
        <v>11</v>
      </c>
    </row>
    <row r="907" customFormat="false" ht="14.25" hidden="true" customHeight="true" outlineLevel="0" collapsed="false">
      <c r="A907" s="40" t="s">
        <v>52</v>
      </c>
      <c r="B907" s="40" t="s">
        <v>155</v>
      </c>
      <c r="C907" s="40" t="s">
        <v>215</v>
      </c>
      <c r="D907" s="41"/>
      <c r="E907" s="42"/>
      <c r="F907" s="43" t="n">
        <f aca="false">IFERROR(D907*E907,0)</f>
        <v>0</v>
      </c>
      <c r="G907" s="40" t="str">
        <f aca="false">INDEX(SETORES!$B:$B,MATCH(A907,SETORES!$A:$A,0))</f>
        <v>Clientes</v>
      </c>
      <c r="H907" s="40" t="s">
        <v>11</v>
      </c>
    </row>
    <row r="908" customFormat="false" ht="14.25" hidden="true" customHeight="true" outlineLevel="0" collapsed="false">
      <c r="A908" s="16" t="s">
        <v>86</v>
      </c>
      <c r="B908" s="16" t="s">
        <v>148</v>
      </c>
      <c r="C908" s="16" t="s">
        <v>154</v>
      </c>
      <c r="D908" s="38" t="n">
        <v>1</v>
      </c>
      <c r="E908" s="39" t="n">
        <v>33078.39</v>
      </c>
      <c r="F908" s="22" t="n">
        <f aca="false">IFERROR(E908,0)</f>
        <v>33078.39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40" t="s">
        <v>86</v>
      </c>
      <c r="B909" s="40" t="s">
        <v>148</v>
      </c>
      <c r="C909" s="40" t="s">
        <v>150</v>
      </c>
      <c r="D909" s="41" t="n">
        <v>1</v>
      </c>
      <c r="E909" s="42" t="n">
        <v>114.65</v>
      </c>
      <c r="F909" s="43" t="n">
        <v>114.65</v>
      </c>
      <c r="G909" s="40" t="str">
        <f aca="false">INDEX(SETORES!$B:$B,MATCH(A909,SETORES!$A:$A,0))</f>
        <v>Clientes</v>
      </c>
      <c r="H909" s="40" t="s">
        <v>11</v>
      </c>
    </row>
    <row r="910" customFormat="false" ht="14.25" hidden="true" customHeight="true" outlineLevel="0" collapsed="false">
      <c r="A910" s="16" t="s">
        <v>83</v>
      </c>
      <c r="B910" s="16" t="s">
        <v>148</v>
      </c>
      <c r="C910" s="16" t="s">
        <v>154</v>
      </c>
      <c r="D910" s="38" t="n">
        <v>1</v>
      </c>
      <c r="E910" s="39" t="n">
        <v>6068.32</v>
      </c>
      <c r="F910" s="22" t="n">
        <f aca="false">IFERROR(E910,0)</f>
        <v>6068.32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40" t="s">
        <v>83</v>
      </c>
      <c r="B911" s="40" t="s">
        <v>148</v>
      </c>
      <c r="C911" s="40" t="s">
        <v>150</v>
      </c>
      <c r="D911" s="41" t="n">
        <v>1</v>
      </c>
      <c r="E911" s="42" t="n">
        <v>151.2</v>
      </c>
      <c r="F911" s="43" t="n">
        <v>151.2</v>
      </c>
      <c r="G911" s="40" t="str">
        <f aca="false">INDEX(SETORES!$B:$B,MATCH(A911,SETORES!$A:$A,0))</f>
        <v>Clientes</v>
      </c>
      <c r="H911" s="40" t="s">
        <v>11</v>
      </c>
    </row>
    <row r="912" customFormat="false" ht="14.25" hidden="true" customHeight="true" outlineLevel="0" collapsed="false">
      <c r="A912" s="16" t="s">
        <v>83</v>
      </c>
      <c r="B912" s="16" t="s">
        <v>155</v>
      </c>
      <c r="C912" s="16" t="s">
        <v>210</v>
      </c>
      <c r="D912" s="38" t="n">
        <v>1</v>
      </c>
      <c r="E912" s="39" t="n">
        <v>1362.25</v>
      </c>
      <c r="F912" s="22" t="n">
        <f aca="false">IFERROR(D912*E912,0)</f>
        <v>1362.25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40" t="s">
        <v>85</v>
      </c>
      <c r="B913" s="40" t="s">
        <v>148</v>
      </c>
      <c r="C913" s="40" t="s">
        <v>154</v>
      </c>
      <c r="D913" s="41" t="n">
        <v>1</v>
      </c>
      <c r="E913" s="42" t="n">
        <v>52829.79</v>
      </c>
      <c r="F913" s="43" t="n">
        <f aca="false">IFERROR(E913,0)</f>
        <v>52829.79</v>
      </c>
      <c r="G913" s="40" t="str">
        <f aca="false">INDEX(SETORES!$B:$B,MATCH(A913,SETORES!$A:$A,0))</f>
        <v>Clientes</v>
      </c>
      <c r="H913" s="40" t="s">
        <v>11</v>
      </c>
    </row>
    <row r="914" customFormat="false" ht="14.25" hidden="true" customHeight="true" outlineLevel="0" collapsed="false">
      <c r="A914" s="16" t="s">
        <v>85</v>
      </c>
      <c r="B914" s="16" t="s">
        <v>148</v>
      </c>
      <c r="C914" s="16" t="s">
        <v>150</v>
      </c>
      <c r="D914" s="38" t="n">
        <v>1</v>
      </c>
      <c r="E914" s="39" t="n">
        <v>136.5</v>
      </c>
      <c r="F914" s="22" t="n">
        <v>136.5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40" t="s">
        <v>85</v>
      </c>
      <c r="B915" s="40" t="s">
        <v>155</v>
      </c>
      <c r="C915" s="40" t="s">
        <v>210</v>
      </c>
      <c r="D915" s="41" t="n">
        <v>1</v>
      </c>
      <c r="E915" s="42" t="n">
        <v>1306.39</v>
      </c>
      <c r="F915" s="43" t="n">
        <f aca="false">IFERROR(D915*E915,0)</f>
        <v>1306.39</v>
      </c>
      <c r="G915" s="40" t="str">
        <f aca="false">INDEX(SETORES!$B:$B,MATCH(A915,SETORES!$A:$A,0))</f>
        <v>Clientes</v>
      </c>
      <c r="H915" s="40" t="s">
        <v>11</v>
      </c>
    </row>
    <row r="916" customFormat="false" ht="14.25" hidden="true" customHeight="true" outlineLevel="0" collapsed="false">
      <c r="A916" s="16" t="s">
        <v>87</v>
      </c>
      <c r="B916" s="16" t="s">
        <v>148</v>
      </c>
      <c r="C916" s="16" t="s">
        <v>154</v>
      </c>
      <c r="D916" s="38" t="n">
        <v>1</v>
      </c>
      <c r="E916" s="39" t="n">
        <v>24319.74</v>
      </c>
      <c r="F916" s="22" t="n">
        <f aca="false">IFERROR(E916,0)</f>
        <v>24319.74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40" t="s">
        <v>87</v>
      </c>
      <c r="B917" s="40" t="s">
        <v>148</v>
      </c>
      <c r="C917" s="40" t="s">
        <v>150</v>
      </c>
      <c r="D917" s="41" t="n">
        <v>1</v>
      </c>
      <c r="E917" s="42" t="n">
        <v>106.53</v>
      </c>
      <c r="F917" s="43" t="n">
        <v>106.53</v>
      </c>
      <c r="G917" s="40" t="str">
        <f aca="false">INDEX(SETORES!$B:$B,MATCH(A917,SETORES!$A:$A,0))</f>
        <v>Clientes</v>
      </c>
      <c r="H917" s="40" t="s">
        <v>11</v>
      </c>
    </row>
    <row r="918" customFormat="false" ht="14.25" hidden="true" customHeight="true" outlineLevel="0" collapsed="false">
      <c r="A918" s="16" t="s">
        <v>87</v>
      </c>
      <c r="B918" s="16" t="s">
        <v>155</v>
      </c>
      <c r="C918" s="16" t="s">
        <v>215</v>
      </c>
      <c r="D918" s="38" t="n">
        <v>1</v>
      </c>
      <c r="E918" s="39" t="n">
        <v>6209</v>
      </c>
      <c r="F918" s="22" t="n">
        <f aca="false">IFERROR(D918*E918,0)</f>
        <v>6209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40" t="s">
        <v>78</v>
      </c>
      <c r="B919" s="40" t="s">
        <v>148</v>
      </c>
      <c r="C919" s="40" t="s">
        <v>154</v>
      </c>
      <c r="D919" s="41" t="n">
        <v>1</v>
      </c>
      <c r="E919" s="42" t="n">
        <v>89682.63</v>
      </c>
      <c r="F919" s="43" t="n">
        <f aca="false">IFERROR(E919,0)</f>
        <v>89682.63</v>
      </c>
      <c r="G919" s="40" t="str">
        <f aca="false">INDEX(SETORES!$B:$B,MATCH(A919,SETORES!$A:$A,0))</f>
        <v>Clientes</v>
      </c>
      <c r="H919" s="40" t="s">
        <v>11</v>
      </c>
    </row>
    <row r="920" customFormat="false" ht="14.25" hidden="true" customHeight="true" outlineLevel="0" collapsed="false">
      <c r="A920" s="16" t="s">
        <v>81</v>
      </c>
      <c r="B920" s="16" t="s">
        <v>148</v>
      </c>
      <c r="C920" s="16" t="s">
        <v>154</v>
      </c>
      <c r="D920" s="38" t="n">
        <v>1</v>
      </c>
      <c r="E920" s="39" t="n">
        <v>12859.26</v>
      </c>
      <c r="F920" s="22" t="n">
        <f aca="false">IFERROR(E920,0)</f>
        <v>12859.26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40" t="s">
        <v>84</v>
      </c>
      <c r="B921" s="40" t="s">
        <v>148</v>
      </c>
      <c r="C921" s="40" t="s">
        <v>154</v>
      </c>
      <c r="D921" s="41" t="n">
        <v>1</v>
      </c>
      <c r="E921" s="42" t="n">
        <v>131034.59</v>
      </c>
      <c r="F921" s="43" t="n">
        <f aca="false">IFERROR(E921,0)</f>
        <v>131034.59</v>
      </c>
      <c r="G921" s="40" t="str">
        <f aca="false">INDEX(SETORES!$B:$B,MATCH(A921,SETORES!$A:$A,0))</f>
        <v>Clientes</v>
      </c>
      <c r="H921" s="40" t="s">
        <v>11</v>
      </c>
    </row>
    <row r="922" customFormat="false" ht="14.25" hidden="true" customHeight="true" outlineLevel="0" collapsed="false">
      <c r="A922" s="16" t="s">
        <v>84</v>
      </c>
      <c r="B922" s="16" t="s">
        <v>155</v>
      </c>
      <c r="C922" s="16" t="s">
        <v>210</v>
      </c>
      <c r="D922" s="38" t="n">
        <v>1</v>
      </c>
      <c r="E922" s="39" t="n">
        <v>12957.78</v>
      </c>
      <c r="F922" s="22" t="n">
        <f aca="false">IFERROR(D922*E922,0)</f>
        <v>12957.78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40" t="s">
        <v>84</v>
      </c>
      <c r="B923" s="40" t="s">
        <v>155</v>
      </c>
      <c r="C923" s="40" t="s">
        <v>214</v>
      </c>
      <c r="D923" s="41" t="n">
        <v>1</v>
      </c>
      <c r="E923" s="42" t="n">
        <v>2874.98</v>
      </c>
      <c r="F923" s="43" t="n">
        <f aca="false">IFERROR(D923*E923,0)</f>
        <v>2874.98</v>
      </c>
      <c r="G923" s="40" t="str">
        <f aca="false">INDEX(SETORES!$B:$B,MATCH(A923,SETORES!$A:$A,0))</f>
        <v>Clientes</v>
      </c>
      <c r="H923" s="40" t="s">
        <v>11</v>
      </c>
    </row>
    <row r="924" customFormat="false" ht="14.25" hidden="true" customHeight="true" outlineLevel="0" collapsed="false">
      <c r="A924" s="16" t="s">
        <v>82</v>
      </c>
      <c r="B924" s="16" t="s">
        <v>148</v>
      </c>
      <c r="C924" s="16" t="s">
        <v>154</v>
      </c>
      <c r="D924" s="38" t="n">
        <v>1</v>
      </c>
      <c r="E924" s="39" t="n">
        <v>86186.53</v>
      </c>
      <c r="F924" s="22" t="n">
        <f aca="false">IFERROR(E924,0)</f>
        <v>86186.53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40" t="s">
        <v>82</v>
      </c>
      <c r="B925" s="40" t="s">
        <v>155</v>
      </c>
      <c r="C925" s="40" t="s">
        <v>210</v>
      </c>
      <c r="D925" s="41" t="n">
        <v>1</v>
      </c>
      <c r="E925" s="42" t="n">
        <v>10705.67</v>
      </c>
      <c r="F925" s="43" t="n">
        <f aca="false">IFERROR(D925*E925,0)</f>
        <v>10705.67</v>
      </c>
      <c r="G925" s="40" t="str">
        <f aca="false">INDEX(SETORES!$B:$B,MATCH(A925,SETORES!$A:$A,0))</f>
        <v>Clientes</v>
      </c>
      <c r="H925" s="40" t="s">
        <v>11</v>
      </c>
    </row>
    <row r="926" customFormat="false" ht="14.25" hidden="true" customHeight="true" outlineLevel="0" collapsed="false">
      <c r="A926" s="16" t="s">
        <v>82</v>
      </c>
      <c r="B926" s="16" t="s">
        <v>155</v>
      </c>
      <c r="C926" s="16" t="s">
        <v>214</v>
      </c>
      <c r="D926" s="38" t="n">
        <v>1</v>
      </c>
      <c r="E926" s="39" t="n">
        <v>2848.49</v>
      </c>
      <c r="F926" s="22" t="n">
        <f aca="false">IFERROR(D926*E926,0)</f>
        <v>2848.49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40" t="s">
        <v>80</v>
      </c>
      <c r="B927" s="40" t="s">
        <v>148</v>
      </c>
      <c r="C927" s="40" t="s">
        <v>154</v>
      </c>
      <c r="D927" s="41" t="n">
        <v>1</v>
      </c>
      <c r="E927" s="42" t="n">
        <v>28674.49</v>
      </c>
      <c r="F927" s="43" t="n">
        <f aca="false">IFERROR(E927,0)</f>
        <v>28674.49</v>
      </c>
      <c r="G927" s="40" t="str">
        <f aca="false">INDEX(SETORES!$B:$B,MATCH(A927,SETORES!$A:$A,0))</f>
        <v>Clientes</v>
      </c>
      <c r="H927" s="40" t="s">
        <v>11</v>
      </c>
    </row>
    <row r="928" customFormat="false" ht="14.25" hidden="true" customHeight="true" outlineLevel="0" collapsed="false">
      <c r="A928" s="16" t="s">
        <v>80</v>
      </c>
      <c r="B928" s="16" t="s">
        <v>148</v>
      </c>
      <c r="C928" s="16" t="s">
        <v>150</v>
      </c>
      <c r="D928" s="38" t="n">
        <v>1</v>
      </c>
      <c r="E928" s="39" t="n">
        <v>46.45</v>
      </c>
      <c r="F928" s="22" t="n">
        <v>46.45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40" t="s">
        <v>54</v>
      </c>
      <c r="B929" s="40" t="s">
        <v>148</v>
      </c>
      <c r="C929" s="40" t="s">
        <v>150</v>
      </c>
      <c r="D929" s="41" t="n">
        <v>1</v>
      </c>
      <c r="E929" s="42" t="n">
        <v>97.45</v>
      </c>
      <c r="F929" s="43" t="n">
        <v>97.45</v>
      </c>
      <c r="G929" s="40" t="str">
        <f aca="false">INDEX(SETORES!$B:$B,MATCH(A929,SETORES!$A:$A,0))</f>
        <v>Clientes</v>
      </c>
      <c r="H929" s="40" t="s">
        <v>11</v>
      </c>
    </row>
    <row r="930" customFormat="false" ht="14.25" hidden="true" customHeight="true" outlineLevel="0" collapsed="false">
      <c r="A930" s="16" t="s">
        <v>81</v>
      </c>
      <c r="B930" s="16" t="s">
        <v>148</v>
      </c>
      <c r="C930" s="16" t="s">
        <v>150</v>
      </c>
      <c r="D930" s="38" t="n">
        <v>1</v>
      </c>
      <c r="E930" s="39" t="n">
        <v>50.68</v>
      </c>
      <c r="F930" s="22" t="n">
        <v>50.68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40" t="s">
        <v>86</v>
      </c>
      <c r="B931" s="40" t="s">
        <v>148</v>
      </c>
      <c r="C931" s="40" t="s">
        <v>160</v>
      </c>
      <c r="D931" s="41" t="n">
        <v>8</v>
      </c>
      <c r="E931" s="42" t="n">
        <v>9.85</v>
      </c>
      <c r="F931" s="43" t="n">
        <f aca="false">IFERROR(D931*E931,0)</f>
        <v>78.8</v>
      </c>
      <c r="G931" s="40" t="str">
        <f aca="false">INDEX(SETORES!$B:$B,MATCH(A931,SETORES!$A:$A,0))</f>
        <v>Clientes</v>
      </c>
      <c r="H931" s="40" t="s">
        <v>11</v>
      </c>
    </row>
    <row r="932" customFormat="false" ht="14.25" hidden="true" customHeight="true" outlineLevel="0" collapsed="false">
      <c r="A932" s="16" t="s">
        <v>86</v>
      </c>
      <c r="B932" s="16" t="s">
        <v>148</v>
      </c>
      <c r="C932" s="16" t="s">
        <v>161</v>
      </c>
      <c r="D932" s="38" t="n">
        <v>8</v>
      </c>
      <c r="E932" s="39" t="n">
        <v>2.04</v>
      </c>
      <c r="F932" s="22" t="n">
        <f aca="false">IFERROR(D932*E932,0)</f>
        <v>16.32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40" t="s">
        <v>86</v>
      </c>
      <c r="B933" s="40" t="s">
        <v>148</v>
      </c>
      <c r="C933" s="40" t="s">
        <v>159</v>
      </c>
      <c r="D933" s="41" t="n">
        <v>9</v>
      </c>
      <c r="E933" s="42" t="n">
        <v>50</v>
      </c>
      <c r="F933" s="43" t="n">
        <f aca="false">IFERROR(D933*E933,0)</f>
        <v>450</v>
      </c>
      <c r="G933" s="40" t="str">
        <f aca="false">INDEX(SETORES!$B:$B,MATCH(A933,SETORES!$A:$A,0))</f>
        <v>Clientes</v>
      </c>
      <c r="H933" s="40" t="s">
        <v>11</v>
      </c>
    </row>
    <row r="934" customFormat="false" ht="14.25" hidden="true" customHeight="true" outlineLevel="0" collapsed="false">
      <c r="A934" s="16" t="s">
        <v>86</v>
      </c>
      <c r="B934" s="16" t="s">
        <v>148</v>
      </c>
      <c r="C934" s="16" t="s">
        <v>163</v>
      </c>
      <c r="D934" s="38" t="n">
        <v>8</v>
      </c>
      <c r="E934" s="39" t="n">
        <v>28.31</v>
      </c>
      <c r="F934" s="22" t="n">
        <f aca="false">IFERROR(D934*E934,0)</f>
        <v>226.48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40" t="s">
        <v>86</v>
      </c>
      <c r="B935" s="40" t="s">
        <v>148</v>
      </c>
      <c r="C935" s="40" t="s">
        <v>164</v>
      </c>
      <c r="D935" s="41" t="n">
        <v>8</v>
      </c>
      <c r="E935" s="42" t="n">
        <v>47.79</v>
      </c>
      <c r="F935" s="43" t="n">
        <f aca="false">IFERROR(D935*E935,0)</f>
        <v>382.32</v>
      </c>
      <c r="G935" s="40" t="str">
        <f aca="false">INDEX(SETORES!$B:$B,MATCH(A935,SETORES!$A:$A,0))</f>
        <v>Clientes</v>
      </c>
      <c r="H935" s="40" t="s">
        <v>11</v>
      </c>
    </row>
    <row r="936" customFormat="false" ht="14.25" hidden="true" customHeight="true" outlineLevel="0" collapsed="false">
      <c r="A936" s="16" t="s">
        <v>86</v>
      </c>
      <c r="B936" s="16" t="s">
        <v>148</v>
      </c>
      <c r="C936" s="16" t="s">
        <v>162</v>
      </c>
      <c r="D936" s="38" t="n">
        <v>8</v>
      </c>
      <c r="E936" s="39" t="n">
        <v>64.54</v>
      </c>
      <c r="F936" s="22" t="n">
        <f aca="false">IFERROR(D936*E936,0)</f>
        <v>516.32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40" t="s">
        <v>83</v>
      </c>
      <c r="B937" s="40" t="s">
        <v>148</v>
      </c>
      <c r="C937" s="40" t="s">
        <v>160</v>
      </c>
      <c r="D937" s="41" t="n">
        <v>2</v>
      </c>
      <c r="E937" s="42" t="n">
        <v>9.85</v>
      </c>
      <c r="F937" s="43" t="n">
        <f aca="false">IFERROR(D937*E937,0)</f>
        <v>19.7</v>
      </c>
      <c r="G937" s="40" t="str">
        <f aca="false">INDEX(SETORES!$B:$B,MATCH(A937,SETORES!$A:$A,0))</f>
        <v>Clientes</v>
      </c>
      <c r="H937" s="40" t="s">
        <v>11</v>
      </c>
    </row>
    <row r="938" customFormat="false" ht="14.25" hidden="true" customHeight="true" outlineLevel="0" collapsed="false">
      <c r="A938" s="16" t="s">
        <v>83</v>
      </c>
      <c r="B938" s="16" t="s">
        <v>148</v>
      </c>
      <c r="C938" s="16" t="s">
        <v>161</v>
      </c>
      <c r="D938" s="38" t="n">
        <v>2</v>
      </c>
      <c r="E938" s="39" t="n">
        <v>2.04</v>
      </c>
      <c r="F938" s="22" t="n">
        <f aca="false">IFERROR(D938*E938,0)</f>
        <v>4.08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40" t="s">
        <v>83</v>
      </c>
      <c r="B939" s="40" t="s">
        <v>148</v>
      </c>
      <c r="C939" s="40" t="s">
        <v>159</v>
      </c>
      <c r="D939" s="41" t="n">
        <v>2</v>
      </c>
      <c r="E939" s="42" t="n">
        <v>50</v>
      </c>
      <c r="F939" s="43" t="n">
        <f aca="false">IFERROR(D939*E939,0)</f>
        <v>100</v>
      </c>
      <c r="G939" s="40" t="str">
        <f aca="false">INDEX(SETORES!$B:$B,MATCH(A939,SETORES!$A:$A,0))</f>
        <v>Clientes</v>
      </c>
      <c r="H939" s="40" t="s">
        <v>11</v>
      </c>
    </row>
    <row r="940" customFormat="false" ht="14.25" hidden="true" customHeight="true" outlineLevel="0" collapsed="false">
      <c r="A940" s="16" t="s">
        <v>83</v>
      </c>
      <c r="B940" s="16" t="s">
        <v>148</v>
      </c>
      <c r="C940" s="16" t="s">
        <v>163</v>
      </c>
      <c r="D940" s="38" t="n">
        <v>2</v>
      </c>
      <c r="E940" s="39" t="n">
        <v>28.31</v>
      </c>
      <c r="F940" s="22" t="n">
        <f aca="false">IFERROR(D940*E940,0)</f>
        <v>56.62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40" t="s">
        <v>83</v>
      </c>
      <c r="B941" s="40" t="s">
        <v>148</v>
      </c>
      <c r="C941" s="40" t="s">
        <v>164</v>
      </c>
      <c r="D941" s="41" t="n">
        <v>2</v>
      </c>
      <c r="E941" s="42" t="n">
        <v>47.79</v>
      </c>
      <c r="F941" s="43" t="n">
        <f aca="false">IFERROR(D941*E941,0)</f>
        <v>95.58</v>
      </c>
      <c r="G941" s="40" t="str">
        <f aca="false">INDEX(SETORES!$B:$B,MATCH(A941,SETORES!$A:$A,0))</f>
        <v>Clientes</v>
      </c>
      <c r="H941" s="40" t="s">
        <v>11</v>
      </c>
    </row>
    <row r="942" customFormat="false" ht="14.25" hidden="true" customHeight="true" outlineLevel="0" collapsed="false">
      <c r="A942" s="16" t="s">
        <v>83</v>
      </c>
      <c r="B942" s="16" t="s">
        <v>148</v>
      </c>
      <c r="C942" s="16" t="s">
        <v>162</v>
      </c>
      <c r="D942" s="38" t="n">
        <v>2</v>
      </c>
      <c r="E942" s="39" t="n">
        <v>64.54</v>
      </c>
      <c r="F942" s="22" t="n">
        <f aca="false">IFERROR(D942*E942,0)</f>
        <v>129.08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40" t="s">
        <v>85</v>
      </c>
      <c r="B943" s="40" t="s">
        <v>148</v>
      </c>
      <c r="C943" s="40" t="s">
        <v>160</v>
      </c>
      <c r="D943" s="41" t="n">
        <v>12</v>
      </c>
      <c r="E943" s="42" t="n">
        <v>9.85</v>
      </c>
      <c r="F943" s="43" t="n">
        <f aca="false">IFERROR(D943*E943,0)</f>
        <v>118.2</v>
      </c>
      <c r="G943" s="40" t="str">
        <f aca="false">INDEX(SETORES!$B:$B,MATCH(A943,SETORES!$A:$A,0))</f>
        <v>Clientes</v>
      </c>
      <c r="H943" s="40" t="s">
        <v>11</v>
      </c>
    </row>
    <row r="944" customFormat="false" ht="14.25" hidden="true" customHeight="true" outlineLevel="0" collapsed="false">
      <c r="A944" s="16" t="s">
        <v>85</v>
      </c>
      <c r="B944" s="16" t="s">
        <v>148</v>
      </c>
      <c r="C944" s="16" t="s">
        <v>161</v>
      </c>
      <c r="D944" s="38" t="n">
        <v>12</v>
      </c>
      <c r="E944" s="39" t="n">
        <v>2.04</v>
      </c>
      <c r="F944" s="22" t="n">
        <f aca="false">IFERROR(D944*E944,0)</f>
        <v>24.48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40" t="s">
        <v>85</v>
      </c>
      <c r="B945" s="40" t="s">
        <v>148</v>
      </c>
      <c r="C945" s="40" t="s">
        <v>159</v>
      </c>
      <c r="D945" s="41" t="n">
        <v>12</v>
      </c>
      <c r="E945" s="42" t="n">
        <v>50</v>
      </c>
      <c r="F945" s="43" t="n">
        <f aca="false">IFERROR(D945*E945,0)</f>
        <v>600</v>
      </c>
      <c r="G945" s="40" t="str">
        <f aca="false">INDEX(SETORES!$B:$B,MATCH(A945,SETORES!$A:$A,0))</f>
        <v>Clientes</v>
      </c>
      <c r="H945" s="40" t="s">
        <v>11</v>
      </c>
    </row>
    <row r="946" customFormat="false" ht="14.25" hidden="true" customHeight="true" outlineLevel="0" collapsed="false">
      <c r="A946" s="16" t="s">
        <v>85</v>
      </c>
      <c r="B946" s="16" t="s">
        <v>148</v>
      </c>
      <c r="C946" s="16" t="s">
        <v>163</v>
      </c>
      <c r="D946" s="38" t="n">
        <v>12</v>
      </c>
      <c r="E946" s="39" t="n">
        <v>28.31</v>
      </c>
      <c r="F946" s="22" t="n">
        <f aca="false">IFERROR(D946*E946,0)</f>
        <v>339.72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40" t="s">
        <v>85</v>
      </c>
      <c r="B947" s="40" t="s">
        <v>148</v>
      </c>
      <c r="C947" s="40" t="s">
        <v>164</v>
      </c>
      <c r="D947" s="41" t="n">
        <v>12</v>
      </c>
      <c r="E947" s="42" t="n">
        <v>47.79</v>
      </c>
      <c r="F947" s="43" t="n">
        <f aca="false">IFERROR(D947*E947,0)</f>
        <v>573.48</v>
      </c>
      <c r="G947" s="40" t="str">
        <f aca="false">INDEX(SETORES!$B:$B,MATCH(A947,SETORES!$A:$A,0))</f>
        <v>Clientes</v>
      </c>
      <c r="H947" s="40" t="s">
        <v>11</v>
      </c>
    </row>
    <row r="948" customFormat="false" ht="14.25" hidden="true" customHeight="true" outlineLevel="0" collapsed="false">
      <c r="A948" s="16" t="s">
        <v>85</v>
      </c>
      <c r="B948" s="16" t="s">
        <v>148</v>
      </c>
      <c r="C948" s="16" t="s">
        <v>162</v>
      </c>
      <c r="D948" s="38" t="n">
        <v>12</v>
      </c>
      <c r="E948" s="39" t="n">
        <v>64.54</v>
      </c>
      <c r="F948" s="22" t="n">
        <f aca="false">IFERROR(D948*E948,0)</f>
        <v>774.48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40" t="s">
        <v>87</v>
      </c>
      <c r="B949" s="40" t="s">
        <v>148</v>
      </c>
      <c r="C949" s="40" t="s">
        <v>160</v>
      </c>
      <c r="D949" s="41" t="n">
        <v>5</v>
      </c>
      <c r="E949" s="42" t="n">
        <v>9.85</v>
      </c>
      <c r="F949" s="43" t="n">
        <f aca="false">IFERROR(D949*E949,0)</f>
        <v>49.25</v>
      </c>
      <c r="G949" s="40" t="str">
        <f aca="false">INDEX(SETORES!$B:$B,MATCH(A949,SETORES!$A:$A,0))</f>
        <v>Clientes</v>
      </c>
      <c r="H949" s="40" t="s">
        <v>11</v>
      </c>
    </row>
    <row r="950" customFormat="false" ht="14.25" hidden="true" customHeight="true" outlineLevel="0" collapsed="false">
      <c r="A950" s="16" t="s">
        <v>87</v>
      </c>
      <c r="B950" s="16" t="s">
        <v>148</v>
      </c>
      <c r="C950" s="16" t="s">
        <v>161</v>
      </c>
      <c r="D950" s="38" t="n">
        <v>5</v>
      </c>
      <c r="E950" s="39" t="n">
        <v>2.04</v>
      </c>
      <c r="F950" s="22" t="n">
        <f aca="false">IFERROR(D950*E950,0)</f>
        <v>10.2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40" t="s">
        <v>87</v>
      </c>
      <c r="B951" s="40" t="s">
        <v>148</v>
      </c>
      <c r="C951" s="40" t="s">
        <v>159</v>
      </c>
      <c r="D951" s="41" t="n">
        <v>7</v>
      </c>
      <c r="E951" s="42" t="n">
        <v>92.857143</v>
      </c>
      <c r="F951" s="43" t="n">
        <f aca="false">IFERROR(D951*E951,0)</f>
        <v>650.000001</v>
      </c>
      <c r="G951" s="40" t="str">
        <f aca="false">INDEX(SETORES!$B:$B,MATCH(A951,SETORES!$A:$A,0))</f>
        <v>Clientes</v>
      </c>
      <c r="H951" s="40" t="s">
        <v>11</v>
      </c>
    </row>
    <row r="952" customFormat="false" ht="14.25" hidden="true" customHeight="true" outlineLevel="0" collapsed="false">
      <c r="A952" s="16" t="s">
        <v>87</v>
      </c>
      <c r="B952" s="16" t="s">
        <v>148</v>
      </c>
      <c r="C952" s="16" t="s">
        <v>163</v>
      </c>
      <c r="D952" s="38" t="n">
        <v>5</v>
      </c>
      <c r="E952" s="39" t="n">
        <v>28.31</v>
      </c>
      <c r="F952" s="22" t="n">
        <f aca="false">IFERROR(D952*E952,0)</f>
        <v>141.55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40" t="s">
        <v>87</v>
      </c>
      <c r="B953" s="40" t="s">
        <v>148</v>
      </c>
      <c r="C953" s="40" t="s">
        <v>164</v>
      </c>
      <c r="D953" s="41" t="n">
        <v>5</v>
      </c>
      <c r="E953" s="42" t="n">
        <v>47.79</v>
      </c>
      <c r="F953" s="43" t="n">
        <f aca="false">IFERROR(D953*E953,0)</f>
        <v>238.95</v>
      </c>
      <c r="G953" s="40" t="str">
        <f aca="false">INDEX(SETORES!$B:$B,MATCH(A953,SETORES!$A:$A,0))</f>
        <v>Clientes</v>
      </c>
      <c r="H953" s="40" t="s">
        <v>11</v>
      </c>
    </row>
    <row r="954" customFormat="false" ht="14.25" hidden="true" customHeight="true" outlineLevel="0" collapsed="false">
      <c r="A954" s="16" t="s">
        <v>87</v>
      </c>
      <c r="B954" s="16" t="s">
        <v>148</v>
      </c>
      <c r="C954" s="16" t="s">
        <v>162</v>
      </c>
      <c r="D954" s="38" t="n">
        <v>5</v>
      </c>
      <c r="E954" s="39" t="n">
        <v>64.54</v>
      </c>
      <c r="F954" s="22" t="n">
        <f aca="false">IFERROR(D954*E954,0)</f>
        <v>322.7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40" t="s">
        <v>78</v>
      </c>
      <c r="B955" s="40" t="s">
        <v>148</v>
      </c>
      <c r="C955" s="40" t="s">
        <v>160</v>
      </c>
      <c r="D955" s="41" t="n">
        <v>15</v>
      </c>
      <c r="E955" s="42" t="n">
        <v>9.85</v>
      </c>
      <c r="F955" s="43" t="n">
        <f aca="false">IFERROR(D955*E955,0)</f>
        <v>147.75</v>
      </c>
      <c r="G955" s="40" t="str">
        <f aca="false">INDEX(SETORES!$B:$B,MATCH(A955,SETORES!$A:$A,0))</f>
        <v>Clientes</v>
      </c>
      <c r="H955" s="40" t="s">
        <v>11</v>
      </c>
    </row>
    <row r="956" customFormat="false" ht="14.25" hidden="true" customHeight="true" outlineLevel="0" collapsed="false">
      <c r="A956" s="16" t="s">
        <v>78</v>
      </c>
      <c r="B956" s="16" t="s">
        <v>148</v>
      </c>
      <c r="C956" s="16" t="s">
        <v>161</v>
      </c>
      <c r="D956" s="38" t="n">
        <v>15</v>
      </c>
      <c r="E956" s="39" t="n">
        <v>2.04</v>
      </c>
      <c r="F956" s="22" t="n">
        <f aca="false">IFERROR(D956*E956,0)</f>
        <v>30.6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40" t="s">
        <v>78</v>
      </c>
      <c r="B957" s="40" t="s">
        <v>148</v>
      </c>
      <c r="C957" s="40" t="s">
        <v>159</v>
      </c>
      <c r="D957" s="41" t="n">
        <v>15</v>
      </c>
      <c r="E957" s="42" t="n">
        <v>50</v>
      </c>
      <c r="F957" s="43" t="n">
        <f aca="false">IFERROR(D957*E957,0)</f>
        <v>750</v>
      </c>
      <c r="G957" s="40" t="str">
        <f aca="false">INDEX(SETORES!$B:$B,MATCH(A957,SETORES!$A:$A,0))</f>
        <v>Clientes</v>
      </c>
      <c r="H957" s="40" t="s">
        <v>11</v>
      </c>
    </row>
    <row r="958" customFormat="false" ht="14.25" hidden="true" customHeight="true" outlineLevel="0" collapsed="false">
      <c r="A958" s="16" t="s">
        <v>78</v>
      </c>
      <c r="B958" s="16" t="s">
        <v>148</v>
      </c>
      <c r="C958" s="16" t="s">
        <v>163</v>
      </c>
      <c r="D958" s="38" t="n">
        <v>15</v>
      </c>
      <c r="E958" s="39" t="n">
        <v>28.31</v>
      </c>
      <c r="F958" s="22" t="n">
        <f aca="false">IFERROR(D958*E958,0)</f>
        <v>424.65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40" t="s">
        <v>78</v>
      </c>
      <c r="B959" s="40" t="s">
        <v>148</v>
      </c>
      <c r="C959" s="40" t="s">
        <v>164</v>
      </c>
      <c r="D959" s="41" t="n">
        <v>15</v>
      </c>
      <c r="E959" s="42" t="n">
        <v>47.79</v>
      </c>
      <c r="F959" s="43" t="n">
        <f aca="false">IFERROR(D959*E959,0)</f>
        <v>716.85</v>
      </c>
      <c r="G959" s="40" t="str">
        <f aca="false">INDEX(SETORES!$B:$B,MATCH(A959,SETORES!$A:$A,0))</f>
        <v>Clientes</v>
      </c>
      <c r="H959" s="40" t="s">
        <v>11</v>
      </c>
    </row>
    <row r="960" customFormat="false" ht="14.25" hidden="true" customHeight="true" outlineLevel="0" collapsed="false">
      <c r="A960" s="16" t="s">
        <v>78</v>
      </c>
      <c r="B960" s="16" t="s">
        <v>148</v>
      </c>
      <c r="C960" s="16" t="s">
        <v>162</v>
      </c>
      <c r="D960" s="38" t="n">
        <v>15</v>
      </c>
      <c r="E960" s="39" t="n">
        <v>64.54</v>
      </c>
      <c r="F960" s="22" t="n">
        <f aca="false">IFERROR(D960*E960,0)</f>
        <v>968.1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40" t="s">
        <v>81</v>
      </c>
      <c r="B961" s="40" t="s">
        <v>148</v>
      </c>
      <c r="C961" s="40" t="s">
        <v>160</v>
      </c>
      <c r="D961" s="41" t="n">
        <v>2</v>
      </c>
      <c r="E961" s="42" t="n">
        <v>9.85</v>
      </c>
      <c r="F961" s="43" t="n">
        <f aca="false">IFERROR(D961*E961,0)</f>
        <v>19.7</v>
      </c>
      <c r="G961" s="40" t="str">
        <f aca="false">INDEX(SETORES!$B:$B,MATCH(A961,SETORES!$A:$A,0))</f>
        <v>Clientes</v>
      </c>
      <c r="H961" s="40" t="s">
        <v>11</v>
      </c>
    </row>
    <row r="962" customFormat="false" ht="14.25" hidden="true" customHeight="true" outlineLevel="0" collapsed="false">
      <c r="A962" s="16" t="s">
        <v>81</v>
      </c>
      <c r="B962" s="16" t="s">
        <v>148</v>
      </c>
      <c r="C962" s="16" t="s">
        <v>161</v>
      </c>
      <c r="D962" s="38" t="n">
        <v>2</v>
      </c>
      <c r="E962" s="39" t="n">
        <v>2.04</v>
      </c>
      <c r="F962" s="22" t="n">
        <f aca="false">IFERROR(D962*E962,0)</f>
        <v>4.08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40" t="s">
        <v>81</v>
      </c>
      <c r="B963" s="40" t="s">
        <v>148</v>
      </c>
      <c r="C963" s="40" t="s">
        <v>159</v>
      </c>
      <c r="D963" s="41" t="n">
        <v>2</v>
      </c>
      <c r="E963" s="42" t="n">
        <v>50</v>
      </c>
      <c r="F963" s="43" t="n">
        <f aca="false">IFERROR(D963*E963,0)</f>
        <v>100</v>
      </c>
      <c r="G963" s="40" t="str">
        <f aca="false">INDEX(SETORES!$B:$B,MATCH(A963,SETORES!$A:$A,0))</f>
        <v>Clientes</v>
      </c>
      <c r="H963" s="40" t="s">
        <v>11</v>
      </c>
    </row>
    <row r="964" customFormat="false" ht="14.25" hidden="true" customHeight="true" outlineLevel="0" collapsed="false">
      <c r="A964" s="16" t="s">
        <v>81</v>
      </c>
      <c r="B964" s="16" t="s">
        <v>148</v>
      </c>
      <c r="C964" s="16" t="s">
        <v>163</v>
      </c>
      <c r="D964" s="38" t="n">
        <v>2</v>
      </c>
      <c r="E964" s="39" t="n">
        <v>28.31</v>
      </c>
      <c r="F964" s="22" t="n">
        <f aca="false">IFERROR(D964*E964,0)</f>
        <v>56.62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40" t="s">
        <v>81</v>
      </c>
      <c r="B965" s="40" t="s">
        <v>148</v>
      </c>
      <c r="C965" s="40" t="s">
        <v>164</v>
      </c>
      <c r="D965" s="41" t="n">
        <v>2</v>
      </c>
      <c r="E965" s="42" t="n">
        <v>47.79</v>
      </c>
      <c r="F965" s="43" t="n">
        <f aca="false">IFERROR(D965*E965,0)</f>
        <v>95.58</v>
      </c>
      <c r="G965" s="40" t="str">
        <f aca="false">INDEX(SETORES!$B:$B,MATCH(A965,SETORES!$A:$A,0))</f>
        <v>Clientes</v>
      </c>
      <c r="H965" s="40" t="s">
        <v>11</v>
      </c>
    </row>
    <row r="966" customFormat="false" ht="14.25" hidden="true" customHeight="true" outlineLevel="0" collapsed="false">
      <c r="A966" s="16" t="s">
        <v>81</v>
      </c>
      <c r="B966" s="16" t="s">
        <v>148</v>
      </c>
      <c r="C966" s="16" t="s">
        <v>162</v>
      </c>
      <c r="D966" s="38" t="n">
        <v>2</v>
      </c>
      <c r="E966" s="39" t="n">
        <v>64.54</v>
      </c>
      <c r="F966" s="22" t="n">
        <f aca="false">IFERROR(D966*E966,0)</f>
        <v>129.08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40" t="s">
        <v>84</v>
      </c>
      <c r="B967" s="40" t="s">
        <v>148</v>
      </c>
      <c r="C967" s="40" t="s">
        <v>160</v>
      </c>
      <c r="D967" s="41" t="n">
        <v>21</v>
      </c>
      <c r="E967" s="42" t="n">
        <v>9.85</v>
      </c>
      <c r="F967" s="43" t="n">
        <f aca="false">IFERROR(D967*E967,0)</f>
        <v>206.85</v>
      </c>
      <c r="G967" s="40" t="str">
        <f aca="false">INDEX(SETORES!$B:$B,MATCH(A967,SETORES!$A:$A,0))</f>
        <v>Clientes</v>
      </c>
      <c r="H967" s="40" t="s">
        <v>11</v>
      </c>
    </row>
    <row r="968" customFormat="false" ht="14.25" hidden="true" customHeight="true" outlineLevel="0" collapsed="false">
      <c r="A968" s="16" t="s">
        <v>84</v>
      </c>
      <c r="B968" s="16" t="s">
        <v>148</v>
      </c>
      <c r="C968" s="16" t="s">
        <v>161</v>
      </c>
      <c r="D968" s="38" t="n">
        <v>21</v>
      </c>
      <c r="E968" s="39" t="n">
        <v>2.04</v>
      </c>
      <c r="F968" s="22" t="n">
        <f aca="false">IFERROR(D968*E968,0)</f>
        <v>42.84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40" t="s">
        <v>84</v>
      </c>
      <c r="B969" s="40" t="s">
        <v>148</v>
      </c>
      <c r="C969" s="40" t="s">
        <v>159</v>
      </c>
      <c r="D969" s="41" t="n">
        <v>21</v>
      </c>
      <c r="E969" s="42" t="n">
        <v>50</v>
      </c>
      <c r="F969" s="43" t="n">
        <f aca="false">IFERROR(D969*E969,0)</f>
        <v>1050</v>
      </c>
      <c r="G969" s="40" t="str">
        <f aca="false">INDEX(SETORES!$B:$B,MATCH(A969,SETORES!$A:$A,0))</f>
        <v>Clientes</v>
      </c>
      <c r="H969" s="40" t="s">
        <v>11</v>
      </c>
    </row>
    <row r="970" customFormat="false" ht="14.25" hidden="true" customHeight="true" outlineLevel="0" collapsed="false">
      <c r="A970" s="16" t="s">
        <v>84</v>
      </c>
      <c r="B970" s="16" t="s">
        <v>148</v>
      </c>
      <c r="C970" s="16" t="s">
        <v>163</v>
      </c>
      <c r="D970" s="38" t="n">
        <v>21</v>
      </c>
      <c r="E970" s="39" t="n">
        <v>28.31</v>
      </c>
      <c r="F970" s="22" t="n">
        <f aca="false">IFERROR(D970*E970,0)</f>
        <v>594.51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40" t="s">
        <v>84</v>
      </c>
      <c r="B971" s="40" t="s">
        <v>148</v>
      </c>
      <c r="C971" s="40" t="s">
        <v>164</v>
      </c>
      <c r="D971" s="41" t="n">
        <v>21</v>
      </c>
      <c r="E971" s="42" t="n">
        <v>47.79</v>
      </c>
      <c r="F971" s="43" t="n">
        <f aca="false">IFERROR(D971*E971,0)</f>
        <v>1003.59</v>
      </c>
      <c r="G971" s="40" t="str">
        <f aca="false">INDEX(SETORES!$B:$B,MATCH(A971,SETORES!$A:$A,0))</f>
        <v>Clientes</v>
      </c>
      <c r="H971" s="40" t="s">
        <v>11</v>
      </c>
    </row>
    <row r="972" customFormat="false" ht="14.25" hidden="true" customHeight="true" outlineLevel="0" collapsed="false">
      <c r="A972" s="16" t="s">
        <v>84</v>
      </c>
      <c r="B972" s="16" t="s">
        <v>148</v>
      </c>
      <c r="C972" s="16" t="s">
        <v>162</v>
      </c>
      <c r="D972" s="38" t="n">
        <v>21</v>
      </c>
      <c r="E972" s="39" t="n">
        <v>64.54</v>
      </c>
      <c r="F972" s="22" t="n">
        <f aca="false">IFERROR(D972*E972,0)</f>
        <v>1355.34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40" t="s">
        <v>82</v>
      </c>
      <c r="B973" s="40" t="s">
        <v>148</v>
      </c>
      <c r="C973" s="40" t="s">
        <v>160</v>
      </c>
      <c r="D973" s="41" t="n">
        <v>9</v>
      </c>
      <c r="E973" s="42" t="n">
        <v>9.85</v>
      </c>
      <c r="F973" s="43" t="n">
        <f aca="false">IFERROR(D973*E973,0)</f>
        <v>88.65</v>
      </c>
      <c r="G973" s="40" t="str">
        <f aca="false">INDEX(SETORES!$B:$B,MATCH(A973,SETORES!$A:$A,0))</f>
        <v>Clientes</v>
      </c>
      <c r="H973" s="40" t="s">
        <v>11</v>
      </c>
    </row>
    <row r="974" customFormat="false" ht="14.25" hidden="true" customHeight="true" outlineLevel="0" collapsed="false">
      <c r="A974" s="16" t="s">
        <v>82</v>
      </c>
      <c r="B974" s="16" t="s">
        <v>148</v>
      </c>
      <c r="C974" s="16" t="s">
        <v>161</v>
      </c>
      <c r="D974" s="38" t="n">
        <v>9</v>
      </c>
      <c r="E974" s="39" t="n">
        <v>2.04</v>
      </c>
      <c r="F974" s="22" t="n">
        <f aca="false">IFERROR(D974*E974,0)</f>
        <v>18.36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40" t="s">
        <v>82</v>
      </c>
      <c r="B975" s="40" t="s">
        <v>148</v>
      </c>
      <c r="C975" s="40" t="s">
        <v>159</v>
      </c>
      <c r="D975" s="41" t="n">
        <v>10</v>
      </c>
      <c r="E975" s="42" t="n">
        <v>50</v>
      </c>
      <c r="F975" s="43" t="n">
        <f aca="false">IFERROR(D975*E975,0)</f>
        <v>500</v>
      </c>
      <c r="G975" s="40" t="str">
        <f aca="false">INDEX(SETORES!$B:$B,MATCH(A975,SETORES!$A:$A,0))</f>
        <v>Clientes</v>
      </c>
      <c r="H975" s="40" t="s">
        <v>11</v>
      </c>
    </row>
    <row r="976" customFormat="false" ht="14.25" hidden="true" customHeight="true" outlineLevel="0" collapsed="false">
      <c r="A976" s="16" t="s">
        <v>82</v>
      </c>
      <c r="B976" s="16" t="s">
        <v>148</v>
      </c>
      <c r="C976" s="16" t="s">
        <v>163</v>
      </c>
      <c r="D976" s="38" t="n">
        <v>9</v>
      </c>
      <c r="E976" s="39" t="n">
        <v>28.31</v>
      </c>
      <c r="F976" s="22" t="n">
        <f aca="false">IFERROR(D976*E976,0)</f>
        <v>254.79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40" t="s">
        <v>82</v>
      </c>
      <c r="B977" s="40" t="s">
        <v>148</v>
      </c>
      <c r="C977" s="40" t="s">
        <v>164</v>
      </c>
      <c r="D977" s="41" t="n">
        <v>9</v>
      </c>
      <c r="E977" s="42" t="n">
        <v>47.79</v>
      </c>
      <c r="F977" s="43" t="n">
        <f aca="false">IFERROR(D977*E977,0)</f>
        <v>430.11</v>
      </c>
      <c r="G977" s="40" t="str">
        <f aca="false">INDEX(SETORES!$B:$B,MATCH(A977,SETORES!$A:$A,0))</f>
        <v>Clientes</v>
      </c>
      <c r="H977" s="40" t="s">
        <v>11</v>
      </c>
    </row>
    <row r="978" customFormat="false" ht="14.25" hidden="true" customHeight="true" outlineLevel="0" collapsed="false">
      <c r="A978" s="16" t="s">
        <v>82</v>
      </c>
      <c r="B978" s="16" t="s">
        <v>148</v>
      </c>
      <c r="C978" s="16" t="s">
        <v>162</v>
      </c>
      <c r="D978" s="38" t="n">
        <v>9</v>
      </c>
      <c r="E978" s="39" t="n">
        <v>64.54</v>
      </c>
      <c r="F978" s="22" t="n">
        <f aca="false">IFERROR(D978*E978,0)</f>
        <v>580.86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40" t="s">
        <v>80</v>
      </c>
      <c r="B979" s="40" t="s">
        <v>148</v>
      </c>
      <c r="C979" s="40" t="s">
        <v>160</v>
      </c>
      <c r="D979" s="41" t="n">
        <v>3</v>
      </c>
      <c r="E979" s="42" t="n">
        <v>9.85</v>
      </c>
      <c r="F979" s="43" t="n">
        <f aca="false">IFERROR(D979*E979,0)</f>
        <v>29.55</v>
      </c>
      <c r="G979" s="40" t="str">
        <f aca="false">INDEX(SETORES!$B:$B,MATCH(A979,SETORES!$A:$A,0))</f>
        <v>Clientes</v>
      </c>
      <c r="H979" s="40" t="s">
        <v>11</v>
      </c>
    </row>
    <row r="980" customFormat="false" ht="14.25" hidden="true" customHeight="true" outlineLevel="0" collapsed="false">
      <c r="A980" s="16" t="s">
        <v>80</v>
      </c>
      <c r="B980" s="16" t="s">
        <v>148</v>
      </c>
      <c r="C980" s="16" t="s">
        <v>161</v>
      </c>
      <c r="D980" s="38" t="n">
        <v>3</v>
      </c>
      <c r="E980" s="39" t="n">
        <v>2.04</v>
      </c>
      <c r="F980" s="22" t="n">
        <f aca="false">IFERROR(D980*E980,0)</f>
        <v>6.12</v>
      </c>
      <c r="G980" s="16" t="str">
        <f aca="false">INDEX(SETORES!$B:$B,MATCH(A980,SETORES!$A:$A,0))</f>
        <v>Clientes</v>
      </c>
      <c r="H980" s="16" t="s">
        <v>11</v>
      </c>
    </row>
    <row r="981" customFormat="false" ht="14.25" hidden="true" customHeight="true" outlineLevel="0" collapsed="false">
      <c r="A981" s="40" t="s">
        <v>80</v>
      </c>
      <c r="B981" s="40" t="s">
        <v>148</v>
      </c>
      <c r="C981" s="40" t="s">
        <v>159</v>
      </c>
      <c r="D981" s="41" t="n">
        <v>3</v>
      </c>
      <c r="E981" s="42" t="n">
        <v>50</v>
      </c>
      <c r="F981" s="43" t="n">
        <f aca="false">IFERROR(D981*E981,0)</f>
        <v>150</v>
      </c>
      <c r="G981" s="40" t="str">
        <f aca="false">INDEX(SETORES!$B:$B,MATCH(A981,SETORES!$A:$A,0))</f>
        <v>Clientes</v>
      </c>
      <c r="H981" s="40" t="s">
        <v>11</v>
      </c>
    </row>
    <row r="982" customFormat="false" ht="14.25" hidden="true" customHeight="true" outlineLevel="0" collapsed="false">
      <c r="A982" s="16" t="s">
        <v>80</v>
      </c>
      <c r="B982" s="16" t="s">
        <v>148</v>
      </c>
      <c r="C982" s="16" t="s">
        <v>163</v>
      </c>
      <c r="D982" s="38" t="n">
        <v>3</v>
      </c>
      <c r="E982" s="39" t="n">
        <v>28.31</v>
      </c>
      <c r="F982" s="22" t="n">
        <f aca="false">IFERROR(D982*E982,0)</f>
        <v>84.93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40" t="s">
        <v>80</v>
      </c>
      <c r="B983" s="40" t="s">
        <v>148</v>
      </c>
      <c r="C983" s="40" t="s">
        <v>164</v>
      </c>
      <c r="D983" s="41" t="n">
        <v>3</v>
      </c>
      <c r="E983" s="42" t="n">
        <v>47.79</v>
      </c>
      <c r="F983" s="43" t="n">
        <f aca="false">IFERROR(D983*E983,0)</f>
        <v>143.37</v>
      </c>
      <c r="G983" s="40" t="str">
        <f aca="false">INDEX(SETORES!$B:$B,MATCH(A983,SETORES!$A:$A,0))</f>
        <v>Clientes</v>
      </c>
      <c r="H983" s="40" t="s">
        <v>11</v>
      </c>
    </row>
    <row r="984" customFormat="false" ht="14.25" hidden="true" customHeight="true" outlineLevel="0" collapsed="false">
      <c r="A984" s="16" t="s">
        <v>80</v>
      </c>
      <c r="B984" s="16" t="s">
        <v>148</v>
      </c>
      <c r="C984" s="16" t="s">
        <v>162</v>
      </c>
      <c r="D984" s="38" t="n">
        <v>3</v>
      </c>
      <c r="E984" s="39" t="n">
        <v>64.54</v>
      </c>
      <c r="F984" s="22" t="n">
        <f aca="false">IFERROR(D984*E984,0)</f>
        <v>193.62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40" t="s">
        <v>51</v>
      </c>
      <c r="B985" s="40" t="s">
        <v>148</v>
      </c>
      <c r="C985" s="40" t="s">
        <v>233</v>
      </c>
      <c r="D985" s="41" t="n">
        <v>1</v>
      </c>
      <c r="E985" s="42" t="n">
        <v>2.727868</v>
      </c>
      <c r="F985" s="43" t="n">
        <f aca="false">IFERROR(D985*E985,0)</f>
        <v>2.727868</v>
      </c>
      <c r="G985" s="40" t="str">
        <f aca="false">INDEX(SETORES!$B:$B,MATCH(A985,SETORES!$A:$A,0))</f>
        <v>Clientes</v>
      </c>
      <c r="H985" s="40" t="s">
        <v>11</v>
      </c>
    </row>
    <row r="986" customFormat="false" ht="14.25" hidden="true" customHeight="true" outlineLevel="0" collapsed="false">
      <c r="A986" s="16" t="s">
        <v>83</v>
      </c>
      <c r="B986" s="16" t="s">
        <v>148</v>
      </c>
      <c r="C986" s="16" t="s">
        <v>230</v>
      </c>
      <c r="D986" s="38" t="n">
        <v>1</v>
      </c>
      <c r="E986" s="39" t="n">
        <v>7500</v>
      </c>
      <c r="F986" s="22" t="n">
        <f aca="false">IFERROR(D986*E986,0)</f>
        <v>7500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40" t="s">
        <v>79</v>
      </c>
      <c r="B987" s="40" t="s">
        <v>148</v>
      </c>
      <c r="C987" s="40" t="s">
        <v>154</v>
      </c>
      <c r="D987" s="41" t="n">
        <v>1</v>
      </c>
      <c r="E987" s="42" t="n">
        <v>32544.89</v>
      </c>
      <c r="F987" s="43" t="n">
        <f aca="false">IFERROR(E987,0)</f>
        <v>32544.89</v>
      </c>
      <c r="G987" s="40" t="str">
        <f aca="false">INDEX(SETORES!$B:$B,MATCH(A987,SETORES!$A:$A,0))</f>
        <v>Funcionários</v>
      </c>
      <c r="H987" s="40" t="s">
        <v>11</v>
      </c>
    </row>
    <row r="988" customFormat="false" ht="14.25" hidden="true" customHeight="true" outlineLevel="0" collapsed="false">
      <c r="A988" s="16" t="s">
        <v>78</v>
      </c>
      <c r="B988" s="16" t="s">
        <v>155</v>
      </c>
      <c r="C988" s="16" t="s">
        <v>202</v>
      </c>
      <c r="D988" s="38" t="n">
        <v>15</v>
      </c>
      <c r="E988" s="39" t="n">
        <v>85.71</v>
      </c>
      <c r="F988" s="22" t="n">
        <f aca="false">IFERROR(D988*E988,0)</f>
        <v>1285.65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40" t="s">
        <v>79</v>
      </c>
      <c r="B989" s="40" t="s">
        <v>155</v>
      </c>
      <c r="C989" s="40" t="s">
        <v>202</v>
      </c>
      <c r="D989" s="41" t="n">
        <v>7</v>
      </c>
      <c r="E989" s="42" t="n">
        <v>85.71</v>
      </c>
      <c r="F989" s="43" t="n">
        <f aca="false">IFERROR(D989*E989,0)</f>
        <v>599.97</v>
      </c>
      <c r="G989" s="40" t="str">
        <f aca="false">INDEX(SETORES!$B:$B,MATCH(A989,SETORES!$A:$A,0))</f>
        <v>Funcionários</v>
      </c>
      <c r="H989" s="40" t="s">
        <v>11</v>
      </c>
    </row>
    <row r="990" customFormat="false" ht="14.25" hidden="true" customHeight="true" outlineLevel="0" collapsed="false">
      <c r="A990" s="16" t="s">
        <v>78</v>
      </c>
      <c r="B990" s="16" t="s">
        <v>148</v>
      </c>
      <c r="C990" s="16" t="s">
        <v>151</v>
      </c>
      <c r="D990" s="38" t="n">
        <v>15</v>
      </c>
      <c r="E990" s="39" t="n">
        <v>23.6877</v>
      </c>
      <c r="F990" s="22" t="n">
        <v>355.3155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40" t="s">
        <v>78</v>
      </c>
      <c r="B991" s="40" t="s">
        <v>148</v>
      </c>
      <c r="C991" s="40" t="s">
        <v>152</v>
      </c>
      <c r="D991" s="41" t="n">
        <v>15</v>
      </c>
      <c r="E991" s="42" t="n">
        <v>0.3124</v>
      </c>
      <c r="F991" s="43" t="n">
        <v>4.686</v>
      </c>
      <c r="G991" s="40" t="str">
        <f aca="false">INDEX(SETORES!$B:$B,MATCH(A991,SETORES!$A:$A,0))</f>
        <v>Clientes</v>
      </c>
      <c r="H991" s="40" t="s">
        <v>11</v>
      </c>
    </row>
    <row r="992" customFormat="false" ht="14.25" hidden="true" customHeight="true" outlineLevel="0" collapsed="false">
      <c r="A992" s="16" t="s">
        <v>79</v>
      </c>
      <c r="B992" s="16" t="s">
        <v>148</v>
      </c>
      <c r="C992" s="16" t="s">
        <v>151</v>
      </c>
      <c r="D992" s="38" t="n">
        <v>7</v>
      </c>
      <c r="E992" s="39" t="n">
        <v>23.6877</v>
      </c>
      <c r="F992" s="22" t="n">
        <v>165.8139</v>
      </c>
      <c r="G992" s="16" t="str">
        <f aca="false">INDEX(SETORES!$B:$B,MATCH(A992,SETORES!$A:$A,0))</f>
        <v>Funcionários</v>
      </c>
      <c r="H992" s="16" t="s">
        <v>11</v>
      </c>
    </row>
    <row r="993" customFormat="false" ht="14.25" hidden="true" customHeight="true" outlineLevel="0" collapsed="false">
      <c r="A993" s="40" t="s">
        <v>79</v>
      </c>
      <c r="B993" s="40" t="s">
        <v>148</v>
      </c>
      <c r="C993" s="40" t="s">
        <v>152</v>
      </c>
      <c r="D993" s="41" t="n">
        <v>7</v>
      </c>
      <c r="E993" s="42" t="n">
        <v>0.3124</v>
      </c>
      <c r="F993" s="43" t="n">
        <v>2.1868</v>
      </c>
      <c r="G993" s="40" t="str">
        <f aca="false">INDEX(SETORES!$B:$B,MATCH(A993,SETORES!$A:$A,0))</f>
        <v>Funcionários</v>
      </c>
      <c r="H993" s="40" t="s">
        <v>11</v>
      </c>
    </row>
    <row r="994" customFormat="false" ht="14.25" hidden="true" customHeight="true" outlineLevel="0" collapsed="false">
      <c r="A994" s="16" t="s">
        <v>78</v>
      </c>
      <c r="B994" s="16" t="s">
        <v>155</v>
      </c>
      <c r="C994" s="16" t="s">
        <v>215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40" t="s">
        <v>43</v>
      </c>
      <c r="B995" s="40" t="s">
        <v>155</v>
      </c>
      <c r="C995" s="40" t="s">
        <v>215</v>
      </c>
      <c r="D995" s="41"/>
      <c r="E995" s="42"/>
      <c r="F995" s="43" t="n">
        <f aca="false">IFERROR(D995*E995,0)</f>
        <v>0</v>
      </c>
      <c r="G995" s="40" t="str">
        <f aca="false">INDEX(SETORES!$B:$B,MATCH(A995,SETORES!$A:$A,0))</f>
        <v>Clientes</v>
      </c>
      <c r="H995" s="40" t="s">
        <v>11</v>
      </c>
    </row>
    <row r="996" customFormat="false" ht="14.25" hidden="true" customHeight="true" outlineLevel="0" collapsed="false">
      <c r="A996" s="16" t="s">
        <v>41</v>
      </c>
      <c r="B996" s="16" t="s">
        <v>155</v>
      </c>
      <c r="C996" s="16" t="s">
        <v>215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40" t="s">
        <v>79</v>
      </c>
      <c r="B997" s="40" t="s">
        <v>155</v>
      </c>
      <c r="C997" s="40" t="s">
        <v>215</v>
      </c>
      <c r="D997" s="41"/>
      <c r="E997" s="42"/>
      <c r="F997" s="43" t="n">
        <f aca="false">IFERROR(D997*E997,0)</f>
        <v>0</v>
      </c>
      <c r="G997" s="40" t="str">
        <f aca="false">INDEX(SETORES!$B:$B,MATCH(A997,SETORES!$A:$A,0))</f>
        <v>Funcionários</v>
      </c>
      <c r="H997" s="40" t="s">
        <v>11</v>
      </c>
    </row>
    <row r="998" customFormat="false" ht="14.25" hidden="true" customHeight="true" outlineLevel="0" collapsed="false">
      <c r="A998" s="16" t="s">
        <v>80</v>
      </c>
      <c r="B998" s="16" t="s">
        <v>155</v>
      </c>
      <c r="C998" s="16" t="s">
        <v>215</v>
      </c>
      <c r="D998" s="38"/>
      <c r="E998" s="39"/>
      <c r="F998" s="22" t="n">
        <f aca="false">IFERROR(D998*E998,0)</f>
        <v>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40" t="s">
        <v>42</v>
      </c>
      <c r="B999" s="40" t="s">
        <v>155</v>
      </c>
      <c r="C999" s="40" t="s">
        <v>215</v>
      </c>
      <c r="D999" s="41"/>
      <c r="E999" s="42"/>
      <c r="F999" s="43" t="n">
        <f aca="false">IFERROR(D999*E999,0)</f>
        <v>0</v>
      </c>
      <c r="G999" s="40" t="str">
        <f aca="false">INDEX(SETORES!$B:$B,MATCH(A999,SETORES!$A:$A,0))</f>
        <v>Clientes</v>
      </c>
      <c r="H999" s="40" t="s">
        <v>11</v>
      </c>
    </row>
    <row r="1000" customFormat="false" ht="14.25" hidden="true" customHeight="true" outlineLevel="0" collapsed="false">
      <c r="A1000" s="16" t="s">
        <v>36</v>
      </c>
      <c r="B1000" s="16" t="s">
        <v>155</v>
      </c>
      <c r="C1000" s="16" t="s">
        <v>215</v>
      </c>
      <c r="D1000" s="38"/>
      <c r="E1000" s="39"/>
      <c r="F1000" s="22" t="n">
        <f aca="false">IFERROR(D1000*E1000,0)</f>
        <v>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40" t="s">
        <v>81</v>
      </c>
      <c r="B1001" s="40" t="s">
        <v>155</v>
      </c>
      <c r="C1001" s="40" t="s">
        <v>215</v>
      </c>
      <c r="D1001" s="41"/>
      <c r="E1001" s="42"/>
      <c r="F1001" s="43" t="n">
        <f aca="false">IFERROR(D1001*E1001,0)</f>
        <v>0</v>
      </c>
      <c r="G1001" s="40" t="str">
        <f aca="false">INDEX(SETORES!$B:$B,MATCH(A1001,SETORES!$A:$A,0))</f>
        <v>Clientes</v>
      </c>
      <c r="H1001" s="40" t="s">
        <v>11</v>
      </c>
    </row>
    <row r="1002" customFormat="false" ht="14.25" hidden="true" customHeight="true" outlineLevel="0" collapsed="false">
      <c r="A1002" s="16" t="s">
        <v>82</v>
      </c>
      <c r="B1002" s="16" t="s">
        <v>155</v>
      </c>
      <c r="C1002" s="16" t="s">
        <v>215</v>
      </c>
      <c r="D1002" s="38"/>
      <c r="E1002" s="39"/>
      <c r="F1002" s="22" t="n">
        <f aca="false">IFERROR(D1002*E1002,0)</f>
        <v>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40" t="s">
        <v>34</v>
      </c>
      <c r="B1003" s="40" t="s">
        <v>155</v>
      </c>
      <c r="C1003" s="40" t="s">
        <v>215</v>
      </c>
      <c r="D1003" s="41"/>
      <c r="E1003" s="42"/>
      <c r="F1003" s="43" t="n">
        <f aca="false">IFERROR(D1003*E1003,0)</f>
        <v>0</v>
      </c>
      <c r="G1003" s="40" t="str">
        <f aca="false">INDEX(SETORES!$B:$B,MATCH(A1003,SETORES!$A:$A,0))</f>
        <v>Clientes</v>
      </c>
      <c r="H1003" s="40" t="s">
        <v>11</v>
      </c>
    </row>
    <row r="1004" customFormat="false" ht="14.25" hidden="true" customHeight="true" outlineLevel="0" collapsed="false">
      <c r="A1004" s="16" t="s">
        <v>83</v>
      </c>
      <c r="B1004" s="16" t="s">
        <v>155</v>
      </c>
      <c r="C1004" s="16" t="s">
        <v>215</v>
      </c>
      <c r="D1004" s="38"/>
      <c r="E1004" s="39"/>
      <c r="F1004" s="22" t="n">
        <f aca="false">IFERROR(D1004*E1004,0)</f>
        <v>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40" t="s">
        <v>48</v>
      </c>
      <c r="B1005" s="40" t="s">
        <v>155</v>
      </c>
      <c r="C1005" s="40" t="s">
        <v>215</v>
      </c>
      <c r="D1005" s="41"/>
      <c r="E1005" s="42"/>
      <c r="F1005" s="43" t="n">
        <f aca="false">IFERROR(D1005*E1005,0)</f>
        <v>0</v>
      </c>
      <c r="G1005" s="40" t="str">
        <f aca="false">INDEX(SETORES!$B:$B,MATCH(A1005,SETORES!$A:$A,0))</f>
        <v>Clientes</v>
      </c>
      <c r="H1005" s="40" t="s">
        <v>11</v>
      </c>
    </row>
    <row r="1006" customFormat="false" ht="14.25" hidden="true" customHeight="true" outlineLevel="0" collapsed="false">
      <c r="A1006" s="16" t="s">
        <v>85</v>
      </c>
      <c r="B1006" s="16" t="s">
        <v>155</v>
      </c>
      <c r="C1006" s="16" t="s">
        <v>215</v>
      </c>
      <c r="D1006" s="38"/>
      <c r="E1006" s="39"/>
      <c r="F1006" s="22" t="n">
        <f aca="false">IFERROR(D1006*E1006,0)</f>
        <v>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40" t="s">
        <v>49</v>
      </c>
      <c r="B1007" s="40" t="s">
        <v>155</v>
      </c>
      <c r="C1007" s="40" t="s">
        <v>215</v>
      </c>
      <c r="D1007" s="41"/>
      <c r="E1007" s="42"/>
      <c r="F1007" s="43" t="n">
        <f aca="false">IFERROR(D1007*E1007,0)</f>
        <v>0</v>
      </c>
      <c r="G1007" s="40" t="str">
        <f aca="false">INDEX(SETORES!$B:$B,MATCH(A1007,SETORES!$A:$A,0))</f>
        <v>Clientes</v>
      </c>
      <c r="H1007" s="40" t="s">
        <v>11</v>
      </c>
    </row>
    <row r="1008" customFormat="false" ht="14.25" hidden="true" customHeight="true" outlineLevel="0" collapsed="false">
      <c r="A1008" s="16" t="s">
        <v>86</v>
      </c>
      <c r="B1008" s="16" t="s">
        <v>155</v>
      </c>
      <c r="C1008" s="16" t="s">
        <v>215</v>
      </c>
      <c r="D1008" s="38"/>
      <c r="E1008" s="39"/>
      <c r="F1008" s="22" t="n">
        <f aca="false">IFERROR(D1008*E1008,0)</f>
        <v>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40" t="s">
        <v>32</v>
      </c>
      <c r="B1009" s="40" t="s">
        <v>155</v>
      </c>
      <c r="C1009" s="40" t="s">
        <v>215</v>
      </c>
      <c r="D1009" s="41"/>
      <c r="E1009" s="42"/>
      <c r="F1009" s="43" t="n">
        <f aca="false">IFERROR(D1009*E1009,0)</f>
        <v>0</v>
      </c>
      <c r="G1009" s="40" t="str">
        <f aca="false">INDEX(SETORES!$B:$B,MATCH(A1009,SETORES!$A:$A,0))</f>
        <v>Funcionários</v>
      </c>
      <c r="H1009" s="40" t="s">
        <v>11</v>
      </c>
    </row>
    <row r="1010" customFormat="false" ht="14.25" hidden="true" customHeight="true" outlineLevel="0" collapsed="false">
      <c r="A1010" s="16" t="s">
        <v>81</v>
      </c>
      <c r="B1010" s="16" t="s">
        <v>148</v>
      </c>
      <c r="C1010" s="16" t="s">
        <v>231</v>
      </c>
      <c r="D1010" s="38" t="n">
        <v>1</v>
      </c>
      <c r="E1010" s="39" t="n">
        <v>2.272728</v>
      </c>
      <c r="F1010" s="22" t="n">
        <f aca="false">IFERROR(D1010*E1010,0)</f>
        <v>2.272728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40" t="s">
        <v>87</v>
      </c>
      <c r="B1011" s="40" t="s">
        <v>148</v>
      </c>
      <c r="C1011" s="40" t="s">
        <v>231</v>
      </c>
      <c r="D1011" s="41" t="n">
        <v>1</v>
      </c>
      <c r="E1011" s="42" t="n">
        <v>5.68182</v>
      </c>
      <c r="F1011" s="43" t="n">
        <f aca="false">IFERROR(D1011*E1011,0)</f>
        <v>5.68182</v>
      </c>
      <c r="G1011" s="40" t="str">
        <f aca="false">INDEX(SETORES!$B:$B,MATCH(A1011,SETORES!$A:$A,0))</f>
        <v>Clientes</v>
      </c>
      <c r="H1011" s="40" t="s">
        <v>11</v>
      </c>
    </row>
    <row r="1012" customFormat="false" ht="14.25" hidden="true" customHeight="true" outlineLevel="0" collapsed="false">
      <c r="A1012" s="16" t="s">
        <v>54</v>
      </c>
      <c r="B1012" s="16" t="s">
        <v>148</v>
      </c>
      <c r="C1012" s="16" t="s">
        <v>231</v>
      </c>
      <c r="D1012" s="38" t="n">
        <v>1</v>
      </c>
      <c r="E1012" s="39" t="n">
        <v>11.36364</v>
      </c>
      <c r="F1012" s="22" t="n">
        <f aca="false">IFERROR(D1012*E1012,0)</f>
        <v>11.36364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40" t="s">
        <v>40</v>
      </c>
      <c r="B1013" s="40" t="s">
        <v>148</v>
      </c>
      <c r="C1013" s="40" t="s">
        <v>231</v>
      </c>
      <c r="D1013" s="41" t="n">
        <v>1</v>
      </c>
      <c r="E1013" s="42" t="n">
        <v>4.545456</v>
      </c>
      <c r="F1013" s="43" t="n">
        <f aca="false">IFERROR(D1013*E1013,0)</f>
        <v>4.545456</v>
      </c>
      <c r="G1013" s="40" t="str">
        <f aca="false">INDEX(SETORES!$B:$B,MATCH(A1013,SETORES!$A:$A,0))</f>
        <v>Clientes</v>
      </c>
      <c r="H1013" s="40" t="s">
        <v>11</v>
      </c>
    </row>
    <row r="1014" customFormat="false" ht="14.25" hidden="true" customHeight="true" outlineLevel="0" collapsed="false">
      <c r="A1014" s="16" t="s">
        <v>86</v>
      </c>
      <c r="B1014" s="16" t="s">
        <v>148</v>
      </c>
      <c r="C1014" s="16" t="s">
        <v>231</v>
      </c>
      <c r="D1014" s="38" t="n">
        <v>1</v>
      </c>
      <c r="E1014" s="39" t="n">
        <v>9.090912</v>
      </c>
      <c r="F1014" s="22" t="n">
        <f aca="false">IFERROR(D1014*E1014,0)</f>
        <v>9.090912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40" t="s">
        <v>80</v>
      </c>
      <c r="B1015" s="40" t="s">
        <v>148</v>
      </c>
      <c r="C1015" s="40" t="s">
        <v>231</v>
      </c>
      <c r="D1015" s="41" t="n">
        <v>1</v>
      </c>
      <c r="E1015" s="42" t="n">
        <v>3.409092</v>
      </c>
      <c r="F1015" s="43" t="n">
        <f aca="false">IFERROR(D1015*E1015,0)</f>
        <v>3.409092</v>
      </c>
      <c r="G1015" s="40" t="str">
        <f aca="false">INDEX(SETORES!$B:$B,MATCH(A1015,SETORES!$A:$A,0))</f>
        <v>Clientes</v>
      </c>
      <c r="H1015" s="40" t="s">
        <v>11</v>
      </c>
    </row>
    <row r="1016" customFormat="false" ht="14.25" hidden="true" customHeight="true" outlineLevel="0" collapsed="false">
      <c r="A1016" s="16" t="s">
        <v>42</v>
      </c>
      <c r="B1016" s="16" t="s">
        <v>148</v>
      </c>
      <c r="C1016" s="16" t="s">
        <v>231</v>
      </c>
      <c r="D1016" s="38" t="n">
        <v>1</v>
      </c>
      <c r="E1016" s="39" t="n">
        <v>2.272728</v>
      </c>
      <c r="F1016" s="22" t="n">
        <f aca="false">IFERROR(D1016*E1016,0)</f>
        <v>2.272728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40" t="s">
        <v>34</v>
      </c>
      <c r="B1017" s="40" t="s">
        <v>148</v>
      </c>
      <c r="C1017" s="40" t="s">
        <v>231</v>
      </c>
      <c r="D1017" s="41" t="n">
        <v>1</v>
      </c>
      <c r="E1017" s="42" t="n">
        <v>5.68182</v>
      </c>
      <c r="F1017" s="43" t="n">
        <f aca="false">IFERROR(D1017*E1017,0)</f>
        <v>5.68182</v>
      </c>
      <c r="G1017" s="40" t="str">
        <f aca="false">INDEX(SETORES!$B:$B,MATCH(A1017,SETORES!$A:$A,0))</f>
        <v>Clientes</v>
      </c>
      <c r="H1017" s="40" t="s">
        <v>11</v>
      </c>
    </row>
    <row r="1018" customFormat="false" ht="14.25" hidden="true" customHeight="true" outlineLevel="0" collapsed="false">
      <c r="A1018" s="16" t="s">
        <v>41</v>
      </c>
      <c r="B1018" s="16" t="s">
        <v>148</v>
      </c>
      <c r="C1018" s="16" t="s">
        <v>231</v>
      </c>
      <c r="D1018" s="38" t="n">
        <v>1</v>
      </c>
      <c r="E1018" s="39" t="n">
        <v>1.136364</v>
      </c>
      <c r="F1018" s="22" t="n">
        <f aca="false">IFERROR(D1018*E1018,0)</f>
        <v>1.136364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40" t="s">
        <v>35</v>
      </c>
      <c r="B1019" s="40" t="s">
        <v>148</v>
      </c>
      <c r="C1019" s="40" t="s">
        <v>205</v>
      </c>
      <c r="D1019" s="41" t="n">
        <v>1</v>
      </c>
      <c r="E1019" s="42" t="n">
        <v>30</v>
      </c>
      <c r="F1019" s="43" t="n">
        <f aca="false">IFERROR(D1019*E1019,0)</f>
        <v>30</v>
      </c>
      <c r="G1019" s="40" t="str">
        <f aca="false">INDEX(SETORES!$B:$B,MATCH(A1019,SETORES!$A:$A,0))</f>
        <v>Clientes</v>
      </c>
      <c r="H1019" s="40" t="s">
        <v>11</v>
      </c>
    </row>
    <row r="1020" customFormat="false" ht="14.25" hidden="true" customHeight="true" outlineLevel="0" collapsed="false">
      <c r="A1020" s="16" t="s">
        <v>78</v>
      </c>
      <c r="B1020" s="16" t="s">
        <v>148</v>
      </c>
      <c r="C1020" s="16" t="s">
        <v>205</v>
      </c>
      <c r="D1020" s="38" t="n">
        <v>13</v>
      </c>
      <c r="E1020" s="39" t="n">
        <v>30</v>
      </c>
      <c r="F1020" s="22" t="n">
        <f aca="false">IFERROR(D1020*E1020,0)</f>
        <v>390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40" t="s">
        <v>43</v>
      </c>
      <c r="B1021" s="40" t="s">
        <v>148</v>
      </c>
      <c r="C1021" s="40" t="s">
        <v>205</v>
      </c>
      <c r="D1021" s="41" t="n">
        <v>2</v>
      </c>
      <c r="E1021" s="42" t="n">
        <v>30</v>
      </c>
      <c r="F1021" s="43" t="n">
        <f aca="false">IFERROR(D1021*E1021,0)</f>
        <v>60</v>
      </c>
      <c r="G1021" s="40" t="str">
        <f aca="false">INDEX(SETORES!$B:$B,MATCH(A1021,SETORES!$A:$A,0))</f>
        <v>Clientes</v>
      </c>
      <c r="H1021" s="40" t="s">
        <v>11</v>
      </c>
    </row>
    <row r="1022" customFormat="false" ht="14.25" hidden="true" customHeight="true" outlineLevel="0" collapsed="false">
      <c r="A1022" s="16" t="s">
        <v>40</v>
      </c>
      <c r="B1022" s="16" t="s">
        <v>148</v>
      </c>
      <c r="C1022" s="16" t="s">
        <v>205</v>
      </c>
      <c r="D1022" s="38" t="n">
        <v>2</v>
      </c>
      <c r="E1022" s="39" t="n">
        <v>30</v>
      </c>
      <c r="F1022" s="22" t="n">
        <f aca="false">IFERROR(D1022*E1022,0)</f>
        <v>60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40" t="s">
        <v>33</v>
      </c>
      <c r="B1023" s="40" t="s">
        <v>148</v>
      </c>
      <c r="C1023" s="40" t="s">
        <v>205</v>
      </c>
      <c r="D1023" s="41" t="n">
        <v>2</v>
      </c>
      <c r="E1023" s="42" t="n">
        <v>30</v>
      </c>
      <c r="F1023" s="43" t="n">
        <f aca="false">IFERROR(D1023*E1023,0)</f>
        <v>60</v>
      </c>
      <c r="G1023" s="40" t="str">
        <f aca="false">INDEX(SETORES!$B:$B,MATCH(A1023,SETORES!$A:$A,0))</f>
        <v>Funcionários</v>
      </c>
      <c r="H1023" s="40" t="s">
        <v>11</v>
      </c>
    </row>
    <row r="1024" customFormat="false" ht="14.25" hidden="true" customHeight="true" outlineLevel="0" collapsed="false">
      <c r="A1024" s="16" t="s">
        <v>45</v>
      </c>
      <c r="B1024" s="16" t="s">
        <v>148</v>
      </c>
      <c r="C1024" s="16" t="s">
        <v>205</v>
      </c>
      <c r="D1024" s="38" t="n">
        <v>8</v>
      </c>
      <c r="E1024" s="39" t="n">
        <v>30</v>
      </c>
      <c r="F1024" s="22" t="n">
        <f aca="false">IFERROR(D1024*E1024,0)</f>
        <v>240</v>
      </c>
      <c r="G1024" s="16" t="str">
        <f aca="false">INDEX(SETORES!$B:$B,MATCH(A1024,SETORES!$A:$A,0))</f>
        <v>Clientes</v>
      </c>
      <c r="H1024" s="16" t="s">
        <v>11</v>
      </c>
    </row>
    <row r="1025" customFormat="false" ht="14.25" hidden="true" customHeight="true" outlineLevel="0" collapsed="false">
      <c r="A1025" s="40" t="s">
        <v>36</v>
      </c>
      <c r="B1025" s="40" t="s">
        <v>148</v>
      </c>
      <c r="C1025" s="40" t="s">
        <v>205</v>
      </c>
      <c r="D1025" s="41" t="n">
        <v>2</v>
      </c>
      <c r="E1025" s="42" t="n">
        <v>30</v>
      </c>
      <c r="F1025" s="43" t="n">
        <f aca="false">IFERROR(D1025*E1025,0)</f>
        <v>60</v>
      </c>
      <c r="G1025" s="40" t="str">
        <f aca="false">INDEX(SETORES!$B:$B,MATCH(A1025,SETORES!$A:$A,0))</f>
        <v>Clientes</v>
      </c>
      <c r="H1025" s="40" t="s">
        <v>11</v>
      </c>
    </row>
    <row r="1026" customFormat="false" ht="14.25" hidden="true" customHeight="true" outlineLevel="0" collapsed="false">
      <c r="A1026" s="16" t="s">
        <v>81</v>
      </c>
      <c r="B1026" s="16" t="s">
        <v>148</v>
      </c>
      <c r="C1026" s="16" t="s">
        <v>205</v>
      </c>
      <c r="D1026" s="38" t="n">
        <v>2</v>
      </c>
      <c r="E1026" s="39" t="n">
        <v>30</v>
      </c>
      <c r="F1026" s="22" t="n">
        <f aca="false">IFERROR(D1026*E1026,0)</f>
        <v>60</v>
      </c>
      <c r="G1026" s="16" t="str">
        <f aca="false">INDEX(SETORES!$B:$B,MATCH(A1026,SETORES!$A:$A,0))</f>
        <v>Clientes</v>
      </c>
      <c r="H1026" s="16" t="s">
        <v>11</v>
      </c>
    </row>
    <row r="1027" customFormat="false" ht="14.25" hidden="true" customHeight="true" outlineLevel="0" collapsed="false">
      <c r="A1027" s="40" t="s">
        <v>34</v>
      </c>
      <c r="B1027" s="40" t="s">
        <v>148</v>
      </c>
      <c r="C1027" s="40" t="s">
        <v>205</v>
      </c>
      <c r="D1027" s="41" t="n">
        <v>2</v>
      </c>
      <c r="E1027" s="42" t="n">
        <v>30</v>
      </c>
      <c r="F1027" s="43" t="n">
        <f aca="false">IFERROR(D1027*E1027,0)</f>
        <v>60</v>
      </c>
      <c r="G1027" s="40" t="str">
        <f aca="false">INDEX(SETORES!$B:$B,MATCH(A1027,SETORES!$A:$A,0))</f>
        <v>Clientes</v>
      </c>
      <c r="H1027" s="40" t="s">
        <v>11</v>
      </c>
    </row>
    <row r="1028" customFormat="false" ht="14.25" hidden="true" customHeight="true" outlineLevel="0" collapsed="false">
      <c r="A1028" s="16" t="s">
        <v>83</v>
      </c>
      <c r="B1028" s="16" t="s">
        <v>148</v>
      </c>
      <c r="C1028" s="16" t="s">
        <v>205</v>
      </c>
      <c r="D1028" s="38" t="n">
        <v>2</v>
      </c>
      <c r="E1028" s="39" t="n">
        <v>30</v>
      </c>
      <c r="F1028" s="22" t="n">
        <f aca="false">IFERROR(D1028*E1028,0)</f>
        <v>60</v>
      </c>
      <c r="G1028" s="16" t="str">
        <f aca="false">INDEX(SETORES!$B:$B,MATCH(A1028,SETORES!$A:$A,0))</f>
        <v>Clientes</v>
      </c>
      <c r="H1028" s="16" t="s">
        <v>11</v>
      </c>
    </row>
    <row r="1029" customFormat="false" ht="14.25" hidden="true" customHeight="true" outlineLevel="0" collapsed="false">
      <c r="A1029" s="40" t="s">
        <v>48</v>
      </c>
      <c r="B1029" s="40" t="s">
        <v>148</v>
      </c>
      <c r="C1029" s="40" t="s">
        <v>205</v>
      </c>
      <c r="D1029" s="41" t="n">
        <v>7</v>
      </c>
      <c r="E1029" s="42" t="n">
        <v>30</v>
      </c>
      <c r="F1029" s="43" t="n">
        <f aca="false">IFERROR(D1029*E1029,0)</f>
        <v>210</v>
      </c>
      <c r="G1029" s="40" t="str">
        <f aca="false">INDEX(SETORES!$B:$B,MATCH(A1029,SETORES!$A:$A,0))</f>
        <v>Clientes</v>
      </c>
      <c r="H1029" s="40" t="s">
        <v>11</v>
      </c>
    </row>
    <row r="1030" customFormat="false" ht="14.25" hidden="true" customHeight="true" outlineLevel="0" collapsed="false">
      <c r="A1030" s="16" t="s">
        <v>47</v>
      </c>
      <c r="B1030" s="16" t="s">
        <v>148</v>
      </c>
      <c r="C1030" s="16" t="s">
        <v>205</v>
      </c>
      <c r="D1030" s="38" t="n">
        <v>7</v>
      </c>
      <c r="E1030" s="39" t="n">
        <v>30</v>
      </c>
      <c r="F1030" s="22" t="n">
        <f aca="false">IFERROR(D1030*E1030,0)</f>
        <v>210</v>
      </c>
      <c r="G1030" s="16" t="str">
        <f aca="false">INDEX(SETORES!$B:$B,MATCH(A1030,SETORES!$A:$A,0))</f>
        <v>Clientes</v>
      </c>
      <c r="H1030" s="16" t="s">
        <v>11</v>
      </c>
    </row>
    <row r="1031" customFormat="false" ht="14.25" hidden="true" customHeight="true" outlineLevel="0" collapsed="false">
      <c r="A1031" s="40" t="s">
        <v>85</v>
      </c>
      <c r="B1031" s="40" t="s">
        <v>148</v>
      </c>
      <c r="C1031" s="40" t="s">
        <v>205</v>
      </c>
      <c r="D1031" s="41" t="n">
        <v>10</v>
      </c>
      <c r="E1031" s="42" t="n">
        <v>30</v>
      </c>
      <c r="F1031" s="43" t="n">
        <f aca="false">IFERROR(D1031*E1031,0)</f>
        <v>300</v>
      </c>
      <c r="G1031" s="40" t="str">
        <f aca="false">INDEX(SETORES!$B:$B,MATCH(A1031,SETORES!$A:$A,0))</f>
        <v>Clientes</v>
      </c>
      <c r="H1031" s="40" t="s">
        <v>11</v>
      </c>
    </row>
    <row r="1032" customFormat="false" ht="14.25" hidden="true" customHeight="true" outlineLevel="0" collapsed="false">
      <c r="A1032" s="16" t="s">
        <v>31</v>
      </c>
      <c r="B1032" s="16" t="s">
        <v>148</v>
      </c>
      <c r="C1032" s="16" t="s">
        <v>205</v>
      </c>
      <c r="D1032" s="38" t="n">
        <v>3</v>
      </c>
      <c r="E1032" s="39" t="n">
        <v>30</v>
      </c>
      <c r="F1032" s="22" t="n">
        <f aca="false">IFERROR(D1032*E1032,0)</f>
        <v>90</v>
      </c>
      <c r="G1032" s="16" t="str">
        <f aca="false">INDEX(SETORES!$B:$B,MATCH(A1032,SETORES!$A:$A,0))</f>
        <v>Clientes</v>
      </c>
      <c r="H1032" s="16" t="s">
        <v>11</v>
      </c>
    </row>
    <row r="1033" customFormat="false" ht="14.25" hidden="true" customHeight="true" outlineLevel="0" collapsed="false">
      <c r="A1033" s="40" t="s">
        <v>46</v>
      </c>
      <c r="B1033" s="40" t="s">
        <v>148</v>
      </c>
      <c r="C1033" s="40" t="s">
        <v>205</v>
      </c>
      <c r="D1033" s="41" t="n">
        <v>5</v>
      </c>
      <c r="E1033" s="42" t="n">
        <v>30</v>
      </c>
      <c r="F1033" s="43" t="n">
        <f aca="false">IFERROR(D1033*E1033,0)</f>
        <v>150</v>
      </c>
      <c r="G1033" s="40" t="str">
        <f aca="false">INDEX(SETORES!$B:$B,MATCH(A1033,SETORES!$A:$A,0))</f>
        <v>Clientes</v>
      </c>
      <c r="H1033" s="40" t="s">
        <v>11</v>
      </c>
    </row>
    <row r="1034" customFormat="false" ht="14.25" hidden="true" customHeight="true" outlineLevel="0" collapsed="false">
      <c r="A1034" s="16" t="s">
        <v>86</v>
      </c>
      <c r="B1034" s="16" t="s">
        <v>148</v>
      </c>
      <c r="C1034" s="16" t="s">
        <v>205</v>
      </c>
      <c r="D1034" s="38" t="n">
        <v>4</v>
      </c>
      <c r="E1034" s="39" t="n">
        <v>30</v>
      </c>
      <c r="F1034" s="22" t="n">
        <f aca="false">IFERROR(D1034*E1034,0)</f>
        <v>120</v>
      </c>
      <c r="G1034" s="16" t="str">
        <f aca="false">INDEX(SETORES!$B:$B,MATCH(A1034,SETORES!$A:$A,0))</f>
        <v>Clientes</v>
      </c>
      <c r="H1034" s="16" t="s">
        <v>11</v>
      </c>
    </row>
    <row r="1035" customFormat="false" ht="14.25" hidden="true" customHeight="true" outlineLevel="0" collapsed="false">
      <c r="A1035" s="40" t="s">
        <v>32</v>
      </c>
      <c r="B1035" s="40" t="s">
        <v>148</v>
      </c>
      <c r="C1035" s="40" t="s">
        <v>205</v>
      </c>
      <c r="D1035" s="41" t="n">
        <v>3</v>
      </c>
      <c r="E1035" s="42" t="n">
        <v>30</v>
      </c>
      <c r="F1035" s="43" t="n">
        <f aca="false">IFERROR(D1035*E1035,0)</f>
        <v>90</v>
      </c>
      <c r="G1035" s="40" t="str">
        <f aca="false">INDEX(SETORES!$B:$B,MATCH(A1035,SETORES!$A:$A,0))</f>
        <v>Funcionários</v>
      </c>
      <c r="H1035" s="40" t="s">
        <v>11</v>
      </c>
    </row>
    <row r="1036" customFormat="false" ht="14.25" hidden="true" customHeight="true" outlineLevel="0" collapsed="false">
      <c r="A1036" s="16" t="s">
        <v>44</v>
      </c>
      <c r="B1036" s="16" t="s">
        <v>148</v>
      </c>
      <c r="C1036" s="16" t="s">
        <v>205</v>
      </c>
      <c r="D1036" s="38" t="n">
        <v>5</v>
      </c>
      <c r="E1036" s="39" t="n">
        <v>30</v>
      </c>
      <c r="F1036" s="22" t="n">
        <f aca="false">IFERROR(D1036*E1036,0)</f>
        <v>150</v>
      </c>
      <c r="G1036" s="16" t="str">
        <f aca="false">INDEX(SETORES!$B:$B,MATCH(A1036,SETORES!$A:$A,0))</f>
        <v>Funcionários</v>
      </c>
      <c r="H1036" s="16" t="s">
        <v>11</v>
      </c>
    </row>
    <row r="1037" customFormat="false" ht="14.25" hidden="true" customHeight="true" outlineLevel="0" collapsed="false">
      <c r="A1037" s="40" t="s">
        <v>87</v>
      </c>
      <c r="B1037" s="40" t="s">
        <v>148</v>
      </c>
      <c r="C1037" s="40" t="s">
        <v>205</v>
      </c>
      <c r="D1037" s="41" t="n">
        <v>5</v>
      </c>
      <c r="E1037" s="42" t="n">
        <v>30</v>
      </c>
      <c r="F1037" s="43" t="n">
        <f aca="false">IFERROR(D1037*E1037,0)</f>
        <v>150</v>
      </c>
      <c r="G1037" s="40" t="str">
        <f aca="false">INDEX(SETORES!$B:$B,MATCH(A1037,SETORES!$A:$A,0))</f>
        <v>Clientes</v>
      </c>
      <c r="H1037" s="40" t="s">
        <v>11</v>
      </c>
    </row>
    <row r="1038" customFormat="false" ht="14.25" hidden="true" customHeight="true" outlineLevel="0" collapsed="false">
      <c r="A1038" s="40" t="s">
        <v>34</v>
      </c>
      <c r="B1038" s="40" t="s">
        <v>148</v>
      </c>
      <c r="C1038" s="40" t="s">
        <v>149</v>
      </c>
      <c r="D1038" s="41" t="n">
        <v>6</v>
      </c>
      <c r="E1038" s="42" t="n">
        <v>3.1033</v>
      </c>
      <c r="F1038" s="43" t="n">
        <v>18.6198</v>
      </c>
      <c r="G1038" s="40" t="str">
        <f aca="false">INDEX(SETORES!$B:$B,MATCH(A1038,SETORES!$A:$A,0))</f>
        <v>Clientes</v>
      </c>
      <c r="H1038" s="40" t="s">
        <v>21</v>
      </c>
    </row>
    <row r="1039" customFormat="false" ht="14.25" hidden="true" customHeight="true" outlineLevel="0" collapsed="false">
      <c r="A1039" s="16" t="s">
        <v>34</v>
      </c>
      <c r="B1039" s="16" t="s">
        <v>148</v>
      </c>
      <c r="C1039" s="16" t="s">
        <v>150</v>
      </c>
      <c r="D1039" s="38" t="n">
        <v>1</v>
      </c>
      <c r="E1039" s="39" t="n">
        <v>188.83</v>
      </c>
      <c r="F1039" s="22" t="n">
        <v>188.83</v>
      </c>
      <c r="G1039" s="16" t="str">
        <f aca="false">INDEX(SETORES!$B:$B,MATCH(A1039,SETORES!$A:$A,0))</f>
        <v>Clientes</v>
      </c>
      <c r="H1039" s="16" t="s">
        <v>21</v>
      </c>
    </row>
    <row r="1040" customFormat="false" ht="14.25" hidden="true" customHeight="true" outlineLevel="0" collapsed="false">
      <c r="A1040" s="40" t="s">
        <v>34</v>
      </c>
      <c r="B1040" s="40" t="s">
        <v>148</v>
      </c>
      <c r="C1040" s="40" t="s">
        <v>151</v>
      </c>
      <c r="D1040" s="41" t="n">
        <v>1</v>
      </c>
      <c r="E1040" s="42" t="n">
        <v>49.638</v>
      </c>
      <c r="F1040" s="43" t="n">
        <v>49.638</v>
      </c>
      <c r="G1040" s="40" t="str">
        <f aca="false">INDEX(SETORES!$B:$B,MATCH(A1040,SETORES!$A:$A,0))</f>
        <v>Clientes</v>
      </c>
      <c r="H1040" s="40" t="s">
        <v>21</v>
      </c>
    </row>
    <row r="1041" customFormat="false" ht="14.25" hidden="true" customHeight="true" outlineLevel="0" collapsed="false">
      <c r="A1041" s="16" t="s">
        <v>34</v>
      </c>
      <c r="B1041" s="16" t="s">
        <v>148</v>
      </c>
      <c r="C1041" s="16" t="s">
        <v>152</v>
      </c>
      <c r="D1041" s="38" t="n">
        <v>1</v>
      </c>
      <c r="E1041" s="39" t="n">
        <v>0.1455</v>
      </c>
      <c r="F1041" s="22" t="n">
        <v>0.1455</v>
      </c>
      <c r="G1041" s="16" t="str">
        <f aca="false">INDEX(SETORES!$B:$B,MATCH(A1041,SETORES!$A:$A,0))</f>
        <v>Clientes</v>
      </c>
      <c r="H1041" s="16" t="s">
        <v>21</v>
      </c>
    </row>
    <row r="1042" customFormat="false" ht="14.25" hidden="true" customHeight="true" outlineLevel="0" collapsed="false">
      <c r="A1042" s="40" t="s">
        <v>34</v>
      </c>
      <c r="B1042" s="40" t="s">
        <v>148</v>
      </c>
      <c r="C1042" s="40" t="s">
        <v>153</v>
      </c>
      <c r="D1042" s="41"/>
      <c r="E1042" s="42"/>
      <c r="F1042" s="43" t="n">
        <f aca="false">IFERROR(D1042*E1042,0)</f>
        <v>0</v>
      </c>
      <c r="G1042" s="40" t="str">
        <f aca="false">INDEX(SETORES!$B:$B,MATCH(A1042,SETORES!$A:$A,0))</f>
        <v>Clientes</v>
      </c>
      <c r="H1042" s="40" t="s">
        <v>21</v>
      </c>
    </row>
    <row r="1043" customFormat="false" ht="14.25" hidden="true" customHeight="true" outlineLevel="0" collapsed="false">
      <c r="A1043" s="16" t="s">
        <v>34</v>
      </c>
      <c r="B1043" s="16" t="s">
        <v>148</v>
      </c>
      <c r="C1043" s="16" t="s">
        <v>154</v>
      </c>
      <c r="D1043" s="38" t="n">
        <v>1</v>
      </c>
      <c r="E1043" s="39" t="n">
        <v>22488.24</v>
      </c>
      <c r="F1043" s="22" t="n">
        <f aca="false">IFERROR(E1043,0)</f>
        <v>22488.24</v>
      </c>
      <c r="G1043" s="16" t="str">
        <f aca="false">INDEX(SETORES!$B:$B,MATCH(A1043,SETORES!$A:$A,0))</f>
        <v>Clientes</v>
      </c>
      <c r="H1043" s="16" t="s">
        <v>21</v>
      </c>
    </row>
    <row r="1044" customFormat="false" ht="14.25" hidden="true" customHeight="true" outlineLevel="0" collapsed="false">
      <c r="A1044" s="40" t="s">
        <v>34</v>
      </c>
      <c r="B1044" s="40" t="s">
        <v>155</v>
      </c>
      <c r="C1044" s="40" t="s">
        <v>156</v>
      </c>
      <c r="D1044" s="41" t="n">
        <v>3</v>
      </c>
      <c r="E1044" s="42" t="n">
        <v>45</v>
      </c>
      <c r="F1044" s="43" t="n">
        <f aca="false">IFERROR(D1044*E1044,0)</f>
        <v>135</v>
      </c>
      <c r="G1044" s="40" t="str">
        <f aca="false">INDEX(SETORES!$B:$B,MATCH(A1044,SETORES!$A:$A,0))</f>
        <v>Clientes</v>
      </c>
      <c r="H1044" s="40" t="s">
        <v>21</v>
      </c>
    </row>
    <row r="1045" customFormat="false" ht="14.25" hidden="true" customHeight="true" outlineLevel="0" collapsed="false">
      <c r="A1045" s="16" t="s">
        <v>34</v>
      </c>
      <c r="B1045" s="16" t="s">
        <v>155</v>
      </c>
      <c r="C1045" s="16" t="s">
        <v>157</v>
      </c>
      <c r="D1045" s="38"/>
      <c r="E1045" s="39"/>
      <c r="F1045" s="22" t="n">
        <f aca="false">IFERROR(D1045*E1045,0)</f>
        <v>0</v>
      </c>
      <c r="G1045" s="16" t="str">
        <f aca="false">INDEX(SETORES!$B:$B,MATCH(A1045,SETORES!$A:$A,0))</f>
        <v>Clientes</v>
      </c>
      <c r="H1045" s="16" t="s">
        <v>21</v>
      </c>
    </row>
    <row r="1046" customFormat="false" ht="14.25" hidden="true" customHeight="true" outlineLevel="0" collapsed="false">
      <c r="A1046" s="40" t="s">
        <v>34</v>
      </c>
      <c r="B1046" s="40" t="s">
        <v>155</v>
      </c>
      <c r="C1046" s="40" t="s">
        <v>158</v>
      </c>
      <c r="D1046" s="41"/>
      <c r="E1046" s="42"/>
      <c r="F1046" s="43" t="n">
        <f aca="false">IFERROR(D1046*E1046,0)</f>
        <v>0</v>
      </c>
      <c r="G1046" s="40" t="str">
        <f aca="false">INDEX(SETORES!$B:$B,MATCH(A1046,SETORES!$A:$A,0))</f>
        <v>Clientes</v>
      </c>
      <c r="H1046" s="40" t="s">
        <v>21</v>
      </c>
    </row>
    <row r="1047" customFormat="false" ht="14.25" hidden="true" customHeight="true" outlineLevel="0" collapsed="false">
      <c r="A1047" s="16" t="s">
        <v>34</v>
      </c>
      <c r="B1047" s="16" t="s">
        <v>148</v>
      </c>
      <c r="C1047" s="16" t="s">
        <v>159</v>
      </c>
      <c r="D1047" s="38" t="n">
        <v>6</v>
      </c>
      <c r="E1047" s="39" t="n">
        <v>50</v>
      </c>
      <c r="F1047" s="22" t="n">
        <f aca="false">IFERROR(D1047*E1047,0)</f>
        <v>300</v>
      </c>
      <c r="G1047" s="16" t="str">
        <f aca="false">INDEX(SETORES!$B:$B,MATCH(A1047,SETORES!$A:$A,0))</f>
        <v>Clientes</v>
      </c>
      <c r="H1047" s="16" t="s">
        <v>21</v>
      </c>
    </row>
    <row r="1048" customFormat="false" ht="14.25" hidden="true" customHeight="true" outlineLevel="0" collapsed="false">
      <c r="A1048" s="40" t="s">
        <v>34</v>
      </c>
      <c r="B1048" s="40" t="s">
        <v>148</v>
      </c>
      <c r="C1048" s="40" t="s">
        <v>160</v>
      </c>
      <c r="D1048" s="41" t="n">
        <v>6</v>
      </c>
      <c r="E1048" s="42" t="n">
        <v>9.92</v>
      </c>
      <c r="F1048" s="43" t="n">
        <f aca="false">IFERROR(D1048*E1048,0)</f>
        <v>59.52</v>
      </c>
      <c r="G1048" s="40" t="str">
        <f aca="false">INDEX(SETORES!$B:$B,MATCH(A1048,SETORES!$A:$A,0))</f>
        <v>Clientes</v>
      </c>
      <c r="H1048" s="40" t="s">
        <v>21</v>
      </c>
    </row>
    <row r="1049" customFormat="false" ht="14.25" hidden="true" customHeight="true" outlineLevel="0" collapsed="false">
      <c r="A1049" s="16" t="s">
        <v>34</v>
      </c>
      <c r="B1049" s="16" t="s">
        <v>148</v>
      </c>
      <c r="C1049" s="16" t="s">
        <v>161</v>
      </c>
      <c r="D1049" s="38" t="n">
        <v>6</v>
      </c>
      <c r="E1049" s="39" t="n">
        <v>2.05</v>
      </c>
      <c r="F1049" s="22" t="n">
        <f aca="false">IFERROR(D1049*E1049,0)</f>
        <v>12.3</v>
      </c>
      <c r="G1049" s="16" t="str">
        <f aca="false">INDEX(SETORES!$B:$B,MATCH(A1049,SETORES!$A:$A,0))</f>
        <v>Clientes</v>
      </c>
      <c r="H1049" s="16" t="s">
        <v>21</v>
      </c>
    </row>
    <row r="1050" customFormat="false" ht="14.25" hidden="true" customHeight="true" outlineLevel="0" collapsed="false">
      <c r="A1050" s="40" t="s">
        <v>55</v>
      </c>
      <c r="B1050" s="40" t="s">
        <v>148</v>
      </c>
      <c r="C1050" s="40" t="s">
        <v>168</v>
      </c>
      <c r="D1050" s="41" t="n">
        <v>1</v>
      </c>
      <c r="E1050" s="42" t="n">
        <v>2500</v>
      </c>
      <c r="F1050" s="43" t="n">
        <f aca="false">IFERROR(D1050*E1050,0)</f>
        <v>2500</v>
      </c>
      <c r="G1050" s="40" t="str">
        <f aca="false">INDEX(SETORES!$B:$B,MATCH(A1050,SETORES!$A:$A,0))</f>
        <v>Funcionários</v>
      </c>
      <c r="H1050" s="40" t="s">
        <v>21</v>
      </c>
    </row>
    <row r="1051" customFormat="false" ht="14.25" hidden="true" customHeight="true" outlineLevel="0" collapsed="false">
      <c r="A1051" s="16" t="s">
        <v>55</v>
      </c>
      <c r="B1051" s="16" t="s">
        <v>148</v>
      </c>
      <c r="C1051" s="16" t="s">
        <v>169</v>
      </c>
      <c r="D1051" s="38" t="n">
        <v>1</v>
      </c>
      <c r="E1051" s="39" t="n">
        <v>2612.9</v>
      </c>
      <c r="F1051" s="22" t="n">
        <f aca="false">IFERROR(D1051*E1051,0)</f>
        <v>2612.9</v>
      </c>
      <c r="G1051" s="16" t="str">
        <f aca="false">INDEX(SETORES!$B:$B,MATCH(A1051,SETORES!$A:$A,0))</f>
        <v>Funcionários</v>
      </c>
      <c r="H1051" s="16" t="s">
        <v>21</v>
      </c>
    </row>
    <row r="1052" customFormat="false" ht="14.25" hidden="true" customHeight="true" outlineLevel="0" collapsed="false">
      <c r="A1052" s="40" t="s">
        <v>55</v>
      </c>
      <c r="B1052" s="40" t="s">
        <v>148</v>
      </c>
      <c r="C1052" s="40" t="s">
        <v>178</v>
      </c>
      <c r="D1052" s="41" t="n">
        <v>1</v>
      </c>
      <c r="E1052" s="42" t="n">
        <v>99</v>
      </c>
      <c r="F1052" s="43" t="n">
        <f aca="false">IFERROR(D1052*E1052,0)</f>
        <v>99</v>
      </c>
      <c r="G1052" s="40" t="str">
        <f aca="false">INDEX(SETORES!$B:$B,MATCH(A1052,SETORES!$A:$A,0))</f>
        <v>Funcionários</v>
      </c>
      <c r="H1052" s="40" t="s">
        <v>21</v>
      </c>
    </row>
    <row r="1053" customFormat="false" ht="14.25" hidden="true" customHeight="true" outlineLevel="0" collapsed="false">
      <c r="A1053" s="16" t="s">
        <v>55</v>
      </c>
      <c r="B1053" s="16" t="s">
        <v>148</v>
      </c>
      <c r="C1053" s="16" t="s">
        <v>166</v>
      </c>
      <c r="D1053" s="38" t="n">
        <v>1</v>
      </c>
      <c r="E1053" s="39" t="n">
        <v>1807.85</v>
      </c>
      <c r="F1053" s="22" t="n">
        <f aca="false">IFERROR(D1053*E1053,0)</f>
        <v>1807.85</v>
      </c>
      <c r="G1053" s="16" t="str">
        <f aca="false">INDEX(SETORES!$B:$B,MATCH(A1053,SETORES!$A:$A,0))</f>
        <v>Funcionários</v>
      </c>
      <c r="H1053" s="16" t="s">
        <v>21</v>
      </c>
    </row>
    <row r="1054" customFormat="false" ht="14.25" hidden="true" customHeight="true" outlineLevel="0" collapsed="false">
      <c r="A1054" s="40" t="s">
        <v>55</v>
      </c>
      <c r="B1054" s="40" t="s">
        <v>148</v>
      </c>
      <c r="C1054" s="40" t="s">
        <v>170</v>
      </c>
      <c r="D1054" s="41" t="n">
        <v>1</v>
      </c>
      <c r="E1054" s="42" t="n">
        <v>2559.44</v>
      </c>
      <c r="F1054" s="43" t="n">
        <f aca="false">IFERROR(D1054*E1054,0)</f>
        <v>2559.44</v>
      </c>
      <c r="G1054" s="40" t="str">
        <f aca="false">INDEX(SETORES!$B:$B,MATCH(A1054,SETORES!$A:$A,0))</f>
        <v>Funcionários</v>
      </c>
      <c r="H1054" s="40" t="s">
        <v>21</v>
      </c>
    </row>
    <row r="1055" customFormat="false" ht="14.25" hidden="true" customHeight="true" outlineLevel="0" collapsed="false">
      <c r="A1055" s="16" t="s">
        <v>55</v>
      </c>
      <c r="B1055" s="16" t="s">
        <v>148</v>
      </c>
      <c r="C1055" s="16" t="s">
        <v>232</v>
      </c>
      <c r="D1055" s="38" t="n">
        <v>1</v>
      </c>
      <c r="E1055" s="39" t="n">
        <v>4226.8</v>
      </c>
      <c r="F1055" s="22" t="n">
        <f aca="false">IFERROR(D1055*E1055,0)</f>
        <v>4226.8</v>
      </c>
      <c r="G1055" s="16" t="str">
        <f aca="false">INDEX(SETORES!$B:$B,MATCH(A1055,SETORES!$A:$A,0))</f>
        <v>Funcionários</v>
      </c>
      <c r="H1055" s="16" t="s">
        <v>21</v>
      </c>
    </row>
    <row r="1056" customFormat="false" ht="14.25" hidden="true" customHeight="true" outlineLevel="0" collapsed="false">
      <c r="A1056" s="40" t="s">
        <v>55</v>
      </c>
      <c r="B1056" s="40" t="s">
        <v>148</v>
      </c>
      <c r="C1056" s="40" t="s">
        <v>167</v>
      </c>
      <c r="D1056" s="41" t="n">
        <v>1</v>
      </c>
      <c r="E1056" s="42" t="n">
        <v>2000</v>
      </c>
      <c r="F1056" s="43" t="n">
        <f aca="false">IFERROR(D1056*E1056,0)</f>
        <v>2000</v>
      </c>
      <c r="G1056" s="40" t="str">
        <f aca="false">INDEX(SETORES!$B:$B,MATCH(A1056,SETORES!$A:$A,0))</f>
        <v>Funcionários</v>
      </c>
      <c r="H1056" s="40" t="s">
        <v>21</v>
      </c>
    </row>
    <row r="1057" customFormat="false" ht="14.25" hidden="true" customHeight="true" outlineLevel="0" collapsed="false">
      <c r="A1057" s="16" t="s">
        <v>55</v>
      </c>
      <c r="B1057" s="16" t="s">
        <v>148</v>
      </c>
      <c r="C1057" s="16" t="s">
        <v>172</v>
      </c>
      <c r="D1057" s="38" t="n">
        <v>1</v>
      </c>
      <c r="E1057" s="39" t="n">
        <v>1099.93</v>
      </c>
      <c r="F1057" s="22" t="n">
        <f aca="false">IFERROR(D1057*E1057,0)</f>
        <v>1099.93</v>
      </c>
      <c r="G1057" s="16" t="str">
        <f aca="false">INDEX(SETORES!$B:$B,MATCH(A1057,SETORES!$A:$A,0))</f>
        <v>Funcionários</v>
      </c>
      <c r="H1057" s="16" t="s">
        <v>21</v>
      </c>
    </row>
    <row r="1058" customFormat="false" ht="14.25" hidden="true" customHeight="true" outlineLevel="0" collapsed="false">
      <c r="A1058" s="40" t="s">
        <v>55</v>
      </c>
      <c r="B1058" s="40" t="s">
        <v>148</v>
      </c>
      <c r="C1058" s="40" t="s">
        <v>173</v>
      </c>
      <c r="D1058" s="41" t="n">
        <v>1</v>
      </c>
      <c r="E1058" s="42" t="n">
        <v>3800</v>
      </c>
      <c r="F1058" s="43" t="n">
        <f aca="false">IFERROR(D1058*E1058,0)</f>
        <v>3800</v>
      </c>
      <c r="G1058" s="40" t="str">
        <f aca="false">INDEX(SETORES!$B:$B,MATCH(A1058,SETORES!$A:$A,0))</f>
        <v>Funcionários</v>
      </c>
      <c r="H1058" s="40" t="s">
        <v>21</v>
      </c>
    </row>
    <row r="1059" customFormat="false" ht="14.25" hidden="true" customHeight="true" outlineLevel="0" collapsed="false">
      <c r="A1059" s="16" t="s">
        <v>55</v>
      </c>
      <c r="B1059" s="16" t="s">
        <v>148</v>
      </c>
      <c r="C1059" s="16" t="s">
        <v>174</v>
      </c>
      <c r="D1059" s="38" t="n">
        <v>1</v>
      </c>
      <c r="E1059" s="39" t="n">
        <v>2559.45</v>
      </c>
      <c r="F1059" s="22" t="n">
        <f aca="false">IFERROR(D1059*E1059,0)</f>
        <v>2559.45</v>
      </c>
      <c r="G1059" s="16" t="str">
        <f aca="false">INDEX(SETORES!$B:$B,MATCH(A1059,SETORES!$A:$A,0))</f>
        <v>Funcionários</v>
      </c>
      <c r="H1059" s="16" t="s">
        <v>21</v>
      </c>
    </row>
    <row r="1060" customFormat="false" ht="14.25" hidden="true" customHeight="true" outlineLevel="0" collapsed="false">
      <c r="A1060" s="40" t="s">
        <v>55</v>
      </c>
      <c r="B1060" s="40" t="s">
        <v>148</v>
      </c>
      <c r="C1060" s="40" t="s">
        <v>235</v>
      </c>
      <c r="D1060" s="41" t="n">
        <v>1</v>
      </c>
      <c r="E1060" s="42" t="n">
        <v>1787.09</v>
      </c>
      <c r="F1060" s="43" t="n">
        <f aca="false">IFERROR(D1060*E1060,0)</f>
        <v>1787.09</v>
      </c>
      <c r="G1060" s="40" t="str">
        <f aca="false">INDEX(SETORES!$B:$B,MATCH(A1060,SETORES!$A:$A,0))</f>
        <v>Funcionários</v>
      </c>
      <c r="H1060" s="40" t="s">
        <v>21</v>
      </c>
    </row>
    <row r="1061" customFormat="false" ht="14.25" hidden="true" customHeight="true" outlineLevel="0" collapsed="false">
      <c r="A1061" s="16" t="s">
        <v>55</v>
      </c>
      <c r="B1061" s="16" t="s">
        <v>148</v>
      </c>
      <c r="C1061" s="16" t="s">
        <v>236</v>
      </c>
      <c r="D1061" s="38" t="n">
        <v>1</v>
      </c>
      <c r="E1061" s="39" t="n">
        <v>666.2</v>
      </c>
      <c r="F1061" s="22" t="n">
        <f aca="false">IFERROR(D1061*E1061,0)</f>
        <v>666.2</v>
      </c>
      <c r="G1061" s="16" t="str">
        <f aca="false">INDEX(SETORES!$B:$B,MATCH(A1061,SETORES!$A:$A,0))</f>
        <v>Funcionários</v>
      </c>
      <c r="H1061" s="16" t="s">
        <v>21</v>
      </c>
    </row>
    <row r="1062" customFormat="false" ht="14.25" hidden="true" customHeight="true" outlineLevel="0" collapsed="false">
      <c r="A1062" s="40" t="s">
        <v>55</v>
      </c>
      <c r="B1062" s="40" t="s">
        <v>148</v>
      </c>
      <c r="C1062" s="40" t="s">
        <v>179</v>
      </c>
      <c r="D1062" s="41" t="n">
        <v>1</v>
      </c>
      <c r="E1062" s="42" t="n">
        <v>2911</v>
      </c>
      <c r="F1062" s="43" t="n">
        <f aca="false">IFERROR(D1062*E1062,0)</f>
        <v>2911</v>
      </c>
      <c r="G1062" s="40" t="str">
        <f aca="false">INDEX(SETORES!$B:$B,MATCH(A1062,SETORES!$A:$A,0))</f>
        <v>Funcionários</v>
      </c>
      <c r="H1062" s="40" t="s">
        <v>21</v>
      </c>
    </row>
    <row r="1063" customFormat="false" ht="14.25" hidden="true" customHeight="true" outlineLevel="0" collapsed="false">
      <c r="A1063" s="16" t="s">
        <v>55</v>
      </c>
      <c r="B1063" s="16" t="s">
        <v>148</v>
      </c>
      <c r="C1063" s="16" t="s">
        <v>237</v>
      </c>
      <c r="D1063" s="38" t="n">
        <v>1</v>
      </c>
      <c r="E1063" s="39" t="n">
        <v>436</v>
      </c>
      <c r="F1063" s="22" t="n">
        <f aca="false">IFERROR(D1063*E1063,0)</f>
        <v>436</v>
      </c>
      <c r="G1063" s="16" t="str">
        <f aca="false">INDEX(SETORES!$B:$B,MATCH(A1063,SETORES!$A:$A,0))</f>
        <v>Funcionários</v>
      </c>
      <c r="H1063" s="16" t="s">
        <v>21</v>
      </c>
    </row>
    <row r="1064" customFormat="false" ht="14.25" hidden="true" customHeight="true" outlineLevel="0" collapsed="false">
      <c r="A1064" s="40" t="s">
        <v>35</v>
      </c>
      <c r="B1064" s="40" t="s">
        <v>148</v>
      </c>
      <c r="C1064" s="40" t="s">
        <v>149</v>
      </c>
      <c r="D1064" s="41"/>
      <c r="E1064" s="42"/>
      <c r="F1064" s="43" t="n">
        <v>0</v>
      </c>
      <c r="G1064" s="40" t="str">
        <f aca="false">INDEX(SETORES!$B:$B,MATCH(A1064,SETORES!$A:$A,0))</f>
        <v>Clientes</v>
      </c>
      <c r="H1064" s="40" t="s">
        <v>21</v>
      </c>
    </row>
    <row r="1065" customFormat="false" ht="14.25" hidden="true" customHeight="true" outlineLevel="0" collapsed="false">
      <c r="A1065" s="16" t="s">
        <v>35</v>
      </c>
      <c r="B1065" s="16" t="s">
        <v>148</v>
      </c>
      <c r="C1065" s="16" t="s">
        <v>150</v>
      </c>
      <c r="D1065" s="38" t="n">
        <v>1</v>
      </c>
      <c r="E1065" s="39" t="n">
        <v>92.0001</v>
      </c>
      <c r="F1065" s="22" t="n">
        <v>92.0001</v>
      </c>
      <c r="G1065" s="16" t="str">
        <f aca="false">INDEX(SETORES!$B:$B,MATCH(A1065,SETORES!$A:$A,0))</f>
        <v>Clientes</v>
      </c>
      <c r="H1065" s="16" t="s">
        <v>21</v>
      </c>
    </row>
    <row r="1066" customFormat="false" ht="14.25" hidden="true" customHeight="true" outlineLevel="0" collapsed="false">
      <c r="A1066" s="40" t="s">
        <v>35</v>
      </c>
      <c r="B1066" s="40" t="s">
        <v>148</v>
      </c>
      <c r="C1066" s="40" t="s">
        <v>151</v>
      </c>
      <c r="D1066" s="41" t="n">
        <v>1</v>
      </c>
      <c r="E1066" s="42" t="n">
        <v>24.819</v>
      </c>
      <c r="F1066" s="43" t="n">
        <v>24.819</v>
      </c>
      <c r="G1066" s="40" t="str">
        <f aca="false">INDEX(SETORES!$B:$B,MATCH(A1066,SETORES!$A:$A,0))</f>
        <v>Clientes</v>
      </c>
      <c r="H1066" s="40" t="s">
        <v>21</v>
      </c>
    </row>
    <row r="1067" customFormat="false" ht="14.25" hidden="true" customHeight="true" outlineLevel="0" collapsed="false">
      <c r="A1067" s="16" t="s">
        <v>35</v>
      </c>
      <c r="B1067" s="16" t="s">
        <v>148</v>
      </c>
      <c r="C1067" s="16" t="s">
        <v>152</v>
      </c>
      <c r="D1067" s="38" t="n">
        <v>1</v>
      </c>
      <c r="E1067" s="39" t="n">
        <v>0.0727</v>
      </c>
      <c r="F1067" s="22" t="n">
        <v>0.0727</v>
      </c>
      <c r="G1067" s="16" t="str">
        <f aca="false">INDEX(SETORES!$B:$B,MATCH(A1067,SETORES!$A:$A,0))</f>
        <v>Clientes</v>
      </c>
      <c r="H1067" s="16" t="s">
        <v>21</v>
      </c>
    </row>
    <row r="1068" customFormat="false" ht="14.25" hidden="true" customHeight="true" outlineLevel="0" collapsed="false">
      <c r="A1068" s="40" t="s">
        <v>35</v>
      </c>
      <c r="B1068" s="40" t="s">
        <v>148</v>
      </c>
      <c r="C1068" s="40" t="s">
        <v>153</v>
      </c>
      <c r="D1068" s="41"/>
      <c r="E1068" s="42"/>
      <c r="F1068" s="43" t="n">
        <f aca="false">IFERROR(D1068*E1068,0)</f>
        <v>0</v>
      </c>
      <c r="G1068" s="40" t="str">
        <f aca="false">INDEX(SETORES!$B:$B,MATCH(A1068,SETORES!$A:$A,0))</f>
        <v>Clientes</v>
      </c>
      <c r="H1068" s="40" t="s">
        <v>21</v>
      </c>
    </row>
    <row r="1069" customFormat="false" ht="14.25" hidden="true" customHeight="true" outlineLevel="0" collapsed="false">
      <c r="A1069" s="16" t="s">
        <v>35</v>
      </c>
      <c r="B1069" s="16" t="s">
        <v>148</v>
      </c>
      <c r="C1069" s="16" t="s">
        <v>154</v>
      </c>
      <c r="D1069" s="38" t="n">
        <v>1</v>
      </c>
      <c r="E1069" s="39" t="n">
        <v>8929.7</v>
      </c>
      <c r="F1069" s="22" t="n">
        <f aca="false">IFERROR(E1069,0)</f>
        <v>8929.7</v>
      </c>
      <c r="G1069" s="16" t="str">
        <f aca="false">INDEX(SETORES!$B:$B,MATCH(A1069,SETORES!$A:$A,0))</f>
        <v>Clientes</v>
      </c>
      <c r="H1069" s="16" t="s">
        <v>21</v>
      </c>
    </row>
    <row r="1070" customFormat="false" ht="14.25" hidden="true" customHeight="true" outlineLevel="0" collapsed="false">
      <c r="A1070" s="40" t="s">
        <v>35</v>
      </c>
      <c r="B1070" s="40" t="s">
        <v>155</v>
      </c>
      <c r="C1070" s="40" t="s">
        <v>156</v>
      </c>
      <c r="D1070" s="41"/>
      <c r="E1070" s="42"/>
      <c r="F1070" s="43" t="n">
        <f aca="false">IFERROR(D1070*E1070,0)</f>
        <v>0</v>
      </c>
      <c r="G1070" s="40" t="str">
        <f aca="false">INDEX(SETORES!$B:$B,MATCH(A1070,SETORES!$A:$A,0))</f>
        <v>Clientes</v>
      </c>
      <c r="H1070" s="40" t="s">
        <v>21</v>
      </c>
    </row>
    <row r="1071" customFormat="false" ht="14.25" hidden="true" customHeight="true" outlineLevel="0" collapsed="false">
      <c r="A1071" s="16" t="s">
        <v>35</v>
      </c>
      <c r="B1071" s="16" t="s">
        <v>155</v>
      </c>
      <c r="C1071" s="16" t="s">
        <v>157</v>
      </c>
      <c r="D1071" s="38"/>
      <c r="E1071" s="39"/>
      <c r="F1071" s="22" t="n">
        <f aca="false">IFERROR(D1071*E1071,0)</f>
        <v>0</v>
      </c>
      <c r="G1071" s="16" t="str">
        <f aca="false">INDEX(SETORES!$B:$B,MATCH(A1071,SETORES!$A:$A,0))</f>
        <v>Clientes</v>
      </c>
      <c r="H1071" s="16" t="s">
        <v>21</v>
      </c>
    </row>
    <row r="1072" customFormat="false" ht="14.25" hidden="true" customHeight="true" outlineLevel="0" collapsed="false">
      <c r="A1072" s="40" t="s">
        <v>35</v>
      </c>
      <c r="B1072" s="40" t="s">
        <v>155</v>
      </c>
      <c r="C1072" s="40" t="s">
        <v>158</v>
      </c>
      <c r="D1072" s="41"/>
      <c r="E1072" s="42"/>
      <c r="F1072" s="43" t="n">
        <f aca="false">IFERROR(D1072*E1072,0)</f>
        <v>0</v>
      </c>
      <c r="G1072" s="40" t="str">
        <f aca="false">INDEX(SETORES!$B:$B,MATCH(A1072,SETORES!$A:$A,0))</f>
        <v>Clientes</v>
      </c>
      <c r="H1072" s="40" t="s">
        <v>21</v>
      </c>
    </row>
    <row r="1073" customFormat="false" ht="14.25" hidden="true" customHeight="true" outlineLevel="0" collapsed="false">
      <c r="A1073" s="16" t="s">
        <v>35</v>
      </c>
      <c r="B1073" s="16" t="s">
        <v>148</v>
      </c>
      <c r="C1073" s="16" t="s">
        <v>159</v>
      </c>
      <c r="D1073" s="38" t="n">
        <v>2</v>
      </c>
      <c r="E1073" s="39" t="n">
        <v>50</v>
      </c>
      <c r="F1073" s="22" t="n">
        <f aca="false">IFERROR(D1073*E1073,0)</f>
        <v>100</v>
      </c>
      <c r="G1073" s="16" t="str">
        <f aca="false">INDEX(SETORES!$B:$B,MATCH(A1073,SETORES!$A:$A,0))</f>
        <v>Clientes</v>
      </c>
      <c r="H1073" s="16" t="s">
        <v>21</v>
      </c>
    </row>
    <row r="1074" customFormat="false" ht="14.25" hidden="true" customHeight="true" outlineLevel="0" collapsed="false">
      <c r="A1074" s="40" t="s">
        <v>35</v>
      </c>
      <c r="B1074" s="40" t="s">
        <v>148</v>
      </c>
      <c r="C1074" s="40" t="s">
        <v>160</v>
      </c>
      <c r="D1074" s="41" t="n">
        <v>3</v>
      </c>
      <c r="E1074" s="42" t="n">
        <v>9.92</v>
      </c>
      <c r="F1074" s="43" t="n">
        <f aca="false">IFERROR(D1074*E1074,0)</f>
        <v>29.76</v>
      </c>
      <c r="G1074" s="40" t="str">
        <f aca="false">INDEX(SETORES!$B:$B,MATCH(A1074,SETORES!$A:$A,0))</f>
        <v>Clientes</v>
      </c>
      <c r="H1074" s="40" t="s">
        <v>21</v>
      </c>
    </row>
    <row r="1075" customFormat="false" ht="14.25" hidden="true" customHeight="true" outlineLevel="0" collapsed="false">
      <c r="A1075" s="16" t="s">
        <v>35</v>
      </c>
      <c r="B1075" s="16" t="s">
        <v>148</v>
      </c>
      <c r="C1075" s="16" t="s">
        <v>161</v>
      </c>
      <c r="D1075" s="38" t="n">
        <v>3</v>
      </c>
      <c r="E1075" s="39" t="n">
        <v>2.05</v>
      </c>
      <c r="F1075" s="22" t="n">
        <f aca="false">IFERROR(D1075*E1075,0)</f>
        <v>6.15</v>
      </c>
      <c r="G1075" s="16" t="str">
        <f aca="false">INDEX(SETORES!$B:$B,MATCH(A1075,SETORES!$A:$A,0))</f>
        <v>Clientes</v>
      </c>
      <c r="H1075" s="16" t="s">
        <v>21</v>
      </c>
    </row>
    <row r="1076" customFormat="false" ht="14.25" hidden="true" customHeight="true" outlineLevel="0" collapsed="false">
      <c r="A1076" s="40" t="s">
        <v>38</v>
      </c>
      <c r="B1076" s="40" t="s">
        <v>148</v>
      </c>
      <c r="C1076" s="40" t="s">
        <v>149</v>
      </c>
      <c r="D1076" s="41" t="n">
        <v>13</v>
      </c>
      <c r="E1076" s="42" t="n">
        <v>0.9851</v>
      </c>
      <c r="F1076" s="43" t="n">
        <v>12.8063</v>
      </c>
      <c r="G1076" s="40" t="str">
        <f aca="false">INDEX(SETORES!$B:$B,MATCH(A1076,SETORES!$A:$A,0))</f>
        <v>Clientes</v>
      </c>
      <c r="H1076" s="40" t="s">
        <v>21</v>
      </c>
    </row>
    <row r="1077" customFormat="false" ht="14.25" hidden="true" customHeight="true" outlineLevel="0" collapsed="false">
      <c r="A1077" s="16" t="s">
        <v>38</v>
      </c>
      <c r="B1077" s="16" t="s">
        <v>148</v>
      </c>
      <c r="C1077" s="16" t="s">
        <v>150</v>
      </c>
      <c r="D1077" s="38" t="n">
        <v>1</v>
      </c>
      <c r="E1077" s="39" t="n">
        <v>389.232787</v>
      </c>
      <c r="F1077" s="22" t="n">
        <v>389.232787</v>
      </c>
      <c r="G1077" s="16" t="str">
        <f aca="false">INDEX(SETORES!$B:$B,MATCH(A1077,SETORES!$A:$A,0))</f>
        <v>Clientes</v>
      </c>
      <c r="H1077" s="16" t="s">
        <v>21</v>
      </c>
    </row>
    <row r="1078" customFormat="false" ht="14.25" hidden="true" customHeight="true" outlineLevel="0" collapsed="false">
      <c r="A1078" s="40" t="s">
        <v>38</v>
      </c>
      <c r="B1078" s="40" t="s">
        <v>148</v>
      </c>
      <c r="C1078" s="40" t="s">
        <v>151</v>
      </c>
      <c r="D1078" s="41" t="n">
        <v>1</v>
      </c>
      <c r="E1078" s="42" t="n">
        <v>107.549</v>
      </c>
      <c r="F1078" s="43" t="n">
        <v>107.549</v>
      </c>
      <c r="G1078" s="40" t="str">
        <f aca="false">INDEX(SETORES!$B:$B,MATCH(A1078,SETORES!$A:$A,0))</f>
        <v>Clientes</v>
      </c>
      <c r="H1078" s="40" t="s">
        <v>21</v>
      </c>
    </row>
    <row r="1079" customFormat="false" ht="14.25" hidden="true" customHeight="true" outlineLevel="0" collapsed="false">
      <c r="A1079" s="16" t="s">
        <v>38</v>
      </c>
      <c r="B1079" s="16" t="s">
        <v>148</v>
      </c>
      <c r="C1079" s="16" t="s">
        <v>152</v>
      </c>
      <c r="D1079" s="38" t="n">
        <v>1</v>
      </c>
      <c r="E1079" s="39" t="n">
        <v>0.3152</v>
      </c>
      <c r="F1079" s="22" t="n">
        <v>0.3152</v>
      </c>
      <c r="G1079" s="16" t="str">
        <f aca="false">INDEX(SETORES!$B:$B,MATCH(A1079,SETORES!$A:$A,0))</f>
        <v>Clientes</v>
      </c>
      <c r="H1079" s="16" t="s">
        <v>21</v>
      </c>
    </row>
    <row r="1080" customFormat="false" ht="14.25" hidden="true" customHeight="true" outlineLevel="0" collapsed="false">
      <c r="A1080" s="40" t="s">
        <v>38</v>
      </c>
      <c r="B1080" s="40" t="s">
        <v>148</v>
      </c>
      <c r="C1080" s="40" t="s">
        <v>153</v>
      </c>
      <c r="D1080" s="41"/>
      <c r="E1080" s="42"/>
      <c r="F1080" s="43" t="n">
        <f aca="false">IFERROR(D1080*E1080,0)</f>
        <v>0</v>
      </c>
      <c r="G1080" s="40" t="str">
        <f aca="false">INDEX(SETORES!$B:$B,MATCH(A1080,SETORES!$A:$A,0))</f>
        <v>Clientes</v>
      </c>
      <c r="H1080" s="40" t="s">
        <v>21</v>
      </c>
    </row>
    <row r="1081" customFormat="false" ht="14.25" hidden="true" customHeight="true" outlineLevel="0" collapsed="false">
      <c r="A1081" s="16" t="s">
        <v>38</v>
      </c>
      <c r="B1081" s="16" t="s">
        <v>148</v>
      </c>
      <c r="C1081" s="16" t="s">
        <v>154</v>
      </c>
      <c r="D1081" s="38" t="n">
        <v>1</v>
      </c>
      <c r="E1081" s="39" t="n">
        <v>38898.86</v>
      </c>
      <c r="F1081" s="22" t="n">
        <f aca="false">IFERROR(E1081,0)</f>
        <v>38898.86</v>
      </c>
      <c r="G1081" s="16" t="str">
        <f aca="false">INDEX(SETORES!$B:$B,MATCH(A1081,SETORES!$A:$A,0))</f>
        <v>Clientes</v>
      </c>
      <c r="H1081" s="16" t="s">
        <v>21</v>
      </c>
    </row>
    <row r="1082" customFormat="false" ht="14.25" hidden="true" customHeight="true" outlineLevel="0" collapsed="false">
      <c r="A1082" s="40" t="s">
        <v>38</v>
      </c>
      <c r="B1082" s="40" t="s">
        <v>155</v>
      </c>
      <c r="C1082" s="40" t="s">
        <v>156</v>
      </c>
      <c r="D1082" s="41" t="n">
        <v>4</v>
      </c>
      <c r="E1082" s="42" t="n">
        <v>45</v>
      </c>
      <c r="F1082" s="43" t="n">
        <f aca="false">IFERROR(D1082*E1082,0)</f>
        <v>180</v>
      </c>
      <c r="G1082" s="40" t="str">
        <f aca="false">INDEX(SETORES!$B:$B,MATCH(A1082,SETORES!$A:$A,0))</f>
        <v>Clientes</v>
      </c>
      <c r="H1082" s="40" t="s">
        <v>21</v>
      </c>
    </row>
    <row r="1083" customFormat="false" ht="14.25" hidden="true" customHeight="true" outlineLevel="0" collapsed="false">
      <c r="A1083" s="16" t="s">
        <v>38</v>
      </c>
      <c r="B1083" s="16" t="s">
        <v>155</v>
      </c>
      <c r="C1083" s="16" t="s">
        <v>157</v>
      </c>
      <c r="D1083" s="38"/>
      <c r="E1083" s="39"/>
      <c r="F1083" s="22" t="n">
        <f aca="false">IFERROR(D1083*E1083,0)</f>
        <v>0</v>
      </c>
      <c r="G1083" s="16" t="str">
        <f aca="false">INDEX(SETORES!$B:$B,MATCH(A1083,SETORES!$A:$A,0))</f>
        <v>Clientes</v>
      </c>
      <c r="H1083" s="16" t="s">
        <v>21</v>
      </c>
    </row>
    <row r="1084" customFormat="false" ht="14.25" hidden="true" customHeight="true" outlineLevel="0" collapsed="false">
      <c r="A1084" s="40" t="s">
        <v>38</v>
      </c>
      <c r="B1084" s="40" t="s">
        <v>155</v>
      </c>
      <c r="C1084" s="40" t="s">
        <v>215</v>
      </c>
      <c r="D1084" s="41"/>
      <c r="E1084" s="42"/>
      <c r="F1084" s="43" t="n">
        <f aca="false">IFERROR(D1084*E1084,0)</f>
        <v>0</v>
      </c>
      <c r="G1084" s="40" t="str">
        <f aca="false">INDEX(SETORES!$B:$B,MATCH(A1084,SETORES!$A:$A,0))</f>
        <v>Clientes</v>
      </c>
      <c r="H1084" s="40" t="s">
        <v>21</v>
      </c>
    </row>
    <row r="1085" customFormat="false" ht="14.25" hidden="true" customHeight="true" outlineLevel="0" collapsed="false">
      <c r="A1085" s="16" t="s">
        <v>38</v>
      </c>
      <c r="B1085" s="16" t="s">
        <v>148</v>
      </c>
      <c r="C1085" s="16" t="s">
        <v>159</v>
      </c>
      <c r="D1085" s="38" t="n">
        <v>1</v>
      </c>
      <c r="E1085" s="39" t="n">
        <v>50</v>
      </c>
      <c r="F1085" s="22" t="n">
        <f aca="false">IFERROR(D1085*E1085,0)</f>
        <v>50</v>
      </c>
      <c r="G1085" s="16" t="str">
        <f aca="false">INDEX(SETORES!$B:$B,MATCH(A1085,SETORES!$A:$A,0))</f>
        <v>Clientes</v>
      </c>
      <c r="H1085" s="16" t="s">
        <v>21</v>
      </c>
    </row>
    <row r="1086" customFormat="false" ht="14.25" hidden="true" customHeight="true" outlineLevel="0" collapsed="false">
      <c r="A1086" s="40" t="s">
        <v>38</v>
      </c>
      <c r="B1086" s="40" t="s">
        <v>148</v>
      </c>
      <c r="C1086" s="40" t="s">
        <v>180</v>
      </c>
      <c r="D1086" s="41" t="n">
        <v>1</v>
      </c>
      <c r="E1086" s="42" t="n">
        <v>719.456231</v>
      </c>
      <c r="F1086" s="43" t="n">
        <f aca="false">IFERROR(D1086*E1086,0)</f>
        <v>719.456231</v>
      </c>
      <c r="G1086" s="40" t="str">
        <f aca="false">INDEX(SETORES!$B:$B,MATCH(A1086,SETORES!$A:$A,0))</f>
        <v>Clientes</v>
      </c>
      <c r="H1086" s="40" t="s">
        <v>21</v>
      </c>
    </row>
    <row r="1087" customFormat="false" ht="14.25" hidden="true" customHeight="true" outlineLevel="0" collapsed="false">
      <c r="A1087" s="16" t="s">
        <v>38</v>
      </c>
      <c r="B1087" s="16" t="s">
        <v>148</v>
      </c>
      <c r="C1087" s="16" t="s">
        <v>233</v>
      </c>
      <c r="D1087" s="38" t="n">
        <v>1</v>
      </c>
      <c r="E1087" s="39" t="n">
        <v>2.727868</v>
      </c>
      <c r="F1087" s="22" t="n">
        <f aca="false">IFERROR(D1087*E1087,0)</f>
        <v>2.727868</v>
      </c>
      <c r="G1087" s="16" t="str">
        <f aca="false">INDEX(SETORES!$B:$B,MATCH(A1087,SETORES!$A:$A,0))</f>
        <v>Clientes</v>
      </c>
      <c r="H1087" s="16" t="s">
        <v>21</v>
      </c>
    </row>
    <row r="1088" customFormat="false" ht="14.25" hidden="true" customHeight="true" outlineLevel="0" collapsed="false">
      <c r="A1088" s="40" t="s">
        <v>38</v>
      </c>
      <c r="B1088" s="40" t="s">
        <v>148</v>
      </c>
      <c r="C1088" s="40" t="s">
        <v>160</v>
      </c>
      <c r="D1088" s="41" t="n">
        <v>13</v>
      </c>
      <c r="E1088" s="42" t="n">
        <v>9.92</v>
      </c>
      <c r="F1088" s="43" t="n">
        <f aca="false">IFERROR(D1088*E1088,0)</f>
        <v>128.96</v>
      </c>
      <c r="G1088" s="40" t="str">
        <f aca="false">INDEX(SETORES!$B:$B,MATCH(A1088,SETORES!$A:$A,0))</f>
        <v>Clientes</v>
      </c>
      <c r="H1088" s="40" t="s">
        <v>21</v>
      </c>
    </row>
    <row r="1089" customFormat="false" ht="14.25" hidden="true" customHeight="true" outlineLevel="0" collapsed="false">
      <c r="A1089" s="16" t="s">
        <v>38</v>
      </c>
      <c r="B1089" s="16" t="s">
        <v>148</v>
      </c>
      <c r="C1089" s="16" t="s">
        <v>161</v>
      </c>
      <c r="D1089" s="38" t="n">
        <v>13</v>
      </c>
      <c r="E1089" s="39" t="n">
        <v>2.05</v>
      </c>
      <c r="F1089" s="22" t="n">
        <f aca="false">IFERROR(D1089*E1089,0)</f>
        <v>26.65</v>
      </c>
      <c r="G1089" s="16" t="str">
        <f aca="false">INDEX(SETORES!$B:$B,MATCH(A1089,SETORES!$A:$A,0))</f>
        <v>Clientes</v>
      </c>
      <c r="H1089" s="16" t="s">
        <v>21</v>
      </c>
    </row>
    <row r="1090" customFormat="false" ht="14.25" hidden="true" customHeight="true" outlineLevel="0" collapsed="false">
      <c r="A1090" s="40" t="s">
        <v>54</v>
      </c>
      <c r="B1090" s="40" t="s">
        <v>155</v>
      </c>
      <c r="C1090" s="40" t="s">
        <v>187</v>
      </c>
      <c r="D1090" s="41"/>
      <c r="E1090" s="42"/>
      <c r="F1090" s="43" t="n">
        <f aca="false">IFERROR(D1090*E1090,0)</f>
        <v>0</v>
      </c>
      <c r="G1090" s="40" t="str">
        <f aca="false">INDEX(SETORES!$B:$B,MATCH(A1090,SETORES!$A:$A,0))</f>
        <v>Clientes</v>
      </c>
      <c r="H1090" s="40" t="s">
        <v>21</v>
      </c>
    </row>
    <row r="1091" customFormat="false" ht="14.25" hidden="true" customHeight="true" outlineLevel="0" collapsed="false">
      <c r="A1091" s="16" t="s">
        <v>54</v>
      </c>
      <c r="B1091" s="16" t="s">
        <v>155</v>
      </c>
      <c r="C1091" s="16" t="s">
        <v>188</v>
      </c>
      <c r="D1091" s="38"/>
      <c r="E1091" s="39"/>
      <c r="F1091" s="22" t="n">
        <f aca="false">IFERROR(D1091*E1091,0)</f>
        <v>0</v>
      </c>
      <c r="G1091" s="16" t="str">
        <f aca="false">INDEX(SETORES!$B:$B,MATCH(A1091,SETORES!$A:$A,0))</f>
        <v>Clientes</v>
      </c>
      <c r="H1091" s="16" t="s">
        <v>21</v>
      </c>
    </row>
    <row r="1092" customFormat="false" ht="14.25" hidden="true" customHeight="true" outlineLevel="0" collapsed="false">
      <c r="A1092" s="40" t="s">
        <v>54</v>
      </c>
      <c r="B1092" s="40" t="s">
        <v>148</v>
      </c>
      <c r="C1092" s="40" t="s">
        <v>189</v>
      </c>
      <c r="D1092" s="41" t="n">
        <v>11</v>
      </c>
      <c r="E1092" s="42" t="n">
        <v>50</v>
      </c>
      <c r="F1092" s="43" t="n">
        <f aca="false">IFERROR(D1092*E1092,0)</f>
        <v>550</v>
      </c>
      <c r="G1092" s="40" t="str">
        <f aca="false">INDEX(SETORES!$B:$B,MATCH(A1092,SETORES!$A:$A,0))</f>
        <v>Clientes</v>
      </c>
      <c r="H1092" s="40" t="s">
        <v>21</v>
      </c>
    </row>
    <row r="1093" customFormat="false" ht="14.25" hidden="true" customHeight="true" outlineLevel="0" collapsed="false">
      <c r="A1093" s="16" t="s">
        <v>54</v>
      </c>
      <c r="B1093" s="16" t="s">
        <v>148</v>
      </c>
      <c r="C1093" s="16" t="s">
        <v>154</v>
      </c>
      <c r="D1093" s="38" t="n">
        <v>1</v>
      </c>
      <c r="E1093" s="39" t="n">
        <v>113007.3</v>
      </c>
      <c r="F1093" s="22" t="n">
        <f aca="false">IFERROR(E1093,0)</f>
        <v>113007.3</v>
      </c>
      <c r="G1093" s="16" t="str">
        <f aca="false">INDEX(SETORES!$B:$B,MATCH(A1093,SETORES!$A:$A,0))</f>
        <v>Clientes</v>
      </c>
      <c r="H1093" s="16" t="s">
        <v>21</v>
      </c>
    </row>
    <row r="1094" customFormat="false" ht="14.25" hidden="true" customHeight="true" outlineLevel="0" collapsed="false">
      <c r="A1094" s="40" t="s">
        <v>54</v>
      </c>
      <c r="B1094" s="40" t="s">
        <v>148</v>
      </c>
      <c r="C1094" s="40" t="s">
        <v>191</v>
      </c>
      <c r="D1094" s="41" t="n">
        <v>7</v>
      </c>
      <c r="E1094" s="42" t="n">
        <v>30</v>
      </c>
      <c r="F1094" s="43" t="n">
        <f aca="false">IFERROR(D1094*E1094,0)</f>
        <v>210</v>
      </c>
      <c r="G1094" s="40" t="str">
        <f aca="false">INDEX(SETORES!$B:$B,MATCH(A1094,SETORES!$A:$A,0))</f>
        <v>Clientes</v>
      </c>
      <c r="H1094" s="40" t="s">
        <v>21</v>
      </c>
    </row>
    <row r="1095" customFormat="false" ht="14.25" hidden="true" customHeight="true" outlineLevel="0" collapsed="false">
      <c r="A1095" s="16" t="s">
        <v>54</v>
      </c>
      <c r="B1095" s="16" t="s">
        <v>148</v>
      </c>
      <c r="C1095" s="16" t="s">
        <v>163</v>
      </c>
      <c r="D1095" s="38" t="n">
        <v>11</v>
      </c>
      <c r="E1095" s="39" t="n">
        <v>29.74</v>
      </c>
      <c r="F1095" s="22" t="n">
        <f aca="false">IFERROR(D1095*E1095,0)</f>
        <v>327.14</v>
      </c>
      <c r="G1095" s="16" t="str">
        <f aca="false">INDEX(SETORES!$B:$B,MATCH(A1095,SETORES!$A:$A,0))</f>
        <v>Clientes</v>
      </c>
      <c r="H1095" s="16" t="s">
        <v>21</v>
      </c>
    </row>
    <row r="1096" customFormat="false" ht="14.25" hidden="true" customHeight="true" outlineLevel="0" collapsed="false">
      <c r="A1096" s="40" t="s">
        <v>54</v>
      </c>
      <c r="B1096" s="40" t="s">
        <v>148</v>
      </c>
      <c r="C1096" s="40" t="s">
        <v>164</v>
      </c>
      <c r="D1096" s="41" t="n">
        <v>11</v>
      </c>
      <c r="E1096" s="42" t="n">
        <v>43.54</v>
      </c>
      <c r="F1096" s="43" t="n">
        <f aca="false">IFERROR(D1096*E1096,0)</f>
        <v>478.94</v>
      </c>
      <c r="G1096" s="40" t="str">
        <f aca="false">INDEX(SETORES!$B:$B,MATCH(A1096,SETORES!$A:$A,0))</f>
        <v>Clientes</v>
      </c>
      <c r="H1096" s="40" t="s">
        <v>21</v>
      </c>
    </row>
    <row r="1097" customFormat="false" ht="14.25" hidden="true" customHeight="true" outlineLevel="0" collapsed="false">
      <c r="A1097" s="16" t="s">
        <v>54</v>
      </c>
      <c r="B1097" s="16" t="s">
        <v>148</v>
      </c>
      <c r="C1097" s="16" t="s">
        <v>162</v>
      </c>
      <c r="D1097" s="38" t="n">
        <v>11</v>
      </c>
      <c r="E1097" s="39" t="n">
        <v>47.66</v>
      </c>
      <c r="F1097" s="22" t="n">
        <f aca="false">IFERROR(D1097*E1097,0)</f>
        <v>524.26</v>
      </c>
      <c r="G1097" s="16" t="str">
        <f aca="false">INDEX(SETORES!$B:$B,MATCH(A1097,SETORES!$A:$A,0))</f>
        <v>Clientes</v>
      </c>
      <c r="H1097" s="16" t="s">
        <v>21</v>
      </c>
    </row>
    <row r="1098" customFormat="false" ht="14.25" hidden="true" customHeight="true" outlineLevel="0" collapsed="false">
      <c r="A1098" s="40" t="s">
        <v>54</v>
      </c>
      <c r="B1098" s="40" t="s">
        <v>155</v>
      </c>
      <c r="C1098" s="40" t="s">
        <v>158</v>
      </c>
      <c r="D1098" s="41" t="n">
        <v>1</v>
      </c>
      <c r="E1098" s="42" t="n">
        <v>60</v>
      </c>
      <c r="F1098" s="43" t="n">
        <f aca="false">IFERROR(D1098*E1098,0)</f>
        <v>60</v>
      </c>
      <c r="G1098" s="40" t="str">
        <f aca="false">INDEX(SETORES!$B:$B,MATCH(A1098,SETORES!$A:$A,0))</f>
        <v>Clientes</v>
      </c>
      <c r="H1098" s="40" t="s">
        <v>21</v>
      </c>
    </row>
    <row r="1099" customFormat="false" ht="14.25" hidden="true" customHeight="true" outlineLevel="0" collapsed="false">
      <c r="A1099" s="16" t="s">
        <v>54</v>
      </c>
      <c r="B1099" s="16" t="s">
        <v>155</v>
      </c>
      <c r="C1099" s="16" t="s">
        <v>193</v>
      </c>
      <c r="D1099" s="38" t="n">
        <v>2</v>
      </c>
      <c r="E1099" s="39" t="n">
        <v>45</v>
      </c>
      <c r="F1099" s="22" t="n">
        <f aca="false">IFERROR(D1099*E1099,0)</f>
        <v>90</v>
      </c>
      <c r="G1099" s="16" t="str">
        <f aca="false">INDEX(SETORES!$B:$B,MATCH(A1099,SETORES!$A:$A,0))</f>
        <v>Clientes</v>
      </c>
      <c r="H1099" s="16" t="s">
        <v>21</v>
      </c>
    </row>
    <row r="1100" customFormat="false" ht="14.25" hidden="true" customHeight="true" outlineLevel="0" collapsed="false">
      <c r="A1100" s="40" t="s">
        <v>54</v>
      </c>
      <c r="B1100" s="40" t="s">
        <v>155</v>
      </c>
      <c r="C1100" s="40" t="s">
        <v>194</v>
      </c>
      <c r="D1100" s="41"/>
      <c r="E1100" s="42"/>
      <c r="F1100" s="43" t="n">
        <f aca="false">IFERROR(D1100*E1100,0)</f>
        <v>0</v>
      </c>
      <c r="G1100" s="40" t="str">
        <f aca="false">INDEX(SETORES!$B:$B,MATCH(A1100,SETORES!$A:$A,0))</f>
        <v>Clientes</v>
      </c>
      <c r="H1100" s="40" t="s">
        <v>21</v>
      </c>
    </row>
    <row r="1101" customFormat="false" ht="14.25" hidden="true" customHeight="true" outlineLevel="0" collapsed="false">
      <c r="A1101" s="16" t="s">
        <v>54</v>
      </c>
      <c r="B1101" s="16" t="s">
        <v>155</v>
      </c>
      <c r="C1101" s="16" t="s">
        <v>195</v>
      </c>
      <c r="D1101" s="38"/>
      <c r="E1101" s="39"/>
      <c r="F1101" s="22" t="n">
        <f aca="false">IFERROR(D1101*E1101,0)</f>
        <v>0</v>
      </c>
      <c r="G1101" s="16" t="str">
        <f aca="false">INDEX(SETORES!$B:$B,MATCH(A1101,SETORES!$A:$A,0))</f>
        <v>Clientes</v>
      </c>
      <c r="H1101" s="16" t="s">
        <v>21</v>
      </c>
    </row>
    <row r="1102" customFormat="false" ht="14.25" hidden="true" customHeight="true" outlineLevel="0" collapsed="false">
      <c r="A1102" s="40" t="s">
        <v>54</v>
      </c>
      <c r="B1102" s="40" t="s">
        <v>155</v>
      </c>
      <c r="C1102" s="40" t="s">
        <v>196</v>
      </c>
      <c r="D1102" s="41" t="n">
        <v>1</v>
      </c>
      <c r="E1102" s="42" t="n">
        <v>3393.29</v>
      </c>
      <c r="F1102" s="43" t="n">
        <f aca="false">IFERROR(D1102*E1102,0)</f>
        <v>3393.29</v>
      </c>
      <c r="G1102" s="40" t="str">
        <f aca="false">INDEX(SETORES!$B:$B,MATCH(A1102,SETORES!$A:$A,0))</f>
        <v>Clientes</v>
      </c>
      <c r="H1102" s="40" t="s">
        <v>21</v>
      </c>
    </row>
    <row r="1103" customFormat="false" ht="14.25" hidden="true" customHeight="true" outlineLevel="0" collapsed="false">
      <c r="A1103" s="16" t="s">
        <v>54</v>
      </c>
      <c r="B1103" s="16" t="s">
        <v>148</v>
      </c>
      <c r="C1103" s="16" t="s">
        <v>160</v>
      </c>
      <c r="D1103" s="38" t="n">
        <v>11</v>
      </c>
      <c r="E1103" s="39" t="n">
        <v>9.92</v>
      </c>
      <c r="F1103" s="22" t="n">
        <f aca="false">IFERROR(D1103*E1103,0)</f>
        <v>109.12</v>
      </c>
      <c r="G1103" s="16" t="str">
        <f aca="false">INDEX(SETORES!$B:$B,MATCH(A1103,SETORES!$A:$A,0))</f>
        <v>Clientes</v>
      </c>
      <c r="H1103" s="16" t="s">
        <v>21</v>
      </c>
    </row>
    <row r="1104" customFormat="false" ht="14.25" hidden="true" customHeight="true" outlineLevel="0" collapsed="false">
      <c r="A1104" s="40" t="s">
        <v>54</v>
      </c>
      <c r="B1104" s="40" t="s">
        <v>148</v>
      </c>
      <c r="C1104" s="40" t="s">
        <v>161</v>
      </c>
      <c r="D1104" s="41" t="n">
        <v>11</v>
      </c>
      <c r="E1104" s="42" t="n">
        <v>2.05</v>
      </c>
      <c r="F1104" s="43" t="n">
        <f aca="false">IFERROR(D1104*E1104,0)</f>
        <v>22.55</v>
      </c>
      <c r="G1104" s="40" t="str">
        <f aca="false">INDEX(SETORES!$B:$B,MATCH(A1104,SETORES!$A:$A,0))</f>
        <v>Clientes</v>
      </c>
      <c r="H1104" s="40" t="s">
        <v>21</v>
      </c>
    </row>
    <row r="1105" customFormat="false" ht="14.25" hidden="true" customHeight="true" outlineLevel="0" collapsed="false">
      <c r="A1105" s="16" t="s">
        <v>54</v>
      </c>
      <c r="B1105" s="16" t="s">
        <v>155</v>
      </c>
      <c r="C1105" s="16" t="s">
        <v>197</v>
      </c>
      <c r="D1105" s="38"/>
      <c r="E1105" s="39"/>
      <c r="F1105" s="22" t="n">
        <f aca="false">IFERROR(D1105*E1105,0)</f>
        <v>0</v>
      </c>
      <c r="G1105" s="16" t="str">
        <f aca="false">INDEX(SETORES!$B:$B,MATCH(A1105,SETORES!$A:$A,0))</f>
        <v>Clientes</v>
      </c>
      <c r="H1105" s="16" t="s">
        <v>21</v>
      </c>
    </row>
    <row r="1106" customFormat="false" ht="14.25" hidden="true" customHeight="true" outlineLevel="0" collapsed="false">
      <c r="A1106" s="40" t="s">
        <v>54</v>
      </c>
      <c r="B1106" s="40" t="s">
        <v>148</v>
      </c>
      <c r="C1106" s="40" t="s">
        <v>198</v>
      </c>
      <c r="D1106" s="41" t="n">
        <v>1</v>
      </c>
      <c r="E1106" s="42" t="n">
        <v>2997</v>
      </c>
      <c r="F1106" s="43" t="n">
        <f aca="false">IFERROR(D1106*E1106,0)</f>
        <v>2997</v>
      </c>
      <c r="G1106" s="40" t="str">
        <f aca="false">INDEX(SETORES!$B:$B,MATCH(A1106,SETORES!$A:$A,0))</f>
        <v>Clientes</v>
      </c>
      <c r="H1106" s="40" t="s">
        <v>21</v>
      </c>
    </row>
    <row r="1107" customFormat="false" ht="14.25" hidden="true" customHeight="true" outlineLevel="0" collapsed="false">
      <c r="A1107" s="16" t="s">
        <v>54</v>
      </c>
      <c r="B1107" s="16" t="s">
        <v>148</v>
      </c>
      <c r="C1107" s="16" t="s">
        <v>199</v>
      </c>
      <c r="D1107" s="38" t="n">
        <v>1</v>
      </c>
      <c r="E1107" s="39" t="n">
        <v>545.99</v>
      </c>
      <c r="F1107" s="22" t="n">
        <f aca="false">IFERROR(D1107*E1107,0)</f>
        <v>545.99</v>
      </c>
      <c r="G1107" s="16" t="str">
        <f aca="false">INDEX(SETORES!$B:$B,MATCH(A1107,SETORES!$A:$A,0))</f>
        <v>Clientes</v>
      </c>
      <c r="H1107" s="16" t="s">
        <v>21</v>
      </c>
    </row>
    <row r="1108" customFormat="false" ht="14.25" hidden="true" customHeight="true" outlineLevel="0" collapsed="false">
      <c r="A1108" s="40" t="s">
        <v>54</v>
      </c>
      <c r="B1108" s="40" t="s">
        <v>148</v>
      </c>
      <c r="C1108" s="40" t="s">
        <v>200</v>
      </c>
      <c r="D1108" s="41"/>
      <c r="E1108" s="42"/>
      <c r="F1108" s="43" t="n">
        <f aca="false">IFERROR(D1108*E1108,0)</f>
        <v>0</v>
      </c>
      <c r="G1108" s="40" t="str">
        <f aca="false">INDEX(SETORES!$B:$B,MATCH(A1108,SETORES!$A:$A,0))</f>
        <v>Clientes</v>
      </c>
      <c r="H1108" s="40" t="s">
        <v>21</v>
      </c>
    </row>
    <row r="1109" customFormat="false" ht="14.25" hidden="true" customHeight="true" outlineLevel="0" collapsed="false">
      <c r="A1109" s="16" t="s">
        <v>54</v>
      </c>
      <c r="B1109" s="16" t="s">
        <v>148</v>
      </c>
      <c r="C1109" s="16" t="s">
        <v>201</v>
      </c>
      <c r="D1109" s="38" t="n">
        <v>1</v>
      </c>
      <c r="E1109" s="39" t="n">
        <v>3042.34</v>
      </c>
      <c r="F1109" s="22" t="n">
        <f aca="false">IFERROR(D1109*E1109,0)</f>
        <v>3042.34</v>
      </c>
      <c r="G1109" s="16" t="str">
        <f aca="false">INDEX(SETORES!$B:$B,MATCH(A1109,SETORES!$A:$A,0))</f>
        <v>Clientes</v>
      </c>
      <c r="H1109" s="16" t="s">
        <v>21</v>
      </c>
    </row>
    <row r="1110" customFormat="false" ht="14.25" hidden="true" customHeight="true" outlineLevel="0" collapsed="false">
      <c r="A1110" s="40" t="s">
        <v>43</v>
      </c>
      <c r="B1110" s="40" t="s">
        <v>148</v>
      </c>
      <c r="C1110" s="40" t="s">
        <v>149</v>
      </c>
      <c r="D1110" s="41"/>
      <c r="E1110" s="42"/>
      <c r="F1110" s="43" t="n">
        <v>0</v>
      </c>
      <c r="G1110" s="40" t="str">
        <f aca="false">INDEX(SETORES!$B:$B,MATCH(A1110,SETORES!$A:$A,0))</f>
        <v>Clientes</v>
      </c>
      <c r="H1110" s="40" t="s">
        <v>21</v>
      </c>
    </row>
    <row r="1111" customFormat="false" ht="14.25" hidden="true" customHeight="true" outlineLevel="0" collapsed="false">
      <c r="A1111" s="16" t="s">
        <v>43</v>
      </c>
      <c r="B1111" s="16" t="s">
        <v>148</v>
      </c>
      <c r="C1111" s="16" t="s">
        <v>150</v>
      </c>
      <c r="D1111" s="38"/>
      <c r="E1111" s="39"/>
      <c r="F1111" s="22" t="n">
        <v>0</v>
      </c>
      <c r="G1111" s="16" t="str">
        <f aca="false">INDEX(SETORES!$B:$B,MATCH(A1111,SETORES!$A:$A,0))</f>
        <v>Clientes</v>
      </c>
      <c r="H1111" s="16" t="s">
        <v>21</v>
      </c>
    </row>
    <row r="1112" customFormat="false" ht="14.25" hidden="true" customHeight="true" outlineLevel="0" collapsed="false">
      <c r="A1112" s="40" t="s">
        <v>43</v>
      </c>
      <c r="B1112" s="40" t="s">
        <v>148</v>
      </c>
      <c r="C1112" s="40" t="s">
        <v>151</v>
      </c>
      <c r="D1112" s="41" t="n">
        <v>5</v>
      </c>
      <c r="E1112" s="42" t="n">
        <v>21.2582</v>
      </c>
      <c r="F1112" s="43" t="n">
        <v>106.291</v>
      </c>
      <c r="G1112" s="40" t="str">
        <f aca="false">INDEX(SETORES!$B:$B,MATCH(A1112,SETORES!$A:$A,0))</f>
        <v>Clientes</v>
      </c>
      <c r="H1112" s="40" t="s">
        <v>21</v>
      </c>
    </row>
    <row r="1113" customFormat="false" ht="14.25" hidden="true" customHeight="true" outlineLevel="0" collapsed="false">
      <c r="A1113" s="16" t="s">
        <v>43</v>
      </c>
      <c r="B1113" s="16" t="s">
        <v>148</v>
      </c>
      <c r="C1113" s="16" t="s">
        <v>152</v>
      </c>
      <c r="D1113" s="38" t="n">
        <v>5</v>
      </c>
      <c r="E1113" s="39" t="n">
        <v>3.3247</v>
      </c>
      <c r="F1113" s="22" t="n">
        <v>16.6235</v>
      </c>
      <c r="G1113" s="16" t="str">
        <f aca="false">INDEX(SETORES!$B:$B,MATCH(A1113,SETORES!$A:$A,0))</f>
        <v>Clientes</v>
      </c>
      <c r="H1113" s="16" t="s">
        <v>21</v>
      </c>
    </row>
    <row r="1114" customFormat="false" ht="14.25" hidden="true" customHeight="true" outlineLevel="0" collapsed="false">
      <c r="A1114" s="40" t="s">
        <v>43</v>
      </c>
      <c r="B1114" s="40" t="s">
        <v>148</v>
      </c>
      <c r="C1114" s="40" t="s">
        <v>153</v>
      </c>
      <c r="D1114" s="41"/>
      <c r="E1114" s="42"/>
      <c r="F1114" s="43" t="n">
        <f aca="false">IFERROR(D1114*E1114,0)</f>
        <v>0</v>
      </c>
      <c r="G1114" s="40" t="str">
        <f aca="false">INDEX(SETORES!$B:$B,MATCH(A1114,SETORES!$A:$A,0))</f>
        <v>Clientes</v>
      </c>
      <c r="H1114" s="40" t="s">
        <v>21</v>
      </c>
    </row>
    <row r="1115" customFormat="false" ht="14.25" hidden="true" customHeight="true" outlineLevel="0" collapsed="false">
      <c r="A1115" s="16" t="s">
        <v>43</v>
      </c>
      <c r="B1115" s="16" t="s">
        <v>148</v>
      </c>
      <c r="C1115" s="16" t="s">
        <v>154</v>
      </c>
      <c r="D1115" s="38" t="n">
        <v>1</v>
      </c>
      <c r="E1115" s="39" t="n">
        <v>25624.63</v>
      </c>
      <c r="F1115" s="22" t="n">
        <f aca="false">IFERROR(E1115,0)</f>
        <v>25624.63</v>
      </c>
      <c r="G1115" s="16" t="str">
        <f aca="false">INDEX(SETORES!$B:$B,MATCH(A1115,SETORES!$A:$A,0))</f>
        <v>Clientes</v>
      </c>
      <c r="H1115" s="16" t="s">
        <v>21</v>
      </c>
    </row>
    <row r="1116" customFormat="false" ht="14.25" hidden="true" customHeight="true" outlineLevel="0" collapsed="false">
      <c r="A1116" s="40" t="s">
        <v>43</v>
      </c>
      <c r="B1116" s="40" t="s">
        <v>155</v>
      </c>
      <c r="C1116" s="40" t="s">
        <v>202</v>
      </c>
      <c r="D1116" s="41" t="n">
        <v>5</v>
      </c>
      <c r="E1116" s="42" t="n">
        <v>76.92</v>
      </c>
      <c r="F1116" s="43" t="n">
        <f aca="false">IFERROR(D1116*E1116,0)</f>
        <v>384.6</v>
      </c>
      <c r="G1116" s="40" t="str">
        <f aca="false">INDEX(SETORES!$B:$B,MATCH(A1116,SETORES!$A:$A,0))</f>
        <v>Clientes</v>
      </c>
      <c r="H1116" s="40" t="s">
        <v>21</v>
      </c>
    </row>
    <row r="1117" customFormat="false" ht="14.25" hidden="true" customHeight="true" outlineLevel="0" collapsed="false">
      <c r="A1117" s="16" t="s">
        <v>43</v>
      </c>
      <c r="B1117" s="16" t="s">
        <v>148</v>
      </c>
      <c r="C1117" s="16" t="s">
        <v>159</v>
      </c>
      <c r="D1117" s="38" t="n">
        <v>3</v>
      </c>
      <c r="E1117" s="39" t="n">
        <v>50</v>
      </c>
      <c r="F1117" s="22" t="n">
        <f aca="false">IFERROR(D1117*E1117,0)</f>
        <v>150</v>
      </c>
      <c r="G1117" s="16" t="str">
        <f aca="false">INDEX(SETORES!$B:$B,MATCH(A1117,SETORES!$A:$A,0))</f>
        <v>Clientes</v>
      </c>
      <c r="H1117" s="16" t="s">
        <v>21</v>
      </c>
    </row>
    <row r="1118" customFormat="false" ht="14.25" hidden="true" customHeight="true" outlineLevel="0" collapsed="false">
      <c r="A1118" s="40" t="s">
        <v>43</v>
      </c>
      <c r="B1118" s="40" t="s">
        <v>148</v>
      </c>
      <c r="C1118" s="40" t="s">
        <v>231</v>
      </c>
      <c r="D1118" s="41" t="n">
        <v>1</v>
      </c>
      <c r="E1118" s="42" t="n">
        <v>25.6</v>
      </c>
      <c r="F1118" s="43" t="n">
        <f aca="false">IFERROR(D1118*E1118,0)</f>
        <v>25.6</v>
      </c>
      <c r="G1118" s="40" t="str">
        <f aca="false">INDEX(SETORES!$B:$B,MATCH(A1118,SETORES!$A:$A,0))</f>
        <v>Clientes</v>
      </c>
      <c r="H1118" s="40" t="s">
        <v>21</v>
      </c>
    </row>
    <row r="1119" customFormat="false" ht="14.25" hidden="true" customHeight="true" outlineLevel="0" collapsed="false">
      <c r="A1119" s="16" t="s">
        <v>43</v>
      </c>
      <c r="B1119" s="16" t="s">
        <v>148</v>
      </c>
      <c r="C1119" s="16" t="s">
        <v>160</v>
      </c>
      <c r="D1119" s="38" t="n">
        <v>5</v>
      </c>
      <c r="E1119" s="39" t="n">
        <v>9.92</v>
      </c>
      <c r="F1119" s="22" t="n">
        <f aca="false">IFERROR(D1119*E1119,0)</f>
        <v>49.6</v>
      </c>
      <c r="G1119" s="16" t="str">
        <f aca="false">INDEX(SETORES!$B:$B,MATCH(A1119,SETORES!$A:$A,0))</f>
        <v>Clientes</v>
      </c>
      <c r="H1119" s="16" t="s">
        <v>21</v>
      </c>
    </row>
    <row r="1120" customFormat="false" ht="14.25" hidden="true" customHeight="true" outlineLevel="0" collapsed="false">
      <c r="A1120" s="40" t="s">
        <v>43</v>
      </c>
      <c r="B1120" s="40" t="s">
        <v>148</v>
      </c>
      <c r="C1120" s="40" t="s">
        <v>161</v>
      </c>
      <c r="D1120" s="41" t="n">
        <v>5</v>
      </c>
      <c r="E1120" s="42" t="n">
        <v>2.05</v>
      </c>
      <c r="F1120" s="43" t="n">
        <f aca="false">IFERROR(D1120*E1120,0)</f>
        <v>10.25</v>
      </c>
      <c r="G1120" s="40" t="str">
        <f aca="false">INDEX(SETORES!$B:$B,MATCH(A1120,SETORES!$A:$A,0))</f>
        <v>Clientes</v>
      </c>
      <c r="H1120" s="40" t="s">
        <v>21</v>
      </c>
    </row>
    <row r="1121" customFormat="false" ht="14.25" hidden="true" customHeight="true" outlineLevel="0" collapsed="false">
      <c r="A1121" s="16" t="s">
        <v>40</v>
      </c>
      <c r="B1121" s="16" t="s">
        <v>148</v>
      </c>
      <c r="C1121" s="16" t="s">
        <v>149</v>
      </c>
      <c r="D1121" s="38"/>
      <c r="E1121" s="39"/>
      <c r="F1121" s="22" t="n">
        <v>0</v>
      </c>
      <c r="G1121" s="16" t="str">
        <f aca="false">INDEX(SETORES!$B:$B,MATCH(A1121,SETORES!$A:$A,0))</f>
        <v>Clientes</v>
      </c>
      <c r="H1121" s="16" t="s">
        <v>21</v>
      </c>
    </row>
    <row r="1122" customFormat="false" ht="14.25" hidden="true" customHeight="true" outlineLevel="0" collapsed="false">
      <c r="A1122" s="40" t="s">
        <v>40</v>
      </c>
      <c r="B1122" s="40" t="s">
        <v>148</v>
      </c>
      <c r="C1122" s="40" t="s">
        <v>150</v>
      </c>
      <c r="D1122" s="41" t="n">
        <v>1</v>
      </c>
      <c r="E1122" s="42" t="n">
        <v>51.3</v>
      </c>
      <c r="F1122" s="43" t="n">
        <v>51.3</v>
      </c>
      <c r="G1122" s="40" t="str">
        <f aca="false">INDEX(SETORES!$B:$B,MATCH(A1122,SETORES!$A:$A,0))</f>
        <v>Clientes</v>
      </c>
      <c r="H1122" s="40" t="s">
        <v>21</v>
      </c>
    </row>
    <row r="1123" customFormat="false" ht="14.25" hidden="true" customHeight="true" outlineLevel="0" collapsed="false">
      <c r="A1123" s="16" t="s">
        <v>40</v>
      </c>
      <c r="B1123" s="16" t="s">
        <v>148</v>
      </c>
      <c r="C1123" s="16" t="s">
        <v>151</v>
      </c>
      <c r="D1123" s="38" t="n">
        <v>1</v>
      </c>
      <c r="E1123" s="39" t="n">
        <v>41.365</v>
      </c>
      <c r="F1123" s="22" t="n">
        <v>41.365</v>
      </c>
      <c r="G1123" s="16" t="str">
        <f aca="false">INDEX(SETORES!$B:$B,MATCH(A1123,SETORES!$A:$A,0))</f>
        <v>Clientes</v>
      </c>
      <c r="H1123" s="16" t="s">
        <v>21</v>
      </c>
    </row>
    <row r="1124" customFormat="false" ht="14.25" hidden="true" customHeight="true" outlineLevel="0" collapsed="false">
      <c r="A1124" s="40" t="s">
        <v>40</v>
      </c>
      <c r="B1124" s="40" t="s">
        <v>148</v>
      </c>
      <c r="C1124" s="40" t="s">
        <v>152</v>
      </c>
      <c r="D1124" s="41" t="n">
        <v>1</v>
      </c>
      <c r="E1124" s="42" t="n">
        <v>0.1212</v>
      </c>
      <c r="F1124" s="43" t="n">
        <v>0.1212</v>
      </c>
      <c r="G1124" s="40" t="str">
        <f aca="false">INDEX(SETORES!$B:$B,MATCH(A1124,SETORES!$A:$A,0))</f>
        <v>Clientes</v>
      </c>
      <c r="H1124" s="40" t="s">
        <v>21</v>
      </c>
    </row>
    <row r="1125" customFormat="false" ht="14.25" hidden="true" customHeight="true" outlineLevel="0" collapsed="false">
      <c r="A1125" s="16" t="s">
        <v>40</v>
      </c>
      <c r="B1125" s="16" t="s">
        <v>148</v>
      </c>
      <c r="C1125" s="16" t="s">
        <v>153</v>
      </c>
      <c r="D1125" s="38"/>
      <c r="E1125" s="39"/>
      <c r="F1125" s="22" t="n">
        <f aca="false">IFERROR(D1125*E1125,0)</f>
        <v>0</v>
      </c>
      <c r="G1125" s="16" t="str">
        <f aca="false">INDEX(SETORES!$B:$B,MATCH(A1125,SETORES!$A:$A,0))</f>
        <v>Clientes</v>
      </c>
      <c r="H1125" s="16" t="s">
        <v>21</v>
      </c>
    </row>
    <row r="1126" customFormat="false" ht="14.25" hidden="true" customHeight="true" outlineLevel="0" collapsed="false">
      <c r="A1126" s="40" t="s">
        <v>40</v>
      </c>
      <c r="B1126" s="40" t="s">
        <v>148</v>
      </c>
      <c r="C1126" s="40" t="s">
        <v>154</v>
      </c>
      <c r="D1126" s="41" t="n">
        <v>1</v>
      </c>
      <c r="E1126" s="42" t="n">
        <v>14720.9</v>
      </c>
      <c r="F1126" s="43" t="n">
        <f aca="false">IFERROR(E1126,0)</f>
        <v>14720.9</v>
      </c>
      <c r="G1126" s="40" t="str">
        <f aca="false">INDEX(SETORES!$B:$B,MATCH(A1126,SETORES!$A:$A,0))</f>
        <v>Clientes</v>
      </c>
      <c r="H1126" s="40" t="s">
        <v>21</v>
      </c>
    </row>
    <row r="1127" customFormat="false" ht="14.25" hidden="true" customHeight="true" outlineLevel="0" collapsed="false">
      <c r="A1127" s="16" t="s">
        <v>40</v>
      </c>
      <c r="B1127" s="16" t="s">
        <v>155</v>
      </c>
      <c r="C1127" s="16" t="s">
        <v>234</v>
      </c>
      <c r="D1127" s="38" t="n">
        <v>1</v>
      </c>
      <c r="E1127" s="39" t="n">
        <v>6000</v>
      </c>
      <c r="F1127" s="22" t="n">
        <f aca="false">IFERROR(D1127*E1127,0)</f>
        <v>6000</v>
      </c>
      <c r="G1127" s="16" t="str">
        <f aca="false">INDEX(SETORES!$B:$B,MATCH(A1127,SETORES!$A:$A,0))</f>
        <v>Clientes</v>
      </c>
      <c r="H1127" s="16" t="s">
        <v>21</v>
      </c>
    </row>
    <row r="1128" customFormat="false" ht="14.25" hidden="true" customHeight="true" outlineLevel="0" collapsed="false">
      <c r="A1128" s="40" t="s">
        <v>40</v>
      </c>
      <c r="B1128" s="40" t="s">
        <v>155</v>
      </c>
      <c r="C1128" s="40" t="s">
        <v>156</v>
      </c>
      <c r="D1128" s="41" t="n">
        <v>4</v>
      </c>
      <c r="E1128" s="42" t="n">
        <v>56.5</v>
      </c>
      <c r="F1128" s="43" t="n">
        <f aca="false">IFERROR(D1128*E1128,0)</f>
        <v>226</v>
      </c>
      <c r="G1128" s="40" t="str">
        <f aca="false">INDEX(SETORES!$B:$B,MATCH(A1128,SETORES!$A:$A,0))</f>
        <v>Clientes</v>
      </c>
      <c r="H1128" s="40" t="s">
        <v>21</v>
      </c>
    </row>
    <row r="1129" customFormat="false" ht="14.25" hidden="true" customHeight="true" outlineLevel="0" collapsed="false">
      <c r="A1129" s="16" t="s">
        <v>40</v>
      </c>
      <c r="B1129" s="16" t="s">
        <v>155</v>
      </c>
      <c r="C1129" s="16" t="s">
        <v>157</v>
      </c>
      <c r="D1129" s="38"/>
      <c r="E1129" s="39"/>
      <c r="F1129" s="22" t="n">
        <f aca="false">IFERROR(D1129*E1129,0)</f>
        <v>0</v>
      </c>
      <c r="G1129" s="16" t="str">
        <f aca="false">INDEX(SETORES!$B:$B,MATCH(A1129,SETORES!$A:$A,0))</f>
        <v>Clientes</v>
      </c>
      <c r="H1129" s="16" t="s">
        <v>21</v>
      </c>
    </row>
    <row r="1130" customFormat="false" ht="14.25" hidden="true" customHeight="true" outlineLevel="0" collapsed="false">
      <c r="A1130" s="40" t="s">
        <v>40</v>
      </c>
      <c r="B1130" s="40" t="s">
        <v>155</v>
      </c>
      <c r="C1130" s="40" t="s">
        <v>215</v>
      </c>
      <c r="D1130" s="41"/>
      <c r="E1130" s="42"/>
      <c r="F1130" s="43" t="n">
        <f aca="false">IFERROR(D1130*E1130,0)</f>
        <v>0</v>
      </c>
      <c r="G1130" s="40" t="str">
        <f aca="false">INDEX(SETORES!$B:$B,MATCH(A1130,SETORES!$A:$A,0))</f>
        <v>Clientes</v>
      </c>
      <c r="H1130" s="40" t="s">
        <v>21</v>
      </c>
    </row>
    <row r="1131" customFormat="false" ht="14.25" hidden="true" customHeight="true" outlineLevel="0" collapsed="false">
      <c r="A1131" s="16" t="s">
        <v>40</v>
      </c>
      <c r="B1131" s="16" t="s">
        <v>148</v>
      </c>
      <c r="C1131" s="16" t="s">
        <v>159</v>
      </c>
      <c r="D1131" s="38" t="n">
        <v>7</v>
      </c>
      <c r="E1131" s="39" t="n">
        <v>50</v>
      </c>
      <c r="F1131" s="22" t="n">
        <f aca="false">IFERROR(D1131*E1131,0)</f>
        <v>350</v>
      </c>
      <c r="G1131" s="16" t="str">
        <f aca="false">INDEX(SETORES!$B:$B,MATCH(A1131,SETORES!$A:$A,0))</f>
        <v>Clientes</v>
      </c>
      <c r="H1131" s="16" t="s">
        <v>21</v>
      </c>
    </row>
    <row r="1132" customFormat="false" ht="14.25" hidden="true" customHeight="true" outlineLevel="0" collapsed="false">
      <c r="A1132" s="40" t="s">
        <v>40</v>
      </c>
      <c r="B1132" s="40" t="s">
        <v>148</v>
      </c>
      <c r="C1132" s="40" t="s">
        <v>160</v>
      </c>
      <c r="D1132" s="41" t="n">
        <v>5</v>
      </c>
      <c r="E1132" s="42" t="n">
        <v>9.92</v>
      </c>
      <c r="F1132" s="43" t="n">
        <f aca="false">IFERROR(D1132*E1132,0)</f>
        <v>49.6</v>
      </c>
      <c r="G1132" s="40" t="str">
        <f aca="false">INDEX(SETORES!$B:$B,MATCH(A1132,SETORES!$A:$A,0))</f>
        <v>Clientes</v>
      </c>
      <c r="H1132" s="40" t="s">
        <v>21</v>
      </c>
    </row>
    <row r="1133" customFormat="false" ht="14.25" hidden="true" customHeight="true" outlineLevel="0" collapsed="false">
      <c r="A1133" s="16" t="s">
        <v>40</v>
      </c>
      <c r="B1133" s="16" t="s">
        <v>148</v>
      </c>
      <c r="C1133" s="16" t="s">
        <v>161</v>
      </c>
      <c r="D1133" s="38" t="n">
        <v>5</v>
      </c>
      <c r="E1133" s="39" t="n">
        <v>2.05</v>
      </c>
      <c r="F1133" s="22" t="n">
        <f aca="false">IFERROR(D1133*E1133,0)</f>
        <v>10.25</v>
      </c>
      <c r="G1133" s="16" t="str">
        <f aca="false">INDEX(SETORES!$B:$B,MATCH(A1133,SETORES!$A:$A,0))</f>
        <v>Clientes</v>
      </c>
      <c r="H1133" s="16" t="s">
        <v>21</v>
      </c>
    </row>
    <row r="1134" customFormat="false" ht="14.25" hidden="true" customHeight="true" outlineLevel="0" collapsed="false">
      <c r="A1134" s="40" t="s">
        <v>40</v>
      </c>
      <c r="B1134" s="40" t="s">
        <v>155</v>
      </c>
      <c r="C1134" s="40" t="s">
        <v>204</v>
      </c>
      <c r="D1134" s="41" t="n">
        <v>1</v>
      </c>
      <c r="E1134" s="42" t="n">
        <v>12000</v>
      </c>
      <c r="F1134" s="43" t="n">
        <f aca="false">IFERROR(D1134*E1134,0)</f>
        <v>12000</v>
      </c>
      <c r="G1134" s="40" t="str">
        <f aca="false">INDEX(SETORES!$B:$B,MATCH(A1134,SETORES!$A:$A,0))</f>
        <v>Clientes</v>
      </c>
      <c r="H1134" s="40" t="s">
        <v>21</v>
      </c>
    </row>
    <row r="1135" customFormat="false" ht="14.25" hidden="true" customHeight="true" outlineLevel="0" collapsed="false">
      <c r="A1135" s="16" t="s">
        <v>41</v>
      </c>
      <c r="B1135" s="16" t="s">
        <v>148</v>
      </c>
      <c r="C1135" s="16" t="s">
        <v>149</v>
      </c>
      <c r="D1135" s="38"/>
      <c r="E1135" s="39"/>
      <c r="F1135" s="22" t="n">
        <v>0</v>
      </c>
      <c r="G1135" s="16" t="str">
        <f aca="false">INDEX(SETORES!$B:$B,MATCH(A1135,SETORES!$A:$A,0))</f>
        <v>Clientes</v>
      </c>
      <c r="H1135" s="16" t="s">
        <v>21</v>
      </c>
    </row>
    <row r="1136" customFormat="false" ht="14.25" hidden="true" customHeight="true" outlineLevel="0" collapsed="false">
      <c r="A1136" s="40" t="s">
        <v>41</v>
      </c>
      <c r="B1136" s="40" t="s">
        <v>148</v>
      </c>
      <c r="C1136" s="40" t="s">
        <v>150</v>
      </c>
      <c r="D1136" s="41" t="n">
        <v>1</v>
      </c>
      <c r="E1136" s="42" t="n">
        <v>37.43</v>
      </c>
      <c r="F1136" s="43" t="n">
        <v>37.43</v>
      </c>
      <c r="G1136" s="40" t="str">
        <f aca="false">INDEX(SETORES!$B:$B,MATCH(A1136,SETORES!$A:$A,0))</f>
        <v>Clientes</v>
      </c>
      <c r="H1136" s="40" t="s">
        <v>21</v>
      </c>
    </row>
    <row r="1137" customFormat="false" ht="14.25" hidden="true" customHeight="true" outlineLevel="0" collapsed="false">
      <c r="A1137" s="16" t="s">
        <v>41</v>
      </c>
      <c r="B1137" s="16" t="s">
        <v>148</v>
      </c>
      <c r="C1137" s="16" t="s">
        <v>151</v>
      </c>
      <c r="D1137" s="38" t="n">
        <v>1</v>
      </c>
      <c r="E1137" s="39" t="n">
        <v>8.273</v>
      </c>
      <c r="F1137" s="22" t="n">
        <v>8.273</v>
      </c>
      <c r="G1137" s="16" t="str">
        <f aca="false">INDEX(SETORES!$B:$B,MATCH(A1137,SETORES!$A:$A,0))</f>
        <v>Clientes</v>
      </c>
      <c r="H1137" s="16" t="s">
        <v>21</v>
      </c>
    </row>
    <row r="1138" customFormat="false" ht="14.25" hidden="true" customHeight="true" outlineLevel="0" collapsed="false">
      <c r="A1138" s="40" t="s">
        <v>41</v>
      </c>
      <c r="B1138" s="40" t="s">
        <v>148</v>
      </c>
      <c r="C1138" s="40" t="s">
        <v>152</v>
      </c>
      <c r="D1138" s="41" t="n">
        <v>1</v>
      </c>
      <c r="E1138" s="42" t="n">
        <v>0.0242</v>
      </c>
      <c r="F1138" s="43" t="n">
        <v>0.0242</v>
      </c>
      <c r="G1138" s="40" t="str">
        <f aca="false">INDEX(SETORES!$B:$B,MATCH(A1138,SETORES!$A:$A,0))</f>
        <v>Clientes</v>
      </c>
      <c r="H1138" s="40" t="s">
        <v>21</v>
      </c>
    </row>
    <row r="1139" customFormat="false" ht="14.25" hidden="true" customHeight="true" outlineLevel="0" collapsed="false">
      <c r="A1139" s="16" t="s">
        <v>41</v>
      </c>
      <c r="B1139" s="16" t="s">
        <v>148</v>
      </c>
      <c r="C1139" s="16" t="s">
        <v>205</v>
      </c>
      <c r="D1139" s="38" t="n">
        <v>1</v>
      </c>
      <c r="E1139" s="39" t="n">
        <v>30</v>
      </c>
      <c r="F1139" s="22" t="n">
        <f aca="false">IFERROR(D1139*E1139,0)</f>
        <v>30</v>
      </c>
      <c r="G1139" s="16" t="str">
        <f aca="false">INDEX(SETORES!$B:$B,MATCH(A1139,SETORES!$A:$A,0))</f>
        <v>Clientes</v>
      </c>
      <c r="H1139" s="16" t="s">
        <v>21</v>
      </c>
    </row>
    <row r="1140" customFormat="false" ht="14.25" hidden="true" customHeight="true" outlineLevel="0" collapsed="false">
      <c r="A1140" s="40" t="s">
        <v>41</v>
      </c>
      <c r="B1140" s="40" t="s">
        <v>148</v>
      </c>
      <c r="C1140" s="40" t="s">
        <v>154</v>
      </c>
      <c r="D1140" s="41" t="n">
        <v>1</v>
      </c>
      <c r="E1140" s="42" t="n">
        <v>18000</v>
      </c>
      <c r="F1140" s="43" t="n">
        <f aca="false">IFERROR(E1140,0)</f>
        <v>18000</v>
      </c>
      <c r="G1140" s="40" t="str">
        <f aca="false">INDEX(SETORES!$B:$B,MATCH(A1140,SETORES!$A:$A,0))</f>
        <v>Clientes</v>
      </c>
      <c r="H1140" s="40" t="s">
        <v>21</v>
      </c>
    </row>
    <row r="1141" customFormat="false" ht="14.25" hidden="true" customHeight="true" outlineLevel="0" collapsed="false">
      <c r="A1141" s="16" t="s">
        <v>41</v>
      </c>
      <c r="B1141" s="16" t="s">
        <v>148</v>
      </c>
      <c r="C1141" s="16" t="s">
        <v>160</v>
      </c>
      <c r="D1141" s="38" t="n">
        <v>1</v>
      </c>
      <c r="E1141" s="39" t="n">
        <v>9.92</v>
      </c>
      <c r="F1141" s="22" t="n">
        <f aca="false">IFERROR(D1141*E1141,0)</f>
        <v>9.92</v>
      </c>
      <c r="G1141" s="16" t="str">
        <f aca="false">INDEX(SETORES!$B:$B,MATCH(A1141,SETORES!$A:$A,0))</f>
        <v>Clientes</v>
      </c>
      <c r="H1141" s="16" t="s">
        <v>21</v>
      </c>
    </row>
    <row r="1142" customFormat="false" ht="14.25" hidden="true" customHeight="true" outlineLevel="0" collapsed="false">
      <c r="A1142" s="40" t="s">
        <v>41</v>
      </c>
      <c r="B1142" s="40" t="s">
        <v>148</v>
      </c>
      <c r="C1142" s="40" t="s">
        <v>161</v>
      </c>
      <c r="D1142" s="41" t="n">
        <v>1</v>
      </c>
      <c r="E1142" s="42" t="n">
        <v>2.05</v>
      </c>
      <c r="F1142" s="43" t="n">
        <f aca="false">IFERROR(D1142*E1142,0)</f>
        <v>2.05</v>
      </c>
      <c r="G1142" s="40" t="str">
        <f aca="false">INDEX(SETORES!$B:$B,MATCH(A1142,SETORES!$A:$A,0))</f>
        <v>Clientes</v>
      </c>
      <c r="H1142" s="40" t="s">
        <v>21</v>
      </c>
    </row>
    <row r="1143" customFormat="false" ht="14.25" hidden="true" customHeight="true" outlineLevel="0" collapsed="false">
      <c r="A1143" s="16" t="s">
        <v>33</v>
      </c>
      <c r="B1143" s="16" t="s">
        <v>148</v>
      </c>
      <c r="C1143" s="16" t="s">
        <v>149</v>
      </c>
      <c r="D1143" s="38"/>
      <c r="E1143" s="39"/>
      <c r="F1143" s="22" t="n">
        <v>0</v>
      </c>
      <c r="G1143" s="16" t="str">
        <f aca="false">INDEX(SETORES!$B:$B,MATCH(A1143,SETORES!$A:$A,0))</f>
        <v>Funcionários</v>
      </c>
      <c r="H1143" s="16" t="s">
        <v>21</v>
      </c>
    </row>
    <row r="1144" customFormat="false" ht="14.25" hidden="true" customHeight="true" outlineLevel="0" collapsed="false">
      <c r="A1144" s="40" t="s">
        <v>33</v>
      </c>
      <c r="B1144" s="40" t="s">
        <v>148</v>
      </c>
      <c r="C1144" s="40" t="s">
        <v>150</v>
      </c>
      <c r="D1144" s="41" t="n">
        <v>1</v>
      </c>
      <c r="E1144" s="42" t="n">
        <v>75.54</v>
      </c>
      <c r="F1144" s="43" t="n">
        <v>75.54</v>
      </c>
      <c r="G1144" s="40" t="str">
        <f aca="false">INDEX(SETORES!$B:$B,MATCH(A1144,SETORES!$A:$A,0))</f>
        <v>Funcionários</v>
      </c>
      <c r="H1144" s="40" t="s">
        <v>21</v>
      </c>
    </row>
    <row r="1145" customFormat="false" ht="14.25" hidden="true" customHeight="true" outlineLevel="0" collapsed="false">
      <c r="A1145" s="16" t="s">
        <v>33</v>
      </c>
      <c r="B1145" s="16" t="s">
        <v>148</v>
      </c>
      <c r="C1145" s="16" t="s">
        <v>151</v>
      </c>
      <c r="D1145" s="38" t="n">
        <v>1</v>
      </c>
      <c r="E1145" s="39" t="n">
        <v>57.911</v>
      </c>
      <c r="F1145" s="22" t="n">
        <v>57.911</v>
      </c>
      <c r="G1145" s="16" t="str">
        <f aca="false">INDEX(SETORES!$B:$B,MATCH(A1145,SETORES!$A:$A,0))</f>
        <v>Funcionários</v>
      </c>
      <c r="H1145" s="16" t="s">
        <v>21</v>
      </c>
    </row>
    <row r="1146" customFormat="false" ht="14.25" hidden="true" customHeight="true" outlineLevel="0" collapsed="false">
      <c r="A1146" s="40" t="s">
        <v>33</v>
      </c>
      <c r="B1146" s="40" t="s">
        <v>148</v>
      </c>
      <c r="C1146" s="40" t="s">
        <v>152</v>
      </c>
      <c r="D1146" s="41" t="n">
        <v>1</v>
      </c>
      <c r="E1146" s="42" t="n">
        <v>0.1697</v>
      </c>
      <c r="F1146" s="43" t="n">
        <v>0.1697</v>
      </c>
      <c r="G1146" s="40" t="str">
        <f aca="false">INDEX(SETORES!$B:$B,MATCH(A1146,SETORES!$A:$A,0))</f>
        <v>Funcionários</v>
      </c>
      <c r="H1146" s="40" t="s">
        <v>21</v>
      </c>
    </row>
    <row r="1147" customFormat="false" ht="14.25" hidden="true" customHeight="true" outlineLevel="0" collapsed="false">
      <c r="A1147" s="16" t="s">
        <v>33</v>
      </c>
      <c r="B1147" s="16" t="s">
        <v>148</v>
      </c>
      <c r="C1147" s="16" t="s">
        <v>153</v>
      </c>
      <c r="D1147" s="38"/>
      <c r="E1147" s="39"/>
      <c r="F1147" s="22" t="n">
        <f aca="false">IFERROR(D1147*E1147,0)</f>
        <v>0</v>
      </c>
      <c r="G1147" s="16" t="str">
        <f aca="false">INDEX(SETORES!$B:$B,MATCH(A1147,SETORES!$A:$A,0))</f>
        <v>Funcionários</v>
      </c>
      <c r="H1147" s="16" t="s">
        <v>21</v>
      </c>
    </row>
    <row r="1148" customFormat="false" ht="14.25" hidden="true" customHeight="true" outlineLevel="0" collapsed="false">
      <c r="A1148" s="40" t="s">
        <v>33</v>
      </c>
      <c r="B1148" s="40" t="s">
        <v>148</v>
      </c>
      <c r="C1148" s="40" t="s">
        <v>154</v>
      </c>
      <c r="D1148" s="41" t="n">
        <v>1</v>
      </c>
      <c r="E1148" s="42" t="n">
        <v>43775.11</v>
      </c>
      <c r="F1148" s="43" t="n">
        <f aca="false">IFERROR(E1148,0)</f>
        <v>43775.11</v>
      </c>
      <c r="G1148" s="40" t="str">
        <f aca="false">INDEX(SETORES!$B:$B,MATCH(A1148,SETORES!$A:$A,0))</f>
        <v>Funcionários</v>
      </c>
      <c r="H1148" s="40" t="s">
        <v>21</v>
      </c>
    </row>
    <row r="1149" customFormat="false" ht="14.25" hidden="true" customHeight="true" outlineLevel="0" collapsed="false">
      <c r="A1149" s="16" t="s">
        <v>48</v>
      </c>
      <c r="B1149" s="16" t="s">
        <v>155</v>
      </c>
      <c r="C1149" s="16" t="s">
        <v>158</v>
      </c>
      <c r="D1149" s="38" t="n">
        <v>1</v>
      </c>
      <c r="E1149" s="39" t="n">
        <v>35</v>
      </c>
      <c r="F1149" s="22" t="n">
        <f aca="false">IFERROR(D1149*E1149,0)</f>
        <v>35</v>
      </c>
      <c r="G1149" s="16" t="str">
        <f aca="false">INDEX(SETORES!$B:$B,MATCH(A1149,SETORES!$A:$A,0))</f>
        <v>Clientes</v>
      </c>
      <c r="H1149" s="16" t="s">
        <v>21</v>
      </c>
    </row>
    <row r="1150" customFormat="false" ht="14.25" hidden="true" customHeight="true" outlineLevel="0" collapsed="false">
      <c r="A1150" s="40" t="s">
        <v>49</v>
      </c>
      <c r="B1150" s="40" t="s">
        <v>155</v>
      </c>
      <c r="C1150" s="40" t="s">
        <v>158</v>
      </c>
      <c r="D1150" s="41" t="n">
        <v>1</v>
      </c>
      <c r="E1150" s="42" t="n">
        <v>184</v>
      </c>
      <c r="F1150" s="43" t="n">
        <f aca="false">IFERROR(D1150*E1150,0)</f>
        <v>184</v>
      </c>
      <c r="G1150" s="40" t="str">
        <f aca="false">INDEX(SETORES!$B:$B,MATCH(A1150,SETORES!$A:$A,0))</f>
        <v>Clientes</v>
      </c>
      <c r="H1150" s="40" t="s">
        <v>21</v>
      </c>
    </row>
    <row r="1151" customFormat="false" ht="14.25" hidden="true" customHeight="true" outlineLevel="0" collapsed="false">
      <c r="A1151" s="16" t="s">
        <v>33</v>
      </c>
      <c r="B1151" s="16" t="s">
        <v>155</v>
      </c>
      <c r="C1151" s="16" t="s">
        <v>158</v>
      </c>
      <c r="D1151" s="38" t="n">
        <v>1</v>
      </c>
      <c r="E1151" s="39" t="n">
        <v>65</v>
      </c>
      <c r="F1151" s="22" t="n">
        <f aca="false">IFERROR(D1151*E1151,0)</f>
        <v>65</v>
      </c>
      <c r="G1151" s="16" t="str">
        <f aca="false">INDEX(SETORES!$B:$B,MATCH(A1151,SETORES!$A:$A,0))</f>
        <v>Funcionários</v>
      </c>
      <c r="H1151" s="16" t="s">
        <v>21</v>
      </c>
    </row>
    <row r="1152" customFormat="false" ht="14.25" hidden="true" customHeight="true" outlineLevel="0" collapsed="false">
      <c r="A1152" s="40" t="s">
        <v>33</v>
      </c>
      <c r="B1152" s="40" t="s">
        <v>155</v>
      </c>
      <c r="C1152" s="40" t="s">
        <v>207</v>
      </c>
      <c r="D1152" s="41"/>
      <c r="E1152" s="42"/>
      <c r="F1152" s="43" t="n">
        <f aca="false">IFERROR(D1152*E1152,0)</f>
        <v>0</v>
      </c>
      <c r="G1152" s="40" t="str">
        <f aca="false">INDEX(SETORES!$B:$B,MATCH(A1152,SETORES!$A:$A,0))</f>
        <v>Funcionários</v>
      </c>
      <c r="H1152" s="40" t="s">
        <v>21</v>
      </c>
    </row>
    <row r="1153" customFormat="false" ht="14.25" hidden="true" customHeight="true" outlineLevel="0" collapsed="false">
      <c r="A1153" s="16" t="s">
        <v>33</v>
      </c>
      <c r="B1153" s="16" t="s">
        <v>155</v>
      </c>
      <c r="C1153" s="16" t="s">
        <v>156</v>
      </c>
      <c r="D1153" s="38"/>
      <c r="E1153" s="39"/>
      <c r="F1153" s="22" t="n">
        <f aca="false">IFERROR(D1153*E1153,0)</f>
        <v>0</v>
      </c>
      <c r="G1153" s="16" t="str">
        <f aca="false">INDEX(SETORES!$B:$B,MATCH(A1153,SETORES!$A:$A,0))</f>
        <v>Funcionários</v>
      </c>
      <c r="H1153" s="16" t="s">
        <v>21</v>
      </c>
    </row>
    <row r="1154" customFormat="false" ht="14.25" hidden="true" customHeight="true" outlineLevel="0" collapsed="false">
      <c r="A1154" s="40" t="s">
        <v>33</v>
      </c>
      <c r="B1154" s="40" t="s">
        <v>155</v>
      </c>
      <c r="C1154" s="40" t="s">
        <v>157</v>
      </c>
      <c r="D1154" s="41"/>
      <c r="E1154" s="42"/>
      <c r="F1154" s="43" t="n">
        <f aca="false">IFERROR(D1154*E1154,0)</f>
        <v>0</v>
      </c>
      <c r="G1154" s="40" t="str">
        <f aca="false">INDEX(SETORES!$B:$B,MATCH(A1154,SETORES!$A:$A,0))</f>
        <v>Funcionários</v>
      </c>
      <c r="H1154" s="40" t="s">
        <v>21</v>
      </c>
    </row>
    <row r="1155" customFormat="false" ht="14.25" hidden="true" customHeight="true" outlineLevel="0" collapsed="false">
      <c r="A1155" s="16" t="s">
        <v>33</v>
      </c>
      <c r="B1155" s="16" t="s">
        <v>148</v>
      </c>
      <c r="C1155" s="16" t="s">
        <v>159</v>
      </c>
      <c r="D1155" s="38" t="n">
        <v>7</v>
      </c>
      <c r="E1155" s="39" t="n">
        <v>50</v>
      </c>
      <c r="F1155" s="22" t="n">
        <f aca="false">IFERROR(D1155*E1155,0)</f>
        <v>350</v>
      </c>
      <c r="G1155" s="16" t="str">
        <f aca="false">INDEX(SETORES!$B:$B,MATCH(A1155,SETORES!$A:$A,0))</f>
        <v>Funcionários</v>
      </c>
      <c r="H1155" s="16" t="s">
        <v>21</v>
      </c>
    </row>
    <row r="1156" customFormat="false" ht="14.25" hidden="true" customHeight="true" outlineLevel="0" collapsed="false">
      <c r="A1156" s="40" t="s">
        <v>33</v>
      </c>
      <c r="B1156" s="40" t="s">
        <v>148</v>
      </c>
      <c r="C1156" s="40" t="s">
        <v>231</v>
      </c>
      <c r="D1156" s="41" t="n">
        <v>1</v>
      </c>
      <c r="E1156" s="42" t="n">
        <v>153.58</v>
      </c>
      <c r="F1156" s="43" t="n">
        <f aca="false">IFERROR(D1156*E1156,0)</f>
        <v>153.58</v>
      </c>
      <c r="G1156" s="40" t="str">
        <f aca="false">INDEX(SETORES!$B:$B,MATCH(A1156,SETORES!$A:$A,0))</f>
        <v>Funcionários</v>
      </c>
      <c r="H1156" s="40" t="s">
        <v>21</v>
      </c>
    </row>
    <row r="1157" customFormat="false" ht="14.25" hidden="true" customHeight="true" outlineLevel="0" collapsed="false">
      <c r="A1157" s="16" t="s">
        <v>33</v>
      </c>
      <c r="B1157" s="16" t="s">
        <v>148</v>
      </c>
      <c r="C1157" s="16" t="s">
        <v>160</v>
      </c>
      <c r="D1157" s="38" t="n">
        <v>7</v>
      </c>
      <c r="E1157" s="39" t="n">
        <v>9.92</v>
      </c>
      <c r="F1157" s="22" t="n">
        <f aca="false">IFERROR(D1157*E1157,0)</f>
        <v>69.44</v>
      </c>
      <c r="G1157" s="16" t="str">
        <f aca="false">INDEX(SETORES!$B:$B,MATCH(A1157,SETORES!$A:$A,0))</f>
        <v>Funcionários</v>
      </c>
      <c r="H1157" s="16" t="s">
        <v>21</v>
      </c>
    </row>
    <row r="1158" customFormat="false" ht="14.25" hidden="true" customHeight="true" outlineLevel="0" collapsed="false">
      <c r="A1158" s="40" t="s">
        <v>33</v>
      </c>
      <c r="B1158" s="40" t="s">
        <v>148</v>
      </c>
      <c r="C1158" s="40" t="s">
        <v>161</v>
      </c>
      <c r="D1158" s="41" t="n">
        <v>7</v>
      </c>
      <c r="E1158" s="42" t="n">
        <v>2.05</v>
      </c>
      <c r="F1158" s="43" t="n">
        <f aca="false">IFERROR(D1158*E1158,0)</f>
        <v>14.35</v>
      </c>
      <c r="G1158" s="40" t="str">
        <f aca="false">INDEX(SETORES!$B:$B,MATCH(A1158,SETORES!$A:$A,0))</f>
        <v>Funcionários</v>
      </c>
      <c r="H1158" s="40" t="s">
        <v>21</v>
      </c>
    </row>
    <row r="1159" customFormat="false" ht="14.25" hidden="true" customHeight="true" outlineLevel="0" collapsed="false">
      <c r="A1159" s="16" t="s">
        <v>42</v>
      </c>
      <c r="B1159" s="16" t="s">
        <v>148</v>
      </c>
      <c r="C1159" s="16" t="s">
        <v>149</v>
      </c>
      <c r="D1159" s="38" t="n">
        <v>2</v>
      </c>
      <c r="E1159" s="39" t="n">
        <v>3.385</v>
      </c>
      <c r="F1159" s="22" t="n">
        <v>6.77</v>
      </c>
      <c r="G1159" s="16" t="str">
        <f aca="false">INDEX(SETORES!$B:$B,MATCH(A1159,SETORES!$A:$A,0))</f>
        <v>Clientes</v>
      </c>
      <c r="H1159" s="16" t="s">
        <v>21</v>
      </c>
    </row>
    <row r="1160" customFormat="false" ht="14.25" hidden="true" customHeight="true" outlineLevel="0" collapsed="false">
      <c r="A1160" s="40" t="s">
        <v>42</v>
      </c>
      <c r="B1160" s="40" t="s">
        <v>148</v>
      </c>
      <c r="C1160" s="40" t="s">
        <v>150</v>
      </c>
      <c r="D1160" s="41" t="n">
        <v>1</v>
      </c>
      <c r="E1160" s="42" t="n">
        <v>78.93</v>
      </c>
      <c r="F1160" s="43" t="n">
        <v>78.93</v>
      </c>
      <c r="G1160" s="40" t="str">
        <f aca="false">INDEX(SETORES!$B:$B,MATCH(A1160,SETORES!$A:$A,0))</f>
        <v>Clientes</v>
      </c>
      <c r="H1160" s="40" t="s">
        <v>21</v>
      </c>
    </row>
    <row r="1161" customFormat="false" ht="14.25" hidden="true" customHeight="true" outlineLevel="0" collapsed="false">
      <c r="A1161" s="16" t="s">
        <v>42</v>
      </c>
      <c r="B1161" s="16" t="s">
        <v>148</v>
      </c>
      <c r="C1161" s="16" t="s">
        <v>151</v>
      </c>
      <c r="D1161" s="38" t="n">
        <v>1</v>
      </c>
      <c r="E1161" s="39" t="n">
        <v>16.546</v>
      </c>
      <c r="F1161" s="22" t="n">
        <v>16.546</v>
      </c>
      <c r="G1161" s="16" t="str">
        <f aca="false">INDEX(SETORES!$B:$B,MATCH(A1161,SETORES!$A:$A,0))</f>
        <v>Clientes</v>
      </c>
      <c r="H1161" s="16" t="s">
        <v>21</v>
      </c>
    </row>
    <row r="1162" customFormat="false" ht="14.25" hidden="true" customHeight="true" outlineLevel="0" collapsed="false">
      <c r="A1162" s="40" t="s">
        <v>42</v>
      </c>
      <c r="B1162" s="40" t="s">
        <v>148</v>
      </c>
      <c r="C1162" s="40" t="s">
        <v>152</v>
      </c>
      <c r="D1162" s="41" t="n">
        <v>1</v>
      </c>
      <c r="E1162" s="42" t="n">
        <v>0.0485</v>
      </c>
      <c r="F1162" s="43" t="n">
        <v>0.0485</v>
      </c>
      <c r="G1162" s="40" t="str">
        <f aca="false">INDEX(SETORES!$B:$B,MATCH(A1162,SETORES!$A:$A,0))</f>
        <v>Clientes</v>
      </c>
      <c r="H1162" s="40" t="s">
        <v>21</v>
      </c>
    </row>
    <row r="1163" customFormat="false" ht="14.25" hidden="true" customHeight="true" outlineLevel="0" collapsed="false">
      <c r="A1163" s="16" t="s">
        <v>42</v>
      </c>
      <c r="B1163" s="16" t="s">
        <v>148</v>
      </c>
      <c r="C1163" s="16" t="s">
        <v>153</v>
      </c>
      <c r="D1163" s="38"/>
      <c r="E1163" s="39"/>
      <c r="F1163" s="22" t="n">
        <f aca="false">IFERROR(D1163*E1163,0)</f>
        <v>0</v>
      </c>
      <c r="G1163" s="16" t="str">
        <f aca="false">INDEX(SETORES!$B:$B,MATCH(A1163,SETORES!$A:$A,0))</f>
        <v>Clientes</v>
      </c>
      <c r="H1163" s="16" t="s">
        <v>21</v>
      </c>
    </row>
    <row r="1164" customFormat="false" ht="14.25" hidden="true" customHeight="true" outlineLevel="0" collapsed="false">
      <c r="A1164" s="40" t="s">
        <v>42</v>
      </c>
      <c r="B1164" s="40" t="s">
        <v>148</v>
      </c>
      <c r="C1164" s="40" t="s">
        <v>154</v>
      </c>
      <c r="D1164" s="41" t="n">
        <v>1</v>
      </c>
      <c r="E1164" s="42" t="n">
        <v>27129.8033777778</v>
      </c>
      <c r="F1164" s="43" t="n">
        <f aca="false">IFERROR(E1164,0)</f>
        <v>27129.8033777778</v>
      </c>
      <c r="G1164" s="40" t="str">
        <f aca="false">INDEX(SETORES!$B:$B,MATCH(A1164,SETORES!$A:$A,0))</f>
        <v>Clientes</v>
      </c>
      <c r="H1164" s="40" t="s">
        <v>21</v>
      </c>
    </row>
    <row r="1165" customFormat="false" ht="14.25" hidden="true" customHeight="true" outlineLevel="0" collapsed="false">
      <c r="A1165" s="16" t="s">
        <v>42</v>
      </c>
      <c r="B1165" s="16" t="s">
        <v>155</v>
      </c>
      <c r="C1165" s="16" t="s">
        <v>208</v>
      </c>
      <c r="D1165" s="38"/>
      <c r="E1165" s="39"/>
      <c r="F1165" s="22" t="n">
        <f aca="false">IFERROR(D1165*E1165,0)</f>
        <v>0</v>
      </c>
      <c r="G1165" s="16" t="str">
        <f aca="false">INDEX(SETORES!$B:$B,MATCH(A1165,SETORES!$A:$A,0))</f>
        <v>Clientes</v>
      </c>
      <c r="H1165" s="16" t="s">
        <v>21</v>
      </c>
    </row>
    <row r="1166" customFormat="false" ht="14.25" hidden="true" customHeight="true" outlineLevel="0" collapsed="false">
      <c r="A1166" s="40" t="s">
        <v>42</v>
      </c>
      <c r="B1166" s="40" t="s">
        <v>155</v>
      </c>
      <c r="C1166" s="40" t="s">
        <v>156</v>
      </c>
      <c r="D1166" s="41"/>
      <c r="E1166" s="42"/>
      <c r="F1166" s="43" t="n">
        <f aca="false">IFERROR(D1166*E1166,0)</f>
        <v>0</v>
      </c>
      <c r="G1166" s="40" t="str">
        <f aca="false">INDEX(SETORES!$B:$B,MATCH(A1166,SETORES!$A:$A,0))</f>
        <v>Clientes</v>
      </c>
      <c r="H1166" s="40" t="s">
        <v>21</v>
      </c>
    </row>
    <row r="1167" customFormat="false" ht="14.25" hidden="true" customHeight="true" outlineLevel="0" collapsed="false">
      <c r="A1167" s="16" t="s">
        <v>42</v>
      </c>
      <c r="B1167" s="16" t="s">
        <v>155</v>
      </c>
      <c r="C1167" s="16" t="s">
        <v>157</v>
      </c>
      <c r="D1167" s="38"/>
      <c r="E1167" s="39"/>
      <c r="F1167" s="22" t="n">
        <f aca="false">IFERROR(D1167*E1167,0)</f>
        <v>0</v>
      </c>
      <c r="G1167" s="16" t="str">
        <f aca="false">INDEX(SETORES!$B:$B,MATCH(A1167,SETORES!$A:$A,0))</f>
        <v>Clientes</v>
      </c>
      <c r="H1167" s="16" t="s">
        <v>21</v>
      </c>
    </row>
    <row r="1168" customFormat="false" ht="14.25" hidden="true" customHeight="true" outlineLevel="0" collapsed="false">
      <c r="A1168" s="40" t="s">
        <v>42</v>
      </c>
      <c r="B1168" s="40" t="s">
        <v>148</v>
      </c>
      <c r="C1168" s="40" t="s">
        <v>159</v>
      </c>
      <c r="D1168" s="41" t="n">
        <v>2</v>
      </c>
      <c r="E1168" s="42" t="n">
        <v>50</v>
      </c>
      <c r="F1168" s="43" t="n">
        <f aca="false">IFERROR(D1168*E1168,0)</f>
        <v>100</v>
      </c>
      <c r="G1168" s="40" t="str">
        <f aca="false">INDEX(SETORES!$B:$B,MATCH(A1168,SETORES!$A:$A,0))</f>
        <v>Clientes</v>
      </c>
      <c r="H1168" s="40" t="s">
        <v>21</v>
      </c>
    </row>
    <row r="1169" customFormat="false" ht="14.25" hidden="true" customHeight="true" outlineLevel="0" collapsed="false">
      <c r="A1169" s="16" t="s">
        <v>42</v>
      </c>
      <c r="B1169" s="16" t="s">
        <v>148</v>
      </c>
      <c r="C1169" s="16" t="s">
        <v>160</v>
      </c>
      <c r="D1169" s="38" t="n">
        <v>2</v>
      </c>
      <c r="E1169" s="39" t="n">
        <v>9.92</v>
      </c>
      <c r="F1169" s="22" t="n">
        <f aca="false">IFERROR(D1169*E1169,0)</f>
        <v>19.84</v>
      </c>
      <c r="G1169" s="16" t="str">
        <f aca="false">INDEX(SETORES!$B:$B,MATCH(A1169,SETORES!$A:$A,0))</f>
        <v>Clientes</v>
      </c>
      <c r="H1169" s="16" t="s">
        <v>21</v>
      </c>
    </row>
    <row r="1170" customFormat="false" ht="14.25" hidden="true" customHeight="true" outlineLevel="0" collapsed="false">
      <c r="A1170" s="40" t="s">
        <v>42</v>
      </c>
      <c r="B1170" s="40" t="s">
        <v>148</v>
      </c>
      <c r="C1170" s="40" t="s">
        <v>161</v>
      </c>
      <c r="D1170" s="41" t="n">
        <v>2</v>
      </c>
      <c r="E1170" s="42" t="n">
        <v>2.05</v>
      </c>
      <c r="F1170" s="43" t="n">
        <f aca="false">IFERROR(D1170*E1170,0)</f>
        <v>4.1</v>
      </c>
      <c r="G1170" s="40" t="str">
        <f aca="false">INDEX(SETORES!$B:$B,MATCH(A1170,SETORES!$A:$A,0))</f>
        <v>Clientes</v>
      </c>
      <c r="H1170" s="40" t="s">
        <v>21</v>
      </c>
    </row>
    <row r="1171" customFormat="false" ht="14.25" hidden="true" customHeight="true" outlineLevel="0" collapsed="false">
      <c r="A1171" s="16" t="s">
        <v>45</v>
      </c>
      <c r="B1171" s="16" t="s">
        <v>148</v>
      </c>
      <c r="C1171" s="16" t="s">
        <v>149</v>
      </c>
      <c r="D1171" s="38"/>
      <c r="E1171" s="39"/>
      <c r="F1171" s="22" t="n">
        <v>0</v>
      </c>
      <c r="G1171" s="16" t="str">
        <f aca="false">INDEX(SETORES!$B:$B,MATCH(A1171,SETORES!$A:$A,0))</f>
        <v>Clientes</v>
      </c>
      <c r="H1171" s="16" t="s">
        <v>21</v>
      </c>
    </row>
    <row r="1172" customFormat="false" ht="14.25" hidden="true" customHeight="true" outlineLevel="0" collapsed="false">
      <c r="A1172" s="40" t="s">
        <v>45</v>
      </c>
      <c r="B1172" s="40" t="s">
        <v>148</v>
      </c>
      <c r="C1172" s="40" t="s">
        <v>150</v>
      </c>
      <c r="D1172" s="41"/>
      <c r="E1172" s="42"/>
      <c r="F1172" s="43" t="n">
        <v>0</v>
      </c>
      <c r="G1172" s="40" t="str">
        <f aca="false">INDEX(SETORES!$B:$B,MATCH(A1172,SETORES!$A:$A,0))</f>
        <v>Clientes</v>
      </c>
      <c r="H1172" s="40" t="s">
        <v>21</v>
      </c>
    </row>
    <row r="1173" customFormat="false" ht="14.25" hidden="true" customHeight="true" outlineLevel="0" collapsed="false">
      <c r="A1173" s="16" t="s">
        <v>45</v>
      </c>
      <c r="B1173" s="16" t="s">
        <v>155</v>
      </c>
      <c r="C1173" s="16" t="s">
        <v>187</v>
      </c>
      <c r="D1173" s="38"/>
      <c r="E1173" s="39"/>
      <c r="F1173" s="22" t="n">
        <f aca="false">IFERROR(D1173*E1173,0)</f>
        <v>0</v>
      </c>
      <c r="G1173" s="16" t="str">
        <f aca="false">INDEX(SETORES!$B:$B,MATCH(A1173,SETORES!$A:$A,0))</f>
        <v>Clientes</v>
      </c>
      <c r="H1173" s="16" t="s">
        <v>21</v>
      </c>
    </row>
    <row r="1174" customFormat="false" ht="14.25" hidden="true" customHeight="true" outlineLevel="0" collapsed="false">
      <c r="A1174" s="40" t="s">
        <v>45</v>
      </c>
      <c r="B1174" s="40" t="s">
        <v>148</v>
      </c>
      <c r="C1174" s="40" t="s">
        <v>151</v>
      </c>
      <c r="D1174" s="41" t="n">
        <v>10</v>
      </c>
      <c r="E1174" s="42" t="n">
        <v>21.2582</v>
      </c>
      <c r="F1174" s="43" t="n">
        <v>212.582</v>
      </c>
      <c r="G1174" s="40" t="str">
        <f aca="false">INDEX(SETORES!$B:$B,MATCH(A1174,SETORES!$A:$A,0))</f>
        <v>Clientes</v>
      </c>
      <c r="H1174" s="40" t="s">
        <v>21</v>
      </c>
    </row>
    <row r="1175" customFormat="false" ht="14.25" hidden="true" customHeight="true" outlineLevel="0" collapsed="false">
      <c r="A1175" s="16" t="s">
        <v>45</v>
      </c>
      <c r="B1175" s="16" t="s">
        <v>148</v>
      </c>
      <c r="C1175" s="16" t="s">
        <v>152</v>
      </c>
      <c r="D1175" s="38" t="n">
        <v>10</v>
      </c>
      <c r="E1175" s="39" t="n">
        <v>3.3247</v>
      </c>
      <c r="F1175" s="22" t="n">
        <v>33.247</v>
      </c>
      <c r="G1175" s="16" t="str">
        <f aca="false">INDEX(SETORES!$B:$B,MATCH(A1175,SETORES!$A:$A,0))</f>
        <v>Clientes</v>
      </c>
      <c r="H1175" s="16" t="s">
        <v>21</v>
      </c>
    </row>
    <row r="1176" customFormat="false" ht="14.25" hidden="true" customHeight="true" outlineLevel="0" collapsed="false">
      <c r="A1176" s="40" t="s">
        <v>45</v>
      </c>
      <c r="B1176" s="40" t="s">
        <v>148</v>
      </c>
      <c r="C1176" s="40" t="s">
        <v>153</v>
      </c>
      <c r="D1176" s="41"/>
      <c r="E1176" s="42"/>
      <c r="F1176" s="43" t="n">
        <f aca="false">IFERROR(D1176*E1176,0)</f>
        <v>0</v>
      </c>
      <c r="G1176" s="40" t="str">
        <f aca="false">INDEX(SETORES!$B:$B,MATCH(A1176,SETORES!$A:$A,0))</f>
        <v>Clientes</v>
      </c>
      <c r="H1176" s="40" t="s">
        <v>21</v>
      </c>
    </row>
    <row r="1177" customFormat="false" ht="14.25" hidden="true" customHeight="true" outlineLevel="0" collapsed="false">
      <c r="A1177" s="16" t="s">
        <v>45</v>
      </c>
      <c r="B1177" s="16" t="s">
        <v>148</v>
      </c>
      <c r="C1177" s="16" t="s">
        <v>154</v>
      </c>
      <c r="D1177" s="38" t="n">
        <v>1</v>
      </c>
      <c r="E1177" s="39" t="n">
        <v>59197.83</v>
      </c>
      <c r="F1177" s="22" t="n">
        <f aca="false">IFERROR(E1177,0)</f>
        <v>59197.83</v>
      </c>
      <c r="G1177" s="16" t="str">
        <f aca="false">INDEX(SETORES!$B:$B,MATCH(A1177,SETORES!$A:$A,0))</f>
        <v>Clientes</v>
      </c>
      <c r="H1177" s="16" t="s">
        <v>21</v>
      </c>
    </row>
    <row r="1178" customFormat="false" ht="14.25" hidden="true" customHeight="true" outlineLevel="0" collapsed="false">
      <c r="A1178" s="40" t="s">
        <v>45</v>
      </c>
      <c r="B1178" s="40" t="s">
        <v>155</v>
      </c>
      <c r="C1178" s="40" t="s">
        <v>156</v>
      </c>
      <c r="D1178" s="41" t="n">
        <v>2</v>
      </c>
      <c r="E1178" s="42" t="n">
        <v>68</v>
      </c>
      <c r="F1178" s="43" t="n">
        <f aca="false">IFERROR(D1178*E1178,0)</f>
        <v>136</v>
      </c>
      <c r="G1178" s="40" t="str">
        <f aca="false">INDEX(SETORES!$B:$B,MATCH(A1178,SETORES!$A:$A,0))</f>
        <v>Clientes</v>
      </c>
      <c r="H1178" s="40" t="s">
        <v>21</v>
      </c>
    </row>
    <row r="1179" customFormat="false" ht="14.25" hidden="true" customHeight="true" outlineLevel="0" collapsed="false">
      <c r="A1179" s="16" t="s">
        <v>45</v>
      </c>
      <c r="B1179" s="16" t="s">
        <v>155</v>
      </c>
      <c r="C1179" s="16" t="s">
        <v>157</v>
      </c>
      <c r="D1179" s="38"/>
      <c r="E1179" s="39"/>
      <c r="F1179" s="22" t="n">
        <f aca="false">IFERROR(D1179*E1179,0)</f>
        <v>0</v>
      </c>
      <c r="G1179" s="16" t="str">
        <f aca="false">INDEX(SETORES!$B:$B,MATCH(A1179,SETORES!$A:$A,0))</f>
        <v>Clientes</v>
      </c>
      <c r="H1179" s="16" t="s">
        <v>21</v>
      </c>
    </row>
    <row r="1180" customFormat="false" ht="14.25" hidden="true" customHeight="true" outlineLevel="0" collapsed="false">
      <c r="A1180" s="40" t="s">
        <v>45</v>
      </c>
      <c r="B1180" s="40" t="s">
        <v>155</v>
      </c>
      <c r="C1180" s="40" t="s">
        <v>202</v>
      </c>
      <c r="D1180" s="41" t="n">
        <v>10</v>
      </c>
      <c r="E1180" s="42" t="n">
        <v>76.92</v>
      </c>
      <c r="F1180" s="43" t="n">
        <f aca="false">IFERROR(D1180*E1180,0)</f>
        <v>769.2</v>
      </c>
      <c r="G1180" s="40" t="str">
        <f aca="false">INDEX(SETORES!$B:$B,MATCH(A1180,SETORES!$A:$A,0))</f>
        <v>Clientes</v>
      </c>
      <c r="H1180" s="40" t="s">
        <v>21</v>
      </c>
    </row>
    <row r="1181" customFormat="false" ht="14.25" hidden="true" customHeight="true" outlineLevel="0" collapsed="false">
      <c r="A1181" s="16" t="s">
        <v>45</v>
      </c>
      <c r="B1181" s="16" t="s">
        <v>155</v>
      </c>
      <c r="C1181" s="16" t="s">
        <v>215</v>
      </c>
      <c r="D1181" s="38" t="n">
        <v>1</v>
      </c>
      <c r="E1181" s="39" t="n">
        <v>14703.68</v>
      </c>
      <c r="F1181" s="22" t="n">
        <f aca="false">IFERROR(D1181*E1181,0)</f>
        <v>14703.68</v>
      </c>
      <c r="G1181" s="16" t="str">
        <f aca="false">INDEX(SETORES!$B:$B,MATCH(A1181,SETORES!$A:$A,0))</f>
        <v>Clientes</v>
      </c>
      <c r="H1181" s="16" t="s">
        <v>21</v>
      </c>
    </row>
    <row r="1182" customFormat="false" ht="14.25" hidden="true" customHeight="true" outlineLevel="0" collapsed="false">
      <c r="A1182" s="40" t="s">
        <v>45</v>
      </c>
      <c r="B1182" s="40" t="s">
        <v>148</v>
      </c>
      <c r="C1182" s="40" t="s">
        <v>159</v>
      </c>
      <c r="D1182" s="41" t="n">
        <v>14</v>
      </c>
      <c r="E1182" s="42" t="n">
        <v>44.29</v>
      </c>
      <c r="F1182" s="43" t="n">
        <f aca="false">IFERROR(D1182*E1182,0)</f>
        <v>620.06</v>
      </c>
      <c r="G1182" s="40" t="str">
        <f aca="false">INDEX(SETORES!$B:$B,MATCH(A1182,SETORES!$A:$A,0))</f>
        <v>Clientes</v>
      </c>
      <c r="H1182" s="40" t="s">
        <v>21</v>
      </c>
    </row>
    <row r="1183" customFormat="false" ht="14.25" hidden="true" customHeight="true" outlineLevel="0" collapsed="false">
      <c r="A1183" s="16" t="s">
        <v>45</v>
      </c>
      <c r="B1183" s="16" t="s">
        <v>155</v>
      </c>
      <c r="C1183" s="16" t="s">
        <v>210</v>
      </c>
      <c r="D1183" s="38" t="n">
        <v>1</v>
      </c>
      <c r="E1183" s="39" t="n">
        <v>6506.65</v>
      </c>
      <c r="F1183" s="22" t="n">
        <f aca="false">IFERROR(D1183*E1183,0)</f>
        <v>6506.65</v>
      </c>
      <c r="G1183" s="16" t="str">
        <f aca="false">INDEX(SETORES!$B:$B,MATCH(A1183,SETORES!$A:$A,0))</f>
        <v>Clientes</v>
      </c>
      <c r="H1183" s="16" t="s">
        <v>21</v>
      </c>
    </row>
    <row r="1184" customFormat="false" ht="14.25" hidden="true" customHeight="true" outlineLevel="0" collapsed="false">
      <c r="A1184" s="40" t="s">
        <v>45</v>
      </c>
      <c r="B1184" s="40" t="s">
        <v>148</v>
      </c>
      <c r="C1184" s="40" t="s">
        <v>231</v>
      </c>
      <c r="D1184" s="41" t="n">
        <v>1</v>
      </c>
      <c r="E1184" s="42" t="n">
        <v>128.68</v>
      </c>
      <c r="F1184" s="43" t="n">
        <f aca="false">IFERROR(D1184*E1184,0)</f>
        <v>128.68</v>
      </c>
      <c r="G1184" s="40" t="str">
        <f aca="false">INDEX(SETORES!$B:$B,MATCH(A1184,SETORES!$A:$A,0))</f>
        <v>Clientes</v>
      </c>
      <c r="H1184" s="40" t="s">
        <v>21</v>
      </c>
    </row>
    <row r="1185" customFormat="false" ht="14.25" hidden="true" customHeight="true" outlineLevel="0" collapsed="false">
      <c r="A1185" s="16" t="s">
        <v>45</v>
      </c>
      <c r="B1185" s="16" t="s">
        <v>148</v>
      </c>
      <c r="C1185" s="16" t="s">
        <v>160</v>
      </c>
      <c r="D1185" s="38" t="n">
        <v>10</v>
      </c>
      <c r="E1185" s="39" t="n">
        <v>9.92</v>
      </c>
      <c r="F1185" s="22" t="n">
        <f aca="false">IFERROR(D1185*E1185,0)</f>
        <v>99.2</v>
      </c>
      <c r="G1185" s="16" t="str">
        <f aca="false">INDEX(SETORES!$B:$B,MATCH(A1185,SETORES!$A:$A,0))</f>
        <v>Clientes</v>
      </c>
      <c r="H1185" s="16" t="s">
        <v>21</v>
      </c>
    </row>
    <row r="1186" customFormat="false" ht="14.25" hidden="true" customHeight="true" outlineLevel="0" collapsed="false">
      <c r="A1186" s="40" t="s">
        <v>45</v>
      </c>
      <c r="B1186" s="40" t="s">
        <v>148</v>
      </c>
      <c r="C1186" s="40" t="s">
        <v>161</v>
      </c>
      <c r="D1186" s="41" t="n">
        <v>10</v>
      </c>
      <c r="E1186" s="42" t="n">
        <v>2.05</v>
      </c>
      <c r="F1186" s="43" t="n">
        <f aca="false">IFERROR(D1186*E1186,0)</f>
        <v>20.5</v>
      </c>
      <c r="G1186" s="40" t="str">
        <f aca="false">INDEX(SETORES!$B:$B,MATCH(A1186,SETORES!$A:$A,0))</f>
        <v>Clientes</v>
      </c>
      <c r="H1186" s="40" t="s">
        <v>21</v>
      </c>
    </row>
    <row r="1187" customFormat="false" ht="14.25" hidden="true" customHeight="true" outlineLevel="0" collapsed="false">
      <c r="A1187" s="16" t="s">
        <v>50</v>
      </c>
      <c r="B1187" s="16" t="s">
        <v>148</v>
      </c>
      <c r="C1187" s="16" t="s">
        <v>149</v>
      </c>
      <c r="D1187" s="38"/>
      <c r="E1187" s="39"/>
      <c r="F1187" s="22" t="n">
        <v>32684.03</v>
      </c>
      <c r="G1187" s="16" t="str">
        <f aca="false">INDEX(SETORES!$B:$B,MATCH(A1187,SETORES!$A:$A,0))</f>
        <v>Clientes</v>
      </c>
      <c r="H1187" s="16" t="s">
        <v>21</v>
      </c>
    </row>
    <row r="1188" customFormat="false" ht="14.25" hidden="true" customHeight="true" outlineLevel="0" collapsed="false">
      <c r="A1188" s="40" t="s">
        <v>50</v>
      </c>
      <c r="B1188" s="40" t="s">
        <v>148</v>
      </c>
      <c r="C1188" s="40" t="s">
        <v>150</v>
      </c>
      <c r="D1188" s="41"/>
      <c r="E1188" s="42"/>
      <c r="F1188" s="43" t="n">
        <v>0</v>
      </c>
      <c r="G1188" s="40" t="str">
        <f aca="false">INDEX(SETORES!$B:$B,MATCH(A1188,SETORES!$A:$A,0))</f>
        <v>Clientes</v>
      </c>
      <c r="H1188" s="40" t="s">
        <v>21</v>
      </c>
    </row>
    <row r="1189" customFormat="false" ht="14.25" hidden="true" customHeight="true" outlineLevel="0" collapsed="false">
      <c r="A1189" s="16" t="s">
        <v>50</v>
      </c>
      <c r="B1189" s="16" t="s">
        <v>148</v>
      </c>
      <c r="C1189" s="16" t="s">
        <v>151</v>
      </c>
      <c r="D1189" s="38" t="n">
        <v>16</v>
      </c>
      <c r="E1189" s="39" t="n">
        <v>21.2582</v>
      </c>
      <c r="F1189" s="22" t="n">
        <v>340.1312</v>
      </c>
      <c r="G1189" s="16" t="str">
        <f aca="false">INDEX(SETORES!$B:$B,MATCH(A1189,SETORES!$A:$A,0))</f>
        <v>Clientes</v>
      </c>
      <c r="H1189" s="16" t="s">
        <v>21</v>
      </c>
    </row>
    <row r="1190" customFormat="false" ht="14.25" hidden="true" customHeight="true" outlineLevel="0" collapsed="false">
      <c r="A1190" s="40" t="s">
        <v>50</v>
      </c>
      <c r="B1190" s="40" t="s">
        <v>148</v>
      </c>
      <c r="C1190" s="40" t="s">
        <v>152</v>
      </c>
      <c r="D1190" s="41" t="n">
        <v>16</v>
      </c>
      <c r="E1190" s="42" t="n">
        <v>3.3247</v>
      </c>
      <c r="F1190" s="43" t="n">
        <v>53.1952</v>
      </c>
      <c r="G1190" s="40" t="str">
        <f aca="false">INDEX(SETORES!$B:$B,MATCH(A1190,SETORES!$A:$A,0))</f>
        <v>Clientes</v>
      </c>
      <c r="H1190" s="40" t="s">
        <v>21</v>
      </c>
    </row>
    <row r="1191" customFormat="false" ht="14.25" hidden="true" customHeight="true" outlineLevel="0" collapsed="false">
      <c r="A1191" s="16" t="s">
        <v>50</v>
      </c>
      <c r="B1191" s="16" t="s">
        <v>148</v>
      </c>
      <c r="C1191" s="16" t="s">
        <v>153</v>
      </c>
      <c r="D1191" s="38"/>
      <c r="E1191" s="39"/>
      <c r="F1191" s="22" t="n">
        <f aca="false">IFERROR(D1191*E1191,0)</f>
        <v>0</v>
      </c>
      <c r="G1191" s="16" t="str">
        <f aca="false">INDEX(SETORES!$B:$B,MATCH(A1191,SETORES!$A:$A,0))</f>
        <v>Clientes</v>
      </c>
      <c r="H1191" s="16" t="s">
        <v>21</v>
      </c>
    </row>
    <row r="1192" customFormat="false" ht="14.25" hidden="true" customHeight="true" outlineLevel="0" collapsed="false">
      <c r="A1192" s="40" t="s">
        <v>50</v>
      </c>
      <c r="B1192" s="40" t="s">
        <v>148</v>
      </c>
      <c r="C1192" s="40" t="s">
        <v>154</v>
      </c>
      <c r="D1192" s="41" t="n">
        <v>1</v>
      </c>
      <c r="E1192" s="42" t="n">
        <v>80081.35</v>
      </c>
      <c r="F1192" s="43" t="n">
        <f aca="false">IFERROR(E1192,0)</f>
        <v>80081.35</v>
      </c>
      <c r="G1192" s="40" t="str">
        <f aca="false">INDEX(SETORES!$B:$B,MATCH(A1192,SETORES!$A:$A,0))</f>
        <v>Clientes</v>
      </c>
      <c r="H1192" s="40" t="s">
        <v>21</v>
      </c>
    </row>
    <row r="1193" customFormat="false" ht="14.25" hidden="true" customHeight="true" outlineLevel="0" collapsed="false">
      <c r="A1193" s="16" t="s">
        <v>50</v>
      </c>
      <c r="B1193" s="16" t="s">
        <v>155</v>
      </c>
      <c r="C1193" s="16" t="s">
        <v>156</v>
      </c>
      <c r="D1193" s="38" t="n">
        <v>4</v>
      </c>
      <c r="E1193" s="39" t="n">
        <v>33.75</v>
      </c>
      <c r="F1193" s="22" t="n">
        <f aca="false">IFERROR(D1193*E1193,0)</f>
        <v>135</v>
      </c>
      <c r="G1193" s="16" t="str">
        <f aca="false">INDEX(SETORES!$B:$B,MATCH(A1193,SETORES!$A:$A,0))</f>
        <v>Clientes</v>
      </c>
      <c r="H1193" s="16" t="s">
        <v>21</v>
      </c>
    </row>
    <row r="1194" customFormat="false" ht="14.25" hidden="true" customHeight="true" outlineLevel="0" collapsed="false">
      <c r="A1194" s="40" t="s">
        <v>50</v>
      </c>
      <c r="B1194" s="40" t="s">
        <v>155</v>
      </c>
      <c r="C1194" s="40" t="s">
        <v>157</v>
      </c>
      <c r="D1194" s="41"/>
      <c r="E1194" s="42"/>
      <c r="F1194" s="43" t="n">
        <f aca="false">IFERROR(D1194*E1194,0)</f>
        <v>0</v>
      </c>
      <c r="G1194" s="40" t="str">
        <f aca="false">INDEX(SETORES!$B:$B,MATCH(A1194,SETORES!$A:$A,0))</f>
        <v>Clientes</v>
      </c>
      <c r="H1194" s="40" t="s">
        <v>21</v>
      </c>
    </row>
    <row r="1195" customFormat="false" ht="14.25" hidden="true" customHeight="true" outlineLevel="0" collapsed="false">
      <c r="A1195" s="16" t="s">
        <v>50</v>
      </c>
      <c r="B1195" s="16" t="s">
        <v>155</v>
      </c>
      <c r="C1195" s="16" t="s">
        <v>202</v>
      </c>
      <c r="D1195" s="38" t="n">
        <v>16</v>
      </c>
      <c r="E1195" s="39" t="n">
        <v>76.92</v>
      </c>
      <c r="F1195" s="22" t="n">
        <f aca="false">IFERROR(D1195*E1195,0)</f>
        <v>1230.72</v>
      </c>
      <c r="G1195" s="16" t="str">
        <f aca="false">INDEX(SETORES!$B:$B,MATCH(A1195,SETORES!$A:$A,0))</f>
        <v>Clientes</v>
      </c>
      <c r="H1195" s="16" t="s">
        <v>21</v>
      </c>
    </row>
    <row r="1196" customFormat="false" ht="14.25" hidden="true" customHeight="true" outlineLevel="0" collapsed="false">
      <c r="A1196" s="40" t="s">
        <v>50</v>
      </c>
      <c r="B1196" s="40" t="s">
        <v>155</v>
      </c>
      <c r="C1196" s="40" t="s">
        <v>215</v>
      </c>
      <c r="D1196" s="41"/>
      <c r="E1196" s="42"/>
      <c r="F1196" s="43" t="n">
        <f aca="false">IFERROR(D1196*E1196,0)</f>
        <v>0</v>
      </c>
      <c r="G1196" s="40" t="str">
        <f aca="false">INDEX(SETORES!$B:$B,MATCH(A1196,SETORES!$A:$A,0))</f>
        <v>Clientes</v>
      </c>
      <c r="H1196" s="40" t="s">
        <v>21</v>
      </c>
    </row>
    <row r="1197" customFormat="false" ht="14.25" hidden="false" customHeight="true" outlineLevel="0" collapsed="false">
      <c r="A1197" s="16" t="s">
        <v>50</v>
      </c>
      <c r="B1197" s="16" t="s">
        <v>155</v>
      </c>
      <c r="C1197" s="16" t="s">
        <v>158</v>
      </c>
      <c r="D1197" s="38" t="n">
        <v>1</v>
      </c>
      <c r="E1197" s="39" t="n">
        <v>100</v>
      </c>
      <c r="F1197" s="22" t="n">
        <f aca="false">IFERROR(D1197*E1197,0)</f>
        <v>100</v>
      </c>
      <c r="G1197" s="16" t="str">
        <f aca="false">INDEX(SETORES!$B:$B,MATCH(A1197,SETORES!$A:$A,0))</f>
        <v>Clientes</v>
      </c>
      <c r="H1197" s="16" t="s">
        <v>21</v>
      </c>
    </row>
    <row r="1198" customFormat="false" ht="14.25" hidden="false" customHeight="true" outlineLevel="0" collapsed="false">
      <c r="A1198" s="40" t="s">
        <v>50</v>
      </c>
      <c r="B1198" s="40" t="s">
        <v>148</v>
      </c>
      <c r="C1198" s="40" t="s">
        <v>159</v>
      </c>
      <c r="D1198" s="41" t="n">
        <v>12</v>
      </c>
      <c r="E1198" s="42" t="n">
        <v>23.33</v>
      </c>
      <c r="F1198" s="43" t="n">
        <f aca="false">IFERROR(D1198*E1198,0)</f>
        <v>279.96</v>
      </c>
      <c r="G1198" s="40" t="str">
        <f aca="false">INDEX(SETORES!$B:$B,MATCH(A1198,SETORES!$A:$A,0))</f>
        <v>Clientes</v>
      </c>
      <c r="H1198" s="40" t="s">
        <v>21</v>
      </c>
    </row>
    <row r="1199" customFormat="false" ht="14.25" hidden="false" customHeight="true" outlineLevel="0" collapsed="false">
      <c r="A1199" s="16" t="s">
        <v>50</v>
      </c>
      <c r="B1199" s="16" t="s">
        <v>148</v>
      </c>
      <c r="C1199" s="16" t="s">
        <v>231</v>
      </c>
      <c r="D1199" s="38" t="n">
        <v>1</v>
      </c>
      <c r="E1199" s="39" t="n">
        <v>153.58</v>
      </c>
      <c r="F1199" s="22" t="n">
        <f aca="false">IFERROR(D1199*E1199,0)</f>
        <v>153.58</v>
      </c>
      <c r="G1199" s="16" t="str">
        <f aca="false">INDEX(SETORES!$B:$B,MATCH(A1199,SETORES!$A:$A,0))</f>
        <v>Clientes</v>
      </c>
      <c r="H1199" s="16" t="s">
        <v>21</v>
      </c>
    </row>
    <row r="1200" customFormat="false" ht="14.25" hidden="false" customHeight="true" outlineLevel="0" collapsed="false">
      <c r="A1200" s="40" t="s">
        <v>50</v>
      </c>
      <c r="B1200" s="40" t="s">
        <v>148</v>
      </c>
      <c r="C1200" s="40" t="s">
        <v>160</v>
      </c>
      <c r="D1200" s="41" t="n">
        <v>16</v>
      </c>
      <c r="E1200" s="42" t="n">
        <v>9.92</v>
      </c>
      <c r="F1200" s="43" t="n">
        <f aca="false">IFERROR(D1200*E1200,0)</f>
        <v>158.72</v>
      </c>
      <c r="G1200" s="40" t="str">
        <f aca="false">INDEX(SETORES!$B:$B,MATCH(A1200,SETORES!$A:$A,0))</f>
        <v>Clientes</v>
      </c>
      <c r="H1200" s="40" t="s">
        <v>21</v>
      </c>
    </row>
    <row r="1201" customFormat="false" ht="14.25" hidden="false" customHeight="true" outlineLevel="0" collapsed="false">
      <c r="A1201" s="16" t="s">
        <v>50</v>
      </c>
      <c r="B1201" s="16" t="s">
        <v>148</v>
      </c>
      <c r="C1201" s="16" t="s">
        <v>161</v>
      </c>
      <c r="D1201" s="38" t="n">
        <v>16</v>
      </c>
      <c r="E1201" s="39" t="n">
        <v>2.05</v>
      </c>
      <c r="F1201" s="22" t="n">
        <f aca="false">IFERROR(D1201*E1201,0)</f>
        <v>32.8</v>
      </c>
      <c r="G1201" s="16" t="str">
        <f aca="false">INDEX(SETORES!$B:$B,MATCH(A1201,SETORES!$A:$A,0))</f>
        <v>Clientes</v>
      </c>
      <c r="H1201" s="16" t="s">
        <v>21</v>
      </c>
    </row>
    <row r="1202" customFormat="false" ht="14.25" hidden="false" customHeight="true" outlineLevel="0" collapsed="false">
      <c r="A1202" s="40" t="s">
        <v>36</v>
      </c>
      <c r="B1202" s="40" t="s">
        <v>148</v>
      </c>
      <c r="C1202" s="40" t="s">
        <v>149</v>
      </c>
      <c r="D1202" s="41" t="n">
        <v>1</v>
      </c>
      <c r="E1202" s="42" t="n">
        <v>71.42</v>
      </c>
      <c r="F1202" s="43" t="n">
        <v>714.2004</v>
      </c>
      <c r="G1202" s="40" t="str">
        <f aca="false">INDEX(SETORES!$B:$B,MATCH(A1202,SETORES!$A:$A,0))</f>
        <v>Clientes</v>
      </c>
      <c r="H1202" s="40" t="s">
        <v>21</v>
      </c>
    </row>
    <row r="1203" customFormat="false" ht="14.25" hidden="false" customHeight="true" outlineLevel="0" collapsed="false">
      <c r="A1203" s="16" t="s">
        <v>36</v>
      </c>
      <c r="B1203" s="16" t="s">
        <v>148</v>
      </c>
      <c r="C1203" s="16" t="s">
        <v>150</v>
      </c>
      <c r="D1203" s="38" t="n">
        <v>1</v>
      </c>
      <c r="E1203" s="39" t="n">
        <v>221.42</v>
      </c>
      <c r="F1203" s="22" t="n">
        <v>221.42</v>
      </c>
      <c r="G1203" s="16" t="str">
        <f aca="false">INDEX(SETORES!$B:$B,MATCH(A1203,SETORES!$A:$A,0))</f>
        <v>Clientes</v>
      </c>
      <c r="H1203" s="16" t="s">
        <v>21</v>
      </c>
    </row>
    <row r="1204" customFormat="false" ht="14.25" hidden="false" customHeight="true" outlineLevel="0" collapsed="false">
      <c r="A1204" s="40" t="s">
        <v>36</v>
      </c>
      <c r="B1204" s="40" t="s">
        <v>148</v>
      </c>
      <c r="C1204" s="40" t="s">
        <v>151</v>
      </c>
      <c r="D1204" s="41" t="n">
        <v>1</v>
      </c>
      <c r="E1204" s="42" t="n">
        <v>66.184</v>
      </c>
      <c r="F1204" s="43" t="n">
        <v>66.184</v>
      </c>
      <c r="G1204" s="40" t="str">
        <f aca="false">INDEX(SETORES!$B:$B,MATCH(A1204,SETORES!$A:$A,0))</f>
        <v>Clientes</v>
      </c>
      <c r="H1204" s="40" t="s">
        <v>21</v>
      </c>
    </row>
    <row r="1205" customFormat="false" ht="14.25" hidden="false" customHeight="true" outlineLevel="0" collapsed="false">
      <c r="A1205" s="16" t="s">
        <v>36</v>
      </c>
      <c r="B1205" s="16" t="s">
        <v>148</v>
      </c>
      <c r="C1205" s="16" t="s">
        <v>152</v>
      </c>
      <c r="D1205" s="38" t="n">
        <v>1</v>
      </c>
      <c r="E1205" s="39" t="n">
        <v>0.194</v>
      </c>
      <c r="F1205" s="22" t="n">
        <v>0.194</v>
      </c>
      <c r="G1205" s="16" t="str">
        <f aca="false">INDEX(SETORES!$B:$B,MATCH(A1205,SETORES!$A:$A,0))</f>
        <v>Clientes</v>
      </c>
      <c r="H1205" s="16" t="s">
        <v>21</v>
      </c>
    </row>
    <row r="1206" customFormat="false" ht="14.25" hidden="false" customHeight="true" outlineLevel="0" collapsed="false">
      <c r="A1206" s="40" t="s">
        <v>36</v>
      </c>
      <c r="B1206" s="40" t="s">
        <v>148</v>
      </c>
      <c r="C1206" s="40" t="s">
        <v>153</v>
      </c>
      <c r="D1206" s="41"/>
      <c r="E1206" s="42"/>
      <c r="F1206" s="43" t="n">
        <f aca="false">IFERROR(D1206*E1206,0)</f>
        <v>0</v>
      </c>
      <c r="G1206" s="40" t="str">
        <f aca="false">INDEX(SETORES!$B:$B,MATCH(A1206,SETORES!$A:$A,0))</f>
        <v>Clientes</v>
      </c>
      <c r="H1206" s="40" t="s">
        <v>21</v>
      </c>
    </row>
    <row r="1207" customFormat="false" ht="14.25" hidden="false" customHeight="true" outlineLevel="0" collapsed="false">
      <c r="A1207" s="16" t="s">
        <v>36</v>
      </c>
      <c r="B1207" s="16" t="s">
        <v>148</v>
      </c>
      <c r="C1207" s="16" t="s">
        <v>154</v>
      </c>
      <c r="D1207" s="38" t="n">
        <v>1</v>
      </c>
      <c r="E1207" s="39" t="n">
        <v>41415.06</v>
      </c>
      <c r="F1207" s="22" t="n">
        <f aca="false">IFERROR(E1207,0)</f>
        <v>41415.06</v>
      </c>
      <c r="G1207" s="16" t="str">
        <f aca="false">INDEX(SETORES!$B:$B,MATCH(A1207,SETORES!$A:$A,0))</f>
        <v>Clientes</v>
      </c>
      <c r="H1207" s="16" t="s">
        <v>21</v>
      </c>
    </row>
    <row r="1208" customFormat="false" ht="14.25" hidden="false" customHeight="true" outlineLevel="0" collapsed="false">
      <c r="A1208" s="40" t="s">
        <v>36</v>
      </c>
      <c r="B1208" s="40" t="s">
        <v>148</v>
      </c>
      <c r="C1208" s="40" t="s">
        <v>212</v>
      </c>
      <c r="D1208" s="41" t="n">
        <v>1</v>
      </c>
      <c r="E1208" s="42" t="n">
        <v>29185.01</v>
      </c>
      <c r="F1208" s="43" t="n">
        <f aca="false">IFERROR(D1208*E1208,0)</f>
        <v>29185.01</v>
      </c>
      <c r="G1208" s="40" t="str">
        <f aca="false">INDEX(SETORES!$B:$B,MATCH(A1208,SETORES!$A:$A,0))</f>
        <v>Clientes</v>
      </c>
      <c r="H1208" s="40" t="s">
        <v>21</v>
      </c>
    </row>
    <row r="1209" customFormat="false" ht="14.25" hidden="false" customHeight="true" outlineLevel="0" collapsed="false">
      <c r="A1209" s="16" t="s">
        <v>36</v>
      </c>
      <c r="B1209" s="16" t="s">
        <v>155</v>
      </c>
      <c r="C1209" s="16" t="s">
        <v>156</v>
      </c>
      <c r="D1209" s="38" t="n">
        <v>2</v>
      </c>
      <c r="E1209" s="39" t="n">
        <v>45</v>
      </c>
      <c r="F1209" s="22" t="n">
        <f aca="false">IFERROR(D1209*E1209,0)</f>
        <v>90</v>
      </c>
      <c r="G1209" s="16" t="str">
        <f aca="false">INDEX(SETORES!$B:$B,MATCH(A1209,SETORES!$A:$A,0))</f>
        <v>Clientes</v>
      </c>
      <c r="H1209" s="16" t="s">
        <v>21</v>
      </c>
    </row>
    <row r="1210" customFormat="false" ht="14.25" hidden="false" customHeight="true" outlineLevel="0" collapsed="false">
      <c r="A1210" s="40" t="s">
        <v>36</v>
      </c>
      <c r="B1210" s="40" t="s">
        <v>155</v>
      </c>
      <c r="C1210" s="40" t="s">
        <v>157</v>
      </c>
      <c r="D1210" s="41"/>
      <c r="E1210" s="42"/>
      <c r="F1210" s="43" t="n">
        <f aca="false">IFERROR(D1210*E1210,0)</f>
        <v>0</v>
      </c>
      <c r="G1210" s="40" t="str">
        <f aca="false">INDEX(SETORES!$B:$B,MATCH(A1210,SETORES!$A:$A,0))</f>
        <v>Clientes</v>
      </c>
      <c r="H1210" s="40" t="s">
        <v>21</v>
      </c>
    </row>
    <row r="1211" customFormat="false" ht="14.25" hidden="false" customHeight="true" outlineLevel="0" collapsed="false">
      <c r="A1211" s="16" t="s">
        <v>36</v>
      </c>
      <c r="B1211" s="16" t="s">
        <v>148</v>
      </c>
      <c r="C1211" s="16" t="s">
        <v>159</v>
      </c>
      <c r="D1211" s="38" t="n">
        <v>8</v>
      </c>
      <c r="E1211" s="39" t="n">
        <v>50</v>
      </c>
      <c r="F1211" s="22" t="n">
        <f aca="false">IFERROR(D1211*E1211,0)</f>
        <v>400</v>
      </c>
      <c r="G1211" s="16" t="str">
        <f aca="false">INDEX(SETORES!$B:$B,MATCH(A1211,SETORES!$A:$A,0))</f>
        <v>Clientes</v>
      </c>
      <c r="H1211" s="16" t="s">
        <v>21</v>
      </c>
    </row>
    <row r="1212" customFormat="false" ht="14.25" hidden="false" customHeight="true" outlineLevel="0" collapsed="false">
      <c r="A1212" s="40" t="s">
        <v>36</v>
      </c>
      <c r="B1212" s="40" t="s">
        <v>148</v>
      </c>
      <c r="C1212" s="40" t="s">
        <v>231</v>
      </c>
      <c r="D1212" s="41" t="n">
        <v>1</v>
      </c>
      <c r="E1212" s="42" t="n">
        <v>153.58</v>
      </c>
      <c r="F1212" s="43" t="n">
        <f aca="false">IFERROR(D1212*E1212,0)</f>
        <v>153.58</v>
      </c>
      <c r="G1212" s="40" t="str">
        <f aca="false">INDEX(SETORES!$B:$B,MATCH(A1212,SETORES!$A:$A,0))</f>
        <v>Clientes</v>
      </c>
      <c r="H1212" s="40" t="s">
        <v>21</v>
      </c>
    </row>
    <row r="1213" customFormat="false" ht="14.25" hidden="false" customHeight="true" outlineLevel="0" collapsed="false">
      <c r="A1213" s="16" t="s">
        <v>36</v>
      </c>
      <c r="B1213" s="16" t="s">
        <v>148</v>
      </c>
      <c r="C1213" s="16" t="s">
        <v>160</v>
      </c>
      <c r="D1213" s="38" t="n">
        <v>9</v>
      </c>
      <c r="E1213" s="39" t="n">
        <v>9.92</v>
      </c>
      <c r="F1213" s="22" t="n">
        <f aca="false">IFERROR(D1213*E1213,0)</f>
        <v>89.28</v>
      </c>
      <c r="G1213" s="16" t="str">
        <f aca="false">INDEX(SETORES!$B:$B,MATCH(A1213,SETORES!$A:$A,0))</f>
        <v>Clientes</v>
      </c>
      <c r="H1213" s="16" t="s">
        <v>21</v>
      </c>
    </row>
    <row r="1214" customFormat="false" ht="14.25" hidden="false" customHeight="true" outlineLevel="0" collapsed="false">
      <c r="A1214" s="40" t="s">
        <v>36</v>
      </c>
      <c r="B1214" s="40" t="s">
        <v>148</v>
      </c>
      <c r="C1214" s="40" t="s">
        <v>161</v>
      </c>
      <c r="D1214" s="41" t="n">
        <v>9</v>
      </c>
      <c r="E1214" s="42" t="n">
        <v>2.05</v>
      </c>
      <c r="F1214" s="43" t="n">
        <f aca="false">IFERROR(D1214*E1214,0)</f>
        <v>18.45</v>
      </c>
      <c r="G1214" s="40" t="str">
        <f aca="false">INDEX(SETORES!$B:$B,MATCH(A1214,SETORES!$A:$A,0))</f>
        <v>Clientes</v>
      </c>
      <c r="H1214" s="40" t="s">
        <v>21</v>
      </c>
    </row>
    <row r="1215" customFormat="false" ht="14.25" hidden="false" customHeight="true" outlineLevel="0" collapsed="false">
      <c r="A1215" s="16" t="s">
        <v>48</v>
      </c>
      <c r="B1215" s="16" t="s">
        <v>148</v>
      </c>
      <c r="C1215" s="16" t="s">
        <v>149</v>
      </c>
      <c r="D1215" s="38"/>
      <c r="E1215" s="39"/>
      <c r="F1215" s="22" t="n">
        <v>0</v>
      </c>
      <c r="G1215" s="16" t="str">
        <f aca="false">INDEX(SETORES!$B:$B,MATCH(A1215,SETORES!$A:$A,0))</f>
        <v>Clientes</v>
      </c>
      <c r="H1215" s="16" t="s">
        <v>21</v>
      </c>
    </row>
    <row r="1216" customFormat="false" ht="14.25" hidden="false" customHeight="true" outlineLevel="0" collapsed="false">
      <c r="A1216" s="40" t="s">
        <v>48</v>
      </c>
      <c r="B1216" s="40" t="s">
        <v>148</v>
      </c>
      <c r="C1216" s="40" t="s">
        <v>150</v>
      </c>
      <c r="D1216" s="41"/>
      <c r="E1216" s="42"/>
      <c r="F1216" s="43" t="n">
        <v>0</v>
      </c>
      <c r="G1216" s="40" t="str">
        <f aca="false">INDEX(SETORES!$B:$B,MATCH(A1216,SETORES!$A:$A,0))</f>
        <v>Clientes</v>
      </c>
      <c r="H1216" s="40" t="s">
        <v>21</v>
      </c>
    </row>
    <row r="1217" customFormat="false" ht="14.25" hidden="false" customHeight="true" outlineLevel="0" collapsed="false">
      <c r="A1217" s="16" t="s">
        <v>48</v>
      </c>
      <c r="B1217" s="16" t="s">
        <v>148</v>
      </c>
      <c r="C1217" s="16" t="s">
        <v>151</v>
      </c>
      <c r="D1217" s="38" t="n">
        <v>14</v>
      </c>
      <c r="E1217" s="39" t="n">
        <v>21.2582</v>
      </c>
      <c r="F1217" s="22" t="n">
        <v>297.6148</v>
      </c>
      <c r="G1217" s="16" t="str">
        <f aca="false">INDEX(SETORES!$B:$B,MATCH(A1217,SETORES!$A:$A,0))</f>
        <v>Clientes</v>
      </c>
      <c r="H1217" s="16" t="s">
        <v>21</v>
      </c>
    </row>
    <row r="1218" customFormat="false" ht="14.25" hidden="false" customHeight="true" outlineLevel="0" collapsed="false">
      <c r="A1218" s="40" t="s">
        <v>48</v>
      </c>
      <c r="B1218" s="40" t="s">
        <v>148</v>
      </c>
      <c r="C1218" s="40" t="s">
        <v>152</v>
      </c>
      <c r="D1218" s="41" t="n">
        <v>14</v>
      </c>
      <c r="E1218" s="42" t="n">
        <v>3.3247</v>
      </c>
      <c r="F1218" s="43" t="n">
        <v>46.5458</v>
      </c>
      <c r="G1218" s="40" t="str">
        <f aca="false">INDEX(SETORES!$B:$B,MATCH(A1218,SETORES!$A:$A,0))</f>
        <v>Clientes</v>
      </c>
      <c r="H1218" s="40" t="s">
        <v>21</v>
      </c>
    </row>
    <row r="1219" customFormat="false" ht="14.25" hidden="false" customHeight="true" outlineLevel="0" collapsed="false">
      <c r="A1219" s="16" t="s">
        <v>48</v>
      </c>
      <c r="B1219" s="16" t="s">
        <v>148</v>
      </c>
      <c r="C1219" s="16" t="s">
        <v>153</v>
      </c>
      <c r="D1219" s="38"/>
      <c r="E1219" s="39"/>
      <c r="F1219" s="22" t="n">
        <f aca="false">IFERROR(D1219*E1219,0)</f>
        <v>0</v>
      </c>
      <c r="G1219" s="16" t="str">
        <f aca="false">INDEX(SETORES!$B:$B,MATCH(A1219,SETORES!$A:$A,0))</f>
        <v>Clientes</v>
      </c>
      <c r="H1219" s="16" t="s">
        <v>21</v>
      </c>
    </row>
    <row r="1220" customFormat="false" ht="14.25" hidden="false" customHeight="true" outlineLevel="0" collapsed="false">
      <c r="A1220" s="40" t="s">
        <v>48</v>
      </c>
      <c r="B1220" s="40" t="s">
        <v>148</v>
      </c>
      <c r="C1220" s="40" t="s">
        <v>154</v>
      </c>
      <c r="D1220" s="41" t="n">
        <v>1</v>
      </c>
      <c r="E1220" s="42" t="n">
        <v>66787.046329</v>
      </c>
      <c r="F1220" s="43" t="n">
        <v>66787.046329</v>
      </c>
      <c r="G1220" s="40" t="str">
        <f aca="false">INDEX(SETORES!$B:$B,MATCH(A1220,SETORES!$A:$A,0))</f>
        <v>Clientes</v>
      </c>
      <c r="H1220" s="40" t="s">
        <v>21</v>
      </c>
    </row>
    <row r="1221" customFormat="false" ht="14.25" hidden="false" customHeight="true" outlineLevel="0" collapsed="false">
      <c r="A1221" s="16" t="s">
        <v>48</v>
      </c>
      <c r="B1221" s="16" t="s">
        <v>155</v>
      </c>
      <c r="C1221" s="16" t="s">
        <v>210</v>
      </c>
      <c r="D1221" s="38" t="n">
        <v>1</v>
      </c>
      <c r="E1221" s="39" t="n">
        <v>37632.61</v>
      </c>
      <c r="F1221" s="22" t="n">
        <f aca="false">IFERROR(D1221*E1221,0)</f>
        <v>37632.61</v>
      </c>
      <c r="G1221" s="16" t="str">
        <f aca="false">INDEX(SETORES!$B:$B,MATCH(A1221,SETORES!$A:$A,0))</f>
        <v>Clientes</v>
      </c>
      <c r="H1221" s="16" t="s">
        <v>21</v>
      </c>
    </row>
    <row r="1222" customFormat="false" ht="14.25" hidden="false" customHeight="true" outlineLevel="0" collapsed="false">
      <c r="A1222" s="40" t="s">
        <v>48</v>
      </c>
      <c r="B1222" s="40" t="s">
        <v>155</v>
      </c>
      <c r="C1222" s="40" t="s">
        <v>213</v>
      </c>
      <c r="D1222" s="41"/>
      <c r="E1222" s="42"/>
      <c r="F1222" s="43" t="n">
        <f aca="false">IFERROR(D1222*E1222,0)</f>
        <v>0</v>
      </c>
      <c r="G1222" s="40" t="str">
        <f aca="false">INDEX(SETORES!$B:$B,MATCH(A1222,SETORES!$A:$A,0))</f>
        <v>Clientes</v>
      </c>
      <c r="H1222" s="40" t="s">
        <v>21</v>
      </c>
    </row>
    <row r="1223" customFormat="false" ht="14.25" hidden="false" customHeight="true" outlineLevel="0" collapsed="false">
      <c r="A1223" s="16" t="s">
        <v>48</v>
      </c>
      <c r="B1223" s="16" t="s">
        <v>155</v>
      </c>
      <c r="C1223" s="16" t="s">
        <v>156</v>
      </c>
      <c r="D1223" s="38" t="n">
        <v>2</v>
      </c>
      <c r="E1223" s="39" t="n">
        <v>68</v>
      </c>
      <c r="F1223" s="22" t="n">
        <f aca="false">IFERROR(D1223*E1223,0)</f>
        <v>136</v>
      </c>
      <c r="G1223" s="16" t="str">
        <f aca="false">INDEX(SETORES!$B:$B,MATCH(A1223,SETORES!$A:$A,0))</f>
        <v>Clientes</v>
      </c>
      <c r="H1223" s="16" t="s">
        <v>21</v>
      </c>
    </row>
    <row r="1224" customFormat="false" ht="14.25" hidden="false" customHeight="true" outlineLevel="0" collapsed="false">
      <c r="A1224" s="40" t="s">
        <v>48</v>
      </c>
      <c r="B1224" s="40" t="s">
        <v>155</v>
      </c>
      <c r="C1224" s="40" t="s">
        <v>157</v>
      </c>
      <c r="D1224" s="41"/>
      <c r="E1224" s="42"/>
      <c r="F1224" s="43" t="n">
        <f aca="false">IFERROR(D1224*E1224,0)</f>
        <v>0</v>
      </c>
      <c r="G1224" s="40" t="str">
        <f aca="false">INDEX(SETORES!$B:$B,MATCH(A1224,SETORES!$A:$A,0))</f>
        <v>Clientes</v>
      </c>
      <c r="H1224" s="40" t="s">
        <v>21</v>
      </c>
    </row>
    <row r="1225" customFormat="false" ht="14.25" hidden="false" customHeight="true" outlineLevel="0" collapsed="false">
      <c r="A1225" s="16" t="s">
        <v>48</v>
      </c>
      <c r="B1225" s="16" t="s">
        <v>155</v>
      </c>
      <c r="C1225" s="16" t="s">
        <v>214</v>
      </c>
      <c r="D1225" s="38"/>
      <c r="E1225" s="39"/>
      <c r="F1225" s="22" t="n">
        <f aca="false">IFERROR(D1225*E1225,0)</f>
        <v>0</v>
      </c>
      <c r="G1225" s="16" t="str">
        <f aca="false">INDEX(SETORES!$B:$B,MATCH(A1225,SETORES!$A:$A,0))</f>
        <v>Clientes</v>
      </c>
      <c r="H1225" s="16" t="s">
        <v>21</v>
      </c>
    </row>
    <row r="1226" customFormat="false" ht="14.25" hidden="false" customHeight="true" outlineLevel="0" collapsed="false">
      <c r="A1226" s="40" t="s">
        <v>48</v>
      </c>
      <c r="B1226" s="40" t="s">
        <v>155</v>
      </c>
      <c r="C1226" s="40" t="s">
        <v>202</v>
      </c>
      <c r="D1226" s="41" t="n">
        <v>14</v>
      </c>
      <c r="E1226" s="42" t="n">
        <v>76.92</v>
      </c>
      <c r="F1226" s="43" t="n">
        <v>1076.88</v>
      </c>
      <c r="G1226" s="40" t="str">
        <f aca="false">INDEX(SETORES!$B:$B,MATCH(A1226,SETORES!$A:$A,0))</f>
        <v>Clientes</v>
      </c>
      <c r="H1226" s="40" t="s">
        <v>21</v>
      </c>
    </row>
    <row r="1227" customFormat="false" ht="14.25" hidden="false" customHeight="true" outlineLevel="0" collapsed="false">
      <c r="A1227" s="16" t="s">
        <v>48</v>
      </c>
      <c r="B1227" s="16" t="s">
        <v>148</v>
      </c>
      <c r="C1227" s="16" t="s">
        <v>159</v>
      </c>
      <c r="D1227" s="38" t="n">
        <v>3</v>
      </c>
      <c r="E1227" s="39" t="n">
        <v>50</v>
      </c>
      <c r="F1227" s="22" t="n">
        <f aca="false">IFERROR(D1227*E1227,0)</f>
        <v>150</v>
      </c>
      <c r="G1227" s="16" t="str">
        <f aca="false">INDEX(SETORES!$B:$B,MATCH(A1227,SETORES!$A:$A,0))</f>
        <v>Clientes</v>
      </c>
      <c r="H1227" s="16" t="s">
        <v>21</v>
      </c>
    </row>
    <row r="1228" customFormat="false" ht="14.25" hidden="false" customHeight="true" outlineLevel="0" collapsed="false">
      <c r="A1228" s="40" t="s">
        <v>48</v>
      </c>
      <c r="B1228" s="40" t="s">
        <v>148</v>
      </c>
      <c r="C1228" s="40" t="s">
        <v>231</v>
      </c>
      <c r="D1228" s="41" t="n">
        <v>1</v>
      </c>
      <c r="E1228" s="42" t="n">
        <v>403.58</v>
      </c>
      <c r="F1228" s="43" t="n">
        <f aca="false">IFERROR(D1228*E1228,0)</f>
        <v>403.58</v>
      </c>
      <c r="G1228" s="40" t="str">
        <f aca="false">INDEX(SETORES!$B:$B,MATCH(A1228,SETORES!$A:$A,0))</f>
        <v>Clientes</v>
      </c>
      <c r="H1228" s="40" t="s">
        <v>21</v>
      </c>
    </row>
    <row r="1229" customFormat="false" ht="14.25" hidden="false" customHeight="true" outlineLevel="0" collapsed="false">
      <c r="A1229" s="16" t="s">
        <v>48</v>
      </c>
      <c r="B1229" s="16" t="s">
        <v>148</v>
      </c>
      <c r="C1229" s="16" t="s">
        <v>160</v>
      </c>
      <c r="D1229" s="38" t="n">
        <v>14</v>
      </c>
      <c r="E1229" s="39" t="n">
        <v>9.92</v>
      </c>
      <c r="F1229" s="22" t="n">
        <v>138.88</v>
      </c>
      <c r="G1229" s="16" t="str">
        <f aca="false">INDEX(SETORES!$B:$B,MATCH(A1229,SETORES!$A:$A,0))</f>
        <v>Clientes</v>
      </c>
      <c r="H1229" s="16" t="s">
        <v>21</v>
      </c>
    </row>
    <row r="1230" customFormat="false" ht="14.25" hidden="false" customHeight="true" outlineLevel="0" collapsed="false">
      <c r="A1230" s="40" t="s">
        <v>48</v>
      </c>
      <c r="B1230" s="40" t="s">
        <v>148</v>
      </c>
      <c r="C1230" s="40" t="s">
        <v>161</v>
      </c>
      <c r="D1230" s="41" t="n">
        <v>14</v>
      </c>
      <c r="E1230" s="42" t="n">
        <v>2.05</v>
      </c>
      <c r="F1230" s="43" t="n">
        <v>28.7</v>
      </c>
      <c r="G1230" s="40" t="str">
        <f aca="false">INDEX(SETORES!$B:$B,MATCH(A1230,SETORES!$A:$A,0))</f>
        <v>Clientes</v>
      </c>
      <c r="H1230" s="40" t="s">
        <v>21</v>
      </c>
    </row>
    <row r="1231" customFormat="false" ht="14.25" hidden="false" customHeight="true" outlineLevel="0" collapsed="false">
      <c r="A1231" s="16" t="s">
        <v>47</v>
      </c>
      <c r="B1231" s="16" t="s">
        <v>148</v>
      </c>
      <c r="C1231" s="16" t="s">
        <v>149</v>
      </c>
      <c r="D1231" s="38"/>
      <c r="E1231" s="39"/>
      <c r="F1231" s="22" t="n">
        <v>0</v>
      </c>
      <c r="G1231" s="16" t="str">
        <f aca="false">INDEX(SETORES!$B:$B,MATCH(A1231,SETORES!$A:$A,0))</f>
        <v>Clientes</v>
      </c>
      <c r="H1231" s="16" t="s">
        <v>21</v>
      </c>
    </row>
    <row r="1232" customFormat="false" ht="14.25" hidden="false" customHeight="true" outlineLevel="0" collapsed="false">
      <c r="A1232" s="40" t="s">
        <v>47</v>
      </c>
      <c r="B1232" s="40" t="s">
        <v>148</v>
      </c>
      <c r="C1232" s="40" t="s">
        <v>150</v>
      </c>
      <c r="D1232" s="41"/>
      <c r="E1232" s="42"/>
      <c r="F1232" s="43" t="n">
        <v>0</v>
      </c>
      <c r="G1232" s="40" t="str">
        <f aca="false">INDEX(SETORES!$B:$B,MATCH(A1232,SETORES!$A:$A,0))</f>
        <v>Clientes</v>
      </c>
      <c r="H1232" s="40" t="s">
        <v>21</v>
      </c>
    </row>
    <row r="1233" customFormat="false" ht="14.25" hidden="false" customHeight="true" outlineLevel="0" collapsed="false">
      <c r="A1233" s="16" t="s">
        <v>47</v>
      </c>
      <c r="B1233" s="16" t="s">
        <v>148</v>
      </c>
      <c r="C1233" s="16" t="s">
        <v>153</v>
      </c>
      <c r="D1233" s="38"/>
      <c r="E1233" s="39"/>
      <c r="F1233" s="22" t="n">
        <f aca="false">IFERROR(D1233*E1233,0)</f>
        <v>0</v>
      </c>
      <c r="G1233" s="16" t="str">
        <f aca="false">INDEX(SETORES!$B:$B,MATCH(A1233,SETORES!$A:$A,0))</f>
        <v>Clientes</v>
      </c>
      <c r="H1233" s="16" t="s">
        <v>21</v>
      </c>
    </row>
    <row r="1234" customFormat="false" ht="14.25" hidden="false" customHeight="true" outlineLevel="0" collapsed="false">
      <c r="A1234" s="40" t="s">
        <v>47</v>
      </c>
      <c r="B1234" s="40" t="s">
        <v>148</v>
      </c>
      <c r="C1234" s="40" t="s">
        <v>154</v>
      </c>
      <c r="D1234" s="41" t="n">
        <v>1</v>
      </c>
      <c r="E1234" s="42" t="n">
        <v>105508.61</v>
      </c>
      <c r="F1234" s="43" t="n">
        <f aca="false">IFERROR(E1234,0)</f>
        <v>105508.61</v>
      </c>
      <c r="G1234" s="40" t="str">
        <f aca="false">INDEX(SETORES!$B:$B,MATCH(A1234,SETORES!$A:$A,0))</f>
        <v>Clientes</v>
      </c>
      <c r="H1234" s="40" t="s">
        <v>21</v>
      </c>
    </row>
    <row r="1235" customFormat="false" ht="14.25" hidden="false" customHeight="true" outlineLevel="0" collapsed="false">
      <c r="A1235" s="16" t="s">
        <v>47</v>
      </c>
      <c r="B1235" s="16" t="s">
        <v>155</v>
      </c>
      <c r="C1235" s="16" t="s">
        <v>211</v>
      </c>
      <c r="D1235" s="38"/>
      <c r="E1235" s="39"/>
      <c r="F1235" s="22" t="n">
        <f aca="false">IFERROR(D1235*E1235,0)</f>
        <v>0</v>
      </c>
      <c r="G1235" s="16" t="str">
        <f aca="false">INDEX(SETORES!$B:$B,MATCH(A1235,SETORES!$A:$A,0))</f>
        <v>Clientes</v>
      </c>
      <c r="H1235" s="16" t="s">
        <v>21</v>
      </c>
    </row>
    <row r="1236" customFormat="false" ht="14.25" hidden="false" customHeight="true" outlineLevel="0" collapsed="false">
      <c r="A1236" s="40" t="s">
        <v>47</v>
      </c>
      <c r="B1236" s="40" t="s">
        <v>155</v>
      </c>
      <c r="C1236" s="40" t="s">
        <v>214</v>
      </c>
      <c r="D1236" s="41" t="n">
        <v>1</v>
      </c>
      <c r="E1236" s="42" t="n">
        <v>577.53</v>
      </c>
      <c r="F1236" s="43" t="n">
        <f aca="false">IFERROR(D1236*E1236,0)</f>
        <v>577.53</v>
      </c>
      <c r="G1236" s="40" t="str">
        <f aca="false">INDEX(SETORES!$B:$B,MATCH(A1236,SETORES!$A:$A,0))</f>
        <v>Clientes</v>
      </c>
      <c r="H1236" s="40" t="s">
        <v>21</v>
      </c>
    </row>
    <row r="1237" customFormat="false" ht="14.25" hidden="false" customHeight="true" outlineLevel="0" collapsed="false">
      <c r="A1237" s="16" t="s">
        <v>47</v>
      </c>
      <c r="B1237" s="16" t="s">
        <v>148</v>
      </c>
      <c r="C1237" s="16" t="s">
        <v>159</v>
      </c>
      <c r="D1237" s="38" t="n">
        <v>1</v>
      </c>
      <c r="E1237" s="39" t="n">
        <v>50</v>
      </c>
      <c r="F1237" s="22" t="n">
        <f aca="false">IFERROR(D1237*E1237,0)</f>
        <v>50</v>
      </c>
      <c r="G1237" s="16" t="str">
        <f aca="false">INDEX(SETORES!$B:$B,MATCH(A1237,SETORES!$A:$A,0))</f>
        <v>Clientes</v>
      </c>
      <c r="H1237" s="16" t="s">
        <v>21</v>
      </c>
    </row>
    <row r="1238" customFormat="false" ht="14.25" hidden="false" customHeight="true" outlineLevel="0" collapsed="false">
      <c r="A1238" s="40" t="s">
        <v>47</v>
      </c>
      <c r="B1238" s="40" t="s">
        <v>155</v>
      </c>
      <c r="C1238" s="40" t="s">
        <v>210</v>
      </c>
      <c r="D1238" s="41" t="n">
        <v>1</v>
      </c>
      <c r="E1238" s="42" t="n">
        <v>8877.73</v>
      </c>
      <c r="F1238" s="43" t="n">
        <f aca="false">IFERROR(D1238*E1238,0)</f>
        <v>8877.73</v>
      </c>
      <c r="G1238" s="40" t="str">
        <f aca="false">INDEX(SETORES!$B:$B,MATCH(A1238,SETORES!$A:$A,0))</f>
        <v>Clientes</v>
      </c>
      <c r="H1238" s="40" t="s">
        <v>21</v>
      </c>
    </row>
    <row r="1239" customFormat="false" ht="14.25" hidden="false" customHeight="true" outlineLevel="0" collapsed="false">
      <c r="A1239" s="16" t="s">
        <v>47</v>
      </c>
      <c r="B1239" s="16" t="s">
        <v>148</v>
      </c>
      <c r="C1239" s="16" t="s">
        <v>160</v>
      </c>
      <c r="D1239" s="38" t="n">
        <v>13</v>
      </c>
      <c r="E1239" s="39" t="n">
        <v>9.92</v>
      </c>
      <c r="F1239" s="22" t="n">
        <f aca="false">IFERROR(D1239*E1239,0)</f>
        <v>128.96</v>
      </c>
      <c r="G1239" s="16" t="str">
        <f aca="false">INDEX(SETORES!$B:$B,MATCH(A1239,SETORES!$A:$A,0))</f>
        <v>Clientes</v>
      </c>
      <c r="H1239" s="16" t="s">
        <v>21</v>
      </c>
    </row>
    <row r="1240" customFormat="false" ht="14.25" hidden="false" customHeight="true" outlineLevel="0" collapsed="false">
      <c r="A1240" s="40" t="s">
        <v>47</v>
      </c>
      <c r="B1240" s="40" t="s">
        <v>148</v>
      </c>
      <c r="C1240" s="40" t="s">
        <v>161</v>
      </c>
      <c r="D1240" s="41" t="n">
        <v>13</v>
      </c>
      <c r="E1240" s="42" t="n">
        <v>2.05</v>
      </c>
      <c r="F1240" s="43" t="n">
        <f aca="false">IFERROR(D1240*E1240,0)</f>
        <v>26.65</v>
      </c>
      <c r="G1240" s="40" t="str">
        <f aca="false">INDEX(SETORES!$B:$B,MATCH(A1240,SETORES!$A:$A,0))</f>
        <v>Clientes</v>
      </c>
      <c r="H1240" s="40" t="s">
        <v>21</v>
      </c>
    </row>
    <row r="1241" customFormat="false" ht="14.25" hidden="false" customHeight="true" outlineLevel="0" collapsed="false">
      <c r="A1241" s="16" t="s">
        <v>31</v>
      </c>
      <c r="B1241" s="16" t="s">
        <v>148</v>
      </c>
      <c r="C1241" s="16" t="s">
        <v>149</v>
      </c>
      <c r="D1241" s="38" t="n">
        <v>1</v>
      </c>
      <c r="E1241" s="39" t="n">
        <v>63.1</v>
      </c>
      <c r="F1241" s="22" t="n">
        <v>189.3</v>
      </c>
      <c r="G1241" s="16" t="str">
        <f aca="false">INDEX(SETORES!$B:$B,MATCH(A1241,SETORES!$A:$A,0))</f>
        <v>Clientes</v>
      </c>
      <c r="H1241" s="16" t="s">
        <v>21</v>
      </c>
    </row>
    <row r="1242" customFormat="false" ht="14.25" hidden="false" customHeight="true" outlineLevel="0" collapsed="false">
      <c r="A1242" s="40" t="s">
        <v>31</v>
      </c>
      <c r="B1242" s="40" t="s">
        <v>148</v>
      </c>
      <c r="C1242" s="40" t="s">
        <v>150</v>
      </c>
      <c r="D1242" s="41" t="n">
        <v>1</v>
      </c>
      <c r="E1242" s="42" t="n">
        <v>213.49</v>
      </c>
      <c r="F1242" s="43" t="n">
        <v>213.49</v>
      </c>
      <c r="G1242" s="40" t="str">
        <f aca="false">INDEX(SETORES!$B:$B,MATCH(A1242,SETORES!$A:$A,0))</f>
        <v>Clientes</v>
      </c>
      <c r="H1242" s="40" t="s">
        <v>21</v>
      </c>
    </row>
    <row r="1243" customFormat="false" ht="14.25" hidden="false" customHeight="true" outlineLevel="0" collapsed="false">
      <c r="A1243" s="16" t="s">
        <v>31</v>
      </c>
      <c r="B1243" s="16" t="s">
        <v>148</v>
      </c>
      <c r="C1243" s="16" t="s">
        <v>151</v>
      </c>
      <c r="D1243" s="38" t="n">
        <v>1</v>
      </c>
      <c r="E1243" s="39" t="n">
        <v>41.365</v>
      </c>
      <c r="F1243" s="22" t="n">
        <v>41.365</v>
      </c>
      <c r="G1243" s="16" t="str">
        <f aca="false">INDEX(SETORES!$B:$B,MATCH(A1243,SETORES!$A:$A,0))</f>
        <v>Clientes</v>
      </c>
      <c r="H1243" s="16" t="s">
        <v>21</v>
      </c>
    </row>
    <row r="1244" customFormat="false" ht="14.25" hidden="false" customHeight="true" outlineLevel="0" collapsed="false">
      <c r="A1244" s="40" t="s">
        <v>31</v>
      </c>
      <c r="B1244" s="40" t="s">
        <v>148</v>
      </c>
      <c r="C1244" s="40" t="s">
        <v>152</v>
      </c>
      <c r="D1244" s="41" t="n">
        <v>1</v>
      </c>
      <c r="E1244" s="42" t="n">
        <v>0.1212</v>
      </c>
      <c r="F1244" s="43" t="n">
        <v>0.1212</v>
      </c>
      <c r="G1244" s="40" t="str">
        <f aca="false">INDEX(SETORES!$B:$B,MATCH(A1244,SETORES!$A:$A,0))</f>
        <v>Clientes</v>
      </c>
      <c r="H1244" s="40" t="s">
        <v>21</v>
      </c>
    </row>
    <row r="1245" customFormat="false" ht="14.25" hidden="false" customHeight="true" outlineLevel="0" collapsed="false">
      <c r="A1245" s="16" t="s">
        <v>31</v>
      </c>
      <c r="B1245" s="16" t="s">
        <v>148</v>
      </c>
      <c r="C1245" s="16" t="s">
        <v>153</v>
      </c>
      <c r="D1245" s="38"/>
      <c r="E1245" s="39"/>
      <c r="F1245" s="22" t="n">
        <f aca="false">IFERROR(D1245*E1245,0)</f>
        <v>0</v>
      </c>
      <c r="G1245" s="16" t="str">
        <f aca="false">INDEX(SETORES!$B:$B,MATCH(A1245,SETORES!$A:$A,0))</f>
        <v>Clientes</v>
      </c>
      <c r="H1245" s="16" t="s">
        <v>21</v>
      </c>
    </row>
    <row r="1246" customFormat="false" ht="14.25" hidden="false" customHeight="true" outlineLevel="0" collapsed="false">
      <c r="A1246" s="40" t="s">
        <v>31</v>
      </c>
      <c r="B1246" s="40" t="s">
        <v>148</v>
      </c>
      <c r="C1246" s="40" t="s">
        <v>154</v>
      </c>
      <c r="D1246" s="41" t="n">
        <v>1</v>
      </c>
      <c r="E1246" s="42" t="n">
        <v>58179.03</v>
      </c>
      <c r="F1246" s="43" t="n">
        <f aca="false">IFERROR(E1246,0)</f>
        <v>58179.03</v>
      </c>
      <c r="G1246" s="40" t="str">
        <f aca="false">INDEX(SETORES!$B:$B,MATCH(A1246,SETORES!$A:$A,0))</f>
        <v>Clientes</v>
      </c>
      <c r="H1246" s="40" t="s">
        <v>21</v>
      </c>
    </row>
    <row r="1247" customFormat="false" ht="14.25" hidden="false" customHeight="true" outlineLevel="0" collapsed="false">
      <c r="A1247" s="16" t="s">
        <v>31</v>
      </c>
      <c r="B1247" s="16" t="s">
        <v>148</v>
      </c>
      <c r="C1247" s="16" t="s">
        <v>159</v>
      </c>
      <c r="D1247" s="38" t="n">
        <v>6</v>
      </c>
      <c r="E1247" s="39" t="n">
        <v>50</v>
      </c>
      <c r="F1247" s="22" t="n">
        <f aca="false">IFERROR(D1247*E1247,0)</f>
        <v>300</v>
      </c>
      <c r="G1247" s="16" t="str">
        <f aca="false">INDEX(SETORES!$B:$B,MATCH(A1247,SETORES!$A:$A,0))</f>
        <v>Clientes</v>
      </c>
      <c r="H1247" s="16" t="s">
        <v>21</v>
      </c>
    </row>
    <row r="1248" customFormat="false" ht="14.25" hidden="false" customHeight="true" outlineLevel="0" collapsed="false">
      <c r="A1248" s="40" t="s">
        <v>31</v>
      </c>
      <c r="B1248" s="40" t="s">
        <v>155</v>
      </c>
      <c r="C1248" s="40" t="s">
        <v>210</v>
      </c>
      <c r="D1248" s="41" t="n">
        <v>1</v>
      </c>
      <c r="E1248" s="42" t="n">
        <v>1999.61</v>
      </c>
      <c r="F1248" s="43" t="n">
        <f aca="false">IFERROR(D1248*E1248,0)</f>
        <v>1999.61</v>
      </c>
      <c r="G1248" s="40" t="str">
        <f aca="false">INDEX(SETORES!$B:$B,MATCH(A1248,SETORES!$A:$A,0))</f>
        <v>Clientes</v>
      </c>
      <c r="H1248" s="40" t="s">
        <v>21</v>
      </c>
    </row>
    <row r="1249" customFormat="false" ht="14.25" hidden="false" customHeight="true" outlineLevel="0" collapsed="false">
      <c r="A1249" s="16" t="s">
        <v>31</v>
      </c>
      <c r="B1249" s="16" t="s">
        <v>148</v>
      </c>
      <c r="C1249" s="16" t="s">
        <v>160</v>
      </c>
      <c r="D1249" s="38" t="n">
        <v>5</v>
      </c>
      <c r="E1249" s="39" t="n">
        <v>9.92</v>
      </c>
      <c r="F1249" s="22" t="n">
        <f aca="false">IFERROR(D1249*E1249,0)</f>
        <v>49.6</v>
      </c>
      <c r="G1249" s="16" t="str">
        <f aca="false">INDEX(SETORES!$B:$B,MATCH(A1249,SETORES!$A:$A,0))</f>
        <v>Clientes</v>
      </c>
      <c r="H1249" s="16" t="s">
        <v>21</v>
      </c>
    </row>
    <row r="1250" customFormat="false" ht="14.25" hidden="false" customHeight="true" outlineLevel="0" collapsed="false">
      <c r="A1250" s="40" t="s">
        <v>31</v>
      </c>
      <c r="B1250" s="40" t="s">
        <v>148</v>
      </c>
      <c r="C1250" s="40" t="s">
        <v>161</v>
      </c>
      <c r="D1250" s="41" t="n">
        <v>5</v>
      </c>
      <c r="E1250" s="42" t="n">
        <v>2.05</v>
      </c>
      <c r="F1250" s="43" t="n">
        <f aca="false">IFERROR(D1250*E1250,0)</f>
        <v>10.25</v>
      </c>
      <c r="G1250" s="40" t="str">
        <f aca="false">INDEX(SETORES!$B:$B,MATCH(A1250,SETORES!$A:$A,0))</f>
        <v>Clientes</v>
      </c>
      <c r="H1250" s="40" t="s">
        <v>21</v>
      </c>
    </row>
    <row r="1251" customFormat="false" ht="14.25" hidden="false" customHeight="true" outlineLevel="0" collapsed="false">
      <c r="A1251" s="16" t="s">
        <v>37</v>
      </c>
      <c r="B1251" s="16" t="s">
        <v>148</v>
      </c>
      <c r="C1251" s="16" t="s">
        <v>149</v>
      </c>
      <c r="D1251" s="38" t="n">
        <v>43</v>
      </c>
      <c r="E1251" s="39" t="n">
        <v>0.9851</v>
      </c>
      <c r="F1251" s="22" t="n">
        <v>42.3593</v>
      </c>
      <c r="G1251" s="16" t="str">
        <f aca="false">INDEX(SETORES!$B:$B,MATCH(A1251,SETORES!$A:$A,0))</f>
        <v>Clientes</v>
      </c>
      <c r="H1251" s="16" t="s">
        <v>21</v>
      </c>
    </row>
    <row r="1252" customFormat="false" ht="14.25" hidden="false" customHeight="true" outlineLevel="0" collapsed="false">
      <c r="A1252" s="40" t="s">
        <v>37</v>
      </c>
      <c r="B1252" s="40" t="s">
        <v>148</v>
      </c>
      <c r="C1252" s="40" t="s">
        <v>150</v>
      </c>
      <c r="D1252" s="41" t="n">
        <v>1</v>
      </c>
      <c r="E1252" s="42" t="n">
        <v>1287.462295</v>
      </c>
      <c r="F1252" s="43" t="n">
        <v>1287.462295</v>
      </c>
      <c r="G1252" s="40" t="str">
        <f aca="false">INDEX(SETORES!$B:$B,MATCH(A1252,SETORES!$A:$A,0))</f>
        <v>Clientes</v>
      </c>
      <c r="H1252" s="40" t="s">
        <v>21</v>
      </c>
    </row>
    <row r="1253" customFormat="false" ht="14.25" hidden="false" customHeight="true" outlineLevel="0" collapsed="false">
      <c r="A1253" s="16" t="s">
        <v>37</v>
      </c>
      <c r="B1253" s="16" t="s">
        <v>148</v>
      </c>
      <c r="C1253" s="16" t="s">
        <v>151</v>
      </c>
      <c r="D1253" s="38" t="n">
        <v>1</v>
      </c>
      <c r="E1253" s="39" t="n">
        <v>355.739</v>
      </c>
      <c r="F1253" s="22" t="n">
        <v>355.739</v>
      </c>
      <c r="G1253" s="16" t="str">
        <f aca="false">INDEX(SETORES!$B:$B,MATCH(A1253,SETORES!$A:$A,0))</f>
        <v>Clientes</v>
      </c>
      <c r="H1253" s="16" t="s">
        <v>21</v>
      </c>
    </row>
    <row r="1254" customFormat="false" ht="14.25" hidden="false" customHeight="true" outlineLevel="0" collapsed="false">
      <c r="A1254" s="40" t="s">
        <v>37</v>
      </c>
      <c r="B1254" s="40" t="s">
        <v>148</v>
      </c>
      <c r="C1254" s="40" t="s">
        <v>152</v>
      </c>
      <c r="D1254" s="41" t="n">
        <v>1</v>
      </c>
      <c r="E1254" s="42" t="n">
        <v>1.0427</v>
      </c>
      <c r="F1254" s="43" t="n">
        <v>1.0427</v>
      </c>
      <c r="G1254" s="40" t="str">
        <f aca="false">INDEX(SETORES!$B:$B,MATCH(A1254,SETORES!$A:$A,0))</f>
        <v>Clientes</v>
      </c>
      <c r="H1254" s="40" t="s">
        <v>21</v>
      </c>
    </row>
    <row r="1255" customFormat="false" ht="14.25" hidden="false" customHeight="true" outlineLevel="0" collapsed="false">
      <c r="A1255" s="16" t="s">
        <v>37</v>
      </c>
      <c r="B1255" s="16" t="s">
        <v>148</v>
      </c>
      <c r="C1255" s="16" t="s">
        <v>153</v>
      </c>
      <c r="D1255" s="38"/>
      <c r="E1255" s="39"/>
      <c r="F1255" s="22" t="n">
        <f aca="false">IFERROR(D1255*E1255,0)</f>
        <v>0</v>
      </c>
      <c r="G1255" s="16" t="str">
        <f aca="false">INDEX(SETORES!$B:$B,MATCH(A1255,SETORES!$A:$A,0))</f>
        <v>Clientes</v>
      </c>
      <c r="H1255" s="16" t="s">
        <v>21</v>
      </c>
    </row>
    <row r="1256" customFormat="false" ht="14.25" hidden="false" customHeight="true" outlineLevel="0" collapsed="false">
      <c r="A1256" s="40" t="s">
        <v>37</v>
      </c>
      <c r="B1256" s="40" t="s">
        <v>148</v>
      </c>
      <c r="C1256" s="40" t="s">
        <v>154</v>
      </c>
      <c r="D1256" s="41" t="n">
        <v>1</v>
      </c>
      <c r="E1256" s="42" t="n">
        <v>142024.07</v>
      </c>
      <c r="F1256" s="43" t="n">
        <f aca="false">IFERROR(E1256,0)</f>
        <v>142024.07</v>
      </c>
      <c r="G1256" s="40" t="str">
        <f aca="false">INDEX(SETORES!$B:$B,MATCH(A1256,SETORES!$A:$A,0))</f>
        <v>Clientes</v>
      </c>
      <c r="H1256" s="40" t="s">
        <v>21</v>
      </c>
    </row>
    <row r="1257" customFormat="false" ht="14.25" hidden="false" customHeight="true" outlineLevel="0" collapsed="false">
      <c r="A1257" s="16" t="s">
        <v>37</v>
      </c>
      <c r="B1257" s="16" t="s">
        <v>148</v>
      </c>
      <c r="C1257" s="16" t="s">
        <v>216</v>
      </c>
      <c r="D1257" s="38"/>
      <c r="E1257" s="39"/>
      <c r="F1257" s="22" t="n">
        <f aca="false">IFERROR(D1257*E1257,0)</f>
        <v>0</v>
      </c>
      <c r="G1257" s="16" t="str">
        <f aca="false">INDEX(SETORES!$B:$B,MATCH(A1257,SETORES!$A:$A,0))</f>
        <v>Clientes</v>
      </c>
      <c r="H1257" s="16" t="s">
        <v>21</v>
      </c>
    </row>
    <row r="1258" customFormat="false" ht="14.25" hidden="false" customHeight="true" outlineLevel="0" collapsed="false">
      <c r="A1258" s="40" t="s">
        <v>37</v>
      </c>
      <c r="B1258" s="40" t="s">
        <v>155</v>
      </c>
      <c r="C1258" s="40" t="s">
        <v>156</v>
      </c>
      <c r="D1258" s="41"/>
      <c r="E1258" s="42"/>
      <c r="F1258" s="43" t="n">
        <f aca="false">IFERROR(D1258*E1258,0)</f>
        <v>0</v>
      </c>
      <c r="G1258" s="40" t="str">
        <f aca="false">INDEX(SETORES!$B:$B,MATCH(A1258,SETORES!$A:$A,0))</f>
        <v>Clientes</v>
      </c>
      <c r="H1258" s="40" t="s">
        <v>21</v>
      </c>
    </row>
    <row r="1259" customFormat="false" ht="14.25" hidden="false" customHeight="true" outlineLevel="0" collapsed="false">
      <c r="A1259" s="16" t="s">
        <v>37</v>
      </c>
      <c r="B1259" s="16" t="s">
        <v>155</v>
      </c>
      <c r="C1259" s="16" t="s">
        <v>157</v>
      </c>
      <c r="D1259" s="38"/>
      <c r="E1259" s="39"/>
      <c r="F1259" s="22" t="n">
        <f aca="false">IFERROR(D1259*E1259,0)</f>
        <v>0</v>
      </c>
      <c r="G1259" s="16" t="str">
        <f aca="false">INDEX(SETORES!$B:$B,MATCH(A1259,SETORES!$A:$A,0))</f>
        <v>Clientes</v>
      </c>
      <c r="H1259" s="16" t="s">
        <v>21</v>
      </c>
    </row>
    <row r="1260" customFormat="false" ht="14.25" hidden="false" customHeight="true" outlineLevel="0" collapsed="false">
      <c r="A1260" s="40" t="s">
        <v>37</v>
      </c>
      <c r="B1260" s="40" t="s">
        <v>155</v>
      </c>
      <c r="C1260" s="40" t="s">
        <v>215</v>
      </c>
      <c r="D1260" s="41" t="n">
        <v>1</v>
      </c>
      <c r="E1260" s="42" t="n">
        <v>7086.44</v>
      </c>
      <c r="F1260" s="43" t="n">
        <f aca="false">IFERROR(D1260*E1260,0)</f>
        <v>7086.44</v>
      </c>
      <c r="G1260" s="40" t="str">
        <f aca="false">INDEX(SETORES!$B:$B,MATCH(A1260,SETORES!$A:$A,0))</f>
        <v>Clientes</v>
      </c>
      <c r="H1260" s="40" t="s">
        <v>21</v>
      </c>
    </row>
    <row r="1261" customFormat="false" ht="14.25" hidden="false" customHeight="true" outlineLevel="0" collapsed="false">
      <c r="A1261" s="16" t="s">
        <v>37</v>
      </c>
      <c r="B1261" s="16" t="s">
        <v>148</v>
      </c>
      <c r="C1261" s="16" t="s">
        <v>159</v>
      </c>
      <c r="D1261" s="38" t="n">
        <v>7</v>
      </c>
      <c r="E1261" s="39" t="n">
        <v>50</v>
      </c>
      <c r="F1261" s="22" t="n">
        <f aca="false">IFERROR(D1261*E1261,0)</f>
        <v>350</v>
      </c>
      <c r="G1261" s="16" t="str">
        <f aca="false">INDEX(SETORES!$B:$B,MATCH(A1261,SETORES!$A:$A,0))</f>
        <v>Clientes</v>
      </c>
      <c r="H1261" s="16" t="s">
        <v>21</v>
      </c>
    </row>
    <row r="1262" customFormat="false" ht="14.25" hidden="false" customHeight="true" outlineLevel="0" collapsed="false">
      <c r="A1262" s="40" t="s">
        <v>37</v>
      </c>
      <c r="B1262" s="40" t="s">
        <v>148</v>
      </c>
      <c r="C1262" s="40" t="s">
        <v>180</v>
      </c>
      <c r="D1262" s="41" t="n">
        <v>1</v>
      </c>
      <c r="E1262" s="42" t="n">
        <v>2379.739841</v>
      </c>
      <c r="F1262" s="43" t="n">
        <f aca="false">IFERROR(D1262*E1262,0)</f>
        <v>2379.739841</v>
      </c>
      <c r="G1262" s="40" t="str">
        <f aca="false">INDEX(SETORES!$B:$B,MATCH(A1262,SETORES!$A:$A,0))</f>
        <v>Clientes</v>
      </c>
      <c r="H1262" s="40" t="s">
        <v>21</v>
      </c>
    </row>
    <row r="1263" customFormat="false" ht="14.25" hidden="false" customHeight="true" outlineLevel="0" collapsed="false">
      <c r="A1263" s="16" t="s">
        <v>37</v>
      </c>
      <c r="B1263" s="16" t="s">
        <v>148</v>
      </c>
      <c r="C1263" s="16" t="s">
        <v>233</v>
      </c>
      <c r="D1263" s="38" t="n">
        <v>1</v>
      </c>
      <c r="E1263" s="39" t="n">
        <v>9.022948</v>
      </c>
      <c r="F1263" s="22" t="n">
        <f aca="false">IFERROR(D1263*E1263,0)</f>
        <v>9.022948</v>
      </c>
      <c r="G1263" s="16" t="str">
        <f aca="false">INDEX(SETORES!$B:$B,MATCH(A1263,SETORES!$A:$A,0))</f>
        <v>Clientes</v>
      </c>
      <c r="H1263" s="16" t="s">
        <v>21</v>
      </c>
    </row>
    <row r="1264" customFormat="false" ht="14.25" hidden="false" customHeight="true" outlineLevel="0" collapsed="false">
      <c r="A1264" s="40" t="s">
        <v>37</v>
      </c>
      <c r="B1264" s="40" t="s">
        <v>148</v>
      </c>
      <c r="C1264" s="40" t="s">
        <v>160</v>
      </c>
      <c r="D1264" s="41" t="n">
        <v>43</v>
      </c>
      <c r="E1264" s="42" t="n">
        <v>9.92</v>
      </c>
      <c r="F1264" s="43" t="n">
        <f aca="false">IFERROR(D1264*E1264,0)</f>
        <v>426.56</v>
      </c>
      <c r="G1264" s="40" t="str">
        <f aca="false">INDEX(SETORES!$B:$B,MATCH(A1264,SETORES!$A:$A,0))</f>
        <v>Clientes</v>
      </c>
      <c r="H1264" s="40" t="s">
        <v>21</v>
      </c>
    </row>
    <row r="1265" customFormat="false" ht="14.25" hidden="false" customHeight="true" outlineLevel="0" collapsed="false">
      <c r="A1265" s="16" t="s">
        <v>37</v>
      </c>
      <c r="B1265" s="16" t="s">
        <v>148</v>
      </c>
      <c r="C1265" s="16" t="s">
        <v>161</v>
      </c>
      <c r="D1265" s="38" t="n">
        <v>43</v>
      </c>
      <c r="E1265" s="39" t="n">
        <v>2.05</v>
      </c>
      <c r="F1265" s="22" t="n">
        <f aca="false">IFERROR(D1265*E1265,0)</f>
        <v>88.15</v>
      </c>
      <c r="G1265" s="16" t="str">
        <f aca="false">INDEX(SETORES!$B:$B,MATCH(A1265,SETORES!$A:$A,0))</f>
        <v>Clientes</v>
      </c>
      <c r="H1265" s="16" t="s">
        <v>21</v>
      </c>
    </row>
    <row r="1266" customFormat="false" ht="14.25" hidden="false" customHeight="true" outlineLevel="0" collapsed="false">
      <c r="A1266" s="40" t="s">
        <v>46</v>
      </c>
      <c r="B1266" s="40" t="s">
        <v>148</v>
      </c>
      <c r="C1266" s="40" t="s">
        <v>153</v>
      </c>
      <c r="D1266" s="41"/>
      <c r="E1266" s="42"/>
      <c r="F1266" s="43" t="n">
        <f aca="false">IFERROR(D1266*E1266,0)</f>
        <v>0</v>
      </c>
      <c r="G1266" s="40" t="str">
        <f aca="false">INDEX(SETORES!$B:$B,MATCH(A1266,SETORES!$A:$A,0))</f>
        <v>Clientes</v>
      </c>
      <c r="H1266" s="40" t="s">
        <v>21</v>
      </c>
    </row>
    <row r="1267" customFormat="false" ht="14.25" hidden="false" customHeight="true" outlineLevel="0" collapsed="false">
      <c r="A1267" s="16" t="s">
        <v>46</v>
      </c>
      <c r="B1267" s="16" t="s">
        <v>148</v>
      </c>
      <c r="C1267" s="16" t="s">
        <v>154</v>
      </c>
      <c r="D1267" s="38" t="n">
        <v>1</v>
      </c>
      <c r="E1267" s="39" t="n">
        <v>154792.47</v>
      </c>
      <c r="F1267" s="22" t="n">
        <f aca="false">IFERROR(E1267,0)</f>
        <v>154792.47</v>
      </c>
      <c r="G1267" s="16" t="str">
        <f aca="false">INDEX(SETORES!$B:$B,MATCH(A1267,SETORES!$A:$A,0))</f>
        <v>Clientes</v>
      </c>
      <c r="H1267" s="16" t="s">
        <v>21</v>
      </c>
    </row>
    <row r="1268" customFormat="false" ht="14.25" hidden="false" customHeight="true" outlineLevel="0" collapsed="false">
      <c r="A1268" s="40" t="s">
        <v>46</v>
      </c>
      <c r="B1268" s="40" t="s">
        <v>155</v>
      </c>
      <c r="C1268" s="40" t="s">
        <v>211</v>
      </c>
      <c r="D1268" s="41"/>
      <c r="E1268" s="42"/>
      <c r="F1268" s="43" t="n">
        <f aca="false">IFERROR(D1268*E1268,0)</f>
        <v>0</v>
      </c>
      <c r="G1268" s="40" t="str">
        <f aca="false">INDEX(SETORES!$B:$B,MATCH(A1268,SETORES!$A:$A,0))</f>
        <v>Clientes</v>
      </c>
      <c r="H1268" s="40" t="s">
        <v>21</v>
      </c>
    </row>
    <row r="1269" customFormat="false" ht="14.25" hidden="false" customHeight="true" outlineLevel="0" collapsed="false">
      <c r="A1269" s="16" t="s">
        <v>46</v>
      </c>
      <c r="B1269" s="16" t="s">
        <v>155</v>
      </c>
      <c r="C1269" s="16" t="s">
        <v>214</v>
      </c>
      <c r="D1269" s="38" t="n">
        <v>1</v>
      </c>
      <c r="E1269" s="39" t="n">
        <v>749.1</v>
      </c>
      <c r="F1269" s="22" t="n">
        <f aca="false">IFERROR(D1269*E1269,0)</f>
        <v>749.1</v>
      </c>
      <c r="G1269" s="16" t="str">
        <f aca="false">INDEX(SETORES!$B:$B,MATCH(A1269,SETORES!$A:$A,0))</f>
        <v>Clientes</v>
      </c>
      <c r="H1269" s="16" t="s">
        <v>21</v>
      </c>
    </row>
    <row r="1270" customFormat="false" ht="14.25" hidden="false" customHeight="true" outlineLevel="0" collapsed="false">
      <c r="A1270" s="40" t="s">
        <v>46</v>
      </c>
      <c r="B1270" s="40" t="s">
        <v>155</v>
      </c>
      <c r="C1270" s="40" t="s">
        <v>215</v>
      </c>
      <c r="D1270" s="41" t="n">
        <v>1</v>
      </c>
      <c r="E1270" s="42" t="n">
        <v>8704.8</v>
      </c>
      <c r="F1270" s="43" t="n">
        <f aca="false">IFERROR(D1270*E1270,0)</f>
        <v>8704.8</v>
      </c>
      <c r="G1270" s="40" t="str">
        <f aca="false">INDEX(SETORES!$B:$B,MATCH(A1270,SETORES!$A:$A,0))</f>
        <v>Clientes</v>
      </c>
      <c r="H1270" s="40" t="s">
        <v>21</v>
      </c>
    </row>
    <row r="1271" customFormat="false" ht="14.25" hidden="false" customHeight="true" outlineLevel="0" collapsed="false">
      <c r="A1271" s="16" t="s">
        <v>46</v>
      </c>
      <c r="B1271" s="16" t="s">
        <v>148</v>
      </c>
      <c r="C1271" s="16" t="s">
        <v>159</v>
      </c>
      <c r="D1271" s="38"/>
      <c r="E1271" s="39"/>
      <c r="F1271" s="22" t="n">
        <f aca="false">IFERROR(D1271*E1271,0)</f>
        <v>0</v>
      </c>
      <c r="G1271" s="16" t="str">
        <f aca="false">INDEX(SETORES!$B:$B,MATCH(A1271,SETORES!$A:$A,0))</f>
        <v>Clientes</v>
      </c>
      <c r="H1271" s="16" t="s">
        <v>21</v>
      </c>
    </row>
    <row r="1272" customFormat="false" ht="14.25" hidden="false" customHeight="true" outlineLevel="0" collapsed="false">
      <c r="A1272" s="40" t="s">
        <v>46</v>
      </c>
      <c r="B1272" s="40" t="s">
        <v>155</v>
      </c>
      <c r="C1272" s="40" t="s">
        <v>210</v>
      </c>
      <c r="D1272" s="41" t="n">
        <v>1</v>
      </c>
      <c r="E1272" s="42" t="n">
        <v>11003.74</v>
      </c>
      <c r="F1272" s="43" t="n">
        <f aca="false">IFERROR(D1272*E1272,0)</f>
        <v>11003.74</v>
      </c>
      <c r="G1272" s="40" t="str">
        <f aca="false">INDEX(SETORES!$B:$B,MATCH(A1272,SETORES!$A:$A,0))</f>
        <v>Clientes</v>
      </c>
      <c r="H1272" s="40" t="s">
        <v>21</v>
      </c>
    </row>
    <row r="1273" customFormat="false" ht="14.25" hidden="false" customHeight="true" outlineLevel="0" collapsed="false">
      <c r="A1273" s="16" t="s">
        <v>46</v>
      </c>
      <c r="B1273" s="16" t="s">
        <v>148</v>
      </c>
      <c r="C1273" s="16" t="s">
        <v>160</v>
      </c>
      <c r="D1273" s="38" t="n">
        <v>23</v>
      </c>
      <c r="E1273" s="39" t="n">
        <v>9.92</v>
      </c>
      <c r="F1273" s="22" t="n">
        <f aca="false">IFERROR(D1273*E1273,0)</f>
        <v>228.16</v>
      </c>
      <c r="G1273" s="16" t="str">
        <f aca="false">INDEX(SETORES!$B:$B,MATCH(A1273,SETORES!$A:$A,0))</f>
        <v>Clientes</v>
      </c>
      <c r="H1273" s="16" t="s">
        <v>21</v>
      </c>
    </row>
    <row r="1274" customFormat="false" ht="14.25" hidden="false" customHeight="true" outlineLevel="0" collapsed="false">
      <c r="A1274" s="40" t="s">
        <v>46</v>
      </c>
      <c r="B1274" s="40" t="s">
        <v>148</v>
      </c>
      <c r="C1274" s="40" t="s">
        <v>161</v>
      </c>
      <c r="D1274" s="41" t="n">
        <v>23</v>
      </c>
      <c r="E1274" s="42" t="n">
        <v>2.05</v>
      </c>
      <c r="F1274" s="43" t="n">
        <f aca="false">IFERROR(D1274*E1274,0)</f>
        <v>47.15</v>
      </c>
      <c r="G1274" s="40" t="str">
        <f aca="false">INDEX(SETORES!$B:$B,MATCH(A1274,SETORES!$A:$A,0))</f>
        <v>Clientes</v>
      </c>
      <c r="H1274" s="40" t="s">
        <v>21</v>
      </c>
    </row>
    <row r="1275" customFormat="false" ht="14.25" hidden="false" customHeight="true" outlineLevel="0" collapsed="false">
      <c r="A1275" s="16" t="s">
        <v>49</v>
      </c>
      <c r="B1275" s="16" t="s">
        <v>148</v>
      </c>
      <c r="C1275" s="16" t="s">
        <v>149</v>
      </c>
      <c r="D1275" s="38"/>
      <c r="E1275" s="39"/>
      <c r="F1275" s="22" t="n">
        <v>0</v>
      </c>
      <c r="G1275" s="16" t="str">
        <f aca="false">INDEX(SETORES!$B:$B,MATCH(A1275,SETORES!$A:$A,0))</f>
        <v>Clientes</v>
      </c>
      <c r="H1275" s="16" t="s">
        <v>21</v>
      </c>
    </row>
    <row r="1276" customFormat="false" ht="14.25" hidden="false" customHeight="true" outlineLevel="0" collapsed="false">
      <c r="A1276" s="40" t="s">
        <v>49</v>
      </c>
      <c r="B1276" s="40" t="s">
        <v>148</v>
      </c>
      <c r="C1276" s="40" t="s">
        <v>150</v>
      </c>
      <c r="D1276" s="41"/>
      <c r="E1276" s="42"/>
      <c r="F1276" s="43" t="n">
        <v>0</v>
      </c>
      <c r="G1276" s="40" t="str">
        <f aca="false">INDEX(SETORES!$B:$B,MATCH(A1276,SETORES!$A:$A,0))</f>
        <v>Clientes</v>
      </c>
      <c r="H1276" s="40" t="s">
        <v>21</v>
      </c>
    </row>
    <row r="1277" customFormat="false" ht="14.25" hidden="false" customHeight="true" outlineLevel="0" collapsed="false">
      <c r="A1277" s="16" t="s">
        <v>49</v>
      </c>
      <c r="B1277" s="16" t="s">
        <v>148</v>
      </c>
      <c r="C1277" s="16" t="s">
        <v>217</v>
      </c>
      <c r="D1277" s="38" t="n">
        <v>1</v>
      </c>
      <c r="E1277" s="39" t="n">
        <v>1800</v>
      </c>
      <c r="F1277" s="22" t="n">
        <f aca="false">IFERROR(D1277*E1277,0)</f>
        <v>1800</v>
      </c>
      <c r="G1277" s="16" t="str">
        <f aca="false">INDEX(SETORES!$B:$B,MATCH(A1277,SETORES!$A:$A,0))</f>
        <v>Clientes</v>
      </c>
      <c r="H1277" s="16" t="s">
        <v>21</v>
      </c>
    </row>
    <row r="1278" customFormat="false" ht="14.25" hidden="false" customHeight="true" outlineLevel="0" collapsed="false">
      <c r="A1278" s="40" t="s">
        <v>49</v>
      </c>
      <c r="B1278" s="40" t="s">
        <v>148</v>
      </c>
      <c r="C1278" s="40" t="s">
        <v>151</v>
      </c>
      <c r="D1278" s="41" t="n">
        <v>4</v>
      </c>
      <c r="E1278" s="42" t="n">
        <v>21.2582</v>
      </c>
      <c r="F1278" s="43" t="n">
        <v>85.0328</v>
      </c>
      <c r="G1278" s="40" t="str">
        <f aca="false">INDEX(SETORES!$B:$B,MATCH(A1278,SETORES!$A:$A,0))</f>
        <v>Clientes</v>
      </c>
      <c r="H1278" s="40" t="s">
        <v>21</v>
      </c>
    </row>
    <row r="1279" customFormat="false" ht="14.25" hidden="false" customHeight="true" outlineLevel="0" collapsed="false">
      <c r="A1279" s="16" t="s">
        <v>49</v>
      </c>
      <c r="B1279" s="16" t="s">
        <v>148</v>
      </c>
      <c r="C1279" s="16" t="s">
        <v>152</v>
      </c>
      <c r="D1279" s="38" t="n">
        <v>4</v>
      </c>
      <c r="E1279" s="39" t="n">
        <v>3.3247</v>
      </c>
      <c r="F1279" s="22" t="n">
        <v>13.2988</v>
      </c>
      <c r="G1279" s="16" t="str">
        <f aca="false">INDEX(SETORES!$B:$B,MATCH(A1279,SETORES!$A:$A,0))</f>
        <v>Clientes</v>
      </c>
      <c r="H1279" s="16" t="s">
        <v>21</v>
      </c>
    </row>
    <row r="1280" customFormat="false" ht="14.25" hidden="false" customHeight="true" outlineLevel="0" collapsed="false">
      <c r="A1280" s="40" t="s">
        <v>49</v>
      </c>
      <c r="B1280" s="40" t="s">
        <v>148</v>
      </c>
      <c r="C1280" s="40" t="s">
        <v>153</v>
      </c>
      <c r="D1280" s="41"/>
      <c r="E1280" s="42"/>
      <c r="F1280" s="43" t="n">
        <f aca="false">IFERROR(D1280*E1280,0)</f>
        <v>0</v>
      </c>
      <c r="G1280" s="40" t="str">
        <f aca="false">INDEX(SETORES!$B:$B,MATCH(A1280,SETORES!$A:$A,0))</f>
        <v>Clientes</v>
      </c>
      <c r="H1280" s="40" t="s">
        <v>21</v>
      </c>
    </row>
    <row r="1281" customFormat="false" ht="14.25" hidden="false" customHeight="true" outlineLevel="0" collapsed="false">
      <c r="A1281" s="16" t="s">
        <v>49</v>
      </c>
      <c r="B1281" s="16" t="s">
        <v>148</v>
      </c>
      <c r="C1281" s="16" t="s">
        <v>154</v>
      </c>
      <c r="D1281" s="38" t="n">
        <v>1</v>
      </c>
      <c r="E1281" s="39" t="n">
        <v>23068.3</v>
      </c>
      <c r="F1281" s="22" t="n">
        <f aca="false">IFERROR(E1281,0)</f>
        <v>23068.3</v>
      </c>
      <c r="G1281" s="16" t="str">
        <f aca="false">INDEX(SETORES!$B:$B,MATCH(A1281,SETORES!$A:$A,0))</f>
        <v>Clientes</v>
      </c>
      <c r="H1281" s="16" t="s">
        <v>21</v>
      </c>
    </row>
    <row r="1282" customFormat="false" ht="14.25" hidden="false" customHeight="true" outlineLevel="0" collapsed="false">
      <c r="A1282" s="40" t="s">
        <v>49</v>
      </c>
      <c r="B1282" s="40" t="s">
        <v>155</v>
      </c>
      <c r="C1282" s="40" t="s">
        <v>210</v>
      </c>
      <c r="D1282" s="41" t="n">
        <v>1</v>
      </c>
      <c r="E1282" s="42" t="n">
        <v>55.05</v>
      </c>
      <c r="F1282" s="43" t="n">
        <f aca="false">IFERROR(D1282*E1282,0)</f>
        <v>55.05</v>
      </c>
      <c r="G1282" s="40" t="str">
        <f aca="false">INDEX(SETORES!$B:$B,MATCH(A1282,SETORES!$A:$A,0))</f>
        <v>Clientes</v>
      </c>
      <c r="H1282" s="40" t="s">
        <v>21</v>
      </c>
    </row>
    <row r="1283" customFormat="false" ht="14.25" hidden="false" customHeight="true" outlineLevel="0" collapsed="false">
      <c r="A1283" s="16" t="s">
        <v>49</v>
      </c>
      <c r="B1283" s="16" t="s">
        <v>155</v>
      </c>
      <c r="C1283" s="16" t="s">
        <v>213</v>
      </c>
      <c r="D1283" s="38"/>
      <c r="E1283" s="39"/>
      <c r="F1283" s="22" t="n">
        <f aca="false">IFERROR(D1283*E1283,0)</f>
        <v>0</v>
      </c>
      <c r="G1283" s="16" t="str">
        <f aca="false">INDEX(SETORES!$B:$B,MATCH(A1283,SETORES!$A:$A,0))</f>
        <v>Clientes</v>
      </c>
      <c r="H1283" s="16" t="s">
        <v>21</v>
      </c>
    </row>
    <row r="1284" customFormat="false" ht="14.25" hidden="false" customHeight="true" outlineLevel="0" collapsed="false">
      <c r="A1284" s="40" t="s">
        <v>49</v>
      </c>
      <c r="B1284" s="40" t="s">
        <v>155</v>
      </c>
      <c r="C1284" s="40" t="s">
        <v>202</v>
      </c>
      <c r="D1284" s="41" t="n">
        <v>4</v>
      </c>
      <c r="E1284" s="42" t="n">
        <v>76.92</v>
      </c>
      <c r="F1284" s="43" t="n">
        <f aca="false">IFERROR(D1284*E1284,0)</f>
        <v>307.68</v>
      </c>
      <c r="G1284" s="40" t="str">
        <f aca="false">INDEX(SETORES!$B:$B,MATCH(A1284,SETORES!$A:$A,0))</f>
        <v>Clientes</v>
      </c>
      <c r="H1284" s="40" t="s">
        <v>21</v>
      </c>
    </row>
    <row r="1285" customFormat="false" ht="14.25" hidden="false" customHeight="true" outlineLevel="0" collapsed="false">
      <c r="A1285" s="16" t="s">
        <v>49</v>
      </c>
      <c r="B1285" s="16" t="s">
        <v>148</v>
      </c>
      <c r="C1285" s="16" t="s">
        <v>160</v>
      </c>
      <c r="D1285" s="38" t="n">
        <v>4</v>
      </c>
      <c r="E1285" s="39" t="n">
        <v>9.92</v>
      </c>
      <c r="F1285" s="22" t="n">
        <f aca="false">IFERROR(D1285*E1285,0)</f>
        <v>39.68</v>
      </c>
      <c r="G1285" s="16" t="str">
        <f aca="false">INDEX(SETORES!$B:$B,MATCH(A1285,SETORES!$A:$A,0))</f>
        <v>Clientes</v>
      </c>
      <c r="H1285" s="16" t="s">
        <v>21</v>
      </c>
    </row>
    <row r="1286" customFormat="false" ht="14.25" hidden="false" customHeight="true" outlineLevel="0" collapsed="false">
      <c r="A1286" s="40" t="s">
        <v>49</v>
      </c>
      <c r="B1286" s="40" t="s">
        <v>148</v>
      </c>
      <c r="C1286" s="40" t="s">
        <v>161</v>
      </c>
      <c r="D1286" s="41" t="n">
        <v>4</v>
      </c>
      <c r="E1286" s="42" t="n">
        <v>2.05</v>
      </c>
      <c r="F1286" s="43" t="n">
        <f aca="false">IFERROR(D1286*E1286,0)</f>
        <v>8.2</v>
      </c>
      <c r="G1286" s="40" t="str">
        <f aca="false">INDEX(SETORES!$B:$B,MATCH(A1286,SETORES!$A:$A,0))</f>
        <v>Clientes</v>
      </c>
      <c r="H1286" s="40" t="s">
        <v>21</v>
      </c>
    </row>
    <row r="1287" customFormat="false" ht="14.25" hidden="false" customHeight="true" outlineLevel="0" collapsed="false">
      <c r="A1287" s="16" t="s">
        <v>32</v>
      </c>
      <c r="B1287" s="16" t="s">
        <v>148</v>
      </c>
      <c r="C1287" s="16" t="s">
        <v>149</v>
      </c>
      <c r="D1287" s="38"/>
      <c r="E1287" s="39"/>
      <c r="F1287" s="22" t="n">
        <v>0</v>
      </c>
      <c r="G1287" s="16" t="str">
        <f aca="false">INDEX(SETORES!$B:$B,MATCH(A1287,SETORES!$A:$A,0))</f>
        <v>Funcionários</v>
      </c>
      <c r="H1287" s="16" t="s">
        <v>21</v>
      </c>
    </row>
    <row r="1288" customFormat="false" ht="14.25" hidden="false" customHeight="true" outlineLevel="0" collapsed="false">
      <c r="A1288" s="40" t="s">
        <v>32</v>
      </c>
      <c r="B1288" s="40" t="s">
        <v>148</v>
      </c>
      <c r="C1288" s="40" t="s">
        <v>150</v>
      </c>
      <c r="D1288" s="41" t="n">
        <v>1</v>
      </c>
      <c r="E1288" s="42" t="n">
        <v>59.24</v>
      </c>
      <c r="F1288" s="43" t="n">
        <v>59.24</v>
      </c>
      <c r="G1288" s="40" t="str">
        <f aca="false">INDEX(SETORES!$B:$B,MATCH(A1288,SETORES!$A:$A,0))</f>
        <v>Funcionários</v>
      </c>
      <c r="H1288" s="40" t="s">
        <v>21</v>
      </c>
    </row>
    <row r="1289" customFormat="false" ht="14.25" hidden="false" customHeight="true" outlineLevel="0" collapsed="false">
      <c r="A1289" s="16" t="s">
        <v>32</v>
      </c>
      <c r="B1289" s="16" t="s">
        <v>148</v>
      </c>
      <c r="C1289" s="16" t="s">
        <v>151</v>
      </c>
      <c r="D1289" s="38" t="n">
        <v>1</v>
      </c>
      <c r="E1289" s="39" t="n">
        <v>49.638</v>
      </c>
      <c r="F1289" s="22" t="n">
        <v>49.638</v>
      </c>
      <c r="G1289" s="16" t="str">
        <f aca="false">INDEX(SETORES!$B:$B,MATCH(A1289,SETORES!$A:$A,0))</f>
        <v>Funcionários</v>
      </c>
      <c r="H1289" s="16" t="s">
        <v>21</v>
      </c>
    </row>
    <row r="1290" customFormat="false" ht="14.25" hidden="false" customHeight="true" outlineLevel="0" collapsed="false">
      <c r="A1290" s="40" t="s">
        <v>32</v>
      </c>
      <c r="B1290" s="40" t="s">
        <v>148</v>
      </c>
      <c r="C1290" s="40" t="s">
        <v>152</v>
      </c>
      <c r="D1290" s="41" t="n">
        <v>1</v>
      </c>
      <c r="E1290" s="42" t="n">
        <v>0.1455</v>
      </c>
      <c r="F1290" s="43" t="n">
        <v>0.1455</v>
      </c>
      <c r="G1290" s="40" t="str">
        <f aca="false">INDEX(SETORES!$B:$B,MATCH(A1290,SETORES!$A:$A,0))</f>
        <v>Funcionários</v>
      </c>
      <c r="H1290" s="40" t="s">
        <v>21</v>
      </c>
    </row>
    <row r="1291" customFormat="false" ht="14.25" hidden="false" customHeight="true" outlineLevel="0" collapsed="false">
      <c r="A1291" s="16" t="s">
        <v>32</v>
      </c>
      <c r="B1291" s="16" t="s">
        <v>148</v>
      </c>
      <c r="C1291" s="16" t="s">
        <v>153</v>
      </c>
      <c r="D1291" s="38"/>
      <c r="E1291" s="39"/>
      <c r="F1291" s="22" t="n">
        <f aca="false">IFERROR(D1291*E1291,0)</f>
        <v>0</v>
      </c>
      <c r="G1291" s="16" t="str">
        <f aca="false">INDEX(SETORES!$B:$B,MATCH(A1291,SETORES!$A:$A,0))</f>
        <v>Funcionários</v>
      </c>
      <c r="H1291" s="16" t="s">
        <v>21</v>
      </c>
    </row>
    <row r="1292" customFormat="false" ht="14.25" hidden="false" customHeight="true" outlineLevel="0" collapsed="false">
      <c r="A1292" s="40" t="s">
        <v>32</v>
      </c>
      <c r="B1292" s="40" t="s">
        <v>148</v>
      </c>
      <c r="C1292" s="40" t="s">
        <v>154</v>
      </c>
      <c r="D1292" s="41" t="n">
        <v>1</v>
      </c>
      <c r="E1292" s="42" t="n">
        <v>30249.56</v>
      </c>
      <c r="F1292" s="43" t="n">
        <f aca="false">IFERROR(E1292,0)</f>
        <v>30249.56</v>
      </c>
      <c r="G1292" s="40" t="str">
        <f aca="false">INDEX(SETORES!$B:$B,MATCH(A1292,SETORES!$A:$A,0))</f>
        <v>Funcionários</v>
      </c>
      <c r="H1292" s="40" t="s">
        <v>21</v>
      </c>
    </row>
    <row r="1293" customFormat="false" ht="14.25" hidden="false" customHeight="true" outlineLevel="0" collapsed="false">
      <c r="A1293" s="16" t="s">
        <v>32</v>
      </c>
      <c r="B1293" s="16" t="s">
        <v>155</v>
      </c>
      <c r="C1293" s="16" t="s">
        <v>218</v>
      </c>
      <c r="D1293" s="38" t="n">
        <v>4</v>
      </c>
      <c r="E1293" s="39" t="n">
        <v>45</v>
      </c>
      <c r="F1293" s="22" t="n">
        <f aca="false">IFERROR(D1293*E1293,0)</f>
        <v>180</v>
      </c>
      <c r="G1293" s="16" t="str">
        <f aca="false">INDEX(SETORES!$B:$B,MATCH(A1293,SETORES!$A:$A,0))</f>
        <v>Funcionários</v>
      </c>
      <c r="H1293" s="16" t="s">
        <v>21</v>
      </c>
    </row>
    <row r="1294" customFormat="false" ht="14.25" hidden="false" customHeight="true" outlineLevel="0" collapsed="false">
      <c r="A1294" s="40" t="s">
        <v>32</v>
      </c>
      <c r="B1294" s="40" t="s">
        <v>155</v>
      </c>
      <c r="C1294" s="40" t="s">
        <v>219</v>
      </c>
      <c r="D1294" s="41"/>
      <c r="E1294" s="42"/>
      <c r="F1294" s="43" t="n">
        <f aca="false">IFERROR(D1294*E1294,0)</f>
        <v>0</v>
      </c>
      <c r="G1294" s="40" t="str">
        <f aca="false">INDEX(SETORES!$B:$B,MATCH(A1294,SETORES!$A:$A,0))</f>
        <v>Funcionários</v>
      </c>
      <c r="H1294" s="40" t="s">
        <v>21</v>
      </c>
    </row>
    <row r="1295" customFormat="false" ht="14.25" hidden="false" customHeight="true" outlineLevel="0" collapsed="false">
      <c r="A1295" s="16" t="s">
        <v>32</v>
      </c>
      <c r="B1295" s="16" t="s">
        <v>148</v>
      </c>
      <c r="C1295" s="16" t="s">
        <v>220</v>
      </c>
      <c r="D1295" s="38"/>
      <c r="E1295" s="39"/>
      <c r="F1295" s="22" t="n">
        <f aca="false">IFERROR(D1295*E1295,0)</f>
        <v>0</v>
      </c>
      <c r="G1295" s="16" t="str">
        <f aca="false">INDEX(SETORES!$B:$B,MATCH(A1295,SETORES!$A:$A,0))</f>
        <v>Funcionários</v>
      </c>
      <c r="H1295" s="16" t="s">
        <v>21</v>
      </c>
    </row>
    <row r="1296" customFormat="false" ht="14.25" hidden="false" customHeight="true" outlineLevel="0" collapsed="false">
      <c r="A1296" s="40" t="s">
        <v>32</v>
      </c>
      <c r="B1296" s="40" t="s">
        <v>155</v>
      </c>
      <c r="C1296" s="40" t="s">
        <v>221</v>
      </c>
      <c r="D1296" s="41"/>
      <c r="E1296" s="42"/>
      <c r="F1296" s="43" t="n">
        <f aca="false">IFERROR(D1296*E1296,0)</f>
        <v>0</v>
      </c>
      <c r="G1296" s="40" t="str">
        <f aca="false">INDEX(SETORES!$B:$B,MATCH(A1296,SETORES!$A:$A,0))</f>
        <v>Funcionários</v>
      </c>
      <c r="H1296" s="40" t="s">
        <v>21</v>
      </c>
    </row>
    <row r="1297" customFormat="false" ht="14.25" hidden="false" customHeight="true" outlineLevel="0" collapsed="false">
      <c r="A1297" s="16" t="s">
        <v>32</v>
      </c>
      <c r="B1297" s="16" t="s">
        <v>148</v>
      </c>
      <c r="C1297" s="16" t="s">
        <v>222</v>
      </c>
      <c r="D1297" s="38"/>
      <c r="E1297" s="39"/>
      <c r="F1297" s="22" t="n">
        <f aca="false">IFERROR(D1297*E1297,0)</f>
        <v>0</v>
      </c>
      <c r="G1297" s="16" t="str">
        <f aca="false">INDEX(SETORES!$B:$B,MATCH(A1297,SETORES!$A:$A,0))</f>
        <v>Funcionários</v>
      </c>
      <c r="H1297" s="16" t="s">
        <v>21</v>
      </c>
    </row>
    <row r="1298" customFormat="false" ht="14.25" hidden="false" customHeight="true" outlineLevel="0" collapsed="false">
      <c r="A1298" s="40" t="s">
        <v>32</v>
      </c>
      <c r="B1298" s="40" t="s">
        <v>148</v>
      </c>
      <c r="C1298" s="40" t="s">
        <v>223</v>
      </c>
      <c r="D1298" s="41"/>
      <c r="E1298" s="42"/>
      <c r="F1298" s="43" t="n">
        <f aca="false">IFERROR(D1298*E1298,0)</f>
        <v>0</v>
      </c>
      <c r="G1298" s="40" t="str">
        <f aca="false">INDEX(SETORES!$B:$B,MATCH(A1298,SETORES!$A:$A,0))</f>
        <v>Funcionários</v>
      </c>
      <c r="H1298" s="40" t="s">
        <v>21</v>
      </c>
    </row>
    <row r="1299" customFormat="false" ht="14.25" hidden="false" customHeight="true" outlineLevel="0" collapsed="false">
      <c r="A1299" s="16" t="s">
        <v>32</v>
      </c>
      <c r="B1299" s="16" t="s">
        <v>148</v>
      </c>
      <c r="C1299" s="16" t="s">
        <v>159</v>
      </c>
      <c r="D1299" s="38" t="n">
        <v>6</v>
      </c>
      <c r="E1299" s="39" t="n">
        <v>50</v>
      </c>
      <c r="F1299" s="22" t="n">
        <f aca="false">IFERROR(D1299*E1299,0)</f>
        <v>300</v>
      </c>
      <c r="G1299" s="16" t="str">
        <f aca="false">INDEX(SETORES!$B:$B,MATCH(A1299,SETORES!$A:$A,0))</f>
        <v>Funcionários</v>
      </c>
      <c r="H1299" s="16" t="s">
        <v>21</v>
      </c>
    </row>
    <row r="1300" customFormat="false" ht="14.25" hidden="false" customHeight="true" outlineLevel="0" collapsed="false">
      <c r="A1300" s="40" t="s">
        <v>32</v>
      </c>
      <c r="B1300" s="40" t="s">
        <v>148</v>
      </c>
      <c r="C1300" s="40" t="s">
        <v>231</v>
      </c>
      <c r="D1300" s="41" t="n">
        <v>1</v>
      </c>
      <c r="E1300" s="42" t="n">
        <v>5.882352</v>
      </c>
      <c r="F1300" s="43" t="n">
        <f aca="false">IFERROR(D1300*E1300,0)</f>
        <v>5.882352</v>
      </c>
      <c r="G1300" s="40" t="str">
        <f aca="false">INDEX(SETORES!$B:$B,MATCH(A1300,SETORES!$A:$A,0))</f>
        <v>Funcionários</v>
      </c>
      <c r="H1300" s="40" t="s">
        <v>21</v>
      </c>
    </row>
    <row r="1301" customFormat="false" ht="14.25" hidden="false" customHeight="true" outlineLevel="0" collapsed="false">
      <c r="A1301" s="16" t="s">
        <v>32</v>
      </c>
      <c r="B1301" s="16" t="s">
        <v>148</v>
      </c>
      <c r="C1301" s="16" t="s">
        <v>160</v>
      </c>
      <c r="D1301" s="38" t="n">
        <v>6</v>
      </c>
      <c r="E1301" s="39" t="n">
        <v>9.92</v>
      </c>
      <c r="F1301" s="22" t="n">
        <f aca="false">IFERROR(D1301*E1301,0)</f>
        <v>59.52</v>
      </c>
      <c r="G1301" s="16" t="str">
        <f aca="false">INDEX(SETORES!$B:$B,MATCH(A1301,SETORES!$A:$A,0))</f>
        <v>Funcionários</v>
      </c>
      <c r="H1301" s="16" t="s">
        <v>21</v>
      </c>
    </row>
    <row r="1302" customFormat="false" ht="14.25" hidden="false" customHeight="true" outlineLevel="0" collapsed="false">
      <c r="A1302" s="40" t="s">
        <v>32</v>
      </c>
      <c r="B1302" s="40" t="s">
        <v>148</v>
      </c>
      <c r="C1302" s="40" t="s">
        <v>161</v>
      </c>
      <c r="D1302" s="41" t="n">
        <v>6</v>
      </c>
      <c r="E1302" s="42" t="n">
        <v>2.05</v>
      </c>
      <c r="F1302" s="43" t="n">
        <f aca="false">IFERROR(D1302*E1302,0)</f>
        <v>12.3</v>
      </c>
      <c r="G1302" s="40" t="str">
        <f aca="false">INDEX(SETORES!$B:$B,MATCH(A1302,SETORES!$A:$A,0))</f>
        <v>Funcionários</v>
      </c>
      <c r="H1302" s="40" t="s">
        <v>21</v>
      </c>
    </row>
    <row r="1303" customFormat="false" ht="14.25" hidden="false" customHeight="true" outlineLevel="0" collapsed="false">
      <c r="A1303" s="16" t="s">
        <v>39</v>
      </c>
      <c r="B1303" s="16" t="s">
        <v>148</v>
      </c>
      <c r="C1303" s="16" t="s">
        <v>149</v>
      </c>
      <c r="D1303" s="38" t="n">
        <v>12</v>
      </c>
      <c r="E1303" s="39" t="n">
        <v>0.9851</v>
      </c>
      <c r="F1303" s="22" t="n">
        <v>11.8212</v>
      </c>
      <c r="G1303" s="16" t="str">
        <f aca="false">INDEX(SETORES!$B:$B,MATCH(A1303,SETORES!$A:$A,0))</f>
        <v>Clientes</v>
      </c>
      <c r="H1303" s="16" t="s">
        <v>21</v>
      </c>
    </row>
    <row r="1304" customFormat="false" ht="14.25" hidden="false" customHeight="true" outlineLevel="0" collapsed="false">
      <c r="A1304" s="40" t="s">
        <v>39</v>
      </c>
      <c r="B1304" s="40" t="s">
        <v>148</v>
      </c>
      <c r="C1304" s="40" t="s">
        <v>150</v>
      </c>
      <c r="D1304" s="41" t="n">
        <v>1</v>
      </c>
      <c r="E1304" s="42" t="n">
        <v>359.291803</v>
      </c>
      <c r="F1304" s="43" t="n">
        <v>359.291803</v>
      </c>
      <c r="G1304" s="40" t="str">
        <f aca="false">INDEX(SETORES!$B:$B,MATCH(A1304,SETORES!$A:$A,0))</f>
        <v>Clientes</v>
      </c>
      <c r="H1304" s="40" t="s">
        <v>21</v>
      </c>
    </row>
    <row r="1305" customFormat="false" ht="14.25" hidden="false" customHeight="true" outlineLevel="0" collapsed="false">
      <c r="A1305" s="16" t="s">
        <v>39</v>
      </c>
      <c r="B1305" s="16" t="s">
        <v>148</v>
      </c>
      <c r="C1305" s="16" t="s">
        <v>151</v>
      </c>
      <c r="D1305" s="38" t="n">
        <v>1</v>
      </c>
      <c r="E1305" s="39" t="n">
        <v>99.276</v>
      </c>
      <c r="F1305" s="22" t="n">
        <v>99.276</v>
      </c>
      <c r="G1305" s="16" t="str">
        <f aca="false">INDEX(SETORES!$B:$B,MATCH(A1305,SETORES!$A:$A,0))</f>
        <v>Clientes</v>
      </c>
      <c r="H1305" s="16" t="s">
        <v>21</v>
      </c>
    </row>
    <row r="1306" customFormat="false" ht="14.25" hidden="false" customHeight="true" outlineLevel="0" collapsed="false">
      <c r="A1306" s="40" t="s">
        <v>39</v>
      </c>
      <c r="B1306" s="40" t="s">
        <v>148</v>
      </c>
      <c r="C1306" s="40" t="s">
        <v>152</v>
      </c>
      <c r="D1306" s="41" t="n">
        <v>1</v>
      </c>
      <c r="E1306" s="42" t="n">
        <v>0.291</v>
      </c>
      <c r="F1306" s="43" t="n">
        <v>0.291</v>
      </c>
      <c r="G1306" s="40" t="str">
        <f aca="false">INDEX(SETORES!$B:$B,MATCH(A1306,SETORES!$A:$A,0))</f>
        <v>Clientes</v>
      </c>
      <c r="H1306" s="40" t="s">
        <v>21</v>
      </c>
    </row>
    <row r="1307" customFormat="false" ht="14.25" hidden="false" customHeight="true" outlineLevel="0" collapsed="false">
      <c r="A1307" s="16" t="s">
        <v>39</v>
      </c>
      <c r="B1307" s="16" t="s">
        <v>148</v>
      </c>
      <c r="C1307" s="16" t="s">
        <v>153</v>
      </c>
      <c r="D1307" s="38"/>
      <c r="E1307" s="39"/>
      <c r="F1307" s="22" t="n">
        <f aca="false">IFERROR(D1307*E1307,0)</f>
        <v>0</v>
      </c>
      <c r="G1307" s="16" t="str">
        <f aca="false">INDEX(SETORES!$B:$B,MATCH(A1307,SETORES!$A:$A,0))</f>
        <v>Clientes</v>
      </c>
      <c r="H1307" s="16" t="s">
        <v>21</v>
      </c>
    </row>
    <row r="1308" customFormat="false" ht="14.25" hidden="false" customHeight="true" outlineLevel="0" collapsed="false">
      <c r="A1308" s="40" t="s">
        <v>39</v>
      </c>
      <c r="B1308" s="40" t="s">
        <v>148</v>
      </c>
      <c r="C1308" s="40" t="s">
        <v>154</v>
      </c>
      <c r="D1308" s="41" t="n">
        <v>1</v>
      </c>
      <c r="E1308" s="42" t="n">
        <v>38376.56</v>
      </c>
      <c r="F1308" s="43" t="n">
        <f aca="false">IFERROR(E1308,0)</f>
        <v>38376.56</v>
      </c>
      <c r="G1308" s="40" t="str">
        <f aca="false">INDEX(SETORES!$B:$B,MATCH(A1308,SETORES!$A:$A,0))</f>
        <v>Clientes</v>
      </c>
      <c r="H1308" s="40" t="s">
        <v>21</v>
      </c>
    </row>
    <row r="1309" customFormat="false" ht="14.25" hidden="false" customHeight="true" outlineLevel="0" collapsed="false">
      <c r="A1309" s="16" t="s">
        <v>39</v>
      </c>
      <c r="B1309" s="16" t="s">
        <v>155</v>
      </c>
      <c r="C1309" s="16" t="s">
        <v>156</v>
      </c>
      <c r="D1309" s="38"/>
      <c r="E1309" s="39"/>
      <c r="F1309" s="22" t="n">
        <f aca="false">IFERROR(D1309*E1309,0)</f>
        <v>0</v>
      </c>
      <c r="G1309" s="16" t="str">
        <f aca="false">INDEX(SETORES!$B:$B,MATCH(A1309,SETORES!$A:$A,0))</f>
        <v>Clientes</v>
      </c>
      <c r="H1309" s="16" t="s">
        <v>21</v>
      </c>
    </row>
    <row r="1310" customFormat="false" ht="14.25" hidden="false" customHeight="true" outlineLevel="0" collapsed="false">
      <c r="A1310" s="40" t="s">
        <v>39</v>
      </c>
      <c r="B1310" s="40" t="s">
        <v>155</v>
      </c>
      <c r="C1310" s="40" t="s">
        <v>157</v>
      </c>
      <c r="D1310" s="41"/>
      <c r="E1310" s="42"/>
      <c r="F1310" s="43" t="n">
        <f aca="false">IFERROR(D1310*E1310,0)</f>
        <v>0</v>
      </c>
      <c r="G1310" s="40" t="str">
        <f aca="false">INDEX(SETORES!$B:$B,MATCH(A1310,SETORES!$A:$A,0))</f>
        <v>Clientes</v>
      </c>
      <c r="H1310" s="40" t="s">
        <v>21</v>
      </c>
    </row>
    <row r="1311" customFormat="false" ht="14.25" hidden="false" customHeight="true" outlineLevel="0" collapsed="false">
      <c r="A1311" s="16" t="s">
        <v>39</v>
      </c>
      <c r="B1311" s="16" t="s">
        <v>155</v>
      </c>
      <c r="C1311" s="16" t="s">
        <v>215</v>
      </c>
      <c r="D1311" s="38" t="n">
        <v>1</v>
      </c>
      <c r="E1311" s="39" t="n">
        <v>10389.2</v>
      </c>
      <c r="F1311" s="22" t="n">
        <f aca="false">IFERROR(D1311*E1311,0)</f>
        <v>10389.2</v>
      </c>
      <c r="G1311" s="16" t="str">
        <f aca="false">INDEX(SETORES!$B:$B,MATCH(A1311,SETORES!$A:$A,0))</f>
        <v>Clientes</v>
      </c>
      <c r="H1311" s="16" t="s">
        <v>21</v>
      </c>
    </row>
    <row r="1312" customFormat="false" ht="14.25" hidden="false" customHeight="true" outlineLevel="0" collapsed="false">
      <c r="A1312" s="40" t="s">
        <v>39</v>
      </c>
      <c r="B1312" s="40" t="s">
        <v>148</v>
      </c>
      <c r="C1312" s="40" t="s">
        <v>159</v>
      </c>
      <c r="D1312" s="41" t="n">
        <v>2</v>
      </c>
      <c r="E1312" s="42" t="n">
        <v>50</v>
      </c>
      <c r="F1312" s="43" t="n">
        <f aca="false">IFERROR(D1312*E1312,0)</f>
        <v>100</v>
      </c>
      <c r="G1312" s="40" t="str">
        <f aca="false">INDEX(SETORES!$B:$B,MATCH(A1312,SETORES!$A:$A,0))</f>
        <v>Clientes</v>
      </c>
      <c r="H1312" s="40" t="s">
        <v>21</v>
      </c>
    </row>
    <row r="1313" customFormat="false" ht="14.25" hidden="false" customHeight="true" outlineLevel="0" collapsed="false">
      <c r="A1313" s="16" t="s">
        <v>39</v>
      </c>
      <c r="B1313" s="16" t="s">
        <v>148</v>
      </c>
      <c r="C1313" s="16" t="s">
        <v>180</v>
      </c>
      <c r="D1313" s="38" t="n">
        <v>1</v>
      </c>
      <c r="E1313" s="39" t="n">
        <v>664.113444</v>
      </c>
      <c r="F1313" s="22" t="n">
        <f aca="false">IFERROR(D1313*E1313,0)</f>
        <v>664.113444</v>
      </c>
      <c r="G1313" s="16" t="str">
        <f aca="false">INDEX(SETORES!$B:$B,MATCH(A1313,SETORES!$A:$A,0))</f>
        <v>Clientes</v>
      </c>
      <c r="H1313" s="16" t="s">
        <v>21</v>
      </c>
    </row>
    <row r="1314" customFormat="false" ht="14.25" hidden="false" customHeight="true" outlineLevel="0" collapsed="false">
      <c r="A1314" s="40" t="s">
        <v>39</v>
      </c>
      <c r="B1314" s="40" t="s">
        <v>148</v>
      </c>
      <c r="C1314" s="40" t="s">
        <v>233</v>
      </c>
      <c r="D1314" s="41" t="n">
        <v>1</v>
      </c>
      <c r="E1314" s="42" t="n">
        <v>2.518032</v>
      </c>
      <c r="F1314" s="43" t="n">
        <f aca="false">IFERROR(D1314*E1314,0)</f>
        <v>2.518032</v>
      </c>
      <c r="G1314" s="40" t="str">
        <f aca="false">INDEX(SETORES!$B:$B,MATCH(A1314,SETORES!$A:$A,0))</f>
        <v>Clientes</v>
      </c>
      <c r="H1314" s="40" t="s">
        <v>21</v>
      </c>
    </row>
    <row r="1315" customFormat="false" ht="14.25" hidden="false" customHeight="true" outlineLevel="0" collapsed="false">
      <c r="A1315" s="16" t="s">
        <v>39</v>
      </c>
      <c r="B1315" s="16" t="s">
        <v>148</v>
      </c>
      <c r="C1315" s="16" t="s">
        <v>160</v>
      </c>
      <c r="D1315" s="38" t="n">
        <v>12</v>
      </c>
      <c r="E1315" s="39" t="n">
        <v>9.92</v>
      </c>
      <c r="F1315" s="22" t="n">
        <f aca="false">IFERROR(D1315*E1315,0)</f>
        <v>119.04</v>
      </c>
      <c r="G1315" s="16" t="str">
        <f aca="false">INDEX(SETORES!$B:$B,MATCH(A1315,SETORES!$A:$A,0))</f>
        <v>Clientes</v>
      </c>
      <c r="H1315" s="16" t="s">
        <v>21</v>
      </c>
    </row>
    <row r="1316" customFormat="false" ht="14.25" hidden="false" customHeight="true" outlineLevel="0" collapsed="false">
      <c r="A1316" s="40" t="s">
        <v>39</v>
      </c>
      <c r="B1316" s="40" t="s">
        <v>148</v>
      </c>
      <c r="C1316" s="40" t="s">
        <v>161</v>
      </c>
      <c r="D1316" s="41" t="n">
        <v>12</v>
      </c>
      <c r="E1316" s="42" t="n">
        <v>2.05</v>
      </c>
      <c r="F1316" s="43" t="n">
        <f aca="false">IFERROR(D1316*E1316,0)</f>
        <v>24.6</v>
      </c>
      <c r="G1316" s="40" t="str">
        <f aca="false">INDEX(SETORES!$B:$B,MATCH(A1316,SETORES!$A:$A,0))</f>
        <v>Clientes</v>
      </c>
      <c r="H1316" s="40" t="s">
        <v>21</v>
      </c>
    </row>
    <row r="1317" customFormat="false" ht="14.25" hidden="false" customHeight="true" outlineLevel="0" collapsed="false">
      <c r="A1317" s="16" t="s">
        <v>44</v>
      </c>
      <c r="B1317" s="16" t="s">
        <v>148</v>
      </c>
      <c r="C1317" s="16" t="s">
        <v>149</v>
      </c>
      <c r="D1317" s="38"/>
      <c r="E1317" s="39"/>
      <c r="F1317" s="22" t="n">
        <v>0</v>
      </c>
      <c r="G1317" s="16" t="str">
        <f aca="false">INDEX(SETORES!$B:$B,MATCH(A1317,SETORES!$A:$A,0))</f>
        <v>Funcionários</v>
      </c>
      <c r="H1317" s="16" t="s">
        <v>21</v>
      </c>
    </row>
    <row r="1318" customFormat="false" ht="14.25" hidden="false" customHeight="true" outlineLevel="0" collapsed="false">
      <c r="A1318" s="40" t="s">
        <v>44</v>
      </c>
      <c r="B1318" s="40" t="s">
        <v>148</v>
      </c>
      <c r="C1318" s="40" t="s">
        <v>150</v>
      </c>
      <c r="D1318" s="41"/>
      <c r="E1318" s="42"/>
      <c r="F1318" s="43" t="n">
        <v>0</v>
      </c>
      <c r="G1318" s="40" t="str">
        <f aca="false">INDEX(SETORES!$B:$B,MATCH(A1318,SETORES!$A:$A,0))</f>
        <v>Funcionários</v>
      </c>
      <c r="H1318" s="40" t="s">
        <v>21</v>
      </c>
    </row>
    <row r="1319" customFormat="false" ht="14.25" hidden="false" customHeight="true" outlineLevel="0" collapsed="false">
      <c r="A1319" s="16" t="s">
        <v>44</v>
      </c>
      <c r="B1319" s="16" t="s">
        <v>148</v>
      </c>
      <c r="C1319" s="16" t="s">
        <v>151</v>
      </c>
      <c r="D1319" s="38" t="n">
        <v>9</v>
      </c>
      <c r="E1319" s="39" t="n">
        <v>21.2582</v>
      </c>
      <c r="F1319" s="22" t="n">
        <v>191.3238</v>
      </c>
      <c r="G1319" s="16" t="str">
        <f aca="false">INDEX(SETORES!$B:$B,MATCH(A1319,SETORES!$A:$A,0))</f>
        <v>Funcionários</v>
      </c>
      <c r="H1319" s="16" t="s">
        <v>21</v>
      </c>
    </row>
    <row r="1320" customFormat="false" ht="14.25" hidden="false" customHeight="true" outlineLevel="0" collapsed="false">
      <c r="A1320" s="40" t="s">
        <v>44</v>
      </c>
      <c r="B1320" s="40" t="s">
        <v>148</v>
      </c>
      <c r="C1320" s="40" t="s">
        <v>152</v>
      </c>
      <c r="D1320" s="41" t="n">
        <v>9</v>
      </c>
      <c r="E1320" s="42" t="n">
        <v>3.3247</v>
      </c>
      <c r="F1320" s="43" t="n">
        <v>29.9223</v>
      </c>
      <c r="G1320" s="40" t="str">
        <f aca="false">INDEX(SETORES!$B:$B,MATCH(A1320,SETORES!$A:$A,0))</f>
        <v>Funcionários</v>
      </c>
      <c r="H1320" s="40" t="s">
        <v>21</v>
      </c>
    </row>
    <row r="1321" customFormat="false" ht="14.25" hidden="false" customHeight="true" outlineLevel="0" collapsed="false">
      <c r="A1321" s="16" t="s">
        <v>44</v>
      </c>
      <c r="B1321" s="16" t="s">
        <v>148</v>
      </c>
      <c r="C1321" s="16" t="s">
        <v>153</v>
      </c>
      <c r="D1321" s="38"/>
      <c r="E1321" s="39"/>
      <c r="F1321" s="22" t="n">
        <f aca="false">IFERROR(D1321*E1321,0)</f>
        <v>0</v>
      </c>
      <c r="G1321" s="16" t="str">
        <f aca="false">INDEX(SETORES!$B:$B,MATCH(A1321,SETORES!$A:$A,0))</f>
        <v>Funcionários</v>
      </c>
      <c r="H1321" s="16" t="s">
        <v>21</v>
      </c>
    </row>
    <row r="1322" customFormat="false" ht="14.25" hidden="false" customHeight="true" outlineLevel="0" collapsed="false">
      <c r="A1322" s="40" t="s">
        <v>44</v>
      </c>
      <c r="B1322" s="40" t="s">
        <v>148</v>
      </c>
      <c r="C1322" s="40" t="s">
        <v>154</v>
      </c>
      <c r="D1322" s="41" t="n">
        <v>1</v>
      </c>
      <c r="E1322" s="42" t="n">
        <v>46380.08</v>
      </c>
      <c r="F1322" s="43" t="n">
        <f aca="false">IFERROR(E1322,0)</f>
        <v>46380.08</v>
      </c>
      <c r="G1322" s="40" t="str">
        <f aca="false">INDEX(SETORES!$B:$B,MATCH(A1322,SETORES!$A:$A,0))</f>
        <v>Funcionários</v>
      </c>
      <c r="H1322" s="40" t="s">
        <v>21</v>
      </c>
    </row>
    <row r="1323" customFormat="false" ht="14.25" hidden="false" customHeight="true" outlineLevel="0" collapsed="false">
      <c r="A1323" s="16" t="s">
        <v>44</v>
      </c>
      <c r="B1323" s="16" t="s">
        <v>155</v>
      </c>
      <c r="C1323" s="16" t="s">
        <v>214</v>
      </c>
      <c r="D1323" s="38"/>
      <c r="E1323" s="39"/>
      <c r="F1323" s="22" t="n">
        <f aca="false">IFERROR(D1323*E1323,0)</f>
        <v>0</v>
      </c>
      <c r="G1323" s="16" t="str">
        <f aca="false">INDEX(SETORES!$B:$B,MATCH(A1323,SETORES!$A:$A,0))</f>
        <v>Funcionários</v>
      </c>
      <c r="H1323" s="16" t="s">
        <v>21</v>
      </c>
    </row>
    <row r="1324" customFormat="false" ht="14.25" hidden="false" customHeight="true" outlineLevel="0" collapsed="false">
      <c r="A1324" s="40" t="s">
        <v>38</v>
      </c>
      <c r="B1324" s="40" t="s">
        <v>155</v>
      </c>
      <c r="C1324" s="40" t="s">
        <v>158</v>
      </c>
      <c r="D1324" s="41" t="n">
        <v>1</v>
      </c>
      <c r="E1324" s="42" t="n">
        <v>65</v>
      </c>
      <c r="F1324" s="43" t="n">
        <f aca="false">IFERROR(D1324*E1324,0)</f>
        <v>65</v>
      </c>
      <c r="G1324" s="40" t="str">
        <f aca="false">INDEX(SETORES!$B:$B,MATCH(A1324,SETORES!$A:$A,0))</f>
        <v>Clientes</v>
      </c>
      <c r="H1324" s="40" t="s">
        <v>21</v>
      </c>
    </row>
    <row r="1325" customFormat="false" ht="14.25" hidden="false" customHeight="true" outlineLevel="0" collapsed="false">
      <c r="A1325" s="16" t="s">
        <v>37</v>
      </c>
      <c r="B1325" s="16" t="s">
        <v>155</v>
      </c>
      <c r="C1325" s="16" t="s">
        <v>158</v>
      </c>
      <c r="D1325" s="38" t="n">
        <v>1</v>
      </c>
      <c r="E1325" s="39" t="n">
        <v>35</v>
      </c>
      <c r="F1325" s="22" t="n">
        <f aca="false">IFERROR(D1325*E1325,0)</f>
        <v>35</v>
      </c>
      <c r="G1325" s="16" t="str">
        <f aca="false">INDEX(SETORES!$B:$B,MATCH(A1325,SETORES!$A:$A,0))</f>
        <v>Clientes</v>
      </c>
      <c r="H1325" s="16" t="s">
        <v>21</v>
      </c>
    </row>
    <row r="1326" customFormat="false" ht="14.25" hidden="false" customHeight="true" outlineLevel="0" collapsed="false">
      <c r="A1326" s="40" t="s">
        <v>53</v>
      </c>
      <c r="B1326" s="40" t="s">
        <v>155</v>
      </c>
      <c r="C1326" s="40" t="s">
        <v>158</v>
      </c>
      <c r="D1326" s="41" t="n">
        <v>1</v>
      </c>
      <c r="E1326" s="42" t="n">
        <v>10752.6</v>
      </c>
      <c r="F1326" s="43" t="n">
        <f aca="false">IFERROR(D1326*E1326,0)</f>
        <v>10752.6</v>
      </c>
      <c r="G1326" s="40" t="str">
        <f aca="false">INDEX(SETORES!$B:$B,MATCH(A1326,SETORES!$A:$A,0))</f>
        <v>Clientes</v>
      </c>
      <c r="H1326" s="40" t="s">
        <v>21</v>
      </c>
    </row>
    <row r="1327" customFormat="false" ht="14.25" hidden="false" customHeight="true" outlineLevel="0" collapsed="false">
      <c r="A1327" s="16" t="s">
        <v>47</v>
      </c>
      <c r="B1327" s="16" t="s">
        <v>155</v>
      </c>
      <c r="C1327" s="16" t="s">
        <v>158</v>
      </c>
      <c r="D1327" s="38" t="n">
        <v>1</v>
      </c>
      <c r="E1327" s="39" t="n">
        <v>735</v>
      </c>
      <c r="F1327" s="22" t="n">
        <f aca="false">IFERROR(D1327*E1327,0)</f>
        <v>735</v>
      </c>
      <c r="G1327" s="16" t="str">
        <f aca="false">INDEX(SETORES!$B:$B,MATCH(A1327,SETORES!$A:$A,0))</f>
        <v>Clientes</v>
      </c>
      <c r="H1327" s="16" t="s">
        <v>21</v>
      </c>
    </row>
    <row r="1328" customFormat="false" ht="14.25" hidden="false" customHeight="true" outlineLevel="0" collapsed="false">
      <c r="A1328" s="40" t="s">
        <v>44</v>
      </c>
      <c r="B1328" s="40" t="s">
        <v>155</v>
      </c>
      <c r="C1328" s="40" t="s">
        <v>158</v>
      </c>
      <c r="D1328" s="41" t="n">
        <v>1</v>
      </c>
      <c r="E1328" s="42" t="n">
        <v>35</v>
      </c>
      <c r="F1328" s="43" t="n">
        <f aca="false">IFERROR(D1328*E1328,0)</f>
        <v>35</v>
      </c>
      <c r="G1328" s="40" t="str">
        <f aca="false">INDEX(SETORES!$B:$B,MATCH(A1328,SETORES!$A:$A,0))</f>
        <v>Funcionários</v>
      </c>
      <c r="H1328" s="40" t="s">
        <v>21</v>
      </c>
    </row>
    <row r="1329" customFormat="false" ht="14.25" hidden="false" customHeight="true" outlineLevel="0" collapsed="false">
      <c r="A1329" s="16" t="s">
        <v>44</v>
      </c>
      <c r="B1329" s="16" t="s">
        <v>155</v>
      </c>
      <c r="C1329" s="16" t="s">
        <v>156</v>
      </c>
      <c r="D1329" s="38" t="n">
        <v>4</v>
      </c>
      <c r="E1329" s="39" t="n">
        <v>45</v>
      </c>
      <c r="F1329" s="22" t="n">
        <f aca="false">IFERROR(D1329*E1329,0)</f>
        <v>180</v>
      </c>
      <c r="G1329" s="16" t="str">
        <f aca="false">INDEX(SETORES!$B:$B,MATCH(A1329,SETORES!$A:$A,0))</f>
        <v>Funcionários</v>
      </c>
      <c r="H1329" s="16" t="s">
        <v>21</v>
      </c>
    </row>
    <row r="1330" customFormat="false" ht="14.25" hidden="false" customHeight="true" outlineLevel="0" collapsed="false">
      <c r="A1330" s="40" t="s">
        <v>44</v>
      </c>
      <c r="B1330" s="40" t="s">
        <v>155</v>
      </c>
      <c r="C1330" s="40" t="s">
        <v>157</v>
      </c>
      <c r="D1330" s="41"/>
      <c r="E1330" s="42"/>
      <c r="F1330" s="43" t="n">
        <f aca="false">IFERROR(D1330*E1330,0)</f>
        <v>0</v>
      </c>
      <c r="G1330" s="40" t="str">
        <f aca="false">INDEX(SETORES!$B:$B,MATCH(A1330,SETORES!$A:$A,0))</f>
        <v>Funcionários</v>
      </c>
      <c r="H1330" s="40" t="s">
        <v>21</v>
      </c>
    </row>
    <row r="1331" customFormat="false" ht="14.25" hidden="false" customHeight="true" outlineLevel="0" collapsed="false">
      <c r="A1331" s="16" t="s">
        <v>44</v>
      </c>
      <c r="B1331" s="16" t="s">
        <v>155</v>
      </c>
      <c r="C1331" s="16" t="s">
        <v>202</v>
      </c>
      <c r="D1331" s="38" t="n">
        <v>9</v>
      </c>
      <c r="E1331" s="39" t="n">
        <v>76.92</v>
      </c>
      <c r="F1331" s="22" t="n">
        <f aca="false">IFERROR(D1331*E1331,0)</f>
        <v>692.28</v>
      </c>
      <c r="G1331" s="16" t="str">
        <f aca="false">INDEX(SETORES!$B:$B,MATCH(A1331,SETORES!$A:$A,0))</f>
        <v>Funcionários</v>
      </c>
      <c r="H1331" s="16" t="s">
        <v>21</v>
      </c>
    </row>
    <row r="1332" customFormat="false" ht="14.25" hidden="false" customHeight="true" outlineLevel="0" collapsed="false">
      <c r="A1332" s="40" t="s">
        <v>44</v>
      </c>
      <c r="B1332" s="40" t="s">
        <v>155</v>
      </c>
      <c r="C1332" s="40" t="s">
        <v>225</v>
      </c>
      <c r="D1332" s="41" t="n">
        <v>1</v>
      </c>
      <c r="E1332" s="42" t="n">
        <v>7689.5</v>
      </c>
      <c r="F1332" s="43" t="n">
        <f aca="false">IFERROR(D1332*E1332,0)</f>
        <v>7689.5</v>
      </c>
      <c r="G1332" s="40" t="str">
        <f aca="false">INDEX(SETORES!$B:$B,MATCH(A1332,SETORES!$A:$A,0))</f>
        <v>Funcionários</v>
      </c>
      <c r="H1332" s="40" t="s">
        <v>21</v>
      </c>
    </row>
    <row r="1333" customFormat="false" ht="14.25" hidden="false" customHeight="true" outlineLevel="0" collapsed="false">
      <c r="A1333" s="16" t="s">
        <v>44</v>
      </c>
      <c r="B1333" s="16" t="s">
        <v>148</v>
      </c>
      <c r="C1333" s="16" t="s">
        <v>159</v>
      </c>
      <c r="D1333" s="38" t="n">
        <v>7</v>
      </c>
      <c r="E1333" s="39" t="n">
        <v>50</v>
      </c>
      <c r="F1333" s="22" t="n">
        <f aca="false">IFERROR(D1333*E1333,0)</f>
        <v>350</v>
      </c>
      <c r="G1333" s="16" t="str">
        <f aca="false">INDEX(SETORES!$B:$B,MATCH(A1333,SETORES!$A:$A,0))</f>
        <v>Funcionários</v>
      </c>
      <c r="H1333" s="16" t="s">
        <v>21</v>
      </c>
    </row>
    <row r="1334" customFormat="false" ht="14.25" hidden="false" customHeight="true" outlineLevel="0" collapsed="false">
      <c r="A1334" s="40" t="s">
        <v>44</v>
      </c>
      <c r="B1334" s="40" t="s">
        <v>155</v>
      </c>
      <c r="C1334" s="40" t="s">
        <v>210</v>
      </c>
      <c r="D1334" s="41" t="n">
        <v>1</v>
      </c>
      <c r="E1334" s="42" t="n">
        <v>5036.91</v>
      </c>
      <c r="F1334" s="43" t="n">
        <f aca="false">IFERROR(D1334*E1334,0)</f>
        <v>5036.91</v>
      </c>
      <c r="G1334" s="40" t="str">
        <f aca="false">INDEX(SETORES!$B:$B,MATCH(A1334,SETORES!$A:$A,0))</f>
        <v>Funcionários</v>
      </c>
      <c r="H1334" s="40" t="s">
        <v>21</v>
      </c>
    </row>
    <row r="1335" customFormat="false" ht="14.25" hidden="false" customHeight="true" outlineLevel="0" collapsed="false">
      <c r="A1335" s="16" t="s">
        <v>44</v>
      </c>
      <c r="B1335" s="16" t="s">
        <v>148</v>
      </c>
      <c r="C1335" s="16" t="s">
        <v>231</v>
      </c>
      <c r="D1335" s="38" t="n">
        <v>1</v>
      </c>
      <c r="E1335" s="39" t="n">
        <v>570</v>
      </c>
      <c r="F1335" s="22" t="n">
        <f aca="false">IFERROR(D1335*E1335,0)</f>
        <v>570</v>
      </c>
      <c r="G1335" s="16" t="str">
        <f aca="false">INDEX(SETORES!$B:$B,MATCH(A1335,SETORES!$A:$A,0))</f>
        <v>Funcionários</v>
      </c>
      <c r="H1335" s="16" t="s">
        <v>21</v>
      </c>
    </row>
    <row r="1336" customFormat="false" ht="14.25" hidden="false" customHeight="true" outlineLevel="0" collapsed="false">
      <c r="A1336" s="40" t="s">
        <v>44</v>
      </c>
      <c r="B1336" s="40" t="s">
        <v>148</v>
      </c>
      <c r="C1336" s="40" t="s">
        <v>160</v>
      </c>
      <c r="D1336" s="41" t="n">
        <v>9</v>
      </c>
      <c r="E1336" s="42" t="n">
        <v>9.92</v>
      </c>
      <c r="F1336" s="43" t="n">
        <f aca="false">IFERROR(D1336*E1336,0)</f>
        <v>89.28</v>
      </c>
      <c r="G1336" s="40" t="str">
        <f aca="false">INDEX(SETORES!$B:$B,MATCH(A1336,SETORES!$A:$A,0))</f>
        <v>Funcionários</v>
      </c>
      <c r="H1336" s="40" t="s">
        <v>21</v>
      </c>
    </row>
    <row r="1337" customFormat="false" ht="14.25" hidden="false" customHeight="true" outlineLevel="0" collapsed="false">
      <c r="A1337" s="16" t="s">
        <v>44</v>
      </c>
      <c r="B1337" s="16" t="s">
        <v>148</v>
      </c>
      <c r="C1337" s="16" t="s">
        <v>161</v>
      </c>
      <c r="D1337" s="38" t="n">
        <v>9</v>
      </c>
      <c r="E1337" s="39" t="n">
        <v>2.05</v>
      </c>
      <c r="F1337" s="22" t="n">
        <f aca="false">IFERROR(D1337*E1337,0)</f>
        <v>18.45</v>
      </c>
      <c r="G1337" s="16" t="str">
        <f aca="false">INDEX(SETORES!$B:$B,MATCH(A1337,SETORES!$A:$A,0))</f>
        <v>Funcionários</v>
      </c>
      <c r="H1337" s="16" t="s">
        <v>21</v>
      </c>
    </row>
    <row r="1338" customFormat="false" ht="14.25" hidden="false" customHeight="true" outlineLevel="0" collapsed="false">
      <c r="A1338" s="40" t="s">
        <v>52</v>
      </c>
      <c r="B1338" s="40" t="s">
        <v>148</v>
      </c>
      <c r="C1338" s="40" t="s">
        <v>149</v>
      </c>
      <c r="D1338" s="41" t="n">
        <v>8</v>
      </c>
      <c r="E1338" s="42" t="n">
        <v>0.9851</v>
      </c>
      <c r="F1338" s="43" t="n">
        <v>7.8808</v>
      </c>
      <c r="G1338" s="40" t="str">
        <f aca="false">INDEX(SETORES!$B:$B,MATCH(A1338,SETORES!$A:$A,0))</f>
        <v>Clientes</v>
      </c>
      <c r="H1338" s="40" t="s">
        <v>21</v>
      </c>
    </row>
    <row r="1339" customFormat="false" ht="14.25" hidden="false" customHeight="true" outlineLevel="0" collapsed="false">
      <c r="A1339" s="16" t="s">
        <v>52</v>
      </c>
      <c r="B1339" s="16" t="s">
        <v>148</v>
      </c>
      <c r="C1339" s="16" t="s">
        <v>150</v>
      </c>
      <c r="D1339" s="38" t="n">
        <v>1</v>
      </c>
      <c r="E1339" s="39" t="n">
        <v>239.527869</v>
      </c>
      <c r="F1339" s="22" t="n">
        <v>239.527869</v>
      </c>
      <c r="G1339" s="16" t="str">
        <f aca="false">INDEX(SETORES!$B:$B,MATCH(A1339,SETORES!$A:$A,0))</f>
        <v>Clientes</v>
      </c>
      <c r="H1339" s="16" t="s">
        <v>21</v>
      </c>
    </row>
    <row r="1340" customFormat="false" ht="14.25" hidden="false" customHeight="true" outlineLevel="0" collapsed="false">
      <c r="A1340" s="40" t="s">
        <v>52</v>
      </c>
      <c r="B1340" s="40" t="s">
        <v>148</v>
      </c>
      <c r="C1340" s="40" t="s">
        <v>151</v>
      </c>
      <c r="D1340" s="41" t="n">
        <v>1</v>
      </c>
      <c r="E1340" s="42" t="n">
        <v>66.184</v>
      </c>
      <c r="F1340" s="43" t="n">
        <v>66.184</v>
      </c>
      <c r="G1340" s="40" t="str">
        <f aca="false">INDEX(SETORES!$B:$B,MATCH(A1340,SETORES!$A:$A,0))</f>
        <v>Clientes</v>
      </c>
      <c r="H1340" s="40" t="s">
        <v>21</v>
      </c>
    </row>
    <row r="1341" customFormat="false" ht="14.25" hidden="false" customHeight="true" outlineLevel="0" collapsed="false">
      <c r="A1341" s="16" t="s">
        <v>52</v>
      </c>
      <c r="B1341" s="16" t="s">
        <v>148</v>
      </c>
      <c r="C1341" s="16" t="s">
        <v>152</v>
      </c>
      <c r="D1341" s="38" t="n">
        <v>1</v>
      </c>
      <c r="E1341" s="39" t="n">
        <v>0.194</v>
      </c>
      <c r="F1341" s="22" t="n">
        <v>0.194</v>
      </c>
      <c r="G1341" s="16" t="str">
        <f aca="false">INDEX(SETORES!$B:$B,MATCH(A1341,SETORES!$A:$A,0))</f>
        <v>Clientes</v>
      </c>
      <c r="H1341" s="16" t="s">
        <v>21</v>
      </c>
    </row>
    <row r="1342" customFormat="false" ht="14.25" hidden="false" customHeight="true" outlineLevel="0" collapsed="false">
      <c r="A1342" s="40" t="s">
        <v>52</v>
      </c>
      <c r="B1342" s="40" t="s">
        <v>148</v>
      </c>
      <c r="C1342" s="40" t="s">
        <v>153</v>
      </c>
      <c r="D1342" s="41"/>
      <c r="E1342" s="42"/>
      <c r="F1342" s="43" t="n">
        <f aca="false">IFERROR(D1342*E1342,0)</f>
        <v>0</v>
      </c>
      <c r="G1342" s="40" t="str">
        <f aca="false">INDEX(SETORES!$B:$B,MATCH(A1342,SETORES!$A:$A,0))</f>
        <v>Clientes</v>
      </c>
      <c r="H1342" s="40" t="s">
        <v>21</v>
      </c>
    </row>
    <row r="1343" customFormat="false" ht="14.25" hidden="false" customHeight="true" outlineLevel="0" collapsed="false">
      <c r="A1343" s="16" t="s">
        <v>52</v>
      </c>
      <c r="B1343" s="16" t="s">
        <v>148</v>
      </c>
      <c r="C1343" s="16" t="s">
        <v>154</v>
      </c>
      <c r="D1343" s="38" t="n">
        <v>1</v>
      </c>
      <c r="E1343" s="39" t="n">
        <v>26304.95</v>
      </c>
      <c r="F1343" s="22" t="n">
        <f aca="false">IFERROR(E1343,0)</f>
        <v>26304.95</v>
      </c>
      <c r="G1343" s="16" t="str">
        <f aca="false">INDEX(SETORES!$B:$B,MATCH(A1343,SETORES!$A:$A,0))</f>
        <v>Clientes</v>
      </c>
      <c r="H1343" s="16" t="s">
        <v>21</v>
      </c>
    </row>
    <row r="1344" customFormat="false" ht="14.25" hidden="false" customHeight="true" outlineLevel="0" collapsed="false">
      <c r="A1344" s="40" t="s">
        <v>52</v>
      </c>
      <c r="B1344" s="40" t="s">
        <v>148</v>
      </c>
      <c r="C1344" s="40" t="s">
        <v>159</v>
      </c>
      <c r="D1344" s="41" t="n">
        <v>2</v>
      </c>
      <c r="E1344" s="42" t="n">
        <v>50</v>
      </c>
      <c r="F1344" s="43" t="n">
        <f aca="false">IFERROR(D1344*E1344,0)</f>
        <v>100</v>
      </c>
      <c r="G1344" s="40" t="str">
        <f aca="false">INDEX(SETORES!$B:$B,MATCH(A1344,SETORES!$A:$A,0))</f>
        <v>Clientes</v>
      </c>
      <c r="H1344" s="40" t="s">
        <v>21</v>
      </c>
    </row>
    <row r="1345" customFormat="false" ht="14.25" hidden="false" customHeight="true" outlineLevel="0" collapsed="false">
      <c r="A1345" s="16" t="s">
        <v>52</v>
      </c>
      <c r="B1345" s="16" t="s">
        <v>148</v>
      </c>
      <c r="C1345" s="16" t="s">
        <v>180</v>
      </c>
      <c r="D1345" s="38" t="n">
        <v>1</v>
      </c>
      <c r="E1345" s="39" t="n">
        <v>442.742296</v>
      </c>
      <c r="F1345" s="22" t="n">
        <f aca="false">IFERROR(D1345*E1345,0)</f>
        <v>442.742296</v>
      </c>
      <c r="G1345" s="16" t="str">
        <f aca="false">INDEX(SETORES!$B:$B,MATCH(A1345,SETORES!$A:$A,0))</f>
        <v>Clientes</v>
      </c>
      <c r="H1345" s="16" t="s">
        <v>21</v>
      </c>
    </row>
    <row r="1346" customFormat="false" ht="14.25" hidden="false" customHeight="true" outlineLevel="0" collapsed="false">
      <c r="A1346" s="40" t="s">
        <v>52</v>
      </c>
      <c r="B1346" s="40" t="s">
        <v>148</v>
      </c>
      <c r="C1346" s="40" t="s">
        <v>233</v>
      </c>
      <c r="D1346" s="41" t="n">
        <v>1</v>
      </c>
      <c r="E1346" s="42" t="n">
        <v>1.678688</v>
      </c>
      <c r="F1346" s="43" t="n">
        <f aca="false">IFERROR(D1346*E1346,0)</f>
        <v>1.678688</v>
      </c>
      <c r="G1346" s="40" t="str">
        <f aca="false">INDEX(SETORES!$B:$B,MATCH(A1346,SETORES!$A:$A,0))</f>
        <v>Clientes</v>
      </c>
      <c r="H1346" s="40" t="s">
        <v>21</v>
      </c>
    </row>
    <row r="1347" customFormat="false" ht="14.25" hidden="false" customHeight="true" outlineLevel="0" collapsed="false">
      <c r="A1347" s="16" t="s">
        <v>52</v>
      </c>
      <c r="B1347" s="16" t="s">
        <v>148</v>
      </c>
      <c r="C1347" s="16" t="s">
        <v>160</v>
      </c>
      <c r="D1347" s="38" t="n">
        <v>8</v>
      </c>
      <c r="E1347" s="39" t="n">
        <v>9.92</v>
      </c>
      <c r="F1347" s="22" t="n">
        <f aca="false">IFERROR(D1347*E1347,0)</f>
        <v>79.36</v>
      </c>
      <c r="G1347" s="16" t="str">
        <f aca="false">INDEX(SETORES!$B:$B,MATCH(A1347,SETORES!$A:$A,0))</f>
        <v>Clientes</v>
      </c>
      <c r="H1347" s="16" t="s">
        <v>21</v>
      </c>
    </row>
    <row r="1348" customFormat="false" ht="14.25" hidden="false" customHeight="true" outlineLevel="0" collapsed="false">
      <c r="A1348" s="40" t="s">
        <v>52</v>
      </c>
      <c r="B1348" s="40" t="s">
        <v>148</v>
      </c>
      <c r="C1348" s="40" t="s">
        <v>161</v>
      </c>
      <c r="D1348" s="41" t="n">
        <v>8</v>
      </c>
      <c r="E1348" s="42" t="n">
        <v>2.05</v>
      </c>
      <c r="F1348" s="43" t="n">
        <f aca="false">IFERROR(D1348*E1348,0)</f>
        <v>16.4</v>
      </c>
      <c r="G1348" s="40" t="str">
        <f aca="false">INDEX(SETORES!$B:$B,MATCH(A1348,SETORES!$A:$A,0))</f>
        <v>Clientes</v>
      </c>
      <c r="H1348" s="40" t="s">
        <v>21</v>
      </c>
    </row>
    <row r="1349" customFormat="false" ht="14.25" hidden="false" customHeight="true" outlineLevel="0" collapsed="false">
      <c r="A1349" s="16" t="s">
        <v>53</v>
      </c>
      <c r="B1349" s="16" t="s">
        <v>148</v>
      </c>
      <c r="C1349" s="16" t="s">
        <v>149</v>
      </c>
      <c r="D1349" s="38" t="n">
        <v>33</v>
      </c>
      <c r="E1349" s="39" t="n">
        <v>0.9851</v>
      </c>
      <c r="F1349" s="22" t="n">
        <v>32.5083</v>
      </c>
      <c r="G1349" s="16" t="str">
        <f aca="false">INDEX(SETORES!$B:$B,MATCH(A1349,SETORES!$A:$A,0))</f>
        <v>Clientes</v>
      </c>
      <c r="H1349" s="16" t="s">
        <v>21</v>
      </c>
    </row>
    <row r="1350" customFormat="false" ht="14.25" hidden="false" customHeight="true" outlineLevel="0" collapsed="false">
      <c r="A1350" s="40" t="s">
        <v>53</v>
      </c>
      <c r="B1350" s="40" t="s">
        <v>148</v>
      </c>
      <c r="C1350" s="40" t="s">
        <v>150</v>
      </c>
      <c r="D1350" s="41" t="n">
        <v>1</v>
      </c>
      <c r="E1350" s="42" t="n">
        <v>988.052459</v>
      </c>
      <c r="F1350" s="43" t="n">
        <v>988.052459</v>
      </c>
      <c r="G1350" s="40" t="str">
        <f aca="false">INDEX(SETORES!$B:$B,MATCH(A1350,SETORES!$A:$A,0))</f>
        <v>Clientes</v>
      </c>
      <c r="H1350" s="40" t="s">
        <v>21</v>
      </c>
    </row>
    <row r="1351" customFormat="false" ht="14.25" hidden="false" customHeight="true" outlineLevel="0" collapsed="false">
      <c r="A1351" s="16" t="s">
        <v>53</v>
      </c>
      <c r="B1351" s="16" t="s">
        <v>148</v>
      </c>
      <c r="C1351" s="16" t="s">
        <v>151</v>
      </c>
      <c r="D1351" s="38" t="n">
        <v>1</v>
      </c>
      <c r="E1351" s="39" t="n">
        <v>273.009</v>
      </c>
      <c r="F1351" s="22" t="n">
        <v>273.009</v>
      </c>
      <c r="G1351" s="16" t="str">
        <f aca="false">INDEX(SETORES!$B:$B,MATCH(A1351,SETORES!$A:$A,0))</f>
        <v>Clientes</v>
      </c>
      <c r="H1351" s="16" t="s">
        <v>21</v>
      </c>
    </row>
    <row r="1352" customFormat="false" ht="14.25" hidden="false" customHeight="true" outlineLevel="0" collapsed="false">
      <c r="A1352" s="40" t="s">
        <v>53</v>
      </c>
      <c r="B1352" s="40" t="s">
        <v>148</v>
      </c>
      <c r="C1352" s="40" t="s">
        <v>152</v>
      </c>
      <c r="D1352" s="41" t="n">
        <v>1</v>
      </c>
      <c r="E1352" s="42" t="n">
        <v>0.8002</v>
      </c>
      <c r="F1352" s="43" t="n">
        <v>0.8002</v>
      </c>
      <c r="G1352" s="40" t="str">
        <f aca="false">INDEX(SETORES!$B:$B,MATCH(A1352,SETORES!$A:$A,0))</f>
        <v>Clientes</v>
      </c>
      <c r="H1352" s="40" t="s">
        <v>21</v>
      </c>
    </row>
    <row r="1353" customFormat="false" ht="14.25" hidden="false" customHeight="true" outlineLevel="0" collapsed="false">
      <c r="A1353" s="16" t="s">
        <v>53</v>
      </c>
      <c r="B1353" s="16" t="s">
        <v>148</v>
      </c>
      <c r="C1353" s="16" t="s">
        <v>153</v>
      </c>
      <c r="D1353" s="38"/>
      <c r="E1353" s="39"/>
      <c r="F1353" s="22" t="n">
        <f aca="false">IFERROR(D1353*E1353,0)</f>
        <v>0</v>
      </c>
      <c r="G1353" s="16" t="str">
        <f aca="false">INDEX(SETORES!$B:$B,MATCH(A1353,SETORES!$A:$A,0))</f>
        <v>Clientes</v>
      </c>
      <c r="H1353" s="16" t="s">
        <v>21</v>
      </c>
    </row>
    <row r="1354" customFormat="false" ht="14.25" hidden="false" customHeight="true" outlineLevel="0" collapsed="false">
      <c r="A1354" s="40" t="s">
        <v>53</v>
      </c>
      <c r="B1354" s="40" t="s">
        <v>148</v>
      </c>
      <c r="C1354" s="40" t="s">
        <v>154</v>
      </c>
      <c r="D1354" s="41" t="n">
        <v>1</v>
      </c>
      <c r="E1354" s="42" t="n">
        <v>101811.52</v>
      </c>
      <c r="F1354" s="43" t="n">
        <f aca="false">IFERROR(E1354,0)</f>
        <v>101811.52</v>
      </c>
      <c r="G1354" s="40" t="str">
        <f aca="false">INDEX(SETORES!$B:$B,MATCH(A1354,SETORES!$A:$A,0))</f>
        <v>Clientes</v>
      </c>
      <c r="H1354" s="40" t="s">
        <v>21</v>
      </c>
    </row>
    <row r="1355" customFormat="false" ht="14.25" hidden="false" customHeight="true" outlineLevel="0" collapsed="false">
      <c r="A1355" s="16" t="s">
        <v>53</v>
      </c>
      <c r="B1355" s="16" t="s">
        <v>148</v>
      </c>
      <c r="C1355" s="16" t="s">
        <v>159</v>
      </c>
      <c r="D1355" s="38" t="n">
        <v>33</v>
      </c>
      <c r="E1355" s="39" t="n">
        <v>50</v>
      </c>
      <c r="F1355" s="22" t="n">
        <f aca="false">IFERROR(D1355*E1355,0)</f>
        <v>1650</v>
      </c>
      <c r="G1355" s="16" t="str">
        <f aca="false">INDEX(SETORES!$B:$B,MATCH(A1355,SETORES!$A:$A,0))</f>
        <v>Clientes</v>
      </c>
      <c r="H1355" s="16" t="s">
        <v>21</v>
      </c>
    </row>
    <row r="1356" customFormat="false" ht="14.25" hidden="false" customHeight="true" outlineLevel="0" collapsed="false">
      <c r="A1356" s="40" t="s">
        <v>53</v>
      </c>
      <c r="B1356" s="40" t="s">
        <v>148</v>
      </c>
      <c r="C1356" s="40" t="s">
        <v>180</v>
      </c>
      <c r="D1356" s="41" t="n">
        <v>1</v>
      </c>
      <c r="E1356" s="42" t="n">
        <v>1826.311971</v>
      </c>
      <c r="F1356" s="43" t="n">
        <f aca="false">IFERROR(D1356*E1356,0)</f>
        <v>1826.311971</v>
      </c>
      <c r="G1356" s="40" t="str">
        <f aca="false">INDEX(SETORES!$B:$B,MATCH(A1356,SETORES!$A:$A,0))</f>
        <v>Clientes</v>
      </c>
      <c r="H1356" s="40" t="s">
        <v>21</v>
      </c>
    </row>
    <row r="1357" customFormat="false" ht="14.25" hidden="false" customHeight="true" outlineLevel="0" collapsed="false">
      <c r="A1357" s="16" t="s">
        <v>53</v>
      </c>
      <c r="B1357" s="16" t="s">
        <v>148</v>
      </c>
      <c r="C1357" s="16" t="s">
        <v>233</v>
      </c>
      <c r="D1357" s="38" t="n">
        <v>1</v>
      </c>
      <c r="E1357" s="39" t="n">
        <v>6.924588</v>
      </c>
      <c r="F1357" s="22" t="n">
        <f aca="false">IFERROR(D1357*E1357,0)</f>
        <v>6.924588</v>
      </c>
      <c r="G1357" s="16" t="str">
        <f aca="false">INDEX(SETORES!$B:$B,MATCH(A1357,SETORES!$A:$A,0))</f>
        <v>Clientes</v>
      </c>
      <c r="H1357" s="16" t="s">
        <v>21</v>
      </c>
    </row>
    <row r="1358" customFormat="false" ht="14.25" hidden="false" customHeight="true" outlineLevel="0" collapsed="false">
      <c r="A1358" s="40" t="s">
        <v>53</v>
      </c>
      <c r="B1358" s="40" t="s">
        <v>148</v>
      </c>
      <c r="C1358" s="40" t="s">
        <v>160</v>
      </c>
      <c r="D1358" s="41" t="n">
        <v>33</v>
      </c>
      <c r="E1358" s="42" t="n">
        <v>9.92</v>
      </c>
      <c r="F1358" s="43" t="n">
        <f aca="false">IFERROR(D1358*E1358,0)</f>
        <v>327.36</v>
      </c>
      <c r="G1358" s="40" t="str">
        <f aca="false">INDEX(SETORES!$B:$B,MATCH(A1358,SETORES!$A:$A,0))</f>
        <v>Clientes</v>
      </c>
      <c r="H1358" s="40" t="s">
        <v>21</v>
      </c>
    </row>
    <row r="1359" customFormat="false" ht="14.25" hidden="false" customHeight="true" outlineLevel="0" collapsed="false">
      <c r="A1359" s="16" t="s">
        <v>53</v>
      </c>
      <c r="B1359" s="16" t="s">
        <v>148</v>
      </c>
      <c r="C1359" s="16" t="s">
        <v>161</v>
      </c>
      <c r="D1359" s="38" t="n">
        <v>33</v>
      </c>
      <c r="E1359" s="39" t="n">
        <v>2.05</v>
      </c>
      <c r="F1359" s="22" t="n">
        <f aca="false">IFERROR(D1359*E1359,0)</f>
        <v>67.65</v>
      </c>
      <c r="G1359" s="16" t="str">
        <f aca="false">INDEX(SETORES!$B:$B,MATCH(A1359,SETORES!$A:$A,0))</f>
        <v>Clientes</v>
      </c>
      <c r="H1359" s="16" t="s">
        <v>21</v>
      </c>
    </row>
    <row r="1360" customFormat="false" ht="14.25" hidden="false" customHeight="true" outlineLevel="0" collapsed="false">
      <c r="A1360" s="40" t="s">
        <v>51</v>
      </c>
      <c r="B1360" s="40" t="s">
        <v>148</v>
      </c>
      <c r="C1360" s="40" t="s">
        <v>149</v>
      </c>
      <c r="D1360" s="41" t="n">
        <v>13</v>
      </c>
      <c r="E1360" s="42" t="n">
        <v>0.9851</v>
      </c>
      <c r="F1360" s="43" t="n">
        <v>12.8063</v>
      </c>
      <c r="G1360" s="40" t="str">
        <f aca="false">INDEX(SETORES!$B:$B,MATCH(A1360,SETORES!$A:$A,0))</f>
        <v>Clientes</v>
      </c>
      <c r="H1360" s="40" t="s">
        <v>21</v>
      </c>
    </row>
    <row r="1361" customFormat="false" ht="14.25" hidden="false" customHeight="true" outlineLevel="0" collapsed="false">
      <c r="A1361" s="16" t="s">
        <v>51</v>
      </c>
      <c r="B1361" s="16" t="s">
        <v>148</v>
      </c>
      <c r="C1361" s="16" t="s">
        <v>150</v>
      </c>
      <c r="D1361" s="38" t="n">
        <v>1</v>
      </c>
      <c r="E1361" s="39" t="n">
        <v>389.232787</v>
      </c>
      <c r="F1361" s="22" t="n">
        <v>389.232787</v>
      </c>
      <c r="G1361" s="16" t="str">
        <f aca="false">INDEX(SETORES!$B:$B,MATCH(A1361,SETORES!$A:$A,0))</f>
        <v>Clientes</v>
      </c>
      <c r="H1361" s="16" t="s">
        <v>21</v>
      </c>
    </row>
    <row r="1362" customFormat="false" ht="14.25" hidden="false" customHeight="true" outlineLevel="0" collapsed="false">
      <c r="A1362" s="40" t="s">
        <v>51</v>
      </c>
      <c r="B1362" s="40" t="s">
        <v>148</v>
      </c>
      <c r="C1362" s="40" t="s">
        <v>151</v>
      </c>
      <c r="D1362" s="41" t="n">
        <v>1</v>
      </c>
      <c r="E1362" s="42" t="n">
        <v>107.549</v>
      </c>
      <c r="F1362" s="43" t="n">
        <v>107.549</v>
      </c>
      <c r="G1362" s="40" t="str">
        <f aca="false">INDEX(SETORES!$B:$B,MATCH(A1362,SETORES!$A:$A,0))</f>
        <v>Clientes</v>
      </c>
      <c r="H1362" s="40" t="s">
        <v>21</v>
      </c>
    </row>
    <row r="1363" customFormat="false" ht="14.25" hidden="false" customHeight="true" outlineLevel="0" collapsed="false">
      <c r="A1363" s="16" t="s">
        <v>51</v>
      </c>
      <c r="B1363" s="16" t="s">
        <v>148</v>
      </c>
      <c r="C1363" s="16" t="s">
        <v>152</v>
      </c>
      <c r="D1363" s="38" t="n">
        <v>1</v>
      </c>
      <c r="E1363" s="39" t="n">
        <v>0.3152</v>
      </c>
      <c r="F1363" s="22" t="n">
        <v>0.3152</v>
      </c>
      <c r="G1363" s="16" t="str">
        <f aca="false">INDEX(SETORES!$B:$B,MATCH(A1363,SETORES!$A:$A,0))</f>
        <v>Clientes</v>
      </c>
      <c r="H1363" s="16" t="s">
        <v>21</v>
      </c>
    </row>
    <row r="1364" customFormat="false" ht="14.25" hidden="false" customHeight="true" outlineLevel="0" collapsed="false">
      <c r="A1364" s="40" t="s">
        <v>51</v>
      </c>
      <c r="B1364" s="40" t="s">
        <v>148</v>
      </c>
      <c r="C1364" s="40" t="s">
        <v>153</v>
      </c>
      <c r="D1364" s="41"/>
      <c r="E1364" s="42"/>
      <c r="F1364" s="43" t="n">
        <f aca="false">IFERROR(D1364*E1364,0)</f>
        <v>0</v>
      </c>
      <c r="G1364" s="40" t="str">
        <f aca="false">INDEX(SETORES!$B:$B,MATCH(A1364,SETORES!$A:$A,0))</f>
        <v>Clientes</v>
      </c>
      <c r="H1364" s="40" t="s">
        <v>21</v>
      </c>
    </row>
    <row r="1365" customFormat="false" ht="14.25" hidden="false" customHeight="true" outlineLevel="0" collapsed="false">
      <c r="A1365" s="16" t="s">
        <v>51</v>
      </c>
      <c r="B1365" s="16" t="s">
        <v>148</v>
      </c>
      <c r="C1365" s="16" t="s">
        <v>154</v>
      </c>
      <c r="D1365" s="38" t="n">
        <v>1</v>
      </c>
      <c r="E1365" s="39" t="n">
        <v>130589.439786667</v>
      </c>
      <c r="F1365" s="22" t="n">
        <v>130589.439786667</v>
      </c>
      <c r="G1365" s="16" t="str">
        <f aca="false">INDEX(SETORES!$B:$B,MATCH(A1365,SETORES!$A:$A,0))</f>
        <v>Clientes</v>
      </c>
      <c r="H1365" s="16" t="s">
        <v>21</v>
      </c>
    </row>
    <row r="1366" customFormat="false" ht="14.25" hidden="false" customHeight="true" outlineLevel="0" collapsed="false">
      <c r="A1366" s="40" t="s">
        <v>51</v>
      </c>
      <c r="B1366" s="40" t="s">
        <v>148</v>
      </c>
      <c r="C1366" s="40" t="s">
        <v>159</v>
      </c>
      <c r="D1366" s="41" t="n">
        <v>14</v>
      </c>
      <c r="E1366" s="42" t="n">
        <v>50</v>
      </c>
      <c r="F1366" s="43" t="n">
        <f aca="false">IFERROR(D1366*E1366,0)</f>
        <v>700</v>
      </c>
      <c r="G1366" s="40" t="str">
        <f aca="false">INDEX(SETORES!$B:$B,MATCH(A1366,SETORES!$A:$A,0))</f>
        <v>Clientes</v>
      </c>
      <c r="H1366" s="40" t="s">
        <v>21</v>
      </c>
    </row>
    <row r="1367" customFormat="false" ht="14.25" hidden="false" customHeight="true" outlineLevel="0" collapsed="false">
      <c r="A1367" s="16" t="s">
        <v>51</v>
      </c>
      <c r="B1367" s="16" t="s">
        <v>148</v>
      </c>
      <c r="C1367" s="16" t="s">
        <v>160</v>
      </c>
      <c r="D1367" s="38" t="n">
        <v>13</v>
      </c>
      <c r="E1367" s="39" t="n">
        <v>9.92</v>
      </c>
      <c r="F1367" s="22" t="n">
        <v>128.96</v>
      </c>
      <c r="G1367" s="16" t="str">
        <f aca="false">INDEX(SETORES!$B:$B,MATCH(A1367,SETORES!$A:$A,0))</f>
        <v>Clientes</v>
      </c>
      <c r="H1367" s="16" t="s">
        <v>21</v>
      </c>
    </row>
    <row r="1368" customFormat="false" ht="14.25" hidden="false" customHeight="true" outlineLevel="0" collapsed="false">
      <c r="A1368" s="40" t="s">
        <v>51</v>
      </c>
      <c r="B1368" s="40" t="s">
        <v>148</v>
      </c>
      <c r="C1368" s="40" t="s">
        <v>161</v>
      </c>
      <c r="D1368" s="41" t="n">
        <v>13</v>
      </c>
      <c r="E1368" s="42" t="n">
        <v>2.05</v>
      </c>
      <c r="F1368" s="43" t="n">
        <v>26.65</v>
      </c>
      <c r="G1368" s="40" t="str">
        <f aca="false">INDEX(SETORES!$B:$B,MATCH(A1368,SETORES!$A:$A,0))</f>
        <v>Clientes</v>
      </c>
      <c r="H1368" s="40" t="s">
        <v>21</v>
      </c>
    </row>
    <row r="1369" customFormat="false" ht="14.25" hidden="false" customHeight="true" outlineLevel="0" collapsed="false">
      <c r="A1369" s="16" t="s">
        <v>55</v>
      </c>
      <c r="B1369" s="16" t="s">
        <v>148</v>
      </c>
      <c r="C1369" s="16" t="s">
        <v>229</v>
      </c>
      <c r="D1369" s="38" t="n">
        <v>1</v>
      </c>
      <c r="E1369" s="39" t="n">
        <v>21454</v>
      </c>
      <c r="F1369" s="22" t="n">
        <f aca="false">IFERROR(D1369*E1369,0)</f>
        <v>21454</v>
      </c>
      <c r="G1369" s="16" t="str">
        <f aca="false">INDEX(SETORES!$B:$B,MATCH(A1369,SETORES!$A:$A,0))</f>
        <v>Funcionários</v>
      </c>
      <c r="H1369" s="16" t="s">
        <v>21</v>
      </c>
    </row>
    <row r="1370" customFormat="false" ht="14.25" hidden="false" customHeight="true" outlineLevel="0" collapsed="false">
      <c r="A1370" s="40" t="s">
        <v>34</v>
      </c>
      <c r="B1370" s="40" t="s">
        <v>148</v>
      </c>
      <c r="C1370" s="40" t="s">
        <v>163</v>
      </c>
      <c r="D1370" s="41" t="n">
        <v>6</v>
      </c>
      <c r="E1370" s="42" t="n">
        <v>29.74</v>
      </c>
      <c r="F1370" s="43" t="n">
        <f aca="false">IFERROR(D1370*E1370,0)</f>
        <v>178.44</v>
      </c>
      <c r="G1370" s="40" t="str">
        <f aca="false">INDEX(SETORES!$B:$B,MATCH(A1370,SETORES!$A:$A,0))</f>
        <v>Clientes</v>
      </c>
      <c r="H1370" s="40" t="s">
        <v>21</v>
      </c>
    </row>
    <row r="1371" customFormat="false" ht="14.25" hidden="false" customHeight="true" outlineLevel="0" collapsed="false">
      <c r="A1371" s="16" t="s">
        <v>34</v>
      </c>
      <c r="B1371" s="16" t="s">
        <v>148</v>
      </c>
      <c r="C1371" s="16" t="s">
        <v>164</v>
      </c>
      <c r="D1371" s="38" t="n">
        <v>6</v>
      </c>
      <c r="E1371" s="39" t="n">
        <v>43.54</v>
      </c>
      <c r="F1371" s="22" t="n">
        <f aca="false">IFERROR(D1371*E1371,0)</f>
        <v>261.24</v>
      </c>
      <c r="G1371" s="16" t="str">
        <f aca="false">INDEX(SETORES!$B:$B,MATCH(A1371,SETORES!$A:$A,0))</f>
        <v>Clientes</v>
      </c>
      <c r="H1371" s="16" t="s">
        <v>21</v>
      </c>
    </row>
    <row r="1372" customFormat="false" ht="14.25" hidden="false" customHeight="true" outlineLevel="0" collapsed="false">
      <c r="A1372" s="40" t="s">
        <v>34</v>
      </c>
      <c r="B1372" s="40" t="s">
        <v>148</v>
      </c>
      <c r="C1372" s="40" t="s">
        <v>162</v>
      </c>
      <c r="D1372" s="41" t="n">
        <v>6</v>
      </c>
      <c r="E1372" s="42" t="n">
        <v>47.66</v>
      </c>
      <c r="F1372" s="43" t="n">
        <f aca="false">IFERROR(D1372*E1372,0)</f>
        <v>285.96</v>
      </c>
      <c r="G1372" s="40" t="str">
        <f aca="false">INDEX(SETORES!$B:$B,MATCH(A1372,SETORES!$A:$A,0))</f>
        <v>Clientes</v>
      </c>
      <c r="H1372" s="40" t="s">
        <v>21</v>
      </c>
    </row>
    <row r="1373" customFormat="false" ht="14.25" hidden="false" customHeight="true" outlineLevel="0" collapsed="false">
      <c r="A1373" s="16" t="s">
        <v>35</v>
      </c>
      <c r="B1373" s="16" t="s">
        <v>148</v>
      </c>
      <c r="C1373" s="16" t="s">
        <v>163</v>
      </c>
      <c r="D1373" s="38" t="n">
        <v>3</v>
      </c>
      <c r="E1373" s="39" t="n">
        <v>29.74</v>
      </c>
      <c r="F1373" s="22" t="n">
        <f aca="false">IFERROR(D1373*E1373,0)</f>
        <v>89.22</v>
      </c>
      <c r="G1373" s="16" t="str">
        <f aca="false">INDEX(SETORES!$B:$B,MATCH(A1373,SETORES!$A:$A,0))</f>
        <v>Clientes</v>
      </c>
      <c r="H1373" s="16" t="s">
        <v>21</v>
      </c>
    </row>
    <row r="1374" customFormat="false" ht="14.25" hidden="false" customHeight="true" outlineLevel="0" collapsed="false">
      <c r="A1374" s="40" t="s">
        <v>35</v>
      </c>
      <c r="B1374" s="40" t="s">
        <v>148</v>
      </c>
      <c r="C1374" s="40" t="s">
        <v>164</v>
      </c>
      <c r="D1374" s="41" t="n">
        <v>3</v>
      </c>
      <c r="E1374" s="42" t="n">
        <v>43.54</v>
      </c>
      <c r="F1374" s="43" t="n">
        <f aca="false">IFERROR(D1374*E1374,0)</f>
        <v>130.62</v>
      </c>
      <c r="G1374" s="40" t="str">
        <f aca="false">INDEX(SETORES!$B:$B,MATCH(A1374,SETORES!$A:$A,0))</f>
        <v>Clientes</v>
      </c>
      <c r="H1374" s="40" t="s">
        <v>21</v>
      </c>
    </row>
    <row r="1375" customFormat="false" ht="14.25" hidden="false" customHeight="true" outlineLevel="0" collapsed="false">
      <c r="A1375" s="16" t="s">
        <v>35</v>
      </c>
      <c r="B1375" s="16" t="s">
        <v>148</v>
      </c>
      <c r="C1375" s="16" t="s">
        <v>162</v>
      </c>
      <c r="D1375" s="38" t="n">
        <v>3</v>
      </c>
      <c r="E1375" s="39" t="n">
        <v>47.66</v>
      </c>
      <c r="F1375" s="22" t="n">
        <f aca="false">IFERROR(D1375*E1375,0)</f>
        <v>142.98</v>
      </c>
      <c r="G1375" s="16" t="str">
        <f aca="false">INDEX(SETORES!$B:$B,MATCH(A1375,SETORES!$A:$A,0))</f>
        <v>Clientes</v>
      </c>
      <c r="H1375" s="16" t="s">
        <v>21</v>
      </c>
    </row>
    <row r="1376" customFormat="false" ht="14.25" hidden="false" customHeight="true" outlineLevel="0" collapsed="false">
      <c r="A1376" s="40" t="s">
        <v>38</v>
      </c>
      <c r="B1376" s="40" t="s">
        <v>148</v>
      </c>
      <c r="C1376" s="40" t="s">
        <v>163</v>
      </c>
      <c r="D1376" s="41" t="n">
        <v>13</v>
      </c>
      <c r="E1376" s="42" t="n">
        <v>29.74</v>
      </c>
      <c r="F1376" s="43" t="n">
        <f aca="false">IFERROR(D1376*E1376,0)</f>
        <v>386.62</v>
      </c>
      <c r="G1376" s="40" t="str">
        <f aca="false">INDEX(SETORES!$B:$B,MATCH(A1376,SETORES!$A:$A,0))</f>
        <v>Clientes</v>
      </c>
      <c r="H1376" s="40" t="s">
        <v>21</v>
      </c>
    </row>
    <row r="1377" customFormat="false" ht="14.25" hidden="false" customHeight="true" outlineLevel="0" collapsed="false">
      <c r="A1377" s="16" t="s">
        <v>38</v>
      </c>
      <c r="B1377" s="16" t="s">
        <v>148</v>
      </c>
      <c r="C1377" s="16" t="s">
        <v>164</v>
      </c>
      <c r="D1377" s="38" t="n">
        <v>13</v>
      </c>
      <c r="E1377" s="39" t="n">
        <v>43.54</v>
      </c>
      <c r="F1377" s="22" t="n">
        <f aca="false">IFERROR(D1377*E1377,0)</f>
        <v>566.02</v>
      </c>
      <c r="G1377" s="16" t="str">
        <f aca="false">INDEX(SETORES!$B:$B,MATCH(A1377,SETORES!$A:$A,0))</f>
        <v>Clientes</v>
      </c>
      <c r="H1377" s="16" t="s">
        <v>21</v>
      </c>
    </row>
    <row r="1378" customFormat="false" ht="14.25" hidden="false" customHeight="true" outlineLevel="0" collapsed="false">
      <c r="A1378" s="40" t="s">
        <v>38</v>
      </c>
      <c r="B1378" s="40" t="s">
        <v>148</v>
      </c>
      <c r="C1378" s="40" t="s">
        <v>162</v>
      </c>
      <c r="D1378" s="41" t="n">
        <v>13</v>
      </c>
      <c r="E1378" s="42" t="n">
        <v>47.66</v>
      </c>
      <c r="F1378" s="43" t="n">
        <f aca="false">IFERROR(D1378*E1378,0)</f>
        <v>619.58</v>
      </c>
      <c r="G1378" s="40" t="str">
        <f aca="false">INDEX(SETORES!$B:$B,MATCH(A1378,SETORES!$A:$A,0))</f>
        <v>Clientes</v>
      </c>
      <c r="H1378" s="40" t="s">
        <v>21</v>
      </c>
    </row>
    <row r="1379" customFormat="false" ht="14.25" hidden="false" customHeight="true" outlineLevel="0" collapsed="false">
      <c r="A1379" s="16" t="s">
        <v>43</v>
      </c>
      <c r="B1379" s="16" t="s">
        <v>148</v>
      </c>
      <c r="C1379" s="16" t="s">
        <v>163</v>
      </c>
      <c r="D1379" s="38" t="n">
        <v>5</v>
      </c>
      <c r="E1379" s="39" t="n">
        <v>29.74</v>
      </c>
      <c r="F1379" s="22" t="n">
        <f aca="false">IFERROR(D1379*E1379,0)</f>
        <v>148.7</v>
      </c>
      <c r="G1379" s="16" t="str">
        <f aca="false">INDEX(SETORES!$B:$B,MATCH(A1379,SETORES!$A:$A,0))</f>
        <v>Clientes</v>
      </c>
      <c r="H1379" s="16" t="s">
        <v>21</v>
      </c>
    </row>
    <row r="1380" customFormat="false" ht="14.25" hidden="false" customHeight="true" outlineLevel="0" collapsed="false">
      <c r="A1380" s="40" t="s">
        <v>43</v>
      </c>
      <c r="B1380" s="40" t="s">
        <v>148</v>
      </c>
      <c r="C1380" s="40" t="s">
        <v>164</v>
      </c>
      <c r="D1380" s="41" t="n">
        <v>5</v>
      </c>
      <c r="E1380" s="42" t="n">
        <v>43.54</v>
      </c>
      <c r="F1380" s="43" t="n">
        <f aca="false">IFERROR(D1380*E1380,0)</f>
        <v>217.7</v>
      </c>
      <c r="G1380" s="40" t="str">
        <f aca="false">INDEX(SETORES!$B:$B,MATCH(A1380,SETORES!$A:$A,0))</f>
        <v>Clientes</v>
      </c>
      <c r="H1380" s="40" t="s">
        <v>21</v>
      </c>
    </row>
    <row r="1381" customFormat="false" ht="14.25" hidden="false" customHeight="true" outlineLevel="0" collapsed="false">
      <c r="A1381" s="16" t="s">
        <v>43</v>
      </c>
      <c r="B1381" s="16" t="s">
        <v>148</v>
      </c>
      <c r="C1381" s="16" t="s">
        <v>162</v>
      </c>
      <c r="D1381" s="38" t="n">
        <v>5</v>
      </c>
      <c r="E1381" s="39" t="n">
        <v>47.66</v>
      </c>
      <c r="F1381" s="22" t="n">
        <f aca="false">IFERROR(D1381*E1381,0)</f>
        <v>238.3</v>
      </c>
      <c r="G1381" s="16" t="str">
        <f aca="false">INDEX(SETORES!$B:$B,MATCH(A1381,SETORES!$A:$A,0))</f>
        <v>Clientes</v>
      </c>
      <c r="H1381" s="16" t="s">
        <v>21</v>
      </c>
    </row>
    <row r="1382" customFormat="false" ht="14.25" hidden="false" customHeight="true" outlineLevel="0" collapsed="false">
      <c r="A1382" s="40" t="s">
        <v>40</v>
      </c>
      <c r="B1382" s="40" t="s">
        <v>148</v>
      </c>
      <c r="C1382" s="40" t="s">
        <v>163</v>
      </c>
      <c r="D1382" s="41" t="n">
        <v>5</v>
      </c>
      <c r="E1382" s="42" t="n">
        <v>29.74</v>
      </c>
      <c r="F1382" s="43" t="n">
        <f aca="false">IFERROR(D1382*E1382,0)</f>
        <v>148.7</v>
      </c>
      <c r="G1382" s="40" t="str">
        <f aca="false">INDEX(SETORES!$B:$B,MATCH(A1382,SETORES!$A:$A,0))</f>
        <v>Clientes</v>
      </c>
      <c r="H1382" s="40" t="s">
        <v>21</v>
      </c>
    </row>
    <row r="1383" customFormat="false" ht="14.25" hidden="false" customHeight="true" outlineLevel="0" collapsed="false">
      <c r="A1383" s="16" t="s">
        <v>40</v>
      </c>
      <c r="B1383" s="16" t="s">
        <v>148</v>
      </c>
      <c r="C1383" s="16" t="s">
        <v>164</v>
      </c>
      <c r="D1383" s="38" t="n">
        <v>5</v>
      </c>
      <c r="E1383" s="39" t="n">
        <v>43.54</v>
      </c>
      <c r="F1383" s="22" t="n">
        <f aca="false">IFERROR(D1383*E1383,0)</f>
        <v>217.7</v>
      </c>
      <c r="G1383" s="16" t="str">
        <f aca="false">INDEX(SETORES!$B:$B,MATCH(A1383,SETORES!$A:$A,0))</f>
        <v>Clientes</v>
      </c>
      <c r="H1383" s="16" t="s">
        <v>21</v>
      </c>
    </row>
    <row r="1384" customFormat="false" ht="14.25" hidden="false" customHeight="true" outlineLevel="0" collapsed="false">
      <c r="A1384" s="40" t="s">
        <v>40</v>
      </c>
      <c r="B1384" s="40" t="s">
        <v>148</v>
      </c>
      <c r="C1384" s="40" t="s">
        <v>162</v>
      </c>
      <c r="D1384" s="41" t="n">
        <v>5</v>
      </c>
      <c r="E1384" s="42" t="n">
        <v>47.66</v>
      </c>
      <c r="F1384" s="43" t="n">
        <f aca="false">IFERROR(D1384*E1384,0)</f>
        <v>238.3</v>
      </c>
      <c r="G1384" s="40" t="str">
        <f aca="false">INDEX(SETORES!$B:$B,MATCH(A1384,SETORES!$A:$A,0))</f>
        <v>Clientes</v>
      </c>
      <c r="H1384" s="40" t="s">
        <v>21</v>
      </c>
    </row>
    <row r="1385" customFormat="false" ht="14.25" hidden="false" customHeight="true" outlineLevel="0" collapsed="false">
      <c r="A1385" s="16" t="s">
        <v>41</v>
      </c>
      <c r="B1385" s="16" t="s">
        <v>148</v>
      </c>
      <c r="C1385" s="16" t="s">
        <v>163</v>
      </c>
      <c r="D1385" s="38" t="n">
        <v>1</v>
      </c>
      <c r="E1385" s="39" t="n">
        <v>29.74</v>
      </c>
      <c r="F1385" s="22" t="n">
        <f aca="false">IFERROR(D1385*E1385,0)</f>
        <v>29.74</v>
      </c>
      <c r="G1385" s="16" t="str">
        <f aca="false">INDEX(SETORES!$B:$B,MATCH(A1385,SETORES!$A:$A,0))</f>
        <v>Clientes</v>
      </c>
      <c r="H1385" s="16" t="s">
        <v>21</v>
      </c>
    </row>
    <row r="1386" customFormat="false" ht="14.25" hidden="false" customHeight="true" outlineLevel="0" collapsed="false">
      <c r="A1386" s="40" t="s">
        <v>41</v>
      </c>
      <c r="B1386" s="40" t="s">
        <v>148</v>
      </c>
      <c r="C1386" s="40" t="s">
        <v>164</v>
      </c>
      <c r="D1386" s="41" t="n">
        <v>1</v>
      </c>
      <c r="E1386" s="42" t="n">
        <v>43.54</v>
      </c>
      <c r="F1386" s="43" t="n">
        <f aca="false">IFERROR(D1386*E1386,0)</f>
        <v>43.54</v>
      </c>
      <c r="G1386" s="40" t="str">
        <f aca="false">INDEX(SETORES!$B:$B,MATCH(A1386,SETORES!$A:$A,0))</f>
        <v>Clientes</v>
      </c>
      <c r="H1386" s="40" t="s">
        <v>21</v>
      </c>
    </row>
    <row r="1387" customFormat="false" ht="14.25" hidden="false" customHeight="true" outlineLevel="0" collapsed="false">
      <c r="A1387" s="16" t="s">
        <v>41</v>
      </c>
      <c r="B1387" s="16" t="s">
        <v>148</v>
      </c>
      <c r="C1387" s="16" t="s">
        <v>162</v>
      </c>
      <c r="D1387" s="38" t="n">
        <v>1</v>
      </c>
      <c r="E1387" s="39" t="n">
        <v>47.66</v>
      </c>
      <c r="F1387" s="22" t="n">
        <f aca="false">IFERROR(D1387*E1387,0)</f>
        <v>47.66</v>
      </c>
      <c r="G1387" s="16" t="str">
        <f aca="false">INDEX(SETORES!$B:$B,MATCH(A1387,SETORES!$A:$A,0))</f>
        <v>Clientes</v>
      </c>
      <c r="H1387" s="16" t="s">
        <v>21</v>
      </c>
    </row>
    <row r="1388" customFormat="false" ht="14.25" hidden="false" customHeight="true" outlineLevel="0" collapsed="false">
      <c r="A1388" s="40" t="s">
        <v>33</v>
      </c>
      <c r="B1388" s="40" t="s">
        <v>148</v>
      </c>
      <c r="C1388" s="40" t="s">
        <v>163</v>
      </c>
      <c r="D1388" s="41" t="n">
        <v>7</v>
      </c>
      <c r="E1388" s="42" t="n">
        <v>29.74</v>
      </c>
      <c r="F1388" s="43" t="n">
        <f aca="false">IFERROR(D1388*E1388,0)</f>
        <v>208.18</v>
      </c>
      <c r="G1388" s="40" t="str">
        <f aca="false">INDEX(SETORES!$B:$B,MATCH(A1388,SETORES!$A:$A,0))</f>
        <v>Funcionários</v>
      </c>
      <c r="H1388" s="40" t="s">
        <v>21</v>
      </c>
    </row>
    <row r="1389" customFormat="false" ht="14.25" hidden="false" customHeight="true" outlineLevel="0" collapsed="false">
      <c r="A1389" s="16" t="s">
        <v>33</v>
      </c>
      <c r="B1389" s="16" t="s">
        <v>148</v>
      </c>
      <c r="C1389" s="16" t="s">
        <v>164</v>
      </c>
      <c r="D1389" s="38" t="n">
        <v>7</v>
      </c>
      <c r="E1389" s="39" t="n">
        <v>43.54</v>
      </c>
      <c r="F1389" s="22" t="n">
        <f aca="false">IFERROR(D1389*E1389,0)</f>
        <v>304.78</v>
      </c>
      <c r="G1389" s="16" t="str">
        <f aca="false">INDEX(SETORES!$B:$B,MATCH(A1389,SETORES!$A:$A,0))</f>
        <v>Funcionários</v>
      </c>
      <c r="H1389" s="16" t="s">
        <v>21</v>
      </c>
    </row>
    <row r="1390" customFormat="false" ht="14.25" hidden="false" customHeight="true" outlineLevel="0" collapsed="false">
      <c r="A1390" s="40" t="s">
        <v>33</v>
      </c>
      <c r="B1390" s="40" t="s">
        <v>148</v>
      </c>
      <c r="C1390" s="40" t="s">
        <v>162</v>
      </c>
      <c r="D1390" s="41" t="n">
        <v>7</v>
      </c>
      <c r="E1390" s="42" t="n">
        <v>47.66</v>
      </c>
      <c r="F1390" s="43" t="n">
        <f aca="false">IFERROR(D1390*E1390,0)</f>
        <v>333.62</v>
      </c>
      <c r="G1390" s="40" t="str">
        <f aca="false">INDEX(SETORES!$B:$B,MATCH(A1390,SETORES!$A:$A,0))</f>
        <v>Funcionários</v>
      </c>
      <c r="H1390" s="40" t="s">
        <v>21</v>
      </c>
    </row>
    <row r="1391" customFormat="false" ht="14.25" hidden="false" customHeight="true" outlineLevel="0" collapsed="false">
      <c r="A1391" s="16" t="s">
        <v>42</v>
      </c>
      <c r="B1391" s="16" t="s">
        <v>148</v>
      </c>
      <c r="C1391" s="16" t="s">
        <v>163</v>
      </c>
      <c r="D1391" s="38" t="n">
        <v>2</v>
      </c>
      <c r="E1391" s="39" t="n">
        <v>29.74</v>
      </c>
      <c r="F1391" s="22" t="n">
        <f aca="false">IFERROR(D1391*E1391,0)</f>
        <v>59.48</v>
      </c>
      <c r="G1391" s="16" t="str">
        <f aca="false">INDEX(SETORES!$B:$B,MATCH(A1391,SETORES!$A:$A,0))</f>
        <v>Clientes</v>
      </c>
      <c r="H1391" s="16" t="s">
        <v>21</v>
      </c>
    </row>
    <row r="1392" customFormat="false" ht="14.25" hidden="false" customHeight="true" outlineLevel="0" collapsed="false">
      <c r="A1392" s="40" t="s">
        <v>42</v>
      </c>
      <c r="B1392" s="40" t="s">
        <v>148</v>
      </c>
      <c r="C1392" s="40" t="s">
        <v>164</v>
      </c>
      <c r="D1392" s="41" t="n">
        <v>2</v>
      </c>
      <c r="E1392" s="42" t="n">
        <v>43.54</v>
      </c>
      <c r="F1392" s="43" t="n">
        <f aca="false">IFERROR(D1392*E1392,0)</f>
        <v>87.08</v>
      </c>
      <c r="G1392" s="40" t="str">
        <f aca="false">INDEX(SETORES!$B:$B,MATCH(A1392,SETORES!$A:$A,0))</f>
        <v>Clientes</v>
      </c>
      <c r="H1392" s="40" t="s">
        <v>21</v>
      </c>
    </row>
    <row r="1393" customFormat="false" ht="14.25" hidden="false" customHeight="true" outlineLevel="0" collapsed="false">
      <c r="A1393" s="16" t="s">
        <v>42</v>
      </c>
      <c r="B1393" s="16" t="s">
        <v>148</v>
      </c>
      <c r="C1393" s="16" t="s">
        <v>162</v>
      </c>
      <c r="D1393" s="38" t="n">
        <v>2</v>
      </c>
      <c r="E1393" s="39" t="n">
        <v>47.66</v>
      </c>
      <c r="F1393" s="22" t="n">
        <f aca="false">IFERROR(D1393*E1393,0)</f>
        <v>95.32</v>
      </c>
      <c r="G1393" s="16" t="str">
        <f aca="false">INDEX(SETORES!$B:$B,MATCH(A1393,SETORES!$A:$A,0))</f>
        <v>Clientes</v>
      </c>
      <c r="H1393" s="16" t="s">
        <v>21</v>
      </c>
    </row>
    <row r="1394" customFormat="false" ht="14.25" hidden="false" customHeight="true" outlineLevel="0" collapsed="false">
      <c r="A1394" s="40" t="s">
        <v>45</v>
      </c>
      <c r="B1394" s="40" t="s">
        <v>148</v>
      </c>
      <c r="C1394" s="40" t="s">
        <v>163</v>
      </c>
      <c r="D1394" s="41" t="n">
        <v>10</v>
      </c>
      <c r="E1394" s="42" t="n">
        <v>29.74</v>
      </c>
      <c r="F1394" s="43" t="n">
        <f aca="false">IFERROR(D1394*E1394,0)</f>
        <v>297.4</v>
      </c>
      <c r="G1394" s="40" t="str">
        <f aca="false">INDEX(SETORES!$B:$B,MATCH(A1394,SETORES!$A:$A,0))</f>
        <v>Clientes</v>
      </c>
      <c r="H1394" s="40" t="s">
        <v>21</v>
      </c>
    </row>
    <row r="1395" customFormat="false" ht="14.25" hidden="false" customHeight="true" outlineLevel="0" collapsed="false">
      <c r="A1395" s="16" t="s">
        <v>45</v>
      </c>
      <c r="B1395" s="16" t="s">
        <v>148</v>
      </c>
      <c r="C1395" s="16" t="s">
        <v>164</v>
      </c>
      <c r="D1395" s="38" t="n">
        <v>10</v>
      </c>
      <c r="E1395" s="39" t="n">
        <v>43.54</v>
      </c>
      <c r="F1395" s="22" t="n">
        <f aca="false">IFERROR(D1395*E1395,0)</f>
        <v>435.4</v>
      </c>
      <c r="G1395" s="16" t="str">
        <f aca="false">INDEX(SETORES!$B:$B,MATCH(A1395,SETORES!$A:$A,0))</f>
        <v>Clientes</v>
      </c>
      <c r="H1395" s="16" t="s">
        <v>21</v>
      </c>
    </row>
    <row r="1396" customFormat="false" ht="14.25" hidden="false" customHeight="true" outlineLevel="0" collapsed="false">
      <c r="A1396" s="40" t="s">
        <v>45</v>
      </c>
      <c r="B1396" s="40" t="s">
        <v>148</v>
      </c>
      <c r="C1396" s="40" t="s">
        <v>162</v>
      </c>
      <c r="D1396" s="41" t="n">
        <v>10</v>
      </c>
      <c r="E1396" s="42" t="n">
        <v>47.66</v>
      </c>
      <c r="F1396" s="43" t="n">
        <f aca="false">IFERROR(D1396*E1396,0)</f>
        <v>476.6</v>
      </c>
      <c r="G1396" s="40" t="str">
        <f aca="false">INDEX(SETORES!$B:$B,MATCH(A1396,SETORES!$A:$A,0))</f>
        <v>Clientes</v>
      </c>
      <c r="H1396" s="40" t="s">
        <v>21</v>
      </c>
    </row>
    <row r="1397" customFormat="false" ht="14.25" hidden="false" customHeight="true" outlineLevel="0" collapsed="false">
      <c r="A1397" s="16" t="s">
        <v>50</v>
      </c>
      <c r="B1397" s="16" t="s">
        <v>148</v>
      </c>
      <c r="C1397" s="16" t="s">
        <v>163</v>
      </c>
      <c r="D1397" s="38" t="n">
        <v>16</v>
      </c>
      <c r="E1397" s="39" t="n">
        <v>29.74</v>
      </c>
      <c r="F1397" s="22" t="n">
        <f aca="false">IFERROR(D1397*E1397,0)</f>
        <v>475.84</v>
      </c>
      <c r="G1397" s="16" t="str">
        <f aca="false">INDEX(SETORES!$B:$B,MATCH(A1397,SETORES!$A:$A,0))</f>
        <v>Clientes</v>
      </c>
      <c r="H1397" s="16" t="s">
        <v>21</v>
      </c>
    </row>
    <row r="1398" customFormat="false" ht="14.25" hidden="false" customHeight="true" outlineLevel="0" collapsed="false">
      <c r="A1398" s="40" t="s">
        <v>50</v>
      </c>
      <c r="B1398" s="40" t="s">
        <v>148</v>
      </c>
      <c r="C1398" s="40" t="s">
        <v>164</v>
      </c>
      <c r="D1398" s="41" t="n">
        <v>16</v>
      </c>
      <c r="E1398" s="42" t="n">
        <v>43.54</v>
      </c>
      <c r="F1398" s="43" t="n">
        <f aca="false">IFERROR(D1398*E1398,0)</f>
        <v>696.64</v>
      </c>
      <c r="G1398" s="40" t="str">
        <f aca="false">INDEX(SETORES!$B:$B,MATCH(A1398,SETORES!$A:$A,0))</f>
        <v>Clientes</v>
      </c>
      <c r="H1398" s="40" t="s">
        <v>21</v>
      </c>
    </row>
    <row r="1399" customFormat="false" ht="14.25" hidden="false" customHeight="true" outlineLevel="0" collapsed="false">
      <c r="A1399" s="16" t="s">
        <v>50</v>
      </c>
      <c r="B1399" s="16" t="s">
        <v>148</v>
      </c>
      <c r="C1399" s="16" t="s">
        <v>162</v>
      </c>
      <c r="D1399" s="38" t="n">
        <v>16</v>
      </c>
      <c r="E1399" s="39" t="n">
        <v>47.66</v>
      </c>
      <c r="F1399" s="22" t="n">
        <f aca="false">IFERROR(D1399*E1399,0)</f>
        <v>762.56</v>
      </c>
      <c r="G1399" s="16" t="str">
        <f aca="false">INDEX(SETORES!$B:$B,MATCH(A1399,SETORES!$A:$A,0))</f>
        <v>Clientes</v>
      </c>
      <c r="H1399" s="16" t="s">
        <v>21</v>
      </c>
    </row>
    <row r="1400" customFormat="false" ht="14.25" hidden="false" customHeight="true" outlineLevel="0" collapsed="false">
      <c r="A1400" s="40" t="s">
        <v>36</v>
      </c>
      <c r="B1400" s="40" t="s">
        <v>148</v>
      </c>
      <c r="C1400" s="40" t="s">
        <v>163</v>
      </c>
      <c r="D1400" s="41" t="n">
        <v>9</v>
      </c>
      <c r="E1400" s="42" t="n">
        <v>29.74</v>
      </c>
      <c r="F1400" s="43" t="n">
        <f aca="false">IFERROR(D1400*E1400,0)</f>
        <v>267.66</v>
      </c>
      <c r="G1400" s="40" t="str">
        <f aca="false">INDEX(SETORES!$B:$B,MATCH(A1400,SETORES!$A:$A,0))</f>
        <v>Clientes</v>
      </c>
      <c r="H1400" s="40" t="s">
        <v>21</v>
      </c>
    </row>
    <row r="1401" customFormat="false" ht="14.25" hidden="false" customHeight="true" outlineLevel="0" collapsed="false">
      <c r="A1401" s="16" t="s">
        <v>36</v>
      </c>
      <c r="B1401" s="16" t="s">
        <v>148</v>
      </c>
      <c r="C1401" s="16" t="s">
        <v>164</v>
      </c>
      <c r="D1401" s="38" t="n">
        <v>9</v>
      </c>
      <c r="E1401" s="39" t="n">
        <v>43.54</v>
      </c>
      <c r="F1401" s="22" t="n">
        <f aca="false">IFERROR(D1401*E1401,0)</f>
        <v>391.86</v>
      </c>
      <c r="G1401" s="16" t="str">
        <f aca="false">INDEX(SETORES!$B:$B,MATCH(A1401,SETORES!$A:$A,0))</f>
        <v>Clientes</v>
      </c>
      <c r="H1401" s="16" t="s">
        <v>21</v>
      </c>
    </row>
    <row r="1402" customFormat="false" ht="14.25" hidden="false" customHeight="true" outlineLevel="0" collapsed="false">
      <c r="A1402" s="40" t="s">
        <v>36</v>
      </c>
      <c r="B1402" s="40" t="s">
        <v>148</v>
      </c>
      <c r="C1402" s="40" t="s">
        <v>162</v>
      </c>
      <c r="D1402" s="41" t="n">
        <v>9</v>
      </c>
      <c r="E1402" s="42" t="n">
        <v>47.66</v>
      </c>
      <c r="F1402" s="43" t="n">
        <f aca="false">IFERROR(D1402*E1402,0)</f>
        <v>428.94</v>
      </c>
      <c r="G1402" s="40" t="str">
        <f aca="false">INDEX(SETORES!$B:$B,MATCH(A1402,SETORES!$A:$A,0))</f>
        <v>Clientes</v>
      </c>
      <c r="H1402" s="40" t="s">
        <v>21</v>
      </c>
    </row>
    <row r="1403" customFormat="false" ht="14.25" hidden="false" customHeight="true" outlineLevel="0" collapsed="false">
      <c r="A1403" s="16" t="s">
        <v>48</v>
      </c>
      <c r="B1403" s="16" t="s">
        <v>148</v>
      </c>
      <c r="C1403" s="16" t="s">
        <v>163</v>
      </c>
      <c r="D1403" s="38" t="n">
        <v>14</v>
      </c>
      <c r="E1403" s="39" t="n">
        <v>29.74</v>
      </c>
      <c r="F1403" s="22" t="n">
        <v>416.36</v>
      </c>
      <c r="G1403" s="16" t="str">
        <f aca="false">INDEX(SETORES!$B:$B,MATCH(A1403,SETORES!$A:$A,0))</f>
        <v>Clientes</v>
      </c>
      <c r="H1403" s="16" t="s">
        <v>21</v>
      </c>
    </row>
    <row r="1404" customFormat="false" ht="14.25" hidden="false" customHeight="true" outlineLevel="0" collapsed="false">
      <c r="A1404" s="40" t="s">
        <v>48</v>
      </c>
      <c r="B1404" s="40" t="s">
        <v>148</v>
      </c>
      <c r="C1404" s="40" t="s">
        <v>164</v>
      </c>
      <c r="D1404" s="41" t="n">
        <v>14</v>
      </c>
      <c r="E1404" s="42" t="n">
        <v>43.54</v>
      </c>
      <c r="F1404" s="43" t="n">
        <v>609.56</v>
      </c>
      <c r="G1404" s="40" t="str">
        <f aca="false">INDEX(SETORES!$B:$B,MATCH(A1404,SETORES!$A:$A,0))</f>
        <v>Clientes</v>
      </c>
      <c r="H1404" s="40" t="s">
        <v>21</v>
      </c>
    </row>
    <row r="1405" customFormat="false" ht="14.25" hidden="false" customHeight="true" outlineLevel="0" collapsed="false">
      <c r="A1405" s="16" t="s">
        <v>48</v>
      </c>
      <c r="B1405" s="16" t="s">
        <v>148</v>
      </c>
      <c r="C1405" s="16" t="s">
        <v>162</v>
      </c>
      <c r="D1405" s="38" t="n">
        <v>14</v>
      </c>
      <c r="E1405" s="39" t="n">
        <v>47.66</v>
      </c>
      <c r="F1405" s="22" t="n">
        <v>667.24</v>
      </c>
      <c r="G1405" s="16" t="str">
        <f aca="false">INDEX(SETORES!$B:$B,MATCH(A1405,SETORES!$A:$A,0))</f>
        <v>Clientes</v>
      </c>
      <c r="H1405" s="16" t="s">
        <v>21</v>
      </c>
    </row>
    <row r="1406" customFormat="false" ht="14.25" hidden="false" customHeight="true" outlineLevel="0" collapsed="false">
      <c r="A1406" s="40" t="s">
        <v>47</v>
      </c>
      <c r="B1406" s="40" t="s">
        <v>148</v>
      </c>
      <c r="C1406" s="40" t="s">
        <v>163</v>
      </c>
      <c r="D1406" s="41" t="n">
        <v>13</v>
      </c>
      <c r="E1406" s="42" t="n">
        <v>29.74</v>
      </c>
      <c r="F1406" s="43" t="n">
        <f aca="false">IFERROR(D1406*E1406,0)</f>
        <v>386.62</v>
      </c>
      <c r="G1406" s="40" t="str">
        <f aca="false">INDEX(SETORES!$B:$B,MATCH(A1406,SETORES!$A:$A,0))</f>
        <v>Clientes</v>
      </c>
      <c r="H1406" s="40" t="s">
        <v>21</v>
      </c>
    </row>
    <row r="1407" customFormat="false" ht="14.25" hidden="false" customHeight="true" outlineLevel="0" collapsed="false">
      <c r="A1407" s="16" t="s">
        <v>47</v>
      </c>
      <c r="B1407" s="16" t="s">
        <v>148</v>
      </c>
      <c r="C1407" s="16" t="s">
        <v>164</v>
      </c>
      <c r="D1407" s="38" t="n">
        <v>13</v>
      </c>
      <c r="E1407" s="39" t="n">
        <v>43.54</v>
      </c>
      <c r="F1407" s="22" t="n">
        <f aca="false">IFERROR(D1407*E1407,0)</f>
        <v>566.02</v>
      </c>
      <c r="G1407" s="16" t="str">
        <f aca="false">INDEX(SETORES!$B:$B,MATCH(A1407,SETORES!$A:$A,0))</f>
        <v>Clientes</v>
      </c>
      <c r="H1407" s="16" t="s">
        <v>21</v>
      </c>
    </row>
    <row r="1408" customFormat="false" ht="14.25" hidden="false" customHeight="true" outlineLevel="0" collapsed="false">
      <c r="A1408" s="40" t="s">
        <v>47</v>
      </c>
      <c r="B1408" s="40" t="s">
        <v>148</v>
      </c>
      <c r="C1408" s="40" t="s">
        <v>162</v>
      </c>
      <c r="D1408" s="41" t="n">
        <v>13</v>
      </c>
      <c r="E1408" s="42" t="n">
        <v>47.66</v>
      </c>
      <c r="F1408" s="43" t="n">
        <f aca="false">IFERROR(D1408*E1408,0)</f>
        <v>619.58</v>
      </c>
      <c r="G1408" s="40" t="str">
        <f aca="false">INDEX(SETORES!$B:$B,MATCH(A1408,SETORES!$A:$A,0))</f>
        <v>Clientes</v>
      </c>
      <c r="H1408" s="40" t="s">
        <v>21</v>
      </c>
    </row>
    <row r="1409" customFormat="false" ht="14.25" hidden="false" customHeight="true" outlineLevel="0" collapsed="false">
      <c r="A1409" s="16" t="s">
        <v>31</v>
      </c>
      <c r="B1409" s="16" t="s">
        <v>148</v>
      </c>
      <c r="C1409" s="16" t="s">
        <v>163</v>
      </c>
      <c r="D1409" s="38" t="n">
        <v>5</v>
      </c>
      <c r="E1409" s="39" t="n">
        <v>29.74</v>
      </c>
      <c r="F1409" s="22" t="n">
        <f aca="false">IFERROR(D1409*E1409,0)</f>
        <v>148.7</v>
      </c>
      <c r="G1409" s="16" t="str">
        <f aca="false">INDEX(SETORES!$B:$B,MATCH(A1409,SETORES!$A:$A,0))</f>
        <v>Clientes</v>
      </c>
      <c r="H1409" s="16" t="s">
        <v>21</v>
      </c>
    </row>
    <row r="1410" customFormat="false" ht="14.25" hidden="false" customHeight="true" outlineLevel="0" collapsed="false">
      <c r="A1410" s="40" t="s">
        <v>31</v>
      </c>
      <c r="B1410" s="40" t="s">
        <v>148</v>
      </c>
      <c r="C1410" s="40" t="s">
        <v>164</v>
      </c>
      <c r="D1410" s="41" t="n">
        <v>5</v>
      </c>
      <c r="E1410" s="42" t="n">
        <v>43.54</v>
      </c>
      <c r="F1410" s="43" t="n">
        <f aca="false">IFERROR(D1410*E1410,0)</f>
        <v>217.7</v>
      </c>
      <c r="G1410" s="40" t="str">
        <f aca="false">INDEX(SETORES!$B:$B,MATCH(A1410,SETORES!$A:$A,0))</f>
        <v>Clientes</v>
      </c>
      <c r="H1410" s="40" t="s">
        <v>21</v>
      </c>
    </row>
    <row r="1411" customFormat="false" ht="14.25" hidden="false" customHeight="true" outlineLevel="0" collapsed="false">
      <c r="A1411" s="16" t="s">
        <v>31</v>
      </c>
      <c r="B1411" s="16" t="s">
        <v>148</v>
      </c>
      <c r="C1411" s="16" t="s">
        <v>162</v>
      </c>
      <c r="D1411" s="38" t="n">
        <v>5</v>
      </c>
      <c r="E1411" s="39" t="n">
        <v>47.66</v>
      </c>
      <c r="F1411" s="22" t="n">
        <f aca="false">IFERROR(D1411*E1411,0)</f>
        <v>238.3</v>
      </c>
      <c r="G1411" s="16" t="str">
        <f aca="false">INDEX(SETORES!$B:$B,MATCH(A1411,SETORES!$A:$A,0))</f>
        <v>Clientes</v>
      </c>
      <c r="H1411" s="16" t="s">
        <v>21</v>
      </c>
    </row>
    <row r="1412" customFormat="false" ht="14.25" hidden="false" customHeight="true" outlineLevel="0" collapsed="false">
      <c r="A1412" s="40" t="s">
        <v>37</v>
      </c>
      <c r="B1412" s="40" t="s">
        <v>148</v>
      </c>
      <c r="C1412" s="40" t="s">
        <v>163</v>
      </c>
      <c r="D1412" s="41" t="n">
        <v>43</v>
      </c>
      <c r="E1412" s="42" t="n">
        <v>29.74</v>
      </c>
      <c r="F1412" s="43" t="n">
        <f aca="false">IFERROR(D1412*E1412,0)</f>
        <v>1278.82</v>
      </c>
      <c r="G1412" s="40" t="str">
        <f aca="false">INDEX(SETORES!$B:$B,MATCH(A1412,SETORES!$A:$A,0))</f>
        <v>Clientes</v>
      </c>
      <c r="H1412" s="40" t="s">
        <v>21</v>
      </c>
    </row>
    <row r="1413" customFormat="false" ht="14.25" hidden="false" customHeight="true" outlineLevel="0" collapsed="false">
      <c r="A1413" s="16" t="s">
        <v>37</v>
      </c>
      <c r="B1413" s="16" t="s">
        <v>148</v>
      </c>
      <c r="C1413" s="16" t="s">
        <v>164</v>
      </c>
      <c r="D1413" s="38" t="n">
        <v>43</v>
      </c>
      <c r="E1413" s="39" t="n">
        <v>43.54</v>
      </c>
      <c r="F1413" s="22" t="n">
        <f aca="false">IFERROR(D1413*E1413,0)</f>
        <v>1872.22</v>
      </c>
      <c r="G1413" s="16" t="str">
        <f aca="false">INDEX(SETORES!$B:$B,MATCH(A1413,SETORES!$A:$A,0))</f>
        <v>Clientes</v>
      </c>
      <c r="H1413" s="16" t="s">
        <v>21</v>
      </c>
    </row>
    <row r="1414" customFormat="false" ht="14.25" hidden="false" customHeight="true" outlineLevel="0" collapsed="false">
      <c r="A1414" s="40" t="s">
        <v>37</v>
      </c>
      <c r="B1414" s="40" t="s">
        <v>148</v>
      </c>
      <c r="C1414" s="40" t="s">
        <v>162</v>
      </c>
      <c r="D1414" s="41" t="n">
        <v>43</v>
      </c>
      <c r="E1414" s="42" t="n">
        <v>47.66</v>
      </c>
      <c r="F1414" s="43" t="n">
        <f aca="false">IFERROR(D1414*E1414,0)</f>
        <v>2049.38</v>
      </c>
      <c r="G1414" s="40" t="str">
        <f aca="false">INDEX(SETORES!$B:$B,MATCH(A1414,SETORES!$A:$A,0))</f>
        <v>Clientes</v>
      </c>
      <c r="H1414" s="40" t="s">
        <v>21</v>
      </c>
    </row>
    <row r="1415" customFormat="false" ht="14.25" hidden="false" customHeight="true" outlineLevel="0" collapsed="false">
      <c r="A1415" s="16" t="s">
        <v>46</v>
      </c>
      <c r="B1415" s="16" t="s">
        <v>148</v>
      </c>
      <c r="C1415" s="16" t="s">
        <v>163</v>
      </c>
      <c r="D1415" s="38" t="n">
        <v>23</v>
      </c>
      <c r="E1415" s="39" t="n">
        <v>29.74</v>
      </c>
      <c r="F1415" s="22" t="n">
        <f aca="false">IFERROR(D1415*E1415,0)</f>
        <v>684.02</v>
      </c>
      <c r="G1415" s="16" t="str">
        <f aca="false">INDEX(SETORES!$B:$B,MATCH(A1415,SETORES!$A:$A,0))</f>
        <v>Clientes</v>
      </c>
      <c r="H1415" s="16" t="s">
        <v>21</v>
      </c>
    </row>
    <row r="1416" customFormat="false" ht="14.25" hidden="false" customHeight="true" outlineLevel="0" collapsed="false">
      <c r="A1416" s="40" t="s">
        <v>46</v>
      </c>
      <c r="B1416" s="40" t="s">
        <v>148</v>
      </c>
      <c r="C1416" s="40" t="s">
        <v>164</v>
      </c>
      <c r="D1416" s="41" t="n">
        <v>23</v>
      </c>
      <c r="E1416" s="42" t="n">
        <v>43.54</v>
      </c>
      <c r="F1416" s="43" t="n">
        <f aca="false">IFERROR(D1416*E1416,0)</f>
        <v>1001.42</v>
      </c>
      <c r="G1416" s="40" t="str">
        <f aca="false">INDEX(SETORES!$B:$B,MATCH(A1416,SETORES!$A:$A,0))</f>
        <v>Clientes</v>
      </c>
      <c r="H1416" s="40" t="s">
        <v>21</v>
      </c>
    </row>
    <row r="1417" customFormat="false" ht="14.25" hidden="false" customHeight="true" outlineLevel="0" collapsed="false">
      <c r="A1417" s="16" t="s">
        <v>46</v>
      </c>
      <c r="B1417" s="16" t="s">
        <v>148</v>
      </c>
      <c r="C1417" s="16" t="s">
        <v>162</v>
      </c>
      <c r="D1417" s="38" t="n">
        <v>23</v>
      </c>
      <c r="E1417" s="39" t="n">
        <v>47.66</v>
      </c>
      <c r="F1417" s="22" t="n">
        <f aca="false">IFERROR(D1417*E1417,0)</f>
        <v>1096.18</v>
      </c>
      <c r="G1417" s="16" t="str">
        <f aca="false">INDEX(SETORES!$B:$B,MATCH(A1417,SETORES!$A:$A,0))</f>
        <v>Clientes</v>
      </c>
      <c r="H1417" s="16" t="s">
        <v>21</v>
      </c>
    </row>
    <row r="1418" customFormat="false" ht="14.25" hidden="false" customHeight="true" outlineLevel="0" collapsed="false">
      <c r="A1418" s="40" t="s">
        <v>49</v>
      </c>
      <c r="B1418" s="40" t="s">
        <v>148</v>
      </c>
      <c r="C1418" s="40" t="s">
        <v>163</v>
      </c>
      <c r="D1418" s="41" t="n">
        <v>4</v>
      </c>
      <c r="E1418" s="42" t="n">
        <v>29.74</v>
      </c>
      <c r="F1418" s="43" t="n">
        <f aca="false">IFERROR(D1418*E1418,0)</f>
        <v>118.96</v>
      </c>
      <c r="G1418" s="40" t="str">
        <f aca="false">INDEX(SETORES!$B:$B,MATCH(A1418,SETORES!$A:$A,0))</f>
        <v>Clientes</v>
      </c>
      <c r="H1418" s="40" t="s">
        <v>21</v>
      </c>
    </row>
    <row r="1419" customFormat="false" ht="14.25" hidden="false" customHeight="true" outlineLevel="0" collapsed="false">
      <c r="A1419" s="16" t="s">
        <v>49</v>
      </c>
      <c r="B1419" s="16" t="s">
        <v>148</v>
      </c>
      <c r="C1419" s="16" t="s">
        <v>164</v>
      </c>
      <c r="D1419" s="38" t="n">
        <v>4</v>
      </c>
      <c r="E1419" s="39" t="n">
        <v>43.54</v>
      </c>
      <c r="F1419" s="22" t="n">
        <f aca="false">IFERROR(D1419*E1419,0)</f>
        <v>174.16</v>
      </c>
      <c r="G1419" s="16" t="str">
        <f aca="false">INDEX(SETORES!$B:$B,MATCH(A1419,SETORES!$A:$A,0))</f>
        <v>Clientes</v>
      </c>
      <c r="H1419" s="16" t="s">
        <v>21</v>
      </c>
    </row>
    <row r="1420" customFormat="false" ht="14.25" hidden="false" customHeight="true" outlineLevel="0" collapsed="false">
      <c r="A1420" s="40" t="s">
        <v>49</v>
      </c>
      <c r="B1420" s="40" t="s">
        <v>148</v>
      </c>
      <c r="C1420" s="40" t="s">
        <v>162</v>
      </c>
      <c r="D1420" s="41" t="n">
        <v>4</v>
      </c>
      <c r="E1420" s="42" t="n">
        <v>47.66</v>
      </c>
      <c r="F1420" s="43" t="n">
        <f aca="false">IFERROR(D1420*E1420,0)</f>
        <v>190.64</v>
      </c>
      <c r="G1420" s="40" t="str">
        <f aca="false">INDEX(SETORES!$B:$B,MATCH(A1420,SETORES!$A:$A,0))</f>
        <v>Clientes</v>
      </c>
      <c r="H1420" s="40" t="s">
        <v>21</v>
      </c>
    </row>
    <row r="1421" customFormat="false" ht="14.25" hidden="false" customHeight="true" outlineLevel="0" collapsed="false">
      <c r="A1421" s="16" t="s">
        <v>32</v>
      </c>
      <c r="B1421" s="16" t="s">
        <v>148</v>
      </c>
      <c r="C1421" s="16" t="s">
        <v>163</v>
      </c>
      <c r="D1421" s="38" t="n">
        <v>6</v>
      </c>
      <c r="E1421" s="39" t="n">
        <v>29.74</v>
      </c>
      <c r="F1421" s="22" t="n">
        <f aca="false">IFERROR(D1421*E1421,0)</f>
        <v>178.44</v>
      </c>
      <c r="G1421" s="16" t="str">
        <f aca="false">INDEX(SETORES!$B:$B,MATCH(A1421,SETORES!$A:$A,0))</f>
        <v>Funcionários</v>
      </c>
      <c r="H1421" s="16" t="s">
        <v>21</v>
      </c>
    </row>
    <row r="1422" customFormat="false" ht="14.25" hidden="false" customHeight="true" outlineLevel="0" collapsed="false">
      <c r="A1422" s="40" t="s">
        <v>32</v>
      </c>
      <c r="B1422" s="40" t="s">
        <v>148</v>
      </c>
      <c r="C1422" s="40" t="s">
        <v>164</v>
      </c>
      <c r="D1422" s="41" t="n">
        <v>6</v>
      </c>
      <c r="E1422" s="42" t="n">
        <v>43.54</v>
      </c>
      <c r="F1422" s="43" t="n">
        <f aca="false">IFERROR(D1422*E1422,0)</f>
        <v>261.24</v>
      </c>
      <c r="G1422" s="40" t="str">
        <f aca="false">INDEX(SETORES!$B:$B,MATCH(A1422,SETORES!$A:$A,0))</f>
        <v>Funcionários</v>
      </c>
      <c r="H1422" s="40" t="s">
        <v>21</v>
      </c>
    </row>
    <row r="1423" customFormat="false" ht="14.25" hidden="false" customHeight="true" outlineLevel="0" collapsed="false">
      <c r="A1423" s="16" t="s">
        <v>32</v>
      </c>
      <c r="B1423" s="16" t="s">
        <v>148</v>
      </c>
      <c r="C1423" s="16" t="s">
        <v>162</v>
      </c>
      <c r="D1423" s="38" t="n">
        <v>6</v>
      </c>
      <c r="E1423" s="39" t="n">
        <v>47.66</v>
      </c>
      <c r="F1423" s="22" t="n">
        <f aca="false">IFERROR(D1423*E1423,0)</f>
        <v>285.96</v>
      </c>
      <c r="G1423" s="16" t="str">
        <f aca="false">INDEX(SETORES!$B:$B,MATCH(A1423,SETORES!$A:$A,0))</f>
        <v>Funcionários</v>
      </c>
      <c r="H1423" s="16" t="s">
        <v>21</v>
      </c>
    </row>
    <row r="1424" customFormat="false" ht="14.25" hidden="false" customHeight="true" outlineLevel="0" collapsed="false">
      <c r="A1424" s="40" t="s">
        <v>39</v>
      </c>
      <c r="B1424" s="40" t="s">
        <v>148</v>
      </c>
      <c r="C1424" s="40" t="s">
        <v>163</v>
      </c>
      <c r="D1424" s="41" t="n">
        <v>12</v>
      </c>
      <c r="E1424" s="42" t="n">
        <v>29.74</v>
      </c>
      <c r="F1424" s="43" t="n">
        <f aca="false">IFERROR(D1424*E1424,0)</f>
        <v>356.88</v>
      </c>
      <c r="G1424" s="40" t="str">
        <f aca="false">INDEX(SETORES!$B:$B,MATCH(A1424,SETORES!$A:$A,0))</f>
        <v>Clientes</v>
      </c>
      <c r="H1424" s="40" t="s">
        <v>21</v>
      </c>
    </row>
    <row r="1425" customFormat="false" ht="14.25" hidden="false" customHeight="true" outlineLevel="0" collapsed="false">
      <c r="A1425" s="16" t="s">
        <v>39</v>
      </c>
      <c r="B1425" s="16" t="s">
        <v>148</v>
      </c>
      <c r="C1425" s="16" t="s">
        <v>164</v>
      </c>
      <c r="D1425" s="38" t="n">
        <v>12</v>
      </c>
      <c r="E1425" s="39" t="n">
        <v>43.54</v>
      </c>
      <c r="F1425" s="22" t="n">
        <f aca="false">IFERROR(D1425*E1425,0)</f>
        <v>522.48</v>
      </c>
      <c r="G1425" s="16" t="str">
        <f aca="false">INDEX(SETORES!$B:$B,MATCH(A1425,SETORES!$A:$A,0))</f>
        <v>Clientes</v>
      </c>
      <c r="H1425" s="16" t="s">
        <v>21</v>
      </c>
    </row>
    <row r="1426" customFormat="false" ht="14.25" hidden="false" customHeight="true" outlineLevel="0" collapsed="false">
      <c r="A1426" s="40" t="s">
        <v>39</v>
      </c>
      <c r="B1426" s="40" t="s">
        <v>148</v>
      </c>
      <c r="C1426" s="40" t="s">
        <v>162</v>
      </c>
      <c r="D1426" s="41" t="n">
        <v>12</v>
      </c>
      <c r="E1426" s="42" t="n">
        <v>47.66</v>
      </c>
      <c r="F1426" s="43" t="n">
        <f aca="false">IFERROR(D1426*E1426,0)</f>
        <v>571.92</v>
      </c>
      <c r="G1426" s="40" t="str">
        <f aca="false">INDEX(SETORES!$B:$B,MATCH(A1426,SETORES!$A:$A,0))</f>
        <v>Clientes</v>
      </c>
      <c r="H1426" s="40" t="s">
        <v>21</v>
      </c>
    </row>
    <row r="1427" customFormat="false" ht="14.25" hidden="false" customHeight="true" outlineLevel="0" collapsed="false">
      <c r="A1427" s="16" t="s">
        <v>44</v>
      </c>
      <c r="B1427" s="16" t="s">
        <v>148</v>
      </c>
      <c r="C1427" s="16" t="s">
        <v>163</v>
      </c>
      <c r="D1427" s="38" t="n">
        <v>9</v>
      </c>
      <c r="E1427" s="39" t="n">
        <v>29.74</v>
      </c>
      <c r="F1427" s="22" t="n">
        <f aca="false">IFERROR(D1427*E1427,0)</f>
        <v>267.66</v>
      </c>
      <c r="G1427" s="16" t="str">
        <f aca="false">INDEX(SETORES!$B:$B,MATCH(A1427,SETORES!$A:$A,0))</f>
        <v>Funcionários</v>
      </c>
      <c r="H1427" s="16" t="s">
        <v>21</v>
      </c>
    </row>
    <row r="1428" customFormat="false" ht="14.25" hidden="false" customHeight="true" outlineLevel="0" collapsed="false">
      <c r="A1428" s="40" t="s">
        <v>44</v>
      </c>
      <c r="B1428" s="40" t="s">
        <v>148</v>
      </c>
      <c r="C1428" s="40" t="s">
        <v>164</v>
      </c>
      <c r="D1428" s="41" t="n">
        <v>9</v>
      </c>
      <c r="E1428" s="42" t="n">
        <v>43.54</v>
      </c>
      <c r="F1428" s="43" t="n">
        <f aca="false">IFERROR(D1428*E1428,0)</f>
        <v>391.86</v>
      </c>
      <c r="G1428" s="40" t="str">
        <f aca="false">INDEX(SETORES!$B:$B,MATCH(A1428,SETORES!$A:$A,0))</f>
        <v>Funcionários</v>
      </c>
      <c r="H1428" s="40" t="s">
        <v>21</v>
      </c>
    </row>
    <row r="1429" customFormat="false" ht="14.25" hidden="false" customHeight="true" outlineLevel="0" collapsed="false">
      <c r="A1429" s="16" t="s">
        <v>44</v>
      </c>
      <c r="B1429" s="16" t="s">
        <v>148</v>
      </c>
      <c r="C1429" s="16" t="s">
        <v>162</v>
      </c>
      <c r="D1429" s="38" t="n">
        <v>9</v>
      </c>
      <c r="E1429" s="39" t="n">
        <v>47.66</v>
      </c>
      <c r="F1429" s="22" t="n">
        <f aca="false">IFERROR(D1429*E1429,0)</f>
        <v>428.94</v>
      </c>
      <c r="G1429" s="16" t="str">
        <f aca="false">INDEX(SETORES!$B:$B,MATCH(A1429,SETORES!$A:$A,0))</f>
        <v>Funcionários</v>
      </c>
      <c r="H1429" s="16" t="s">
        <v>21</v>
      </c>
    </row>
    <row r="1430" customFormat="false" ht="14.25" hidden="false" customHeight="true" outlineLevel="0" collapsed="false">
      <c r="A1430" s="40" t="s">
        <v>52</v>
      </c>
      <c r="B1430" s="40" t="s">
        <v>148</v>
      </c>
      <c r="C1430" s="40" t="s">
        <v>163</v>
      </c>
      <c r="D1430" s="41" t="n">
        <v>8</v>
      </c>
      <c r="E1430" s="42" t="n">
        <v>29.74</v>
      </c>
      <c r="F1430" s="43" t="n">
        <f aca="false">IFERROR(D1430*E1430,0)</f>
        <v>237.92</v>
      </c>
      <c r="G1430" s="40" t="str">
        <f aca="false">INDEX(SETORES!$B:$B,MATCH(A1430,SETORES!$A:$A,0))</f>
        <v>Clientes</v>
      </c>
      <c r="H1430" s="40" t="s">
        <v>21</v>
      </c>
    </row>
    <row r="1431" customFormat="false" ht="14.25" hidden="false" customHeight="true" outlineLevel="0" collapsed="false">
      <c r="A1431" s="16" t="s">
        <v>52</v>
      </c>
      <c r="B1431" s="16" t="s">
        <v>148</v>
      </c>
      <c r="C1431" s="16" t="s">
        <v>164</v>
      </c>
      <c r="D1431" s="38" t="n">
        <v>8</v>
      </c>
      <c r="E1431" s="39" t="n">
        <v>43.54</v>
      </c>
      <c r="F1431" s="22" t="n">
        <f aca="false">IFERROR(D1431*E1431,0)</f>
        <v>348.32</v>
      </c>
      <c r="G1431" s="16" t="str">
        <f aca="false">INDEX(SETORES!$B:$B,MATCH(A1431,SETORES!$A:$A,0))</f>
        <v>Clientes</v>
      </c>
      <c r="H1431" s="16" t="s">
        <v>21</v>
      </c>
    </row>
    <row r="1432" customFormat="false" ht="14.25" hidden="false" customHeight="true" outlineLevel="0" collapsed="false">
      <c r="A1432" s="40" t="s">
        <v>52</v>
      </c>
      <c r="B1432" s="40" t="s">
        <v>148</v>
      </c>
      <c r="C1432" s="40" t="s">
        <v>162</v>
      </c>
      <c r="D1432" s="41" t="n">
        <v>8</v>
      </c>
      <c r="E1432" s="42" t="n">
        <v>47.66</v>
      </c>
      <c r="F1432" s="43" t="n">
        <f aca="false">IFERROR(D1432*E1432,0)</f>
        <v>381.28</v>
      </c>
      <c r="G1432" s="40" t="str">
        <f aca="false">INDEX(SETORES!$B:$B,MATCH(A1432,SETORES!$A:$A,0))</f>
        <v>Clientes</v>
      </c>
      <c r="H1432" s="40" t="s">
        <v>21</v>
      </c>
    </row>
    <row r="1433" customFormat="false" ht="14.25" hidden="false" customHeight="true" outlineLevel="0" collapsed="false">
      <c r="A1433" s="16" t="s">
        <v>53</v>
      </c>
      <c r="B1433" s="16" t="s">
        <v>148</v>
      </c>
      <c r="C1433" s="16" t="s">
        <v>163</v>
      </c>
      <c r="D1433" s="38" t="n">
        <v>33</v>
      </c>
      <c r="E1433" s="39" t="n">
        <v>29.74</v>
      </c>
      <c r="F1433" s="22" t="n">
        <f aca="false">IFERROR(D1433*E1433,0)</f>
        <v>981.42</v>
      </c>
      <c r="G1433" s="16" t="str">
        <f aca="false">INDEX(SETORES!$B:$B,MATCH(A1433,SETORES!$A:$A,0))</f>
        <v>Clientes</v>
      </c>
      <c r="H1433" s="16" t="s">
        <v>21</v>
      </c>
    </row>
    <row r="1434" customFormat="false" ht="14.25" hidden="false" customHeight="true" outlineLevel="0" collapsed="false">
      <c r="A1434" s="40" t="s">
        <v>53</v>
      </c>
      <c r="B1434" s="40" t="s">
        <v>148</v>
      </c>
      <c r="C1434" s="40" t="s">
        <v>164</v>
      </c>
      <c r="D1434" s="41" t="n">
        <v>33</v>
      </c>
      <c r="E1434" s="42" t="n">
        <v>43.54</v>
      </c>
      <c r="F1434" s="43" t="n">
        <f aca="false">IFERROR(D1434*E1434,0)</f>
        <v>1436.82</v>
      </c>
      <c r="G1434" s="40" t="str">
        <f aca="false">INDEX(SETORES!$B:$B,MATCH(A1434,SETORES!$A:$A,0))</f>
        <v>Clientes</v>
      </c>
      <c r="H1434" s="40" t="s">
        <v>21</v>
      </c>
    </row>
    <row r="1435" customFormat="false" ht="14.25" hidden="false" customHeight="true" outlineLevel="0" collapsed="false">
      <c r="A1435" s="16" t="s">
        <v>53</v>
      </c>
      <c r="B1435" s="16" t="s">
        <v>148</v>
      </c>
      <c r="C1435" s="16" t="s">
        <v>162</v>
      </c>
      <c r="D1435" s="38" t="n">
        <v>33</v>
      </c>
      <c r="E1435" s="39" t="n">
        <v>47.66</v>
      </c>
      <c r="F1435" s="22" t="n">
        <f aca="false">IFERROR(D1435*E1435,0)</f>
        <v>1572.78</v>
      </c>
      <c r="G1435" s="16" t="str">
        <f aca="false">INDEX(SETORES!$B:$B,MATCH(A1435,SETORES!$A:$A,0))</f>
        <v>Clientes</v>
      </c>
      <c r="H1435" s="16" t="s">
        <v>21</v>
      </c>
    </row>
    <row r="1436" customFormat="false" ht="14.25" hidden="false" customHeight="true" outlineLevel="0" collapsed="false">
      <c r="A1436" s="40" t="s">
        <v>51</v>
      </c>
      <c r="B1436" s="40" t="s">
        <v>148</v>
      </c>
      <c r="C1436" s="40" t="s">
        <v>163</v>
      </c>
      <c r="D1436" s="41" t="n">
        <v>13</v>
      </c>
      <c r="E1436" s="42" t="n">
        <v>29.74</v>
      </c>
      <c r="F1436" s="43" t="n">
        <v>386.62</v>
      </c>
      <c r="G1436" s="40" t="str">
        <f aca="false">INDEX(SETORES!$B:$B,MATCH(A1436,SETORES!$A:$A,0))</f>
        <v>Clientes</v>
      </c>
      <c r="H1436" s="40" t="s">
        <v>21</v>
      </c>
    </row>
    <row r="1437" customFormat="false" ht="14.25" hidden="false" customHeight="true" outlineLevel="0" collapsed="false">
      <c r="A1437" s="16" t="s">
        <v>51</v>
      </c>
      <c r="B1437" s="16" t="s">
        <v>148</v>
      </c>
      <c r="C1437" s="16" t="s">
        <v>164</v>
      </c>
      <c r="D1437" s="38" t="n">
        <v>13</v>
      </c>
      <c r="E1437" s="39" t="n">
        <v>43.54</v>
      </c>
      <c r="F1437" s="22" t="n">
        <v>566.02</v>
      </c>
      <c r="G1437" s="16" t="str">
        <f aca="false">INDEX(SETORES!$B:$B,MATCH(A1437,SETORES!$A:$A,0))</f>
        <v>Clientes</v>
      </c>
      <c r="H1437" s="16" t="s">
        <v>21</v>
      </c>
    </row>
    <row r="1438" customFormat="false" ht="14.25" hidden="false" customHeight="true" outlineLevel="0" collapsed="false">
      <c r="A1438" s="40" t="s">
        <v>51</v>
      </c>
      <c r="B1438" s="40" t="s">
        <v>148</v>
      </c>
      <c r="C1438" s="40" t="s">
        <v>162</v>
      </c>
      <c r="D1438" s="41" t="n">
        <v>13</v>
      </c>
      <c r="E1438" s="42" t="n">
        <v>47.66</v>
      </c>
      <c r="F1438" s="43" t="n">
        <v>619.58</v>
      </c>
      <c r="G1438" s="40" t="str">
        <f aca="false">INDEX(SETORES!$B:$B,MATCH(A1438,SETORES!$A:$A,0))</f>
        <v>Clientes</v>
      </c>
      <c r="H1438" s="40" t="s">
        <v>21</v>
      </c>
    </row>
    <row r="1439" customFormat="false" ht="14.25" hidden="false" customHeight="true" outlineLevel="0" collapsed="false">
      <c r="A1439" s="16" t="s">
        <v>54</v>
      </c>
      <c r="B1439" s="16" t="s">
        <v>148</v>
      </c>
      <c r="C1439" s="16" t="s">
        <v>238</v>
      </c>
      <c r="D1439" s="38" t="n">
        <v>1</v>
      </c>
      <c r="E1439" s="39" t="n">
        <v>106.58</v>
      </c>
      <c r="F1439" s="22" t="n">
        <f aca="false">IFERROR(D1439*E1439,0)</f>
        <v>106.58</v>
      </c>
      <c r="G1439" s="16" t="str">
        <f aca="false">INDEX(SETORES!$B:$B,MATCH(A1439,SETORES!$A:$A,0))</f>
        <v>Clientes</v>
      </c>
      <c r="H1439" s="16" t="s">
        <v>21</v>
      </c>
    </row>
    <row r="1440" customFormat="false" ht="14.25" hidden="false" customHeight="true" outlineLevel="0" collapsed="false">
      <c r="A1440" s="40" t="s">
        <v>51</v>
      </c>
      <c r="B1440" s="40" t="s">
        <v>148</v>
      </c>
      <c r="C1440" s="40" t="s">
        <v>233</v>
      </c>
      <c r="D1440" s="41" t="n">
        <v>1</v>
      </c>
      <c r="E1440" s="42" t="n">
        <v>2.727868</v>
      </c>
      <c r="F1440" s="43" t="n">
        <f aca="false">IFERROR(D1440*E1440,0)</f>
        <v>2.727868</v>
      </c>
      <c r="G1440" s="40" t="str">
        <f aca="false">INDEX(SETORES!$B:$B,MATCH(A1440,SETORES!$A:$A,0))</f>
        <v>Clientes</v>
      </c>
      <c r="H1440" s="40" t="s">
        <v>21</v>
      </c>
    </row>
    <row r="1441" customFormat="false" ht="14.25" hidden="false" customHeight="true" outlineLevel="0" collapsed="false">
      <c r="A1441" s="16" t="s">
        <v>43</v>
      </c>
      <c r="B1441" s="16" t="s">
        <v>155</v>
      </c>
      <c r="C1441" s="16" t="s">
        <v>210</v>
      </c>
      <c r="D1441" s="38" t="n">
        <v>1</v>
      </c>
      <c r="E1441" s="39" t="n">
        <v>811.2</v>
      </c>
      <c r="F1441" s="22" t="n">
        <f aca="false">IFERROR(D1441*E1441,0)</f>
        <v>811.2</v>
      </c>
      <c r="G1441" s="16" t="str">
        <f aca="false">INDEX(SETORES!$B:$B,MATCH(A1441,SETORES!$A:$A,0))</f>
        <v>Clientes</v>
      </c>
      <c r="H1441" s="16" t="s">
        <v>21</v>
      </c>
    </row>
    <row r="1442" customFormat="false" ht="14.25" hidden="false" customHeight="true" outlineLevel="0" collapsed="false">
      <c r="A1442" s="40" t="s">
        <v>40</v>
      </c>
      <c r="B1442" s="40" t="s">
        <v>155</v>
      </c>
      <c r="C1442" s="40" t="s">
        <v>158</v>
      </c>
      <c r="D1442" s="41" t="n">
        <v>1</v>
      </c>
      <c r="E1442" s="42" t="n">
        <v>65</v>
      </c>
      <c r="F1442" s="43" t="n">
        <f aca="false">IFERROR(D1442*E1442,0)</f>
        <v>65</v>
      </c>
      <c r="G1442" s="40" t="str">
        <f aca="false">INDEX(SETORES!$B:$B,MATCH(A1442,SETORES!$A:$A,0))</f>
        <v>Clientes</v>
      </c>
      <c r="H1442" s="40" t="s">
        <v>21</v>
      </c>
    </row>
    <row r="1443" customFormat="false" ht="14.25" hidden="false" customHeight="true" outlineLevel="0" collapsed="false">
      <c r="A1443" s="16" t="s">
        <v>53</v>
      </c>
      <c r="B1443" s="16" t="s">
        <v>155</v>
      </c>
      <c r="C1443" s="16" t="s">
        <v>215</v>
      </c>
      <c r="D1443" s="38" t="n">
        <v>1</v>
      </c>
      <c r="E1443" s="39" t="n">
        <v>89098.12</v>
      </c>
      <c r="F1443" s="22" t="n">
        <f aca="false">IFERROR(D1443*E1443,0)</f>
        <v>89098.12</v>
      </c>
      <c r="G1443" s="16" t="str">
        <f aca="false">INDEX(SETORES!$B:$B,MATCH(A1443,SETORES!$A:$A,0))</f>
        <v>Clientes</v>
      </c>
      <c r="H1443" s="16" t="s">
        <v>21</v>
      </c>
    </row>
    <row r="1444" customFormat="false" ht="14.25" hidden="false" customHeight="true" outlineLevel="0" collapsed="false">
      <c r="A1444" s="40" t="s">
        <v>51</v>
      </c>
      <c r="B1444" s="40" t="s">
        <v>155</v>
      </c>
      <c r="C1444" s="40" t="s">
        <v>215</v>
      </c>
      <c r="D1444" s="41" t="n">
        <v>1</v>
      </c>
      <c r="E1444" s="42" t="n">
        <v>5737.4</v>
      </c>
      <c r="F1444" s="43" t="n">
        <f aca="false">IFERROR(D1444*E1444,0)</f>
        <v>5737.4</v>
      </c>
      <c r="G1444" s="40" t="str">
        <f aca="false">INDEX(SETORES!$B:$B,MATCH(A1444,SETORES!$A:$A,0))</f>
        <v>Clientes</v>
      </c>
      <c r="H1444" s="40" t="s">
        <v>21</v>
      </c>
    </row>
    <row r="1445" customFormat="false" ht="14.25" hidden="false" customHeight="true" outlineLevel="0" collapsed="false">
      <c r="A1445" s="16" t="s">
        <v>35</v>
      </c>
      <c r="B1445" s="16" t="s">
        <v>155</v>
      </c>
      <c r="C1445" s="16" t="s">
        <v>215</v>
      </c>
      <c r="D1445" s="38"/>
      <c r="E1445" s="39"/>
      <c r="F1445" s="22" t="n">
        <f aca="false">IFERROR(D1445*E1445,0)</f>
        <v>0</v>
      </c>
      <c r="G1445" s="16" t="str">
        <f aca="false">INDEX(SETORES!$B:$B,MATCH(A1445,SETORES!$A:$A,0))</f>
        <v>Clientes</v>
      </c>
      <c r="H1445" s="16" t="s">
        <v>21</v>
      </c>
    </row>
    <row r="1446" customFormat="false" ht="14.25" hidden="false" customHeight="true" outlineLevel="0" collapsed="false">
      <c r="A1446" s="40" t="s">
        <v>31</v>
      </c>
      <c r="B1446" s="40" t="s">
        <v>155</v>
      </c>
      <c r="C1446" s="40" t="s">
        <v>215</v>
      </c>
      <c r="D1446" s="41" t="n">
        <v>1</v>
      </c>
      <c r="E1446" s="42" t="n">
        <v>13047.79</v>
      </c>
      <c r="F1446" s="43" t="n">
        <f aca="false">IFERROR(D1446*E1446,0)</f>
        <v>13047.79</v>
      </c>
      <c r="G1446" s="40" t="str">
        <f aca="false">INDEX(SETORES!$B:$B,MATCH(A1446,SETORES!$A:$A,0))</f>
        <v>Clientes</v>
      </c>
      <c r="H1446" s="40" t="s">
        <v>21</v>
      </c>
    </row>
    <row r="1447" customFormat="false" ht="14.25" hidden="false" customHeight="true" outlineLevel="0" collapsed="false">
      <c r="A1447" s="16" t="s">
        <v>44</v>
      </c>
      <c r="B1447" s="16" t="s">
        <v>155</v>
      </c>
      <c r="C1447" s="16" t="s">
        <v>215</v>
      </c>
      <c r="D1447" s="38" t="n">
        <v>1</v>
      </c>
      <c r="E1447" s="39" t="n">
        <v>5236.96</v>
      </c>
      <c r="F1447" s="22" t="n">
        <f aca="false">IFERROR(D1447*E1447,0)</f>
        <v>5236.96</v>
      </c>
      <c r="G1447" s="16" t="str">
        <f aca="false">INDEX(SETORES!$B:$B,MATCH(A1447,SETORES!$A:$A,0))</f>
        <v>Funcionários</v>
      </c>
      <c r="H1447" s="16" t="s">
        <v>21</v>
      </c>
    </row>
    <row r="1448" customFormat="false" ht="14.25" hidden="false" customHeight="true" outlineLevel="0" collapsed="false">
      <c r="A1448" s="40" t="s">
        <v>55</v>
      </c>
      <c r="B1448" s="40" t="s">
        <v>155</v>
      </c>
      <c r="C1448" s="40" t="s">
        <v>215</v>
      </c>
      <c r="D1448" s="41" t="n">
        <v>1</v>
      </c>
      <c r="E1448" s="42" t="n">
        <v>29459.75</v>
      </c>
      <c r="F1448" s="43" t="n">
        <f aca="false">IFERROR(D1448*E1448,0)</f>
        <v>29459.75</v>
      </c>
      <c r="G1448" s="40" t="str">
        <f aca="false">INDEX(SETORES!$B:$B,MATCH(A1448,SETORES!$A:$A,0))</f>
        <v>Funcionários</v>
      </c>
      <c r="H1448" s="40" t="s">
        <v>21</v>
      </c>
    </row>
    <row r="1449" customFormat="false" ht="14.25" hidden="false" customHeight="true" outlineLevel="0" collapsed="false">
      <c r="A1449" s="16" t="s">
        <v>52</v>
      </c>
      <c r="B1449" s="16" t="s">
        <v>155</v>
      </c>
      <c r="C1449" s="16" t="s">
        <v>215</v>
      </c>
      <c r="D1449" s="38"/>
      <c r="E1449" s="39"/>
      <c r="F1449" s="22" t="n">
        <f aca="false">IFERROR(D1449*E1449,0)</f>
        <v>0</v>
      </c>
      <c r="G1449" s="16" t="str">
        <f aca="false">INDEX(SETORES!$B:$B,MATCH(A1449,SETORES!$A:$A,0))</f>
        <v>Clientes</v>
      </c>
      <c r="H1449" s="16" t="s">
        <v>21</v>
      </c>
    </row>
    <row r="1450" customFormat="false" ht="14.25" hidden="false" customHeight="true" outlineLevel="0" collapsed="false">
      <c r="A1450" s="40" t="s">
        <v>41</v>
      </c>
      <c r="B1450" s="40" t="s">
        <v>155</v>
      </c>
      <c r="C1450" s="40" t="s">
        <v>210</v>
      </c>
      <c r="D1450" s="41" t="n">
        <v>1</v>
      </c>
      <c r="E1450" s="42" t="n">
        <v>1837.24</v>
      </c>
      <c r="F1450" s="43" t="n">
        <f aca="false">IFERROR(D1450*E1450,0)</f>
        <v>1837.24</v>
      </c>
      <c r="G1450" s="40" t="str">
        <f aca="false">INDEX(SETORES!$B:$B,MATCH(A1450,SETORES!$A:$A,0))</f>
        <v>Clientes</v>
      </c>
      <c r="H1450" s="40" t="s">
        <v>21</v>
      </c>
    </row>
    <row r="1451" customFormat="false" ht="14.25" hidden="false" customHeight="true" outlineLevel="0" collapsed="false">
      <c r="A1451" s="16" t="s">
        <v>55</v>
      </c>
      <c r="B1451" s="16" t="s">
        <v>155</v>
      </c>
      <c r="C1451" s="16" t="s">
        <v>239</v>
      </c>
      <c r="D1451" s="38" t="n">
        <v>1</v>
      </c>
      <c r="E1451" s="39" t="n">
        <v>21332.99</v>
      </c>
      <c r="F1451" s="22" t="n">
        <f aca="false">IFERROR(D1451*E1451,0)</f>
        <v>21332.99</v>
      </c>
      <c r="G1451" s="16" t="str">
        <f aca="false">INDEX(SETORES!$B:$B,MATCH(A1451,SETORES!$A:$A,0))</f>
        <v>Funcionários</v>
      </c>
      <c r="H1451" s="16" t="s">
        <v>21</v>
      </c>
    </row>
    <row r="1452" customFormat="false" ht="14.25" hidden="false" customHeight="true" outlineLevel="0" collapsed="false">
      <c r="A1452" s="40" t="s">
        <v>86</v>
      </c>
      <c r="B1452" s="40" t="s">
        <v>148</v>
      </c>
      <c r="C1452" s="40" t="s">
        <v>154</v>
      </c>
      <c r="D1452" s="41" t="n">
        <v>1</v>
      </c>
      <c r="E1452" s="42" t="n">
        <v>27856.75</v>
      </c>
      <c r="F1452" s="43" t="n">
        <f aca="false">IFERROR(E1452,0)</f>
        <v>27856.75</v>
      </c>
      <c r="G1452" s="40" t="str">
        <f aca="false">INDEX(SETORES!$B:$B,MATCH(A1452,SETORES!$A:$A,0))</f>
        <v>Clientes</v>
      </c>
      <c r="H1452" s="40" t="s">
        <v>21</v>
      </c>
    </row>
    <row r="1453" customFormat="false" ht="14.25" hidden="false" customHeight="true" outlineLevel="0" collapsed="false">
      <c r="A1453" s="16" t="s">
        <v>86</v>
      </c>
      <c r="B1453" s="16" t="s">
        <v>148</v>
      </c>
      <c r="C1453" s="16" t="s">
        <v>150</v>
      </c>
      <c r="D1453" s="38" t="n">
        <v>1</v>
      </c>
      <c r="E1453" s="39" t="n">
        <v>176.73</v>
      </c>
      <c r="F1453" s="22" t="n">
        <v>176.73</v>
      </c>
      <c r="G1453" s="16" t="str">
        <f aca="false">INDEX(SETORES!$B:$B,MATCH(A1453,SETORES!$A:$A,0))</f>
        <v>Clientes</v>
      </c>
      <c r="H1453" s="16" t="s">
        <v>21</v>
      </c>
    </row>
    <row r="1454" customFormat="false" ht="14.25" hidden="false" customHeight="true" outlineLevel="0" collapsed="false">
      <c r="A1454" s="40" t="s">
        <v>86</v>
      </c>
      <c r="B1454" s="40" t="s">
        <v>155</v>
      </c>
      <c r="C1454" s="40" t="s">
        <v>158</v>
      </c>
      <c r="D1454" s="41" t="n">
        <v>1</v>
      </c>
      <c r="E1454" s="42" t="n">
        <v>35</v>
      </c>
      <c r="F1454" s="43" t="n">
        <f aca="false">IFERROR(D1454*E1454,0)</f>
        <v>35</v>
      </c>
      <c r="G1454" s="40" t="str">
        <f aca="false">INDEX(SETORES!$B:$B,MATCH(A1454,SETORES!$A:$A,0))</f>
        <v>Clientes</v>
      </c>
      <c r="H1454" s="40" t="s">
        <v>21</v>
      </c>
    </row>
    <row r="1455" customFormat="false" ht="14.25" hidden="false" customHeight="true" outlineLevel="0" collapsed="false">
      <c r="A1455" s="16" t="s">
        <v>83</v>
      </c>
      <c r="B1455" s="16" t="s">
        <v>148</v>
      </c>
      <c r="C1455" s="16" t="s">
        <v>154</v>
      </c>
      <c r="D1455" s="38" t="n">
        <v>1</v>
      </c>
      <c r="E1455" s="39" t="n">
        <v>6068.32</v>
      </c>
      <c r="F1455" s="22" t="n">
        <f aca="false">IFERROR(E1455,0)</f>
        <v>6068.32</v>
      </c>
      <c r="G1455" s="16" t="str">
        <f aca="false">INDEX(SETORES!$B:$B,MATCH(A1455,SETORES!$A:$A,0))</f>
        <v>Clientes</v>
      </c>
      <c r="H1455" s="16" t="s">
        <v>21</v>
      </c>
    </row>
    <row r="1456" customFormat="false" ht="14.25" hidden="false" customHeight="true" outlineLevel="0" collapsed="false">
      <c r="A1456" s="40" t="s">
        <v>83</v>
      </c>
      <c r="B1456" s="40" t="s">
        <v>148</v>
      </c>
      <c r="C1456" s="40" t="s">
        <v>150</v>
      </c>
      <c r="D1456" s="41" t="n">
        <v>1</v>
      </c>
      <c r="E1456" s="42" t="n">
        <v>71.13</v>
      </c>
      <c r="F1456" s="43" t="n">
        <v>71.13</v>
      </c>
      <c r="G1456" s="40" t="str">
        <f aca="false">INDEX(SETORES!$B:$B,MATCH(A1456,SETORES!$A:$A,0))</f>
        <v>Clientes</v>
      </c>
      <c r="H1456" s="40" t="s">
        <v>21</v>
      </c>
    </row>
    <row r="1457" customFormat="false" ht="14.25" hidden="false" customHeight="true" outlineLevel="0" collapsed="false">
      <c r="A1457" s="16" t="s">
        <v>83</v>
      </c>
      <c r="B1457" s="16" t="s">
        <v>155</v>
      </c>
      <c r="C1457" s="16" t="s">
        <v>210</v>
      </c>
      <c r="D1457" s="38" t="n">
        <v>1</v>
      </c>
      <c r="E1457" s="39" t="n">
        <v>1878.14</v>
      </c>
      <c r="F1457" s="22" t="n">
        <f aca="false">IFERROR(D1457*E1457,0)</f>
        <v>1878.14</v>
      </c>
      <c r="G1457" s="16" t="str">
        <f aca="false">INDEX(SETORES!$B:$B,MATCH(A1457,SETORES!$A:$A,0))</f>
        <v>Clientes</v>
      </c>
      <c r="H1457" s="16" t="s">
        <v>21</v>
      </c>
    </row>
    <row r="1458" customFormat="false" ht="14.25" hidden="false" customHeight="true" outlineLevel="0" collapsed="false">
      <c r="A1458" s="40" t="s">
        <v>85</v>
      </c>
      <c r="B1458" s="40" t="s">
        <v>148</v>
      </c>
      <c r="C1458" s="40" t="s">
        <v>154</v>
      </c>
      <c r="D1458" s="41" t="n">
        <v>1</v>
      </c>
      <c r="E1458" s="42" t="n">
        <v>55912.74</v>
      </c>
      <c r="F1458" s="43" t="n">
        <f aca="false">IFERROR(E1458,0)</f>
        <v>55912.74</v>
      </c>
      <c r="G1458" s="40" t="str">
        <f aca="false">INDEX(SETORES!$B:$B,MATCH(A1458,SETORES!$A:$A,0))</f>
        <v>Clientes</v>
      </c>
      <c r="H1458" s="40" t="s">
        <v>21</v>
      </c>
    </row>
    <row r="1459" customFormat="false" ht="14.25" hidden="false" customHeight="true" outlineLevel="0" collapsed="false">
      <c r="A1459" s="16" t="s">
        <v>85</v>
      </c>
      <c r="B1459" s="16" t="s">
        <v>148</v>
      </c>
      <c r="C1459" s="16" t="s">
        <v>150</v>
      </c>
      <c r="D1459" s="38" t="n">
        <v>1</v>
      </c>
      <c r="E1459" s="39" t="n">
        <v>198.78</v>
      </c>
      <c r="F1459" s="22" t="n">
        <v>198.78</v>
      </c>
      <c r="G1459" s="16" t="str">
        <f aca="false">INDEX(SETORES!$B:$B,MATCH(A1459,SETORES!$A:$A,0))</f>
        <v>Clientes</v>
      </c>
      <c r="H1459" s="16" t="s">
        <v>21</v>
      </c>
    </row>
    <row r="1460" customFormat="false" ht="14.25" hidden="false" customHeight="true" outlineLevel="0" collapsed="false">
      <c r="A1460" s="40" t="s">
        <v>85</v>
      </c>
      <c r="B1460" s="40" t="s">
        <v>155</v>
      </c>
      <c r="C1460" s="40" t="s">
        <v>210</v>
      </c>
      <c r="D1460" s="41" t="n">
        <v>1</v>
      </c>
      <c r="E1460" s="42" t="n">
        <v>1223.23</v>
      </c>
      <c r="F1460" s="43" t="n">
        <f aca="false">IFERROR(D1460*E1460,0)</f>
        <v>1223.23</v>
      </c>
      <c r="G1460" s="40" t="str">
        <f aca="false">INDEX(SETORES!$B:$B,MATCH(A1460,SETORES!$A:$A,0))</f>
        <v>Clientes</v>
      </c>
      <c r="H1460" s="40" t="s">
        <v>21</v>
      </c>
    </row>
    <row r="1461" customFormat="false" ht="14.25" hidden="false" customHeight="true" outlineLevel="0" collapsed="false">
      <c r="A1461" s="16" t="s">
        <v>85</v>
      </c>
      <c r="B1461" s="16" t="s">
        <v>155</v>
      </c>
      <c r="C1461" s="16" t="s">
        <v>158</v>
      </c>
      <c r="D1461" s="38" t="n">
        <v>1</v>
      </c>
      <c r="E1461" s="39" t="n">
        <v>65</v>
      </c>
      <c r="F1461" s="22" t="n">
        <f aca="false">IFERROR(D1461*E1461,0)</f>
        <v>65</v>
      </c>
      <c r="G1461" s="16" t="str">
        <f aca="false">INDEX(SETORES!$B:$B,MATCH(A1461,SETORES!$A:$A,0))</f>
        <v>Clientes</v>
      </c>
      <c r="H1461" s="16" t="s">
        <v>21</v>
      </c>
    </row>
    <row r="1462" customFormat="false" ht="14.25" hidden="false" customHeight="true" outlineLevel="0" collapsed="false">
      <c r="A1462" s="40" t="s">
        <v>87</v>
      </c>
      <c r="B1462" s="40" t="s">
        <v>148</v>
      </c>
      <c r="C1462" s="40" t="s">
        <v>154</v>
      </c>
      <c r="D1462" s="41" t="n">
        <v>1</v>
      </c>
      <c r="E1462" s="42" t="n">
        <v>32250.43</v>
      </c>
      <c r="F1462" s="43" t="n">
        <f aca="false">IFERROR(E1462,0)</f>
        <v>32250.43</v>
      </c>
      <c r="G1462" s="40" t="str">
        <f aca="false">INDEX(SETORES!$B:$B,MATCH(A1462,SETORES!$A:$A,0))</f>
        <v>Clientes</v>
      </c>
      <c r="H1462" s="40" t="s">
        <v>21</v>
      </c>
    </row>
    <row r="1463" customFormat="false" ht="14.25" hidden="false" customHeight="true" outlineLevel="0" collapsed="false">
      <c r="A1463" s="16" t="s">
        <v>87</v>
      </c>
      <c r="B1463" s="16" t="s">
        <v>148</v>
      </c>
      <c r="C1463" s="16" t="s">
        <v>150</v>
      </c>
      <c r="D1463" s="38" t="n">
        <v>1</v>
      </c>
      <c r="E1463" s="39" t="n">
        <v>74.08</v>
      </c>
      <c r="F1463" s="22" t="n">
        <v>74.08</v>
      </c>
      <c r="G1463" s="16" t="str">
        <f aca="false">INDEX(SETORES!$B:$B,MATCH(A1463,SETORES!$A:$A,0))</f>
        <v>Clientes</v>
      </c>
      <c r="H1463" s="16" t="s">
        <v>21</v>
      </c>
    </row>
    <row r="1464" customFormat="false" ht="14.25" hidden="false" customHeight="true" outlineLevel="0" collapsed="false">
      <c r="A1464" s="40" t="s">
        <v>78</v>
      </c>
      <c r="B1464" s="40" t="s">
        <v>148</v>
      </c>
      <c r="C1464" s="40" t="s">
        <v>154</v>
      </c>
      <c r="D1464" s="41" t="n">
        <v>1</v>
      </c>
      <c r="E1464" s="42" t="n">
        <v>74369.92</v>
      </c>
      <c r="F1464" s="43" t="n">
        <f aca="false">IFERROR(E1464,0)</f>
        <v>74369.92</v>
      </c>
      <c r="G1464" s="40" t="str">
        <f aca="false">INDEX(SETORES!$B:$B,MATCH(A1464,SETORES!$A:$A,0))</f>
        <v>Clientes</v>
      </c>
      <c r="H1464" s="40" t="s">
        <v>21</v>
      </c>
    </row>
    <row r="1465" customFormat="false" ht="14.25" hidden="false" customHeight="true" outlineLevel="0" collapsed="false">
      <c r="A1465" s="16" t="s">
        <v>81</v>
      </c>
      <c r="B1465" s="16" t="s">
        <v>148</v>
      </c>
      <c r="C1465" s="16" t="s">
        <v>154</v>
      </c>
      <c r="D1465" s="38" t="n">
        <v>1</v>
      </c>
      <c r="E1465" s="39" t="n">
        <v>13569.86</v>
      </c>
      <c r="F1465" s="22" t="n">
        <f aca="false">IFERROR(E1465,0)</f>
        <v>13569.86</v>
      </c>
      <c r="G1465" s="16" t="str">
        <f aca="false">INDEX(SETORES!$B:$B,MATCH(A1465,SETORES!$A:$A,0))</f>
        <v>Clientes</v>
      </c>
      <c r="H1465" s="16" t="s">
        <v>21</v>
      </c>
    </row>
    <row r="1466" customFormat="false" ht="14.25" hidden="false" customHeight="true" outlineLevel="0" collapsed="false">
      <c r="A1466" s="40" t="s">
        <v>84</v>
      </c>
      <c r="B1466" s="40" t="s">
        <v>148</v>
      </c>
      <c r="C1466" s="40" t="s">
        <v>154</v>
      </c>
      <c r="D1466" s="41" t="n">
        <v>1</v>
      </c>
      <c r="E1466" s="42" t="n">
        <v>158087.5</v>
      </c>
      <c r="F1466" s="43" t="n">
        <f aca="false">IFERROR(E1466,0)</f>
        <v>158087.5</v>
      </c>
      <c r="G1466" s="40" t="str">
        <f aca="false">INDEX(SETORES!$B:$B,MATCH(A1466,SETORES!$A:$A,0))</f>
        <v>Clientes</v>
      </c>
      <c r="H1466" s="40" t="s">
        <v>21</v>
      </c>
    </row>
    <row r="1467" customFormat="false" ht="14.25" hidden="false" customHeight="true" outlineLevel="0" collapsed="false">
      <c r="A1467" s="16" t="s">
        <v>84</v>
      </c>
      <c r="B1467" s="16" t="s">
        <v>155</v>
      </c>
      <c r="C1467" s="16" t="s">
        <v>210</v>
      </c>
      <c r="D1467" s="38" t="n">
        <v>1</v>
      </c>
      <c r="E1467" s="39" t="n">
        <v>7771.58</v>
      </c>
      <c r="F1467" s="22" t="n">
        <f aca="false">IFERROR(D1467*E1467,0)</f>
        <v>7771.58</v>
      </c>
      <c r="G1467" s="16" t="str">
        <f aca="false">INDEX(SETORES!$B:$B,MATCH(A1467,SETORES!$A:$A,0))</f>
        <v>Clientes</v>
      </c>
      <c r="H1467" s="16" t="s">
        <v>21</v>
      </c>
    </row>
    <row r="1468" customFormat="false" ht="14.25" hidden="false" customHeight="true" outlineLevel="0" collapsed="false">
      <c r="A1468" s="40" t="s">
        <v>84</v>
      </c>
      <c r="B1468" s="40" t="s">
        <v>155</v>
      </c>
      <c r="C1468" s="40" t="s">
        <v>214</v>
      </c>
      <c r="D1468" s="41" t="n">
        <v>1</v>
      </c>
      <c r="E1468" s="42" t="n">
        <v>7429.1</v>
      </c>
      <c r="F1468" s="43" t="n">
        <f aca="false">IFERROR(D1468*E1468,0)</f>
        <v>7429.1</v>
      </c>
      <c r="G1468" s="40" t="str">
        <f aca="false">INDEX(SETORES!$B:$B,MATCH(A1468,SETORES!$A:$A,0))</f>
        <v>Clientes</v>
      </c>
      <c r="H1468" s="40" t="s">
        <v>21</v>
      </c>
    </row>
    <row r="1469" customFormat="false" ht="14.25" hidden="false" customHeight="true" outlineLevel="0" collapsed="false">
      <c r="A1469" s="16" t="s">
        <v>82</v>
      </c>
      <c r="B1469" s="16" t="s">
        <v>148</v>
      </c>
      <c r="C1469" s="16" t="s">
        <v>154</v>
      </c>
      <c r="D1469" s="38" t="n">
        <v>1</v>
      </c>
      <c r="E1469" s="39" t="n">
        <v>56795.02</v>
      </c>
      <c r="F1469" s="22" t="n">
        <f aca="false">IFERROR(E1469,0)</f>
        <v>56795.02</v>
      </c>
      <c r="G1469" s="16" t="str">
        <f aca="false">INDEX(SETORES!$B:$B,MATCH(A1469,SETORES!$A:$A,0))</f>
        <v>Clientes</v>
      </c>
      <c r="H1469" s="16" t="s">
        <v>21</v>
      </c>
    </row>
    <row r="1470" customFormat="false" ht="14.25" hidden="false" customHeight="true" outlineLevel="0" collapsed="false">
      <c r="A1470" s="40" t="s">
        <v>82</v>
      </c>
      <c r="B1470" s="40" t="s">
        <v>155</v>
      </c>
      <c r="C1470" s="40" t="s">
        <v>210</v>
      </c>
      <c r="D1470" s="41" t="n">
        <v>1</v>
      </c>
      <c r="E1470" s="42" t="n">
        <v>13559.09</v>
      </c>
      <c r="F1470" s="43" t="n">
        <f aca="false">IFERROR(D1470*E1470,0)</f>
        <v>13559.09</v>
      </c>
      <c r="G1470" s="40" t="str">
        <f aca="false">INDEX(SETORES!$B:$B,MATCH(A1470,SETORES!$A:$A,0))</f>
        <v>Clientes</v>
      </c>
      <c r="H1470" s="40" t="s">
        <v>21</v>
      </c>
    </row>
    <row r="1471" customFormat="false" ht="14.25" hidden="false" customHeight="true" outlineLevel="0" collapsed="false">
      <c r="A1471" s="16" t="s">
        <v>82</v>
      </c>
      <c r="B1471" s="16" t="s">
        <v>155</v>
      </c>
      <c r="C1471" s="16" t="s">
        <v>214</v>
      </c>
      <c r="D1471" s="38" t="n">
        <v>1</v>
      </c>
      <c r="E1471" s="39" t="n">
        <v>2979.78</v>
      </c>
      <c r="F1471" s="22" t="n">
        <f aca="false">IFERROR(D1471*E1471,0)</f>
        <v>2979.78</v>
      </c>
      <c r="G1471" s="16" t="str">
        <f aca="false">INDEX(SETORES!$B:$B,MATCH(A1471,SETORES!$A:$A,0))</f>
        <v>Clientes</v>
      </c>
      <c r="H1471" s="16" t="s">
        <v>21</v>
      </c>
    </row>
    <row r="1472" customFormat="false" ht="14.25" hidden="false" customHeight="true" outlineLevel="0" collapsed="false">
      <c r="A1472" s="40" t="s">
        <v>80</v>
      </c>
      <c r="B1472" s="40" t="s">
        <v>148</v>
      </c>
      <c r="C1472" s="40" t="s">
        <v>154</v>
      </c>
      <c r="D1472" s="41" t="n">
        <v>1</v>
      </c>
      <c r="E1472" s="42" t="n">
        <v>28674.49</v>
      </c>
      <c r="F1472" s="43" t="n">
        <f aca="false">IFERROR(E1472,0)</f>
        <v>28674.49</v>
      </c>
      <c r="G1472" s="40" t="str">
        <f aca="false">INDEX(SETORES!$B:$B,MATCH(A1472,SETORES!$A:$A,0))</f>
        <v>Clientes</v>
      </c>
      <c r="H1472" s="40" t="s">
        <v>21</v>
      </c>
    </row>
    <row r="1473" customFormat="false" ht="14.25" hidden="false" customHeight="true" outlineLevel="0" collapsed="false">
      <c r="A1473" s="16" t="s">
        <v>80</v>
      </c>
      <c r="B1473" s="16" t="s">
        <v>148</v>
      </c>
      <c r="C1473" s="16" t="s">
        <v>149</v>
      </c>
      <c r="D1473" s="38" t="n">
        <v>3</v>
      </c>
      <c r="E1473" s="39" t="n">
        <v>2.2567</v>
      </c>
      <c r="F1473" s="22" t="n">
        <v>6.7701</v>
      </c>
      <c r="G1473" s="16" t="str">
        <f aca="false">INDEX(SETORES!$B:$B,MATCH(A1473,SETORES!$A:$A,0))</f>
        <v>Clientes</v>
      </c>
      <c r="H1473" s="16" t="s">
        <v>21</v>
      </c>
    </row>
    <row r="1474" customFormat="false" ht="14.25" hidden="false" customHeight="true" outlineLevel="0" collapsed="false">
      <c r="A1474" s="40" t="s">
        <v>80</v>
      </c>
      <c r="B1474" s="40" t="s">
        <v>148</v>
      </c>
      <c r="C1474" s="40" t="s">
        <v>150</v>
      </c>
      <c r="D1474" s="41" t="n">
        <v>1</v>
      </c>
      <c r="E1474" s="42" t="n">
        <v>66.76</v>
      </c>
      <c r="F1474" s="43" t="n">
        <v>66.76</v>
      </c>
      <c r="G1474" s="40" t="str">
        <f aca="false">INDEX(SETORES!$B:$B,MATCH(A1474,SETORES!$A:$A,0))</f>
        <v>Clientes</v>
      </c>
      <c r="H1474" s="40" t="s">
        <v>21</v>
      </c>
    </row>
    <row r="1475" customFormat="false" ht="14.25" hidden="false" customHeight="true" outlineLevel="0" collapsed="false">
      <c r="A1475" s="16" t="s">
        <v>54</v>
      </c>
      <c r="B1475" s="16" t="s">
        <v>148</v>
      </c>
      <c r="C1475" s="16" t="s">
        <v>150</v>
      </c>
      <c r="D1475" s="38" t="n">
        <v>1</v>
      </c>
      <c r="E1475" s="39" t="n">
        <v>81.33</v>
      </c>
      <c r="F1475" s="22" t="n">
        <v>81.33</v>
      </c>
      <c r="G1475" s="16" t="str">
        <f aca="false">INDEX(SETORES!$B:$B,MATCH(A1475,SETORES!$A:$A,0))</f>
        <v>Clientes</v>
      </c>
      <c r="H1475" s="16" t="s">
        <v>21</v>
      </c>
    </row>
    <row r="1476" customFormat="false" ht="14.25" hidden="false" customHeight="true" outlineLevel="0" collapsed="false">
      <c r="A1476" s="40" t="s">
        <v>81</v>
      </c>
      <c r="B1476" s="40" t="s">
        <v>148</v>
      </c>
      <c r="C1476" s="40" t="s">
        <v>150</v>
      </c>
      <c r="D1476" s="41" t="n">
        <v>1</v>
      </c>
      <c r="E1476" s="42" t="n">
        <v>68.12</v>
      </c>
      <c r="F1476" s="43" t="n">
        <v>68.12</v>
      </c>
      <c r="G1476" s="40" t="str">
        <f aca="false">INDEX(SETORES!$B:$B,MATCH(A1476,SETORES!$A:$A,0))</f>
        <v>Clientes</v>
      </c>
      <c r="H1476" s="40" t="s">
        <v>21</v>
      </c>
    </row>
    <row r="1477" customFormat="false" ht="14.25" hidden="false" customHeight="true" outlineLevel="0" collapsed="false">
      <c r="A1477" s="16" t="s">
        <v>86</v>
      </c>
      <c r="B1477" s="16" t="s">
        <v>148</v>
      </c>
      <c r="C1477" s="16" t="s">
        <v>160</v>
      </c>
      <c r="D1477" s="38" t="n">
        <v>7</v>
      </c>
      <c r="E1477" s="39" t="n">
        <v>9.92</v>
      </c>
      <c r="F1477" s="22" t="n">
        <f aca="false">IFERROR(D1477*E1477,0)</f>
        <v>69.44</v>
      </c>
      <c r="G1477" s="16" t="str">
        <f aca="false">INDEX(SETORES!$B:$B,MATCH(A1477,SETORES!$A:$A,0))</f>
        <v>Clientes</v>
      </c>
      <c r="H1477" s="16" t="s">
        <v>21</v>
      </c>
    </row>
    <row r="1478" customFormat="false" ht="14.25" hidden="false" customHeight="true" outlineLevel="0" collapsed="false">
      <c r="A1478" s="40" t="s">
        <v>86</v>
      </c>
      <c r="B1478" s="40" t="s">
        <v>148</v>
      </c>
      <c r="C1478" s="40" t="s">
        <v>161</v>
      </c>
      <c r="D1478" s="41" t="n">
        <v>7</v>
      </c>
      <c r="E1478" s="42" t="n">
        <v>2.05</v>
      </c>
      <c r="F1478" s="43" t="n">
        <f aca="false">IFERROR(D1478*E1478,0)</f>
        <v>14.35</v>
      </c>
      <c r="G1478" s="40" t="str">
        <f aca="false">INDEX(SETORES!$B:$B,MATCH(A1478,SETORES!$A:$A,0))</f>
        <v>Clientes</v>
      </c>
      <c r="H1478" s="40" t="s">
        <v>21</v>
      </c>
    </row>
    <row r="1479" customFormat="false" ht="14.25" hidden="false" customHeight="true" outlineLevel="0" collapsed="false">
      <c r="A1479" s="16" t="s">
        <v>86</v>
      </c>
      <c r="B1479" s="16" t="s">
        <v>148</v>
      </c>
      <c r="C1479" s="16" t="s">
        <v>159</v>
      </c>
      <c r="D1479" s="38" t="n">
        <v>7</v>
      </c>
      <c r="E1479" s="39" t="n">
        <v>50</v>
      </c>
      <c r="F1479" s="22" t="n">
        <f aca="false">IFERROR(D1479*E1479,0)</f>
        <v>350</v>
      </c>
      <c r="G1479" s="16" t="str">
        <f aca="false">INDEX(SETORES!$B:$B,MATCH(A1479,SETORES!$A:$A,0))</f>
        <v>Clientes</v>
      </c>
      <c r="H1479" s="16" t="s">
        <v>21</v>
      </c>
    </row>
    <row r="1480" customFormat="false" ht="14.25" hidden="false" customHeight="true" outlineLevel="0" collapsed="false">
      <c r="A1480" s="40" t="s">
        <v>86</v>
      </c>
      <c r="B1480" s="40" t="s">
        <v>148</v>
      </c>
      <c r="C1480" s="40" t="s">
        <v>163</v>
      </c>
      <c r="D1480" s="41" t="n">
        <v>7</v>
      </c>
      <c r="E1480" s="42" t="n">
        <v>29.74</v>
      </c>
      <c r="F1480" s="43" t="n">
        <f aca="false">IFERROR(D1480*E1480,0)</f>
        <v>208.18</v>
      </c>
      <c r="G1480" s="40" t="str">
        <f aca="false">INDEX(SETORES!$B:$B,MATCH(A1480,SETORES!$A:$A,0))</f>
        <v>Clientes</v>
      </c>
      <c r="H1480" s="40" t="s">
        <v>21</v>
      </c>
    </row>
    <row r="1481" customFormat="false" ht="14.25" hidden="false" customHeight="true" outlineLevel="0" collapsed="false">
      <c r="A1481" s="16" t="s">
        <v>86</v>
      </c>
      <c r="B1481" s="16" t="s">
        <v>148</v>
      </c>
      <c r="C1481" s="16" t="s">
        <v>164</v>
      </c>
      <c r="D1481" s="38" t="n">
        <v>7</v>
      </c>
      <c r="E1481" s="39" t="n">
        <v>43.54</v>
      </c>
      <c r="F1481" s="22" t="n">
        <f aca="false">IFERROR(D1481*E1481,0)</f>
        <v>304.78</v>
      </c>
      <c r="G1481" s="16" t="str">
        <f aca="false">INDEX(SETORES!$B:$B,MATCH(A1481,SETORES!$A:$A,0))</f>
        <v>Clientes</v>
      </c>
      <c r="H1481" s="16" t="s">
        <v>21</v>
      </c>
    </row>
    <row r="1482" customFormat="false" ht="14.25" hidden="false" customHeight="true" outlineLevel="0" collapsed="false">
      <c r="A1482" s="40" t="s">
        <v>86</v>
      </c>
      <c r="B1482" s="40" t="s">
        <v>148</v>
      </c>
      <c r="C1482" s="40" t="s">
        <v>162</v>
      </c>
      <c r="D1482" s="41" t="n">
        <v>7</v>
      </c>
      <c r="E1482" s="42" t="n">
        <v>47.66</v>
      </c>
      <c r="F1482" s="43" t="n">
        <f aca="false">IFERROR(D1482*E1482,0)</f>
        <v>333.62</v>
      </c>
      <c r="G1482" s="40" t="str">
        <f aca="false">INDEX(SETORES!$B:$B,MATCH(A1482,SETORES!$A:$A,0))</f>
        <v>Clientes</v>
      </c>
      <c r="H1482" s="40" t="s">
        <v>21</v>
      </c>
    </row>
    <row r="1483" customFormat="false" ht="14.25" hidden="false" customHeight="true" outlineLevel="0" collapsed="false">
      <c r="A1483" s="16" t="s">
        <v>83</v>
      </c>
      <c r="B1483" s="16" t="s">
        <v>148</v>
      </c>
      <c r="C1483" s="16" t="s">
        <v>160</v>
      </c>
      <c r="D1483" s="38" t="n">
        <v>2</v>
      </c>
      <c r="E1483" s="39" t="n">
        <v>9.92</v>
      </c>
      <c r="F1483" s="22" t="n">
        <f aca="false">IFERROR(D1483*E1483,0)</f>
        <v>19.84</v>
      </c>
      <c r="G1483" s="16" t="str">
        <f aca="false">INDEX(SETORES!$B:$B,MATCH(A1483,SETORES!$A:$A,0))</f>
        <v>Clientes</v>
      </c>
      <c r="H1483" s="16" t="s">
        <v>21</v>
      </c>
    </row>
    <row r="1484" customFormat="false" ht="14.25" hidden="false" customHeight="true" outlineLevel="0" collapsed="false">
      <c r="A1484" s="40" t="s">
        <v>83</v>
      </c>
      <c r="B1484" s="40" t="s">
        <v>148</v>
      </c>
      <c r="C1484" s="40" t="s">
        <v>161</v>
      </c>
      <c r="D1484" s="41" t="n">
        <v>2</v>
      </c>
      <c r="E1484" s="42" t="n">
        <v>2.05</v>
      </c>
      <c r="F1484" s="43" t="n">
        <f aca="false">IFERROR(D1484*E1484,0)</f>
        <v>4.1</v>
      </c>
      <c r="G1484" s="40" t="str">
        <f aca="false">INDEX(SETORES!$B:$B,MATCH(A1484,SETORES!$A:$A,0))</f>
        <v>Clientes</v>
      </c>
      <c r="H1484" s="40" t="s">
        <v>21</v>
      </c>
    </row>
    <row r="1485" customFormat="false" ht="14.25" hidden="false" customHeight="true" outlineLevel="0" collapsed="false">
      <c r="A1485" s="16" t="s">
        <v>83</v>
      </c>
      <c r="B1485" s="16" t="s">
        <v>148</v>
      </c>
      <c r="C1485" s="16" t="s">
        <v>159</v>
      </c>
      <c r="D1485" s="38" t="n">
        <v>3</v>
      </c>
      <c r="E1485" s="39" t="n">
        <v>50</v>
      </c>
      <c r="F1485" s="22" t="n">
        <f aca="false">IFERROR(D1485*E1485,0)</f>
        <v>150</v>
      </c>
      <c r="G1485" s="16" t="str">
        <f aca="false">INDEX(SETORES!$B:$B,MATCH(A1485,SETORES!$A:$A,0))</f>
        <v>Clientes</v>
      </c>
      <c r="H1485" s="16" t="s">
        <v>21</v>
      </c>
    </row>
    <row r="1486" customFormat="false" ht="14.25" hidden="false" customHeight="true" outlineLevel="0" collapsed="false">
      <c r="A1486" s="40" t="s">
        <v>83</v>
      </c>
      <c r="B1486" s="40" t="s">
        <v>148</v>
      </c>
      <c r="C1486" s="40" t="s">
        <v>163</v>
      </c>
      <c r="D1486" s="41" t="n">
        <v>2</v>
      </c>
      <c r="E1486" s="42" t="n">
        <v>29.74</v>
      </c>
      <c r="F1486" s="43" t="n">
        <f aca="false">IFERROR(D1486*E1486,0)</f>
        <v>59.48</v>
      </c>
      <c r="G1486" s="40" t="str">
        <f aca="false">INDEX(SETORES!$B:$B,MATCH(A1486,SETORES!$A:$A,0))</f>
        <v>Clientes</v>
      </c>
      <c r="H1486" s="40" t="s">
        <v>21</v>
      </c>
    </row>
    <row r="1487" customFormat="false" ht="14.25" hidden="false" customHeight="true" outlineLevel="0" collapsed="false">
      <c r="A1487" s="16" t="s">
        <v>83</v>
      </c>
      <c r="B1487" s="16" t="s">
        <v>148</v>
      </c>
      <c r="C1487" s="16" t="s">
        <v>164</v>
      </c>
      <c r="D1487" s="38" t="n">
        <v>2</v>
      </c>
      <c r="E1487" s="39" t="n">
        <v>43.54</v>
      </c>
      <c r="F1487" s="22" t="n">
        <f aca="false">IFERROR(D1487*E1487,0)</f>
        <v>87.08</v>
      </c>
      <c r="G1487" s="16" t="str">
        <f aca="false">INDEX(SETORES!$B:$B,MATCH(A1487,SETORES!$A:$A,0))</f>
        <v>Clientes</v>
      </c>
      <c r="H1487" s="16" t="s">
        <v>21</v>
      </c>
    </row>
    <row r="1488" customFormat="false" ht="14.25" hidden="false" customHeight="true" outlineLevel="0" collapsed="false">
      <c r="A1488" s="40" t="s">
        <v>83</v>
      </c>
      <c r="B1488" s="40" t="s">
        <v>148</v>
      </c>
      <c r="C1488" s="40" t="s">
        <v>162</v>
      </c>
      <c r="D1488" s="41" t="n">
        <v>2</v>
      </c>
      <c r="E1488" s="42" t="n">
        <v>47.66</v>
      </c>
      <c r="F1488" s="43" t="n">
        <f aca="false">IFERROR(D1488*E1488,0)</f>
        <v>95.32</v>
      </c>
      <c r="G1488" s="40" t="str">
        <f aca="false">INDEX(SETORES!$B:$B,MATCH(A1488,SETORES!$A:$A,0))</f>
        <v>Clientes</v>
      </c>
      <c r="H1488" s="40" t="s">
        <v>21</v>
      </c>
    </row>
    <row r="1489" customFormat="false" ht="14.25" hidden="false" customHeight="true" outlineLevel="0" collapsed="false">
      <c r="A1489" s="16" t="s">
        <v>85</v>
      </c>
      <c r="B1489" s="16" t="s">
        <v>148</v>
      </c>
      <c r="C1489" s="16" t="s">
        <v>160</v>
      </c>
      <c r="D1489" s="38" t="n">
        <v>12</v>
      </c>
      <c r="E1489" s="39" t="n">
        <v>9.92</v>
      </c>
      <c r="F1489" s="22" t="n">
        <f aca="false">IFERROR(D1489*E1489,0)</f>
        <v>119.04</v>
      </c>
      <c r="G1489" s="16" t="str">
        <f aca="false">INDEX(SETORES!$B:$B,MATCH(A1489,SETORES!$A:$A,0))</f>
        <v>Clientes</v>
      </c>
      <c r="H1489" s="16" t="s">
        <v>21</v>
      </c>
    </row>
    <row r="1490" customFormat="false" ht="14.25" hidden="false" customHeight="true" outlineLevel="0" collapsed="false">
      <c r="A1490" s="40" t="s">
        <v>85</v>
      </c>
      <c r="B1490" s="40" t="s">
        <v>148</v>
      </c>
      <c r="C1490" s="40" t="s">
        <v>161</v>
      </c>
      <c r="D1490" s="41" t="n">
        <v>12</v>
      </c>
      <c r="E1490" s="42" t="n">
        <v>2.05</v>
      </c>
      <c r="F1490" s="43" t="n">
        <f aca="false">IFERROR(D1490*E1490,0)</f>
        <v>24.6</v>
      </c>
      <c r="G1490" s="40" t="str">
        <f aca="false">INDEX(SETORES!$B:$B,MATCH(A1490,SETORES!$A:$A,0))</f>
        <v>Clientes</v>
      </c>
      <c r="H1490" s="40" t="s">
        <v>21</v>
      </c>
    </row>
    <row r="1491" customFormat="false" ht="14.25" hidden="false" customHeight="true" outlineLevel="0" collapsed="false">
      <c r="A1491" s="16" t="s">
        <v>85</v>
      </c>
      <c r="B1491" s="16" t="s">
        <v>148</v>
      </c>
      <c r="C1491" s="16" t="s">
        <v>159</v>
      </c>
      <c r="D1491" s="38" t="n">
        <v>15</v>
      </c>
      <c r="E1491" s="39" t="n">
        <v>47.33</v>
      </c>
      <c r="F1491" s="22" t="n">
        <f aca="false">IFERROR(D1491*E1491,0)</f>
        <v>709.95</v>
      </c>
      <c r="G1491" s="16" t="str">
        <f aca="false">INDEX(SETORES!$B:$B,MATCH(A1491,SETORES!$A:$A,0))</f>
        <v>Clientes</v>
      </c>
      <c r="H1491" s="16" t="s">
        <v>21</v>
      </c>
    </row>
    <row r="1492" customFormat="false" ht="14.25" hidden="false" customHeight="true" outlineLevel="0" collapsed="false">
      <c r="A1492" s="40" t="s">
        <v>85</v>
      </c>
      <c r="B1492" s="40" t="s">
        <v>148</v>
      </c>
      <c r="C1492" s="40" t="s">
        <v>163</v>
      </c>
      <c r="D1492" s="41" t="n">
        <v>12</v>
      </c>
      <c r="E1492" s="42" t="n">
        <v>29.74</v>
      </c>
      <c r="F1492" s="43" t="n">
        <f aca="false">IFERROR(D1492*E1492,0)</f>
        <v>356.88</v>
      </c>
      <c r="G1492" s="40" t="str">
        <f aca="false">INDEX(SETORES!$B:$B,MATCH(A1492,SETORES!$A:$A,0))</f>
        <v>Clientes</v>
      </c>
      <c r="H1492" s="40" t="s">
        <v>21</v>
      </c>
    </row>
    <row r="1493" customFormat="false" ht="14.25" hidden="false" customHeight="true" outlineLevel="0" collapsed="false">
      <c r="A1493" s="16" t="s">
        <v>85</v>
      </c>
      <c r="B1493" s="16" t="s">
        <v>148</v>
      </c>
      <c r="C1493" s="16" t="s">
        <v>164</v>
      </c>
      <c r="D1493" s="38" t="n">
        <v>12</v>
      </c>
      <c r="E1493" s="39" t="n">
        <v>43.54</v>
      </c>
      <c r="F1493" s="22" t="n">
        <f aca="false">IFERROR(D1493*E1493,0)</f>
        <v>522.48</v>
      </c>
      <c r="G1493" s="16" t="str">
        <f aca="false">INDEX(SETORES!$B:$B,MATCH(A1493,SETORES!$A:$A,0))</f>
        <v>Clientes</v>
      </c>
      <c r="H1493" s="16" t="s">
        <v>21</v>
      </c>
    </row>
    <row r="1494" customFormat="false" ht="14.25" hidden="false" customHeight="true" outlineLevel="0" collapsed="false">
      <c r="A1494" s="40" t="s">
        <v>85</v>
      </c>
      <c r="B1494" s="40" t="s">
        <v>148</v>
      </c>
      <c r="C1494" s="40" t="s">
        <v>162</v>
      </c>
      <c r="D1494" s="41" t="n">
        <v>12</v>
      </c>
      <c r="E1494" s="42" t="n">
        <v>47.66</v>
      </c>
      <c r="F1494" s="43" t="n">
        <f aca="false">IFERROR(D1494*E1494,0)</f>
        <v>571.92</v>
      </c>
      <c r="G1494" s="40" t="str">
        <f aca="false">INDEX(SETORES!$B:$B,MATCH(A1494,SETORES!$A:$A,0))</f>
        <v>Clientes</v>
      </c>
      <c r="H1494" s="40" t="s">
        <v>21</v>
      </c>
    </row>
    <row r="1495" customFormat="false" ht="14.25" hidden="false" customHeight="true" outlineLevel="0" collapsed="false">
      <c r="A1495" s="16" t="s">
        <v>87</v>
      </c>
      <c r="B1495" s="16" t="s">
        <v>148</v>
      </c>
      <c r="C1495" s="16" t="s">
        <v>160</v>
      </c>
      <c r="D1495" s="38" t="n">
        <v>7</v>
      </c>
      <c r="E1495" s="39" t="n">
        <v>9.92</v>
      </c>
      <c r="F1495" s="22" t="n">
        <f aca="false">IFERROR(D1495*E1495,0)</f>
        <v>69.44</v>
      </c>
      <c r="G1495" s="16" t="str">
        <f aca="false">INDEX(SETORES!$B:$B,MATCH(A1495,SETORES!$A:$A,0))</f>
        <v>Clientes</v>
      </c>
      <c r="H1495" s="16" t="s">
        <v>21</v>
      </c>
    </row>
    <row r="1496" customFormat="false" ht="14.25" hidden="false" customHeight="true" outlineLevel="0" collapsed="false">
      <c r="A1496" s="40" t="s">
        <v>87</v>
      </c>
      <c r="B1496" s="40" t="s">
        <v>148</v>
      </c>
      <c r="C1496" s="40" t="s">
        <v>161</v>
      </c>
      <c r="D1496" s="41" t="n">
        <v>7</v>
      </c>
      <c r="E1496" s="42" t="n">
        <v>2.05</v>
      </c>
      <c r="F1496" s="43" t="n">
        <f aca="false">IFERROR(D1496*E1496,0)</f>
        <v>14.35</v>
      </c>
      <c r="G1496" s="40" t="str">
        <f aca="false">INDEX(SETORES!$B:$B,MATCH(A1496,SETORES!$A:$A,0))</f>
        <v>Clientes</v>
      </c>
      <c r="H1496" s="40" t="s">
        <v>21</v>
      </c>
    </row>
    <row r="1497" customFormat="false" ht="14.25" hidden="false" customHeight="true" outlineLevel="0" collapsed="false">
      <c r="A1497" s="16" t="s">
        <v>87</v>
      </c>
      <c r="B1497" s="16" t="s">
        <v>148</v>
      </c>
      <c r="C1497" s="16" t="s">
        <v>159</v>
      </c>
      <c r="D1497" s="38" t="n">
        <v>12</v>
      </c>
      <c r="E1497" s="39" t="n">
        <v>66.67</v>
      </c>
      <c r="F1497" s="22" t="n">
        <f aca="false">IFERROR(D1497*E1497,0)</f>
        <v>800.04</v>
      </c>
      <c r="G1497" s="16" t="str">
        <f aca="false">INDEX(SETORES!$B:$B,MATCH(A1497,SETORES!$A:$A,0))</f>
        <v>Clientes</v>
      </c>
      <c r="H1497" s="16" t="s">
        <v>21</v>
      </c>
    </row>
    <row r="1498" customFormat="false" ht="14.25" hidden="false" customHeight="true" outlineLevel="0" collapsed="false">
      <c r="A1498" s="40" t="s">
        <v>87</v>
      </c>
      <c r="B1498" s="40" t="s">
        <v>148</v>
      </c>
      <c r="C1498" s="40" t="s">
        <v>163</v>
      </c>
      <c r="D1498" s="41" t="n">
        <v>7</v>
      </c>
      <c r="E1498" s="42" t="n">
        <v>29.74</v>
      </c>
      <c r="F1498" s="43" t="n">
        <f aca="false">IFERROR(D1498*E1498,0)</f>
        <v>208.18</v>
      </c>
      <c r="G1498" s="40" t="str">
        <f aca="false">INDEX(SETORES!$B:$B,MATCH(A1498,SETORES!$A:$A,0))</f>
        <v>Clientes</v>
      </c>
      <c r="H1498" s="40" t="s">
        <v>21</v>
      </c>
    </row>
    <row r="1499" customFormat="false" ht="14.25" hidden="false" customHeight="true" outlineLevel="0" collapsed="false">
      <c r="A1499" s="16" t="s">
        <v>87</v>
      </c>
      <c r="B1499" s="16" t="s">
        <v>148</v>
      </c>
      <c r="C1499" s="16" t="s">
        <v>164</v>
      </c>
      <c r="D1499" s="38" t="n">
        <v>7</v>
      </c>
      <c r="E1499" s="39" t="n">
        <v>43.54</v>
      </c>
      <c r="F1499" s="22" t="n">
        <f aca="false">IFERROR(D1499*E1499,0)</f>
        <v>304.78</v>
      </c>
      <c r="G1499" s="16" t="str">
        <f aca="false">INDEX(SETORES!$B:$B,MATCH(A1499,SETORES!$A:$A,0))</f>
        <v>Clientes</v>
      </c>
      <c r="H1499" s="16" t="s">
        <v>21</v>
      </c>
    </row>
    <row r="1500" customFormat="false" ht="14.25" hidden="false" customHeight="true" outlineLevel="0" collapsed="false">
      <c r="A1500" s="40" t="s">
        <v>87</v>
      </c>
      <c r="B1500" s="40" t="s">
        <v>148</v>
      </c>
      <c r="C1500" s="40" t="s">
        <v>162</v>
      </c>
      <c r="D1500" s="41" t="n">
        <v>7</v>
      </c>
      <c r="E1500" s="42" t="n">
        <v>47.66</v>
      </c>
      <c r="F1500" s="43" t="n">
        <f aca="false">IFERROR(D1500*E1500,0)</f>
        <v>333.62</v>
      </c>
      <c r="G1500" s="40" t="str">
        <f aca="false">INDEX(SETORES!$B:$B,MATCH(A1500,SETORES!$A:$A,0))</f>
        <v>Clientes</v>
      </c>
      <c r="H1500" s="40" t="s">
        <v>21</v>
      </c>
    </row>
    <row r="1501" customFormat="false" ht="14.25" hidden="false" customHeight="true" outlineLevel="0" collapsed="false">
      <c r="A1501" s="16" t="s">
        <v>78</v>
      </c>
      <c r="B1501" s="16" t="s">
        <v>148</v>
      </c>
      <c r="C1501" s="16" t="s">
        <v>160</v>
      </c>
      <c r="D1501" s="38" t="n">
        <v>14</v>
      </c>
      <c r="E1501" s="39" t="n">
        <v>9.92</v>
      </c>
      <c r="F1501" s="22" t="n">
        <f aca="false">IFERROR(D1501*E1501,0)</f>
        <v>138.88</v>
      </c>
      <c r="G1501" s="16" t="str">
        <f aca="false">INDEX(SETORES!$B:$B,MATCH(A1501,SETORES!$A:$A,0))</f>
        <v>Clientes</v>
      </c>
      <c r="H1501" s="16" t="s">
        <v>21</v>
      </c>
    </row>
    <row r="1502" customFormat="false" ht="14.25" hidden="false" customHeight="true" outlineLevel="0" collapsed="false">
      <c r="A1502" s="40" t="s">
        <v>78</v>
      </c>
      <c r="B1502" s="40" t="s">
        <v>148</v>
      </c>
      <c r="C1502" s="40" t="s">
        <v>161</v>
      </c>
      <c r="D1502" s="41" t="n">
        <v>14</v>
      </c>
      <c r="E1502" s="42" t="n">
        <v>2.05</v>
      </c>
      <c r="F1502" s="43" t="n">
        <f aca="false">IFERROR(D1502*E1502,0)</f>
        <v>28.7</v>
      </c>
      <c r="G1502" s="40" t="str">
        <f aca="false">INDEX(SETORES!$B:$B,MATCH(A1502,SETORES!$A:$A,0))</f>
        <v>Clientes</v>
      </c>
      <c r="H1502" s="40" t="s">
        <v>21</v>
      </c>
    </row>
    <row r="1503" customFormat="false" ht="14.25" hidden="false" customHeight="true" outlineLevel="0" collapsed="false">
      <c r="A1503" s="16" t="s">
        <v>78</v>
      </c>
      <c r="B1503" s="16" t="s">
        <v>148</v>
      </c>
      <c r="C1503" s="16" t="s">
        <v>159</v>
      </c>
      <c r="D1503" s="38" t="n">
        <v>8</v>
      </c>
      <c r="E1503" s="39" t="n">
        <v>50</v>
      </c>
      <c r="F1503" s="22" t="n">
        <f aca="false">IFERROR(D1503*E1503,0)</f>
        <v>400</v>
      </c>
      <c r="G1503" s="16" t="str">
        <f aca="false">INDEX(SETORES!$B:$B,MATCH(A1503,SETORES!$A:$A,0))</f>
        <v>Clientes</v>
      </c>
      <c r="H1503" s="16" t="s">
        <v>21</v>
      </c>
    </row>
    <row r="1504" customFormat="false" ht="14.25" hidden="false" customHeight="true" outlineLevel="0" collapsed="false">
      <c r="A1504" s="40" t="s">
        <v>78</v>
      </c>
      <c r="B1504" s="40" t="s">
        <v>148</v>
      </c>
      <c r="C1504" s="40" t="s">
        <v>163</v>
      </c>
      <c r="D1504" s="41" t="n">
        <v>14</v>
      </c>
      <c r="E1504" s="42" t="n">
        <v>29.74</v>
      </c>
      <c r="F1504" s="43" t="n">
        <f aca="false">IFERROR(D1504*E1504,0)</f>
        <v>416.36</v>
      </c>
      <c r="G1504" s="40" t="str">
        <f aca="false">INDEX(SETORES!$B:$B,MATCH(A1504,SETORES!$A:$A,0))</f>
        <v>Clientes</v>
      </c>
      <c r="H1504" s="40" t="s">
        <v>21</v>
      </c>
    </row>
    <row r="1505" customFormat="false" ht="14.25" hidden="false" customHeight="true" outlineLevel="0" collapsed="false">
      <c r="A1505" s="16" t="s">
        <v>78</v>
      </c>
      <c r="B1505" s="16" t="s">
        <v>148</v>
      </c>
      <c r="C1505" s="16" t="s">
        <v>164</v>
      </c>
      <c r="D1505" s="38" t="n">
        <v>14</v>
      </c>
      <c r="E1505" s="39" t="n">
        <v>43.54</v>
      </c>
      <c r="F1505" s="22" t="n">
        <f aca="false">IFERROR(D1505*E1505,0)</f>
        <v>609.56</v>
      </c>
      <c r="G1505" s="16" t="str">
        <f aca="false">INDEX(SETORES!$B:$B,MATCH(A1505,SETORES!$A:$A,0))</f>
        <v>Clientes</v>
      </c>
      <c r="H1505" s="16" t="s">
        <v>21</v>
      </c>
    </row>
    <row r="1506" customFormat="false" ht="14.25" hidden="false" customHeight="true" outlineLevel="0" collapsed="false">
      <c r="A1506" s="40" t="s">
        <v>78</v>
      </c>
      <c r="B1506" s="40" t="s">
        <v>148</v>
      </c>
      <c r="C1506" s="40" t="s">
        <v>162</v>
      </c>
      <c r="D1506" s="41" t="n">
        <v>14</v>
      </c>
      <c r="E1506" s="42" t="n">
        <v>47.66</v>
      </c>
      <c r="F1506" s="43" t="n">
        <f aca="false">IFERROR(D1506*E1506,0)</f>
        <v>667.24</v>
      </c>
      <c r="G1506" s="40" t="str">
        <f aca="false">INDEX(SETORES!$B:$B,MATCH(A1506,SETORES!$A:$A,0))</f>
        <v>Clientes</v>
      </c>
      <c r="H1506" s="40" t="s">
        <v>21</v>
      </c>
    </row>
    <row r="1507" customFormat="false" ht="14.25" hidden="false" customHeight="true" outlineLevel="0" collapsed="false">
      <c r="A1507" s="16" t="s">
        <v>81</v>
      </c>
      <c r="B1507" s="16" t="s">
        <v>148</v>
      </c>
      <c r="C1507" s="16" t="s">
        <v>160</v>
      </c>
      <c r="D1507" s="38" t="n">
        <v>3</v>
      </c>
      <c r="E1507" s="39" t="n">
        <v>9.92</v>
      </c>
      <c r="F1507" s="22" t="n">
        <f aca="false">IFERROR(D1507*E1507,0)</f>
        <v>29.76</v>
      </c>
      <c r="G1507" s="16" t="str">
        <f aca="false">INDEX(SETORES!$B:$B,MATCH(A1507,SETORES!$A:$A,0))</f>
        <v>Clientes</v>
      </c>
      <c r="H1507" s="16" t="s">
        <v>21</v>
      </c>
    </row>
    <row r="1508" customFormat="false" ht="14.25" hidden="false" customHeight="true" outlineLevel="0" collapsed="false">
      <c r="A1508" s="40" t="s">
        <v>81</v>
      </c>
      <c r="B1508" s="40" t="s">
        <v>148</v>
      </c>
      <c r="C1508" s="40" t="s">
        <v>161</v>
      </c>
      <c r="D1508" s="41" t="n">
        <v>3</v>
      </c>
      <c r="E1508" s="42" t="n">
        <v>2.05</v>
      </c>
      <c r="F1508" s="43" t="n">
        <f aca="false">IFERROR(D1508*E1508,0)</f>
        <v>6.15</v>
      </c>
      <c r="G1508" s="40" t="str">
        <f aca="false">INDEX(SETORES!$B:$B,MATCH(A1508,SETORES!$A:$A,0))</f>
        <v>Clientes</v>
      </c>
      <c r="H1508" s="40" t="s">
        <v>21</v>
      </c>
    </row>
    <row r="1509" customFormat="false" ht="14.25" hidden="false" customHeight="true" outlineLevel="0" collapsed="false">
      <c r="A1509" s="16" t="s">
        <v>81</v>
      </c>
      <c r="B1509" s="16" t="s">
        <v>148</v>
      </c>
      <c r="C1509" s="16" t="s">
        <v>159</v>
      </c>
      <c r="D1509" s="38" t="n">
        <v>3</v>
      </c>
      <c r="E1509" s="39" t="n">
        <v>50</v>
      </c>
      <c r="F1509" s="22" t="n">
        <f aca="false">IFERROR(D1509*E1509,0)</f>
        <v>150</v>
      </c>
      <c r="G1509" s="16" t="str">
        <f aca="false">INDEX(SETORES!$B:$B,MATCH(A1509,SETORES!$A:$A,0))</f>
        <v>Clientes</v>
      </c>
      <c r="H1509" s="16" t="s">
        <v>21</v>
      </c>
    </row>
    <row r="1510" customFormat="false" ht="14.25" hidden="false" customHeight="true" outlineLevel="0" collapsed="false">
      <c r="A1510" s="40" t="s">
        <v>81</v>
      </c>
      <c r="B1510" s="40" t="s">
        <v>148</v>
      </c>
      <c r="C1510" s="40" t="s">
        <v>163</v>
      </c>
      <c r="D1510" s="41" t="n">
        <v>3</v>
      </c>
      <c r="E1510" s="42" t="n">
        <v>29.74</v>
      </c>
      <c r="F1510" s="43" t="n">
        <f aca="false">IFERROR(D1510*E1510,0)</f>
        <v>89.22</v>
      </c>
      <c r="G1510" s="40" t="str">
        <f aca="false">INDEX(SETORES!$B:$B,MATCH(A1510,SETORES!$A:$A,0))</f>
        <v>Clientes</v>
      </c>
      <c r="H1510" s="40" t="s">
        <v>21</v>
      </c>
    </row>
    <row r="1511" customFormat="false" ht="14.25" hidden="false" customHeight="true" outlineLevel="0" collapsed="false">
      <c r="A1511" s="16" t="s">
        <v>81</v>
      </c>
      <c r="B1511" s="16" t="s">
        <v>148</v>
      </c>
      <c r="C1511" s="16" t="s">
        <v>164</v>
      </c>
      <c r="D1511" s="38" t="n">
        <v>3</v>
      </c>
      <c r="E1511" s="39" t="n">
        <v>43.54</v>
      </c>
      <c r="F1511" s="22" t="n">
        <f aca="false">IFERROR(D1511*E1511,0)</f>
        <v>130.62</v>
      </c>
      <c r="G1511" s="16" t="str">
        <f aca="false">INDEX(SETORES!$B:$B,MATCH(A1511,SETORES!$A:$A,0))</f>
        <v>Clientes</v>
      </c>
      <c r="H1511" s="16" t="s">
        <v>21</v>
      </c>
    </row>
    <row r="1512" customFormat="false" ht="14.25" hidden="false" customHeight="true" outlineLevel="0" collapsed="false">
      <c r="A1512" s="40" t="s">
        <v>81</v>
      </c>
      <c r="B1512" s="40" t="s">
        <v>148</v>
      </c>
      <c r="C1512" s="40" t="s">
        <v>162</v>
      </c>
      <c r="D1512" s="41" t="n">
        <v>3</v>
      </c>
      <c r="E1512" s="42" t="n">
        <v>47.66</v>
      </c>
      <c r="F1512" s="43" t="n">
        <f aca="false">IFERROR(D1512*E1512,0)</f>
        <v>142.98</v>
      </c>
      <c r="G1512" s="40" t="str">
        <f aca="false">INDEX(SETORES!$B:$B,MATCH(A1512,SETORES!$A:$A,0))</f>
        <v>Clientes</v>
      </c>
      <c r="H1512" s="40" t="s">
        <v>21</v>
      </c>
    </row>
    <row r="1513" customFormat="false" ht="14.25" hidden="false" customHeight="true" outlineLevel="0" collapsed="false">
      <c r="A1513" s="16" t="s">
        <v>84</v>
      </c>
      <c r="B1513" s="16" t="s">
        <v>148</v>
      </c>
      <c r="C1513" s="16" t="s">
        <v>160</v>
      </c>
      <c r="D1513" s="38" t="n">
        <v>22</v>
      </c>
      <c r="E1513" s="39" t="n">
        <v>9.92</v>
      </c>
      <c r="F1513" s="22" t="n">
        <f aca="false">IFERROR(D1513*E1513,0)</f>
        <v>218.24</v>
      </c>
      <c r="G1513" s="16" t="str">
        <f aca="false">INDEX(SETORES!$B:$B,MATCH(A1513,SETORES!$A:$A,0))</f>
        <v>Clientes</v>
      </c>
      <c r="H1513" s="16" t="s">
        <v>21</v>
      </c>
    </row>
    <row r="1514" customFormat="false" ht="14.25" hidden="false" customHeight="true" outlineLevel="0" collapsed="false">
      <c r="A1514" s="40" t="s">
        <v>84</v>
      </c>
      <c r="B1514" s="40" t="s">
        <v>148</v>
      </c>
      <c r="C1514" s="40" t="s">
        <v>161</v>
      </c>
      <c r="D1514" s="41" t="n">
        <v>22</v>
      </c>
      <c r="E1514" s="42" t="n">
        <v>2.05</v>
      </c>
      <c r="F1514" s="43" t="n">
        <f aca="false">IFERROR(D1514*E1514,0)</f>
        <v>45.1</v>
      </c>
      <c r="G1514" s="40" t="str">
        <f aca="false">INDEX(SETORES!$B:$B,MATCH(A1514,SETORES!$A:$A,0))</f>
        <v>Clientes</v>
      </c>
      <c r="H1514" s="40" t="s">
        <v>21</v>
      </c>
    </row>
    <row r="1515" customFormat="false" ht="14.25" hidden="false" customHeight="true" outlineLevel="0" collapsed="false">
      <c r="A1515" s="16" t="s">
        <v>84</v>
      </c>
      <c r="B1515" s="16" t="s">
        <v>148</v>
      </c>
      <c r="C1515" s="16" t="s">
        <v>159</v>
      </c>
      <c r="D1515" s="38" t="n">
        <v>1</v>
      </c>
      <c r="E1515" s="39" t="n">
        <v>50</v>
      </c>
      <c r="F1515" s="22" t="n">
        <f aca="false">IFERROR(D1515*E1515,0)</f>
        <v>50</v>
      </c>
      <c r="G1515" s="16" t="str">
        <f aca="false">INDEX(SETORES!$B:$B,MATCH(A1515,SETORES!$A:$A,0))</f>
        <v>Clientes</v>
      </c>
      <c r="H1515" s="16" t="s">
        <v>21</v>
      </c>
    </row>
    <row r="1516" customFormat="false" ht="14.25" hidden="false" customHeight="true" outlineLevel="0" collapsed="false">
      <c r="A1516" s="40" t="s">
        <v>84</v>
      </c>
      <c r="B1516" s="40" t="s">
        <v>148</v>
      </c>
      <c r="C1516" s="40" t="s">
        <v>163</v>
      </c>
      <c r="D1516" s="41" t="n">
        <v>22</v>
      </c>
      <c r="E1516" s="42" t="n">
        <v>29.74</v>
      </c>
      <c r="F1516" s="43" t="n">
        <f aca="false">IFERROR(D1516*E1516,0)</f>
        <v>654.28</v>
      </c>
      <c r="G1516" s="40" t="str">
        <f aca="false">INDEX(SETORES!$B:$B,MATCH(A1516,SETORES!$A:$A,0))</f>
        <v>Clientes</v>
      </c>
      <c r="H1516" s="40" t="s">
        <v>21</v>
      </c>
    </row>
    <row r="1517" customFormat="false" ht="14.25" hidden="false" customHeight="true" outlineLevel="0" collapsed="false">
      <c r="A1517" s="16" t="s">
        <v>84</v>
      </c>
      <c r="B1517" s="16" t="s">
        <v>148</v>
      </c>
      <c r="C1517" s="16" t="s">
        <v>164</v>
      </c>
      <c r="D1517" s="38" t="n">
        <v>22</v>
      </c>
      <c r="E1517" s="39" t="n">
        <v>43.54</v>
      </c>
      <c r="F1517" s="22" t="n">
        <f aca="false">IFERROR(D1517*E1517,0)</f>
        <v>957.88</v>
      </c>
      <c r="G1517" s="16" t="str">
        <f aca="false">INDEX(SETORES!$B:$B,MATCH(A1517,SETORES!$A:$A,0))</f>
        <v>Clientes</v>
      </c>
      <c r="H1517" s="16" t="s">
        <v>21</v>
      </c>
    </row>
    <row r="1518" customFormat="false" ht="14.25" hidden="false" customHeight="true" outlineLevel="0" collapsed="false">
      <c r="A1518" s="40" t="s">
        <v>84</v>
      </c>
      <c r="B1518" s="40" t="s">
        <v>148</v>
      </c>
      <c r="C1518" s="40" t="s">
        <v>162</v>
      </c>
      <c r="D1518" s="41" t="n">
        <v>22</v>
      </c>
      <c r="E1518" s="42" t="n">
        <v>47.66</v>
      </c>
      <c r="F1518" s="43" t="n">
        <f aca="false">IFERROR(D1518*E1518,0)</f>
        <v>1048.52</v>
      </c>
      <c r="G1518" s="40" t="str">
        <f aca="false">INDEX(SETORES!$B:$B,MATCH(A1518,SETORES!$A:$A,0))</f>
        <v>Clientes</v>
      </c>
      <c r="H1518" s="40" t="s">
        <v>21</v>
      </c>
    </row>
    <row r="1519" customFormat="false" ht="14.25" hidden="false" customHeight="true" outlineLevel="0" collapsed="false">
      <c r="A1519" s="16" t="s">
        <v>82</v>
      </c>
      <c r="B1519" s="16" t="s">
        <v>148</v>
      </c>
      <c r="C1519" s="16" t="s">
        <v>160</v>
      </c>
      <c r="D1519" s="38" t="n">
        <v>8</v>
      </c>
      <c r="E1519" s="39" t="n">
        <v>9.92</v>
      </c>
      <c r="F1519" s="22" t="n">
        <f aca="false">IFERROR(D1519*E1519,0)</f>
        <v>79.36</v>
      </c>
      <c r="G1519" s="16" t="str">
        <f aca="false">INDEX(SETORES!$B:$B,MATCH(A1519,SETORES!$A:$A,0))</f>
        <v>Clientes</v>
      </c>
      <c r="H1519" s="16" t="s">
        <v>21</v>
      </c>
    </row>
    <row r="1520" customFormat="false" ht="14.25" hidden="false" customHeight="true" outlineLevel="0" collapsed="false">
      <c r="A1520" s="40" t="s">
        <v>82</v>
      </c>
      <c r="B1520" s="40" t="s">
        <v>148</v>
      </c>
      <c r="C1520" s="40" t="s">
        <v>161</v>
      </c>
      <c r="D1520" s="41" t="n">
        <v>8</v>
      </c>
      <c r="E1520" s="42" t="n">
        <v>2.05</v>
      </c>
      <c r="F1520" s="43" t="n">
        <f aca="false">IFERROR(D1520*E1520,0)</f>
        <v>16.4</v>
      </c>
      <c r="G1520" s="40" t="str">
        <f aca="false">INDEX(SETORES!$B:$B,MATCH(A1520,SETORES!$A:$A,0))</f>
        <v>Clientes</v>
      </c>
      <c r="H1520" s="40" t="s">
        <v>21</v>
      </c>
    </row>
    <row r="1521" customFormat="false" ht="14.25" hidden="false" customHeight="true" outlineLevel="0" collapsed="false">
      <c r="A1521" s="16" t="s">
        <v>82</v>
      </c>
      <c r="B1521" s="16" t="s">
        <v>148</v>
      </c>
      <c r="C1521" s="16" t="s">
        <v>159</v>
      </c>
      <c r="D1521" s="38" t="n">
        <v>1</v>
      </c>
      <c r="E1521" s="39" t="n">
        <v>50</v>
      </c>
      <c r="F1521" s="22" t="n">
        <f aca="false">IFERROR(D1521*E1521,0)</f>
        <v>50</v>
      </c>
      <c r="G1521" s="16" t="str">
        <f aca="false">INDEX(SETORES!$B:$B,MATCH(A1521,SETORES!$A:$A,0))</f>
        <v>Clientes</v>
      </c>
      <c r="H1521" s="16" t="s">
        <v>21</v>
      </c>
    </row>
    <row r="1522" customFormat="false" ht="14.25" hidden="false" customHeight="true" outlineLevel="0" collapsed="false">
      <c r="A1522" s="40" t="s">
        <v>82</v>
      </c>
      <c r="B1522" s="40" t="s">
        <v>148</v>
      </c>
      <c r="C1522" s="40" t="s">
        <v>163</v>
      </c>
      <c r="D1522" s="41" t="n">
        <v>8</v>
      </c>
      <c r="E1522" s="42" t="n">
        <v>29.74</v>
      </c>
      <c r="F1522" s="43" t="n">
        <f aca="false">IFERROR(D1522*E1522,0)</f>
        <v>237.92</v>
      </c>
      <c r="G1522" s="40" t="str">
        <f aca="false">INDEX(SETORES!$B:$B,MATCH(A1522,SETORES!$A:$A,0))</f>
        <v>Clientes</v>
      </c>
      <c r="H1522" s="40" t="s">
        <v>21</v>
      </c>
    </row>
    <row r="1523" customFormat="false" ht="14.25" hidden="false" customHeight="true" outlineLevel="0" collapsed="false">
      <c r="A1523" s="16" t="s">
        <v>82</v>
      </c>
      <c r="B1523" s="16" t="s">
        <v>148</v>
      </c>
      <c r="C1523" s="16" t="s">
        <v>164</v>
      </c>
      <c r="D1523" s="38" t="n">
        <v>8</v>
      </c>
      <c r="E1523" s="39" t="n">
        <v>43.54</v>
      </c>
      <c r="F1523" s="22" t="n">
        <f aca="false">IFERROR(D1523*E1523,0)</f>
        <v>348.32</v>
      </c>
      <c r="G1523" s="16" t="str">
        <f aca="false">INDEX(SETORES!$B:$B,MATCH(A1523,SETORES!$A:$A,0))</f>
        <v>Clientes</v>
      </c>
      <c r="H1523" s="16" t="s">
        <v>21</v>
      </c>
    </row>
    <row r="1524" customFormat="false" ht="14.25" hidden="false" customHeight="true" outlineLevel="0" collapsed="false">
      <c r="A1524" s="40" t="s">
        <v>82</v>
      </c>
      <c r="B1524" s="40" t="s">
        <v>148</v>
      </c>
      <c r="C1524" s="40" t="s">
        <v>162</v>
      </c>
      <c r="D1524" s="41" t="n">
        <v>8</v>
      </c>
      <c r="E1524" s="42" t="n">
        <v>47.66</v>
      </c>
      <c r="F1524" s="43" t="n">
        <f aca="false">IFERROR(D1524*E1524,0)</f>
        <v>381.28</v>
      </c>
      <c r="G1524" s="40" t="str">
        <f aca="false">INDEX(SETORES!$B:$B,MATCH(A1524,SETORES!$A:$A,0))</f>
        <v>Clientes</v>
      </c>
      <c r="H1524" s="40" t="s">
        <v>21</v>
      </c>
    </row>
    <row r="1525" customFormat="false" ht="14.25" hidden="false" customHeight="true" outlineLevel="0" collapsed="false">
      <c r="A1525" s="16" t="s">
        <v>80</v>
      </c>
      <c r="B1525" s="16" t="s">
        <v>148</v>
      </c>
      <c r="C1525" s="16" t="s">
        <v>160</v>
      </c>
      <c r="D1525" s="38" t="n">
        <v>3</v>
      </c>
      <c r="E1525" s="39" t="n">
        <v>9.92</v>
      </c>
      <c r="F1525" s="22" t="n">
        <f aca="false">IFERROR(D1525*E1525,0)</f>
        <v>29.76</v>
      </c>
      <c r="G1525" s="16" t="str">
        <f aca="false">INDEX(SETORES!$B:$B,MATCH(A1525,SETORES!$A:$A,0))</f>
        <v>Clientes</v>
      </c>
      <c r="H1525" s="16" t="s">
        <v>21</v>
      </c>
    </row>
    <row r="1526" customFormat="false" ht="14.25" hidden="false" customHeight="true" outlineLevel="0" collapsed="false">
      <c r="A1526" s="40" t="s">
        <v>80</v>
      </c>
      <c r="B1526" s="40" t="s">
        <v>148</v>
      </c>
      <c r="C1526" s="40" t="s">
        <v>161</v>
      </c>
      <c r="D1526" s="41" t="n">
        <v>3</v>
      </c>
      <c r="E1526" s="42" t="n">
        <v>2.05</v>
      </c>
      <c r="F1526" s="43" t="n">
        <f aca="false">IFERROR(D1526*E1526,0)</f>
        <v>6.15</v>
      </c>
      <c r="G1526" s="40" t="str">
        <f aca="false">INDEX(SETORES!$B:$B,MATCH(A1526,SETORES!$A:$A,0))</f>
        <v>Clientes</v>
      </c>
      <c r="H1526" s="40" t="s">
        <v>21</v>
      </c>
    </row>
    <row r="1527" customFormat="false" ht="14.25" hidden="false" customHeight="true" outlineLevel="0" collapsed="false">
      <c r="A1527" s="16" t="s">
        <v>80</v>
      </c>
      <c r="B1527" s="16" t="s">
        <v>148</v>
      </c>
      <c r="C1527" s="16" t="s">
        <v>159</v>
      </c>
      <c r="D1527" s="38" t="n">
        <v>2</v>
      </c>
      <c r="E1527" s="39" t="n">
        <v>50</v>
      </c>
      <c r="F1527" s="22" t="n">
        <f aca="false">IFERROR(D1527*E1527,0)</f>
        <v>100</v>
      </c>
      <c r="G1527" s="16" t="str">
        <f aca="false">INDEX(SETORES!$B:$B,MATCH(A1527,SETORES!$A:$A,0))</f>
        <v>Clientes</v>
      </c>
      <c r="H1527" s="16" t="s">
        <v>21</v>
      </c>
    </row>
    <row r="1528" customFormat="false" ht="14.25" hidden="false" customHeight="true" outlineLevel="0" collapsed="false">
      <c r="A1528" s="40" t="s">
        <v>80</v>
      </c>
      <c r="B1528" s="40" t="s">
        <v>148</v>
      </c>
      <c r="C1528" s="40" t="s">
        <v>163</v>
      </c>
      <c r="D1528" s="41" t="n">
        <v>3</v>
      </c>
      <c r="E1528" s="42" t="n">
        <v>29.74</v>
      </c>
      <c r="F1528" s="43" t="n">
        <f aca="false">IFERROR(D1528*E1528,0)</f>
        <v>89.22</v>
      </c>
      <c r="G1528" s="40" t="str">
        <f aca="false">INDEX(SETORES!$B:$B,MATCH(A1528,SETORES!$A:$A,0))</f>
        <v>Clientes</v>
      </c>
      <c r="H1528" s="40" t="s">
        <v>21</v>
      </c>
    </row>
    <row r="1529" customFormat="false" ht="14.25" hidden="false" customHeight="true" outlineLevel="0" collapsed="false">
      <c r="A1529" s="16" t="s">
        <v>80</v>
      </c>
      <c r="B1529" s="16" t="s">
        <v>148</v>
      </c>
      <c r="C1529" s="16" t="s">
        <v>164</v>
      </c>
      <c r="D1529" s="38" t="n">
        <v>3</v>
      </c>
      <c r="E1529" s="39" t="n">
        <v>43.54</v>
      </c>
      <c r="F1529" s="22" t="n">
        <f aca="false">IFERROR(D1529*E1529,0)</f>
        <v>130.62</v>
      </c>
      <c r="G1529" s="16" t="str">
        <f aca="false">INDEX(SETORES!$B:$B,MATCH(A1529,SETORES!$A:$A,0))</f>
        <v>Clientes</v>
      </c>
      <c r="H1529" s="16" t="s">
        <v>21</v>
      </c>
    </row>
    <row r="1530" customFormat="false" ht="14.25" hidden="false" customHeight="true" outlineLevel="0" collapsed="false">
      <c r="A1530" s="40" t="s">
        <v>80</v>
      </c>
      <c r="B1530" s="40" t="s">
        <v>148</v>
      </c>
      <c r="C1530" s="40" t="s">
        <v>162</v>
      </c>
      <c r="D1530" s="41" t="n">
        <v>3</v>
      </c>
      <c r="E1530" s="42" t="n">
        <v>47.66</v>
      </c>
      <c r="F1530" s="43" t="n">
        <f aca="false">IFERROR(D1530*E1530,0)</f>
        <v>142.98</v>
      </c>
      <c r="G1530" s="40" t="str">
        <f aca="false">INDEX(SETORES!$B:$B,MATCH(A1530,SETORES!$A:$A,0))</f>
        <v>Clientes</v>
      </c>
      <c r="H1530" s="40" t="s">
        <v>21</v>
      </c>
    </row>
    <row r="1531" customFormat="false" ht="14.25" hidden="false" customHeight="true" outlineLevel="0" collapsed="false">
      <c r="A1531" s="16" t="s">
        <v>87</v>
      </c>
      <c r="B1531" s="16" t="s">
        <v>148</v>
      </c>
      <c r="C1531" s="16" t="s">
        <v>231</v>
      </c>
      <c r="D1531" s="38" t="n">
        <v>1</v>
      </c>
      <c r="E1531" s="39" t="n">
        <v>6.862744</v>
      </c>
      <c r="F1531" s="22" t="n">
        <f aca="false">IFERROR(D1531*E1531,0)</f>
        <v>6.862744</v>
      </c>
      <c r="G1531" s="16" t="str">
        <f aca="false">INDEX(SETORES!$B:$B,MATCH(A1531,SETORES!$A:$A,0))</f>
        <v>Clientes</v>
      </c>
      <c r="H1531" s="16" t="s">
        <v>21</v>
      </c>
    </row>
    <row r="1532" customFormat="false" ht="14.25" hidden="false" customHeight="true" outlineLevel="0" collapsed="false">
      <c r="A1532" s="40" t="s">
        <v>85</v>
      </c>
      <c r="B1532" s="40" t="s">
        <v>148</v>
      </c>
      <c r="C1532" s="40" t="s">
        <v>231</v>
      </c>
      <c r="D1532" s="41" t="n">
        <v>1</v>
      </c>
      <c r="E1532" s="42" t="n">
        <v>128.68</v>
      </c>
      <c r="F1532" s="43" t="n">
        <f aca="false">IFERROR(D1532*E1532,0)</f>
        <v>128.68</v>
      </c>
      <c r="G1532" s="40" t="str">
        <f aca="false">INDEX(SETORES!$B:$B,MATCH(A1532,SETORES!$A:$A,0))</f>
        <v>Clientes</v>
      </c>
      <c r="H1532" s="40" t="s">
        <v>21</v>
      </c>
    </row>
    <row r="1533" customFormat="false" ht="14.25" hidden="false" customHeight="true" outlineLevel="0" collapsed="false">
      <c r="A1533" s="16" t="s">
        <v>31</v>
      </c>
      <c r="B1533" s="16" t="s">
        <v>148</v>
      </c>
      <c r="C1533" s="16" t="s">
        <v>231</v>
      </c>
      <c r="D1533" s="38" t="n">
        <v>1</v>
      </c>
      <c r="E1533" s="39" t="n">
        <v>200</v>
      </c>
      <c r="F1533" s="22" t="n">
        <f aca="false">IFERROR(D1533*E1533,0)</f>
        <v>200</v>
      </c>
      <c r="G1533" s="16" t="str">
        <f aca="false">INDEX(SETORES!$B:$B,MATCH(A1533,SETORES!$A:$A,0))</f>
        <v>Clientes</v>
      </c>
      <c r="H1533" s="16" t="s">
        <v>21</v>
      </c>
    </row>
    <row r="1534" customFormat="false" ht="14.25" hidden="false" customHeight="true" outlineLevel="0" collapsed="false">
      <c r="A1534" s="40" t="s">
        <v>78</v>
      </c>
      <c r="B1534" s="40" t="s">
        <v>148</v>
      </c>
      <c r="C1534" s="40" t="s">
        <v>231</v>
      </c>
      <c r="D1534" s="41" t="n">
        <v>1</v>
      </c>
      <c r="E1534" s="42" t="n">
        <v>220</v>
      </c>
      <c r="F1534" s="43" t="n">
        <f aca="false">IFERROR(D1534*E1534,0)</f>
        <v>220</v>
      </c>
      <c r="G1534" s="40" t="str">
        <f aca="false">INDEX(SETORES!$B:$B,MATCH(A1534,SETORES!$A:$A,0))</f>
        <v>Clientes</v>
      </c>
      <c r="H1534" s="40" t="s">
        <v>21</v>
      </c>
    </row>
    <row r="1535" customFormat="false" ht="14.25" hidden="false" customHeight="true" outlineLevel="0" collapsed="false">
      <c r="A1535" s="16" t="s">
        <v>49</v>
      </c>
      <c r="B1535" s="16" t="s">
        <v>148</v>
      </c>
      <c r="C1535" s="16" t="s">
        <v>231</v>
      </c>
      <c r="D1535" s="38" t="n">
        <v>1</v>
      </c>
      <c r="E1535" s="39" t="n">
        <v>250</v>
      </c>
      <c r="F1535" s="22" t="n">
        <f aca="false">IFERROR(D1535*E1535,0)</f>
        <v>250</v>
      </c>
      <c r="G1535" s="16" t="str">
        <f aca="false">INDEX(SETORES!$B:$B,MATCH(A1535,SETORES!$A:$A,0))</f>
        <v>Clientes</v>
      </c>
      <c r="H1535" s="16" t="s">
        <v>21</v>
      </c>
    </row>
    <row r="1536" customFormat="false" ht="14.25" hidden="false" customHeight="true" outlineLevel="0" collapsed="false">
      <c r="A1536" s="40" t="s">
        <v>83</v>
      </c>
      <c r="B1536" s="40" t="s">
        <v>148</v>
      </c>
      <c r="C1536" s="40" t="s">
        <v>231</v>
      </c>
      <c r="D1536" s="41" t="n">
        <v>1</v>
      </c>
      <c r="E1536" s="42" t="n">
        <v>0</v>
      </c>
      <c r="F1536" s="43" t="n">
        <f aca="false">IFERROR(D1536*E1536,0)</f>
        <v>0</v>
      </c>
      <c r="G1536" s="40" t="str">
        <f aca="false">INDEX(SETORES!$B:$B,MATCH(A1536,SETORES!$A:$A,0))</f>
        <v>Clientes</v>
      </c>
      <c r="H1536" s="40" t="s">
        <v>21</v>
      </c>
    </row>
    <row r="1537" customFormat="false" ht="14.25" hidden="false" customHeight="true" outlineLevel="0" collapsed="false">
      <c r="A1537" s="16" t="s">
        <v>41</v>
      </c>
      <c r="B1537" s="16" t="s">
        <v>148</v>
      </c>
      <c r="C1537" s="16" t="s">
        <v>159</v>
      </c>
      <c r="D1537" s="38" t="n">
        <v>1</v>
      </c>
      <c r="E1537" s="39" t="n">
        <v>50</v>
      </c>
      <c r="F1537" s="22" t="n">
        <f aca="false">IFERROR(D1537*E1537,0)</f>
        <v>50</v>
      </c>
      <c r="G1537" s="16" t="str">
        <f aca="false">INDEX(SETORES!$B:$B,MATCH(A1537,SETORES!$A:$A,0))</f>
        <v>Clientes</v>
      </c>
      <c r="H1537" s="16" t="s">
        <v>21</v>
      </c>
    </row>
    <row r="1538" customFormat="false" ht="14.25" hidden="false" customHeight="true" outlineLevel="0" collapsed="false">
      <c r="A1538" s="40" t="s">
        <v>83</v>
      </c>
      <c r="B1538" s="40" t="s">
        <v>148</v>
      </c>
      <c r="C1538" s="40" t="s">
        <v>230</v>
      </c>
      <c r="D1538" s="41" t="n">
        <v>1</v>
      </c>
      <c r="E1538" s="42" t="n">
        <v>7500</v>
      </c>
      <c r="F1538" s="43" t="n">
        <f aca="false">IFERROR(D1538*E1538,0)</f>
        <v>7500</v>
      </c>
      <c r="G1538" s="40" t="str">
        <f aca="false">INDEX(SETORES!$B:$B,MATCH(A1538,SETORES!$A:$A,0))</f>
        <v>Clientes</v>
      </c>
      <c r="H1538" s="40" t="s">
        <v>21</v>
      </c>
    </row>
    <row r="1539" customFormat="false" ht="14.25" hidden="false" customHeight="true" outlineLevel="0" collapsed="false">
      <c r="A1539" s="16" t="s">
        <v>79</v>
      </c>
      <c r="B1539" s="16" t="s">
        <v>148</v>
      </c>
      <c r="C1539" s="16" t="s">
        <v>154</v>
      </c>
      <c r="D1539" s="38" t="n">
        <v>1</v>
      </c>
      <c r="E1539" s="39" t="n">
        <v>22573.92</v>
      </c>
      <c r="F1539" s="22" t="n">
        <f aca="false">IFERROR(E1539,0)</f>
        <v>22573.92</v>
      </c>
      <c r="G1539" s="16" t="str">
        <f aca="false">INDEX(SETORES!$B:$B,MATCH(A1539,SETORES!$A:$A,0))</f>
        <v>Funcionários</v>
      </c>
      <c r="H1539" s="16" t="s">
        <v>21</v>
      </c>
    </row>
    <row r="1540" customFormat="false" ht="14.25" hidden="false" customHeight="true" outlineLevel="0" collapsed="false">
      <c r="A1540" s="40" t="s">
        <v>79</v>
      </c>
      <c r="B1540" s="40" t="s">
        <v>148</v>
      </c>
      <c r="C1540" s="40" t="s">
        <v>159</v>
      </c>
      <c r="D1540" s="41" t="n">
        <v>1</v>
      </c>
      <c r="E1540" s="42" t="n">
        <v>50</v>
      </c>
      <c r="F1540" s="43" t="n">
        <f aca="false">IFERROR(D1540*E1540,0)</f>
        <v>50</v>
      </c>
      <c r="G1540" s="40" t="str">
        <f aca="false">INDEX(SETORES!$B:$B,MATCH(A1540,SETORES!$A:$A,0))</f>
        <v>Funcionários</v>
      </c>
      <c r="H1540" s="40" t="s">
        <v>21</v>
      </c>
    </row>
    <row r="1541" customFormat="false" ht="14.25" hidden="false" customHeight="true" outlineLevel="0" collapsed="false">
      <c r="A1541" s="16" t="s">
        <v>78</v>
      </c>
      <c r="B1541" s="16" t="s">
        <v>155</v>
      </c>
      <c r="C1541" s="16" t="s">
        <v>202</v>
      </c>
      <c r="D1541" s="38" t="n">
        <v>14</v>
      </c>
      <c r="E1541" s="39" t="n">
        <v>76.92</v>
      </c>
      <c r="F1541" s="22" t="n">
        <f aca="false">IFERROR(D1541*E1541,0)</f>
        <v>1076.88</v>
      </c>
      <c r="G1541" s="16" t="str">
        <f aca="false">INDEX(SETORES!$B:$B,MATCH(A1541,SETORES!$A:$A,0))</f>
        <v>Clientes</v>
      </c>
      <c r="H1541" s="16" t="s">
        <v>21</v>
      </c>
    </row>
    <row r="1542" customFormat="false" ht="14.25" hidden="false" customHeight="true" outlineLevel="0" collapsed="false">
      <c r="A1542" s="40" t="s">
        <v>79</v>
      </c>
      <c r="B1542" s="40" t="s">
        <v>155</v>
      </c>
      <c r="C1542" s="40" t="s">
        <v>202</v>
      </c>
      <c r="D1542" s="41" t="n">
        <v>5</v>
      </c>
      <c r="E1542" s="42" t="n">
        <v>76.92</v>
      </c>
      <c r="F1542" s="43" t="n">
        <f aca="false">IFERROR(D1542*E1542,0)</f>
        <v>384.6</v>
      </c>
      <c r="G1542" s="40" t="str">
        <f aca="false">INDEX(SETORES!$B:$B,MATCH(A1542,SETORES!$A:$A,0))</f>
        <v>Funcionários</v>
      </c>
      <c r="H1542" s="40" t="s">
        <v>21</v>
      </c>
    </row>
    <row r="1543" customFormat="false" ht="14.25" hidden="false" customHeight="true" outlineLevel="0" collapsed="false">
      <c r="A1543" s="16" t="s">
        <v>78</v>
      </c>
      <c r="B1543" s="16" t="s">
        <v>148</v>
      </c>
      <c r="C1543" s="16" t="s">
        <v>151</v>
      </c>
      <c r="D1543" s="38" t="n">
        <v>14</v>
      </c>
      <c r="E1543" s="39" t="n">
        <v>21.2582</v>
      </c>
      <c r="F1543" s="22" t="n">
        <v>297.6148</v>
      </c>
      <c r="G1543" s="16" t="str">
        <f aca="false">INDEX(SETORES!$B:$B,MATCH(A1543,SETORES!$A:$A,0))</f>
        <v>Clientes</v>
      </c>
      <c r="H1543" s="16" t="s">
        <v>21</v>
      </c>
    </row>
    <row r="1544" customFormat="false" ht="14.25" hidden="false" customHeight="true" outlineLevel="0" collapsed="false">
      <c r="A1544" s="40" t="s">
        <v>78</v>
      </c>
      <c r="B1544" s="40" t="s">
        <v>148</v>
      </c>
      <c r="C1544" s="40" t="s">
        <v>152</v>
      </c>
      <c r="D1544" s="41" t="n">
        <v>14</v>
      </c>
      <c r="E1544" s="42" t="n">
        <v>3.3247</v>
      </c>
      <c r="F1544" s="43" t="n">
        <v>46.5458</v>
      </c>
      <c r="G1544" s="40" t="str">
        <f aca="false">INDEX(SETORES!$B:$B,MATCH(A1544,SETORES!$A:$A,0))</f>
        <v>Clientes</v>
      </c>
      <c r="H1544" s="40" t="s">
        <v>21</v>
      </c>
    </row>
    <row r="1545" customFormat="false" ht="14.25" hidden="false" customHeight="true" outlineLevel="0" collapsed="false">
      <c r="A1545" s="16" t="s">
        <v>79</v>
      </c>
      <c r="B1545" s="16" t="s">
        <v>148</v>
      </c>
      <c r="C1545" s="16" t="s">
        <v>151</v>
      </c>
      <c r="D1545" s="38" t="n">
        <v>5</v>
      </c>
      <c r="E1545" s="39" t="n">
        <v>21.2582</v>
      </c>
      <c r="F1545" s="22" t="n">
        <v>106.291</v>
      </c>
      <c r="G1545" s="16" t="str">
        <f aca="false">INDEX(SETORES!$B:$B,MATCH(A1545,SETORES!$A:$A,0))</f>
        <v>Funcionários</v>
      </c>
      <c r="H1545" s="16" t="s">
        <v>21</v>
      </c>
    </row>
    <row r="1546" customFormat="false" ht="14.25" hidden="false" customHeight="true" outlineLevel="0" collapsed="false">
      <c r="A1546" s="40" t="s">
        <v>79</v>
      </c>
      <c r="B1546" s="40" t="s">
        <v>148</v>
      </c>
      <c r="C1546" s="40" t="s">
        <v>152</v>
      </c>
      <c r="D1546" s="41" t="n">
        <v>5</v>
      </c>
      <c r="E1546" s="42" t="n">
        <v>3.3247</v>
      </c>
      <c r="F1546" s="43" t="n">
        <v>16.6235</v>
      </c>
      <c r="G1546" s="40" t="str">
        <f aca="false">INDEX(SETORES!$B:$B,MATCH(A1546,SETORES!$A:$A,0))</f>
        <v>Funcionários</v>
      </c>
      <c r="H1546" s="40" t="s">
        <v>21</v>
      </c>
    </row>
    <row r="1547" customFormat="false" ht="14.25" hidden="false" customHeight="true" outlineLevel="0" collapsed="false">
      <c r="A1547" s="16" t="s">
        <v>78</v>
      </c>
      <c r="B1547" s="16" t="s">
        <v>155</v>
      </c>
      <c r="C1547" s="16" t="s">
        <v>215</v>
      </c>
      <c r="D1547" s="38"/>
      <c r="E1547" s="39"/>
      <c r="F1547" s="22" t="n">
        <f aca="false">IFERROR(D1547*E1547,0)</f>
        <v>0</v>
      </c>
      <c r="G1547" s="16" t="str">
        <f aca="false">INDEX(SETORES!$B:$B,MATCH(A1547,SETORES!$A:$A,0))</f>
        <v>Clientes</v>
      </c>
      <c r="H1547" s="16" t="s">
        <v>21</v>
      </c>
    </row>
    <row r="1548" customFormat="false" ht="14.25" hidden="false" customHeight="true" outlineLevel="0" collapsed="false">
      <c r="A1548" s="40" t="s">
        <v>43</v>
      </c>
      <c r="B1548" s="40" t="s">
        <v>155</v>
      </c>
      <c r="C1548" s="40" t="s">
        <v>215</v>
      </c>
      <c r="D1548" s="41"/>
      <c r="E1548" s="42"/>
      <c r="F1548" s="43" t="n">
        <f aca="false">IFERROR(D1548*E1548,0)</f>
        <v>0</v>
      </c>
      <c r="G1548" s="40" t="str">
        <f aca="false">INDEX(SETORES!$B:$B,MATCH(A1548,SETORES!$A:$A,0))</f>
        <v>Clientes</v>
      </c>
      <c r="H1548" s="40" t="s">
        <v>21</v>
      </c>
    </row>
    <row r="1549" customFormat="false" ht="14.25" hidden="false" customHeight="true" outlineLevel="0" collapsed="false">
      <c r="A1549" s="16" t="s">
        <v>41</v>
      </c>
      <c r="B1549" s="16" t="s">
        <v>155</v>
      </c>
      <c r="C1549" s="16" t="s">
        <v>215</v>
      </c>
      <c r="D1549" s="38"/>
      <c r="E1549" s="39"/>
      <c r="F1549" s="22" t="n">
        <f aca="false">IFERROR(D1549*E1549,0)</f>
        <v>0</v>
      </c>
      <c r="G1549" s="16" t="str">
        <f aca="false">INDEX(SETORES!$B:$B,MATCH(A1549,SETORES!$A:$A,0))</f>
        <v>Clientes</v>
      </c>
      <c r="H1549" s="16" t="s">
        <v>21</v>
      </c>
    </row>
    <row r="1550" customFormat="false" ht="14.25" hidden="false" customHeight="true" outlineLevel="0" collapsed="false">
      <c r="A1550" s="40" t="s">
        <v>79</v>
      </c>
      <c r="B1550" s="40" t="s">
        <v>155</v>
      </c>
      <c r="C1550" s="40" t="s">
        <v>215</v>
      </c>
      <c r="D1550" s="41"/>
      <c r="E1550" s="42"/>
      <c r="F1550" s="43" t="n">
        <f aca="false">IFERROR(D1550*E1550,0)</f>
        <v>0</v>
      </c>
      <c r="G1550" s="40" t="str">
        <f aca="false">INDEX(SETORES!$B:$B,MATCH(A1550,SETORES!$A:$A,0))</f>
        <v>Funcionários</v>
      </c>
      <c r="H1550" s="40" t="s">
        <v>21</v>
      </c>
    </row>
    <row r="1551" customFormat="false" ht="14.25" hidden="false" customHeight="true" outlineLevel="0" collapsed="false">
      <c r="A1551" s="16" t="s">
        <v>80</v>
      </c>
      <c r="B1551" s="16" t="s">
        <v>155</v>
      </c>
      <c r="C1551" s="16" t="s">
        <v>215</v>
      </c>
      <c r="D1551" s="38"/>
      <c r="E1551" s="39"/>
      <c r="F1551" s="22" t="n">
        <f aca="false">IFERROR(D1551*E1551,0)</f>
        <v>0</v>
      </c>
      <c r="G1551" s="16" t="str">
        <f aca="false">INDEX(SETORES!$B:$B,MATCH(A1551,SETORES!$A:$A,0))</f>
        <v>Clientes</v>
      </c>
      <c r="H1551" s="16" t="s">
        <v>21</v>
      </c>
    </row>
    <row r="1552" customFormat="false" ht="14.25" hidden="false" customHeight="true" outlineLevel="0" collapsed="false">
      <c r="A1552" s="40" t="s">
        <v>42</v>
      </c>
      <c r="B1552" s="40" t="s">
        <v>155</v>
      </c>
      <c r="C1552" s="40" t="s">
        <v>215</v>
      </c>
      <c r="D1552" s="41"/>
      <c r="E1552" s="42"/>
      <c r="F1552" s="43" t="n">
        <f aca="false">IFERROR(D1552*E1552,0)</f>
        <v>0</v>
      </c>
      <c r="G1552" s="40" t="str">
        <f aca="false">INDEX(SETORES!$B:$B,MATCH(A1552,SETORES!$A:$A,0))</f>
        <v>Clientes</v>
      </c>
      <c r="H1552" s="40" t="s">
        <v>21</v>
      </c>
    </row>
    <row r="1553" customFormat="false" ht="14.25" hidden="false" customHeight="true" outlineLevel="0" collapsed="false">
      <c r="A1553" s="16" t="s">
        <v>36</v>
      </c>
      <c r="B1553" s="16" t="s">
        <v>155</v>
      </c>
      <c r="C1553" s="16" t="s">
        <v>215</v>
      </c>
      <c r="D1553" s="38"/>
      <c r="E1553" s="39"/>
      <c r="F1553" s="22" t="n">
        <f aca="false">IFERROR(D1553*E1553,0)</f>
        <v>0</v>
      </c>
      <c r="G1553" s="16" t="str">
        <f aca="false">INDEX(SETORES!$B:$B,MATCH(A1553,SETORES!$A:$A,0))</f>
        <v>Clientes</v>
      </c>
      <c r="H1553" s="16" t="s">
        <v>21</v>
      </c>
    </row>
    <row r="1554" customFormat="false" ht="14.25" hidden="false" customHeight="true" outlineLevel="0" collapsed="false">
      <c r="A1554" s="40" t="s">
        <v>81</v>
      </c>
      <c r="B1554" s="40" t="s">
        <v>155</v>
      </c>
      <c r="C1554" s="40" t="s">
        <v>215</v>
      </c>
      <c r="D1554" s="41"/>
      <c r="E1554" s="42"/>
      <c r="F1554" s="43" t="n">
        <f aca="false">IFERROR(D1554*E1554,0)</f>
        <v>0</v>
      </c>
      <c r="G1554" s="40" t="str">
        <f aca="false">INDEX(SETORES!$B:$B,MATCH(A1554,SETORES!$A:$A,0))</f>
        <v>Clientes</v>
      </c>
      <c r="H1554" s="40" t="s">
        <v>21</v>
      </c>
    </row>
    <row r="1555" customFormat="false" ht="14.25" hidden="false" customHeight="true" outlineLevel="0" collapsed="false">
      <c r="A1555" s="16" t="s">
        <v>82</v>
      </c>
      <c r="B1555" s="16" t="s">
        <v>155</v>
      </c>
      <c r="C1555" s="16" t="s">
        <v>215</v>
      </c>
      <c r="D1555" s="38"/>
      <c r="E1555" s="39"/>
      <c r="F1555" s="22" t="n">
        <f aca="false">IFERROR(D1555*E1555,0)</f>
        <v>0</v>
      </c>
      <c r="G1555" s="16" t="str">
        <f aca="false">INDEX(SETORES!$B:$B,MATCH(A1555,SETORES!$A:$A,0))</f>
        <v>Clientes</v>
      </c>
      <c r="H1555" s="16" t="s">
        <v>21</v>
      </c>
    </row>
    <row r="1556" customFormat="false" ht="14.25" hidden="false" customHeight="true" outlineLevel="0" collapsed="false">
      <c r="A1556" s="40" t="s">
        <v>34</v>
      </c>
      <c r="B1556" s="40" t="s">
        <v>155</v>
      </c>
      <c r="C1556" s="40" t="s">
        <v>215</v>
      </c>
      <c r="D1556" s="41"/>
      <c r="E1556" s="42"/>
      <c r="F1556" s="43" t="n">
        <f aca="false">IFERROR(D1556*E1556,0)</f>
        <v>0</v>
      </c>
      <c r="G1556" s="40" t="str">
        <f aca="false">INDEX(SETORES!$B:$B,MATCH(A1556,SETORES!$A:$A,0))</f>
        <v>Clientes</v>
      </c>
      <c r="H1556" s="40" t="s">
        <v>21</v>
      </c>
    </row>
    <row r="1557" customFormat="false" ht="14.25" hidden="false" customHeight="true" outlineLevel="0" collapsed="false">
      <c r="A1557" s="16" t="s">
        <v>83</v>
      </c>
      <c r="B1557" s="16" t="s">
        <v>155</v>
      </c>
      <c r="C1557" s="16" t="s">
        <v>215</v>
      </c>
      <c r="D1557" s="38"/>
      <c r="E1557" s="39"/>
      <c r="F1557" s="22" t="n">
        <f aca="false">IFERROR(D1557*E1557,0)</f>
        <v>0</v>
      </c>
      <c r="G1557" s="16" t="str">
        <f aca="false">INDEX(SETORES!$B:$B,MATCH(A1557,SETORES!$A:$A,0))</f>
        <v>Clientes</v>
      </c>
      <c r="H1557" s="16" t="s">
        <v>21</v>
      </c>
    </row>
    <row r="1558" customFormat="false" ht="14.25" hidden="false" customHeight="true" outlineLevel="0" collapsed="false">
      <c r="A1558" s="40" t="s">
        <v>48</v>
      </c>
      <c r="B1558" s="40" t="s">
        <v>155</v>
      </c>
      <c r="C1558" s="40" t="s">
        <v>215</v>
      </c>
      <c r="D1558" s="41"/>
      <c r="E1558" s="42"/>
      <c r="F1558" s="43" t="n">
        <f aca="false">IFERROR(D1558*E1558,0)</f>
        <v>0</v>
      </c>
      <c r="G1558" s="40" t="str">
        <f aca="false">INDEX(SETORES!$B:$B,MATCH(A1558,SETORES!$A:$A,0))</f>
        <v>Clientes</v>
      </c>
      <c r="H1558" s="40" t="s">
        <v>21</v>
      </c>
    </row>
    <row r="1559" customFormat="false" ht="14.25" hidden="false" customHeight="true" outlineLevel="0" collapsed="false">
      <c r="A1559" s="16" t="s">
        <v>85</v>
      </c>
      <c r="B1559" s="16" t="s">
        <v>155</v>
      </c>
      <c r="C1559" s="16" t="s">
        <v>215</v>
      </c>
      <c r="D1559" s="38"/>
      <c r="E1559" s="39"/>
      <c r="F1559" s="22" t="n">
        <f aca="false">IFERROR(D1559*E1559,0)</f>
        <v>0</v>
      </c>
      <c r="G1559" s="16" t="str">
        <f aca="false">INDEX(SETORES!$B:$B,MATCH(A1559,SETORES!$A:$A,0))</f>
        <v>Clientes</v>
      </c>
      <c r="H1559" s="16" t="s">
        <v>21</v>
      </c>
    </row>
    <row r="1560" customFormat="false" ht="14.25" hidden="false" customHeight="true" outlineLevel="0" collapsed="false">
      <c r="A1560" s="40" t="s">
        <v>49</v>
      </c>
      <c r="B1560" s="40" t="s">
        <v>155</v>
      </c>
      <c r="C1560" s="40" t="s">
        <v>215</v>
      </c>
      <c r="D1560" s="41"/>
      <c r="E1560" s="42"/>
      <c r="F1560" s="43" t="n">
        <f aca="false">IFERROR(D1560*E1560,0)</f>
        <v>0</v>
      </c>
      <c r="G1560" s="40" t="str">
        <f aca="false">INDEX(SETORES!$B:$B,MATCH(A1560,SETORES!$A:$A,0))</f>
        <v>Clientes</v>
      </c>
      <c r="H1560" s="40" t="s">
        <v>21</v>
      </c>
    </row>
    <row r="1561" customFormat="false" ht="14.25" hidden="false" customHeight="true" outlineLevel="0" collapsed="false">
      <c r="A1561" s="16" t="s">
        <v>86</v>
      </c>
      <c r="B1561" s="16" t="s">
        <v>155</v>
      </c>
      <c r="C1561" s="16" t="s">
        <v>215</v>
      </c>
      <c r="D1561" s="38"/>
      <c r="E1561" s="39"/>
      <c r="F1561" s="22" t="n">
        <f aca="false">IFERROR(D1561*E1561,0)</f>
        <v>0</v>
      </c>
      <c r="G1561" s="16" t="str">
        <f aca="false">INDEX(SETORES!$B:$B,MATCH(A1561,SETORES!$A:$A,0))</f>
        <v>Clientes</v>
      </c>
      <c r="H1561" s="16" t="s">
        <v>21</v>
      </c>
    </row>
    <row r="1562" customFormat="false" ht="14.25" hidden="false" customHeight="true" outlineLevel="0" collapsed="false">
      <c r="A1562" s="40" t="s">
        <v>32</v>
      </c>
      <c r="B1562" s="40" t="s">
        <v>155</v>
      </c>
      <c r="C1562" s="40" t="s">
        <v>215</v>
      </c>
      <c r="D1562" s="41"/>
      <c r="E1562" s="42"/>
      <c r="F1562" s="43" t="n">
        <f aca="false">IFERROR(D1562*E1562,0)</f>
        <v>0</v>
      </c>
      <c r="G1562" s="40" t="str">
        <f aca="false">INDEX(SETORES!$B:$B,MATCH(A1562,SETORES!$A:$A,0))</f>
        <v>Funcionários</v>
      </c>
      <c r="H1562" s="40" t="s">
        <v>21</v>
      </c>
    </row>
    <row r="1563" customFormat="false" ht="14.25" hidden="false" customHeight="true" outlineLevel="0" collapsed="false">
      <c r="A1563" s="16" t="s">
        <v>81</v>
      </c>
      <c r="B1563" s="16" t="s">
        <v>148</v>
      </c>
      <c r="C1563" s="16" t="s">
        <v>231</v>
      </c>
      <c r="D1563" s="38" t="n">
        <v>1</v>
      </c>
      <c r="E1563" s="39" t="n">
        <v>2.941176</v>
      </c>
      <c r="F1563" s="22" t="n">
        <f aca="false">IFERROR(D1563*E1563,0)</f>
        <v>2.941176</v>
      </c>
      <c r="G1563" s="16" t="str">
        <f aca="false">INDEX(SETORES!$B:$B,MATCH(A1563,SETORES!$A:$A,0))</f>
        <v>Clientes</v>
      </c>
      <c r="H1563" s="16" t="s">
        <v>21</v>
      </c>
    </row>
    <row r="1564" customFormat="false" ht="14.25" hidden="false" customHeight="true" outlineLevel="0" collapsed="false">
      <c r="A1564" s="40" t="s">
        <v>54</v>
      </c>
      <c r="B1564" s="40" t="s">
        <v>148</v>
      </c>
      <c r="C1564" s="40" t="s">
        <v>231</v>
      </c>
      <c r="D1564" s="41" t="n">
        <v>1</v>
      </c>
      <c r="E1564" s="42" t="n">
        <v>10.784312</v>
      </c>
      <c r="F1564" s="43" t="n">
        <f aca="false">IFERROR(D1564*E1564,0)</f>
        <v>10.784312</v>
      </c>
      <c r="G1564" s="40" t="str">
        <f aca="false">INDEX(SETORES!$B:$B,MATCH(A1564,SETORES!$A:$A,0))</f>
        <v>Clientes</v>
      </c>
      <c r="H1564" s="40" t="s">
        <v>21</v>
      </c>
    </row>
    <row r="1565" customFormat="false" ht="14.25" hidden="false" customHeight="true" outlineLevel="0" collapsed="false">
      <c r="A1565" s="16" t="s">
        <v>40</v>
      </c>
      <c r="B1565" s="16" t="s">
        <v>148</v>
      </c>
      <c r="C1565" s="16" t="s">
        <v>231</v>
      </c>
      <c r="D1565" s="38" t="n">
        <v>1</v>
      </c>
      <c r="E1565" s="39" t="n">
        <v>4.90196</v>
      </c>
      <c r="F1565" s="22" t="n">
        <f aca="false">IFERROR(D1565*E1565,0)</f>
        <v>4.90196</v>
      </c>
      <c r="G1565" s="16" t="str">
        <f aca="false">INDEX(SETORES!$B:$B,MATCH(A1565,SETORES!$A:$A,0))</f>
        <v>Clientes</v>
      </c>
      <c r="H1565" s="16" t="s">
        <v>21</v>
      </c>
    </row>
    <row r="1566" customFormat="false" ht="14.25" hidden="false" customHeight="true" outlineLevel="0" collapsed="false">
      <c r="A1566" s="40" t="s">
        <v>86</v>
      </c>
      <c r="B1566" s="40" t="s">
        <v>148</v>
      </c>
      <c r="C1566" s="40" t="s">
        <v>231</v>
      </c>
      <c r="D1566" s="41" t="n">
        <v>1</v>
      </c>
      <c r="E1566" s="42" t="n">
        <v>6.862744</v>
      </c>
      <c r="F1566" s="43" t="n">
        <f aca="false">IFERROR(D1566*E1566,0)</f>
        <v>6.862744</v>
      </c>
      <c r="G1566" s="40" t="str">
        <f aca="false">INDEX(SETORES!$B:$B,MATCH(A1566,SETORES!$A:$A,0))</f>
        <v>Clientes</v>
      </c>
      <c r="H1566" s="40" t="s">
        <v>21</v>
      </c>
    </row>
    <row r="1567" customFormat="false" ht="14.25" hidden="false" customHeight="true" outlineLevel="0" collapsed="false">
      <c r="A1567" s="16" t="s">
        <v>80</v>
      </c>
      <c r="B1567" s="16" t="s">
        <v>148</v>
      </c>
      <c r="C1567" s="16" t="s">
        <v>231</v>
      </c>
      <c r="D1567" s="38" t="n">
        <v>1</v>
      </c>
      <c r="E1567" s="39" t="n">
        <v>2.941176</v>
      </c>
      <c r="F1567" s="22" t="n">
        <f aca="false">IFERROR(D1567*E1567,0)</f>
        <v>2.941176</v>
      </c>
      <c r="G1567" s="16" t="str">
        <f aca="false">INDEX(SETORES!$B:$B,MATCH(A1567,SETORES!$A:$A,0))</f>
        <v>Clientes</v>
      </c>
      <c r="H1567" s="16" t="s">
        <v>21</v>
      </c>
    </row>
    <row r="1568" customFormat="false" ht="14.25" hidden="false" customHeight="true" outlineLevel="0" collapsed="false">
      <c r="A1568" s="40" t="s">
        <v>42</v>
      </c>
      <c r="B1568" s="40" t="s">
        <v>148</v>
      </c>
      <c r="C1568" s="40" t="s">
        <v>231</v>
      </c>
      <c r="D1568" s="41" t="n">
        <v>1</v>
      </c>
      <c r="E1568" s="42" t="n">
        <v>1.960784</v>
      </c>
      <c r="F1568" s="43" t="n">
        <f aca="false">IFERROR(D1568*E1568,0)</f>
        <v>1.960784</v>
      </c>
      <c r="G1568" s="40" t="str">
        <f aca="false">INDEX(SETORES!$B:$B,MATCH(A1568,SETORES!$A:$A,0))</f>
        <v>Clientes</v>
      </c>
      <c r="H1568" s="40" t="s">
        <v>21</v>
      </c>
    </row>
    <row r="1569" customFormat="false" ht="14.25" hidden="false" customHeight="true" outlineLevel="0" collapsed="false">
      <c r="A1569" s="16" t="s">
        <v>34</v>
      </c>
      <c r="B1569" s="16" t="s">
        <v>148</v>
      </c>
      <c r="C1569" s="16" t="s">
        <v>231</v>
      </c>
      <c r="D1569" s="38" t="n">
        <v>1</v>
      </c>
      <c r="E1569" s="39" t="n">
        <v>5.882352</v>
      </c>
      <c r="F1569" s="22" t="n">
        <f aca="false">IFERROR(D1569*E1569,0)</f>
        <v>5.882352</v>
      </c>
      <c r="G1569" s="16" t="str">
        <f aca="false">INDEX(SETORES!$B:$B,MATCH(A1569,SETORES!$A:$A,0))</f>
        <v>Clientes</v>
      </c>
      <c r="H1569" s="16" t="s">
        <v>21</v>
      </c>
    </row>
    <row r="1570" customFormat="false" ht="14.25" hidden="false" customHeight="true" outlineLevel="0" collapsed="false">
      <c r="A1570" s="40" t="s">
        <v>41</v>
      </c>
      <c r="B1570" s="40" t="s">
        <v>148</v>
      </c>
      <c r="C1570" s="40" t="s">
        <v>231</v>
      </c>
      <c r="D1570" s="41" t="n">
        <v>1</v>
      </c>
      <c r="E1570" s="42" t="n">
        <v>0.980392</v>
      </c>
      <c r="F1570" s="43" t="n">
        <f aca="false">IFERROR(D1570*E1570,0)</f>
        <v>0.980392</v>
      </c>
      <c r="G1570" s="40" t="str">
        <f aca="false">INDEX(SETORES!$B:$B,MATCH(A1570,SETORES!$A:$A,0))</f>
        <v>Clientes</v>
      </c>
      <c r="H1570" s="40" t="s">
        <v>21</v>
      </c>
    </row>
    <row r="1571" customFormat="false" ht="14.25" hidden="false" customHeight="true" outlineLevel="0" collapsed="false">
      <c r="A1571" s="16" t="s">
        <v>35</v>
      </c>
      <c r="B1571" s="16" t="s">
        <v>148</v>
      </c>
      <c r="C1571" s="16" t="s">
        <v>205</v>
      </c>
      <c r="D1571" s="38" t="n">
        <v>1</v>
      </c>
      <c r="E1571" s="39" t="n">
        <v>30</v>
      </c>
      <c r="F1571" s="22" t="n">
        <f aca="false">IFERROR(D1571*E1571,0)</f>
        <v>30</v>
      </c>
      <c r="G1571" s="16" t="str">
        <f aca="false">INDEX(SETORES!$B:$B,MATCH(A1571,SETORES!$A:$A,0))</f>
        <v>Clientes</v>
      </c>
      <c r="H1571" s="16" t="s">
        <v>21</v>
      </c>
    </row>
    <row r="1572" customFormat="false" ht="14.25" hidden="false" customHeight="true" outlineLevel="0" collapsed="false">
      <c r="A1572" s="40" t="s">
        <v>78</v>
      </c>
      <c r="B1572" s="40" t="s">
        <v>148</v>
      </c>
      <c r="C1572" s="40" t="s">
        <v>205</v>
      </c>
      <c r="D1572" s="41" t="n">
        <v>13</v>
      </c>
      <c r="E1572" s="42" t="n">
        <v>30</v>
      </c>
      <c r="F1572" s="43" t="n">
        <f aca="false">IFERROR(D1572*E1572,0)</f>
        <v>390</v>
      </c>
      <c r="G1572" s="40" t="str">
        <f aca="false">INDEX(SETORES!$B:$B,MATCH(A1572,SETORES!$A:$A,0))</f>
        <v>Clientes</v>
      </c>
      <c r="H1572" s="40" t="s">
        <v>21</v>
      </c>
    </row>
    <row r="1573" customFormat="false" ht="14.25" hidden="false" customHeight="true" outlineLevel="0" collapsed="false">
      <c r="A1573" s="16" t="s">
        <v>43</v>
      </c>
      <c r="B1573" s="16" t="s">
        <v>148</v>
      </c>
      <c r="C1573" s="16" t="s">
        <v>205</v>
      </c>
      <c r="D1573" s="38" t="n">
        <v>2</v>
      </c>
      <c r="E1573" s="39" t="n">
        <v>30</v>
      </c>
      <c r="F1573" s="22" t="n">
        <f aca="false">IFERROR(D1573*E1573,0)</f>
        <v>60</v>
      </c>
      <c r="G1573" s="16" t="str">
        <f aca="false">INDEX(SETORES!$B:$B,MATCH(A1573,SETORES!$A:$A,0))</f>
        <v>Clientes</v>
      </c>
      <c r="H1573" s="16" t="s">
        <v>21</v>
      </c>
    </row>
    <row r="1574" customFormat="false" ht="14.25" hidden="false" customHeight="true" outlineLevel="0" collapsed="false">
      <c r="A1574" s="40" t="s">
        <v>40</v>
      </c>
      <c r="B1574" s="40" t="s">
        <v>148</v>
      </c>
      <c r="C1574" s="40" t="s">
        <v>205</v>
      </c>
      <c r="D1574" s="41" t="n">
        <v>2</v>
      </c>
      <c r="E1574" s="42" t="n">
        <v>30</v>
      </c>
      <c r="F1574" s="43" t="n">
        <f aca="false">IFERROR(D1574*E1574,0)</f>
        <v>60</v>
      </c>
      <c r="G1574" s="40" t="str">
        <f aca="false">INDEX(SETORES!$B:$B,MATCH(A1574,SETORES!$A:$A,0))</f>
        <v>Clientes</v>
      </c>
      <c r="H1574" s="40" t="s">
        <v>21</v>
      </c>
    </row>
    <row r="1575" customFormat="false" ht="14.25" hidden="false" customHeight="true" outlineLevel="0" collapsed="false">
      <c r="A1575" s="16" t="s">
        <v>33</v>
      </c>
      <c r="B1575" s="16" t="s">
        <v>148</v>
      </c>
      <c r="C1575" s="16" t="s">
        <v>205</v>
      </c>
      <c r="D1575" s="38" t="n">
        <v>2</v>
      </c>
      <c r="E1575" s="39" t="n">
        <v>30</v>
      </c>
      <c r="F1575" s="22" t="n">
        <f aca="false">IFERROR(D1575*E1575,0)</f>
        <v>60</v>
      </c>
      <c r="G1575" s="16" t="str">
        <f aca="false">INDEX(SETORES!$B:$B,MATCH(A1575,SETORES!$A:$A,0))</f>
        <v>Funcionários</v>
      </c>
      <c r="H1575" s="16" t="s">
        <v>21</v>
      </c>
    </row>
    <row r="1576" customFormat="false" ht="14.25" hidden="false" customHeight="true" outlineLevel="0" collapsed="false">
      <c r="A1576" s="40" t="s">
        <v>45</v>
      </c>
      <c r="B1576" s="40" t="s">
        <v>148</v>
      </c>
      <c r="C1576" s="40" t="s">
        <v>205</v>
      </c>
      <c r="D1576" s="41" t="n">
        <v>8</v>
      </c>
      <c r="E1576" s="42" t="n">
        <v>30</v>
      </c>
      <c r="F1576" s="43" t="n">
        <f aca="false">IFERROR(D1576*E1576,0)</f>
        <v>240</v>
      </c>
      <c r="G1576" s="40" t="str">
        <f aca="false">INDEX(SETORES!$B:$B,MATCH(A1576,SETORES!$A:$A,0))</f>
        <v>Clientes</v>
      </c>
      <c r="H1576" s="40" t="s">
        <v>21</v>
      </c>
    </row>
    <row r="1577" customFormat="false" ht="14.25" hidden="false" customHeight="true" outlineLevel="0" collapsed="false">
      <c r="A1577" s="16" t="s">
        <v>36</v>
      </c>
      <c r="B1577" s="16" t="s">
        <v>148</v>
      </c>
      <c r="C1577" s="16" t="s">
        <v>205</v>
      </c>
      <c r="D1577" s="38" t="n">
        <v>2</v>
      </c>
      <c r="E1577" s="39" t="n">
        <v>30</v>
      </c>
      <c r="F1577" s="22" t="n">
        <f aca="false">IFERROR(D1577*E1577,0)</f>
        <v>60</v>
      </c>
      <c r="G1577" s="16" t="str">
        <f aca="false">INDEX(SETORES!$B:$B,MATCH(A1577,SETORES!$A:$A,0))</f>
        <v>Clientes</v>
      </c>
      <c r="H1577" s="16" t="s">
        <v>21</v>
      </c>
    </row>
    <row r="1578" customFormat="false" ht="14.25" hidden="false" customHeight="true" outlineLevel="0" collapsed="false">
      <c r="A1578" s="40" t="s">
        <v>81</v>
      </c>
      <c r="B1578" s="40" t="s">
        <v>148</v>
      </c>
      <c r="C1578" s="40" t="s">
        <v>205</v>
      </c>
      <c r="D1578" s="41" t="n">
        <v>2</v>
      </c>
      <c r="E1578" s="42" t="n">
        <v>30</v>
      </c>
      <c r="F1578" s="43" t="n">
        <f aca="false">IFERROR(D1578*E1578,0)</f>
        <v>60</v>
      </c>
      <c r="G1578" s="40" t="str">
        <f aca="false">INDEX(SETORES!$B:$B,MATCH(A1578,SETORES!$A:$A,0))</f>
        <v>Clientes</v>
      </c>
      <c r="H1578" s="40" t="s">
        <v>21</v>
      </c>
    </row>
    <row r="1579" customFormat="false" ht="14.25" hidden="false" customHeight="true" outlineLevel="0" collapsed="false">
      <c r="A1579" s="16" t="s">
        <v>34</v>
      </c>
      <c r="B1579" s="16" t="s">
        <v>148</v>
      </c>
      <c r="C1579" s="16" t="s">
        <v>205</v>
      </c>
      <c r="D1579" s="38" t="n">
        <v>2</v>
      </c>
      <c r="E1579" s="39" t="n">
        <v>30</v>
      </c>
      <c r="F1579" s="22" t="n">
        <f aca="false">IFERROR(D1579*E1579,0)</f>
        <v>60</v>
      </c>
      <c r="G1579" s="16" t="str">
        <f aca="false">INDEX(SETORES!$B:$B,MATCH(A1579,SETORES!$A:$A,0))</f>
        <v>Clientes</v>
      </c>
      <c r="H1579" s="16" t="s">
        <v>21</v>
      </c>
    </row>
    <row r="1580" customFormat="false" ht="14.25" hidden="false" customHeight="true" outlineLevel="0" collapsed="false">
      <c r="A1580" s="40" t="s">
        <v>83</v>
      </c>
      <c r="B1580" s="40" t="s">
        <v>148</v>
      </c>
      <c r="C1580" s="40" t="s">
        <v>205</v>
      </c>
      <c r="D1580" s="41" t="n">
        <v>2</v>
      </c>
      <c r="E1580" s="42" t="n">
        <v>30</v>
      </c>
      <c r="F1580" s="43" t="n">
        <f aca="false">IFERROR(D1580*E1580,0)</f>
        <v>60</v>
      </c>
      <c r="G1580" s="40" t="str">
        <f aca="false">INDEX(SETORES!$B:$B,MATCH(A1580,SETORES!$A:$A,0))</f>
        <v>Clientes</v>
      </c>
      <c r="H1580" s="40" t="s">
        <v>21</v>
      </c>
    </row>
    <row r="1581" customFormat="false" ht="14.25" hidden="false" customHeight="true" outlineLevel="0" collapsed="false">
      <c r="A1581" s="16" t="s">
        <v>48</v>
      </c>
      <c r="B1581" s="16" t="s">
        <v>148</v>
      </c>
      <c r="C1581" s="16" t="s">
        <v>205</v>
      </c>
      <c r="D1581" s="38" t="n">
        <v>7</v>
      </c>
      <c r="E1581" s="39" t="n">
        <v>30</v>
      </c>
      <c r="F1581" s="22" t="n">
        <f aca="false">IFERROR(D1581*E1581,0)</f>
        <v>210</v>
      </c>
      <c r="G1581" s="16" t="str">
        <f aca="false">INDEX(SETORES!$B:$B,MATCH(A1581,SETORES!$A:$A,0))</f>
        <v>Clientes</v>
      </c>
      <c r="H1581" s="16" t="s">
        <v>21</v>
      </c>
    </row>
    <row r="1582" customFormat="false" ht="14.25" hidden="false" customHeight="true" outlineLevel="0" collapsed="false">
      <c r="A1582" s="40" t="s">
        <v>47</v>
      </c>
      <c r="B1582" s="40" t="s">
        <v>148</v>
      </c>
      <c r="C1582" s="40" t="s">
        <v>205</v>
      </c>
      <c r="D1582" s="41" t="n">
        <v>7</v>
      </c>
      <c r="E1582" s="42" t="n">
        <v>30</v>
      </c>
      <c r="F1582" s="43" t="n">
        <f aca="false">IFERROR(D1582*E1582,0)</f>
        <v>210</v>
      </c>
      <c r="G1582" s="40" t="str">
        <f aca="false">INDEX(SETORES!$B:$B,MATCH(A1582,SETORES!$A:$A,0))</f>
        <v>Clientes</v>
      </c>
      <c r="H1582" s="40" t="s">
        <v>21</v>
      </c>
    </row>
    <row r="1583" customFormat="false" ht="14.25" hidden="false" customHeight="true" outlineLevel="0" collapsed="false">
      <c r="A1583" s="16" t="s">
        <v>85</v>
      </c>
      <c r="B1583" s="16" t="s">
        <v>148</v>
      </c>
      <c r="C1583" s="16" t="s">
        <v>205</v>
      </c>
      <c r="D1583" s="38" t="n">
        <v>10</v>
      </c>
      <c r="E1583" s="39" t="n">
        <v>30</v>
      </c>
      <c r="F1583" s="22" t="n">
        <f aca="false">IFERROR(D1583*E1583,0)</f>
        <v>300</v>
      </c>
      <c r="G1583" s="16" t="str">
        <f aca="false">INDEX(SETORES!$B:$B,MATCH(A1583,SETORES!$A:$A,0))</f>
        <v>Clientes</v>
      </c>
      <c r="H1583" s="16" t="s">
        <v>21</v>
      </c>
    </row>
    <row r="1584" customFormat="false" ht="14.25" hidden="false" customHeight="true" outlineLevel="0" collapsed="false">
      <c r="A1584" s="40" t="s">
        <v>31</v>
      </c>
      <c r="B1584" s="40" t="s">
        <v>148</v>
      </c>
      <c r="C1584" s="40" t="s">
        <v>205</v>
      </c>
      <c r="D1584" s="41" t="n">
        <v>3</v>
      </c>
      <c r="E1584" s="42" t="n">
        <v>30</v>
      </c>
      <c r="F1584" s="43" t="n">
        <f aca="false">IFERROR(D1584*E1584,0)</f>
        <v>90</v>
      </c>
      <c r="G1584" s="40" t="str">
        <f aca="false">INDEX(SETORES!$B:$B,MATCH(A1584,SETORES!$A:$A,0))</f>
        <v>Clientes</v>
      </c>
      <c r="H1584" s="40" t="s">
        <v>21</v>
      </c>
    </row>
    <row r="1585" customFormat="false" ht="14.25" hidden="false" customHeight="true" outlineLevel="0" collapsed="false">
      <c r="A1585" s="16" t="s">
        <v>46</v>
      </c>
      <c r="B1585" s="16" t="s">
        <v>148</v>
      </c>
      <c r="C1585" s="16" t="s">
        <v>205</v>
      </c>
      <c r="D1585" s="38" t="n">
        <v>5</v>
      </c>
      <c r="E1585" s="39" t="n">
        <v>30</v>
      </c>
      <c r="F1585" s="22" t="n">
        <f aca="false">IFERROR(D1585*E1585,0)</f>
        <v>150</v>
      </c>
      <c r="G1585" s="16" t="str">
        <f aca="false">INDEX(SETORES!$B:$B,MATCH(A1585,SETORES!$A:$A,0))</f>
        <v>Clientes</v>
      </c>
      <c r="H1585" s="16" t="s">
        <v>21</v>
      </c>
    </row>
    <row r="1586" customFormat="false" ht="14.25" hidden="false" customHeight="true" outlineLevel="0" collapsed="false">
      <c r="A1586" s="40" t="s">
        <v>86</v>
      </c>
      <c r="B1586" s="40" t="s">
        <v>148</v>
      </c>
      <c r="C1586" s="40" t="s">
        <v>205</v>
      </c>
      <c r="D1586" s="41" t="n">
        <v>4</v>
      </c>
      <c r="E1586" s="42" t="n">
        <v>30</v>
      </c>
      <c r="F1586" s="43" t="n">
        <f aca="false">IFERROR(D1586*E1586,0)</f>
        <v>120</v>
      </c>
      <c r="G1586" s="40" t="str">
        <f aca="false">INDEX(SETORES!$B:$B,MATCH(A1586,SETORES!$A:$A,0))</f>
        <v>Clientes</v>
      </c>
      <c r="H1586" s="40" t="s">
        <v>21</v>
      </c>
    </row>
    <row r="1587" customFormat="false" ht="14.25" hidden="false" customHeight="true" outlineLevel="0" collapsed="false">
      <c r="A1587" s="16" t="s">
        <v>32</v>
      </c>
      <c r="B1587" s="16" t="s">
        <v>148</v>
      </c>
      <c r="C1587" s="16" t="s">
        <v>205</v>
      </c>
      <c r="D1587" s="38" t="n">
        <v>3</v>
      </c>
      <c r="E1587" s="39" t="n">
        <v>30</v>
      </c>
      <c r="F1587" s="22" t="n">
        <f aca="false">IFERROR(D1587*E1587,0)</f>
        <v>90</v>
      </c>
      <c r="G1587" s="16" t="str">
        <f aca="false">INDEX(SETORES!$B:$B,MATCH(A1587,SETORES!$A:$A,0))</f>
        <v>Funcionários</v>
      </c>
      <c r="H1587" s="16" t="s">
        <v>21</v>
      </c>
    </row>
    <row r="1588" customFormat="false" ht="14.25" hidden="false" customHeight="true" outlineLevel="0" collapsed="false">
      <c r="A1588" s="40" t="s">
        <v>44</v>
      </c>
      <c r="B1588" s="40" t="s">
        <v>148</v>
      </c>
      <c r="C1588" s="40" t="s">
        <v>205</v>
      </c>
      <c r="D1588" s="41" t="n">
        <v>5</v>
      </c>
      <c r="E1588" s="42" t="n">
        <v>30</v>
      </c>
      <c r="F1588" s="43" t="n">
        <f aca="false">IFERROR(D1588*E1588,0)</f>
        <v>150</v>
      </c>
      <c r="G1588" s="40" t="str">
        <f aca="false">INDEX(SETORES!$B:$B,MATCH(A1588,SETORES!$A:$A,0))</f>
        <v>Funcionários</v>
      </c>
      <c r="H1588" s="40" t="s">
        <v>21</v>
      </c>
    </row>
    <row r="1589" customFormat="false" ht="14.25" hidden="false" customHeight="true" outlineLevel="0" collapsed="false">
      <c r="A1589" s="16" t="s">
        <v>87</v>
      </c>
      <c r="B1589" s="16" t="s">
        <v>148</v>
      </c>
      <c r="C1589" s="16" t="s">
        <v>205</v>
      </c>
      <c r="D1589" s="38" t="n">
        <v>5</v>
      </c>
      <c r="E1589" s="39" t="n">
        <v>30</v>
      </c>
      <c r="F1589" s="22" t="n">
        <f aca="false">IFERROR(D1589*E1589,0)</f>
        <v>150</v>
      </c>
      <c r="G1589" s="16" t="str">
        <f aca="false">INDEX(SETORES!$B:$B,MATCH(A1589,SETORES!$A:$A,0))</f>
        <v>Clientes</v>
      </c>
      <c r="H1589" s="16" t="s">
        <v>21</v>
      </c>
    </row>
    <row r="1590" customFormat="false" ht="14.25" hidden="false" customHeight="true" outlineLevel="0" collapsed="false">
      <c r="A1590" s="16" t="s">
        <v>135</v>
      </c>
      <c r="B1590" s="16" t="s">
        <v>148</v>
      </c>
      <c r="C1590" s="16" t="s">
        <v>154</v>
      </c>
      <c r="D1590" s="38" t="n">
        <v>1</v>
      </c>
      <c r="E1590" s="39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false" customHeight="true" outlineLevel="0" collapsed="false">
      <c r="A1591" s="40" t="s">
        <v>137</v>
      </c>
      <c r="B1591" s="40" t="s">
        <v>148</v>
      </c>
      <c r="C1591" s="40" t="s">
        <v>154</v>
      </c>
      <c r="D1591" s="41" t="n">
        <v>1</v>
      </c>
      <c r="E1591" s="42" t="n">
        <v>16470.48</v>
      </c>
      <c r="F1591" s="43" t="n">
        <f aca="false">IFERROR(E1591,0)</f>
        <v>16470.48</v>
      </c>
      <c r="G1591" s="40" t="str">
        <f aca="false">INDEX(SETORES!$B:$B,MATCH(A1591,SETORES!$A:$A,0))</f>
        <v>Funcionários</v>
      </c>
      <c r="H1591" s="40" t="s">
        <v>20</v>
      </c>
    </row>
    <row r="1592" customFormat="false" ht="14.25" hidden="false" customHeight="true" outlineLevel="0" collapsed="false">
      <c r="A1592" s="16" t="s">
        <v>34</v>
      </c>
      <c r="B1592" s="16" t="s">
        <v>148</v>
      </c>
      <c r="C1592" s="16" t="s">
        <v>240</v>
      </c>
      <c r="D1592" s="38" t="n">
        <v>1</v>
      </c>
      <c r="E1592" s="39" t="n">
        <v>2821.6</v>
      </c>
      <c r="F1592" s="22" t="n">
        <f aca="false">IFERROR(D1592*E1592,0)</f>
        <v>2821.6</v>
      </c>
      <c r="G1592" s="16" t="str">
        <f aca="false">INDEX(SETORES!$B:$B,MATCH(A1592,SETORES!$A:$A,0))</f>
        <v>Clientes</v>
      </c>
      <c r="H1592" s="16" t="s">
        <v>20</v>
      </c>
    </row>
    <row r="1593" customFormat="false" ht="14.25" hidden="false" customHeight="true" outlineLevel="0" collapsed="false">
      <c r="A1593" s="40" t="s">
        <v>35</v>
      </c>
      <c r="B1593" s="40" t="s">
        <v>148</v>
      </c>
      <c r="C1593" s="40" t="s">
        <v>240</v>
      </c>
      <c r="D1593" s="41" t="n">
        <v>1</v>
      </c>
      <c r="E1593" s="42" t="n">
        <v>2257.28</v>
      </c>
      <c r="F1593" s="43" t="n">
        <f aca="false">IFERROR(D1593*E1593,0)</f>
        <v>2257.28</v>
      </c>
      <c r="G1593" s="40" t="str">
        <f aca="false">INDEX(SETORES!$B:$B,MATCH(A1593,SETORES!$A:$A,0))</f>
        <v>Clientes</v>
      </c>
      <c r="H1593" s="40" t="s">
        <v>20</v>
      </c>
    </row>
    <row r="1594" customFormat="false" ht="14.25" hidden="false" customHeight="true" outlineLevel="0" collapsed="false">
      <c r="A1594" s="16" t="s">
        <v>135</v>
      </c>
      <c r="B1594" s="16" t="s">
        <v>148</v>
      </c>
      <c r="C1594" s="16" t="s">
        <v>240</v>
      </c>
      <c r="D1594" s="38" t="n">
        <v>1</v>
      </c>
      <c r="E1594" s="39" t="n">
        <v>1128.64</v>
      </c>
      <c r="F1594" s="22" t="n">
        <f aca="false">IFERROR(D1594*E1594,0)</f>
        <v>1128.64</v>
      </c>
      <c r="G1594" s="16" t="str">
        <f aca="false">INDEX(SETORES!$B:$B,MATCH(A1594,SETORES!$A:$A,0))</f>
        <v>Clientes</v>
      </c>
      <c r="H1594" s="16" t="s">
        <v>20</v>
      </c>
    </row>
    <row r="1595" customFormat="false" ht="14.25" hidden="false" customHeight="true" outlineLevel="0" collapsed="false">
      <c r="A1595" s="40" t="s">
        <v>37</v>
      </c>
      <c r="B1595" s="40" t="s">
        <v>148</v>
      </c>
      <c r="C1595" s="40" t="s">
        <v>241</v>
      </c>
      <c r="D1595" s="41" t="n">
        <v>1</v>
      </c>
      <c r="E1595" s="42" t="n">
        <v>4985.26</v>
      </c>
      <c r="F1595" s="43" t="n">
        <f aca="false">IFERROR(D1595*E1595,0)</f>
        <v>4985.26</v>
      </c>
      <c r="G1595" s="40" t="str">
        <f aca="false">INDEX(SETORES!$B:$B,MATCH(A1595,SETORES!$A:$A,0))</f>
        <v>Clientes</v>
      </c>
      <c r="H1595" s="40" t="s">
        <v>20</v>
      </c>
    </row>
    <row r="1596" customFormat="false" ht="14.25" hidden="false" customHeight="true" outlineLevel="0" collapsed="false">
      <c r="A1596" s="16" t="s">
        <v>38</v>
      </c>
      <c r="B1596" s="16" t="s">
        <v>148</v>
      </c>
      <c r="C1596" s="16" t="s">
        <v>241</v>
      </c>
      <c r="D1596" s="38" t="n">
        <v>1</v>
      </c>
      <c r="E1596" s="39" t="n">
        <v>1459.1</v>
      </c>
      <c r="F1596" s="22" t="n">
        <f aca="false">IFERROR(D1596*E1596,0)</f>
        <v>1459.1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false" customHeight="true" outlineLevel="0" collapsed="false">
      <c r="A1597" s="40" t="s">
        <v>39</v>
      </c>
      <c r="B1597" s="40" t="s">
        <v>148</v>
      </c>
      <c r="C1597" s="40" t="s">
        <v>241</v>
      </c>
      <c r="D1597" s="41" t="n">
        <v>1</v>
      </c>
      <c r="E1597" s="42" t="n">
        <v>1215.92</v>
      </c>
      <c r="F1597" s="43" t="n">
        <f aca="false">IFERROR(D1597*E1597,0)</f>
        <v>1215.92</v>
      </c>
      <c r="G1597" s="40" t="str">
        <f aca="false">INDEX(SETORES!$B:$B,MATCH(A1597,SETORES!$A:$A,0))</f>
        <v>Clientes</v>
      </c>
      <c r="H1597" s="40" t="s">
        <v>20</v>
      </c>
    </row>
    <row r="1598" customFormat="false" ht="14.25" hidden="false" customHeight="true" outlineLevel="0" collapsed="false">
      <c r="A1598" s="16" t="s">
        <v>51</v>
      </c>
      <c r="B1598" s="16" t="s">
        <v>148</v>
      </c>
      <c r="C1598" s="16" t="s">
        <v>241</v>
      </c>
      <c r="D1598" s="38" t="n">
        <v>1</v>
      </c>
      <c r="E1598" s="39" t="n">
        <v>1215.92</v>
      </c>
      <c r="F1598" s="22" t="n">
        <f aca="false">IFERROR(D1598*E1598,0)</f>
        <v>1215.92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false" customHeight="true" outlineLevel="0" collapsed="false">
      <c r="A1599" s="40" t="s">
        <v>53</v>
      </c>
      <c r="B1599" s="40" t="s">
        <v>148</v>
      </c>
      <c r="C1599" s="40" t="s">
        <v>241</v>
      </c>
      <c r="D1599" s="41" t="n">
        <v>1</v>
      </c>
      <c r="E1599" s="42" t="n">
        <v>3769.34</v>
      </c>
      <c r="F1599" s="43" t="n">
        <f aca="false">IFERROR(D1599*E1599,0)</f>
        <v>3769.34</v>
      </c>
      <c r="G1599" s="40" t="str">
        <f aca="false">INDEX(SETORES!$B:$B,MATCH(A1599,SETORES!$A:$A,0))</f>
        <v>Clientes</v>
      </c>
      <c r="H1599" s="40" t="s">
        <v>20</v>
      </c>
    </row>
    <row r="1600" customFormat="false" ht="14.25" hidden="false" customHeight="true" outlineLevel="0" collapsed="false">
      <c r="A1600" s="16" t="s">
        <v>52</v>
      </c>
      <c r="B1600" s="16" t="s">
        <v>148</v>
      </c>
      <c r="C1600" s="16" t="s">
        <v>241</v>
      </c>
      <c r="D1600" s="38" t="n">
        <v>1</v>
      </c>
      <c r="E1600" s="39" t="n">
        <v>1094.33</v>
      </c>
      <c r="F1600" s="22" t="n">
        <f aca="false">IFERROR(D1600*E1600,0)</f>
        <v>1094.33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false" customHeight="true" outlineLevel="0" collapsed="false">
      <c r="A1601" s="40" t="s">
        <v>45</v>
      </c>
      <c r="B1601" s="40" t="s">
        <v>148</v>
      </c>
      <c r="C1601" s="40" t="s">
        <v>242</v>
      </c>
      <c r="D1601" s="41" t="n">
        <v>1</v>
      </c>
      <c r="E1601" s="42" t="n">
        <v>1269.37</v>
      </c>
      <c r="F1601" s="43" t="n">
        <f aca="false">IFERROR(D1601*E1601,0)</f>
        <v>1269.37</v>
      </c>
      <c r="G1601" s="40" t="str">
        <f aca="false">INDEX(SETORES!$B:$B,MATCH(A1601,SETORES!$A:$A,0))</f>
        <v>Clientes</v>
      </c>
      <c r="H1601" s="40" t="s">
        <v>20</v>
      </c>
    </row>
    <row r="1602" customFormat="false" ht="14.25" hidden="false" customHeight="true" outlineLevel="0" collapsed="false">
      <c r="A1602" s="16" t="s">
        <v>46</v>
      </c>
      <c r="B1602" s="16" t="s">
        <v>148</v>
      </c>
      <c r="C1602" s="16" t="s">
        <v>242</v>
      </c>
      <c r="D1602" s="38" t="n">
        <v>1</v>
      </c>
      <c r="E1602" s="39" t="n">
        <v>4170.78</v>
      </c>
      <c r="F1602" s="22" t="n">
        <f aca="false">IFERROR(D1602*E1602,0)</f>
        <v>4170.78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false" customHeight="true" outlineLevel="0" collapsed="false">
      <c r="A1603" s="40" t="s">
        <v>47</v>
      </c>
      <c r="B1603" s="40" t="s">
        <v>148</v>
      </c>
      <c r="C1603" s="40" t="s">
        <v>242</v>
      </c>
      <c r="D1603" s="41" t="n">
        <v>1</v>
      </c>
      <c r="E1603" s="42" t="n">
        <v>2176.06</v>
      </c>
      <c r="F1603" s="43" t="n">
        <f aca="false">IFERROR(D1603*E1603,0)</f>
        <v>2176.06</v>
      </c>
      <c r="G1603" s="40" t="str">
        <f aca="false">INDEX(SETORES!$B:$B,MATCH(A1603,SETORES!$A:$A,0))</f>
        <v>Clientes</v>
      </c>
      <c r="H1603" s="40" t="s">
        <v>20</v>
      </c>
    </row>
    <row r="1604" customFormat="false" ht="14.25" hidden="false" customHeight="true" outlineLevel="0" collapsed="false">
      <c r="A1604" s="16" t="s">
        <v>84</v>
      </c>
      <c r="B1604" s="16" t="s">
        <v>148</v>
      </c>
      <c r="C1604" s="16" t="s">
        <v>242</v>
      </c>
      <c r="D1604" s="38" t="n">
        <v>1</v>
      </c>
      <c r="E1604" s="39" t="n">
        <v>3989.44</v>
      </c>
      <c r="F1604" s="22" t="n">
        <f aca="false">IFERROR(D1604*E1604,0)</f>
        <v>3989.44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false" customHeight="true" outlineLevel="0" collapsed="false">
      <c r="A1605" s="40" t="s">
        <v>82</v>
      </c>
      <c r="B1605" s="40" t="s">
        <v>148</v>
      </c>
      <c r="C1605" s="40" t="s">
        <v>242</v>
      </c>
      <c r="D1605" s="41" t="n">
        <v>1</v>
      </c>
      <c r="E1605" s="42" t="n">
        <v>1632.05</v>
      </c>
      <c r="F1605" s="43" t="n">
        <f aca="false">IFERROR(D1605*E1605,0)</f>
        <v>1632.05</v>
      </c>
      <c r="G1605" s="40" t="str">
        <f aca="false">INDEX(SETORES!$B:$B,MATCH(A1605,SETORES!$A:$A,0))</f>
        <v>Clientes</v>
      </c>
      <c r="H1605" s="40" t="s">
        <v>20</v>
      </c>
    </row>
    <row r="1606" customFormat="false" ht="14.25" hidden="false" customHeight="true" outlineLevel="0" collapsed="false">
      <c r="A1606" s="16" t="s">
        <v>137</v>
      </c>
      <c r="B1606" s="16" t="s">
        <v>148</v>
      </c>
      <c r="C1606" s="16" t="s">
        <v>242</v>
      </c>
      <c r="D1606" s="38" t="n">
        <v>1</v>
      </c>
      <c r="E1606" s="39" t="n">
        <v>906.69</v>
      </c>
      <c r="F1606" s="22" t="n">
        <f aca="false">IFERROR(D1606*E1606,0)</f>
        <v>906.69</v>
      </c>
      <c r="G1606" s="16" t="str">
        <f aca="false">INDEX(SETORES!$B:$B,MATCH(A1606,SETORES!$A:$A,0))</f>
        <v>Funcionários</v>
      </c>
      <c r="H1606" s="16" t="s">
        <v>20</v>
      </c>
    </row>
    <row r="1607" customFormat="false" ht="14.25" hidden="false" customHeight="true" outlineLevel="0" collapsed="false">
      <c r="A1607" s="40" t="s">
        <v>84</v>
      </c>
      <c r="B1607" s="40" t="s">
        <v>148</v>
      </c>
      <c r="C1607" s="40" t="s">
        <v>243</v>
      </c>
      <c r="D1607" s="41" t="n">
        <v>1</v>
      </c>
      <c r="E1607" s="42" t="n">
        <v>7772.95</v>
      </c>
      <c r="F1607" s="43" t="n">
        <f aca="false">IFERROR(D1607*E1607,0)</f>
        <v>7772.95</v>
      </c>
      <c r="G1607" s="40" t="str">
        <f aca="false">INDEX(SETORES!$B:$B,MATCH(A1607,SETORES!$A:$A,0))</f>
        <v>Clientes</v>
      </c>
      <c r="H1607" s="40" t="s">
        <v>20</v>
      </c>
    </row>
    <row r="1608" customFormat="false" ht="14.25" hidden="false" customHeight="true" outlineLevel="0" collapsed="false">
      <c r="A1608" s="16" t="s">
        <v>82</v>
      </c>
      <c r="B1608" s="16" t="s">
        <v>148</v>
      </c>
      <c r="C1608" s="16" t="s">
        <v>243</v>
      </c>
      <c r="D1608" s="38" t="n">
        <v>1</v>
      </c>
      <c r="E1608" s="39" t="n">
        <v>3179.85</v>
      </c>
      <c r="F1608" s="22" t="n">
        <f aca="false">IFERROR(D1608*E1608,0)</f>
        <v>3179.85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false" customHeight="true" outlineLevel="0" collapsed="false">
      <c r="A1609" s="40" t="s">
        <v>135</v>
      </c>
      <c r="B1609" s="40" t="s">
        <v>148</v>
      </c>
      <c r="C1609" s="40" t="s">
        <v>151</v>
      </c>
      <c r="D1609" s="41" t="n">
        <v>1</v>
      </c>
      <c r="E1609" s="42" t="n">
        <v>17.0216</v>
      </c>
      <c r="F1609" s="43" t="n">
        <v>17.0216</v>
      </c>
      <c r="G1609" s="40" t="s">
        <v>95</v>
      </c>
      <c r="H1609" s="40" t="s">
        <v>20</v>
      </c>
    </row>
    <row r="1610" customFormat="false" ht="14.25" hidden="false" customHeight="true" outlineLevel="0" collapsed="false">
      <c r="A1610" s="16" t="s">
        <v>85</v>
      </c>
      <c r="B1610" s="16" t="s">
        <v>148</v>
      </c>
      <c r="C1610" s="16" t="s">
        <v>151</v>
      </c>
      <c r="D1610" s="38" t="n">
        <v>1</v>
      </c>
      <c r="E1610" s="39" t="n">
        <v>102.1295</v>
      </c>
      <c r="F1610" s="22" t="n">
        <v>102.1295</v>
      </c>
      <c r="G1610" s="16" t="s">
        <v>95</v>
      </c>
      <c r="H1610" s="16" t="s">
        <v>20</v>
      </c>
    </row>
    <row r="1611" customFormat="false" ht="14.25" hidden="false" customHeight="true" outlineLevel="0" collapsed="false">
      <c r="A1611" s="40" t="s">
        <v>54</v>
      </c>
      <c r="B1611" s="40" t="s">
        <v>148</v>
      </c>
      <c r="C1611" s="40" t="s">
        <v>151</v>
      </c>
      <c r="D1611" s="41" t="n">
        <v>1</v>
      </c>
      <c r="E1611" s="42" t="n">
        <v>93.6187</v>
      </c>
      <c r="F1611" s="43" t="n">
        <v>93.6187</v>
      </c>
      <c r="G1611" s="40" t="s">
        <v>95</v>
      </c>
      <c r="H1611" s="40" t="s">
        <v>20</v>
      </c>
    </row>
    <row r="1612" customFormat="false" ht="14.25" hidden="false" customHeight="true" outlineLevel="0" collapsed="false">
      <c r="A1612" s="16" t="s">
        <v>87</v>
      </c>
      <c r="B1612" s="16" t="s">
        <v>148</v>
      </c>
      <c r="C1612" s="16" t="s">
        <v>151</v>
      </c>
      <c r="D1612" s="38" t="n">
        <v>1</v>
      </c>
      <c r="E1612" s="39" t="n">
        <v>51.0648</v>
      </c>
      <c r="F1612" s="22" t="n">
        <v>51.0648</v>
      </c>
      <c r="G1612" s="16" t="s">
        <v>95</v>
      </c>
      <c r="H1612" s="16" t="s">
        <v>20</v>
      </c>
    </row>
    <row r="1613" customFormat="false" ht="14.25" hidden="false" customHeight="true" outlineLevel="0" collapsed="false">
      <c r="A1613" s="40" t="s">
        <v>80</v>
      </c>
      <c r="B1613" s="40" t="s">
        <v>148</v>
      </c>
      <c r="C1613" s="40" t="s">
        <v>151</v>
      </c>
      <c r="D1613" s="41" t="n">
        <v>1</v>
      </c>
      <c r="E1613" s="42" t="n">
        <v>25.5324</v>
      </c>
      <c r="F1613" s="43" t="n">
        <v>25.5324</v>
      </c>
      <c r="G1613" s="40" t="s">
        <v>95</v>
      </c>
      <c r="H1613" s="40" t="s">
        <v>20</v>
      </c>
    </row>
    <row r="1614" customFormat="false" ht="14.25" hidden="false" customHeight="true" outlineLevel="0" collapsed="false">
      <c r="A1614" s="16" t="s">
        <v>135</v>
      </c>
      <c r="B1614" s="16" t="s">
        <v>148</v>
      </c>
      <c r="C1614" s="16" t="s">
        <v>160</v>
      </c>
      <c r="D1614" s="38" t="n">
        <v>2</v>
      </c>
      <c r="E1614" s="39" t="n">
        <v>10.05</v>
      </c>
      <c r="F1614" s="22" t="n">
        <f aca="false">IFERROR(D1614*E1614,0)</f>
        <v>20.1</v>
      </c>
      <c r="G1614" s="16" t="str">
        <f aca="false">INDEX(SETORES!$B:$B,MATCH(A1614,SETORES!$A:$A,0))</f>
        <v>Clientes</v>
      </c>
      <c r="H1614" s="16" t="s">
        <v>20</v>
      </c>
    </row>
    <row r="1615" customFormat="false" ht="14.25" hidden="false" customHeight="true" outlineLevel="0" collapsed="false">
      <c r="A1615" s="40" t="s">
        <v>135</v>
      </c>
      <c r="B1615" s="40" t="s">
        <v>148</v>
      </c>
      <c r="C1615" s="40" t="s">
        <v>161</v>
      </c>
      <c r="D1615" s="41" t="n">
        <v>2</v>
      </c>
      <c r="E1615" s="42" t="n">
        <v>2.07</v>
      </c>
      <c r="F1615" s="43" t="n">
        <f aca="false">IFERROR(D1615*E1615,0)</f>
        <v>4.14</v>
      </c>
      <c r="G1615" s="40" t="str">
        <f aca="false">INDEX(SETORES!$B:$B,MATCH(A1615,SETORES!$A:$A,0))</f>
        <v>Clientes</v>
      </c>
      <c r="H1615" s="40" t="s">
        <v>20</v>
      </c>
    </row>
    <row r="1616" customFormat="false" ht="14.25" hidden="false" customHeight="true" outlineLevel="0" collapsed="false">
      <c r="A1616" s="16" t="s">
        <v>135</v>
      </c>
      <c r="B1616" s="16" t="s">
        <v>148</v>
      </c>
      <c r="C1616" s="16" t="s">
        <v>163</v>
      </c>
      <c r="D1616" s="38" t="n">
        <v>2</v>
      </c>
      <c r="E1616" s="39" t="n">
        <v>28.31</v>
      </c>
      <c r="F1616" s="22" t="n">
        <f aca="false">IFERROR(D1616*E1616,0)</f>
        <v>56.62</v>
      </c>
      <c r="G1616" s="16" t="str">
        <f aca="false">INDEX(SETORES!$B:$B,MATCH(A1616,SETORES!$A:$A,0))</f>
        <v>Clientes</v>
      </c>
      <c r="H1616" s="16" t="s">
        <v>20</v>
      </c>
    </row>
    <row r="1617" customFormat="false" ht="14.25" hidden="false" customHeight="true" outlineLevel="0" collapsed="false">
      <c r="A1617" s="16" t="s">
        <v>135</v>
      </c>
      <c r="B1617" s="16" t="s">
        <v>148</v>
      </c>
      <c r="C1617" s="16" t="s">
        <v>164</v>
      </c>
      <c r="D1617" s="38" t="n">
        <v>2</v>
      </c>
      <c r="E1617" s="39" t="n">
        <v>47.79</v>
      </c>
      <c r="F1617" s="22" t="n">
        <f aca="false">IFERROR(D1617*E1617,0)</f>
        <v>95.58</v>
      </c>
      <c r="G1617" s="16" t="str">
        <f aca="false">INDEX(SETORES!$B:$B,MATCH(A1617,SETORES!$A:$A,0))</f>
        <v>Clientes</v>
      </c>
      <c r="H1617" s="16" t="s">
        <v>20</v>
      </c>
    </row>
    <row r="1618" customFormat="false" ht="14.25" hidden="false" customHeight="true" outlineLevel="0" collapsed="false">
      <c r="A1618" s="16" t="s">
        <v>135</v>
      </c>
      <c r="B1618" s="16" t="s">
        <v>148</v>
      </c>
      <c r="C1618" s="16" t="s">
        <v>162</v>
      </c>
      <c r="D1618" s="38" t="n">
        <v>2</v>
      </c>
      <c r="E1618" s="39" t="n">
        <v>64.57</v>
      </c>
      <c r="F1618" s="22" t="n">
        <f aca="false">IFERROR(D1618*E1618,0)</f>
        <v>129.14</v>
      </c>
      <c r="G1618" s="16" t="str">
        <f aca="false">INDEX(SETORES!$B:$B,MATCH(A1618,SETORES!$A:$A,0))</f>
        <v>Clientes</v>
      </c>
      <c r="H1618" s="16" t="s">
        <v>20</v>
      </c>
    </row>
    <row r="1619" customFormat="false" ht="14.25" hidden="false" customHeight="true" outlineLevel="0" collapsed="false">
      <c r="A1619" s="40" t="s">
        <v>135</v>
      </c>
      <c r="B1619" s="40" t="s">
        <v>148</v>
      </c>
      <c r="C1619" s="40" t="s">
        <v>205</v>
      </c>
      <c r="D1619" s="41" t="n">
        <v>1</v>
      </c>
      <c r="E1619" s="42" t="n">
        <v>30</v>
      </c>
      <c r="F1619" s="43" t="n">
        <f aca="false">IFERROR(D1619*E1619,0)</f>
        <v>30</v>
      </c>
      <c r="G1619" s="40" t="str">
        <f aca="false">INDEX(SETORES!$B:$B,MATCH(A1619,SETORES!$A:$A,0))</f>
        <v>Clientes</v>
      </c>
      <c r="H1619" s="40" t="s">
        <v>20</v>
      </c>
    </row>
    <row r="1620" customFormat="false" ht="14.25" hidden="false" customHeight="true" outlineLevel="0" collapsed="false">
      <c r="A1620" s="16" t="s">
        <v>137</v>
      </c>
      <c r="B1620" s="16" t="s">
        <v>148</v>
      </c>
      <c r="C1620" s="16" t="s">
        <v>160</v>
      </c>
      <c r="D1620" s="38" t="n">
        <v>5</v>
      </c>
      <c r="E1620" s="39" t="n">
        <v>10.05</v>
      </c>
      <c r="F1620" s="22" t="n">
        <f aca="false">IFERROR(D1620*E1620,0)</f>
        <v>50.25</v>
      </c>
      <c r="G1620" s="16" t="str">
        <f aca="false">INDEX(SETORES!$B:$B,MATCH(A1620,SETORES!$A:$A,0))</f>
        <v>Funcionários</v>
      </c>
      <c r="H1620" s="16" t="s">
        <v>20</v>
      </c>
    </row>
    <row r="1621" customFormat="false" ht="14.25" hidden="false" customHeight="true" outlineLevel="0" collapsed="false">
      <c r="A1621" s="40" t="s">
        <v>137</v>
      </c>
      <c r="B1621" s="40" t="s">
        <v>148</v>
      </c>
      <c r="C1621" s="40" t="s">
        <v>161</v>
      </c>
      <c r="D1621" s="41" t="n">
        <v>5</v>
      </c>
      <c r="E1621" s="42" t="n">
        <v>2.07</v>
      </c>
      <c r="F1621" s="43" t="n">
        <f aca="false">IFERROR(D1621*E1621,0)</f>
        <v>10.35</v>
      </c>
      <c r="G1621" s="40" t="str">
        <f aca="false">INDEX(SETORES!$B:$B,MATCH(A1621,SETORES!$A:$A,0))</f>
        <v>Funcionários</v>
      </c>
      <c r="H1621" s="40" t="s">
        <v>20</v>
      </c>
    </row>
    <row r="1622" customFormat="false" ht="14.25" hidden="false" customHeight="true" outlineLevel="0" collapsed="false">
      <c r="A1622" s="16" t="s">
        <v>137</v>
      </c>
      <c r="B1622" s="16" t="s">
        <v>148</v>
      </c>
      <c r="C1622" s="16" t="s">
        <v>163</v>
      </c>
      <c r="D1622" s="38" t="n">
        <v>5</v>
      </c>
      <c r="E1622" s="39" t="n">
        <v>28.31</v>
      </c>
      <c r="F1622" s="22" t="n">
        <f aca="false">IFERROR(D1622*E1622,0)</f>
        <v>141.55</v>
      </c>
      <c r="G1622" s="16" t="str">
        <f aca="false">INDEX(SETORES!$B:$B,MATCH(A1622,SETORES!$A:$A,0))</f>
        <v>Funcionários</v>
      </c>
      <c r="H1622" s="16" t="s">
        <v>20</v>
      </c>
    </row>
    <row r="1623" customFormat="false" ht="14.25" hidden="false" customHeight="true" outlineLevel="0" collapsed="false">
      <c r="A1623" s="16" t="s">
        <v>137</v>
      </c>
      <c r="B1623" s="16" t="s">
        <v>148</v>
      </c>
      <c r="C1623" s="16" t="s">
        <v>164</v>
      </c>
      <c r="D1623" s="38" t="n">
        <v>5</v>
      </c>
      <c r="E1623" s="39" t="n">
        <v>47.79</v>
      </c>
      <c r="F1623" s="22" t="n">
        <f aca="false">IFERROR(D1623*E1623,0)</f>
        <v>238.95</v>
      </c>
      <c r="G1623" s="16" t="str">
        <f aca="false">INDEX(SETORES!$B:$B,MATCH(A1623,SETORES!$A:$A,0))</f>
        <v>Funcionários</v>
      </c>
      <c r="H1623" s="16" t="s">
        <v>20</v>
      </c>
    </row>
    <row r="1624" customFormat="false" ht="14.25" hidden="false" customHeight="true" outlineLevel="0" collapsed="false">
      <c r="A1624" s="16" t="s">
        <v>137</v>
      </c>
      <c r="B1624" s="16" t="s">
        <v>148</v>
      </c>
      <c r="C1624" s="16" t="s">
        <v>162</v>
      </c>
      <c r="D1624" s="38" t="n">
        <v>5</v>
      </c>
      <c r="E1624" s="39" t="n">
        <v>64.57</v>
      </c>
      <c r="F1624" s="22" t="n">
        <f aca="false">IFERROR(D1624*E1624,0)</f>
        <v>322.85</v>
      </c>
      <c r="G1624" s="16" t="str">
        <f aca="false">INDEX(SETORES!$B:$B,MATCH(A1624,SETORES!$A:$A,0))</f>
        <v>Funcionários</v>
      </c>
      <c r="H1624" s="16" t="s">
        <v>20</v>
      </c>
    </row>
    <row r="1625" customFormat="false" ht="14.25" hidden="false" customHeight="true" outlineLevel="0" collapsed="false">
      <c r="A1625" s="16" t="s">
        <v>55</v>
      </c>
      <c r="B1625" s="16" t="s">
        <v>148</v>
      </c>
      <c r="C1625" s="16" t="s">
        <v>235</v>
      </c>
      <c r="D1625" s="38" t="n">
        <v>1</v>
      </c>
      <c r="E1625" s="39" t="n">
        <v>1787.15</v>
      </c>
      <c r="F1625" s="22" t="n">
        <f aca="false">IFERROR(D1625*E1625,0)</f>
        <v>1787.15</v>
      </c>
      <c r="G1625" s="16" t="str">
        <f aca="false">INDEX(SETORES!$B:$B,MATCH(A1625,SETORES!$A:$A,0))</f>
        <v>Funcionários</v>
      </c>
      <c r="H1625" s="16" t="s">
        <v>20</v>
      </c>
    </row>
    <row r="1626" customFormat="false" ht="14.25" hidden="false" customHeight="true" outlineLevel="0" collapsed="false">
      <c r="A1626" s="16" t="s">
        <v>79</v>
      </c>
      <c r="B1626" s="16" t="s">
        <v>148</v>
      </c>
      <c r="C1626" s="16" t="s">
        <v>242</v>
      </c>
      <c r="D1626" s="38" t="n">
        <v>1</v>
      </c>
      <c r="E1626" s="39" t="n">
        <v>1269.37</v>
      </c>
      <c r="F1626" s="22" t="n">
        <f aca="false">IFERROR(D1626*E1626,0)</f>
        <v>1269.37</v>
      </c>
      <c r="G1626" s="16" t="s">
        <v>97</v>
      </c>
      <c r="H1626" s="16" t="s">
        <v>20</v>
      </c>
    </row>
    <row r="1627" customFormat="false" ht="14.25" hidden="false" customHeight="true" outlineLevel="0" collapsed="false">
      <c r="A1627" s="40" t="s">
        <v>79</v>
      </c>
      <c r="B1627" s="40" t="s">
        <v>148</v>
      </c>
      <c r="C1627" s="40" t="s">
        <v>160</v>
      </c>
      <c r="D1627" s="41" t="n">
        <v>7</v>
      </c>
      <c r="E1627" s="42" t="n">
        <v>10.05</v>
      </c>
      <c r="F1627" s="43" t="n">
        <f aca="false">IFERROR(D1627*E1627,0)</f>
        <v>70.35</v>
      </c>
      <c r="G1627" s="40" t="s">
        <v>97</v>
      </c>
      <c r="H1627" s="40" t="s">
        <v>20</v>
      </c>
    </row>
    <row r="1628" customFormat="false" ht="14.25" hidden="false" customHeight="true" outlineLevel="0" collapsed="false">
      <c r="A1628" s="16" t="s">
        <v>79</v>
      </c>
      <c r="B1628" s="16" t="s">
        <v>148</v>
      </c>
      <c r="C1628" s="16" t="s">
        <v>161</v>
      </c>
      <c r="D1628" s="38" t="n">
        <v>7</v>
      </c>
      <c r="E1628" s="39" t="n">
        <v>2.07</v>
      </c>
      <c r="F1628" s="22" t="n">
        <f aca="false">IFERROR(D1628*E1628,0)</f>
        <v>14.49</v>
      </c>
      <c r="G1628" s="16" t="s">
        <v>97</v>
      </c>
      <c r="H1628" s="16" t="s">
        <v>20</v>
      </c>
    </row>
    <row r="1629" customFormat="false" ht="14.25" hidden="false" customHeight="true" outlineLevel="0" collapsed="false">
      <c r="A1629" s="40" t="s">
        <v>79</v>
      </c>
      <c r="B1629" s="40" t="s">
        <v>148</v>
      </c>
      <c r="C1629" s="40" t="s">
        <v>163</v>
      </c>
      <c r="D1629" s="41" t="n">
        <v>7</v>
      </c>
      <c r="E1629" s="42" t="n">
        <v>28.31</v>
      </c>
      <c r="F1629" s="43" t="n">
        <f aca="false">IFERROR(D1629*E1629,0)</f>
        <v>198.17</v>
      </c>
      <c r="G1629" s="40" t="s">
        <v>97</v>
      </c>
      <c r="H1629" s="40" t="s">
        <v>20</v>
      </c>
    </row>
    <row r="1630" customFormat="false" ht="14.25" hidden="false" customHeight="true" outlineLevel="0" collapsed="false">
      <c r="A1630" s="16" t="s">
        <v>79</v>
      </c>
      <c r="B1630" s="16" t="s">
        <v>148</v>
      </c>
      <c r="C1630" s="16" t="s">
        <v>164</v>
      </c>
      <c r="D1630" s="38" t="n">
        <v>7</v>
      </c>
      <c r="E1630" s="39" t="n">
        <v>47.79</v>
      </c>
      <c r="F1630" s="22" t="n">
        <f aca="false">IFERROR(D1630*E1630,0)</f>
        <v>334.53</v>
      </c>
      <c r="G1630" s="16" t="s">
        <v>97</v>
      </c>
      <c r="H1630" s="16" t="s">
        <v>20</v>
      </c>
    </row>
    <row r="1631" customFormat="false" ht="14.25" hidden="false" customHeight="true" outlineLevel="0" collapsed="false">
      <c r="A1631" s="40" t="s">
        <v>79</v>
      </c>
      <c r="B1631" s="40" t="s">
        <v>148</v>
      </c>
      <c r="C1631" s="40" t="s">
        <v>162</v>
      </c>
      <c r="D1631" s="41" t="n">
        <v>7</v>
      </c>
      <c r="E1631" s="42" t="n">
        <v>64.57</v>
      </c>
      <c r="F1631" s="43" t="n">
        <f aca="false">IFERROR(D1631*E1631,0)</f>
        <v>451.99</v>
      </c>
      <c r="G1631" s="40" t="s">
        <v>97</v>
      </c>
      <c r="H1631" s="40" t="s">
        <v>20</v>
      </c>
    </row>
    <row r="1632" customFormat="false" ht="14.25" hidden="false" customHeight="true" outlineLevel="0" collapsed="false">
      <c r="A1632" s="40" t="s">
        <v>135</v>
      </c>
      <c r="B1632" s="40" t="s">
        <v>148</v>
      </c>
      <c r="C1632" s="40" t="s">
        <v>154</v>
      </c>
      <c r="D1632" s="41" t="n">
        <v>1</v>
      </c>
      <c r="E1632" s="42" t="n">
        <v>7245.47</v>
      </c>
      <c r="F1632" s="43" t="n">
        <f aca="false">IFERROR(E1632,0)</f>
        <v>7245.47</v>
      </c>
      <c r="G1632" s="40" t="str">
        <f aca="false">INDEX(SETORES!$B:$B,MATCH(A1632,SETORES!$A:$A,0))</f>
        <v>Clientes</v>
      </c>
      <c r="H1632" s="40" t="s">
        <v>11</v>
      </c>
    </row>
    <row r="1633" customFormat="false" ht="14.25" hidden="false" customHeight="true" outlineLevel="0" collapsed="false">
      <c r="A1633" s="16" t="s">
        <v>137</v>
      </c>
      <c r="B1633" s="16" t="s">
        <v>148</v>
      </c>
      <c r="C1633" s="16" t="s">
        <v>154</v>
      </c>
      <c r="D1633" s="38" t="n">
        <v>1</v>
      </c>
      <c r="E1633" s="39" t="n">
        <v>33307.21</v>
      </c>
      <c r="F1633" s="22" t="n">
        <f aca="false">IFERROR(E1633,0)</f>
        <v>33307.21</v>
      </c>
      <c r="G1633" s="16" t="str">
        <f aca="false">INDEX(SETORES!$B:$B,MATCH(A1633,SETORES!$A:$A,0))</f>
        <v>Funcionários</v>
      </c>
      <c r="H1633" s="16" t="s">
        <v>11</v>
      </c>
    </row>
    <row r="1634" customFormat="false" ht="14.25" hidden="false" customHeight="true" outlineLevel="0" collapsed="false">
      <c r="A1634" s="40" t="s">
        <v>34</v>
      </c>
      <c r="B1634" s="40" t="s">
        <v>148</v>
      </c>
      <c r="C1634" s="40" t="s">
        <v>240</v>
      </c>
      <c r="D1634" s="41" t="n">
        <v>1</v>
      </c>
      <c r="E1634" s="42" t="n">
        <v>2962.14</v>
      </c>
      <c r="F1634" s="43" t="n">
        <f aca="false">IFERROR(D1634*E1634,0)</f>
        <v>2962.14</v>
      </c>
      <c r="G1634" s="40" t="str">
        <f aca="false">INDEX(SETORES!$B:$B,MATCH(A1634,SETORES!$A:$A,0))</f>
        <v>Clientes</v>
      </c>
      <c r="H1634" s="40" t="s">
        <v>11</v>
      </c>
    </row>
    <row r="1635" customFormat="false" ht="14.25" hidden="false" customHeight="true" outlineLevel="0" collapsed="false">
      <c r="A1635" s="16" t="s">
        <v>35</v>
      </c>
      <c r="B1635" s="16" t="s">
        <v>148</v>
      </c>
      <c r="C1635" s="16" t="s">
        <v>240</v>
      </c>
      <c r="D1635" s="38" t="n">
        <v>1</v>
      </c>
      <c r="E1635" s="39" t="n">
        <v>2369.71</v>
      </c>
      <c r="F1635" s="22" t="n">
        <f aca="false">IFERROR(D1635*E1635,0)</f>
        <v>2369.71</v>
      </c>
      <c r="G1635" s="16" t="str">
        <f aca="false">INDEX(SETORES!$B:$B,MATCH(A1635,SETORES!$A:$A,0))</f>
        <v>Clientes</v>
      </c>
      <c r="H1635" s="16" t="s">
        <v>11</v>
      </c>
    </row>
    <row r="1636" customFormat="false" ht="14.25" hidden="false" customHeight="true" outlineLevel="0" collapsed="false">
      <c r="A1636" s="40" t="s">
        <v>135</v>
      </c>
      <c r="B1636" s="40" t="s">
        <v>148</v>
      </c>
      <c r="C1636" s="40" t="s">
        <v>240</v>
      </c>
      <c r="D1636" s="41" t="n">
        <v>1</v>
      </c>
      <c r="E1636" s="42" t="n">
        <v>1184.86</v>
      </c>
      <c r="F1636" s="43" t="n">
        <f aca="false">IFERROR(D1636*E1636,0)</f>
        <v>1184.86</v>
      </c>
      <c r="G1636" s="40" t="str">
        <f aca="false">INDEX(SETORES!$B:$B,MATCH(A1636,SETORES!$A:$A,0))</f>
        <v>Clientes</v>
      </c>
      <c r="H1636" s="40" t="s">
        <v>11</v>
      </c>
    </row>
    <row r="1637" customFormat="false" ht="14.25" hidden="false" customHeight="true" outlineLevel="0" collapsed="false">
      <c r="A1637" s="16" t="s">
        <v>37</v>
      </c>
      <c r="B1637" s="16" t="s">
        <v>148</v>
      </c>
      <c r="C1637" s="16" t="s">
        <v>241</v>
      </c>
      <c r="D1637" s="38" t="n">
        <v>1</v>
      </c>
      <c r="E1637" s="39" t="n">
        <v>3064.6</v>
      </c>
      <c r="F1637" s="22" t="n">
        <f aca="false">IFERROR(D1637*E1637,0)</f>
        <v>3064.6</v>
      </c>
      <c r="G1637" s="16" t="str">
        <f aca="false">INDEX(SETORES!$B:$B,MATCH(A1637,SETORES!$A:$A,0))</f>
        <v>Clientes</v>
      </c>
      <c r="H1637" s="16" t="s">
        <v>11</v>
      </c>
    </row>
    <row r="1638" customFormat="false" ht="14.25" hidden="false" customHeight="true" outlineLevel="0" collapsed="false">
      <c r="A1638" s="40" t="s">
        <v>38</v>
      </c>
      <c r="B1638" s="40" t="s">
        <v>148</v>
      </c>
      <c r="C1638" s="40" t="s">
        <v>241</v>
      </c>
      <c r="D1638" s="41" t="n">
        <v>1</v>
      </c>
      <c r="E1638" s="42" t="n">
        <v>766.15</v>
      </c>
      <c r="F1638" s="43" t="n">
        <f aca="false">IFERROR(D1638*E1638,0)</f>
        <v>766.15</v>
      </c>
      <c r="G1638" s="40" t="str">
        <f aca="false">INDEX(SETORES!$B:$B,MATCH(A1638,SETORES!$A:$A,0))</f>
        <v>Clientes</v>
      </c>
      <c r="H1638" s="40" t="s">
        <v>11</v>
      </c>
    </row>
    <row r="1639" customFormat="false" ht="14.25" hidden="false" customHeight="true" outlineLevel="0" collapsed="false">
      <c r="A1639" s="16" t="s">
        <v>39</v>
      </c>
      <c r="B1639" s="16" t="s">
        <v>148</v>
      </c>
      <c r="C1639" s="16" t="s">
        <v>241</v>
      </c>
      <c r="D1639" s="38" t="n">
        <v>1</v>
      </c>
      <c r="E1639" s="39" t="n">
        <v>975.1</v>
      </c>
      <c r="F1639" s="22" t="n">
        <f aca="false">IFERROR(D1639*E1639,0)</f>
        <v>975.1</v>
      </c>
      <c r="G1639" s="16" t="str">
        <f aca="false">INDEX(SETORES!$B:$B,MATCH(A1639,SETORES!$A:$A,0))</f>
        <v>Clientes</v>
      </c>
      <c r="H1639" s="16" t="s">
        <v>11</v>
      </c>
    </row>
    <row r="1640" customFormat="false" ht="14.25" hidden="false" customHeight="true" outlineLevel="0" collapsed="false">
      <c r="A1640" s="40" t="s">
        <v>51</v>
      </c>
      <c r="B1640" s="40" t="s">
        <v>148</v>
      </c>
      <c r="C1640" s="40" t="s">
        <v>241</v>
      </c>
      <c r="D1640" s="41" t="n">
        <v>1</v>
      </c>
      <c r="E1640" s="42" t="n">
        <v>696.5</v>
      </c>
      <c r="F1640" s="43" t="n">
        <f aca="false">IFERROR(D1640*E1640,0)</f>
        <v>696.5</v>
      </c>
      <c r="G1640" s="40" t="str">
        <f aca="false">INDEX(SETORES!$B:$B,MATCH(A1640,SETORES!$A:$A,0))</f>
        <v>Clientes</v>
      </c>
      <c r="H1640" s="40" t="s">
        <v>11</v>
      </c>
    </row>
    <row r="1641" customFormat="false" ht="14.25" hidden="false" customHeight="true" outlineLevel="0" collapsed="false">
      <c r="A1641" s="16" t="s">
        <v>53</v>
      </c>
      <c r="B1641" s="16" t="s">
        <v>148</v>
      </c>
      <c r="C1641" s="16" t="s">
        <v>241</v>
      </c>
      <c r="D1641" s="38" t="n">
        <v>1</v>
      </c>
      <c r="E1641" s="39" t="n">
        <v>2228.8</v>
      </c>
      <c r="F1641" s="22" t="n">
        <f aca="false">IFERROR(D1641*E1641,0)</f>
        <v>2228.8</v>
      </c>
      <c r="G1641" s="16" t="str">
        <f aca="false">INDEX(SETORES!$B:$B,MATCH(A1641,SETORES!$A:$A,0))</f>
        <v>Clientes</v>
      </c>
      <c r="H1641" s="16" t="s">
        <v>11</v>
      </c>
    </row>
    <row r="1642" customFormat="false" ht="14.25" hidden="false" customHeight="true" outlineLevel="0" collapsed="false">
      <c r="A1642" s="40" t="s">
        <v>52</v>
      </c>
      <c r="B1642" s="40" t="s">
        <v>148</v>
      </c>
      <c r="C1642" s="40" t="s">
        <v>241</v>
      </c>
      <c r="D1642" s="41" t="n">
        <v>1</v>
      </c>
      <c r="E1642" s="42" t="n">
        <v>557.2</v>
      </c>
      <c r="F1642" s="43" t="n">
        <f aca="false">IFERROR(D1642*E1642,0)</f>
        <v>557.2</v>
      </c>
      <c r="G1642" s="40" t="str">
        <f aca="false">INDEX(SETORES!$B:$B,MATCH(A1642,SETORES!$A:$A,0))</f>
        <v>Clientes</v>
      </c>
      <c r="H1642" s="40" t="s">
        <v>11</v>
      </c>
    </row>
    <row r="1643" customFormat="false" ht="14.25" hidden="false" customHeight="true" outlineLevel="0" collapsed="false">
      <c r="A1643" s="16" t="s">
        <v>45</v>
      </c>
      <c r="B1643" s="16" t="s">
        <v>148</v>
      </c>
      <c r="C1643" s="16" t="s">
        <v>242</v>
      </c>
      <c r="D1643" s="38" t="n">
        <v>1</v>
      </c>
      <c r="E1643" s="39" t="n">
        <v>1254.61</v>
      </c>
      <c r="F1643" s="22" t="n">
        <f aca="false">IFERROR(D1643*E1643,0)</f>
        <v>1254.61</v>
      </c>
      <c r="G1643" s="16" t="str">
        <f aca="false">INDEX(SETORES!$B:$B,MATCH(A1643,SETORES!$A:$A,0))</f>
        <v>Clientes</v>
      </c>
      <c r="H1643" s="16" t="s">
        <v>11</v>
      </c>
    </row>
    <row r="1644" customFormat="false" ht="14.25" hidden="false" customHeight="true" outlineLevel="0" collapsed="false">
      <c r="A1644" s="40" t="s">
        <v>46</v>
      </c>
      <c r="B1644" s="40" t="s">
        <v>148</v>
      </c>
      <c r="C1644" s="40" t="s">
        <v>242</v>
      </c>
      <c r="D1644" s="41" t="n">
        <v>1</v>
      </c>
      <c r="E1644" s="42" t="n">
        <v>4301.51</v>
      </c>
      <c r="F1644" s="43" t="n">
        <f aca="false">IFERROR(D1644*E1644,0)</f>
        <v>4301.51</v>
      </c>
      <c r="G1644" s="40" t="str">
        <f aca="false">INDEX(SETORES!$B:$B,MATCH(A1644,SETORES!$A:$A,0))</f>
        <v>Clientes</v>
      </c>
      <c r="H1644" s="40" t="s">
        <v>11</v>
      </c>
    </row>
    <row r="1645" customFormat="false" ht="14.25" hidden="false" customHeight="true" outlineLevel="0" collapsed="false">
      <c r="A1645" s="16" t="s">
        <v>47</v>
      </c>
      <c r="B1645" s="16" t="s">
        <v>148</v>
      </c>
      <c r="C1645" s="16" t="s">
        <v>242</v>
      </c>
      <c r="D1645" s="38" t="n">
        <v>1</v>
      </c>
      <c r="E1645" s="39" t="n">
        <v>2150.76</v>
      </c>
      <c r="F1645" s="22" t="n">
        <f aca="false">IFERROR(D1645*E1645,0)</f>
        <v>2150.76</v>
      </c>
      <c r="G1645" s="16" t="str">
        <f aca="false">INDEX(SETORES!$B:$B,MATCH(A1645,SETORES!$A:$A,0))</f>
        <v>Clientes</v>
      </c>
      <c r="H1645" s="16" t="s">
        <v>11</v>
      </c>
    </row>
    <row r="1646" customFormat="false" ht="14.25" hidden="false" customHeight="true" outlineLevel="0" collapsed="false">
      <c r="A1646" s="40" t="s">
        <v>84</v>
      </c>
      <c r="B1646" s="40" t="s">
        <v>148</v>
      </c>
      <c r="C1646" s="40" t="s">
        <v>242</v>
      </c>
      <c r="D1646" s="41" t="n">
        <v>1</v>
      </c>
      <c r="E1646" s="42" t="n">
        <v>3763.83</v>
      </c>
      <c r="F1646" s="43" t="n">
        <f aca="false">IFERROR(D1646*E1646,0)</f>
        <v>3763.83</v>
      </c>
      <c r="G1646" s="40" t="str">
        <f aca="false">INDEX(SETORES!$B:$B,MATCH(A1646,SETORES!$A:$A,0))</f>
        <v>Clientes</v>
      </c>
      <c r="H1646" s="40" t="s">
        <v>11</v>
      </c>
    </row>
    <row r="1647" customFormat="false" ht="14.25" hidden="false" customHeight="true" outlineLevel="0" collapsed="false">
      <c r="A1647" s="16" t="s">
        <v>82</v>
      </c>
      <c r="B1647" s="16" t="s">
        <v>148</v>
      </c>
      <c r="C1647" s="16" t="s">
        <v>242</v>
      </c>
      <c r="D1647" s="38" t="n">
        <v>1</v>
      </c>
      <c r="E1647" s="39" t="n">
        <v>1613.07</v>
      </c>
      <c r="F1647" s="22" t="n">
        <f aca="false">IFERROR(D1647*E1647,0)</f>
        <v>1613.07</v>
      </c>
      <c r="G1647" s="16" t="str">
        <f aca="false">INDEX(SETORES!$B:$B,MATCH(A1647,SETORES!$A:$A,0))</f>
        <v>Clientes</v>
      </c>
      <c r="H1647" s="16" t="s">
        <v>11</v>
      </c>
    </row>
    <row r="1648" customFormat="false" ht="14.25" hidden="false" customHeight="true" outlineLevel="0" collapsed="false">
      <c r="A1648" s="40" t="s">
        <v>137</v>
      </c>
      <c r="B1648" s="40" t="s">
        <v>148</v>
      </c>
      <c r="C1648" s="40" t="s">
        <v>242</v>
      </c>
      <c r="D1648" s="41" t="n">
        <v>1</v>
      </c>
      <c r="E1648" s="42" t="n">
        <v>1075.38</v>
      </c>
      <c r="F1648" s="43" t="n">
        <f aca="false">IFERROR(D1648*E1648,0)</f>
        <v>1075.38</v>
      </c>
      <c r="G1648" s="40" t="str">
        <f aca="false">INDEX(SETORES!$B:$B,MATCH(A1648,SETORES!$A:$A,0))</f>
        <v>Funcionários</v>
      </c>
      <c r="H1648" s="40" t="s">
        <v>11</v>
      </c>
    </row>
    <row r="1649" customFormat="false" ht="14.25" hidden="false" customHeight="true" outlineLevel="0" collapsed="false">
      <c r="A1649" s="16" t="s">
        <v>84</v>
      </c>
      <c r="B1649" s="16" t="s">
        <v>148</v>
      </c>
      <c r="C1649" s="16" t="s">
        <v>243</v>
      </c>
      <c r="D1649" s="38" t="n">
        <v>1</v>
      </c>
      <c r="E1649" s="39" t="n">
        <v>7833.47</v>
      </c>
      <c r="F1649" s="22" t="n">
        <f aca="false">IFERROR(D1649*E1649,0)</f>
        <v>7833.47</v>
      </c>
      <c r="G1649" s="16" t="str">
        <f aca="false">INDEX(SETORES!$B:$B,MATCH(A1649,SETORES!$A:$A,0))</f>
        <v>Clientes</v>
      </c>
      <c r="H1649" s="16" t="s">
        <v>11</v>
      </c>
    </row>
    <row r="1650" customFormat="false" ht="14.25" hidden="false" customHeight="true" outlineLevel="0" collapsed="false">
      <c r="A1650" s="40" t="s">
        <v>82</v>
      </c>
      <c r="B1650" s="40" t="s">
        <v>148</v>
      </c>
      <c r="C1650" s="40" t="s">
        <v>243</v>
      </c>
      <c r="D1650" s="41" t="n">
        <v>1</v>
      </c>
      <c r="E1650" s="42" t="n">
        <v>3357.2</v>
      </c>
      <c r="F1650" s="43" t="n">
        <f aca="false">IFERROR(D1650*E1650,0)</f>
        <v>3357.2</v>
      </c>
      <c r="G1650" s="40" t="str">
        <f aca="false">INDEX(SETORES!$B:$B,MATCH(A1650,SETORES!$A:$A,0))</f>
        <v>Clientes</v>
      </c>
      <c r="H1650" s="40" t="s">
        <v>11</v>
      </c>
    </row>
    <row r="1651" customFormat="false" ht="14.25" hidden="false" customHeight="true" outlineLevel="0" collapsed="false">
      <c r="A1651" s="16" t="s">
        <v>135</v>
      </c>
      <c r="B1651" s="16" t="s">
        <v>148</v>
      </c>
      <c r="C1651" s="16" t="s">
        <v>151</v>
      </c>
      <c r="D1651" s="38" t="n">
        <v>1</v>
      </c>
      <c r="E1651" s="39" t="n">
        <v>17.5144</v>
      </c>
      <c r="F1651" s="22" t="n">
        <v>17.5144</v>
      </c>
      <c r="G1651" s="16" t="s">
        <v>95</v>
      </c>
      <c r="H1651" s="16" t="s">
        <v>11</v>
      </c>
    </row>
    <row r="1652" customFormat="false" ht="14.25" hidden="false" customHeight="true" outlineLevel="0" collapsed="false">
      <c r="A1652" s="40" t="s">
        <v>135</v>
      </c>
      <c r="B1652" s="40" t="s">
        <v>148</v>
      </c>
      <c r="C1652" s="40" t="s">
        <v>152</v>
      </c>
      <c r="D1652" s="41" t="n">
        <v>1</v>
      </c>
      <c r="E1652" s="42" t="n">
        <v>0.05</v>
      </c>
      <c r="F1652" s="43" t="n">
        <v>0.05</v>
      </c>
      <c r="G1652" s="40" t="s">
        <v>95</v>
      </c>
      <c r="H1652" s="40" t="s">
        <v>11</v>
      </c>
    </row>
    <row r="1653" customFormat="false" ht="14.25" hidden="false" customHeight="true" outlineLevel="0" collapsed="false">
      <c r="A1653" s="16" t="s">
        <v>85</v>
      </c>
      <c r="B1653" s="16" t="s">
        <v>148</v>
      </c>
      <c r="C1653" s="16" t="s">
        <v>151</v>
      </c>
      <c r="D1653" s="38" t="n">
        <v>1</v>
      </c>
      <c r="E1653" s="39" t="n">
        <v>105.0866</v>
      </c>
      <c r="F1653" s="22" t="n">
        <v>105.0866</v>
      </c>
      <c r="G1653" s="16" t="s">
        <v>95</v>
      </c>
      <c r="H1653" s="16" t="s">
        <v>11</v>
      </c>
    </row>
    <row r="1654" customFormat="false" ht="14.25" hidden="false" customHeight="true" outlineLevel="0" collapsed="false">
      <c r="A1654" s="40" t="s">
        <v>85</v>
      </c>
      <c r="B1654" s="40" t="s">
        <v>148</v>
      </c>
      <c r="C1654" s="40" t="s">
        <v>152</v>
      </c>
      <c r="D1654" s="41" t="n">
        <v>1</v>
      </c>
      <c r="E1654" s="42" t="n">
        <v>0.3</v>
      </c>
      <c r="F1654" s="43" t="n">
        <v>0.3</v>
      </c>
      <c r="G1654" s="40" t="s">
        <v>95</v>
      </c>
      <c r="H1654" s="40" t="s">
        <v>11</v>
      </c>
    </row>
    <row r="1655" customFormat="false" ht="14.25" hidden="false" customHeight="true" outlineLevel="0" collapsed="false">
      <c r="A1655" s="16" t="s">
        <v>54</v>
      </c>
      <c r="B1655" s="16" t="s">
        <v>148</v>
      </c>
      <c r="C1655" s="16" t="s">
        <v>151</v>
      </c>
      <c r="D1655" s="38" t="n">
        <v>1</v>
      </c>
      <c r="E1655" s="39" t="n">
        <v>96.3294</v>
      </c>
      <c r="F1655" s="22" t="n">
        <v>96.3294</v>
      </c>
      <c r="G1655" s="16" t="s">
        <v>95</v>
      </c>
      <c r="H1655" s="16" t="s">
        <v>11</v>
      </c>
    </row>
    <row r="1656" customFormat="false" ht="14.25" hidden="false" customHeight="true" outlineLevel="0" collapsed="false">
      <c r="A1656" s="40" t="s">
        <v>54</v>
      </c>
      <c r="B1656" s="40" t="s">
        <v>148</v>
      </c>
      <c r="C1656" s="40" t="s">
        <v>152</v>
      </c>
      <c r="D1656" s="41" t="n">
        <v>1</v>
      </c>
      <c r="E1656" s="42" t="n">
        <v>0.275</v>
      </c>
      <c r="F1656" s="43" t="n">
        <v>0.275</v>
      </c>
      <c r="G1656" s="40" t="s">
        <v>95</v>
      </c>
      <c r="H1656" s="40" t="s">
        <v>11</v>
      </c>
    </row>
    <row r="1657" customFormat="false" ht="14.25" hidden="false" customHeight="true" outlineLevel="0" collapsed="false">
      <c r="A1657" s="16" t="s">
        <v>87</v>
      </c>
      <c r="B1657" s="16" t="s">
        <v>148</v>
      </c>
      <c r="C1657" s="16" t="s">
        <v>151</v>
      </c>
      <c r="D1657" s="38" t="n">
        <v>1</v>
      </c>
      <c r="E1657" s="39" t="n">
        <v>43.7861</v>
      </c>
      <c r="F1657" s="22" t="n">
        <v>43.7861</v>
      </c>
      <c r="G1657" s="16" t="s">
        <v>95</v>
      </c>
      <c r="H1657" s="16" t="s">
        <v>11</v>
      </c>
    </row>
    <row r="1658" customFormat="false" ht="14.25" hidden="false" customHeight="true" outlineLevel="0" collapsed="false">
      <c r="A1658" s="40" t="s">
        <v>87</v>
      </c>
      <c r="B1658" s="40" t="s">
        <v>148</v>
      </c>
      <c r="C1658" s="40" t="s">
        <v>152</v>
      </c>
      <c r="D1658" s="41" t="n">
        <v>1</v>
      </c>
      <c r="E1658" s="42" t="n">
        <v>0.125</v>
      </c>
      <c r="F1658" s="43" t="n">
        <v>0.125</v>
      </c>
      <c r="G1658" s="40" t="s">
        <v>95</v>
      </c>
      <c r="H1658" s="40" t="s">
        <v>11</v>
      </c>
    </row>
    <row r="1659" customFormat="false" ht="14.25" hidden="false" customHeight="true" outlineLevel="0" collapsed="false">
      <c r="A1659" s="16" t="s">
        <v>80</v>
      </c>
      <c r="B1659" s="16" t="s">
        <v>148</v>
      </c>
      <c r="C1659" s="16" t="s">
        <v>151</v>
      </c>
      <c r="D1659" s="38" t="n">
        <v>1</v>
      </c>
      <c r="E1659" s="39" t="n">
        <v>26.2716</v>
      </c>
      <c r="F1659" s="22" t="n">
        <v>26.2716</v>
      </c>
      <c r="G1659" s="16" t="s">
        <v>95</v>
      </c>
      <c r="H1659" s="16" t="s">
        <v>11</v>
      </c>
    </row>
    <row r="1660" customFormat="false" ht="14.25" hidden="false" customHeight="true" outlineLevel="0" collapsed="false">
      <c r="A1660" s="40" t="s">
        <v>80</v>
      </c>
      <c r="B1660" s="40" t="s">
        <v>148</v>
      </c>
      <c r="C1660" s="40" t="s">
        <v>152</v>
      </c>
      <c r="D1660" s="41" t="n">
        <v>1</v>
      </c>
      <c r="E1660" s="42" t="n">
        <v>0.075</v>
      </c>
      <c r="F1660" s="43" t="n">
        <v>0.075</v>
      </c>
      <c r="G1660" s="40" t="s">
        <v>95</v>
      </c>
      <c r="H1660" s="40" t="s">
        <v>11</v>
      </c>
    </row>
    <row r="1661" customFormat="false" ht="14.25" hidden="false" customHeight="true" outlineLevel="0" collapsed="false">
      <c r="A1661" s="40" t="s">
        <v>135</v>
      </c>
      <c r="B1661" s="40" t="s">
        <v>148</v>
      </c>
      <c r="C1661" s="40" t="s">
        <v>160</v>
      </c>
      <c r="D1661" s="41" t="n">
        <v>2</v>
      </c>
      <c r="E1661" s="42" t="n">
        <v>9.85</v>
      </c>
      <c r="F1661" s="43" t="n">
        <f aca="false">IFERROR(D1661*E1661,0)</f>
        <v>19.7</v>
      </c>
      <c r="G1661" s="40" t="str">
        <f aca="false">INDEX(SETORES!$B:$B,MATCH(A1661,SETORES!$A:$A,0))</f>
        <v>Clientes</v>
      </c>
      <c r="H1661" s="40" t="s">
        <v>11</v>
      </c>
    </row>
    <row r="1662" customFormat="false" ht="14.25" hidden="false" customHeight="true" outlineLevel="0" collapsed="false">
      <c r="A1662" s="16" t="s">
        <v>135</v>
      </c>
      <c r="B1662" s="16" t="s">
        <v>148</v>
      </c>
      <c r="C1662" s="16" t="s">
        <v>161</v>
      </c>
      <c r="D1662" s="38" t="n">
        <v>2</v>
      </c>
      <c r="E1662" s="39" t="n">
        <v>2.04</v>
      </c>
      <c r="F1662" s="22" t="n">
        <f aca="false">IFERROR(D1662*E1662,0)</f>
        <v>4.08</v>
      </c>
      <c r="G1662" s="16" t="str">
        <f aca="false">INDEX(SETORES!$B:$B,MATCH(A1662,SETORES!$A:$A,0))</f>
        <v>Clientes</v>
      </c>
      <c r="H1662" s="16" t="s">
        <v>11</v>
      </c>
    </row>
    <row r="1663" customFormat="false" ht="14.25" hidden="false" customHeight="true" outlineLevel="0" collapsed="false">
      <c r="A1663" s="16" t="s">
        <v>135</v>
      </c>
      <c r="B1663" s="16" t="s">
        <v>148</v>
      </c>
      <c r="C1663" s="16" t="s">
        <v>205</v>
      </c>
      <c r="D1663" s="38" t="n">
        <v>1</v>
      </c>
      <c r="E1663" s="39" t="n">
        <v>30</v>
      </c>
      <c r="F1663" s="22" t="n">
        <f aca="false">IFERROR(D1663*E1663,0)</f>
        <v>30</v>
      </c>
      <c r="G1663" s="16" t="str">
        <f aca="false">INDEX(SETORES!$B:$B,MATCH(A1663,SETORES!$A:$A,0))</f>
        <v>Clientes</v>
      </c>
      <c r="H1663" s="16" t="s">
        <v>11</v>
      </c>
    </row>
    <row r="1664" customFormat="false" ht="14.25" hidden="false" customHeight="true" outlineLevel="0" collapsed="false">
      <c r="A1664" s="40" t="s">
        <v>137</v>
      </c>
      <c r="B1664" s="40" t="s">
        <v>148</v>
      </c>
      <c r="C1664" s="40" t="s">
        <v>160</v>
      </c>
      <c r="D1664" s="41" t="n">
        <v>6</v>
      </c>
      <c r="E1664" s="42" t="n">
        <v>9.85</v>
      </c>
      <c r="F1664" s="43" t="n">
        <f aca="false">IFERROR(D1664*E1664,0)</f>
        <v>59.1</v>
      </c>
      <c r="G1664" s="40" t="str">
        <f aca="false">INDEX(SETORES!$B:$B,MATCH(A1664,SETORES!$A:$A,0))</f>
        <v>Funcionários</v>
      </c>
      <c r="H1664" s="40" t="s">
        <v>11</v>
      </c>
    </row>
    <row r="1665" customFormat="false" ht="14.25" hidden="false" customHeight="true" outlineLevel="0" collapsed="false">
      <c r="A1665" s="16" t="s">
        <v>137</v>
      </c>
      <c r="B1665" s="16" t="s">
        <v>148</v>
      </c>
      <c r="C1665" s="16" t="s">
        <v>161</v>
      </c>
      <c r="D1665" s="38" t="n">
        <v>6</v>
      </c>
      <c r="E1665" s="39" t="n">
        <v>2.04</v>
      </c>
      <c r="F1665" s="22" t="n">
        <f aca="false">IFERROR(D1665*E1665,0)</f>
        <v>12.24</v>
      </c>
      <c r="G1665" s="16" t="str">
        <f aca="false">INDEX(SETORES!$B:$B,MATCH(A1665,SETORES!$A:$A,0))</f>
        <v>Funcionários</v>
      </c>
      <c r="H1665" s="16" t="s">
        <v>11</v>
      </c>
    </row>
    <row r="1666" customFormat="false" ht="14.25" hidden="false" customHeight="true" outlineLevel="0" collapsed="false">
      <c r="A1666" s="40" t="s">
        <v>55</v>
      </c>
      <c r="B1666" s="40" t="s">
        <v>148</v>
      </c>
      <c r="C1666" s="40" t="s">
        <v>235</v>
      </c>
      <c r="D1666" s="41" t="n">
        <v>1</v>
      </c>
      <c r="E1666" s="42" t="n">
        <v>1787.15</v>
      </c>
      <c r="F1666" s="43" t="n">
        <f aca="false">IFERROR(D1666*E1666,0)</f>
        <v>1787.15</v>
      </c>
      <c r="G1666" s="40" t="str">
        <f aca="false">INDEX(SETORES!$B:$B,MATCH(A1666,SETORES!$A:$A,0))</f>
        <v>Funcionários</v>
      </c>
      <c r="H1666" s="40" t="s">
        <v>11</v>
      </c>
    </row>
    <row r="1667" customFormat="false" ht="14.25" hidden="false" customHeight="true" outlineLevel="0" collapsed="false">
      <c r="A1667" s="16" t="s">
        <v>51</v>
      </c>
      <c r="B1667" s="16" t="s">
        <v>148</v>
      </c>
      <c r="C1667" s="16" t="s">
        <v>180</v>
      </c>
      <c r="D1667" s="38" t="n">
        <v>1</v>
      </c>
      <c r="E1667" s="39" t="n">
        <v>719.456231</v>
      </c>
      <c r="F1667" s="22" t="n">
        <f aca="false">IFERROR(D1667*E1667,0)</f>
        <v>719.456231</v>
      </c>
      <c r="G1667" s="16" t="str">
        <f aca="false">INDEX(SETORES!$B:$B,MATCH(A1667,SETORES!$A:$A,0))</f>
        <v>Clientes</v>
      </c>
      <c r="H1667" s="16" t="s">
        <v>11</v>
      </c>
    </row>
    <row r="1668" customFormat="false" ht="14.25" hidden="false" customHeight="true" outlineLevel="0" collapsed="false">
      <c r="A1668" s="16" t="s">
        <v>38</v>
      </c>
      <c r="B1668" s="16" t="s">
        <v>148</v>
      </c>
      <c r="C1668" s="16" t="s">
        <v>182</v>
      </c>
      <c r="D1668" s="38" t="n">
        <v>1</v>
      </c>
      <c r="E1668" s="39" t="n">
        <v>1262.295078</v>
      </c>
      <c r="F1668" s="22" t="n">
        <f aca="false">IFERROR(D1668*E1668,0)</f>
        <v>1262.295078</v>
      </c>
      <c r="G1668" s="16" t="str">
        <f aca="false">INDEX(SETORES!$B:$B,MATCH(A1668,SETORES!$A:$A,0))</f>
        <v>Clientes</v>
      </c>
      <c r="H1668" s="16" t="s">
        <v>11</v>
      </c>
    </row>
    <row r="1669" customFormat="false" ht="14.25" hidden="false" customHeight="true" outlineLevel="0" collapsed="false">
      <c r="A1669" s="40" t="s">
        <v>37</v>
      </c>
      <c r="B1669" s="40" t="s">
        <v>148</v>
      </c>
      <c r="C1669" s="40" t="s">
        <v>182</v>
      </c>
      <c r="D1669" s="41" t="n">
        <v>1</v>
      </c>
      <c r="E1669" s="42" t="n">
        <v>5049.180312</v>
      </c>
      <c r="F1669" s="43" t="n">
        <f aca="false">IFERROR(D1669*E1669,0)</f>
        <v>5049.180312</v>
      </c>
      <c r="G1669" s="40" t="str">
        <f aca="false">INDEX(SETORES!$B:$B,MATCH(A1669,SETORES!$A:$A,0))</f>
        <v>Clientes</v>
      </c>
      <c r="H1669" s="40" t="s">
        <v>11</v>
      </c>
    </row>
    <row r="1670" customFormat="false" ht="14.25" hidden="false" customHeight="true" outlineLevel="0" collapsed="false">
      <c r="A1670" s="16" t="s">
        <v>39</v>
      </c>
      <c r="B1670" s="16" t="s">
        <v>148</v>
      </c>
      <c r="C1670" s="16" t="s">
        <v>182</v>
      </c>
      <c r="D1670" s="38" t="n">
        <v>1</v>
      </c>
      <c r="E1670" s="39" t="n">
        <v>1606.557372</v>
      </c>
      <c r="F1670" s="22" t="n">
        <f aca="false">IFERROR(D1670*E1670,0)</f>
        <v>1606.557372</v>
      </c>
      <c r="G1670" s="16" t="str">
        <f aca="false">INDEX(SETORES!$B:$B,MATCH(A1670,SETORES!$A:$A,0))</f>
        <v>Clientes</v>
      </c>
      <c r="H1670" s="16" t="s">
        <v>11</v>
      </c>
    </row>
    <row r="1671" customFormat="false" ht="14.25" hidden="false" customHeight="true" outlineLevel="0" collapsed="false">
      <c r="A1671" s="40" t="s">
        <v>52</v>
      </c>
      <c r="B1671" s="40" t="s">
        <v>148</v>
      </c>
      <c r="C1671" s="40" t="s">
        <v>182</v>
      </c>
      <c r="D1671" s="41" t="n">
        <v>1</v>
      </c>
      <c r="E1671" s="42" t="n">
        <v>918.032784</v>
      </c>
      <c r="F1671" s="43" t="n">
        <f aca="false">IFERROR(D1671*E1671,0)</f>
        <v>918.032784</v>
      </c>
      <c r="G1671" s="40" t="str">
        <f aca="false">INDEX(SETORES!$B:$B,MATCH(A1671,SETORES!$A:$A,0))</f>
        <v>Clientes</v>
      </c>
      <c r="H1671" s="40" t="s">
        <v>11</v>
      </c>
    </row>
    <row r="1672" customFormat="false" ht="14.25" hidden="false" customHeight="true" outlineLevel="0" collapsed="false">
      <c r="A1672" s="16" t="s">
        <v>53</v>
      </c>
      <c r="B1672" s="16" t="s">
        <v>148</v>
      </c>
      <c r="C1672" s="16" t="s">
        <v>182</v>
      </c>
      <c r="D1672" s="38" t="n">
        <v>1</v>
      </c>
      <c r="E1672" s="39" t="n">
        <v>3672.131136</v>
      </c>
      <c r="F1672" s="22" t="n">
        <f aca="false">IFERROR(D1672*E1672,0)</f>
        <v>3672.131136</v>
      </c>
      <c r="G1672" s="16" t="str">
        <f aca="false">INDEX(SETORES!$B:$B,MATCH(A1672,SETORES!$A:$A,0))</f>
        <v>Clientes</v>
      </c>
      <c r="H1672" s="16" t="s">
        <v>11</v>
      </c>
    </row>
    <row r="1673" customFormat="false" ht="14.25" hidden="false" customHeight="true" outlineLevel="0" collapsed="false">
      <c r="A1673" s="40" t="s">
        <v>51</v>
      </c>
      <c r="B1673" s="40" t="s">
        <v>148</v>
      </c>
      <c r="C1673" s="40" t="s">
        <v>182</v>
      </c>
      <c r="D1673" s="41" t="n">
        <v>1</v>
      </c>
      <c r="E1673" s="42" t="n">
        <v>1491.803274</v>
      </c>
      <c r="F1673" s="43" t="n">
        <f aca="false">IFERROR(D1673*E1673,0)</f>
        <v>1491.803274</v>
      </c>
      <c r="G1673" s="40" t="str">
        <f aca="false">INDEX(SETORES!$B:$B,MATCH(A1673,SETORES!$A:$A,0))</f>
        <v>Clientes</v>
      </c>
      <c r="H1673" s="40" t="s">
        <v>11</v>
      </c>
    </row>
    <row r="1674" customFormat="false" ht="14.25" hidden="false" customHeight="true" outlineLevel="0" collapsed="false">
      <c r="A1674" s="16" t="s">
        <v>38</v>
      </c>
      <c r="B1674" s="16" t="s">
        <v>148</v>
      </c>
      <c r="C1674" s="16" t="s">
        <v>184</v>
      </c>
      <c r="D1674" s="38" t="n">
        <v>1</v>
      </c>
      <c r="E1674" s="39" t="n">
        <v>499.778686</v>
      </c>
      <c r="F1674" s="22" t="n">
        <f aca="false">IFERROR(D1674*E1674,0)</f>
        <v>499.778686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false" customHeight="true" outlineLevel="0" collapsed="false">
      <c r="A1675" s="40" t="s">
        <v>37</v>
      </c>
      <c r="B1675" s="40" t="s">
        <v>148</v>
      </c>
      <c r="C1675" s="40" t="s">
        <v>184</v>
      </c>
      <c r="D1675" s="41" t="n">
        <v>1</v>
      </c>
      <c r="E1675" s="42" t="n">
        <v>1999.114744</v>
      </c>
      <c r="F1675" s="43" t="n">
        <f aca="false">IFERROR(D1675*E1675,0)</f>
        <v>1999.114744</v>
      </c>
      <c r="G1675" s="40" t="str">
        <f aca="false">INDEX(SETORES!$B:$B,MATCH(A1675,SETORES!$A:$A,0))</f>
        <v>Clientes</v>
      </c>
      <c r="H1675" s="40" t="s">
        <v>11</v>
      </c>
    </row>
    <row r="1676" customFormat="false" ht="14.25" hidden="false" customHeight="true" outlineLevel="0" collapsed="false">
      <c r="A1676" s="16" t="s">
        <v>39</v>
      </c>
      <c r="B1676" s="16" t="s">
        <v>148</v>
      </c>
      <c r="C1676" s="16" t="s">
        <v>184</v>
      </c>
      <c r="D1676" s="38" t="n">
        <v>1</v>
      </c>
      <c r="E1676" s="39" t="n">
        <v>636.081964</v>
      </c>
      <c r="F1676" s="22" t="n">
        <f aca="false">IFERROR(D1676*E1676,0)</f>
        <v>636.081964</v>
      </c>
      <c r="G1676" s="16" t="str">
        <f aca="false">INDEX(SETORES!$B:$B,MATCH(A1676,SETORES!$A:$A,0))</f>
        <v>Clientes</v>
      </c>
      <c r="H1676" s="16" t="s">
        <v>11</v>
      </c>
    </row>
    <row r="1677" customFormat="false" ht="14.25" hidden="false" customHeight="true" outlineLevel="0" collapsed="false">
      <c r="A1677" s="40" t="s">
        <v>52</v>
      </c>
      <c r="B1677" s="40" t="s">
        <v>148</v>
      </c>
      <c r="C1677" s="40" t="s">
        <v>184</v>
      </c>
      <c r="D1677" s="41" t="n">
        <v>1</v>
      </c>
      <c r="E1677" s="42" t="n">
        <v>363.475408</v>
      </c>
      <c r="F1677" s="43" t="n">
        <f aca="false">IFERROR(D1677*E1677,0)</f>
        <v>363.475408</v>
      </c>
      <c r="G1677" s="40" t="str">
        <f aca="false">INDEX(SETORES!$B:$B,MATCH(A1677,SETORES!$A:$A,0))</f>
        <v>Clientes</v>
      </c>
      <c r="H1677" s="40" t="s">
        <v>11</v>
      </c>
    </row>
    <row r="1678" customFormat="false" ht="14.25" hidden="false" customHeight="true" outlineLevel="0" collapsed="false">
      <c r="A1678" s="16" t="s">
        <v>53</v>
      </c>
      <c r="B1678" s="16" t="s">
        <v>148</v>
      </c>
      <c r="C1678" s="16" t="s">
        <v>184</v>
      </c>
      <c r="D1678" s="38" t="n">
        <v>1</v>
      </c>
      <c r="E1678" s="39" t="n">
        <v>1453.901632</v>
      </c>
      <c r="F1678" s="22" t="n">
        <f aca="false">IFERROR(D1678*E1678,0)</f>
        <v>1453.901632</v>
      </c>
      <c r="G1678" s="16" t="str">
        <f aca="false">INDEX(SETORES!$B:$B,MATCH(A1678,SETORES!$A:$A,0))</f>
        <v>Clientes</v>
      </c>
      <c r="H1678" s="16" t="s">
        <v>11</v>
      </c>
    </row>
    <row r="1679" customFormat="false" ht="14.25" hidden="false" customHeight="true" outlineLevel="0" collapsed="false">
      <c r="A1679" s="40" t="s">
        <v>51</v>
      </c>
      <c r="B1679" s="40" t="s">
        <v>148</v>
      </c>
      <c r="C1679" s="40" t="s">
        <v>184</v>
      </c>
      <c r="D1679" s="41" t="n">
        <v>1</v>
      </c>
      <c r="E1679" s="42" t="n">
        <v>590.647538</v>
      </c>
      <c r="F1679" s="43" t="n">
        <f aca="false">IFERROR(D1679*E1679,0)</f>
        <v>590.647538</v>
      </c>
      <c r="G1679" s="40" t="str">
        <f aca="false">INDEX(SETORES!$B:$B,MATCH(A1679,SETORES!$A:$A,0))</f>
        <v>Clientes</v>
      </c>
      <c r="H1679" s="40" t="s">
        <v>11</v>
      </c>
    </row>
    <row r="1680" customFormat="false" ht="14.25" hidden="false" customHeight="true" outlineLevel="0" collapsed="false">
      <c r="A1680" s="40" t="s">
        <v>79</v>
      </c>
      <c r="B1680" s="40" t="s">
        <v>148</v>
      </c>
      <c r="C1680" s="40" t="s">
        <v>242</v>
      </c>
      <c r="D1680" s="41" t="n">
        <v>1</v>
      </c>
      <c r="E1680" s="42" t="n">
        <v>1254.61</v>
      </c>
      <c r="F1680" s="43" t="n">
        <f aca="false">IFERROR(D1680*E1680,0)</f>
        <v>1254.61</v>
      </c>
      <c r="G1680" s="40" t="s">
        <v>97</v>
      </c>
      <c r="H1680" s="40" t="s">
        <v>11</v>
      </c>
    </row>
    <row r="1681" customFormat="false" ht="14.25" hidden="false" customHeight="true" outlineLevel="0" collapsed="false">
      <c r="A1681" s="40" t="s">
        <v>79</v>
      </c>
      <c r="B1681" s="40" t="s">
        <v>148</v>
      </c>
      <c r="C1681" s="40" t="s">
        <v>160</v>
      </c>
      <c r="D1681" s="41" t="n">
        <v>7</v>
      </c>
      <c r="E1681" s="42" t="n">
        <v>9.85</v>
      </c>
      <c r="F1681" s="43" t="n">
        <f aca="false">IFERROR(D1681*E1681,0)</f>
        <v>68.95</v>
      </c>
      <c r="G1681" s="40" t="s">
        <v>97</v>
      </c>
      <c r="H1681" s="40" t="s">
        <v>11</v>
      </c>
    </row>
    <row r="1682" customFormat="false" ht="14.25" hidden="false" customHeight="true" outlineLevel="0" collapsed="false">
      <c r="A1682" s="16" t="s">
        <v>79</v>
      </c>
      <c r="B1682" s="16" t="s">
        <v>148</v>
      </c>
      <c r="C1682" s="16" t="s">
        <v>161</v>
      </c>
      <c r="D1682" s="38" t="n">
        <v>7</v>
      </c>
      <c r="E1682" s="39" t="n">
        <v>2.04</v>
      </c>
      <c r="F1682" s="22" t="n">
        <f aca="false">IFERROR(D1682*E1682,0)</f>
        <v>14.28</v>
      </c>
      <c r="G1682" s="16" t="s">
        <v>97</v>
      </c>
      <c r="H1682" s="16" t="s">
        <v>11</v>
      </c>
    </row>
    <row r="1683" customFormat="false" ht="14.25" hidden="false" customHeight="true" outlineLevel="0" collapsed="false">
      <c r="A1683" s="16" t="s">
        <v>135</v>
      </c>
      <c r="B1683" s="16" t="s">
        <v>148</v>
      </c>
      <c r="C1683" s="16" t="s">
        <v>154</v>
      </c>
      <c r="D1683" s="38" t="n">
        <v>1</v>
      </c>
      <c r="E1683" s="39" t="n">
        <v>6292.45</v>
      </c>
      <c r="F1683" s="22" t="n">
        <f aca="false">IFERROR(E1683,0)</f>
        <v>6292.45</v>
      </c>
      <c r="G1683" s="16" t="str">
        <f aca="false">INDEX(SETORES!$B:$B,MATCH(A1683,SETORES!$A:$A,0))</f>
        <v>Clientes</v>
      </c>
      <c r="H1683" s="16" t="s">
        <v>21</v>
      </c>
    </row>
    <row r="1684" customFormat="false" ht="14.25" hidden="false" customHeight="true" outlineLevel="0" collapsed="false">
      <c r="A1684" s="40" t="s">
        <v>137</v>
      </c>
      <c r="B1684" s="40" t="s">
        <v>148</v>
      </c>
      <c r="C1684" s="40" t="s">
        <v>154</v>
      </c>
      <c r="D1684" s="41" t="n">
        <v>1</v>
      </c>
      <c r="E1684" s="42" t="n">
        <v>27856.57</v>
      </c>
      <c r="F1684" s="43" t="n">
        <f aca="false">IFERROR(E1684,0)</f>
        <v>27856.57</v>
      </c>
      <c r="G1684" s="40" t="str">
        <f aca="false">INDEX(SETORES!$B:$B,MATCH(A1684,SETORES!$A:$A,0))</f>
        <v>Funcionários</v>
      </c>
      <c r="H1684" s="40" t="s">
        <v>21</v>
      </c>
    </row>
    <row r="1685" customFormat="false" ht="14.25" hidden="false" customHeight="true" outlineLevel="0" collapsed="false">
      <c r="A1685" s="16" t="s">
        <v>34</v>
      </c>
      <c r="B1685" s="16" t="s">
        <v>148</v>
      </c>
      <c r="C1685" s="16" t="s">
        <v>240</v>
      </c>
      <c r="D1685" s="38" t="n">
        <v>1</v>
      </c>
      <c r="E1685" s="39" t="n">
        <v>3259.19</v>
      </c>
      <c r="F1685" s="22" t="n">
        <f aca="false">IFERROR(D1685*E1685,0)</f>
        <v>3259.19</v>
      </c>
      <c r="G1685" s="16" t="str">
        <f aca="false">INDEX(SETORES!$B:$B,MATCH(A1685,SETORES!$A:$A,0))</f>
        <v>Clientes</v>
      </c>
      <c r="H1685" s="16" t="s">
        <v>21</v>
      </c>
    </row>
    <row r="1686" customFormat="false" ht="14.25" hidden="false" customHeight="true" outlineLevel="0" collapsed="false">
      <c r="A1686" s="40" t="s">
        <v>35</v>
      </c>
      <c r="B1686" s="40" t="s">
        <v>148</v>
      </c>
      <c r="C1686" s="40" t="s">
        <v>240</v>
      </c>
      <c r="D1686" s="41" t="n">
        <v>1</v>
      </c>
      <c r="E1686" s="42" t="n">
        <v>1629.6</v>
      </c>
      <c r="F1686" s="43" t="n">
        <f aca="false">IFERROR(D1686*E1686,0)</f>
        <v>1629.6</v>
      </c>
      <c r="G1686" s="40" t="str">
        <f aca="false">INDEX(SETORES!$B:$B,MATCH(A1686,SETORES!$A:$A,0))</f>
        <v>Clientes</v>
      </c>
      <c r="H1686" s="40" t="s">
        <v>21</v>
      </c>
    </row>
    <row r="1687" customFormat="false" ht="14.25" hidden="false" customHeight="true" outlineLevel="0" collapsed="false">
      <c r="A1687" s="16" t="s">
        <v>135</v>
      </c>
      <c r="B1687" s="16" t="s">
        <v>148</v>
      </c>
      <c r="C1687" s="16" t="s">
        <v>240</v>
      </c>
      <c r="D1687" s="38" t="n">
        <v>1</v>
      </c>
      <c r="E1687" s="39" t="n">
        <v>1086.4</v>
      </c>
      <c r="F1687" s="22" t="n">
        <f aca="false">IFERROR(D1687*E1687,0)</f>
        <v>1086.4</v>
      </c>
      <c r="G1687" s="16" t="str">
        <f aca="false">INDEX(SETORES!$B:$B,MATCH(A1687,SETORES!$A:$A,0))</f>
        <v>Clientes</v>
      </c>
      <c r="H1687" s="16" t="s">
        <v>21</v>
      </c>
    </row>
    <row r="1688" customFormat="false" ht="14.25" hidden="false" customHeight="true" outlineLevel="0" collapsed="false">
      <c r="A1688" s="40" t="s">
        <v>37</v>
      </c>
      <c r="B1688" s="40" t="s">
        <v>148</v>
      </c>
      <c r="C1688" s="40" t="s">
        <v>241</v>
      </c>
      <c r="D1688" s="41" t="n">
        <v>1</v>
      </c>
      <c r="E1688" s="42" t="n">
        <v>3208.87</v>
      </c>
      <c r="F1688" s="43" t="n">
        <f aca="false">IFERROR(D1688*E1688,0)</f>
        <v>3208.87</v>
      </c>
      <c r="G1688" s="40" t="str">
        <f aca="false">INDEX(SETORES!$B:$B,MATCH(A1688,SETORES!$A:$A,0))</f>
        <v>Clientes</v>
      </c>
      <c r="H1688" s="40" t="s">
        <v>21</v>
      </c>
    </row>
    <row r="1689" customFormat="false" ht="14.25" hidden="false" customHeight="true" outlineLevel="0" collapsed="false">
      <c r="A1689" s="16" t="s">
        <v>38</v>
      </c>
      <c r="B1689" s="16" t="s">
        <v>148</v>
      </c>
      <c r="C1689" s="16" t="s">
        <v>241</v>
      </c>
      <c r="D1689" s="38" t="n">
        <v>1</v>
      </c>
      <c r="E1689" s="39" t="n">
        <v>970.12</v>
      </c>
      <c r="F1689" s="22" t="n">
        <f aca="false">IFERROR(D1689*E1689,0)</f>
        <v>970.12</v>
      </c>
      <c r="G1689" s="16" t="str">
        <f aca="false">INDEX(SETORES!$B:$B,MATCH(A1689,SETORES!$A:$A,0))</f>
        <v>Clientes</v>
      </c>
      <c r="H1689" s="16" t="s">
        <v>21</v>
      </c>
    </row>
    <row r="1690" customFormat="false" ht="14.25" hidden="false" customHeight="true" outlineLevel="0" collapsed="false">
      <c r="A1690" s="40" t="s">
        <v>39</v>
      </c>
      <c r="B1690" s="40" t="s">
        <v>148</v>
      </c>
      <c r="C1690" s="40" t="s">
        <v>241</v>
      </c>
      <c r="D1690" s="41" t="n">
        <v>1</v>
      </c>
      <c r="E1690" s="42" t="n">
        <v>895.5</v>
      </c>
      <c r="F1690" s="43" t="n">
        <f aca="false">IFERROR(D1690*E1690,0)</f>
        <v>895.5</v>
      </c>
      <c r="G1690" s="40" t="str">
        <f aca="false">INDEX(SETORES!$B:$B,MATCH(A1690,SETORES!$A:$A,0))</f>
        <v>Clientes</v>
      </c>
      <c r="H1690" s="40" t="s">
        <v>21</v>
      </c>
    </row>
    <row r="1691" customFormat="false" ht="14.25" hidden="false" customHeight="true" outlineLevel="0" collapsed="false">
      <c r="A1691" s="16" t="s">
        <v>51</v>
      </c>
      <c r="B1691" s="16" t="s">
        <v>148</v>
      </c>
      <c r="C1691" s="16" t="s">
        <v>241</v>
      </c>
      <c r="D1691" s="38" t="n">
        <v>1</v>
      </c>
      <c r="E1691" s="39" t="n">
        <v>746.25</v>
      </c>
      <c r="F1691" s="22" t="n">
        <f aca="false">IFERROR(D1691*E1691,0)</f>
        <v>746.25</v>
      </c>
      <c r="G1691" s="16" t="str">
        <f aca="false">INDEX(SETORES!$B:$B,MATCH(A1691,SETORES!$A:$A,0))</f>
        <v>Clientes</v>
      </c>
      <c r="H1691" s="16" t="s">
        <v>21</v>
      </c>
    </row>
    <row r="1692" customFormat="false" ht="14.25" hidden="false" customHeight="true" outlineLevel="0" collapsed="false">
      <c r="A1692" s="40" t="s">
        <v>53</v>
      </c>
      <c r="B1692" s="40" t="s">
        <v>148</v>
      </c>
      <c r="C1692" s="40" t="s">
        <v>241</v>
      </c>
      <c r="D1692" s="41" t="n">
        <v>1</v>
      </c>
      <c r="E1692" s="42" t="n">
        <v>2462.62</v>
      </c>
      <c r="F1692" s="43" t="n">
        <f aca="false">IFERROR(D1692*E1692,0)</f>
        <v>2462.62</v>
      </c>
      <c r="G1692" s="40" t="str">
        <f aca="false">INDEX(SETORES!$B:$B,MATCH(A1692,SETORES!$A:$A,0))</f>
        <v>Clientes</v>
      </c>
      <c r="H1692" s="40" t="s">
        <v>21</v>
      </c>
    </row>
    <row r="1693" customFormat="false" ht="14.25" hidden="false" customHeight="true" outlineLevel="0" collapsed="false">
      <c r="A1693" s="16" t="s">
        <v>52</v>
      </c>
      <c r="B1693" s="16" t="s">
        <v>148</v>
      </c>
      <c r="C1693" s="16" t="s">
        <v>241</v>
      </c>
      <c r="D1693" s="38" t="n">
        <v>1</v>
      </c>
      <c r="E1693" s="39" t="n">
        <v>597</v>
      </c>
      <c r="F1693" s="22" t="n">
        <f aca="false">IFERROR(D1693*E1693,0)</f>
        <v>597</v>
      </c>
      <c r="G1693" s="16" t="str">
        <f aca="false">INDEX(SETORES!$B:$B,MATCH(A1693,SETORES!$A:$A,0))</f>
        <v>Clientes</v>
      </c>
      <c r="H1693" s="16" t="s">
        <v>21</v>
      </c>
    </row>
    <row r="1694" customFormat="false" ht="14.25" hidden="false" customHeight="true" outlineLevel="0" collapsed="false">
      <c r="A1694" s="40" t="s">
        <v>45</v>
      </c>
      <c r="B1694" s="40" t="s">
        <v>148</v>
      </c>
      <c r="C1694" s="40" t="s">
        <v>242</v>
      </c>
      <c r="D1694" s="41" t="n">
        <v>1</v>
      </c>
      <c r="E1694" s="42" t="n">
        <v>1771.7</v>
      </c>
      <c r="F1694" s="43" t="n">
        <f aca="false">IFERROR(D1694*E1694,0)</f>
        <v>1771.7</v>
      </c>
      <c r="G1694" s="40" t="str">
        <f aca="false">INDEX(SETORES!$B:$B,MATCH(A1694,SETORES!$A:$A,0))</f>
        <v>Clientes</v>
      </c>
      <c r="H1694" s="40" t="s">
        <v>21</v>
      </c>
    </row>
    <row r="1695" customFormat="false" ht="14.25" hidden="false" customHeight="true" outlineLevel="0" collapsed="false">
      <c r="A1695" s="16" t="s">
        <v>46</v>
      </c>
      <c r="B1695" s="16" t="s">
        <v>148</v>
      </c>
      <c r="C1695" s="16" t="s">
        <v>242</v>
      </c>
      <c r="D1695" s="38" t="n">
        <v>1</v>
      </c>
      <c r="E1695" s="39" t="n">
        <v>4074.9</v>
      </c>
      <c r="F1695" s="22" t="n">
        <f aca="false">IFERROR(D1695*E1695,0)</f>
        <v>4074.9</v>
      </c>
      <c r="G1695" s="16" t="str">
        <f aca="false">INDEX(SETORES!$B:$B,MATCH(A1695,SETORES!$A:$A,0))</f>
        <v>Clientes</v>
      </c>
      <c r="H1695" s="16" t="s">
        <v>21</v>
      </c>
    </row>
    <row r="1696" customFormat="false" ht="14.25" hidden="false" customHeight="true" outlineLevel="0" collapsed="false">
      <c r="A1696" s="40" t="s">
        <v>47</v>
      </c>
      <c r="B1696" s="40" t="s">
        <v>148</v>
      </c>
      <c r="C1696" s="40" t="s">
        <v>242</v>
      </c>
      <c r="D1696" s="41" t="n">
        <v>1</v>
      </c>
      <c r="E1696" s="42" t="n">
        <v>2303.21</v>
      </c>
      <c r="F1696" s="43" t="n">
        <f aca="false">IFERROR(D1696*E1696,0)</f>
        <v>2303.21</v>
      </c>
      <c r="G1696" s="40" t="str">
        <f aca="false">INDEX(SETORES!$B:$B,MATCH(A1696,SETORES!$A:$A,0))</f>
        <v>Clientes</v>
      </c>
      <c r="H1696" s="40" t="s">
        <v>21</v>
      </c>
    </row>
    <row r="1697" customFormat="false" ht="14.25" hidden="false" customHeight="true" outlineLevel="0" collapsed="false">
      <c r="A1697" s="16" t="s">
        <v>84</v>
      </c>
      <c r="B1697" s="16" t="s">
        <v>148</v>
      </c>
      <c r="C1697" s="16" t="s">
        <v>242</v>
      </c>
      <c r="D1697" s="38" t="n">
        <v>1</v>
      </c>
      <c r="E1697" s="39" t="n">
        <v>3897.73</v>
      </c>
      <c r="F1697" s="22" t="n">
        <f aca="false">IFERROR(D1697*E1697,0)</f>
        <v>3897.73</v>
      </c>
      <c r="G1697" s="16" t="str">
        <f aca="false">INDEX(SETORES!$B:$B,MATCH(A1697,SETORES!$A:$A,0))</f>
        <v>Clientes</v>
      </c>
      <c r="H1697" s="16" t="s">
        <v>21</v>
      </c>
    </row>
    <row r="1698" customFormat="false" ht="14.25" hidden="false" customHeight="true" outlineLevel="0" collapsed="false">
      <c r="A1698" s="40" t="s">
        <v>82</v>
      </c>
      <c r="B1698" s="40" t="s">
        <v>148</v>
      </c>
      <c r="C1698" s="40" t="s">
        <v>242</v>
      </c>
      <c r="D1698" s="41" t="n">
        <v>1</v>
      </c>
      <c r="E1698" s="42" t="n">
        <v>1417.36</v>
      </c>
      <c r="F1698" s="43" t="n">
        <f aca="false">IFERROR(D1698*E1698,0)</f>
        <v>1417.36</v>
      </c>
      <c r="G1698" s="40" t="str">
        <f aca="false">INDEX(SETORES!$B:$B,MATCH(A1698,SETORES!$A:$A,0))</f>
        <v>Clientes</v>
      </c>
      <c r="H1698" s="40" t="s">
        <v>21</v>
      </c>
    </row>
    <row r="1699" customFormat="false" ht="14.25" hidden="false" customHeight="true" outlineLevel="0" collapsed="false">
      <c r="A1699" s="16" t="s">
        <v>137</v>
      </c>
      <c r="B1699" s="16" t="s">
        <v>148</v>
      </c>
      <c r="C1699" s="16" t="s">
        <v>242</v>
      </c>
      <c r="D1699" s="38" t="n">
        <v>1</v>
      </c>
      <c r="E1699" s="39" t="n">
        <v>1063.02</v>
      </c>
      <c r="F1699" s="22" t="n">
        <f aca="false">IFERROR(D1699*E1699,0)</f>
        <v>1063.02</v>
      </c>
      <c r="G1699" s="16" t="str">
        <f aca="false">INDEX(SETORES!$B:$B,MATCH(A1699,SETORES!$A:$A,0))</f>
        <v>Funcionários</v>
      </c>
      <c r="H1699" s="16" t="s">
        <v>21</v>
      </c>
    </row>
    <row r="1700" customFormat="false" ht="14.25" hidden="false" customHeight="true" outlineLevel="0" collapsed="false">
      <c r="A1700" s="16" t="s">
        <v>135</v>
      </c>
      <c r="B1700" s="16" t="s">
        <v>148</v>
      </c>
      <c r="C1700" s="16" t="s">
        <v>151</v>
      </c>
      <c r="D1700" s="38" t="n">
        <v>1</v>
      </c>
      <c r="E1700" s="39" t="n">
        <v>16.546</v>
      </c>
      <c r="F1700" s="22" t="n">
        <v>16.546</v>
      </c>
      <c r="G1700" s="16" t="s">
        <v>95</v>
      </c>
      <c r="H1700" s="16" t="s">
        <v>21</v>
      </c>
    </row>
    <row r="1701" customFormat="false" ht="14.25" hidden="false" customHeight="true" outlineLevel="0" collapsed="false">
      <c r="A1701" s="40" t="s">
        <v>135</v>
      </c>
      <c r="B1701" s="40" t="s">
        <v>148</v>
      </c>
      <c r="C1701" s="40" t="s">
        <v>152</v>
      </c>
      <c r="D1701" s="41" t="n">
        <v>1</v>
      </c>
      <c r="E1701" s="42" t="n">
        <v>0.0485</v>
      </c>
      <c r="F1701" s="43" t="n">
        <v>0.0485</v>
      </c>
      <c r="G1701" s="40" t="s">
        <v>95</v>
      </c>
      <c r="H1701" s="40" t="s">
        <v>21</v>
      </c>
    </row>
    <row r="1702" customFormat="false" ht="14.25" hidden="false" customHeight="true" outlineLevel="0" collapsed="false">
      <c r="A1702" s="16" t="s">
        <v>85</v>
      </c>
      <c r="B1702" s="16" t="s">
        <v>148</v>
      </c>
      <c r="C1702" s="16" t="s">
        <v>151</v>
      </c>
      <c r="D1702" s="38" t="n">
        <v>1</v>
      </c>
      <c r="E1702" s="39" t="n">
        <v>99.276</v>
      </c>
      <c r="F1702" s="22" t="n">
        <v>99.276</v>
      </c>
      <c r="G1702" s="16" t="s">
        <v>95</v>
      </c>
      <c r="H1702" s="16" t="s">
        <v>21</v>
      </c>
    </row>
    <row r="1703" customFormat="false" ht="14.25" hidden="false" customHeight="true" outlineLevel="0" collapsed="false">
      <c r="A1703" s="40" t="s">
        <v>85</v>
      </c>
      <c r="B1703" s="40" t="s">
        <v>148</v>
      </c>
      <c r="C1703" s="40" t="s">
        <v>152</v>
      </c>
      <c r="D1703" s="41" t="n">
        <v>1</v>
      </c>
      <c r="E1703" s="42" t="n">
        <v>0.291</v>
      </c>
      <c r="F1703" s="43" t="n">
        <v>0.291</v>
      </c>
      <c r="G1703" s="40" t="s">
        <v>95</v>
      </c>
      <c r="H1703" s="40" t="s">
        <v>21</v>
      </c>
    </row>
    <row r="1704" customFormat="false" ht="14.25" hidden="false" customHeight="true" outlineLevel="0" collapsed="false">
      <c r="A1704" s="16" t="s">
        <v>54</v>
      </c>
      <c r="B1704" s="16" t="s">
        <v>148</v>
      </c>
      <c r="C1704" s="16" t="s">
        <v>151</v>
      </c>
      <c r="D1704" s="38" t="n">
        <v>1</v>
      </c>
      <c r="E1704" s="39" t="n">
        <v>91.003</v>
      </c>
      <c r="F1704" s="22" t="n">
        <v>91.003</v>
      </c>
      <c r="G1704" s="16" t="s">
        <v>95</v>
      </c>
      <c r="H1704" s="16" t="s">
        <v>21</v>
      </c>
    </row>
    <row r="1705" customFormat="false" ht="14.25" hidden="false" customHeight="true" outlineLevel="0" collapsed="false">
      <c r="A1705" s="40" t="s">
        <v>54</v>
      </c>
      <c r="B1705" s="40" t="s">
        <v>148</v>
      </c>
      <c r="C1705" s="40" t="s">
        <v>152</v>
      </c>
      <c r="D1705" s="41" t="n">
        <v>1</v>
      </c>
      <c r="E1705" s="42" t="n">
        <v>0.2667</v>
      </c>
      <c r="F1705" s="43" t="n">
        <v>0.2667</v>
      </c>
      <c r="G1705" s="40" t="s">
        <v>95</v>
      </c>
      <c r="H1705" s="40" t="s">
        <v>21</v>
      </c>
    </row>
    <row r="1706" customFormat="false" ht="14.25" hidden="false" customHeight="true" outlineLevel="0" collapsed="false">
      <c r="A1706" s="16" t="s">
        <v>87</v>
      </c>
      <c r="B1706" s="16" t="s">
        <v>148</v>
      </c>
      <c r="C1706" s="16" t="s">
        <v>151</v>
      </c>
      <c r="D1706" s="38" t="n">
        <v>1</v>
      </c>
      <c r="E1706" s="39" t="n">
        <v>57.911</v>
      </c>
      <c r="F1706" s="22" t="n">
        <v>57.911</v>
      </c>
      <c r="G1706" s="16" t="s">
        <v>95</v>
      </c>
      <c r="H1706" s="16" t="s">
        <v>21</v>
      </c>
    </row>
    <row r="1707" customFormat="false" ht="14.25" hidden="false" customHeight="true" outlineLevel="0" collapsed="false">
      <c r="A1707" s="40" t="s">
        <v>87</v>
      </c>
      <c r="B1707" s="40" t="s">
        <v>148</v>
      </c>
      <c r="C1707" s="40" t="s">
        <v>152</v>
      </c>
      <c r="D1707" s="41" t="n">
        <v>1</v>
      </c>
      <c r="E1707" s="42" t="n">
        <v>0.1697</v>
      </c>
      <c r="F1707" s="43" t="n">
        <v>0.1697</v>
      </c>
      <c r="G1707" s="40" t="s">
        <v>95</v>
      </c>
      <c r="H1707" s="40" t="s">
        <v>21</v>
      </c>
    </row>
    <row r="1708" customFormat="false" ht="14.25" hidden="false" customHeight="true" outlineLevel="0" collapsed="false">
      <c r="A1708" s="16" t="s">
        <v>80</v>
      </c>
      <c r="B1708" s="16" t="s">
        <v>148</v>
      </c>
      <c r="C1708" s="16" t="s">
        <v>151</v>
      </c>
      <c r="D1708" s="38" t="n">
        <v>1</v>
      </c>
      <c r="E1708" s="39" t="n">
        <v>24.819</v>
      </c>
      <c r="F1708" s="22" t="n">
        <v>24.819</v>
      </c>
      <c r="G1708" s="16" t="s">
        <v>95</v>
      </c>
      <c r="H1708" s="16" t="s">
        <v>21</v>
      </c>
    </row>
    <row r="1709" customFormat="false" ht="14.25" hidden="false" customHeight="true" outlineLevel="0" collapsed="false">
      <c r="A1709" s="40" t="s">
        <v>80</v>
      </c>
      <c r="B1709" s="40" t="s">
        <v>148</v>
      </c>
      <c r="C1709" s="40" t="s">
        <v>152</v>
      </c>
      <c r="D1709" s="41" t="n">
        <v>1</v>
      </c>
      <c r="E1709" s="42" t="n">
        <v>0.0727</v>
      </c>
      <c r="F1709" s="43" t="n">
        <v>0.0727</v>
      </c>
      <c r="G1709" s="40" t="s">
        <v>95</v>
      </c>
      <c r="H1709" s="40" t="s">
        <v>21</v>
      </c>
    </row>
    <row r="1710" customFormat="false" ht="14.25" hidden="false" customHeight="true" outlineLevel="0" collapsed="false">
      <c r="A1710" s="16" t="s">
        <v>135</v>
      </c>
      <c r="B1710" s="16" t="s">
        <v>148</v>
      </c>
      <c r="C1710" s="16" t="s">
        <v>160</v>
      </c>
      <c r="D1710" s="38" t="n">
        <v>2</v>
      </c>
      <c r="E1710" s="39" t="n">
        <v>9.92</v>
      </c>
      <c r="F1710" s="22" t="n">
        <f aca="false">IFERROR(D1710*E1710,0)</f>
        <v>19.84</v>
      </c>
      <c r="G1710" s="16" t="str">
        <f aca="false">INDEX(SETORES!$B:$B,MATCH(A1710,SETORES!$A:$A,0))</f>
        <v>Clientes</v>
      </c>
      <c r="H1710" s="16" t="s">
        <v>21</v>
      </c>
    </row>
    <row r="1711" customFormat="false" ht="14.25" hidden="false" customHeight="true" outlineLevel="0" collapsed="false">
      <c r="A1711" s="40" t="s">
        <v>135</v>
      </c>
      <c r="B1711" s="40" t="s">
        <v>148</v>
      </c>
      <c r="C1711" s="40" t="s">
        <v>161</v>
      </c>
      <c r="D1711" s="41" t="n">
        <v>2</v>
      </c>
      <c r="E1711" s="42" t="n">
        <v>2.05</v>
      </c>
      <c r="F1711" s="43" t="n">
        <f aca="false">IFERROR(D1711*E1711,0)</f>
        <v>4.1</v>
      </c>
      <c r="G1711" s="40" t="str">
        <f aca="false">INDEX(SETORES!$B:$B,MATCH(A1711,SETORES!$A:$A,0))</f>
        <v>Clientes</v>
      </c>
      <c r="H1711" s="40" t="s">
        <v>21</v>
      </c>
    </row>
    <row r="1712" customFormat="false" ht="14.25" hidden="false" customHeight="true" outlineLevel="0" collapsed="false">
      <c r="A1712" s="40" t="s">
        <v>135</v>
      </c>
      <c r="B1712" s="40" t="s">
        <v>148</v>
      </c>
      <c r="C1712" s="40" t="s">
        <v>163</v>
      </c>
      <c r="D1712" s="41" t="n">
        <v>2</v>
      </c>
      <c r="E1712" s="42" t="n">
        <v>29.74</v>
      </c>
      <c r="F1712" s="43" t="n">
        <f aca="false">IFERROR(D1712*E1712,0)</f>
        <v>59.48</v>
      </c>
      <c r="G1712" s="40" t="str">
        <f aca="false">INDEX(SETORES!$B:$B,MATCH(A1712,SETORES!$A:$A,0))</f>
        <v>Clientes</v>
      </c>
      <c r="H1712" s="40" t="s">
        <v>21</v>
      </c>
    </row>
    <row r="1713" customFormat="false" ht="14.25" hidden="false" customHeight="true" outlineLevel="0" collapsed="false">
      <c r="A1713" s="40" t="s">
        <v>135</v>
      </c>
      <c r="B1713" s="40" t="s">
        <v>148</v>
      </c>
      <c r="C1713" s="40" t="s">
        <v>164</v>
      </c>
      <c r="D1713" s="41" t="n">
        <v>2</v>
      </c>
      <c r="E1713" s="42" t="n">
        <v>43.54</v>
      </c>
      <c r="F1713" s="43" t="n">
        <f aca="false">IFERROR(D1713*E1713,0)</f>
        <v>87.08</v>
      </c>
      <c r="G1713" s="40" t="str">
        <f aca="false">INDEX(SETORES!$B:$B,MATCH(A1713,SETORES!$A:$A,0))</f>
        <v>Clientes</v>
      </c>
      <c r="H1713" s="40" t="s">
        <v>21</v>
      </c>
    </row>
    <row r="1714" customFormat="false" ht="14.25" hidden="false" customHeight="true" outlineLevel="0" collapsed="false">
      <c r="A1714" s="40" t="s">
        <v>135</v>
      </c>
      <c r="B1714" s="40" t="s">
        <v>148</v>
      </c>
      <c r="C1714" s="40" t="s">
        <v>162</v>
      </c>
      <c r="D1714" s="41" t="n">
        <v>2</v>
      </c>
      <c r="E1714" s="42" t="n">
        <v>47.66</v>
      </c>
      <c r="F1714" s="43" t="n">
        <f aca="false">IFERROR(D1714*E1714,0)</f>
        <v>95.32</v>
      </c>
      <c r="G1714" s="40" t="str">
        <f aca="false">INDEX(SETORES!$B:$B,MATCH(A1714,SETORES!$A:$A,0))</f>
        <v>Clientes</v>
      </c>
      <c r="H1714" s="40" t="s">
        <v>21</v>
      </c>
    </row>
    <row r="1715" customFormat="false" ht="14.25" hidden="false" customHeight="true" outlineLevel="0" collapsed="false">
      <c r="A1715" s="16" t="s">
        <v>135</v>
      </c>
      <c r="B1715" s="16" t="s">
        <v>148</v>
      </c>
      <c r="C1715" s="16" t="s">
        <v>159</v>
      </c>
      <c r="D1715" s="38" t="n">
        <v>2</v>
      </c>
      <c r="E1715" s="39" t="n">
        <v>50</v>
      </c>
      <c r="F1715" s="22" t="n">
        <f aca="false">IFERROR(D1715*E1715,0)</f>
        <v>100</v>
      </c>
      <c r="G1715" s="16" t="str">
        <f aca="false">INDEX(SETORES!$B:$B,MATCH(A1715,SETORES!$A:$A,0))</f>
        <v>Clientes</v>
      </c>
      <c r="H1715" s="16" t="s">
        <v>21</v>
      </c>
    </row>
    <row r="1716" customFormat="false" ht="14.25" hidden="false" customHeight="true" outlineLevel="0" collapsed="false">
      <c r="A1716" s="40" t="s">
        <v>135</v>
      </c>
      <c r="B1716" s="40" t="s">
        <v>148</v>
      </c>
      <c r="C1716" s="40" t="s">
        <v>205</v>
      </c>
      <c r="D1716" s="41" t="n">
        <v>1</v>
      </c>
      <c r="E1716" s="42" t="n">
        <v>30</v>
      </c>
      <c r="F1716" s="43" t="n">
        <f aca="false">IFERROR(D1716*E1716,0)</f>
        <v>30</v>
      </c>
      <c r="G1716" s="40" t="str">
        <f aca="false">INDEX(SETORES!$B:$B,MATCH(A1716,SETORES!$A:$A,0))</f>
        <v>Clientes</v>
      </c>
      <c r="H1716" s="40" t="s">
        <v>21</v>
      </c>
    </row>
    <row r="1717" customFormat="false" ht="14.25" hidden="false" customHeight="true" outlineLevel="0" collapsed="false">
      <c r="A1717" s="16" t="s">
        <v>137</v>
      </c>
      <c r="B1717" s="16" t="s">
        <v>148</v>
      </c>
      <c r="C1717" s="16" t="s">
        <v>160</v>
      </c>
      <c r="D1717" s="38" t="n">
        <v>6</v>
      </c>
      <c r="E1717" s="39" t="n">
        <v>9.92</v>
      </c>
      <c r="F1717" s="22" t="n">
        <f aca="false">IFERROR(D1717*E1717,0)</f>
        <v>59.52</v>
      </c>
      <c r="G1717" s="16" t="str">
        <f aca="false">INDEX(SETORES!$B:$B,MATCH(A1717,SETORES!$A:$A,0))</f>
        <v>Funcionários</v>
      </c>
      <c r="H1717" s="16" t="s">
        <v>21</v>
      </c>
    </row>
    <row r="1718" customFormat="false" ht="14.25" hidden="false" customHeight="true" outlineLevel="0" collapsed="false">
      <c r="A1718" s="40" t="s">
        <v>137</v>
      </c>
      <c r="B1718" s="40" t="s">
        <v>148</v>
      </c>
      <c r="C1718" s="40" t="s">
        <v>161</v>
      </c>
      <c r="D1718" s="41" t="n">
        <v>6</v>
      </c>
      <c r="E1718" s="42" t="n">
        <v>2.05</v>
      </c>
      <c r="F1718" s="43" t="n">
        <f aca="false">IFERROR(D1718*E1718,0)</f>
        <v>12.3</v>
      </c>
      <c r="G1718" s="40" t="str">
        <f aca="false">INDEX(SETORES!$B:$B,MATCH(A1718,SETORES!$A:$A,0))</f>
        <v>Funcionários</v>
      </c>
      <c r="H1718" s="40" t="s">
        <v>21</v>
      </c>
    </row>
    <row r="1719" customFormat="false" ht="14.25" hidden="false" customHeight="true" outlineLevel="0" collapsed="false">
      <c r="A1719" s="40" t="s">
        <v>137</v>
      </c>
      <c r="B1719" s="40" t="s">
        <v>148</v>
      </c>
      <c r="C1719" s="40" t="s">
        <v>163</v>
      </c>
      <c r="D1719" s="41" t="n">
        <v>6</v>
      </c>
      <c r="E1719" s="42" t="n">
        <v>29.74</v>
      </c>
      <c r="F1719" s="43" t="n">
        <f aca="false">IFERROR(D1719*E1719,0)</f>
        <v>178.44</v>
      </c>
      <c r="G1719" s="40" t="str">
        <f aca="false">INDEX(SETORES!$B:$B,MATCH(A1719,SETORES!$A:$A,0))</f>
        <v>Funcionários</v>
      </c>
      <c r="H1719" s="40" t="s">
        <v>21</v>
      </c>
    </row>
    <row r="1720" customFormat="false" ht="14.25" hidden="false" customHeight="true" outlineLevel="0" collapsed="false">
      <c r="A1720" s="40" t="s">
        <v>137</v>
      </c>
      <c r="B1720" s="40" t="s">
        <v>148</v>
      </c>
      <c r="C1720" s="40" t="s">
        <v>164</v>
      </c>
      <c r="D1720" s="41" t="n">
        <v>6</v>
      </c>
      <c r="E1720" s="42" t="n">
        <v>43.54</v>
      </c>
      <c r="F1720" s="43" t="n">
        <f aca="false">IFERROR(D1720*E1720,0)</f>
        <v>261.24</v>
      </c>
      <c r="G1720" s="40" t="str">
        <f aca="false">INDEX(SETORES!$B:$B,MATCH(A1720,SETORES!$A:$A,0))</f>
        <v>Funcionários</v>
      </c>
      <c r="H1720" s="40" t="s">
        <v>21</v>
      </c>
    </row>
    <row r="1721" customFormat="false" ht="14.25" hidden="false" customHeight="true" outlineLevel="0" collapsed="false">
      <c r="A1721" s="40" t="s">
        <v>137</v>
      </c>
      <c r="B1721" s="40" t="s">
        <v>148</v>
      </c>
      <c r="C1721" s="40" t="s">
        <v>162</v>
      </c>
      <c r="D1721" s="41" t="n">
        <v>6</v>
      </c>
      <c r="E1721" s="42" t="n">
        <v>47.66</v>
      </c>
      <c r="F1721" s="43" t="n">
        <f aca="false">IFERROR(D1721*E1721,0)</f>
        <v>285.96</v>
      </c>
      <c r="G1721" s="40" t="str">
        <f aca="false">INDEX(SETORES!$B:$B,MATCH(A1721,SETORES!$A:$A,0))</f>
        <v>Funcionários</v>
      </c>
      <c r="H1721" s="40" t="s">
        <v>21</v>
      </c>
    </row>
    <row r="1722" customFormat="false" ht="14.25" hidden="false" customHeight="true" outlineLevel="0" collapsed="false">
      <c r="A1722" s="16" t="s">
        <v>43</v>
      </c>
      <c r="B1722" s="16" t="s">
        <v>155</v>
      </c>
      <c r="C1722" s="16" t="s">
        <v>156</v>
      </c>
      <c r="D1722" s="38" t="n">
        <v>2</v>
      </c>
      <c r="E1722" s="39" t="n">
        <v>45</v>
      </c>
      <c r="F1722" s="22" t="n">
        <f aca="false">IFERROR(D1722*E1722,0)</f>
        <v>90</v>
      </c>
      <c r="G1722" s="16" t="str">
        <f aca="false">INDEX(SETORES!$B:$B,MATCH(A1722,SETORES!$A:$A,0))</f>
        <v>Clientes</v>
      </c>
      <c r="H1722" s="16" t="s">
        <v>21</v>
      </c>
    </row>
    <row r="1723" customFormat="false" ht="14.25" hidden="false" customHeight="true" outlineLevel="0" collapsed="false">
      <c r="A1723" s="40" t="s">
        <v>81</v>
      </c>
      <c r="B1723" s="40" t="s">
        <v>155</v>
      </c>
      <c r="C1723" s="40" t="s">
        <v>156</v>
      </c>
      <c r="D1723" s="41" t="n">
        <v>2</v>
      </c>
      <c r="E1723" s="42" t="n">
        <v>45</v>
      </c>
      <c r="F1723" s="43" t="n">
        <f aca="false">IFERROR(D1723*E1723,0)</f>
        <v>90</v>
      </c>
      <c r="G1723" s="40" t="str">
        <f aca="false">INDEX(SETORES!$B:$B,MATCH(A1723,SETORES!$A:$A,0))</f>
        <v>Clientes</v>
      </c>
      <c r="H1723" s="40" t="s">
        <v>21</v>
      </c>
    </row>
    <row r="1724" customFormat="false" ht="14.25" hidden="false" customHeight="true" outlineLevel="0" collapsed="false">
      <c r="A1724" s="16" t="s">
        <v>47</v>
      </c>
      <c r="B1724" s="16" t="s">
        <v>155</v>
      </c>
      <c r="C1724" s="16" t="s">
        <v>156</v>
      </c>
      <c r="D1724" s="38" t="n">
        <v>3</v>
      </c>
      <c r="E1724" s="39" t="n">
        <v>30</v>
      </c>
      <c r="F1724" s="22" t="n">
        <f aca="false">IFERROR(D1724*E1724,0)</f>
        <v>90</v>
      </c>
      <c r="G1724" s="16" t="str">
        <f aca="false">INDEX(SETORES!$B:$B,MATCH(A1724,SETORES!$A:$A,0))</f>
        <v>Clientes</v>
      </c>
      <c r="H1724" s="16" t="s">
        <v>21</v>
      </c>
    </row>
    <row r="1725" customFormat="false" ht="14.25" hidden="false" customHeight="true" outlineLevel="0" collapsed="false">
      <c r="A1725" s="40" t="s">
        <v>47</v>
      </c>
      <c r="B1725" s="40" t="s">
        <v>155</v>
      </c>
      <c r="C1725" s="40" t="s">
        <v>157</v>
      </c>
      <c r="D1725" s="41" t="n">
        <v>1</v>
      </c>
      <c r="E1725" s="42" t="n">
        <v>45</v>
      </c>
      <c r="F1725" s="43" t="n">
        <f aca="false">IFERROR(D1725*E1725,0)</f>
        <v>45</v>
      </c>
      <c r="G1725" s="40" t="str">
        <f aca="false">INDEX(SETORES!$B:$B,MATCH(A1725,SETORES!$A:$A,0))</f>
        <v>Clientes</v>
      </c>
      <c r="H1725" s="40" t="s">
        <v>21</v>
      </c>
    </row>
    <row r="1726" customFormat="false" ht="14.25" hidden="false" customHeight="true" outlineLevel="0" collapsed="false">
      <c r="A1726" s="16" t="s">
        <v>85</v>
      </c>
      <c r="B1726" s="16" t="s">
        <v>155</v>
      </c>
      <c r="C1726" s="16" t="s">
        <v>156</v>
      </c>
      <c r="D1726" s="38" t="n">
        <v>2</v>
      </c>
      <c r="E1726" s="39" t="n">
        <v>45</v>
      </c>
      <c r="F1726" s="22" t="n">
        <f aca="false">IFERROR(D1726*E1726,0)</f>
        <v>90</v>
      </c>
      <c r="G1726" s="16" t="str">
        <f aca="false">INDEX(SETORES!$B:$B,MATCH(A1726,SETORES!$A:$A,0))</f>
        <v>Clientes</v>
      </c>
      <c r="H1726" s="16" t="s">
        <v>21</v>
      </c>
    </row>
    <row r="1727" customFormat="false" ht="14.25" hidden="false" customHeight="true" outlineLevel="0" collapsed="false">
      <c r="A1727" s="40" t="s">
        <v>137</v>
      </c>
      <c r="B1727" s="40" t="s">
        <v>155</v>
      </c>
      <c r="C1727" s="40" t="s">
        <v>157</v>
      </c>
      <c r="D1727" s="41" t="n">
        <v>4</v>
      </c>
      <c r="E1727" s="42" t="n">
        <v>121.25</v>
      </c>
      <c r="F1727" s="43" t="n">
        <f aca="false">IFERROR(D1727*E1727,0)</f>
        <v>485</v>
      </c>
      <c r="G1727" s="40" t="str">
        <f aca="false">INDEX(SETORES!$B:$B,MATCH(A1727,SETORES!$A:$A,0))</f>
        <v>Funcionários</v>
      </c>
      <c r="H1727" s="40" t="s">
        <v>21</v>
      </c>
    </row>
    <row r="1728" customFormat="false" ht="14.25" hidden="false" customHeight="true" outlineLevel="0" collapsed="false">
      <c r="A1728" s="16" t="s">
        <v>53</v>
      </c>
      <c r="B1728" s="16" t="s">
        <v>155</v>
      </c>
      <c r="C1728" s="16" t="s">
        <v>156</v>
      </c>
      <c r="D1728" s="38" t="n">
        <v>2</v>
      </c>
      <c r="E1728" s="39" t="n">
        <v>45</v>
      </c>
      <c r="F1728" s="22" t="n">
        <f aca="false">IFERROR(D1728*E1728,0)</f>
        <v>90</v>
      </c>
      <c r="G1728" s="16" t="str">
        <f aca="false">INDEX(SETORES!$B:$B,MATCH(A1728,SETORES!$A:$A,0))</f>
        <v>Clientes</v>
      </c>
      <c r="H1728" s="16" t="s">
        <v>21</v>
      </c>
    </row>
    <row r="1729" customFormat="false" ht="14.25" hidden="false" customHeight="true" outlineLevel="0" collapsed="false">
      <c r="A1729" s="40" t="s">
        <v>52</v>
      </c>
      <c r="B1729" s="40" t="s">
        <v>155</v>
      </c>
      <c r="C1729" s="40" t="s">
        <v>157</v>
      </c>
      <c r="D1729" s="41" t="n">
        <v>1</v>
      </c>
      <c r="E1729" s="42" t="n">
        <v>68</v>
      </c>
      <c r="F1729" s="43" t="n">
        <f aca="false">IFERROR(D1729*E1729,0)</f>
        <v>68</v>
      </c>
      <c r="G1729" s="40" t="str">
        <f aca="false">INDEX(SETORES!$B:$B,MATCH(A1729,SETORES!$A:$A,0))</f>
        <v>Clientes</v>
      </c>
      <c r="H1729" s="40" t="s">
        <v>21</v>
      </c>
    </row>
    <row r="1730" customFormat="false" ht="14.25" hidden="false" customHeight="true" outlineLevel="0" collapsed="false">
      <c r="A1730" s="16" t="s">
        <v>51</v>
      </c>
      <c r="B1730" s="16" t="s">
        <v>155</v>
      </c>
      <c r="C1730" s="16" t="s">
        <v>156</v>
      </c>
      <c r="D1730" s="38" t="n">
        <v>2</v>
      </c>
      <c r="E1730" s="39" t="n">
        <v>68</v>
      </c>
      <c r="F1730" s="22" t="n">
        <f aca="false">IFERROR(D1730*E1730,0)</f>
        <v>136</v>
      </c>
      <c r="G1730" s="16" t="str">
        <f aca="false">INDEX(SETORES!$B:$B,MATCH(A1730,SETORES!$A:$A,0))</f>
        <v>Clientes</v>
      </c>
      <c r="H1730" s="16" t="s">
        <v>21</v>
      </c>
    </row>
    <row r="1731" customFormat="false" ht="14.25" hidden="false" customHeight="true" outlineLevel="0" collapsed="false">
      <c r="A1731" s="40" t="s">
        <v>87</v>
      </c>
      <c r="B1731" s="40" t="s">
        <v>155</v>
      </c>
      <c r="C1731" s="40" t="s">
        <v>156</v>
      </c>
      <c r="D1731" s="41" t="n">
        <v>4</v>
      </c>
      <c r="E1731" s="42" t="n">
        <v>45</v>
      </c>
      <c r="F1731" s="43" t="n">
        <f aca="false">IFERROR(D1731*E1731,0)</f>
        <v>180</v>
      </c>
      <c r="G1731" s="40" t="str">
        <f aca="false">INDEX(SETORES!$B:$B,MATCH(A1731,SETORES!$A:$A,0))</f>
        <v>Clientes</v>
      </c>
      <c r="H1731" s="40" t="s">
        <v>21</v>
      </c>
    </row>
    <row r="1732" customFormat="false" ht="14.25" hidden="false" customHeight="true" outlineLevel="0" collapsed="false">
      <c r="A1732" s="40" t="s">
        <v>51</v>
      </c>
      <c r="B1732" s="40" t="s">
        <v>148</v>
      </c>
      <c r="C1732" s="40" t="s">
        <v>180</v>
      </c>
      <c r="D1732" s="41" t="n">
        <v>1</v>
      </c>
      <c r="E1732" s="42" t="n">
        <v>719.456231</v>
      </c>
      <c r="F1732" s="43" t="n">
        <f aca="false">IFERROR(D1732*E1732,0)</f>
        <v>719.456231</v>
      </c>
      <c r="G1732" s="40" t="str">
        <f aca="false">INDEX(SETORES!$B:$B,MATCH(A1732,SETORES!$A:$A,0))</f>
        <v>Clientes</v>
      </c>
      <c r="H1732" s="40" t="s">
        <v>21</v>
      </c>
    </row>
    <row r="1733" customFormat="false" ht="14.25" hidden="false" customHeight="true" outlineLevel="0" collapsed="false">
      <c r="A1733" s="16" t="s">
        <v>79</v>
      </c>
      <c r="B1733" s="16" t="s">
        <v>148</v>
      </c>
      <c r="C1733" s="16" t="s">
        <v>242</v>
      </c>
      <c r="D1733" s="38" t="n">
        <v>1</v>
      </c>
      <c r="E1733" s="39" t="n">
        <v>885.85</v>
      </c>
      <c r="F1733" s="22" t="n">
        <f aca="false">IFERROR(D1733*E1733,0)</f>
        <v>885.85</v>
      </c>
      <c r="G1733" s="16" t="s">
        <v>97</v>
      </c>
      <c r="H1733" s="16" t="s">
        <v>21</v>
      </c>
    </row>
    <row r="1734" customFormat="false" ht="14.25" hidden="false" customHeight="true" outlineLevel="0" collapsed="false">
      <c r="A1734" s="40" t="s">
        <v>79</v>
      </c>
      <c r="B1734" s="40" t="s">
        <v>148</v>
      </c>
      <c r="C1734" s="40" t="s">
        <v>160</v>
      </c>
      <c r="D1734" s="41" t="n">
        <v>5</v>
      </c>
      <c r="E1734" s="42" t="n">
        <v>9.92</v>
      </c>
      <c r="F1734" s="43" t="n">
        <f aca="false">IFERROR(D1734*E1734,0)</f>
        <v>49.6</v>
      </c>
      <c r="G1734" s="40" t="s">
        <v>97</v>
      </c>
      <c r="H1734" s="40" t="s">
        <v>21</v>
      </c>
    </row>
    <row r="1735" customFormat="false" ht="14.25" hidden="false" customHeight="true" outlineLevel="0" collapsed="false">
      <c r="A1735" s="16" t="s">
        <v>79</v>
      </c>
      <c r="B1735" s="16" t="s">
        <v>148</v>
      </c>
      <c r="C1735" s="16" t="s">
        <v>161</v>
      </c>
      <c r="D1735" s="38" t="n">
        <v>5</v>
      </c>
      <c r="E1735" s="39" t="n">
        <v>2.05</v>
      </c>
      <c r="F1735" s="22" t="n">
        <f aca="false">IFERROR(D1735*E1735,0)</f>
        <v>10.25</v>
      </c>
      <c r="G1735" s="16" t="s">
        <v>97</v>
      </c>
      <c r="H1735" s="16" t="s">
        <v>21</v>
      </c>
    </row>
    <row r="1736" customFormat="false" ht="14.25" hidden="false" customHeight="true" outlineLevel="0" collapsed="false">
      <c r="A1736" s="16" t="s">
        <v>79</v>
      </c>
      <c r="B1736" s="16" t="s">
        <v>148</v>
      </c>
      <c r="C1736" s="16" t="s">
        <v>163</v>
      </c>
      <c r="D1736" s="38" t="n">
        <v>5</v>
      </c>
      <c r="E1736" s="39" t="n">
        <v>29.74</v>
      </c>
      <c r="F1736" s="22" t="n">
        <f aca="false">IFERROR(D1736*E1736,0)</f>
        <v>148.7</v>
      </c>
      <c r="G1736" s="16" t="s">
        <v>97</v>
      </c>
      <c r="H1736" s="16" t="s">
        <v>21</v>
      </c>
    </row>
    <row r="1737" customFormat="false" ht="14.25" hidden="false" customHeight="true" outlineLevel="0" collapsed="false">
      <c r="A1737" s="40" t="s">
        <v>79</v>
      </c>
      <c r="B1737" s="40" t="s">
        <v>148</v>
      </c>
      <c r="C1737" s="40" t="s">
        <v>164</v>
      </c>
      <c r="D1737" s="41" t="n">
        <v>5</v>
      </c>
      <c r="E1737" s="42" t="n">
        <v>43.54</v>
      </c>
      <c r="F1737" s="43" t="n">
        <f aca="false">IFERROR(D1737*E1737,0)</f>
        <v>217.7</v>
      </c>
      <c r="G1737" s="40" t="s">
        <v>97</v>
      </c>
      <c r="H1737" s="40" t="s">
        <v>21</v>
      </c>
    </row>
    <row r="1738" customFormat="false" ht="14.25" hidden="false" customHeight="true" outlineLevel="0" collapsed="false">
      <c r="A1738" s="16" t="s">
        <v>79</v>
      </c>
      <c r="B1738" s="16" t="s">
        <v>148</v>
      </c>
      <c r="C1738" s="16" t="s">
        <v>162</v>
      </c>
      <c r="D1738" s="38" t="n">
        <v>5</v>
      </c>
      <c r="E1738" s="39" t="n">
        <v>47.66</v>
      </c>
      <c r="F1738" s="22" t="n">
        <f aca="false">IFERROR(D1738*E1738,0)</f>
        <v>238.3</v>
      </c>
      <c r="G1738" s="16" t="s">
        <v>97</v>
      </c>
      <c r="H1738" s="16" t="s">
        <v>21</v>
      </c>
    </row>
    <row r="1739" customFormat="false" ht="14.25" hidden="false" customHeight="true" outlineLevel="0" collapsed="false">
      <c r="A1739" s="40" t="s">
        <v>79</v>
      </c>
      <c r="B1739" s="40" t="s">
        <v>155</v>
      </c>
      <c r="C1739" s="40" t="s">
        <v>244</v>
      </c>
      <c r="D1739" s="41" t="n">
        <v>1</v>
      </c>
      <c r="E1739" s="42" t="n">
        <v>89474.31</v>
      </c>
      <c r="F1739" s="43" t="n">
        <f aca="false">IFERROR(E1739,0)</f>
        <v>89474.31</v>
      </c>
      <c r="G1739" s="40" t="s">
        <v>97</v>
      </c>
      <c r="H1739" s="40" t="s">
        <v>21</v>
      </c>
    </row>
    <row r="1740" customFormat="false" ht="14.25" hidden="false" customHeight="true" outlineLevel="0" collapsed="false">
      <c r="A1740" s="16" t="s">
        <v>79</v>
      </c>
      <c r="B1740" s="16" t="s">
        <v>155</v>
      </c>
      <c r="C1740" s="16" t="s">
        <v>245</v>
      </c>
      <c r="D1740" s="38" t="n">
        <v>1</v>
      </c>
      <c r="E1740" s="39" t="n">
        <v>1800.06</v>
      </c>
      <c r="F1740" s="22" t="n">
        <f aca="false">IFERROR(E1740,0)</f>
        <v>1800.06</v>
      </c>
      <c r="G1740" s="16" t="s">
        <v>97</v>
      </c>
      <c r="H1740" s="16" t="s">
        <v>21</v>
      </c>
    </row>
    <row r="1741" customFormat="false" ht="14.25" hidden="false" customHeight="true" outlineLevel="0" collapsed="false">
      <c r="A1741" s="40" t="s">
        <v>79</v>
      </c>
      <c r="B1741" s="40" t="s">
        <v>155</v>
      </c>
      <c r="C1741" s="40" t="s">
        <v>246</v>
      </c>
      <c r="D1741" s="41" t="n">
        <v>1</v>
      </c>
      <c r="E1741" s="42" t="n">
        <v>1170</v>
      </c>
      <c r="F1741" s="43" t="n">
        <f aca="false">IFERROR(E1741,0)</f>
        <v>1170</v>
      </c>
      <c r="G1741" s="40" t="s">
        <v>97</v>
      </c>
      <c r="H1741" s="40" t="s">
        <v>21</v>
      </c>
    </row>
    <row r="1742" customFormat="false" ht="14.25" hidden="false" customHeight="true" outlineLevel="0" collapsed="false">
      <c r="A1742" s="16" t="s">
        <v>79</v>
      </c>
      <c r="B1742" s="16" t="s">
        <v>155</v>
      </c>
      <c r="C1742" s="16" t="s">
        <v>247</v>
      </c>
      <c r="D1742" s="38" t="n">
        <v>1</v>
      </c>
      <c r="E1742" s="39" t="n">
        <v>-12600</v>
      </c>
      <c r="F1742" s="22" t="n">
        <f aca="false">IFERROR(E1742,0)</f>
        <v>-12600</v>
      </c>
      <c r="G1742" s="16" t="s">
        <v>97</v>
      </c>
      <c r="H1742" s="16" t="s">
        <v>21</v>
      </c>
    </row>
    <row r="1743" customFormat="false" ht="14.25" hidden="false" customHeight="false" outlineLevel="0" collapsed="false">
      <c r="A1743" s="40" t="s">
        <v>139</v>
      </c>
      <c r="B1743" s="40" t="s">
        <v>148</v>
      </c>
      <c r="C1743" s="40" t="s">
        <v>154</v>
      </c>
      <c r="D1743" s="41" t="n">
        <v>1</v>
      </c>
      <c r="E1743" s="42" t="n">
        <v>18352.58</v>
      </c>
      <c r="F1743" s="43" t="n">
        <f aca="false">D1743*E1743</f>
        <v>18352.58</v>
      </c>
      <c r="G1743" s="40"/>
      <c r="H1743" s="40" t="s">
        <v>20</v>
      </c>
    </row>
    <row r="1744" customFormat="false" ht="14.25" hidden="false" customHeight="false" outlineLevel="0" collapsed="false">
      <c r="A1744" s="40" t="s">
        <v>139</v>
      </c>
      <c r="B1744" s="40" t="s">
        <v>148</v>
      </c>
      <c r="C1744" s="40" t="s">
        <v>154</v>
      </c>
      <c r="D1744" s="41" t="n">
        <v>1</v>
      </c>
      <c r="E1744" s="42" t="n">
        <v>20632.94</v>
      </c>
      <c r="F1744" s="43" t="n">
        <f aca="false">D1744*E1744</f>
        <v>20632.94</v>
      </c>
      <c r="G1744" s="40"/>
      <c r="H1744" s="40" t="s">
        <v>11</v>
      </c>
    </row>
    <row r="1745" customFormat="false" ht="14.25" hidden="false" customHeight="false" outlineLevel="0" collapsed="false">
      <c r="A1745" s="40" t="s">
        <v>139</v>
      </c>
      <c r="B1745" s="40" t="s">
        <v>148</v>
      </c>
      <c r="C1745" s="40" t="s">
        <v>154</v>
      </c>
      <c r="D1745" s="41" t="n">
        <v>1</v>
      </c>
      <c r="E1745" s="42" t="n">
        <v>20362.12</v>
      </c>
      <c r="F1745" s="43" t="n">
        <f aca="false">D1745*E1745</f>
        <v>20362.12</v>
      </c>
      <c r="G1745" s="40"/>
      <c r="H1745" s="40" t="s">
        <v>21</v>
      </c>
    </row>
    <row r="1746" customFormat="false" ht="14.25" hidden="false" customHeight="false" outlineLevel="0" collapsed="false">
      <c r="A1746" s="16" t="s">
        <v>48</v>
      </c>
      <c r="B1746" s="16" t="s">
        <v>148</v>
      </c>
      <c r="C1746" s="16" t="s">
        <v>248</v>
      </c>
      <c r="D1746" s="38" t="n">
        <v>1</v>
      </c>
      <c r="E1746" s="39" t="n">
        <v>9389.277632</v>
      </c>
      <c r="F1746" s="22" t="n">
        <v>9389.277632</v>
      </c>
      <c r="G1746" s="16" t="s">
        <v>95</v>
      </c>
      <c r="H1746" s="16" t="s">
        <v>20</v>
      </c>
    </row>
    <row r="1747" customFormat="false" ht="14.25" hidden="false" customHeight="false" outlineLevel="0" collapsed="false">
      <c r="A1747" s="16" t="s">
        <v>49</v>
      </c>
      <c r="B1747" s="16" t="s">
        <v>148</v>
      </c>
      <c r="C1747" s="16" t="s">
        <v>248</v>
      </c>
      <c r="D1747" s="38" t="n">
        <v>1</v>
      </c>
      <c r="E1747" s="39" t="n">
        <v>3129.759211</v>
      </c>
      <c r="F1747" s="22" t="n">
        <v>3129.759211</v>
      </c>
      <c r="G1747" s="16" t="s">
        <v>95</v>
      </c>
      <c r="H1747" s="16" t="s">
        <v>20</v>
      </c>
    </row>
    <row r="1748" customFormat="false" ht="14.25" hidden="false" customHeight="false" outlineLevel="0" collapsed="false">
      <c r="A1748" s="16" t="s">
        <v>48</v>
      </c>
      <c r="B1748" s="16" t="s">
        <v>148</v>
      </c>
      <c r="C1748" s="16" t="s">
        <v>248</v>
      </c>
      <c r="D1748" s="38" t="n">
        <v>1</v>
      </c>
      <c r="E1748" s="39" t="n">
        <v>13318.46125</v>
      </c>
      <c r="F1748" s="22" t="n">
        <v>13318.46125</v>
      </c>
      <c r="G1748" s="16" t="s">
        <v>95</v>
      </c>
      <c r="H1748" s="16" t="s">
        <v>11</v>
      </c>
    </row>
    <row r="1749" customFormat="false" ht="14.25" hidden="false" customHeight="false" outlineLevel="0" collapsed="false">
      <c r="A1749" s="16" t="s">
        <v>49</v>
      </c>
      <c r="B1749" s="16" t="s">
        <v>148</v>
      </c>
      <c r="C1749" s="16" t="s">
        <v>248</v>
      </c>
      <c r="D1749" s="38" t="n">
        <v>1</v>
      </c>
      <c r="E1749" s="39" t="n">
        <v>3805.274643</v>
      </c>
      <c r="F1749" s="22" t="n">
        <v>3805.274643</v>
      </c>
      <c r="G1749" s="16" t="s">
        <v>95</v>
      </c>
      <c r="H1749" s="16" t="s">
        <v>11</v>
      </c>
    </row>
    <row r="1750" customFormat="false" ht="14.25" hidden="false" customHeight="false" outlineLevel="0" collapsed="false">
      <c r="A1750" s="16" t="s">
        <v>48</v>
      </c>
      <c r="B1750" s="16" t="s">
        <v>148</v>
      </c>
      <c r="C1750" s="16" t="s">
        <v>248</v>
      </c>
      <c r="D1750" s="38" t="n">
        <v>1</v>
      </c>
      <c r="E1750" s="39" t="n">
        <v>10847.070633</v>
      </c>
      <c r="F1750" s="22" t="n">
        <v>10847.070633</v>
      </c>
      <c r="G1750" s="16" t="s">
        <v>95</v>
      </c>
      <c r="H1750" s="16" t="s">
        <v>21</v>
      </c>
    </row>
    <row r="1751" customFormat="false" ht="14.25" hidden="false" customHeight="false" outlineLevel="0" collapsed="false">
      <c r="A1751" s="16" t="s">
        <v>49</v>
      </c>
      <c r="B1751" s="16" t="s">
        <v>148</v>
      </c>
      <c r="C1751" s="16" t="s">
        <v>248</v>
      </c>
      <c r="D1751" s="38" t="n">
        <v>1</v>
      </c>
      <c r="E1751" s="39" t="n">
        <v>3099.163038</v>
      </c>
      <c r="F1751" s="22" t="n">
        <v>3099.163038</v>
      </c>
      <c r="G1751" s="16" t="s">
        <v>95</v>
      </c>
      <c r="H1751" s="16" t="s">
        <v>21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249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250</v>
      </c>
      <c r="C3" s="6" t="s">
        <v>251</v>
      </c>
      <c r="D3" s="6" t="s">
        <v>252</v>
      </c>
      <c r="E3" s="6" t="s">
        <v>253</v>
      </c>
      <c r="F3" s="6" t="s">
        <v>254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75255.1632354501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75255.1632354501</v>
      </c>
      <c r="F4" s="11" t="n">
        <f aca="false">IFERROR(B4/B$12,0)</f>
        <v>0.0318293434173794</v>
      </c>
      <c r="G4" s="44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148995.979165598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148995.979165598</v>
      </c>
      <c r="F5" s="16" t="n">
        <f aca="false">IFERROR(B5/B$12,0)</f>
        <v>0.063018190178299</v>
      </c>
      <c r="G5" s="45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169994.164074246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169994.164074246</v>
      </c>
      <c r="F6" s="11" t="n">
        <f aca="false">IFERROR(B6/B$12,0)</f>
        <v>0.071899420513391</v>
      </c>
      <c r="G6" s="44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43647.1450321149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43647.1450321149</v>
      </c>
      <c r="F7" s="16" t="n">
        <f aca="false">IFERROR(B7/B$12,0)</f>
        <v>0.0184606598230182</v>
      </c>
      <c r="G7" s="45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80349.6284569776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80349.6284569776</v>
      </c>
      <c r="F8" s="11" t="n">
        <f aca="false">IFERROR(B8/B$12,0)</f>
        <v>0.0339840591351111</v>
      </c>
      <c r="G8" s="44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54055.3047047886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54055.3047047886</v>
      </c>
      <c r="F9" s="16" t="n">
        <f aca="false">IFERROR(B9/B$12,0)</f>
        <v>0.0228628147625798</v>
      </c>
      <c r="G9" s="45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57049.7364709041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57049.7364709041</v>
      </c>
      <c r="F10" s="11" t="n">
        <f aca="false">IFERROR(B10/B$12,0)</f>
        <v>0.0241293165270554</v>
      </c>
      <c r="G10" s="44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1734985.76027146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1734985.76027146</v>
      </c>
      <c r="F11" s="16" t="n">
        <f aca="false">IFERROR(B11/B$12,0)</f>
        <v>0.733816195643166</v>
      </c>
      <c r="G11" s="45" t="s">
        <v>11</v>
      </c>
    </row>
    <row r="12" customFormat="false" ht="15" hidden="false" customHeight="true" outlineLevel="0" collapsed="false">
      <c r="A12" s="32" t="s">
        <v>133</v>
      </c>
      <c r="B12" s="34" t="n">
        <f aca="false">SUM(B4:B11)</f>
        <v>2364332.88141154</v>
      </c>
      <c r="C12" s="34" t="n">
        <f aca="false">SUM(C4:C11)</f>
        <v>0</v>
      </c>
      <c r="D12" s="34" t="n">
        <f aca="false">SUM(D4:D11)</f>
        <v>0</v>
      </c>
      <c r="E12" s="34" t="n">
        <f aca="false">SUM(E4:E11)</f>
        <v>2364332.88141154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64899.686943575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64899.686943575</v>
      </c>
      <c r="F14" s="11" t="n">
        <f aca="false">IFERROR(B14/B$22,0)</f>
        <v>0.0316572579718724</v>
      </c>
      <c r="G14" s="44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131347.0142433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131347.0142433</v>
      </c>
      <c r="F15" s="16" t="n">
        <f aca="false">IFERROR(B15/B$22,0)</f>
        <v>0.0640694356099202</v>
      </c>
      <c r="G15" s="45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148818.76645608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148818.76645608</v>
      </c>
      <c r="F16" s="11" t="n">
        <f aca="false">IFERROR(B16/B$22,0)</f>
        <v>0.072591938461151</v>
      </c>
      <c r="G16" s="44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37957.6361551468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37957.6361551468</v>
      </c>
      <c r="F17" s="16" t="n">
        <f aca="false">IFERROR(B17/B$22,0)</f>
        <v>0.0185152615729977</v>
      </c>
      <c r="G17" s="45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70609.911927195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70609.911927195</v>
      </c>
      <c r="F18" s="11" t="n">
        <f aca="false">IFERROR(B18/B$22,0)</f>
        <v>0.0344426345106075</v>
      </c>
      <c r="G18" s="44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47374.4510928998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47374.4510928998</v>
      </c>
      <c r="F19" s="16" t="n">
        <f aca="false">IFERROR(B19/B$22,0)</f>
        <v>0.0231086664690338</v>
      </c>
      <c r="G19" s="45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50736.9265758228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50736.9265758228</v>
      </c>
      <c r="F20" s="11" t="n">
        <f aca="false">IFERROR(B20/B$22,0)</f>
        <v>0.0247488400784926</v>
      </c>
      <c r="G20" s="44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1498328.51567595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1498328.51567595</v>
      </c>
      <c r="F21" s="16" t="n">
        <f aca="false">IFERROR(B21/B$22,0)</f>
        <v>0.730865965325925</v>
      </c>
      <c r="G21" s="45" t="s">
        <v>20</v>
      </c>
    </row>
    <row r="22" customFormat="false" ht="15" hidden="false" customHeight="true" outlineLevel="0" collapsed="false">
      <c r="A22" s="32" t="s">
        <v>132</v>
      </c>
      <c r="B22" s="34" t="n">
        <f aca="false">SUM(B14:B21)</f>
        <v>2050072.90906997</v>
      </c>
      <c r="C22" s="34" t="n">
        <f aca="false">SUM(C14:C21)</f>
        <v>0</v>
      </c>
      <c r="D22" s="34" t="n">
        <f aca="false">SUM(D14:D21)</f>
        <v>0</v>
      </c>
      <c r="E22" s="34" t="n">
        <f aca="false">SUM(E14:E21)</f>
        <v>2050072.90906997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81496.7673415443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81496.7673415443</v>
      </c>
      <c r="F24" s="11" t="n">
        <f aca="false">IFERROR(B24/B$32,0)</f>
        <v>0.0316374155999366</v>
      </c>
      <c r="G24" s="44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144901.450887272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144901.450887272</v>
      </c>
      <c r="F25" s="16" t="n">
        <f aca="false">IFERROR(B25/B$32,0)</f>
        <v>0.0562514020162553</v>
      </c>
      <c r="G25" s="45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178755.415437278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178755.415437278</v>
      </c>
      <c r="F26" s="11" t="n">
        <f aca="false">IFERROR(B26/B$32,0)</f>
        <v>0.0693936649686667</v>
      </c>
      <c r="G26" s="44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45480.695725453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45480.695725453</v>
      </c>
      <c r="F27" s="16" t="n">
        <f aca="false">IFERROR(B27/B$32,0)</f>
        <v>0.0176558128546397</v>
      </c>
      <c r="G27" s="45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86431.5855502495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86431.5855502495</v>
      </c>
      <c r="F28" s="11" t="n">
        <f aca="false">IFERROR(B28/B$32,0)</f>
        <v>0.0335531344642769</v>
      </c>
      <c r="G28" s="44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57252.4653228056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57252.4653228056</v>
      </c>
      <c r="F29" s="16" t="n">
        <f aca="false">IFERROR(B29/B$32,0)</f>
        <v>0.0222256673316564</v>
      </c>
      <c r="G29" s="45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61260.6341046948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61260.6341046948</v>
      </c>
      <c r="F30" s="11" t="n">
        <f aca="false">IFERROR(B30/B$32,0)</f>
        <v>0.0237816566755758</v>
      </c>
      <c r="G30" s="44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1920382.5740263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1920382.5740263</v>
      </c>
      <c r="F31" s="16" t="n">
        <f aca="false">IFERROR(B31/B$32,0)</f>
        <v>0.745501246088993</v>
      </c>
      <c r="G31" s="45" t="s">
        <v>21</v>
      </c>
    </row>
    <row r="32" customFormat="false" ht="15" hidden="false" customHeight="true" outlineLevel="0" collapsed="false">
      <c r="A32" s="32" t="s">
        <v>134</v>
      </c>
      <c r="B32" s="34" t="n">
        <f aca="false">SUM(B24:B31)</f>
        <v>2575961.58839559</v>
      </c>
      <c r="C32" s="34" t="n">
        <f aca="false">SUM(C24:C31)</f>
        <v>0</v>
      </c>
      <c r="D32" s="34" t="n">
        <f aca="false">SUM(D24:D31)</f>
        <v>0</v>
      </c>
      <c r="E32" s="34" t="n">
        <f aca="false">SUM(E24:E31)</f>
        <v>2575961.58839559</v>
      </c>
      <c r="F32" s="32"/>
      <c r="G32" s="19"/>
    </row>
    <row r="34" customFormat="false" ht="14.25" hidden="false" customHeight="true" outlineLevel="0" collapsed="false">
      <c r="A34" s="36" t="s">
        <v>255</v>
      </c>
      <c r="B34" s="36"/>
      <c r="C34" s="36"/>
      <c r="D34" s="36"/>
      <c r="E34" s="36"/>
      <c r="F34" s="36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6" t="s">
        <v>256</v>
      </c>
      <c r="B1" s="46"/>
      <c r="C1" s="46"/>
      <c r="D1" s="46"/>
      <c r="E1" s="46"/>
      <c r="F1" s="46"/>
      <c r="G1" s="46"/>
      <c r="H1" s="46"/>
      <c r="I1" s="46"/>
      <c r="J1" s="47"/>
      <c r="K1" s="47"/>
      <c r="L1" s="47"/>
      <c r="M1" s="47"/>
      <c r="N1" s="47"/>
      <c r="O1" s="47"/>
    </row>
    <row r="2" customFormat="false" ht="60" hidden="false" customHeight="true" outlineLevel="0" collapsed="false">
      <c r="A2" s="48" t="s">
        <v>257</v>
      </c>
      <c r="B2" s="48"/>
      <c r="C2" s="48"/>
      <c r="D2" s="48"/>
      <c r="E2" s="48"/>
      <c r="F2" s="48"/>
      <c r="G2" s="48"/>
      <c r="H2" s="48"/>
      <c r="I2" s="48"/>
      <c r="J2" s="47"/>
      <c r="K2" s="47"/>
      <c r="L2" s="47"/>
      <c r="M2" s="47"/>
      <c r="N2" s="47"/>
      <c r="O2" s="47"/>
    </row>
    <row r="3" customFormat="false" ht="15" hidden="false" customHeight="true" outlineLevel="0" collapsed="false">
      <c r="A3" s="47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</row>
    <row r="4" customFormat="false" ht="15" hidden="false" customHeight="true" outlineLevel="0" collapsed="false">
      <c r="A4" s="49" t="s">
        <v>258</v>
      </c>
      <c r="B4" s="49"/>
      <c r="C4" s="49"/>
      <c r="D4" s="49"/>
      <c r="E4" s="49"/>
      <c r="F4" s="49"/>
      <c r="G4" s="49"/>
      <c r="H4" s="49"/>
      <c r="I4" s="49"/>
      <c r="J4" s="47"/>
      <c r="K4" s="47"/>
      <c r="L4" s="47"/>
      <c r="M4" s="47"/>
      <c r="N4" s="47"/>
      <c r="O4" s="47"/>
    </row>
    <row r="5" customFormat="false" ht="15" hidden="false" customHeight="true" outlineLevel="0" collapsed="false">
      <c r="A5" s="50" t="s">
        <v>259</v>
      </c>
      <c r="B5" s="50" t="s">
        <v>3</v>
      </c>
      <c r="C5" s="50" t="s">
        <v>260</v>
      </c>
      <c r="D5" s="50" t="s">
        <v>261</v>
      </c>
      <c r="E5" s="50" t="s">
        <v>262</v>
      </c>
      <c r="F5" s="50" t="s">
        <v>263</v>
      </c>
      <c r="G5" s="47"/>
      <c r="H5" s="47"/>
      <c r="I5" s="47"/>
      <c r="J5" s="47"/>
      <c r="K5" s="47"/>
      <c r="L5" s="47"/>
      <c r="M5" s="47"/>
      <c r="N5" s="47"/>
      <c r="O5" s="47"/>
    </row>
    <row r="6" customFormat="false" ht="15" hidden="false" customHeight="true" outlineLevel="0" collapsed="false">
      <c r="A6" s="51" t="s">
        <v>264</v>
      </c>
      <c r="B6" s="51" t="s">
        <v>265</v>
      </c>
      <c r="C6" s="51" t="n">
        <v>39</v>
      </c>
      <c r="D6" s="51" t="n">
        <v>33</v>
      </c>
      <c r="E6" s="51" t="n">
        <v>2</v>
      </c>
      <c r="F6" s="51" t="s">
        <v>266</v>
      </c>
      <c r="G6" s="47"/>
      <c r="H6" s="47"/>
      <c r="I6" s="47"/>
      <c r="J6" s="47"/>
      <c r="K6" s="47"/>
      <c r="L6" s="47"/>
      <c r="M6" s="47"/>
      <c r="N6" s="47"/>
      <c r="O6" s="47"/>
    </row>
    <row r="7" customFormat="false" ht="15" hidden="false" customHeight="true" outlineLevel="0" collapsed="false">
      <c r="A7" s="51" t="s">
        <v>267</v>
      </c>
      <c r="B7" s="51" t="s">
        <v>265</v>
      </c>
      <c r="C7" s="51" t="n">
        <v>9</v>
      </c>
      <c r="D7" s="51" t="n">
        <v>9</v>
      </c>
      <c r="E7" s="51" t="n">
        <v>0</v>
      </c>
      <c r="F7" s="51" t="s">
        <v>268</v>
      </c>
      <c r="G7" s="47"/>
      <c r="H7" s="47"/>
      <c r="I7" s="47"/>
      <c r="J7" s="47"/>
      <c r="K7" s="47"/>
      <c r="L7" s="47"/>
      <c r="M7" s="47"/>
      <c r="N7" s="47"/>
      <c r="O7" s="47"/>
    </row>
    <row r="8" customFormat="false" ht="15" hidden="false" customHeight="true" outlineLevel="0" collapsed="false">
      <c r="A8" s="51" t="s">
        <v>269</v>
      </c>
      <c r="B8" s="51" t="s">
        <v>265</v>
      </c>
      <c r="C8" s="51" t="n">
        <v>7</v>
      </c>
      <c r="D8" s="51" t="n">
        <v>6</v>
      </c>
      <c r="E8" s="51" t="n">
        <v>1</v>
      </c>
      <c r="F8" s="51" t="s">
        <v>268</v>
      </c>
      <c r="G8" s="47"/>
      <c r="H8" s="47"/>
      <c r="I8" s="47"/>
      <c r="J8" s="47"/>
      <c r="K8" s="47"/>
      <c r="L8" s="47"/>
      <c r="M8" s="47"/>
      <c r="N8" s="47"/>
      <c r="O8" s="47"/>
    </row>
    <row r="9" customFormat="false" ht="15" hidden="false" customHeight="true" outlineLevel="0" collapsed="false">
      <c r="A9" s="51" t="s">
        <v>270</v>
      </c>
      <c r="B9" s="51" t="s">
        <v>265</v>
      </c>
      <c r="C9" s="51" t="n">
        <v>11</v>
      </c>
      <c r="D9" s="51" t="n">
        <v>8</v>
      </c>
      <c r="E9" s="51" t="n">
        <v>1</v>
      </c>
      <c r="F9" s="51" t="s">
        <v>271</v>
      </c>
      <c r="G9" s="47"/>
      <c r="H9" s="47"/>
      <c r="I9" s="47"/>
      <c r="J9" s="47"/>
      <c r="K9" s="47"/>
      <c r="L9" s="47"/>
      <c r="M9" s="47"/>
      <c r="N9" s="47"/>
      <c r="O9" s="47"/>
    </row>
    <row r="10" customFormat="false" ht="15" hidden="false" customHeight="true" outlineLevel="0" collapsed="false">
      <c r="A10" s="51" t="s">
        <v>270</v>
      </c>
      <c r="B10" s="51" t="s">
        <v>272</v>
      </c>
      <c r="C10" s="51" t="n">
        <v>2</v>
      </c>
      <c r="D10" s="51" t="n">
        <v>1</v>
      </c>
      <c r="E10" s="51" t="n">
        <v>1</v>
      </c>
      <c r="F10" s="51" t="s">
        <v>268</v>
      </c>
      <c r="G10" s="47"/>
      <c r="H10" s="47"/>
      <c r="I10" s="47"/>
      <c r="J10" s="47"/>
      <c r="K10" s="47"/>
      <c r="L10" s="47"/>
      <c r="M10" s="47"/>
      <c r="N10" s="47"/>
      <c r="O10" s="47"/>
    </row>
    <row r="11" customFormat="false" ht="15" hidden="false" customHeight="true" outlineLevel="0" collapsed="false">
      <c r="A11" s="51" t="s">
        <v>273</v>
      </c>
      <c r="B11" s="51" t="s">
        <v>265</v>
      </c>
      <c r="C11" s="51" t="n">
        <v>18</v>
      </c>
      <c r="D11" s="51" t="n">
        <v>14</v>
      </c>
      <c r="E11" s="51" t="n">
        <v>2</v>
      </c>
      <c r="F11" s="51" t="s">
        <v>271</v>
      </c>
      <c r="G11" s="47"/>
      <c r="H11" s="47"/>
      <c r="I11" s="47"/>
      <c r="J11" s="47"/>
      <c r="K11" s="47"/>
      <c r="L11" s="47"/>
      <c r="M11" s="47"/>
      <c r="N11" s="47"/>
      <c r="O11" s="47"/>
    </row>
    <row r="12" customFormat="false" ht="15" hidden="false" customHeight="true" outlineLevel="0" collapsed="false">
      <c r="A12" s="51" t="s">
        <v>273</v>
      </c>
      <c r="B12" s="51" t="s">
        <v>274</v>
      </c>
      <c r="C12" s="51" t="n">
        <v>2</v>
      </c>
      <c r="D12" s="51" t="n">
        <v>1</v>
      </c>
      <c r="E12" s="51" t="n">
        <v>1</v>
      </c>
      <c r="F12" s="51" t="s">
        <v>268</v>
      </c>
      <c r="G12" s="47"/>
      <c r="H12" s="47"/>
      <c r="I12" s="47"/>
      <c r="J12" s="47"/>
      <c r="K12" s="47"/>
      <c r="L12" s="47"/>
      <c r="M12" s="47"/>
      <c r="N12" s="47"/>
      <c r="O12" s="47"/>
    </row>
    <row r="13" customFormat="false" ht="15" hidden="false" customHeight="true" outlineLevel="0" collapsed="false">
      <c r="A13" s="51" t="s">
        <v>273</v>
      </c>
      <c r="B13" s="51" t="s">
        <v>275</v>
      </c>
      <c r="C13" s="51" t="n">
        <v>5</v>
      </c>
      <c r="D13" s="51" t="n">
        <v>5</v>
      </c>
      <c r="E13" s="51" t="n">
        <v>0</v>
      </c>
      <c r="F13" s="51" t="s">
        <v>268</v>
      </c>
      <c r="G13" s="47"/>
      <c r="H13" s="47"/>
      <c r="I13" s="47"/>
      <c r="J13" s="47"/>
      <c r="K13" s="47"/>
      <c r="L13" s="47"/>
      <c r="M13" s="47"/>
      <c r="N13" s="47"/>
      <c r="O13" s="47"/>
    </row>
    <row r="14" customFormat="false" ht="15" hidden="false" customHeight="true" outlineLevel="0" collapsed="false">
      <c r="A14" s="51" t="s">
        <v>276</v>
      </c>
      <c r="B14" s="51" t="s">
        <v>277</v>
      </c>
      <c r="C14" s="51" t="n">
        <v>8</v>
      </c>
      <c r="D14" s="51" t="n">
        <v>7</v>
      </c>
      <c r="E14" s="51" t="n">
        <v>0</v>
      </c>
      <c r="F14" s="51" t="s">
        <v>278</v>
      </c>
      <c r="G14" s="47"/>
      <c r="H14" s="47"/>
      <c r="I14" s="47"/>
      <c r="J14" s="47"/>
      <c r="K14" s="47"/>
      <c r="L14" s="47"/>
      <c r="M14" s="47"/>
      <c r="N14" s="47"/>
      <c r="O14" s="47"/>
    </row>
    <row r="15" customFormat="false" ht="15" hidden="false" customHeight="true" outlineLevel="0" collapsed="false">
      <c r="A15" s="51" t="s">
        <v>276</v>
      </c>
      <c r="B15" s="51" t="s">
        <v>279</v>
      </c>
      <c r="C15" s="51" t="n">
        <v>2</v>
      </c>
      <c r="D15" s="51" t="n">
        <v>1</v>
      </c>
      <c r="E15" s="51" t="n">
        <v>0</v>
      </c>
      <c r="F15" s="51" t="s">
        <v>278</v>
      </c>
      <c r="G15" s="47"/>
      <c r="H15" s="47"/>
      <c r="I15" s="47"/>
      <c r="J15" s="47"/>
      <c r="K15" s="47"/>
      <c r="L15" s="47"/>
      <c r="M15" s="47"/>
      <c r="N15" s="47"/>
      <c r="O15" s="47"/>
    </row>
    <row r="16" customFormat="false" ht="15" hidden="false" customHeight="true" outlineLevel="0" collapsed="false">
      <c r="A16" s="51" t="s">
        <v>276</v>
      </c>
      <c r="B16" s="51" t="s">
        <v>280</v>
      </c>
      <c r="C16" s="51" t="n">
        <v>11</v>
      </c>
      <c r="D16" s="51" t="n">
        <v>9</v>
      </c>
      <c r="E16" s="51" t="n">
        <v>1</v>
      </c>
      <c r="F16" s="51" t="s">
        <v>281</v>
      </c>
      <c r="G16" s="47"/>
      <c r="H16" s="47"/>
      <c r="I16" s="47"/>
      <c r="J16" s="47"/>
      <c r="K16" s="47"/>
      <c r="L16" s="47"/>
      <c r="M16" s="47"/>
      <c r="N16" s="47"/>
      <c r="O16" s="47"/>
    </row>
    <row r="17" customFormat="false" ht="15" hidden="false" customHeight="true" outlineLevel="0" collapsed="false">
      <c r="A17" s="51" t="s">
        <v>282</v>
      </c>
      <c r="B17" s="51" t="s">
        <v>283</v>
      </c>
      <c r="C17" s="51" t="n">
        <v>1</v>
      </c>
      <c r="D17" s="51" t="n">
        <v>0</v>
      </c>
      <c r="E17" s="51" t="n">
        <v>0</v>
      </c>
      <c r="F17" s="51" t="s">
        <v>278</v>
      </c>
      <c r="G17" s="47"/>
      <c r="H17" s="47"/>
      <c r="I17" s="47"/>
      <c r="J17" s="47"/>
      <c r="K17" s="47"/>
      <c r="L17" s="47"/>
      <c r="M17" s="47"/>
      <c r="N17" s="47"/>
      <c r="O17" s="47"/>
    </row>
    <row r="18" customFormat="false" ht="15" hidden="false" customHeight="true" outlineLevel="0" collapsed="false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</row>
    <row r="19" customFormat="false" ht="15" hidden="false" customHeight="true" outlineLevel="0" collapsed="false">
      <c r="A19" s="49" t="s">
        <v>284</v>
      </c>
      <c r="B19" s="49"/>
      <c r="C19" s="49"/>
      <c r="D19" s="49"/>
      <c r="E19" s="49"/>
      <c r="F19" s="49"/>
      <c r="G19" s="49"/>
      <c r="H19" s="49"/>
      <c r="I19" s="49"/>
      <c r="J19" s="47"/>
      <c r="K19" s="47"/>
      <c r="L19" s="47"/>
      <c r="M19" s="47"/>
      <c r="N19" s="47"/>
      <c r="O19" s="47"/>
    </row>
    <row r="20" customFormat="false" ht="15" hidden="false" customHeight="true" outlineLevel="0" collapsed="false">
      <c r="A20" s="50" t="s">
        <v>9</v>
      </c>
      <c r="B20" s="50" t="s">
        <v>3</v>
      </c>
      <c r="C20" s="50" t="s">
        <v>143</v>
      </c>
      <c r="D20" s="50" t="s">
        <v>285</v>
      </c>
      <c r="E20" s="50" t="s">
        <v>259</v>
      </c>
      <c r="F20" s="50" t="s">
        <v>145</v>
      </c>
      <c r="G20" s="50" t="s">
        <v>286</v>
      </c>
      <c r="H20" s="50" t="s">
        <v>287</v>
      </c>
      <c r="I20" s="50" t="s">
        <v>288</v>
      </c>
      <c r="J20" s="47"/>
      <c r="K20" s="47"/>
      <c r="L20" s="47"/>
      <c r="M20" s="47"/>
      <c r="N20" s="47"/>
      <c r="O20" s="47"/>
    </row>
    <row r="21" customFormat="false" ht="15" hidden="false" customHeight="true" outlineLevel="0" collapsed="false">
      <c r="A21" s="51" t="s">
        <v>11</v>
      </c>
      <c r="B21" s="51" t="s">
        <v>265</v>
      </c>
      <c r="C21" s="51" t="s">
        <v>289</v>
      </c>
      <c r="D21" s="51" t="s">
        <v>190</v>
      </c>
      <c r="E21" s="51" t="s">
        <v>264</v>
      </c>
      <c r="F21" s="51" t="n">
        <v>1</v>
      </c>
      <c r="G21" s="52" t="n">
        <v>59982.0585470518</v>
      </c>
      <c r="H21" s="52" t="n">
        <v>59982.0585470518</v>
      </c>
      <c r="I21" s="51" t="s">
        <v>290</v>
      </c>
      <c r="J21" s="47"/>
      <c r="K21" s="47"/>
      <c r="L21" s="47"/>
      <c r="M21" s="47"/>
      <c r="N21" s="47"/>
      <c r="O21" s="47"/>
    </row>
    <row r="22" customFormat="false" ht="15" hidden="false" customHeight="true" outlineLevel="0" collapsed="false">
      <c r="A22" s="51" t="s">
        <v>11</v>
      </c>
      <c r="B22" s="51" t="s">
        <v>265</v>
      </c>
      <c r="C22" s="51" t="s">
        <v>289</v>
      </c>
      <c r="D22" s="51" t="s">
        <v>291</v>
      </c>
      <c r="E22" s="51" t="s">
        <v>264</v>
      </c>
      <c r="F22" s="51" t="n">
        <v>1</v>
      </c>
      <c r="G22" s="52" t="n">
        <v>1236.86</v>
      </c>
      <c r="H22" s="52" t="n">
        <v>1236.86</v>
      </c>
      <c r="I22" s="51" t="s">
        <v>292</v>
      </c>
      <c r="J22" s="47"/>
      <c r="K22" s="47"/>
      <c r="L22" s="47"/>
      <c r="M22" s="47"/>
      <c r="N22" s="47"/>
      <c r="O22" s="47"/>
    </row>
    <row r="23" customFormat="false" ht="15" hidden="false" customHeight="true" outlineLevel="0" collapsed="false">
      <c r="A23" s="51" t="s">
        <v>11</v>
      </c>
      <c r="B23" s="51" t="s">
        <v>265</v>
      </c>
      <c r="C23" s="51" t="s">
        <v>289</v>
      </c>
      <c r="D23" s="51" t="s">
        <v>163</v>
      </c>
      <c r="E23" s="51" t="s">
        <v>264</v>
      </c>
      <c r="F23" s="51" t="n">
        <v>39</v>
      </c>
      <c r="G23" s="52" t="n">
        <v>28.31</v>
      </c>
      <c r="H23" s="52" t="n">
        <v>1104.09</v>
      </c>
      <c r="I23" s="51" t="s">
        <v>293</v>
      </c>
      <c r="J23" s="47"/>
      <c r="K23" s="47"/>
      <c r="L23" s="47"/>
      <c r="M23" s="47"/>
      <c r="N23" s="47"/>
      <c r="O23" s="47"/>
    </row>
    <row r="24" customFormat="false" ht="15" hidden="false" customHeight="true" outlineLevel="0" collapsed="false">
      <c r="A24" s="51" t="s">
        <v>11</v>
      </c>
      <c r="B24" s="51" t="s">
        <v>265</v>
      </c>
      <c r="C24" s="51" t="s">
        <v>289</v>
      </c>
      <c r="D24" s="51" t="s">
        <v>164</v>
      </c>
      <c r="E24" s="51" t="s">
        <v>264</v>
      </c>
      <c r="F24" s="51" t="n">
        <v>39</v>
      </c>
      <c r="G24" s="52" t="n">
        <v>47.79</v>
      </c>
      <c r="H24" s="52" t="n">
        <v>1863.81</v>
      </c>
      <c r="I24" s="51" t="s">
        <v>293</v>
      </c>
      <c r="J24" s="47"/>
      <c r="K24" s="47"/>
      <c r="L24" s="47"/>
      <c r="M24" s="47"/>
      <c r="N24" s="47"/>
      <c r="O24" s="47"/>
    </row>
    <row r="25" customFormat="false" ht="15" hidden="false" customHeight="true" outlineLevel="0" collapsed="false">
      <c r="A25" s="51" t="s">
        <v>11</v>
      </c>
      <c r="B25" s="51" t="s">
        <v>265</v>
      </c>
      <c r="C25" s="51" t="s">
        <v>44</v>
      </c>
      <c r="D25" s="51" t="s">
        <v>162</v>
      </c>
      <c r="E25" s="51" t="s">
        <v>264</v>
      </c>
      <c r="F25" s="51" t="n">
        <v>39</v>
      </c>
      <c r="G25" s="52" t="n">
        <v>64.54</v>
      </c>
      <c r="H25" s="52" t="n">
        <v>2517.06</v>
      </c>
      <c r="I25" s="51" t="s">
        <v>293</v>
      </c>
      <c r="J25" s="47"/>
      <c r="K25" s="47"/>
      <c r="L25" s="47"/>
      <c r="M25" s="47"/>
      <c r="N25" s="47"/>
      <c r="O25" s="47"/>
    </row>
    <row r="26" customFormat="false" ht="15" hidden="false" customHeight="true" outlineLevel="0" collapsed="false">
      <c r="A26" s="51" t="s">
        <v>11</v>
      </c>
      <c r="B26" s="51" t="s">
        <v>265</v>
      </c>
      <c r="C26" s="51" t="s">
        <v>44</v>
      </c>
      <c r="D26" s="51" t="s">
        <v>192</v>
      </c>
      <c r="E26" s="51" t="s">
        <v>264</v>
      </c>
      <c r="F26" s="51" t="n">
        <v>1</v>
      </c>
      <c r="G26" s="52" t="n">
        <v>142.07</v>
      </c>
      <c r="H26" s="52" t="n">
        <v>142.07</v>
      </c>
      <c r="I26" s="51" t="s">
        <v>292</v>
      </c>
      <c r="J26" s="47"/>
      <c r="K26" s="47"/>
      <c r="L26" s="47"/>
      <c r="M26" s="47"/>
      <c r="N26" s="47"/>
      <c r="O26" s="47"/>
    </row>
    <row r="27" customFormat="false" ht="15" hidden="false" customHeight="true" outlineLevel="0" collapsed="false">
      <c r="A27" s="51" t="s">
        <v>11</v>
      </c>
      <c r="B27" s="51" t="s">
        <v>265</v>
      </c>
      <c r="C27" s="51" t="s">
        <v>294</v>
      </c>
      <c r="D27" s="51" t="s">
        <v>160</v>
      </c>
      <c r="E27" s="51" t="s">
        <v>264</v>
      </c>
      <c r="F27" s="51" t="n">
        <v>39</v>
      </c>
      <c r="G27" s="52" t="n">
        <v>10.05</v>
      </c>
      <c r="H27" s="52" t="n">
        <v>391.95</v>
      </c>
      <c r="I27" s="51" t="s">
        <v>293</v>
      </c>
      <c r="J27" s="47"/>
      <c r="K27" s="47"/>
      <c r="L27" s="47"/>
      <c r="M27" s="47"/>
      <c r="N27" s="47"/>
      <c r="O27" s="47"/>
    </row>
    <row r="28" customFormat="false" ht="15" hidden="false" customHeight="true" outlineLevel="0" collapsed="false">
      <c r="A28" s="51" t="s">
        <v>11</v>
      </c>
      <c r="B28" s="51" t="s">
        <v>265</v>
      </c>
      <c r="C28" s="51" t="s">
        <v>294</v>
      </c>
      <c r="D28" s="51" t="s">
        <v>161</v>
      </c>
      <c r="E28" s="51" t="s">
        <v>264</v>
      </c>
      <c r="F28" s="51" t="n">
        <v>39</v>
      </c>
      <c r="G28" s="52" t="n">
        <v>2.07</v>
      </c>
      <c r="H28" s="52" t="n">
        <v>80.73</v>
      </c>
      <c r="I28" s="51" t="s">
        <v>293</v>
      </c>
      <c r="J28" s="47"/>
      <c r="K28" s="47"/>
      <c r="L28" s="47"/>
      <c r="M28" s="47"/>
      <c r="N28" s="47"/>
      <c r="O28" s="47"/>
    </row>
    <row r="29" customFormat="false" ht="15" hidden="false" customHeight="true" outlineLevel="0" collapsed="false">
      <c r="A29" s="51" t="s">
        <v>11</v>
      </c>
      <c r="B29" s="51" t="s">
        <v>265</v>
      </c>
      <c r="C29" s="51" t="s">
        <v>295</v>
      </c>
      <c r="D29" s="51" t="s">
        <v>193</v>
      </c>
      <c r="E29" s="51" t="s">
        <v>264</v>
      </c>
      <c r="F29" s="51" t="n">
        <v>1</v>
      </c>
      <c r="G29" s="52" t="n">
        <v>764.48</v>
      </c>
      <c r="H29" s="52" t="n">
        <v>764.48</v>
      </c>
      <c r="I29" s="51" t="s">
        <v>292</v>
      </c>
      <c r="J29" s="47"/>
      <c r="K29" s="47"/>
      <c r="L29" s="47"/>
      <c r="M29" s="47"/>
      <c r="N29" s="47"/>
      <c r="O29" s="47"/>
    </row>
    <row r="30" customFormat="false" ht="15" hidden="false" customHeight="true" outlineLevel="0" collapsed="false">
      <c r="A30" s="51" t="s">
        <v>11</v>
      </c>
      <c r="B30" s="51" t="s">
        <v>265</v>
      </c>
      <c r="C30" s="51" t="s">
        <v>295</v>
      </c>
      <c r="D30" s="51" t="s">
        <v>195</v>
      </c>
      <c r="E30" s="51" t="s">
        <v>264</v>
      </c>
      <c r="F30" s="51" t="n">
        <v>1</v>
      </c>
      <c r="G30" s="52" t="n">
        <v>1150.7</v>
      </c>
      <c r="H30" s="52" t="n">
        <v>1150.7</v>
      </c>
      <c r="I30" s="51" t="s">
        <v>292</v>
      </c>
      <c r="J30" s="47"/>
      <c r="K30" s="47"/>
      <c r="L30" s="47"/>
      <c r="M30" s="47"/>
      <c r="N30" s="47"/>
      <c r="O30" s="47"/>
    </row>
    <row r="31" customFormat="false" ht="15" hidden="false" customHeight="true" outlineLevel="0" collapsed="false">
      <c r="A31" s="51" t="s">
        <v>11</v>
      </c>
      <c r="B31" s="51" t="s">
        <v>265</v>
      </c>
      <c r="C31" s="51" t="s">
        <v>296</v>
      </c>
      <c r="D31" s="51" t="s">
        <v>191</v>
      </c>
      <c r="E31" s="51" t="s">
        <v>264</v>
      </c>
      <c r="F31" s="51" t="n">
        <v>42</v>
      </c>
      <c r="G31" s="52" t="n">
        <v>30</v>
      </c>
      <c r="H31" s="52" t="n">
        <f aca="false">F31*G31</f>
        <v>1260</v>
      </c>
      <c r="I31" s="51" t="s">
        <v>293</v>
      </c>
      <c r="J31" s="47"/>
      <c r="K31" s="47"/>
      <c r="L31" s="47"/>
      <c r="M31" s="47"/>
      <c r="N31" s="47"/>
      <c r="O31" s="47"/>
    </row>
    <row r="32" customFormat="false" ht="15" hidden="false" customHeight="true" outlineLevel="0" collapsed="false">
      <c r="A32" s="51" t="s">
        <v>11</v>
      </c>
      <c r="B32" s="51" t="s">
        <v>265</v>
      </c>
      <c r="C32" s="51" t="s">
        <v>297</v>
      </c>
      <c r="D32" s="51" t="s">
        <v>196</v>
      </c>
      <c r="E32" s="51" t="s">
        <v>264</v>
      </c>
      <c r="F32" s="51" t="n">
        <v>1</v>
      </c>
      <c r="G32" s="52" t="n">
        <v>370.8</v>
      </c>
      <c r="H32" s="52" t="n">
        <f aca="false">F32*G32</f>
        <v>370.8</v>
      </c>
      <c r="I32" s="51" t="s">
        <v>298</v>
      </c>
      <c r="J32" s="47"/>
      <c r="K32" s="47"/>
      <c r="L32" s="47"/>
      <c r="M32" s="47"/>
      <c r="N32" s="47"/>
      <c r="O32" s="47"/>
    </row>
    <row r="33" customFormat="false" ht="15" hidden="false" customHeight="true" outlineLevel="0" collapsed="false">
      <c r="A33" s="51" t="s">
        <v>11</v>
      </c>
      <c r="B33" s="51" t="s">
        <v>265</v>
      </c>
      <c r="C33" s="51" t="s">
        <v>289</v>
      </c>
      <c r="D33" s="51" t="s">
        <v>190</v>
      </c>
      <c r="E33" s="51" t="s">
        <v>267</v>
      </c>
      <c r="F33" s="51" t="n">
        <v>1</v>
      </c>
      <c r="G33" s="52" t="n">
        <v>7035.95</v>
      </c>
      <c r="H33" s="52" t="n">
        <f aca="false">F33*G33</f>
        <v>7035.95</v>
      </c>
      <c r="I33" s="51" t="s">
        <v>299</v>
      </c>
      <c r="J33" s="47"/>
      <c r="K33" s="47"/>
      <c r="L33" s="47"/>
      <c r="M33" s="47"/>
      <c r="N33" s="47"/>
      <c r="O33" s="47"/>
    </row>
    <row r="34" customFormat="false" ht="15" hidden="false" customHeight="true" outlineLevel="0" collapsed="false">
      <c r="A34" s="51" t="s">
        <v>11</v>
      </c>
      <c r="B34" s="51" t="s">
        <v>265</v>
      </c>
      <c r="C34" s="51" t="s">
        <v>289</v>
      </c>
      <c r="D34" s="51" t="s">
        <v>291</v>
      </c>
      <c r="E34" s="51" t="s">
        <v>267</v>
      </c>
      <c r="F34" s="51" t="n">
        <v>1</v>
      </c>
      <c r="G34" s="52" t="n">
        <v>285.43</v>
      </c>
      <c r="H34" s="52" t="n">
        <v>285.43</v>
      </c>
      <c r="I34" s="51" t="s">
        <v>300</v>
      </c>
      <c r="J34" s="47"/>
      <c r="K34" s="47"/>
      <c r="L34" s="47"/>
      <c r="M34" s="47"/>
      <c r="N34" s="47"/>
      <c r="O34" s="47"/>
    </row>
    <row r="35" customFormat="false" ht="15" hidden="false" customHeight="true" outlineLevel="0" collapsed="false">
      <c r="A35" s="51" t="s">
        <v>11</v>
      </c>
      <c r="B35" s="51" t="s">
        <v>265</v>
      </c>
      <c r="C35" s="51" t="s">
        <v>289</v>
      </c>
      <c r="D35" s="51" t="s">
        <v>163</v>
      </c>
      <c r="E35" s="51" t="s">
        <v>267</v>
      </c>
      <c r="F35" s="51" t="n">
        <v>9</v>
      </c>
      <c r="G35" s="52" t="n">
        <v>28.31</v>
      </c>
      <c r="H35" s="52" t="n">
        <f aca="false">F35*G35</f>
        <v>254.79</v>
      </c>
      <c r="I35" s="51" t="s">
        <v>293</v>
      </c>
      <c r="J35" s="47"/>
      <c r="K35" s="47"/>
      <c r="L35" s="47"/>
      <c r="M35" s="47"/>
      <c r="N35" s="47"/>
      <c r="O35" s="47"/>
    </row>
    <row r="36" customFormat="false" ht="15" hidden="false" customHeight="true" outlineLevel="0" collapsed="false">
      <c r="A36" s="51" t="s">
        <v>11</v>
      </c>
      <c r="B36" s="51" t="s">
        <v>265</v>
      </c>
      <c r="C36" s="51" t="s">
        <v>289</v>
      </c>
      <c r="D36" s="51" t="s">
        <v>164</v>
      </c>
      <c r="E36" s="51" t="s">
        <v>267</v>
      </c>
      <c r="F36" s="51" t="n">
        <v>9</v>
      </c>
      <c r="G36" s="52" t="n">
        <v>47.79</v>
      </c>
      <c r="H36" s="52" t="n">
        <f aca="false">F36*G36</f>
        <v>430.11</v>
      </c>
      <c r="I36" s="51" t="s">
        <v>293</v>
      </c>
      <c r="J36" s="47"/>
      <c r="K36" s="47"/>
      <c r="L36" s="47"/>
      <c r="M36" s="47"/>
      <c r="N36" s="47"/>
      <c r="O36" s="47"/>
    </row>
    <row r="37" customFormat="false" ht="15" hidden="false" customHeight="true" outlineLevel="0" collapsed="false">
      <c r="A37" s="51" t="s">
        <v>11</v>
      </c>
      <c r="B37" s="51" t="s">
        <v>265</v>
      </c>
      <c r="C37" s="51" t="s">
        <v>44</v>
      </c>
      <c r="D37" s="51" t="s">
        <v>162</v>
      </c>
      <c r="E37" s="51" t="s">
        <v>267</v>
      </c>
      <c r="F37" s="51" t="n">
        <v>9</v>
      </c>
      <c r="G37" s="52" t="n">
        <v>64.54</v>
      </c>
      <c r="H37" s="52" t="n">
        <f aca="false">F37*G37</f>
        <v>580.86</v>
      </c>
      <c r="I37" s="51" t="s">
        <v>293</v>
      </c>
      <c r="J37" s="47"/>
      <c r="K37" s="47"/>
      <c r="L37" s="47"/>
      <c r="M37" s="47"/>
      <c r="N37" s="47"/>
      <c r="O37" s="47"/>
    </row>
    <row r="38" customFormat="false" ht="15" hidden="false" customHeight="true" outlineLevel="0" collapsed="false">
      <c r="A38" s="51" t="s">
        <v>11</v>
      </c>
      <c r="B38" s="51" t="s">
        <v>265</v>
      </c>
      <c r="C38" s="51" t="s">
        <v>44</v>
      </c>
      <c r="D38" s="51" t="s">
        <v>192</v>
      </c>
      <c r="E38" s="51" t="s">
        <v>267</v>
      </c>
      <c r="F38" s="51" t="n">
        <v>1</v>
      </c>
      <c r="G38" s="52" t="n">
        <v>32.79</v>
      </c>
      <c r="H38" s="52" t="n">
        <v>32.79</v>
      </c>
      <c r="I38" s="51" t="s">
        <v>300</v>
      </c>
      <c r="J38" s="47"/>
      <c r="K38" s="47"/>
      <c r="L38" s="47"/>
      <c r="M38" s="47"/>
      <c r="N38" s="47"/>
      <c r="O38" s="47"/>
    </row>
    <row r="39" customFormat="false" ht="15" hidden="false" customHeight="true" outlineLevel="0" collapsed="false">
      <c r="A39" s="51" t="s">
        <v>11</v>
      </c>
      <c r="B39" s="51" t="s">
        <v>265</v>
      </c>
      <c r="C39" s="51" t="s">
        <v>294</v>
      </c>
      <c r="D39" s="51" t="s">
        <v>160</v>
      </c>
      <c r="E39" s="51" t="s">
        <v>267</v>
      </c>
      <c r="F39" s="51" t="n">
        <v>9</v>
      </c>
      <c r="G39" s="52" t="n">
        <v>10.05</v>
      </c>
      <c r="H39" s="52" t="n">
        <f aca="false">F39*G39</f>
        <v>90.45</v>
      </c>
      <c r="I39" s="51" t="s">
        <v>293</v>
      </c>
      <c r="J39" s="47"/>
      <c r="K39" s="47"/>
      <c r="L39" s="47"/>
      <c r="M39" s="47"/>
      <c r="N39" s="47"/>
      <c r="O39" s="47"/>
    </row>
    <row r="40" customFormat="false" ht="15" hidden="false" customHeight="true" outlineLevel="0" collapsed="false">
      <c r="A40" s="51" t="s">
        <v>11</v>
      </c>
      <c r="B40" s="51" t="s">
        <v>265</v>
      </c>
      <c r="C40" s="51" t="s">
        <v>294</v>
      </c>
      <c r="D40" s="51" t="s">
        <v>161</v>
      </c>
      <c r="E40" s="51" t="s">
        <v>267</v>
      </c>
      <c r="F40" s="51" t="n">
        <v>9</v>
      </c>
      <c r="G40" s="52" t="n">
        <v>2.07</v>
      </c>
      <c r="H40" s="52" t="n">
        <f aca="false">F40*G40</f>
        <v>18.63</v>
      </c>
      <c r="I40" s="51" t="s">
        <v>293</v>
      </c>
      <c r="J40" s="47"/>
      <c r="K40" s="47"/>
      <c r="L40" s="47"/>
      <c r="M40" s="47"/>
      <c r="N40" s="47"/>
      <c r="O40" s="47"/>
    </row>
    <row r="41" customFormat="false" ht="15" hidden="false" customHeight="true" outlineLevel="0" collapsed="false">
      <c r="A41" s="51" t="s">
        <v>11</v>
      </c>
      <c r="B41" s="51" t="s">
        <v>265</v>
      </c>
      <c r="C41" s="51" t="s">
        <v>295</v>
      </c>
      <c r="D41" s="51" t="s">
        <v>193</v>
      </c>
      <c r="E41" s="51" t="s">
        <v>267</v>
      </c>
      <c r="F41" s="51" t="n">
        <v>1</v>
      </c>
      <c r="G41" s="52" t="n">
        <v>176.42</v>
      </c>
      <c r="H41" s="52" t="n">
        <v>176.42</v>
      </c>
      <c r="I41" s="51" t="s">
        <v>300</v>
      </c>
      <c r="J41" s="47"/>
      <c r="K41" s="47"/>
      <c r="L41" s="47"/>
      <c r="M41" s="47"/>
      <c r="N41" s="47"/>
      <c r="O41" s="47"/>
    </row>
    <row r="42" customFormat="false" ht="15" hidden="false" customHeight="true" outlineLevel="0" collapsed="false">
      <c r="A42" s="51" t="s">
        <v>11</v>
      </c>
      <c r="B42" s="51" t="s">
        <v>265</v>
      </c>
      <c r="C42" s="51" t="s">
        <v>295</v>
      </c>
      <c r="D42" s="51" t="s">
        <v>195</v>
      </c>
      <c r="E42" s="51" t="s">
        <v>267</v>
      </c>
      <c r="F42" s="51" t="n">
        <v>1</v>
      </c>
      <c r="G42" s="52" t="n">
        <v>265.55</v>
      </c>
      <c r="H42" s="52" t="n">
        <v>265.55</v>
      </c>
      <c r="I42" s="51" t="s">
        <v>300</v>
      </c>
      <c r="J42" s="47"/>
      <c r="K42" s="47"/>
      <c r="L42" s="47"/>
      <c r="M42" s="47"/>
      <c r="N42" s="47"/>
      <c r="O42" s="47"/>
    </row>
    <row r="43" customFormat="false" ht="15" hidden="false" customHeight="true" outlineLevel="0" collapsed="false">
      <c r="A43" s="51" t="s">
        <v>11</v>
      </c>
      <c r="B43" s="51" t="s">
        <v>265</v>
      </c>
      <c r="C43" s="51" t="s">
        <v>296</v>
      </c>
      <c r="D43" s="51" t="s">
        <v>191</v>
      </c>
      <c r="E43" s="51" t="s">
        <v>267</v>
      </c>
      <c r="F43" s="51" t="n">
        <v>9</v>
      </c>
      <c r="G43" s="52" t="n">
        <v>30</v>
      </c>
      <c r="H43" s="52" t="n">
        <f aca="false">F43*G43</f>
        <v>270</v>
      </c>
      <c r="I43" s="51" t="s">
        <v>293</v>
      </c>
      <c r="J43" s="47"/>
      <c r="K43" s="47"/>
      <c r="L43" s="47"/>
      <c r="M43" s="47"/>
      <c r="N43" s="47"/>
      <c r="O43" s="47"/>
    </row>
    <row r="44" customFormat="false" ht="15" hidden="false" customHeight="true" outlineLevel="0" collapsed="false">
      <c r="A44" s="51" t="s">
        <v>11</v>
      </c>
      <c r="B44" s="51" t="s">
        <v>265</v>
      </c>
      <c r="C44" s="51" t="s">
        <v>289</v>
      </c>
      <c r="D44" s="51" t="s">
        <v>190</v>
      </c>
      <c r="E44" s="51" t="s">
        <v>269</v>
      </c>
      <c r="F44" s="51" t="n">
        <v>1</v>
      </c>
      <c r="G44" s="52" t="n">
        <v>31149.92</v>
      </c>
      <c r="H44" s="52" t="n">
        <f aca="false">F44*G44</f>
        <v>31149.92</v>
      </c>
      <c r="I44" s="51" t="s">
        <v>301</v>
      </c>
      <c r="J44" s="47"/>
      <c r="K44" s="47"/>
      <c r="L44" s="47"/>
      <c r="M44" s="47"/>
      <c r="N44" s="47"/>
      <c r="O44" s="47"/>
    </row>
    <row r="45" customFormat="false" ht="15" hidden="false" customHeight="true" outlineLevel="0" collapsed="false">
      <c r="A45" s="51" t="s">
        <v>11</v>
      </c>
      <c r="B45" s="51" t="s">
        <v>265</v>
      </c>
      <c r="C45" s="51" t="s">
        <v>289</v>
      </c>
      <c r="D45" s="51" t="s">
        <v>291</v>
      </c>
      <c r="E45" s="51" t="s">
        <v>269</v>
      </c>
      <c r="F45" s="51" t="n">
        <v>1</v>
      </c>
      <c r="G45" s="52" t="n">
        <v>222</v>
      </c>
      <c r="H45" s="52" t="n">
        <v>222</v>
      </c>
      <c r="I45" s="51" t="s">
        <v>302</v>
      </c>
      <c r="J45" s="47"/>
      <c r="K45" s="47"/>
      <c r="L45" s="47"/>
      <c r="M45" s="47"/>
      <c r="N45" s="47"/>
      <c r="O45" s="47"/>
    </row>
    <row r="46" customFormat="false" ht="15" hidden="false" customHeight="true" outlineLevel="0" collapsed="false">
      <c r="A46" s="51" t="s">
        <v>11</v>
      </c>
      <c r="B46" s="51" t="s">
        <v>265</v>
      </c>
      <c r="C46" s="51" t="s">
        <v>289</v>
      </c>
      <c r="D46" s="51" t="s">
        <v>163</v>
      </c>
      <c r="E46" s="51" t="s">
        <v>269</v>
      </c>
      <c r="F46" s="51" t="n">
        <v>7</v>
      </c>
      <c r="G46" s="52" t="n">
        <v>28.31</v>
      </c>
      <c r="H46" s="52" t="n">
        <f aca="false">F46*G46</f>
        <v>198.17</v>
      </c>
      <c r="I46" s="51" t="s">
        <v>293</v>
      </c>
      <c r="J46" s="47"/>
      <c r="K46" s="47"/>
      <c r="L46" s="47"/>
      <c r="M46" s="47"/>
      <c r="N46" s="47"/>
      <c r="O46" s="47"/>
    </row>
    <row r="47" customFormat="false" ht="15" hidden="false" customHeight="true" outlineLevel="0" collapsed="false">
      <c r="A47" s="51" t="s">
        <v>11</v>
      </c>
      <c r="B47" s="51" t="s">
        <v>265</v>
      </c>
      <c r="C47" s="51" t="s">
        <v>289</v>
      </c>
      <c r="D47" s="51" t="s">
        <v>164</v>
      </c>
      <c r="E47" s="51" t="s">
        <v>269</v>
      </c>
      <c r="F47" s="51" t="n">
        <v>7</v>
      </c>
      <c r="G47" s="52" t="n">
        <v>47.79</v>
      </c>
      <c r="H47" s="52" t="n">
        <f aca="false">F47*G47</f>
        <v>334.53</v>
      </c>
      <c r="I47" s="51" t="s">
        <v>293</v>
      </c>
      <c r="J47" s="47"/>
      <c r="K47" s="47"/>
      <c r="L47" s="47"/>
      <c r="M47" s="47"/>
      <c r="N47" s="47"/>
      <c r="O47" s="47"/>
    </row>
    <row r="48" customFormat="false" ht="15" hidden="false" customHeight="true" outlineLevel="0" collapsed="false">
      <c r="A48" s="51" t="s">
        <v>11</v>
      </c>
      <c r="B48" s="51" t="s">
        <v>265</v>
      </c>
      <c r="C48" s="51" t="s">
        <v>44</v>
      </c>
      <c r="D48" s="51" t="s">
        <v>162</v>
      </c>
      <c r="E48" s="51" t="s">
        <v>269</v>
      </c>
      <c r="F48" s="51" t="n">
        <v>7</v>
      </c>
      <c r="G48" s="52" t="n">
        <v>64.54</v>
      </c>
      <c r="H48" s="52" t="n">
        <f aca="false">F48*G48</f>
        <v>451.78</v>
      </c>
      <c r="I48" s="51" t="s">
        <v>293</v>
      </c>
      <c r="J48" s="47"/>
      <c r="K48" s="47"/>
      <c r="L48" s="47"/>
      <c r="M48" s="47"/>
      <c r="N48" s="47"/>
      <c r="O48" s="47"/>
    </row>
    <row r="49" customFormat="false" ht="15" hidden="false" customHeight="true" outlineLevel="0" collapsed="false">
      <c r="A49" s="51" t="s">
        <v>11</v>
      </c>
      <c r="B49" s="51" t="s">
        <v>265</v>
      </c>
      <c r="C49" s="51" t="s">
        <v>44</v>
      </c>
      <c r="D49" s="51" t="s">
        <v>192</v>
      </c>
      <c r="E49" s="51" t="s">
        <v>269</v>
      </c>
      <c r="F49" s="51" t="n">
        <v>1</v>
      </c>
      <c r="G49" s="52" t="n">
        <v>25.5</v>
      </c>
      <c r="H49" s="52" t="n">
        <v>25.5</v>
      </c>
      <c r="I49" s="51" t="s">
        <v>302</v>
      </c>
      <c r="J49" s="47"/>
      <c r="K49" s="47"/>
      <c r="L49" s="47"/>
      <c r="M49" s="47"/>
      <c r="N49" s="47"/>
      <c r="O49" s="47"/>
    </row>
    <row r="50" customFormat="false" ht="15" hidden="false" customHeight="true" outlineLevel="0" collapsed="false">
      <c r="A50" s="51" t="s">
        <v>11</v>
      </c>
      <c r="B50" s="51" t="s">
        <v>265</v>
      </c>
      <c r="C50" s="51" t="s">
        <v>294</v>
      </c>
      <c r="D50" s="51" t="s">
        <v>160</v>
      </c>
      <c r="E50" s="51" t="s">
        <v>269</v>
      </c>
      <c r="F50" s="51" t="n">
        <v>7</v>
      </c>
      <c r="G50" s="52" t="n">
        <v>10.05</v>
      </c>
      <c r="H50" s="52" t="n">
        <f aca="false">F50*G50</f>
        <v>70.35</v>
      </c>
      <c r="I50" s="51" t="s">
        <v>293</v>
      </c>
      <c r="J50" s="47"/>
      <c r="K50" s="47"/>
      <c r="L50" s="47"/>
      <c r="M50" s="47"/>
      <c r="N50" s="47"/>
      <c r="O50" s="47"/>
    </row>
    <row r="51" customFormat="false" ht="15" hidden="false" customHeight="true" outlineLevel="0" collapsed="false">
      <c r="A51" s="51" t="s">
        <v>11</v>
      </c>
      <c r="B51" s="51" t="s">
        <v>265</v>
      </c>
      <c r="C51" s="51" t="s">
        <v>294</v>
      </c>
      <c r="D51" s="51" t="s">
        <v>161</v>
      </c>
      <c r="E51" s="51" t="s">
        <v>269</v>
      </c>
      <c r="F51" s="51" t="n">
        <v>7</v>
      </c>
      <c r="G51" s="52" t="n">
        <v>2.07</v>
      </c>
      <c r="H51" s="52" t="n">
        <f aca="false">F51*G51</f>
        <v>14.49</v>
      </c>
      <c r="I51" s="51" t="s">
        <v>293</v>
      </c>
      <c r="J51" s="47"/>
      <c r="K51" s="47"/>
      <c r="L51" s="47"/>
      <c r="M51" s="47"/>
      <c r="N51" s="47"/>
      <c r="O51" s="47"/>
    </row>
    <row r="52" customFormat="false" ht="15" hidden="false" customHeight="true" outlineLevel="0" collapsed="false">
      <c r="A52" s="51" t="s">
        <v>11</v>
      </c>
      <c r="B52" s="51" t="s">
        <v>265</v>
      </c>
      <c r="C52" s="51" t="s">
        <v>295</v>
      </c>
      <c r="D52" s="51" t="s">
        <v>193</v>
      </c>
      <c r="E52" s="51" t="s">
        <v>269</v>
      </c>
      <c r="F52" s="51" t="n">
        <v>1</v>
      </c>
      <c r="G52" s="52" t="n">
        <v>137.22</v>
      </c>
      <c r="H52" s="52" t="n">
        <v>137.22</v>
      </c>
      <c r="I52" s="51" t="s">
        <v>302</v>
      </c>
      <c r="J52" s="47"/>
      <c r="K52" s="47"/>
      <c r="L52" s="47"/>
      <c r="M52" s="47"/>
      <c r="N52" s="47"/>
      <c r="O52" s="47"/>
    </row>
    <row r="53" customFormat="false" ht="15" hidden="false" customHeight="true" outlineLevel="0" collapsed="false">
      <c r="A53" s="51" t="s">
        <v>11</v>
      </c>
      <c r="B53" s="51" t="s">
        <v>265</v>
      </c>
      <c r="C53" s="51" t="s">
        <v>295</v>
      </c>
      <c r="D53" s="51" t="s">
        <v>195</v>
      </c>
      <c r="E53" s="51" t="s">
        <v>269</v>
      </c>
      <c r="F53" s="51" t="n">
        <v>1</v>
      </c>
      <c r="G53" s="52" t="n">
        <v>206.54</v>
      </c>
      <c r="H53" s="52" t="n">
        <v>206.54</v>
      </c>
      <c r="I53" s="51" t="s">
        <v>302</v>
      </c>
      <c r="J53" s="47"/>
      <c r="K53" s="47"/>
      <c r="L53" s="47"/>
      <c r="M53" s="47"/>
      <c r="N53" s="47"/>
      <c r="O53" s="47"/>
    </row>
    <row r="54" customFormat="false" ht="15" hidden="false" customHeight="true" outlineLevel="0" collapsed="false">
      <c r="A54" s="51" t="s">
        <v>11</v>
      </c>
      <c r="B54" s="51" t="s">
        <v>265</v>
      </c>
      <c r="C54" s="51" t="s">
        <v>296</v>
      </c>
      <c r="D54" s="51" t="s">
        <v>191</v>
      </c>
      <c r="E54" s="51" t="s">
        <v>269</v>
      </c>
      <c r="F54" s="51" t="n">
        <v>7</v>
      </c>
      <c r="G54" s="52" t="n">
        <v>30</v>
      </c>
      <c r="H54" s="52" t="n">
        <f aca="false">F54*G54</f>
        <v>210</v>
      </c>
      <c r="I54" s="51" t="s">
        <v>293</v>
      </c>
      <c r="J54" s="47"/>
      <c r="K54" s="47"/>
      <c r="L54" s="47"/>
      <c r="M54" s="47"/>
      <c r="N54" s="47"/>
      <c r="O54" s="47"/>
    </row>
    <row r="55" customFormat="false" ht="15" hidden="false" customHeight="true" outlineLevel="0" collapsed="false">
      <c r="A55" s="51" t="s">
        <v>11</v>
      </c>
      <c r="B55" s="51" t="s">
        <v>265</v>
      </c>
      <c r="C55" s="51" t="s">
        <v>297</v>
      </c>
      <c r="D55" s="51" t="s">
        <v>196</v>
      </c>
      <c r="E55" s="51" t="s">
        <v>269</v>
      </c>
      <c r="F55" s="51" t="n">
        <v>1</v>
      </c>
      <c r="G55" s="52" t="n">
        <v>1081.14</v>
      </c>
      <c r="H55" s="52" t="n">
        <f aca="false">F55*G55</f>
        <v>1081.14</v>
      </c>
      <c r="I55" s="51" t="s">
        <v>303</v>
      </c>
      <c r="J55" s="47"/>
      <c r="K55" s="47"/>
      <c r="L55" s="47"/>
      <c r="M55" s="47"/>
      <c r="N55" s="47"/>
      <c r="O55" s="47"/>
    </row>
    <row r="56" customFormat="false" ht="15" hidden="false" customHeight="true" outlineLevel="0" collapsed="false">
      <c r="A56" s="51" t="s">
        <v>11</v>
      </c>
      <c r="B56" s="51" t="s">
        <v>265</v>
      </c>
      <c r="C56" s="51" t="s">
        <v>289</v>
      </c>
      <c r="D56" s="51" t="s">
        <v>190</v>
      </c>
      <c r="E56" s="51" t="s">
        <v>270</v>
      </c>
      <c r="F56" s="51" t="n">
        <v>1</v>
      </c>
      <c r="G56" s="52" t="n">
        <v>30187.4191733333</v>
      </c>
      <c r="H56" s="52" t="n">
        <f aca="false">F56*G56</f>
        <v>30187.4191733333</v>
      </c>
      <c r="I56" s="51" t="s">
        <v>304</v>
      </c>
      <c r="J56" s="47"/>
      <c r="K56" s="47"/>
      <c r="L56" s="47"/>
      <c r="M56" s="47"/>
      <c r="N56" s="47"/>
      <c r="O56" s="47"/>
    </row>
    <row r="57" customFormat="false" ht="15" hidden="false" customHeight="true" outlineLevel="0" collapsed="false">
      <c r="A57" s="51" t="s">
        <v>11</v>
      </c>
      <c r="B57" s="51" t="s">
        <v>265</v>
      </c>
      <c r="C57" s="51" t="s">
        <v>289</v>
      </c>
      <c r="D57" s="51" t="s">
        <v>291</v>
      </c>
      <c r="E57" s="51" t="s">
        <v>270</v>
      </c>
      <c r="F57" s="51" t="n">
        <v>1</v>
      </c>
      <c r="G57" s="52" t="n">
        <v>348.86</v>
      </c>
      <c r="H57" s="52" t="n">
        <v>348.86</v>
      </c>
      <c r="I57" s="51" t="s">
        <v>305</v>
      </c>
      <c r="J57" s="47"/>
      <c r="K57" s="47"/>
      <c r="L57" s="47"/>
      <c r="M57" s="47"/>
      <c r="N57" s="47"/>
      <c r="O57" s="47"/>
    </row>
    <row r="58" customFormat="false" ht="15" hidden="false" customHeight="true" outlineLevel="0" collapsed="false">
      <c r="A58" s="51" t="s">
        <v>11</v>
      </c>
      <c r="B58" s="51" t="s">
        <v>265</v>
      </c>
      <c r="C58" s="51" t="s">
        <v>289</v>
      </c>
      <c r="D58" s="51" t="s">
        <v>163</v>
      </c>
      <c r="E58" s="51" t="s">
        <v>270</v>
      </c>
      <c r="F58" s="51" t="n">
        <v>11</v>
      </c>
      <c r="G58" s="52" t="n">
        <v>28.31</v>
      </c>
      <c r="H58" s="52" t="n">
        <f aca="false">F58*G58</f>
        <v>311.41</v>
      </c>
      <c r="I58" s="51" t="s">
        <v>293</v>
      </c>
      <c r="J58" s="47"/>
      <c r="K58" s="47"/>
      <c r="L58" s="47"/>
      <c r="M58" s="47"/>
      <c r="N58" s="47"/>
      <c r="O58" s="47"/>
    </row>
    <row r="59" customFormat="false" ht="15" hidden="false" customHeight="true" outlineLevel="0" collapsed="false">
      <c r="A59" s="51" t="s">
        <v>11</v>
      </c>
      <c r="B59" s="51" t="s">
        <v>265</v>
      </c>
      <c r="C59" s="51" t="s">
        <v>289</v>
      </c>
      <c r="D59" s="51" t="s">
        <v>164</v>
      </c>
      <c r="E59" s="51" t="s">
        <v>270</v>
      </c>
      <c r="F59" s="51" t="n">
        <v>11</v>
      </c>
      <c r="G59" s="52" t="n">
        <v>47.79</v>
      </c>
      <c r="H59" s="52" t="n">
        <f aca="false">F59*G59</f>
        <v>525.69</v>
      </c>
      <c r="I59" s="51" t="s">
        <v>293</v>
      </c>
      <c r="J59" s="47"/>
      <c r="K59" s="47"/>
      <c r="L59" s="47"/>
      <c r="M59" s="47"/>
      <c r="N59" s="47"/>
      <c r="O59" s="47"/>
    </row>
    <row r="60" customFormat="false" ht="15" hidden="false" customHeight="true" outlineLevel="0" collapsed="false">
      <c r="A60" s="51" t="s">
        <v>11</v>
      </c>
      <c r="B60" s="51" t="s">
        <v>265</v>
      </c>
      <c r="C60" s="51" t="s">
        <v>44</v>
      </c>
      <c r="D60" s="51" t="s">
        <v>162</v>
      </c>
      <c r="E60" s="51" t="s">
        <v>270</v>
      </c>
      <c r="F60" s="51" t="n">
        <v>11</v>
      </c>
      <c r="G60" s="52" t="n">
        <v>64.54</v>
      </c>
      <c r="H60" s="52" t="n">
        <f aca="false">F60*G60</f>
        <v>709.94</v>
      </c>
      <c r="I60" s="51" t="s">
        <v>293</v>
      </c>
      <c r="J60" s="47"/>
      <c r="K60" s="47"/>
      <c r="L60" s="47"/>
      <c r="M60" s="47"/>
      <c r="N60" s="47"/>
      <c r="O60" s="47"/>
    </row>
    <row r="61" customFormat="false" ht="15" hidden="false" customHeight="true" outlineLevel="0" collapsed="false">
      <c r="A61" s="51" t="s">
        <v>11</v>
      </c>
      <c r="B61" s="51" t="s">
        <v>265</v>
      </c>
      <c r="C61" s="51" t="s">
        <v>44</v>
      </c>
      <c r="D61" s="51" t="s">
        <v>192</v>
      </c>
      <c r="E61" s="51" t="s">
        <v>270</v>
      </c>
      <c r="F61" s="51" t="n">
        <v>1</v>
      </c>
      <c r="G61" s="52" t="n">
        <v>40.07</v>
      </c>
      <c r="H61" s="52" t="n">
        <v>40.07</v>
      </c>
      <c r="I61" s="51" t="s">
        <v>305</v>
      </c>
      <c r="J61" s="47"/>
      <c r="K61" s="47"/>
      <c r="L61" s="47"/>
      <c r="M61" s="47"/>
      <c r="N61" s="47"/>
      <c r="O61" s="47"/>
    </row>
    <row r="62" customFormat="false" ht="15" hidden="false" customHeight="true" outlineLevel="0" collapsed="false">
      <c r="A62" s="51" t="s">
        <v>11</v>
      </c>
      <c r="B62" s="51" t="s">
        <v>265</v>
      </c>
      <c r="C62" s="51" t="s">
        <v>294</v>
      </c>
      <c r="D62" s="51" t="s">
        <v>160</v>
      </c>
      <c r="E62" s="51" t="s">
        <v>270</v>
      </c>
      <c r="F62" s="51" t="n">
        <v>11</v>
      </c>
      <c r="G62" s="52" t="n">
        <v>10.05</v>
      </c>
      <c r="H62" s="52" t="n">
        <f aca="false">F62*G62</f>
        <v>110.55</v>
      </c>
      <c r="I62" s="51" t="s">
        <v>293</v>
      </c>
      <c r="J62" s="47"/>
      <c r="K62" s="47"/>
      <c r="L62" s="47"/>
      <c r="M62" s="47"/>
      <c r="N62" s="47"/>
      <c r="O62" s="47"/>
    </row>
    <row r="63" customFormat="false" ht="15" hidden="false" customHeight="true" outlineLevel="0" collapsed="false">
      <c r="A63" s="51" t="s">
        <v>11</v>
      </c>
      <c r="B63" s="51" t="s">
        <v>265</v>
      </c>
      <c r="C63" s="51" t="s">
        <v>294</v>
      </c>
      <c r="D63" s="51" t="s">
        <v>161</v>
      </c>
      <c r="E63" s="51" t="s">
        <v>270</v>
      </c>
      <c r="F63" s="51" t="n">
        <v>11</v>
      </c>
      <c r="G63" s="52" t="n">
        <v>2.07</v>
      </c>
      <c r="H63" s="52" t="n">
        <f aca="false">F63*G63</f>
        <v>22.77</v>
      </c>
      <c r="I63" s="51" t="s">
        <v>293</v>
      </c>
      <c r="J63" s="47"/>
      <c r="K63" s="47"/>
      <c r="L63" s="47"/>
      <c r="M63" s="47"/>
      <c r="N63" s="47"/>
      <c r="O63" s="47"/>
    </row>
    <row r="64" customFormat="false" ht="15" hidden="false" customHeight="true" outlineLevel="0" collapsed="false">
      <c r="A64" s="51" t="s">
        <v>11</v>
      </c>
      <c r="B64" s="51" t="s">
        <v>265</v>
      </c>
      <c r="C64" s="51" t="s">
        <v>295</v>
      </c>
      <c r="D64" s="51" t="s">
        <v>193</v>
      </c>
      <c r="E64" s="51" t="s">
        <v>270</v>
      </c>
      <c r="F64" s="51" t="n">
        <v>1</v>
      </c>
      <c r="G64" s="52" t="n">
        <v>215.62</v>
      </c>
      <c r="H64" s="52" t="n">
        <v>215.62</v>
      </c>
      <c r="I64" s="51" t="s">
        <v>305</v>
      </c>
      <c r="J64" s="47"/>
      <c r="K64" s="47"/>
      <c r="L64" s="47"/>
      <c r="M64" s="47"/>
      <c r="N64" s="47"/>
      <c r="O64" s="47"/>
    </row>
    <row r="65" customFormat="false" ht="15" hidden="false" customHeight="true" outlineLevel="0" collapsed="false">
      <c r="A65" s="51" t="s">
        <v>11</v>
      </c>
      <c r="B65" s="51" t="s">
        <v>265</v>
      </c>
      <c r="C65" s="51" t="s">
        <v>295</v>
      </c>
      <c r="D65" s="51" t="s">
        <v>195</v>
      </c>
      <c r="E65" s="51" t="s">
        <v>270</v>
      </c>
      <c r="F65" s="51" t="n">
        <v>1</v>
      </c>
      <c r="G65" s="52" t="n">
        <v>324.56</v>
      </c>
      <c r="H65" s="52" t="n">
        <v>324.56</v>
      </c>
      <c r="I65" s="51" t="s">
        <v>305</v>
      </c>
      <c r="J65" s="47"/>
      <c r="K65" s="47"/>
      <c r="L65" s="47"/>
      <c r="M65" s="47"/>
      <c r="N65" s="47"/>
      <c r="O65" s="47"/>
    </row>
    <row r="66" customFormat="false" ht="15" hidden="false" customHeight="true" outlineLevel="0" collapsed="false">
      <c r="A66" s="51" t="s">
        <v>11</v>
      </c>
      <c r="B66" s="51" t="s">
        <v>265</v>
      </c>
      <c r="C66" s="51" t="s">
        <v>296</v>
      </c>
      <c r="D66" s="51" t="s">
        <v>191</v>
      </c>
      <c r="E66" s="51" t="s">
        <v>270</v>
      </c>
      <c r="F66" s="51" t="n">
        <v>11</v>
      </c>
      <c r="G66" s="52" t="n">
        <v>30</v>
      </c>
      <c r="H66" s="52" t="n">
        <f aca="false">F66*G66</f>
        <v>330</v>
      </c>
      <c r="I66" s="51" t="s">
        <v>293</v>
      </c>
      <c r="J66" s="47"/>
      <c r="K66" s="47"/>
      <c r="L66" s="47"/>
      <c r="M66" s="47"/>
      <c r="N66" s="47"/>
      <c r="O66" s="47"/>
    </row>
    <row r="67" customFormat="false" ht="15" hidden="false" customHeight="true" outlineLevel="0" collapsed="false">
      <c r="A67" s="51" t="s">
        <v>11</v>
      </c>
      <c r="B67" s="51" t="s">
        <v>265</v>
      </c>
      <c r="C67" s="51" t="s">
        <v>297</v>
      </c>
      <c r="D67" s="51" t="s">
        <v>196</v>
      </c>
      <c r="E67" s="51" t="s">
        <v>270</v>
      </c>
      <c r="F67" s="51" t="n">
        <v>1</v>
      </c>
      <c r="G67" s="52" t="n">
        <v>0</v>
      </c>
      <c r="H67" s="52" t="n">
        <f aca="false">F67*G67</f>
        <v>0</v>
      </c>
      <c r="I67" s="51" t="s">
        <v>306</v>
      </c>
      <c r="J67" s="47"/>
      <c r="K67" s="47"/>
      <c r="L67" s="47"/>
      <c r="M67" s="47"/>
      <c r="N67" s="47"/>
      <c r="O67" s="47"/>
    </row>
    <row r="68" customFormat="false" ht="15" hidden="false" customHeight="true" outlineLevel="0" collapsed="false">
      <c r="A68" s="51" t="s">
        <v>11</v>
      </c>
      <c r="B68" s="51" t="s">
        <v>272</v>
      </c>
      <c r="C68" s="51" t="s">
        <v>289</v>
      </c>
      <c r="D68" s="51" t="s">
        <v>190</v>
      </c>
      <c r="E68" s="51" t="s">
        <v>270</v>
      </c>
      <c r="F68" s="51" t="n">
        <v>1</v>
      </c>
      <c r="G68" s="52" t="n">
        <v>2763.14</v>
      </c>
      <c r="H68" s="52" t="n">
        <f aca="false">F68*G68</f>
        <v>2763.14</v>
      </c>
      <c r="I68" s="51" t="s">
        <v>307</v>
      </c>
      <c r="J68" s="47"/>
      <c r="K68" s="47"/>
      <c r="L68" s="47"/>
      <c r="M68" s="47"/>
      <c r="N68" s="47"/>
      <c r="O68" s="47"/>
    </row>
    <row r="69" customFormat="false" ht="15" hidden="false" customHeight="true" outlineLevel="0" collapsed="false">
      <c r="A69" s="51" t="s">
        <v>11</v>
      </c>
      <c r="B69" s="51" t="s">
        <v>272</v>
      </c>
      <c r="C69" s="51" t="s">
        <v>289</v>
      </c>
      <c r="D69" s="51" t="s">
        <v>163</v>
      </c>
      <c r="E69" s="51" t="s">
        <v>270</v>
      </c>
      <c r="F69" s="51" t="n">
        <v>2</v>
      </c>
      <c r="G69" s="52" t="n">
        <v>28.31</v>
      </c>
      <c r="H69" s="52" t="n">
        <f aca="false">F69*G69</f>
        <v>56.62</v>
      </c>
      <c r="I69" s="51" t="s">
        <v>293</v>
      </c>
      <c r="J69" s="47"/>
      <c r="K69" s="47"/>
      <c r="L69" s="47"/>
      <c r="M69" s="47"/>
      <c r="N69" s="47"/>
      <c r="O69" s="47"/>
    </row>
    <row r="70" customFormat="false" ht="15" hidden="false" customHeight="true" outlineLevel="0" collapsed="false">
      <c r="A70" s="51" t="s">
        <v>11</v>
      </c>
      <c r="B70" s="51" t="s">
        <v>272</v>
      </c>
      <c r="C70" s="51" t="s">
        <v>289</v>
      </c>
      <c r="D70" s="51" t="s">
        <v>164</v>
      </c>
      <c r="E70" s="51" t="s">
        <v>270</v>
      </c>
      <c r="F70" s="51" t="n">
        <v>2</v>
      </c>
      <c r="G70" s="52" t="n">
        <v>47.79</v>
      </c>
      <c r="H70" s="52" t="n">
        <f aca="false">F70*G70</f>
        <v>95.58</v>
      </c>
      <c r="I70" s="51" t="s">
        <v>293</v>
      </c>
      <c r="J70" s="47"/>
      <c r="K70" s="47"/>
      <c r="L70" s="47"/>
      <c r="M70" s="47"/>
      <c r="N70" s="47"/>
      <c r="O70" s="47"/>
    </row>
    <row r="71" customFormat="false" ht="15" hidden="false" customHeight="true" outlineLevel="0" collapsed="false">
      <c r="A71" s="51" t="s">
        <v>11</v>
      </c>
      <c r="B71" s="51" t="s">
        <v>272</v>
      </c>
      <c r="C71" s="51" t="s">
        <v>44</v>
      </c>
      <c r="D71" s="51" t="s">
        <v>162</v>
      </c>
      <c r="E71" s="51" t="s">
        <v>270</v>
      </c>
      <c r="F71" s="51" t="n">
        <v>2</v>
      </c>
      <c r="G71" s="52" t="n">
        <v>64.54</v>
      </c>
      <c r="H71" s="52" t="n">
        <f aca="false">F71*G71</f>
        <v>129.08</v>
      </c>
      <c r="I71" s="51" t="s">
        <v>293</v>
      </c>
      <c r="J71" s="47"/>
      <c r="K71" s="47"/>
      <c r="L71" s="47"/>
      <c r="M71" s="47"/>
      <c r="N71" s="47"/>
      <c r="O71" s="47"/>
    </row>
    <row r="72" customFormat="false" ht="15" hidden="false" customHeight="true" outlineLevel="0" collapsed="false">
      <c r="A72" s="51" t="s">
        <v>11</v>
      </c>
      <c r="B72" s="51" t="s">
        <v>272</v>
      </c>
      <c r="C72" s="51" t="s">
        <v>294</v>
      </c>
      <c r="D72" s="51" t="s">
        <v>160</v>
      </c>
      <c r="E72" s="51" t="s">
        <v>270</v>
      </c>
      <c r="F72" s="51" t="n">
        <v>2</v>
      </c>
      <c r="G72" s="52" t="n">
        <v>10.05</v>
      </c>
      <c r="H72" s="52" t="n">
        <f aca="false">F72*G72</f>
        <v>20.1</v>
      </c>
      <c r="I72" s="51" t="s">
        <v>293</v>
      </c>
      <c r="J72" s="47"/>
      <c r="K72" s="47"/>
      <c r="L72" s="47"/>
      <c r="M72" s="47"/>
      <c r="N72" s="47"/>
      <c r="O72" s="47"/>
    </row>
    <row r="73" customFormat="false" ht="15" hidden="false" customHeight="true" outlineLevel="0" collapsed="false">
      <c r="A73" s="51" t="s">
        <v>11</v>
      </c>
      <c r="B73" s="51" t="s">
        <v>272</v>
      </c>
      <c r="C73" s="51" t="s">
        <v>294</v>
      </c>
      <c r="D73" s="51" t="s">
        <v>161</v>
      </c>
      <c r="E73" s="51" t="s">
        <v>270</v>
      </c>
      <c r="F73" s="51" t="n">
        <v>2</v>
      </c>
      <c r="G73" s="52" t="n">
        <v>2.07</v>
      </c>
      <c r="H73" s="52" t="n">
        <f aca="false">F73*G73</f>
        <v>4.14</v>
      </c>
      <c r="I73" s="51" t="s">
        <v>293</v>
      </c>
      <c r="J73" s="47"/>
      <c r="K73" s="47"/>
      <c r="L73" s="47"/>
      <c r="M73" s="47"/>
      <c r="N73" s="47"/>
      <c r="O73" s="47"/>
    </row>
    <row r="74" customFormat="false" ht="15" hidden="false" customHeight="true" outlineLevel="0" collapsed="false">
      <c r="A74" s="51" t="s">
        <v>11</v>
      </c>
      <c r="B74" s="51" t="s">
        <v>272</v>
      </c>
      <c r="C74" s="51" t="s">
        <v>296</v>
      </c>
      <c r="D74" s="51" t="s">
        <v>191</v>
      </c>
      <c r="E74" s="51" t="s">
        <v>270</v>
      </c>
      <c r="F74" s="51" t="n">
        <v>2</v>
      </c>
      <c r="G74" s="52" t="n">
        <v>30</v>
      </c>
      <c r="H74" s="52" t="n">
        <f aca="false">F74*G74</f>
        <v>60</v>
      </c>
      <c r="I74" s="51" t="s">
        <v>293</v>
      </c>
      <c r="J74" s="47"/>
      <c r="K74" s="47"/>
      <c r="L74" s="47"/>
      <c r="M74" s="47"/>
      <c r="N74" s="47"/>
      <c r="O74" s="47"/>
    </row>
    <row r="75" customFormat="false" ht="15" hidden="false" customHeight="true" outlineLevel="0" collapsed="false">
      <c r="A75" s="51" t="s">
        <v>11</v>
      </c>
      <c r="B75" s="51" t="s">
        <v>272</v>
      </c>
      <c r="C75" s="51" t="s">
        <v>297</v>
      </c>
      <c r="D75" s="51" t="s">
        <v>196</v>
      </c>
      <c r="E75" s="51" t="s">
        <v>270</v>
      </c>
      <c r="F75" s="51" t="n">
        <v>1</v>
      </c>
      <c r="G75" s="52" t="n">
        <v>696.8</v>
      </c>
      <c r="H75" s="52" t="n">
        <f aca="false">F75*G75</f>
        <v>696.8</v>
      </c>
      <c r="I75" s="51" t="s">
        <v>303</v>
      </c>
      <c r="J75" s="47"/>
      <c r="K75" s="47"/>
      <c r="L75" s="47"/>
      <c r="M75" s="47"/>
      <c r="N75" s="47"/>
      <c r="O75" s="47"/>
    </row>
    <row r="76" customFormat="false" ht="15" hidden="false" customHeight="true" outlineLevel="0" collapsed="false">
      <c r="A76" s="51" t="s">
        <v>11</v>
      </c>
      <c r="B76" s="51" t="s">
        <v>265</v>
      </c>
      <c r="C76" s="51" t="s">
        <v>289</v>
      </c>
      <c r="D76" s="51" t="s">
        <v>190</v>
      </c>
      <c r="E76" s="51" t="s">
        <v>273</v>
      </c>
      <c r="F76" s="51" t="n">
        <v>1</v>
      </c>
      <c r="G76" s="52" t="n">
        <v>57354.9353136</v>
      </c>
      <c r="H76" s="52" t="n">
        <f aca="false">F76*G76</f>
        <v>57354.9353136</v>
      </c>
      <c r="I76" s="51" t="s">
        <v>308</v>
      </c>
      <c r="J76" s="47"/>
      <c r="K76" s="47"/>
      <c r="L76" s="47"/>
      <c r="M76" s="47"/>
      <c r="N76" s="47"/>
      <c r="O76" s="47"/>
    </row>
    <row r="77" customFormat="false" ht="15" hidden="false" customHeight="true" outlineLevel="0" collapsed="false">
      <c r="A77" s="51" t="s">
        <v>11</v>
      </c>
      <c r="B77" s="51" t="s">
        <v>265</v>
      </c>
      <c r="C77" s="51" t="s">
        <v>289</v>
      </c>
      <c r="D77" s="51" t="s">
        <v>291</v>
      </c>
      <c r="E77" s="51" t="s">
        <v>273</v>
      </c>
      <c r="F77" s="51" t="n">
        <v>1</v>
      </c>
      <c r="G77" s="52" t="n">
        <v>570.86</v>
      </c>
      <c r="H77" s="52" t="n">
        <v>570.86</v>
      </c>
      <c r="I77" s="51" t="s">
        <v>309</v>
      </c>
      <c r="J77" s="47"/>
      <c r="K77" s="47"/>
      <c r="L77" s="47"/>
      <c r="M77" s="47"/>
      <c r="N77" s="47"/>
      <c r="O77" s="47"/>
    </row>
    <row r="78" customFormat="false" ht="15" hidden="false" customHeight="true" outlineLevel="0" collapsed="false">
      <c r="A78" s="51" t="s">
        <v>11</v>
      </c>
      <c r="B78" s="51" t="s">
        <v>265</v>
      </c>
      <c r="C78" s="51" t="s">
        <v>289</v>
      </c>
      <c r="D78" s="51" t="s">
        <v>163</v>
      </c>
      <c r="E78" s="51" t="s">
        <v>273</v>
      </c>
      <c r="F78" s="51" t="n">
        <v>18</v>
      </c>
      <c r="G78" s="52" t="n">
        <v>28.31</v>
      </c>
      <c r="H78" s="52" t="n">
        <f aca="false">F78*G78</f>
        <v>509.58</v>
      </c>
      <c r="I78" s="51" t="s">
        <v>293</v>
      </c>
      <c r="J78" s="47"/>
      <c r="K78" s="47"/>
      <c r="L78" s="47"/>
      <c r="M78" s="47"/>
      <c r="N78" s="47"/>
      <c r="O78" s="47"/>
    </row>
    <row r="79" customFormat="false" ht="15" hidden="false" customHeight="true" outlineLevel="0" collapsed="false">
      <c r="A79" s="51" t="s">
        <v>11</v>
      </c>
      <c r="B79" s="51" t="s">
        <v>265</v>
      </c>
      <c r="C79" s="51" t="s">
        <v>289</v>
      </c>
      <c r="D79" s="51" t="s">
        <v>164</v>
      </c>
      <c r="E79" s="51" t="s">
        <v>273</v>
      </c>
      <c r="F79" s="51" t="n">
        <v>18</v>
      </c>
      <c r="G79" s="52" t="n">
        <v>47.79</v>
      </c>
      <c r="H79" s="52" t="n">
        <f aca="false">F79*G79</f>
        <v>860.22</v>
      </c>
      <c r="I79" s="51" t="s">
        <v>293</v>
      </c>
      <c r="J79" s="47"/>
      <c r="K79" s="47"/>
      <c r="L79" s="47"/>
      <c r="M79" s="47"/>
      <c r="N79" s="47"/>
      <c r="O79" s="47"/>
    </row>
    <row r="80" customFormat="false" ht="15" hidden="false" customHeight="true" outlineLevel="0" collapsed="false">
      <c r="A80" s="51" t="s">
        <v>11</v>
      </c>
      <c r="B80" s="51" t="s">
        <v>265</v>
      </c>
      <c r="C80" s="51" t="s">
        <v>44</v>
      </c>
      <c r="D80" s="51" t="s">
        <v>162</v>
      </c>
      <c r="E80" s="51" t="s">
        <v>273</v>
      </c>
      <c r="F80" s="51" t="n">
        <v>18</v>
      </c>
      <c r="G80" s="52" t="n">
        <v>64.54</v>
      </c>
      <c r="H80" s="52" t="n">
        <f aca="false">F80*G80</f>
        <v>1161.72</v>
      </c>
      <c r="I80" s="51" t="s">
        <v>293</v>
      </c>
      <c r="J80" s="47"/>
      <c r="K80" s="47"/>
      <c r="L80" s="47"/>
      <c r="M80" s="47"/>
      <c r="N80" s="47"/>
      <c r="O80" s="47"/>
    </row>
    <row r="81" customFormat="false" ht="15" hidden="false" customHeight="true" outlineLevel="0" collapsed="false">
      <c r="A81" s="51" t="s">
        <v>11</v>
      </c>
      <c r="B81" s="51" t="s">
        <v>265</v>
      </c>
      <c r="C81" s="51" t="s">
        <v>44</v>
      </c>
      <c r="D81" s="51" t="s">
        <v>192</v>
      </c>
      <c r="E81" s="51" t="s">
        <v>273</v>
      </c>
      <c r="F81" s="51" t="n">
        <v>1</v>
      </c>
      <c r="G81" s="52" t="n">
        <v>65.57</v>
      </c>
      <c r="H81" s="52" t="n">
        <v>65.57</v>
      </c>
      <c r="I81" s="51" t="s">
        <v>309</v>
      </c>
      <c r="J81" s="47"/>
      <c r="K81" s="47"/>
      <c r="L81" s="47"/>
      <c r="M81" s="47"/>
      <c r="N81" s="47"/>
      <c r="O81" s="47"/>
    </row>
    <row r="82" customFormat="false" ht="15" hidden="false" customHeight="true" outlineLevel="0" collapsed="false">
      <c r="A82" s="51" t="s">
        <v>11</v>
      </c>
      <c r="B82" s="51" t="s">
        <v>265</v>
      </c>
      <c r="C82" s="51" t="s">
        <v>294</v>
      </c>
      <c r="D82" s="51" t="s">
        <v>160</v>
      </c>
      <c r="E82" s="51" t="s">
        <v>273</v>
      </c>
      <c r="F82" s="51" t="n">
        <v>18</v>
      </c>
      <c r="G82" s="52" t="n">
        <v>10.05</v>
      </c>
      <c r="H82" s="52" t="n">
        <f aca="false">F82*G82</f>
        <v>180.9</v>
      </c>
      <c r="I82" s="51" t="s">
        <v>293</v>
      </c>
      <c r="J82" s="47"/>
      <c r="K82" s="47"/>
      <c r="L82" s="47"/>
      <c r="M82" s="47"/>
      <c r="N82" s="47"/>
      <c r="O82" s="47"/>
    </row>
    <row r="83" customFormat="false" ht="15" hidden="false" customHeight="true" outlineLevel="0" collapsed="false">
      <c r="A83" s="51" t="s">
        <v>11</v>
      </c>
      <c r="B83" s="51" t="s">
        <v>265</v>
      </c>
      <c r="C83" s="51" t="s">
        <v>294</v>
      </c>
      <c r="D83" s="51" t="s">
        <v>161</v>
      </c>
      <c r="E83" s="51" t="s">
        <v>273</v>
      </c>
      <c r="F83" s="51" t="n">
        <v>18</v>
      </c>
      <c r="G83" s="52" t="n">
        <v>2.07</v>
      </c>
      <c r="H83" s="52" t="n">
        <f aca="false">F83*G83</f>
        <v>37.26</v>
      </c>
      <c r="I83" s="51" t="s">
        <v>293</v>
      </c>
      <c r="J83" s="47"/>
      <c r="K83" s="47"/>
      <c r="L83" s="47"/>
      <c r="M83" s="47"/>
      <c r="N83" s="47"/>
      <c r="O83" s="47"/>
    </row>
    <row r="84" customFormat="false" ht="15" hidden="false" customHeight="true" outlineLevel="0" collapsed="false">
      <c r="A84" s="51" t="s">
        <v>11</v>
      </c>
      <c r="B84" s="51" t="s">
        <v>265</v>
      </c>
      <c r="C84" s="51" t="s">
        <v>295</v>
      </c>
      <c r="D84" s="51" t="s">
        <v>193</v>
      </c>
      <c r="E84" s="51" t="s">
        <v>273</v>
      </c>
      <c r="F84" s="51" t="n">
        <v>1</v>
      </c>
      <c r="G84" s="52" t="n">
        <v>352.84</v>
      </c>
      <c r="H84" s="52" t="n">
        <v>352.84</v>
      </c>
      <c r="I84" s="51" t="s">
        <v>309</v>
      </c>
      <c r="J84" s="47"/>
      <c r="K84" s="47"/>
      <c r="L84" s="47"/>
      <c r="M84" s="47"/>
      <c r="N84" s="47"/>
      <c r="O84" s="47"/>
    </row>
    <row r="85" customFormat="false" ht="15" hidden="false" customHeight="true" outlineLevel="0" collapsed="false">
      <c r="A85" s="51" t="s">
        <v>11</v>
      </c>
      <c r="B85" s="51" t="s">
        <v>265</v>
      </c>
      <c r="C85" s="51" t="s">
        <v>295</v>
      </c>
      <c r="D85" s="51" t="s">
        <v>195</v>
      </c>
      <c r="E85" s="51" t="s">
        <v>273</v>
      </c>
      <c r="F85" s="51" t="n">
        <v>1</v>
      </c>
      <c r="G85" s="52" t="n">
        <v>531.09</v>
      </c>
      <c r="H85" s="52" t="n">
        <v>531.09</v>
      </c>
      <c r="I85" s="51" t="s">
        <v>309</v>
      </c>
      <c r="J85" s="47"/>
      <c r="K85" s="47"/>
      <c r="L85" s="47"/>
      <c r="M85" s="47"/>
      <c r="N85" s="47"/>
      <c r="O85" s="47"/>
    </row>
    <row r="86" customFormat="false" ht="15" hidden="false" customHeight="true" outlineLevel="0" collapsed="false">
      <c r="A86" s="51" t="s">
        <v>11</v>
      </c>
      <c r="B86" s="51" t="s">
        <v>265</v>
      </c>
      <c r="C86" s="51" t="s">
        <v>296</v>
      </c>
      <c r="D86" s="51" t="s">
        <v>191</v>
      </c>
      <c r="E86" s="51" t="s">
        <v>273</v>
      </c>
      <c r="F86" s="51" t="n">
        <v>18</v>
      </c>
      <c r="G86" s="52" t="n">
        <v>30</v>
      </c>
      <c r="H86" s="52" t="n">
        <f aca="false">F86*G86</f>
        <v>540</v>
      </c>
      <c r="I86" s="51" t="s">
        <v>293</v>
      </c>
      <c r="J86" s="47"/>
      <c r="K86" s="47"/>
      <c r="L86" s="47"/>
      <c r="M86" s="47"/>
      <c r="N86" s="47"/>
      <c r="O86" s="47"/>
    </row>
    <row r="87" customFormat="false" ht="15" hidden="false" customHeight="true" outlineLevel="0" collapsed="false">
      <c r="A87" s="51" t="s">
        <v>11</v>
      </c>
      <c r="B87" s="51" t="s">
        <v>265</v>
      </c>
      <c r="C87" s="51" t="s">
        <v>297</v>
      </c>
      <c r="D87" s="51" t="s">
        <v>196</v>
      </c>
      <c r="E87" s="51" t="s">
        <v>273</v>
      </c>
      <c r="F87" s="51" t="n">
        <v>1</v>
      </c>
      <c r="G87" s="52" t="n">
        <v>2345.27</v>
      </c>
      <c r="H87" s="52" t="n">
        <f aca="false">F87*G87</f>
        <v>2345.27</v>
      </c>
      <c r="I87" s="51" t="s">
        <v>310</v>
      </c>
      <c r="J87" s="47"/>
      <c r="K87" s="47"/>
      <c r="L87" s="47"/>
      <c r="M87" s="47"/>
      <c r="N87" s="47"/>
      <c r="O87" s="47"/>
    </row>
    <row r="88" customFormat="false" ht="15" hidden="false" customHeight="true" outlineLevel="0" collapsed="false">
      <c r="A88" s="51" t="s">
        <v>11</v>
      </c>
      <c r="B88" s="51" t="s">
        <v>274</v>
      </c>
      <c r="C88" s="51" t="s">
        <v>289</v>
      </c>
      <c r="D88" s="51" t="s">
        <v>190</v>
      </c>
      <c r="E88" s="51" t="s">
        <v>273</v>
      </c>
      <c r="F88" s="51" t="n">
        <v>1</v>
      </c>
      <c r="G88" s="52" t="n">
        <v>2755.29</v>
      </c>
      <c r="H88" s="52" t="n">
        <f aca="false">F88*G88</f>
        <v>2755.29</v>
      </c>
      <c r="I88" s="51" t="s">
        <v>307</v>
      </c>
      <c r="J88" s="47"/>
      <c r="K88" s="47"/>
      <c r="L88" s="47"/>
      <c r="M88" s="47"/>
      <c r="N88" s="47"/>
      <c r="O88" s="47"/>
    </row>
    <row r="89" customFormat="false" ht="15" hidden="false" customHeight="true" outlineLevel="0" collapsed="false">
      <c r="A89" s="51" t="s">
        <v>11</v>
      </c>
      <c r="B89" s="51" t="s">
        <v>274</v>
      </c>
      <c r="C89" s="51" t="s">
        <v>289</v>
      </c>
      <c r="D89" s="51" t="s">
        <v>163</v>
      </c>
      <c r="E89" s="51" t="s">
        <v>273</v>
      </c>
      <c r="F89" s="51" t="n">
        <v>2</v>
      </c>
      <c r="G89" s="52" t="n">
        <v>28.31</v>
      </c>
      <c r="H89" s="52" t="n">
        <f aca="false">F89*G89</f>
        <v>56.62</v>
      </c>
      <c r="I89" s="51" t="s">
        <v>293</v>
      </c>
      <c r="J89" s="47"/>
      <c r="K89" s="47"/>
      <c r="L89" s="47"/>
      <c r="M89" s="47"/>
      <c r="N89" s="47"/>
      <c r="O89" s="47"/>
    </row>
    <row r="90" customFormat="false" ht="15" hidden="false" customHeight="true" outlineLevel="0" collapsed="false">
      <c r="A90" s="51" t="s">
        <v>11</v>
      </c>
      <c r="B90" s="51" t="s">
        <v>274</v>
      </c>
      <c r="C90" s="51" t="s">
        <v>289</v>
      </c>
      <c r="D90" s="51" t="s">
        <v>164</v>
      </c>
      <c r="E90" s="51" t="s">
        <v>273</v>
      </c>
      <c r="F90" s="51" t="n">
        <v>2</v>
      </c>
      <c r="G90" s="52" t="n">
        <v>47.79</v>
      </c>
      <c r="H90" s="52" t="n">
        <f aca="false">F90*G90</f>
        <v>95.58</v>
      </c>
      <c r="I90" s="51" t="s">
        <v>293</v>
      </c>
      <c r="J90" s="47"/>
      <c r="K90" s="47"/>
      <c r="L90" s="47"/>
      <c r="M90" s="47"/>
      <c r="N90" s="47"/>
      <c r="O90" s="47"/>
    </row>
    <row r="91" customFormat="false" ht="15" hidden="false" customHeight="true" outlineLevel="0" collapsed="false">
      <c r="A91" s="51" t="s">
        <v>11</v>
      </c>
      <c r="B91" s="51" t="s">
        <v>274</v>
      </c>
      <c r="C91" s="51" t="s">
        <v>44</v>
      </c>
      <c r="D91" s="51" t="s">
        <v>162</v>
      </c>
      <c r="E91" s="51" t="s">
        <v>273</v>
      </c>
      <c r="F91" s="51" t="n">
        <v>2</v>
      </c>
      <c r="G91" s="52" t="n">
        <v>64.54</v>
      </c>
      <c r="H91" s="52" t="n">
        <f aca="false">F91*G91</f>
        <v>129.08</v>
      </c>
      <c r="I91" s="51" t="s">
        <v>293</v>
      </c>
      <c r="J91" s="47"/>
      <c r="K91" s="47"/>
      <c r="L91" s="47"/>
      <c r="M91" s="47"/>
      <c r="N91" s="47"/>
      <c r="O91" s="47"/>
    </row>
    <row r="92" customFormat="false" ht="15" hidden="false" customHeight="true" outlineLevel="0" collapsed="false">
      <c r="A92" s="51" t="s">
        <v>11</v>
      </c>
      <c r="B92" s="51" t="s">
        <v>274</v>
      </c>
      <c r="C92" s="51" t="s">
        <v>294</v>
      </c>
      <c r="D92" s="51" t="s">
        <v>160</v>
      </c>
      <c r="E92" s="51" t="s">
        <v>273</v>
      </c>
      <c r="F92" s="51" t="n">
        <v>2</v>
      </c>
      <c r="G92" s="52" t="n">
        <v>10.05</v>
      </c>
      <c r="H92" s="52" t="n">
        <f aca="false">F92*G92</f>
        <v>20.1</v>
      </c>
      <c r="I92" s="51" t="s">
        <v>293</v>
      </c>
      <c r="J92" s="47"/>
      <c r="K92" s="47"/>
      <c r="L92" s="47"/>
      <c r="M92" s="47"/>
      <c r="N92" s="47"/>
      <c r="O92" s="47"/>
    </row>
    <row r="93" customFormat="false" ht="15" hidden="false" customHeight="true" outlineLevel="0" collapsed="false">
      <c r="A93" s="51" t="s">
        <v>11</v>
      </c>
      <c r="B93" s="51" t="s">
        <v>274</v>
      </c>
      <c r="C93" s="51" t="s">
        <v>294</v>
      </c>
      <c r="D93" s="51" t="s">
        <v>161</v>
      </c>
      <c r="E93" s="51" t="s">
        <v>273</v>
      </c>
      <c r="F93" s="51" t="n">
        <v>2</v>
      </c>
      <c r="G93" s="52" t="n">
        <v>2.07</v>
      </c>
      <c r="H93" s="52" t="n">
        <f aca="false">F93*G93</f>
        <v>4.14</v>
      </c>
      <c r="I93" s="51" t="s">
        <v>293</v>
      </c>
      <c r="J93" s="47"/>
      <c r="K93" s="47"/>
      <c r="L93" s="47"/>
      <c r="M93" s="47"/>
      <c r="N93" s="47"/>
      <c r="O93" s="47"/>
    </row>
    <row r="94" customFormat="false" ht="15" hidden="false" customHeight="true" outlineLevel="0" collapsed="false">
      <c r="A94" s="51" t="s">
        <v>11</v>
      </c>
      <c r="B94" s="51" t="s">
        <v>274</v>
      </c>
      <c r="C94" s="51" t="s">
        <v>296</v>
      </c>
      <c r="D94" s="51" t="s">
        <v>191</v>
      </c>
      <c r="E94" s="51" t="s">
        <v>273</v>
      </c>
      <c r="F94" s="51" t="n">
        <v>2</v>
      </c>
      <c r="G94" s="52" t="n">
        <v>30</v>
      </c>
      <c r="H94" s="52" t="n">
        <f aca="false">F94*G94</f>
        <v>60</v>
      </c>
      <c r="I94" s="51" t="s">
        <v>293</v>
      </c>
      <c r="J94" s="47"/>
      <c r="K94" s="47"/>
      <c r="L94" s="47"/>
      <c r="M94" s="47"/>
      <c r="N94" s="47"/>
      <c r="O94" s="47"/>
    </row>
    <row r="95" customFormat="false" ht="15" hidden="false" customHeight="true" outlineLevel="0" collapsed="false">
      <c r="A95" s="51" t="s">
        <v>11</v>
      </c>
      <c r="B95" s="51" t="s">
        <v>274</v>
      </c>
      <c r="C95" s="51" t="s">
        <v>297</v>
      </c>
      <c r="D95" s="51" t="s">
        <v>196</v>
      </c>
      <c r="E95" s="51" t="s">
        <v>273</v>
      </c>
      <c r="F95" s="51" t="n">
        <v>1</v>
      </c>
      <c r="G95" s="52" t="n">
        <v>1447.18</v>
      </c>
      <c r="H95" s="52" t="n">
        <f aca="false">F95*G95</f>
        <v>1447.18</v>
      </c>
      <c r="I95" s="51" t="s">
        <v>303</v>
      </c>
      <c r="J95" s="47"/>
      <c r="K95" s="47"/>
      <c r="L95" s="47"/>
      <c r="M95" s="47"/>
      <c r="N95" s="47"/>
      <c r="O95" s="47"/>
    </row>
    <row r="96" customFormat="false" ht="15" hidden="false" customHeight="true" outlineLevel="0" collapsed="false">
      <c r="A96" s="51" t="s">
        <v>11</v>
      </c>
      <c r="B96" s="51" t="s">
        <v>275</v>
      </c>
      <c r="C96" s="51" t="s">
        <v>289</v>
      </c>
      <c r="D96" s="51" t="s">
        <v>190</v>
      </c>
      <c r="E96" s="51" t="s">
        <v>273</v>
      </c>
      <c r="F96" s="51" t="n">
        <v>1</v>
      </c>
      <c r="G96" s="52" t="n">
        <v>11931.77</v>
      </c>
      <c r="H96" s="52" t="n">
        <f aca="false">F96*G96</f>
        <v>11931.77</v>
      </c>
      <c r="I96" s="51" t="s">
        <v>311</v>
      </c>
      <c r="J96" s="47"/>
      <c r="K96" s="47"/>
      <c r="L96" s="47"/>
      <c r="M96" s="47"/>
      <c r="N96" s="47"/>
      <c r="O96" s="47"/>
    </row>
    <row r="97" customFormat="false" ht="15" hidden="false" customHeight="true" outlineLevel="0" collapsed="false">
      <c r="A97" s="51" t="s">
        <v>11</v>
      </c>
      <c r="B97" s="51" t="s">
        <v>275</v>
      </c>
      <c r="C97" s="51" t="s">
        <v>289</v>
      </c>
      <c r="D97" s="51" t="s">
        <v>163</v>
      </c>
      <c r="E97" s="51" t="s">
        <v>273</v>
      </c>
      <c r="F97" s="51" t="n">
        <v>5</v>
      </c>
      <c r="G97" s="52" t="n">
        <v>28.31</v>
      </c>
      <c r="H97" s="52" t="n">
        <f aca="false">F97*G97</f>
        <v>141.55</v>
      </c>
      <c r="I97" s="51" t="s">
        <v>293</v>
      </c>
      <c r="J97" s="47"/>
      <c r="K97" s="47"/>
      <c r="L97" s="47"/>
      <c r="M97" s="47"/>
      <c r="N97" s="47"/>
      <c r="O97" s="47"/>
    </row>
    <row r="98" customFormat="false" ht="15" hidden="false" customHeight="true" outlineLevel="0" collapsed="false">
      <c r="A98" s="51" t="s">
        <v>11</v>
      </c>
      <c r="B98" s="51" t="s">
        <v>275</v>
      </c>
      <c r="C98" s="51" t="s">
        <v>289</v>
      </c>
      <c r="D98" s="51" t="s">
        <v>164</v>
      </c>
      <c r="E98" s="51" t="s">
        <v>273</v>
      </c>
      <c r="F98" s="51" t="n">
        <v>5</v>
      </c>
      <c r="G98" s="52" t="n">
        <v>47.79</v>
      </c>
      <c r="H98" s="52" t="n">
        <f aca="false">F98*G98</f>
        <v>238.95</v>
      </c>
      <c r="I98" s="51" t="s">
        <v>293</v>
      </c>
      <c r="J98" s="47"/>
      <c r="K98" s="47"/>
      <c r="L98" s="47"/>
      <c r="M98" s="47"/>
      <c r="N98" s="47"/>
      <c r="O98" s="47"/>
    </row>
    <row r="99" customFormat="false" ht="15" hidden="false" customHeight="true" outlineLevel="0" collapsed="false">
      <c r="A99" s="51" t="s">
        <v>11</v>
      </c>
      <c r="B99" s="51" t="s">
        <v>275</v>
      </c>
      <c r="C99" s="51" t="s">
        <v>44</v>
      </c>
      <c r="D99" s="51" t="s">
        <v>162</v>
      </c>
      <c r="E99" s="51" t="s">
        <v>273</v>
      </c>
      <c r="F99" s="51" t="n">
        <v>5</v>
      </c>
      <c r="G99" s="52" t="n">
        <v>64.54</v>
      </c>
      <c r="H99" s="52" t="n">
        <f aca="false">F99*G99</f>
        <v>322.7</v>
      </c>
      <c r="I99" s="51" t="s">
        <v>293</v>
      </c>
      <c r="J99" s="47"/>
      <c r="K99" s="47"/>
      <c r="L99" s="47"/>
      <c r="M99" s="47"/>
      <c r="N99" s="47"/>
      <c r="O99" s="47"/>
    </row>
    <row r="100" customFormat="false" ht="15" hidden="false" customHeight="true" outlineLevel="0" collapsed="false">
      <c r="A100" s="51" t="s">
        <v>11</v>
      </c>
      <c r="B100" s="51" t="s">
        <v>275</v>
      </c>
      <c r="C100" s="51" t="s">
        <v>294</v>
      </c>
      <c r="D100" s="51" t="s">
        <v>160</v>
      </c>
      <c r="E100" s="51" t="s">
        <v>273</v>
      </c>
      <c r="F100" s="51" t="n">
        <v>5</v>
      </c>
      <c r="G100" s="52" t="n">
        <v>10.05</v>
      </c>
      <c r="H100" s="52" t="n">
        <f aca="false">F100*G100</f>
        <v>50.25</v>
      </c>
      <c r="I100" s="51" t="s">
        <v>293</v>
      </c>
      <c r="J100" s="47"/>
      <c r="K100" s="47"/>
      <c r="L100" s="47"/>
      <c r="M100" s="47"/>
      <c r="N100" s="47"/>
      <c r="O100" s="47"/>
    </row>
    <row r="101" customFormat="false" ht="15" hidden="false" customHeight="true" outlineLevel="0" collapsed="false">
      <c r="A101" s="51" t="s">
        <v>11</v>
      </c>
      <c r="B101" s="51" t="s">
        <v>275</v>
      </c>
      <c r="C101" s="51" t="s">
        <v>294</v>
      </c>
      <c r="D101" s="51" t="s">
        <v>161</v>
      </c>
      <c r="E101" s="51" t="s">
        <v>273</v>
      </c>
      <c r="F101" s="51" t="n">
        <v>5</v>
      </c>
      <c r="G101" s="52" t="n">
        <v>2.07</v>
      </c>
      <c r="H101" s="52" t="n">
        <f aca="false">F101*G101</f>
        <v>10.35</v>
      </c>
      <c r="I101" s="51" t="s">
        <v>293</v>
      </c>
      <c r="J101" s="47"/>
      <c r="K101" s="47"/>
      <c r="L101" s="47"/>
      <c r="M101" s="47"/>
      <c r="N101" s="47"/>
      <c r="O101" s="47"/>
    </row>
    <row r="102" customFormat="false" ht="15" hidden="false" customHeight="true" outlineLevel="0" collapsed="false">
      <c r="A102" s="51" t="s">
        <v>11</v>
      </c>
      <c r="B102" s="51" t="s">
        <v>275</v>
      </c>
      <c r="C102" s="51" t="s">
        <v>295</v>
      </c>
      <c r="D102" s="51" t="s">
        <v>195</v>
      </c>
      <c r="E102" s="51" t="s">
        <v>273</v>
      </c>
      <c r="F102" s="51" t="n">
        <v>1</v>
      </c>
      <c r="G102" s="52" t="n">
        <v>111.44</v>
      </c>
      <c r="H102" s="52" t="n">
        <f aca="false">F102*G102</f>
        <v>111.44</v>
      </c>
      <c r="I102" s="51" t="s">
        <v>312</v>
      </c>
      <c r="J102" s="47"/>
      <c r="K102" s="47"/>
      <c r="L102" s="47"/>
      <c r="M102" s="47"/>
      <c r="N102" s="47"/>
      <c r="O102" s="47"/>
    </row>
    <row r="103" customFormat="false" ht="15" hidden="false" customHeight="true" outlineLevel="0" collapsed="false">
      <c r="A103" s="51" t="s">
        <v>11</v>
      </c>
      <c r="B103" s="51" t="s">
        <v>275</v>
      </c>
      <c r="C103" s="51" t="s">
        <v>296</v>
      </c>
      <c r="D103" s="51" t="s">
        <v>191</v>
      </c>
      <c r="E103" s="51" t="s">
        <v>273</v>
      </c>
      <c r="F103" s="51" t="n">
        <v>5</v>
      </c>
      <c r="G103" s="52" t="n">
        <v>30</v>
      </c>
      <c r="H103" s="52" t="n">
        <f aca="false">F103*G103</f>
        <v>150</v>
      </c>
      <c r="I103" s="51" t="s">
        <v>293</v>
      </c>
      <c r="J103" s="47"/>
      <c r="K103" s="47"/>
      <c r="L103" s="47"/>
      <c r="M103" s="47"/>
      <c r="N103" s="47"/>
      <c r="O103" s="47"/>
    </row>
    <row r="104" customFormat="false" ht="15" hidden="false" customHeight="true" outlineLevel="0" collapsed="false">
      <c r="A104" s="51" t="s">
        <v>11</v>
      </c>
      <c r="B104" s="51" t="s">
        <v>275</v>
      </c>
      <c r="C104" s="51" t="s">
        <v>297</v>
      </c>
      <c r="D104" s="51" t="s">
        <v>196</v>
      </c>
      <c r="E104" s="51" t="s">
        <v>273</v>
      </c>
      <c r="F104" s="51" t="n">
        <v>1</v>
      </c>
      <c r="G104" s="52" t="n">
        <v>977.05</v>
      </c>
      <c r="H104" s="52" t="n">
        <f aca="false">F104*G104</f>
        <v>977.05</v>
      </c>
      <c r="I104" s="51" t="s">
        <v>303</v>
      </c>
      <c r="J104" s="47"/>
      <c r="K104" s="47"/>
      <c r="L104" s="47"/>
      <c r="M104" s="47"/>
      <c r="N104" s="47"/>
      <c r="O104" s="47"/>
    </row>
    <row r="105" customFormat="false" ht="15" hidden="false" customHeight="true" outlineLevel="0" collapsed="false">
      <c r="A105" s="51" t="s">
        <v>11</v>
      </c>
      <c r="B105" s="51" t="s">
        <v>277</v>
      </c>
      <c r="C105" s="51" t="s">
        <v>289</v>
      </c>
      <c r="D105" s="51" t="s">
        <v>190</v>
      </c>
      <c r="E105" s="51" t="s">
        <v>276</v>
      </c>
      <c r="F105" s="51" t="n">
        <v>1</v>
      </c>
      <c r="G105" s="52" t="n">
        <v>18416.45</v>
      </c>
      <c r="H105" s="52" t="n">
        <f aca="false">F105*G105</f>
        <v>18416.45</v>
      </c>
      <c r="I105" s="51" t="s">
        <v>313</v>
      </c>
      <c r="J105" s="47"/>
      <c r="K105" s="47"/>
      <c r="L105" s="47"/>
      <c r="M105" s="47"/>
      <c r="N105" s="47"/>
      <c r="O105" s="47"/>
    </row>
    <row r="106" customFormat="false" ht="15" hidden="false" customHeight="true" outlineLevel="0" collapsed="false">
      <c r="A106" s="51" t="s">
        <v>11</v>
      </c>
      <c r="B106" s="51" t="s">
        <v>277</v>
      </c>
      <c r="C106" s="51" t="s">
        <v>289</v>
      </c>
      <c r="D106" s="51" t="s">
        <v>163</v>
      </c>
      <c r="E106" s="51" t="s">
        <v>276</v>
      </c>
      <c r="F106" s="51" t="n">
        <v>8</v>
      </c>
      <c r="G106" s="52" t="n">
        <v>28.31</v>
      </c>
      <c r="H106" s="52" t="n">
        <f aca="false">F106*G106</f>
        <v>226.48</v>
      </c>
      <c r="I106" s="51" t="s">
        <v>293</v>
      </c>
      <c r="J106" s="47"/>
      <c r="K106" s="47"/>
      <c r="L106" s="47"/>
      <c r="M106" s="47"/>
      <c r="N106" s="47"/>
      <c r="O106" s="47"/>
    </row>
    <row r="107" customFormat="false" ht="15" hidden="false" customHeight="true" outlineLevel="0" collapsed="false">
      <c r="A107" s="51" t="s">
        <v>11</v>
      </c>
      <c r="B107" s="51" t="s">
        <v>277</v>
      </c>
      <c r="C107" s="51" t="s">
        <v>289</v>
      </c>
      <c r="D107" s="51" t="s">
        <v>164</v>
      </c>
      <c r="E107" s="51" t="s">
        <v>276</v>
      </c>
      <c r="F107" s="51" t="n">
        <v>8</v>
      </c>
      <c r="G107" s="52" t="n">
        <v>47.79</v>
      </c>
      <c r="H107" s="52" t="n">
        <f aca="false">F107*G107</f>
        <v>382.32</v>
      </c>
      <c r="I107" s="51" t="s">
        <v>293</v>
      </c>
      <c r="J107" s="47"/>
      <c r="K107" s="47"/>
      <c r="L107" s="47"/>
      <c r="M107" s="47"/>
      <c r="N107" s="47"/>
      <c r="O107" s="47"/>
    </row>
    <row r="108" customFormat="false" ht="15" hidden="false" customHeight="true" outlineLevel="0" collapsed="false">
      <c r="A108" s="51" t="s">
        <v>11</v>
      </c>
      <c r="B108" s="51" t="s">
        <v>277</v>
      </c>
      <c r="C108" s="51" t="s">
        <v>44</v>
      </c>
      <c r="D108" s="51" t="s">
        <v>162</v>
      </c>
      <c r="E108" s="51" t="s">
        <v>276</v>
      </c>
      <c r="F108" s="51" t="n">
        <v>8</v>
      </c>
      <c r="G108" s="52" t="n">
        <v>64.54</v>
      </c>
      <c r="H108" s="52" t="n">
        <f aca="false">F108*G108</f>
        <v>516.32</v>
      </c>
      <c r="I108" s="51" t="s">
        <v>293</v>
      </c>
      <c r="J108" s="47"/>
      <c r="K108" s="47"/>
      <c r="L108" s="47"/>
      <c r="M108" s="47"/>
      <c r="N108" s="47"/>
      <c r="O108" s="47"/>
    </row>
    <row r="109" customFormat="false" ht="15" hidden="false" customHeight="true" outlineLevel="0" collapsed="false">
      <c r="A109" s="51" t="s">
        <v>11</v>
      </c>
      <c r="B109" s="51" t="s">
        <v>277</v>
      </c>
      <c r="C109" s="51" t="s">
        <v>44</v>
      </c>
      <c r="D109" s="51" t="s">
        <v>192</v>
      </c>
      <c r="E109" s="51" t="s">
        <v>276</v>
      </c>
      <c r="F109" s="51" t="n">
        <v>1</v>
      </c>
      <c r="G109" s="52" t="n">
        <v>140</v>
      </c>
      <c r="H109" s="52" t="n">
        <f aca="false">F109*G109</f>
        <v>140</v>
      </c>
      <c r="I109" s="51" t="s">
        <v>314</v>
      </c>
      <c r="J109" s="47"/>
      <c r="K109" s="47"/>
      <c r="L109" s="47"/>
      <c r="M109" s="47"/>
      <c r="N109" s="47"/>
      <c r="O109" s="47"/>
    </row>
    <row r="110" customFormat="false" ht="15" hidden="false" customHeight="true" outlineLevel="0" collapsed="false">
      <c r="A110" s="51" t="s">
        <v>11</v>
      </c>
      <c r="B110" s="51" t="s">
        <v>277</v>
      </c>
      <c r="C110" s="51" t="s">
        <v>294</v>
      </c>
      <c r="D110" s="51" t="s">
        <v>160</v>
      </c>
      <c r="E110" s="51" t="s">
        <v>276</v>
      </c>
      <c r="F110" s="51" t="n">
        <v>8</v>
      </c>
      <c r="G110" s="52" t="n">
        <v>10.05</v>
      </c>
      <c r="H110" s="52" t="n">
        <f aca="false">F110*G110</f>
        <v>80.4</v>
      </c>
      <c r="I110" s="51" t="s">
        <v>293</v>
      </c>
      <c r="J110" s="47"/>
      <c r="K110" s="47"/>
      <c r="L110" s="47"/>
      <c r="M110" s="47"/>
      <c r="N110" s="47"/>
      <c r="O110" s="47"/>
    </row>
    <row r="111" customFormat="false" ht="15" hidden="false" customHeight="true" outlineLevel="0" collapsed="false">
      <c r="A111" s="51" t="s">
        <v>11</v>
      </c>
      <c r="B111" s="51" t="s">
        <v>277</v>
      </c>
      <c r="C111" s="51" t="s">
        <v>294</v>
      </c>
      <c r="D111" s="51" t="s">
        <v>161</v>
      </c>
      <c r="E111" s="51" t="s">
        <v>276</v>
      </c>
      <c r="F111" s="51" t="n">
        <v>8</v>
      </c>
      <c r="G111" s="52" t="n">
        <v>2.07</v>
      </c>
      <c r="H111" s="52" t="n">
        <f aca="false">F111*G111</f>
        <v>16.56</v>
      </c>
      <c r="I111" s="51" t="s">
        <v>293</v>
      </c>
      <c r="J111" s="47"/>
      <c r="K111" s="47"/>
      <c r="L111" s="47"/>
      <c r="M111" s="47"/>
      <c r="N111" s="47"/>
      <c r="O111" s="47"/>
    </row>
    <row r="112" customFormat="false" ht="15" hidden="false" customHeight="true" outlineLevel="0" collapsed="false">
      <c r="A112" s="51" t="s">
        <v>11</v>
      </c>
      <c r="B112" s="51" t="s">
        <v>277</v>
      </c>
      <c r="C112" s="51" t="s">
        <v>295</v>
      </c>
      <c r="D112" s="51" t="s">
        <v>193</v>
      </c>
      <c r="E112" s="51" t="s">
        <v>276</v>
      </c>
      <c r="F112" s="51" t="n">
        <v>1</v>
      </c>
      <c r="G112" s="52" t="n">
        <v>798.12</v>
      </c>
      <c r="H112" s="52" t="n">
        <f aca="false">F112*G112</f>
        <v>798.12</v>
      </c>
      <c r="I112" s="51" t="s">
        <v>314</v>
      </c>
      <c r="J112" s="47"/>
      <c r="K112" s="47"/>
      <c r="L112" s="47"/>
      <c r="M112" s="47"/>
      <c r="N112" s="47"/>
      <c r="O112" s="47"/>
    </row>
    <row r="113" customFormat="false" ht="15" hidden="false" customHeight="true" outlineLevel="0" collapsed="false">
      <c r="A113" s="51" t="s">
        <v>11</v>
      </c>
      <c r="B113" s="51" t="s">
        <v>277</v>
      </c>
      <c r="C113" s="51" t="s">
        <v>295</v>
      </c>
      <c r="D113" s="51" t="s">
        <v>195</v>
      </c>
      <c r="E113" s="51" t="s">
        <v>276</v>
      </c>
      <c r="F113" s="51" t="n">
        <v>1</v>
      </c>
      <c r="G113" s="52" t="n">
        <v>222.88</v>
      </c>
      <c r="H113" s="52" t="n">
        <f aca="false">F113*G113</f>
        <v>222.88</v>
      </c>
      <c r="I113" s="51" t="s">
        <v>314</v>
      </c>
      <c r="J113" s="47"/>
      <c r="K113" s="47"/>
      <c r="L113" s="47"/>
      <c r="M113" s="47"/>
      <c r="N113" s="47"/>
      <c r="O113" s="47"/>
    </row>
    <row r="114" customFormat="false" ht="15" hidden="false" customHeight="true" outlineLevel="0" collapsed="false">
      <c r="A114" s="51" t="s">
        <v>11</v>
      </c>
      <c r="B114" s="51" t="s">
        <v>277</v>
      </c>
      <c r="C114" s="51" t="s">
        <v>296</v>
      </c>
      <c r="D114" s="51" t="s">
        <v>191</v>
      </c>
      <c r="E114" s="51" t="s">
        <v>276</v>
      </c>
      <c r="F114" s="51" t="n">
        <v>8</v>
      </c>
      <c r="G114" s="52" t="n">
        <v>30</v>
      </c>
      <c r="H114" s="52" t="n">
        <f aca="false">F114*G114</f>
        <v>240</v>
      </c>
      <c r="I114" s="51" t="s">
        <v>293</v>
      </c>
      <c r="J114" s="47"/>
      <c r="K114" s="47"/>
      <c r="L114" s="47"/>
      <c r="M114" s="47"/>
      <c r="N114" s="47"/>
      <c r="O114" s="47"/>
    </row>
    <row r="115" customFormat="false" ht="15" hidden="false" customHeight="true" outlineLevel="0" collapsed="false">
      <c r="A115" s="51" t="s">
        <v>11</v>
      </c>
      <c r="B115" s="51" t="s">
        <v>280</v>
      </c>
      <c r="C115" s="51" t="s">
        <v>289</v>
      </c>
      <c r="D115" s="51" t="s">
        <v>190</v>
      </c>
      <c r="E115" s="51" t="s">
        <v>276</v>
      </c>
      <c r="F115" s="51" t="n">
        <v>1</v>
      </c>
      <c r="G115" s="52" t="n">
        <v>17518.73</v>
      </c>
      <c r="H115" s="52" t="n">
        <f aca="false">F115*G115</f>
        <v>17518.73</v>
      </c>
      <c r="I115" s="51" t="s">
        <v>315</v>
      </c>
      <c r="J115" s="47"/>
      <c r="K115" s="47"/>
      <c r="L115" s="47"/>
      <c r="M115" s="47"/>
      <c r="N115" s="47"/>
      <c r="O115" s="47"/>
    </row>
    <row r="116" customFormat="false" ht="15" hidden="false" customHeight="true" outlineLevel="0" collapsed="false">
      <c r="A116" s="51" t="s">
        <v>11</v>
      </c>
      <c r="B116" s="51" t="s">
        <v>280</v>
      </c>
      <c r="C116" s="51" t="s">
        <v>289</v>
      </c>
      <c r="D116" s="51" t="s">
        <v>291</v>
      </c>
      <c r="E116" s="51" t="s">
        <v>276</v>
      </c>
      <c r="F116" s="51" t="n">
        <v>1</v>
      </c>
      <c r="G116" s="52" t="n">
        <v>2075</v>
      </c>
      <c r="H116" s="52" t="n">
        <f aca="false">F116*G116</f>
        <v>2075</v>
      </c>
      <c r="I116" s="51" t="s">
        <v>305</v>
      </c>
      <c r="J116" s="47"/>
      <c r="K116" s="47"/>
      <c r="L116" s="47"/>
      <c r="M116" s="47"/>
      <c r="N116" s="47"/>
      <c r="O116" s="47"/>
    </row>
    <row r="117" customFormat="false" ht="15" hidden="false" customHeight="true" outlineLevel="0" collapsed="false">
      <c r="A117" s="51" t="s">
        <v>11</v>
      </c>
      <c r="B117" s="51" t="s">
        <v>280</v>
      </c>
      <c r="C117" s="51" t="s">
        <v>289</v>
      </c>
      <c r="D117" s="51" t="s">
        <v>163</v>
      </c>
      <c r="E117" s="51" t="s">
        <v>276</v>
      </c>
      <c r="F117" s="51" t="n">
        <v>11</v>
      </c>
      <c r="G117" s="52" t="n">
        <v>28.31</v>
      </c>
      <c r="H117" s="52" t="n">
        <f aca="false">F117*G117</f>
        <v>311.41</v>
      </c>
      <c r="I117" s="51" t="s">
        <v>293</v>
      </c>
      <c r="J117" s="47"/>
      <c r="K117" s="47"/>
      <c r="L117" s="47"/>
      <c r="M117" s="47"/>
      <c r="N117" s="47"/>
      <c r="O117" s="47"/>
    </row>
    <row r="118" customFormat="false" ht="15" hidden="false" customHeight="true" outlineLevel="0" collapsed="false">
      <c r="A118" s="51" t="s">
        <v>11</v>
      </c>
      <c r="B118" s="51" t="s">
        <v>280</v>
      </c>
      <c r="C118" s="51" t="s">
        <v>289</v>
      </c>
      <c r="D118" s="51" t="s">
        <v>164</v>
      </c>
      <c r="E118" s="51" t="s">
        <v>276</v>
      </c>
      <c r="F118" s="51" t="n">
        <v>11</v>
      </c>
      <c r="G118" s="52" t="n">
        <v>47.79</v>
      </c>
      <c r="H118" s="52" t="n">
        <f aca="false">F118*G118</f>
        <v>525.69</v>
      </c>
      <c r="I118" s="51" t="s">
        <v>293</v>
      </c>
      <c r="J118" s="47"/>
      <c r="K118" s="47"/>
      <c r="L118" s="47"/>
      <c r="M118" s="47"/>
      <c r="N118" s="47"/>
      <c r="O118" s="47"/>
    </row>
    <row r="119" customFormat="false" ht="15" hidden="false" customHeight="true" outlineLevel="0" collapsed="false">
      <c r="A119" s="51" t="s">
        <v>11</v>
      </c>
      <c r="B119" s="51" t="s">
        <v>280</v>
      </c>
      <c r="C119" s="51" t="s">
        <v>44</v>
      </c>
      <c r="D119" s="51" t="s">
        <v>162</v>
      </c>
      <c r="E119" s="51" t="s">
        <v>276</v>
      </c>
      <c r="F119" s="51" t="n">
        <v>11</v>
      </c>
      <c r="G119" s="52" t="n">
        <v>64.54</v>
      </c>
      <c r="H119" s="52" t="n">
        <f aca="false">F119*G119</f>
        <v>709.94</v>
      </c>
      <c r="I119" s="51" t="s">
        <v>293</v>
      </c>
      <c r="J119" s="47"/>
      <c r="K119" s="47"/>
      <c r="L119" s="47"/>
      <c r="M119" s="47"/>
      <c r="N119" s="47"/>
      <c r="O119" s="47"/>
    </row>
    <row r="120" customFormat="false" ht="15" hidden="false" customHeight="true" outlineLevel="0" collapsed="false">
      <c r="A120" s="51" t="s">
        <v>11</v>
      </c>
      <c r="B120" s="51" t="s">
        <v>280</v>
      </c>
      <c r="C120" s="51" t="s">
        <v>44</v>
      </c>
      <c r="D120" s="51" t="s">
        <v>192</v>
      </c>
      <c r="E120" s="51" t="s">
        <v>276</v>
      </c>
      <c r="F120" s="51" t="n">
        <v>1</v>
      </c>
      <c r="G120" s="52" t="n">
        <v>140</v>
      </c>
      <c r="H120" s="52" t="n">
        <f aca="false">F120*G120</f>
        <v>140</v>
      </c>
      <c r="I120" s="51" t="s">
        <v>305</v>
      </c>
      <c r="J120" s="47"/>
      <c r="K120" s="47"/>
      <c r="L120" s="47"/>
      <c r="M120" s="47"/>
      <c r="N120" s="47"/>
      <c r="O120" s="47"/>
    </row>
    <row r="121" customFormat="false" ht="15" hidden="false" customHeight="true" outlineLevel="0" collapsed="false">
      <c r="A121" s="51" t="s">
        <v>11</v>
      </c>
      <c r="B121" s="51" t="s">
        <v>280</v>
      </c>
      <c r="C121" s="51" t="s">
        <v>294</v>
      </c>
      <c r="D121" s="51" t="s">
        <v>160</v>
      </c>
      <c r="E121" s="51" t="s">
        <v>276</v>
      </c>
      <c r="F121" s="51" t="n">
        <v>11</v>
      </c>
      <c r="G121" s="52" t="n">
        <v>10.05</v>
      </c>
      <c r="H121" s="52" t="n">
        <f aca="false">F121*G121</f>
        <v>110.55</v>
      </c>
      <c r="I121" s="51" t="s">
        <v>293</v>
      </c>
      <c r="J121" s="47"/>
      <c r="K121" s="47"/>
      <c r="L121" s="47"/>
      <c r="M121" s="47"/>
      <c r="N121" s="47"/>
      <c r="O121" s="47"/>
    </row>
    <row r="122" customFormat="false" ht="15" hidden="false" customHeight="true" outlineLevel="0" collapsed="false">
      <c r="A122" s="51" t="s">
        <v>11</v>
      </c>
      <c r="B122" s="51" t="s">
        <v>280</v>
      </c>
      <c r="C122" s="51" t="s">
        <v>294</v>
      </c>
      <c r="D122" s="51" t="s">
        <v>161</v>
      </c>
      <c r="E122" s="51" t="s">
        <v>276</v>
      </c>
      <c r="F122" s="51" t="n">
        <v>11</v>
      </c>
      <c r="G122" s="52" t="n">
        <v>2.07</v>
      </c>
      <c r="H122" s="52" t="n">
        <f aca="false">F122*G122</f>
        <v>22.77</v>
      </c>
      <c r="I122" s="51" t="s">
        <v>293</v>
      </c>
      <c r="J122" s="47"/>
      <c r="K122" s="47"/>
      <c r="L122" s="47"/>
      <c r="M122" s="47"/>
      <c r="N122" s="47"/>
      <c r="O122" s="47"/>
    </row>
    <row r="123" customFormat="false" ht="15" hidden="false" customHeight="true" outlineLevel="0" collapsed="false">
      <c r="A123" s="51" t="s">
        <v>11</v>
      </c>
      <c r="B123" s="51" t="s">
        <v>280</v>
      </c>
      <c r="C123" s="51" t="s">
        <v>296</v>
      </c>
      <c r="D123" s="51" t="s">
        <v>191</v>
      </c>
      <c r="E123" s="51" t="s">
        <v>276</v>
      </c>
      <c r="F123" s="51" t="n">
        <v>11</v>
      </c>
      <c r="G123" s="52" t="n">
        <v>30</v>
      </c>
      <c r="H123" s="52" t="n">
        <f aca="false">F123*G123</f>
        <v>330</v>
      </c>
      <c r="I123" s="51" t="s">
        <v>293</v>
      </c>
      <c r="J123" s="47"/>
      <c r="K123" s="47"/>
      <c r="L123" s="47"/>
      <c r="M123" s="47"/>
      <c r="N123" s="47"/>
      <c r="O123" s="47"/>
    </row>
    <row r="124" customFormat="false" ht="15" hidden="false" customHeight="true" outlineLevel="0" collapsed="false">
      <c r="A124" s="51" t="s">
        <v>11</v>
      </c>
      <c r="B124" s="51" t="s">
        <v>280</v>
      </c>
      <c r="C124" s="51" t="s">
        <v>297</v>
      </c>
      <c r="D124" s="51" t="s">
        <v>196</v>
      </c>
      <c r="E124" s="51" t="s">
        <v>276</v>
      </c>
      <c r="F124" s="51" t="n">
        <v>1</v>
      </c>
      <c r="G124" s="52" t="n">
        <v>2642.33</v>
      </c>
      <c r="H124" s="52" t="n">
        <f aca="false">F124*G124</f>
        <v>2642.33</v>
      </c>
      <c r="I124" s="51" t="s">
        <v>303</v>
      </c>
      <c r="J124" s="47"/>
      <c r="K124" s="47"/>
      <c r="L124" s="47"/>
      <c r="M124" s="47"/>
      <c r="N124" s="47"/>
      <c r="O124" s="47"/>
    </row>
    <row r="125" customFormat="false" ht="15" hidden="false" customHeight="true" outlineLevel="0" collapsed="false">
      <c r="A125" s="51" t="s">
        <v>11</v>
      </c>
      <c r="B125" s="51" t="s">
        <v>283</v>
      </c>
      <c r="C125" s="51" t="s">
        <v>289</v>
      </c>
      <c r="D125" s="51" t="s">
        <v>190</v>
      </c>
      <c r="E125" s="51" t="s">
        <v>282</v>
      </c>
      <c r="F125" s="51" t="n">
        <v>1</v>
      </c>
      <c r="G125" s="52" t="n">
        <v>3520.86</v>
      </c>
      <c r="H125" s="52" t="n">
        <f aca="false">F125*G125</f>
        <v>3520.86</v>
      </c>
      <c r="I125" s="51" t="s">
        <v>316</v>
      </c>
      <c r="J125" s="47"/>
      <c r="K125" s="47"/>
      <c r="L125" s="47"/>
      <c r="M125" s="47"/>
      <c r="N125" s="47"/>
      <c r="O125" s="47"/>
    </row>
    <row r="126" customFormat="false" ht="15" hidden="false" customHeight="true" outlineLevel="0" collapsed="false">
      <c r="A126" s="51" t="s">
        <v>11</v>
      </c>
      <c r="B126" s="51" t="s">
        <v>283</v>
      </c>
      <c r="C126" s="51" t="s">
        <v>289</v>
      </c>
      <c r="D126" s="51" t="s">
        <v>163</v>
      </c>
      <c r="E126" s="51" t="s">
        <v>282</v>
      </c>
      <c r="F126" s="51" t="n">
        <v>1</v>
      </c>
      <c r="G126" s="52" t="n">
        <v>28.31</v>
      </c>
      <c r="H126" s="52" t="n">
        <f aca="false">F126*G126</f>
        <v>28.31</v>
      </c>
      <c r="I126" s="51" t="s">
        <v>293</v>
      </c>
      <c r="J126" s="47"/>
      <c r="K126" s="47"/>
      <c r="L126" s="47"/>
      <c r="M126" s="47"/>
      <c r="N126" s="47"/>
      <c r="O126" s="47"/>
    </row>
    <row r="127" customFormat="false" ht="15" hidden="false" customHeight="true" outlineLevel="0" collapsed="false">
      <c r="A127" s="51" t="s">
        <v>11</v>
      </c>
      <c r="B127" s="51" t="s">
        <v>283</v>
      </c>
      <c r="C127" s="51" t="s">
        <v>289</v>
      </c>
      <c r="D127" s="51" t="s">
        <v>164</v>
      </c>
      <c r="E127" s="51" t="s">
        <v>282</v>
      </c>
      <c r="F127" s="51" t="n">
        <v>1</v>
      </c>
      <c r="G127" s="52" t="n">
        <v>47.79</v>
      </c>
      <c r="H127" s="52" t="n">
        <f aca="false">F127*G127</f>
        <v>47.79</v>
      </c>
      <c r="I127" s="51" t="s">
        <v>293</v>
      </c>
      <c r="J127" s="47"/>
      <c r="K127" s="47"/>
      <c r="L127" s="47"/>
      <c r="M127" s="47"/>
      <c r="N127" s="47"/>
      <c r="O127" s="47"/>
    </row>
    <row r="128" customFormat="false" ht="15" hidden="false" customHeight="true" outlineLevel="0" collapsed="false">
      <c r="A128" s="51" t="s">
        <v>11</v>
      </c>
      <c r="B128" s="51" t="s">
        <v>283</v>
      </c>
      <c r="C128" s="51" t="s">
        <v>44</v>
      </c>
      <c r="D128" s="51" t="s">
        <v>162</v>
      </c>
      <c r="E128" s="51" t="s">
        <v>282</v>
      </c>
      <c r="F128" s="51" t="n">
        <v>1</v>
      </c>
      <c r="G128" s="52" t="n">
        <v>64.54</v>
      </c>
      <c r="H128" s="52" t="n">
        <f aca="false">F128*G128</f>
        <v>64.54</v>
      </c>
      <c r="I128" s="51" t="s">
        <v>293</v>
      </c>
      <c r="J128" s="47"/>
      <c r="K128" s="47"/>
      <c r="L128" s="47"/>
      <c r="M128" s="47"/>
      <c r="N128" s="47"/>
      <c r="O128" s="47"/>
    </row>
    <row r="129" customFormat="false" ht="15" hidden="false" customHeight="true" outlineLevel="0" collapsed="false">
      <c r="A129" s="51" t="s">
        <v>11</v>
      </c>
      <c r="B129" s="51" t="s">
        <v>283</v>
      </c>
      <c r="C129" s="51" t="s">
        <v>294</v>
      </c>
      <c r="D129" s="51" t="s">
        <v>160</v>
      </c>
      <c r="E129" s="51" t="s">
        <v>282</v>
      </c>
      <c r="F129" s="51" t="n">
        <v>1</v>
      </c>
      <c r="G129" s="52" t="n">
        <v>10.05</v>
      </c>
      <c r="H129" s="52" t="n">
        <f aca="false">F129*G129</f>
        <v>10.05</v>
      </c>
      <c r="I129" s="51" t="s">
        <v>293</v>
      </c>
      <c r="J129" s="47"/>
      <c r="K129" s="47"/>
      <c r="L129" s="47"/>
      <c r="M129" s="47"/>
      <c r="N129" s="47"/>
      <c r="O129" s="47"/>
    </row>
    <row r="130" customFormat="false" ht="15" hidden="false" customHeight="true" outlineLevel="0" collapsed="false">
      <c r="A130" s="51" t="s">
        <v>11</v>
      </c>
      <c r="B130" s="51" t="s">
        <v>283</v>
      </c>
      <c r="C130" s="51" t="s">
        <v>294</v>
      </c>
      <c r="D130" s="51" t="s">
        <v>161</v>
      </c>
      <c r="E130" s="51" t="s">
        <v>282</v>
      </c>
      <c r="F130" s="51" t="n">
        <v>1</v>
      </c>
      <c r="G130" s="52" t="n">
        <v>2.07</v>
      </c>
      <c r="H130" s="52" t="n">
        <f aca="false">F130*G130</f>
        <v>2.07</v>
      </c>
      <c r="I130" s="51" t="s">
        <v>293</v>
      </c>
      <c r="J130" s="47"/>
      <c r="K130" s="47"/>
      <c r="L130" s="47"/>
      <c r="M130" s="47"/>
      <c r="N130" s="47"/>
      <c r="O130" s="47"/>
    </row>
    <row r="131" customFormat="false" ht="15" hidden="false" customHeight="true" outlineLevel="0" collapsed="false">
      <c r="A131" s="51" t="s">
        <v>11</v>
      </c>
      <c r="B131" s="51" t="s">
        <v>283</v>
      </c>
      <c r="C131" s="51" t="s">
        <v>296</v>
      </c>
      <c r="D131" s="51" t="s">
        <v>191</v>
      </c>
      <c r="E131" s="51" t="s">
        <v>282</v>
      </c>
      <c r="F131" s="51" t="n">
        <v>1</v>
      </c>
      <c r="G131" s="52" t="n">
        <v>30</v>
      </c>
      <c r="H131" s="52" t="n">
        <f aca="false">F131*G131</f>
        <v>30</v>
      </c>
      <c r="I131" s="51" t="s">
        <v>293</v>
      </c>
      <c r="J131" s="47"/>
      <c r="K131" s="47"/>
      <c r="L131" s="47"/>
      <c r="M131" s="47"/>
      <c r="N131" s="47"/>
      <c r="O131" s="47"/>
    </row>
    <row r="132" customFormat="false" ht="15" hidden="false" customHeight="true" outlineLevel="0" collapsed="false">
      <c r="A132" s="51" t="s">
        <v>20</v>
      </c>
      <c r="B132" s="51" t="s">
        <v>265</v>
      </c>
      <c r="C132" s="51" t="s">
        <v>289</v>
      </c>
      <c r="D132" s="51" t="s">
        <v>190</v>
      </c>
      <c r="E132" s="51" t="s">
        <v>264</v>
      </c>
      <c r="F132" s="51" t="n">
        <v>1</v>
      </c>
      <c r="G132" s="52" t="n">
        <v>70601.0801777777</v>
      </c>
      <c r="H132" s="52" t="n">
        <v>70601.0801777777</v>
      </c>
      <c r="I132" s="51" t="s">
        <v>317</v>
      </c>
      <c r="J132" s="47"/>
      <c r="K132" s="47"/>
      <c r="L132" s="47"/>
      <c r="M132" s="47"/>
      <c r="N132" s="47"/>
      <c r="O132" s="47"/>
    </row>
    <row r="133" customFormat="false" ht="15" hidden="false" customHeight="true" outlineLevel="0" collapsed="false">
      <c r="A133" s="51" t="s">
        <v>20</v>
      </c>
      <c r="B133" s="51" t="s">
        <v>265</v>
      </c>
      <c r="C133" s="51" t="s">
        <v>289</v>
      </c>
      <c r="D133" s="51" t="s">
        <v>291</v>
      </c>
      <c r="E133" s="51" t="s">
        <v>264</v>
      </c>
      <c r="F133" s="51" t="n">
        <v>1</v>
      </c>
      <c r="G133" s="52" t="n">
        <v>2724.43</v>
      </c>
      <c r="H133" s="52" t="n">
        <v>2724.43</v>
      </c>
      <c r="I133" s="51" t="s">
        <v>292</v>
      </c>
      <c r="J133" s="47"/>
      <c r="K133" s="47"/>
      <c r="L133" s="47"/>
      <c r="M133" s="47"/>
      <c r="N133" s="47"/>
      <c r="O133" s="47"/>
    </row>
    <row r="134" customFormat="false" ht="15" hidden="false" customHeight="true" outlineLevel="0" collapsed="false">
      <c r="A134" s="51" t="s">
        <v>20</v>
      </c>
      <c r="B134" s="51" t="s">
        <v>265</v>
      </c>
      <c r="C134" s="51" t="s">
        <v>289</v>
      </c>
      <c r="D134" s="51" t="s">
        <v>163</v>
      </c>
      <c r="E134" s="51" t="s">
        <v>264</v>
      </c>
      <c r="F134" s="51" t="n">
        <v>39</v>
      </c>
      <c r="G134" s="52" t="n">
        <v>28.31</v>
      </c>
      <c r="H134" s="52" t="n">
        <v>1104.09</v>
      </c>
      <c r="I134" s="51" t="s">
        <v>293</v>
      </c>
      <c r="J134" s="47"/>
      <c r="K134" s="47"/>
      <c r="L134" s="47"/>
      <c r="M134" s="47"/>
      <c r="N134" s="47"/>
      <c r="O134" s="47"/>
    </row>
    <row r="135" customFormat="false" ht="15" hidden="false" customHeight="true" outlineLevel="0" collapsed="false">
      <c r="A135" s="51" t="s">
        <v>20</v>
      </c>
      <c r="B135" s="51" t="s">
        <v>265</v>
      </c>
      <c r="C135" s="51" t="s">
        <v>289</v>
      </c>
      <c r="D135" s="51" t="s">
        <v>164</v>
      </c>
      <c r="E135" s="51" t="s">
        <v>264</v>
      </c>
      <c r="F135" s="51" t="n">
        <v>39</v>
      </c>
      <c r="G135" s="52" t="n">
        <v>47.79</v>
      </c>
      <c r="H135" s="52" t="n">
        <v>1863.81</v>
      </c>
      <c r="I135" s="51" t="s">
        <v>293</v>
      </c>
      <c r="J135" s="47"/>
      <c r="K135" s="47"/>
      <c r="L135" s="47"/>
      <c r="M135" s="47"/>
      <c r="N135" s="47"/>
      <c r="O135" s="47"/>
    </row>
    <row r="136" customFormat="false" ht="15" hidden="false" customHeight="true" outlineLevel="0" collapsed="false">
      <c r="A136" s="51" t="s">
        <v>20</v>
      </c>
      <c r="B136" s="51" t="s">
        <v>265</v>
      </c>
      <c r="C136" s="51" t="s">
        <v>44</v>
      </c>
      <c r="D136" s="51" t="s">
        <v>192</v>
      </c>
      <c r="E136" s="51" t="s">
        <v>264</v>
      </c>
      <c r="F136" s="51" t="n">
        <v>1</v>
      </c>
      <c r="G136" s="52" t="n">
        <v>373.29</v>
      </c>
      <c r="H136" s="52" t="n">
        <v>373.29</v>
      </c>
      <c r="I136" s="51" t="s">
        <v>292</v>
      </c>
      <c r="J136" s="47"/>
      <c r="K136" s="47"/>
      <c r="L136" s="47"/>
      <c r="M136" s="47"/>
      <c r="N136" s="47"/>
      <c r="O136" s="47"/>
    </row>
    <row r="137" customFormat="false" ht="15" hidden="false" customHeight="true" outlineLevel="0" collapsed="false">
      <c r="A137" s="51" t="s">
        <v>20</v>
      </c>
      <c r="B137" s="51" t="s">
        <v>265</v>
      </c>
      <c r="C137" s="51" t="s">
        <v>44</v>
      </c>
      <c r="D137" s="51" t="s">
        <v>162</v>
      </c>
      <c r="E137" s="51" t="s">
        <v>264</v>
      </c>
      <c r="F137" s="51" t="n">
        <v>39</v>
      </c>
      <c r="G137" s="52" t="n">
        <v>64.57</v>
      </c>
      <c r="H137" s="52" t="n">
        <v>2518.23</v>
      </c>
      <c r="I137" s="51" t="s">
        <v>293</v>
      </c>
      <c r="J137" s="47"/>
      <c r="K137" s="47"/>
      <c r="L137" s="47"/>
      <c r="M137" s="47"/>
      <c r="N137" s="47"/>
      <c r="O137" s="47"/>
    </row>
    <row r="138" customFormat="false" ht="15" hidden="false" customHeight="true" outlineLevel="0" collapsed="false">
      <c r="A138" s="51" t="s">
        <v>20</v>
      </c>
      <c r="B138" s="51" t="s">
        <v>265</v>
      </c>
      <c r="C138" s="51" t="s">
        <v>294</v>
      </c>
      <c r="D138" s="51" t="s">
        <v>160</v>
      </c>
      <c r="E138" s="51" t="s">
        <v>264</v>
      </c>
      <c r="F138" s="51" t="n">
        <v>39</v>
      </c>
      <c r="G138" s="52" t="n">
        <v>10.05</v>
      </c>
      <c r="H138" s="52" t="n">
        <v>391.95</v>
      </c>
      <c r="I138" s="51" t="s">
        <v>293</v>
      </c>
      <c r="J138" s="47"/>
      <c r="K138" s="47"/>
      <c r="L138" s="47"/>
      <c r="M138" s="47"/>
      <c r="N138" s="47"/>
      <c r="O138" s="47"/>
    </row>
    <row r="139" customFormat="false" ht="15" hidden="false" customHeight="true" outlineLevel="0" collapsed="false">
      <c r="A139" s="51" t="s">
        <v>20</v>
      </c>
      <c r="B139" s="51" t="s">
        <v>265</v>
      </c>
      <c r="C139" s="51" t="s">
        <v>294</v>
      </c>
      <c r="D139" s="51" t="s">
        <v>161</v>
      </c>
      <c r="E139" s="51" t="s">
        <v>264</v>
      </c>
      <c r="F139" s="51" t="n">
        <v>39</v>
      </c>
      <c r="G139" s="52" t="n">
        <v>2.07</v>
      </c>
      <c r="H139" s="52" t="n">
        <v>80.73</v>
      </c>
      <c r="I139" s="51" t="s">
        <v>293</v>
      </c>
      <c r="J139" s="47"/>
      <c r="K139" s="47"/>
      <c r="L139" s="47"/>
      <c r="M139" s="47"/>
      <c r="N139" s="47"/>
      <c r="O139" s="47"/>
    </row>
    <row r="140" customFormat="false" ht="15" hidden="false" customHeight="true" outlineLevel="0" collapsed="false">
      <c r="A140" s="51" t="s">
        <v>20</v>
      </c>
      <c r="B140" s="51" t="s">
        <v>265</v>
      </c>
      <c r="C140" s="51" t="s">
        <v>295</v>
      </c>
      <c r="D140" s="51" t="s">
        <v>193</v>
      </c>
      <c r="E140" s="51" t="s">
        <v>264</v>
      </c>
      <c r="F140" s="51" t="n">
        <v>1</v>
      </c>
      <c r="G140" s="52" t="n">
        <v>71.78</v>
      </c>
      <c r="H140" s="52" t="n">
        <v>71.78</v>
      </c>
      <c r="I140" s="51" t="s">
        <v>292</v>
      </c>
      <c r="J140" s="47"/>
      <c r="K140" s="47"/>
      <c r="L140" s="47"/>
      <c r="M140" s="47"/>
      <c r="N140" s="47"/>
      <c r="O140" s="47"/>
    </row>
    <row r="141" customFormat="false" ht="15" hidden="false" customHeight="true" outlineLevel="0" collapsed="false">
      <c r="A141" s="51" t="s">
        <v>20</v>
      </c>
      <c r="B141" s="51" t="s">
        <v>265</v>
      </c>
      <c r="C141" s="51" t="s">
        <v>295</v>
      </c>
      <c r="D141" s="51" t="s">
        <v>194</v>
      </c>
      <c r="E141" s="51" t="s">
        <v>264</v>
      </c>
      <c r="F141" s="51" t="n">
        <v>1</v>
      </c>
      <c r="G141" s="52" t="n">
        <v>-105.55</v>
      </c>
      <c r="H141" s="52" t="n">
        <v>-105.55</v>
      </c>
      <c r="I141" s="51" t="s">
        <v>292</v>
      </c>
      <c r="J141" s="47"/>
      <c r="K141" s="47"/>
      <c r="L141" s="47"/>
      <c r="M141" s="47"/>
      <c r="N141" s="47"/>
      <c r="O141" s="47"/>
    </row>
    <row r="142" customFormat="false" ht="15" hidden="false" customHeight="true" outlineLevel="0" collapsed="false">
      <c r="A142" s="51" t="s">
        <v>20</v>
      </c>
      <c r="B142" s="51" t="s">
        <v>265</v>
      </c>
      <c r="C142" s="51" t="s">
        <v>295</v>
      </c>
      <c r="D142" s="51" t="s">
        <v>195</v>
      </c>
      <c r="E142" s="51" t="s">
        <v>264</v>
      </c>
      <c r="F142" s="51" t="n">
        <v>1</v>
      </c>
      <c r="G142" s="52" t="n">
        <v>111.85</v>
      </c>
      <c r="H142" s="52" t="n">
        <v>111.85</v>
      </c>
      <c r="I142" s="51" t="s">
        <v>292</v>
      </c>
      <c r="J142" s="47"/>
      <c r="K142" s="47"/>
      <c r="L142" s="47"/>
      <c r="M142" s="47"/>
      <c r="N142" s="47"/>
      <c r="O142" s="47"/>
    </row>
    <row r="143" customFormat="false" ht="15" hidden="false" customHeight="true" outlineLevel="0" collapsed="false">
      <c r="A143" s="51" t="s">
        <v>20</v>
      </c>
      <c r="B143" s="51" t="s">
        <v>265</v>
      </c>
      <c r="C143" s="51" t="s">
        <v>296</v>
      </c>
      <c r="D143" s="51" t="s">
        <v>191</v>
      </c>
      <c r="E143" s="51" t="s">
        <v>264</v>
      </c>
      <c r="F143" s="51" t="n">
        <v>42</v>
      </c>
      <c r="G143" s="52" t="n">
        <v>30</v>
      </c>
      <c r="H143" s="52" t="n">
        <f aca="false">F143*G143</f>
        <v>1260</v>
      </c>
      <c r="I143" s="51" t="s">
        <v>293</v>
      </c>
      <c r="J143" s="47"/>
      <c r="K143" s="47"/>
      <c r="L143" s="47"/>
      <c r="M143" s="47"/>
      <c r="N143" s="47"/>
      <c r="O143" s="47"/>
    </row>
    <row r="144" customFormat="false" ht="15" hidden="false" customHeight="true" outlineLevel="0" collapsed="false">
      <c r="A144" s="51" t="s">
        <v>20</v>
      </c>
      <c r="B144" s="51" t="s">
        <v>265</v>
      </c>
      <c r="C144" s="51" t="s">
        <v>318</v>
      </c>
      <c r="D144" s="51" t="s">
        <v>319</v>
      </c>
      <c r="E144" s="51" t="s">
        <v>264</v>
      </c>
      <c r="F144" s="51" t="n">
        <v>4</v>
      </c>
      <c r="G144" s="52" t="n">
        <v>50</v>
      </c>
      <c r="H144" s="52" t="n">
        <f aca="false">F144*G144</f>
        <v>200</v>
      </c>
      <c r="I144" s="51" t="s">
        <v>320</v>
      </c>
      <c r="J144" s="47"/>
      <c r="K144" s="47"/>
      <c r="L144" s="47"/>
      <c r="M144" s="47"/>
      <c r="N144" s="47"/>
      <c r="O144" s="47"/>
    </row>
    <row r="145" customFormat="false" ht="15" hidden="false" customHeight="true" outlineLevel="0" collapsed="false">
      <c r="A145" s="51" t="s">
        <v>20</v>
      </c>
      <c r="B145" s="51" t="s">
        <v>265</v>
      </c>
      <c r="C145" s="51" t="s">
        <v>297</v>
      </c>
      <c r="D145" s="51" t="s">
        <v>196</v>
      </c>
      <c r="E145" s="51" t="s">
        <v>264</v>
      </c>
      <c r="F145" s="51" t="n">
        <v>1</v>
      </c>
      <c r="G145" s="52" t="n">
        <v>476.27</v>
      </c>
      <c r="H145" s="52" t="n">
        <f aca="false">F145*G145</f>
        <v>476.27</v>
      </c>
      <c r="I145" s="51" t="s">
        <v>321</v>
      </c>
      <c r="J145" s="47"/>
      <c r="K145" s="47"/>
      <c r="L145" s="47"/>
      <c r="M145" s="47"/>
      <c r="N145" s="47"/>
      <c r="O145" s="47"/>
    </row>
    <row r="146" customFormat="false" ht="15" hidden="false" customHeight="true" outlineLevel="0" collapsed="false">
      <c r="A146" s="51" t="s">
        <v>20</v>
      </c>
      <c r="B146" s="51" t="s">
        <v>265</v>
      </c>
      <c r="C146" s="51" t="s">
        <v>289</v>
      </c>
      <c r="D146" s="51" t="s">
        <v>190</v>
      </c>
      <c r="E146" s="51" t="s">
        <v>267</v>
      </c>
      <c r="F146" s="51" t="n">
        <v>1</v>
      </c>
      <c r="G146" s="52" t="n">
        <v>5015.22</v>
      </c>
      <c r="H146" s="52" t="n">
        <f aca="false">F146*G146</f>
        <v>5015.22</v>
      </c>
      <c r="I146" s="51" t="s">
        <v>299</v>
      </c>
      <c r="J146" s="47"/>
      <c r="K146" s="47"/>
      <c r="L146" s="47"/>
      <c r="M146" s="47"/>
      <c r="N146" s="47"/>
      <c r="O146" s="47"/>
    </row>
    <row r="147" customFormat="false" ht="15" hidden="false" customHeight="true" outlineLevel="0" collapsed="false">
      <c r="A147" s="51" t="s">
        <v>20</v>
      </c>
      <c r="B147" s="51" t="s">
        <v>265</v>
      </c>
      <c r="C147" s="51" t="s">
        <v>289</v>
      </c>
      <c r="D147" s="51" t="s">
        <v>291</v>
      </c>
      <c r="E147" s="51" t="s">
        <v>267</v>
      </c>
      <c r="F147" s="51" t="n">
        <v>1</v>
      </c>
      <c r="G147" s="52" t="n">
        <v>628.71</v>
      </c>
      <c r="H147" s="52" t="n">
        <v>628.71</v>
      </c>
      <c r="I147" s="51" t="s">
        <v>300</v>
      </c>
      <c r="J147" s="47"/>
      <c r="K147" s="47"/>
      <c r="L147" s="47"/>
      <c r="M147" s="47"/>
      <c r="N147" s="47"/>
      <c r="O147" s="47"/>
    </row>
    <row r="148" customFormat="false" ht="15" hidden="false" customHeight="true" outlineLevel="0" collapsed="false">
      <c r="A148" s="51" t="s">
        <v>20</v>
      </c>
      <c r="B148" s="51" t="s">
        <v>265</v>
      </c>
      <c r="C148" s="51" t="s">
        <v>289</v>
      </c>
      <c r="D148" s="51" t="s">
        <v>163</v>
      </c>
      <c r="E148" s="51" t="s">
        <v>267</v>
      </c>
      <c r="F148" s="51" t="n">
        <v>9</v>
      </c>
      <c r="G148" s="52" t="n">
        <v>28.31</v>
      </c>
      <c r="H148" s="52" t="n">
        <f aca="false">F148*G148</f>
        <v>254.79</v>
      </c>
      <c r="I148" s="51" t="s">
        <v>293</v>
      </c>
      <c r="J148" s="47"/>
      <c r="K148" s="47"/>
      <c r="L148" s="47"/>
      <c r="M148" s="47"/>
      <c r="N148" s="47"/>
      <c r="O148" s="47"/>
    </row>
    <row r="149" customFormat="false" ht="15" hidden="false" customHeight="true" outlineLevel="0" collapsed="false">
      <c r="A149" s="51" t="s">
        <v>20</v>
      </c>
      <c r="B149" s="51" t="s">
        <v>265</v>
      </c>
      <c r="C149" s="51" t="s">
        <v>289</v>
      </c>
      <c r="D149" s="51" t="s">
        <v>164</v>
      </c>
      <c r="E149" s="51" t="s">
        <v>267</v>
      </c>
      <c r="F149" s="51" t="n">
        <v>9</v>
      </c>
      <c r="G149" s="52" t="n">
        <v>47.79</v>
      </c>
      <c r="H149" s="52" t="n">
        <f aca="false">F149*G149</f>
        <v>430.11</v>
      </c>
      <c r="I149" s="51" t="s">
        <v>293</v>
      </c>
      <c r="J149" s="47"/>
      <c r="K149" s="47"/>
      <c r="L149" s="47"/>
      <c r="M149" s="47"/>
      <c r="N149" s="47"/>
      <c r="O149" s="47"/>
    </row>
    <row r="150" customFormat="false" ht="15" hidden="false" customHeight="true" outlineLevel="0" collapsed="false">
      <c r="A150" s="51" t="s">
        <v>20</v>
      </c>
      <c r="B150" s="51" t="s">
        <v>265</v>
      </c>
      <c r="C150" s="51" t="s">
        <v>44</v>
      </c>
      <c r="D150" s="51" t="s">
        <v>192</v>
      </c>
      <c r="E150" s="51" t="s">
        <v>267</v>
      </c>
      <c r="F150" s="51" t="n">
        <v>1</v>
      </c>
      <c r="G150" s="52" t="n">
        <v>86.14</v>
      </c>
      <c r="H150" s="52" t="n">
        <v>86.14</v>
      </c>
      <c r="I150" s="51" t="s">
        <v>300</v>
      </c>
      <c r="J150" s="47"/>
      <c r="K150" s="47"/>
      <c r="L150" s="47"/>
      <c r="M150" s="47"/>
      <c r="N150" s="47"/>
      <c r="O150" s="47"/>
    </row>
    <row r="151" customFormat="false" ht="15" hidden="false" customHeight="true" outlineLevel="0" collapsed="false">
      <c r="A151" s="51" t="s">
        <v>20</v>
      </c>
      <c r="B151" s="51" t="s">
        <v>265</v>
      </c>
      <c r="C151" s="51" t="s">
        <v>44</v>
      </c>
      <c r="D151" s="51" t="s">
        <v>162</v>
      </c>
      <c r="E151" s="51" t="s">
        <v>267</v>
      </c>
      <c r="F151" s="51" t="n">
        <v>9</v>
      </c>
      <c r="G151" s="52" t="n">
        <v>64.57</v>
      </c>
      <c r="H151" s="52" t="n">
        <f aca="false">F151*G151</f>
        <v>581.13</v>
      </c>
      <c r="I151" s="51" t="s">
        <v>293</v>
      </c>
      <c r="J151" s="47"/>
      <c r="K151" s="47"/>
      <c r="L151" s="47"/>
      <c r="M151" s="47"/>
      <c r="N151" s="47"/>
      <c r="O151" s="47"/>
    </row>
    <row r="152" customFormat="false" ht="15" hidden="false" customHeight="true" outlineLevel="0" collapsed="false">
      <c r="A152" s="51" t="s">
        <v>20</v>
      </c>
      <c r="B152" s="51" t="s">
        <v>265</v>
      </c>
      <c r="C152" s="51" t="s">
        <v>294</v>
      </c>
      <c r="D152" s="51" t="s">
        <v>160</v>
      </c>
      <c r="E152" s="51" t="s">
        <v>267</v>
      </c>
      <c r="F152" s="51" t="n">
        <v>9</v>
      </c>
      <c r="G152" s="52" t="n">
        <v>10.05</v>
      </c>
      <c r="H152" s="52" t="n">
        <f aca="false">F152*G152</f>
        <v>90.45</v>
      </c>
      <c r="I152" s="51" t="s">
        <v>293</v>
      </c>
      <c r="J152" s="47"/>
      <c r="K152" s="47"/>
      <c r="L152" s="47"/>
      <c r="M152" s="47"/>
      <c r="N152" s="47"/>
      <c r="O152" s="47"/>
    </row>
    <row r="153" customFormat="false" ht="15" hidden="false" customHeight="true" outlineLevel="0" collapsed="false">
      <c r="A153" s="51" t="s">
        <v>20</v>
      </c>
      <c r="B153" s="51" t="s">
        <v>265</v>
      </c>
      <c r="C153" s="51" t="s">
        <v>294</v>
      </c>
      <c r="D153" s="51" t="s">
        <v>161</v>
      </c>
      <c r="E153" s="51" t="s">
        <v>267</v>
      </c>
      <c r="F153" s="51" t="n">
        <v>9</v>
      </c>
      <c r="G153" s="52" t="n">
        <v>2.07</v>
      </c>
      <c r="H153" s="52" t="n">
        <f aca="false">F153*G153</f>
        <v>18.63</v>
      </c>
      <c r="I153" s="51" t="s">
        <v>293</v>
      </c>
      <c r="J153" s="47"/>
      <c r="K153" s="47"/>
      <c r="L153" s="47"/>
      <c r="M153" s="47"/>
      <c r="N153" s="47"/>
      <c r="O153" s="47"/>
    </row>
    <row r="154" customFormat="false" ht="15" hidden="false" customHeight="true" outlineLevel="0" collapsed="false">
      <c r="A154" s="51" t="s">
        <v>20</v>
      </c>
      <c r="B154" s="51" t="s">
        <v>265</v>
      </c>
      <c r="C154" s="51" t="s">
        <v>295</v>
      </c>
      <c r="D154" s="51" t="s">
        <v>193</v>
      </c>
      <c r="E154" s="51" t="s">
        <v>267</v>
      </c>
      <c r="F154" s="51" t="n">
        <v>1</v>
      </c>
      <c r="G154" s="52" t="n">
        <v>16.56</v>
      </c>
      <c r="H154" s="52" t="n">
        <v>16.56</v>
      </c>
      <c r="I154" s="51" t="s">
        <v>300</v>
      </c>
      <c r="J154" s="47"/>
      <c r="K154" s="47"/>
      <c r="L154" s="47"/>
      <c r="M154" s="47"/>
      <c r="N154" s="47"/>
      <c r="O154" s="47"/>
    </row>
    <row r="155" customFormat="false" ht="15" hidden="false" customHeight="true" outlineLevel="0" collapsed="false">
      <c r="A155" s="51" t="s">
        <v>20</v>
      </c>
      <c r="B155" s="51" t="s">
        <v>265</v>
      </c>
      <c r="C155" s="51" t="s">
        <v>295</v>
      </c>
      <c r="D155" s="51" t="s">
        <v>194</v>
      </c>
      <c r="E155" s="51" t="s">
        <v>267</v>
      </c>
      <c r="F155" s="51" t="n">
        <v>1</v>
      </c>
      <c r="G155" s="52" t="n">
        <v>-24.36</v>
      </c>
      <c r="H155" s="52" t="n">
        <v>-24.36</v>
      </c>
      <c r="I155" s="51" t="s">
        <v>300</v>
      </c>
      <c r="J155" s="47"/>
      <c r="K155" s="47"/>
      <c r="L155" s="47"/>
      <c r="M155" s="47"/>
      <c r="N155" s="47"/>
      <c r="O155" s="47"/>
    </row>
    <row r="156" customFormat="false" ht="15" hidden="false" customHeight="true" outlineLevel="0" collapsed="false">
      <c r="A156" s="51" t="s">
        <v>20</v>
      </c>
      <c r="B156" s="51" t="s">
        <v>265</v>
      </c>
      <c r="C156" s="51" t="s">
        <v>295</v>
      </c>
      <c r="D156" s="51" t="s">
        <v>195</v>
      </c>
      <c r="E156" s="51" t="s">
        <v>267</v>
      </c>
      <c r="F156" s="51" t="n">
        <v>1</v>
      </c>
      <c r="G156" s="52" t="n">
        <v>25.81</v>
      </c>
      <c r="H156" s="52" t="n">
        <v>25.81</v>
      </c>
      <c r="I156" s="51" t="s">
        <v>300</v>
      </c>
      <c r="J156" s="47"/>
      <c r="K156" s="47"/>
      <c r="L156" s="47"/>
      <c r="M156" s="47"/>
      <c r="N156" s="47"/>
      <c r="O156" s="47"/>
    </row>
    <row r="157" customFormat="false" ht="15" hidden="false" customHeight="true" outlineLevel="0" collapsed="false">
      <c r="A157" s="51" t="s">
        <v>20</v>
      </c>
      <c r="B157" s="51" t="s">
        <v>265</v>
      </c>
      <c r="C157" s="51" t="s">
        <v>296</v>
      </c>
      <c r="D157" s="51" t="s">
        <v>191</v>
      </c>
      <c r="E157" s="51" t="s">
        <v>267</v>
      </c>
      <c r="F157" s="51" t="n">
        <v>9</v>
      </c>
      <c r="G157" s="52" t="n">
        <v>30</v>
      </c>
      <c r="H157" s="52" t="n">
        <f aca="false">F157*G157</f>
        <v>270</v>
      </c>
      <c r="I157" s="51" t="s">
        <v>293</v>
      </c>
      <c r="J157" s="47"/>
      <c r="K157" s="47"/>
      <c r="L157" s="47"/>
      <c r="M157" s="47"/>
      <c r="N157" s="47"/>
      <c r="O157" s="47"/>
    </row>
    <row r="158" customFormat="false" ht="15" hidden="false" customHeight="true" outlineLevel="0" collapsed="false">
      <c r="A158" s="51" t="s">
        <v>20</v>
      </c>
      <c r="B158" s="51" t="s">
        <v>265</v>
      </c>
      <c r="C158" s="51" t="s">
        <v>289</v>
      </c>
      <c r="D158" s="51" t="s">
        <v>190</v>
      </c>
      <c r="E158" s="51" t="s">
        <v>269</v>
      </c>
      <c r="F158" s="51" t="n">
        <v>1</v>
      </c>
      <c r="G158" s="52" t="n">
        <v>22457.37</v>
      </c>
      <c r="H158" s="52" t="n">
        <f aca="false">F158*G158</f>
        <v>22457.37</v>
      </c>
      <c r="I158" s="51" t="s">
        <v>301</v>
      </c>
      <c r="J158" s="47"/>
      <c r="K158" s="47"/>
      <c r="L158" s="47"/>
      <c r="M158" s="47"/>
      <c r="N158" s="47"/>
      <c r="O158" s="47"/>
    </row>
    <row r="159" customFormat="false" ht="15" hidden="false" customHeight="true" outlineLevel="0" collapsed="false">
      <c r="A159" s="51" t="s">
        <v>20</v>
      </c>
      <c r="B159" s="51" t="s">
        <v>265</v>
      </c>
      <c r="C159" s="51" t="s">
        <v>289</v>
      </c>
      <c r="D159" s="51" t="s">
        <v>322</v>
      </c>
      <c r="E159" s="51" t="s">
        <v>269</v>
      </c>
      <c r="F159" s="51" t="n">
        <v>1</v>
      </c>
      <c r="G159" s="52" t="n">
        <v>8440.13</v>
      </c>
      <c r="H159" s="52" t="n">
        <f aca="false">F159*G159</f>
        <v>8440.13</v>
      </c>
      <c r="I159" s="51" t="s">
        <v>323</v>
      </c>
      <c r="J159" s="47"/>
      <c r="K159" s="47"/>
      <c r="L159" s="47"/>
      <c r="M159" s="47"/>
      <c r="N159" s="47"/>
      <c r="O159" s="47"/>
    </row>
    <row r="160" customFormat="false" ht="15" hidden="false" customHeight="true" outlineLevel="0" collapsed="false">
      <c r="A160" s="51" t="s">
        <v>20</v>
      </c>
      <c r="B160" s="51" t="s">
        <v>265</v>
      </c>
      <c r="C160" s="51" t="s">
        <v>289</v>
      </c>
      <c r="D160" s="51" t="s">
        <v>291</v>
      </c>
      <c r="E160" s="51" t="s">
        <v>269</v>
      </c>
      <c r="F160" s="51" t="n">
        <v>1</v>
      </c>
      <c r="G160" s="52" t="n">
        <v>489</v>
      </c>
      <c r="H160" s="52" t="n">
        <v>489</v>
      </c>
      <c r="I160" s="51" t="s">
        <v>302</v>
      </c>
      <c r="J160" s="47"/>
      <c r="K160" s="47"/>
      <c r="L160" s="47"/>
      <c r="M160" s="47"/>
      <c r="N160" s="47"/>
      <c r="O160" s="47"/>
    </row>
    <row r="161" customFormat="false" ht="15" hidden="false" customHeight="true" outlineLevel="0" collapsed="false">
      <c r="A161" s="51" t="s">
        <v>20</v>
      </c>
      <c r="B161" s="51" t="s">
        <v>265</v>
      </c>
      <c r="C161" s="51" t="s">
        <v>289</v>
      </c>
      <c r="D161" s="51" t="s">
        <v>163</v>
      </c>
      <c r="E161" s="51" t="s">
        <v>269</v>
      </c>
      <c r="F161" s="51" t="n">
        <v>7</v>
      </c>
      <c r="G161" s="52" t="n">
        <v>28.31</v>
      </c>
      <c r="H161" s="52" t="n">
        <f aca="false">F161*G161</f>
        <v>198.17</v>
      </c>
      <c r="I161" s="51" t="s">
        <v>293</v>
      </c>
      <c r="J161" s="47"/>
      <c r="K161" s="47"/>
      <c r="L161" s="47"/>
      <c r="M161" s="47"/>
      <c r="N161" s="47"/>
      <c r="O161" s="47"/>
    </row>
    <row r="162" customFormat="false" ht="15" hidden="false" customHeight="true" outlineLevel="0" collapsed="false">
      <c r="A162" s="51" t="s">
        <v>20</v>
      </c>
      <c r="B162" s="51" t="s">
        <v>265</v>
      </c>
      <c r="C162" s="51" t="s">
        <v>289</v>
      </c>
      <c r="D162" s="51" t="s">
        <v>164</v>
      </c>
      <c r="E162" s="51" t="s">
        <v>269</v>
      </c>
      <c r="F162" s="51" t="n">
        <v>7</v>
      </c>
      <c r="G162" s="52" t="n">
        <v>47.79</v>
      </c>
      <c r="H162" s="52" t="n">
        <f aca="false">F162*G162</f>
        <v>334.53</v>
      </c>
      <c r="I162" s="51" t="s">
        <v>293</v>
      </c>
      <c r="J162" s="47"/>
      <c r="K162" s="47"/>
      <c r="L162" s="47"/>
      <c r="M162" s="47"/>
      <c r="N162" s="47"/>
      <c r="O162" s="47"/>
    </row>
    <row r="163" customFormat="false" ht="15" hidden="false" customHeight="true" outlineLevel="0" collapsed="false">
      <c r="A163" s="51" t="s">
        <v>20</v>
      </c>
      <c r="B163" s="51" t="s">
        <v>265</v>
      </c>
      <c r="C163" s="51" t="s">
        <v>44</v>
      </c>
      <c r="D163" s="51" t="s">
        <v>192</v>
      </c>
      <c r="E163" s="51" t="s">
        <v>269</v>
      </c>
      <c r="F163" s="51" t="n">
        <v>1</v>
      </c>
      <c r="G163" s="52" t="n">
        <v>67</v>
      </c>
      <c r="H163" s="52" t="n">
        <v>67</v>
      </c>
      <c r="I163" s="51" t="s">
        <v>302</v>
      </c>
      <c r="J163" s="47"/>
      <c r="K163" s="47"/>
      <c r="L163" s="47"/>
      <c r="M163" s="47"/>
      <c r="N163" s="47"/>
      <c r="O163" s="47"/>
    </row>
    <row r="164" customFormat="false" ht="15" hidden="false" customHeight="true" outlineLevel="0" collapsed="false">
      <c r="A164" s="51" t="s">
        <v>20</v>
      </c>
      <c r="B164" s="51" t="s">
        <v>265</v>
      </c>
      <c r="C164" s="51" t="s">
        <v>44</v>
      </c>
      <c r="D164" s="51" t="s">
        <v>162</v>
      </c>
      <c r="E164" s="51" t="s">
        <v>269</v>
      </c>
      <c r="F164" s="51" t="n">
        <v>7</v>
      </c>
      <c r="G164" s="52" t="n">
        <v>64.57</v>
      </c>
      <c r="H164" s="52" t="n">
        <f aca="false">F164*G164</f>
        <v>451.99</v>
      </c>
      <c r="I164" s="51" t="s">
        <v>293</v>
      </c>
      <c r="J164" s="47"/>
      <c r="K164" s="47"/>
      <c r="L164" s="47"/>
      <c r="M164" s="47"/>
      <c r="N164" s="47"/>
      <c r="O164" s="47"/>
    </row>
    <row r="165" customFormat="false" ht="15" hidden="false" customHeight="true" outlineLevel="0" collapsed="false">
      <c r="A165" s="51" t="s">
        <v>20</v>
      </c>
      <c r="B165" s="51" t="s">
        <v>265</v>
      </c>
      <c r="C165" s="51" t="s">
        <v>294</v>
      </c>
      <c r="D165" s="51" t="s">
        <v>160</v>
      </c>
      <c r="E165" s="51" t="s">
        <v>269</v>
      </c>
      <c r="F165" s="51" t="n">
        <v>7</v>
      </c>
      <c r="G165" s="52" t="n">
        <v>10.05</v>
      </c>
      <c r="H165" s="52" t="n">
        <f aca="false">F165*G165</f>
        <v>70.35</v>
      </c>
      <c r="I165" s="51" t="s">
        <v>293</v>
      </c>
      <c r="J165" s="47"/>
      <c r="K165" s="47"/>
      <c r="L165" s="47"/>
      <c r="M165" s="47"/>
      <c r="N165" s="47"/>
      <c r="O165" s="47"/>
    </row>
    <row r="166" customFormat="false" ht="15" hidden="false" customHeight="true" outlineLevel="0" collapsed="false">
      <c r="A166" s="51" t="s">
        <v>20</v>
      </c>
      <c r="B166" s="51" t="s">
        <v>265</v>
      </c>
      <c r="C166" s="51" t="s">
        <v>294</v>
      </c>
      <c r="D166" s="51" t="s">
        <v>161</v>
      </c>
      <c r="E166" s="51" t="s">
        <v>269</v>
      </c>
      <c r="F166" s="51" t="n">
        <v>7</v>
      </c>
      <c r="G166" s="52" t="n">
        <v>2.07</v>
      </c>
      <c r="H166" s="52" t="n">
        <f aca="false">F166*G166</f>
        <v>14.49</v>
      </c>
      <c r="I166" s="51" t="s">
        <v>293</v>
      </c>
      <c r="J166" s="47"/>
      <c r="K166" s="47"/>
      <c r="L166" s="47"/>
      <c r="M166" s="47"/>
      <c r="N166" s="47"/>
      <c r="O166" s="47"/>
    </row>
    <row r="167" customFormat="false" ht="15" hidden="false" customHeight="true" outlineLevel="0" collapsed="false">
      <c r="A167" s="51" t="s">
        <v>20</v>
      </c>
      <c r="B167" s="51" t="s">
        <v>265</v>
      </c>
      <c r="C167" s="51" t="s">
        <v>295</v>
      </c>
      <c r="D167" s="51" t="s">
        <v>193</v>
      </c>
      <c r="E167" s="51" t="s">
        <v>269</v>
      </c>
      <c r="F167" s="51" t="n">
        <v>1</v>
      </c>
      <c r="G167" s="52" t="n">
        <v>12.88</v>
      </c>
      <c r="H167" s="52" t="n">
        <v>12.88</v>
      </c>
      <c r="I167" s="51" t="s">
        <v>302</v>
      </c>
      <c r="J167" s="47"/>
      <c r="K167" s="47"/>
      <c r="L167" s="47"/>
      <c r="M167" s="47"/>
      <c r="N167" s="47"/>
      <c r="O167" s="47"/>
    </row>
    <row r="168" customFormat="false" ht="15" hidden="false" customHeight="true" outlineLevel="0" collapsed="false">
      <c r="A168" s="51" t="s">
        <v>20</v>
      </c>
      <c r="B168" s="51" t="s">
        <v>265</v>
      </c>
      <c r="C168" s="51" t="s">
        <v>295</v>
      </c>
      <c r="D168" s="51" t="s">
        <v>194</v>
      </c>
      <c r="E168" s="51" t="s">
        <v>269</v>
      </c>
      <c r="F168" s="51" t="n">
        <v>1</v>
      </c>
      <c r="G168" s="52" t="n">
        <v>-18.95</v>
      </c>
      <c r="H168" s="52" t="n">
        <v>-18.95</v>
      </c>
      <c r="I168" s="51" t="s">
        <v>302</v>
      </c>
      <c r="J168" s="47"/>
      <c r="K168" s="47"/>
      <c r="L168" s="47"/>
      <c r="M168" s="47"/>
      <c r="N168" s="47"/>
      <c r="O168" s="47"/>
    </row>
    <row r="169" customFormat="false" ht="15" hidden="false" customHeight="true" outlineLevel="0" collapsed="false">
      <c r="A169" s="51" t="s">
        <v>20</v>
      </c>
      <c r="B169" s="51" t="s">
        <v>265</v>
      </c>
      <c r="C169" s="51" t="s">
        <v>295</v>
      </c>
      <c r="D169" s="51" t="s">
        <v>195</v>
      </c>
      <c r="E169" s="51" t="s">
        <v>269</v>
      </c>
      <c r="F169" s="51" t="n">
        <v>1</v>
      </c>
      <c r="G169" s="52" t="n">
        <v>20.07</v>
      </c>
      <c r="H169" s="52" t="n">
        <v>20.07</v>
      </c>
      <c r="I169" s="51" t="s">
        <v>302</v>
      </c>
      <c r="J169" s="47"/>
      <c r="K169" s="47"/>
      <c r="L169" s="47"/>
      <c r="M169" s="47"/>
      <c r="N169" s="47"/>
      <c r="O169" s="47"/>
    </row>
    <row r="170" customFormat="false" ht="15" hidden="false" customHeight="true" outlineLevel="0" collapsed="false">
      <c r="A170" s="51" t="s">
        <v>20</v>
      </c>
      <c r="B170" s="51" t="s">
        <v>265</v>
      </c>
      <c r="C170" s="51" t="s">
        <v>296</v>
      </c>
      <c r="D170" s="51" t="s">
        <v>191</v>
      </c>
      <c r="E170" s="51" t="s">
        <v>269</v>
      </c>
      <c r="F170" s="51" t="n">
        <v>7</v>
      </c>
      <c r="G170" s="52" t="n">
        <v>30</v>
      </c>
      <c r="H170" s="52" t="n">
        <f aca="false">F170*G170</f>
        <v>210</v>
      </c>
      <c r="I170" s="51" t="s">
        <v>293</v>
      </c>
      <c r="J170" s="47"/>
      <c r="K170" s="47"/>
      <c r="L170" s="47"/>
      <c r="M170" s="47"/>
      <c r="N170" s="47"/>
      <c r="O170" s="47"/>
    </row>
    <row r="171" customFormat="false" ht="15" hidden="false" customHeight="true" outlineLevel="0" collapsed="false">
      <c r="A171" s="51" t="s">
        <v>20</v>
      </c>
      <c r="B171" s="51" t="s">
        <v>265</v>
      </c>
      <c r="C171" s="51" t="s">
        <v>318</v>
      </c>
      <c r="D171" s="51" t="s">
        <v>319</v>
      </c>
      <c r="E171" s="51" t="s">
        <v>269</v>
      </c>
      <c r="F171" s="51" t="n">
        <v>1</v>
      </c>
      <c r="G171" s="52" t="n">
        <v>50</v>
      </c>
      <c r="H171" s="52" t="n">
        <f aca="false">F171*G171</f>
        <v>50</v>
      </c>
      <c r="I171" s="51" t="s">
        <v>320</v>
      </c>
      <c r="J171" s="47"/>
      <c r="K171" s="47"/>
      <c r="L171" s="47"/>
      <c r="M171" s="47"/>
      <c r="N171" s="47"/>
      <c r="O171" s="47"/>
    </row>
    <row r="172" customFormat="false" ht="15" hidden="false" customHeight="true" outlineLevel="0" collapsed="false">
      <c r="A172" s="51" t="s">
        <v>20</v>
      </c>
      <c r="B172" s="51" t="s">
        <v>265</v>
      </c>
      <c r="C172" s="51" t="s">
        <v>297</v>
      </c>
      <c r="D172" s="51" t="s">
        <v>196</v>
      </c>
      <c r="E172" s="51" t="s">
        <v>269</v>
      </c>
      <c r="F172" s="51" t="n">
        <v>1</v>
      </c>
      <c r="G172" s="52" t="n">
        <v>1265.26</v>
      </c>
      <c r="H172" s="52" t="n">
        <f aca="false">F172*G172</f>
        <v>1265.26</v>
      </c>
      <c r="I172" s="51" t="s">
        <v>303</v>
      </c>
      <c r="J172" s="47"/>
      <c r="K172" s="47"/>
      <c r="L172" s="47"/>
      <c r="M172" s="47"/>
      <c r="N172" s="47"/>
      <c r="O172" s="47"/>
    </row>
    <row r="173" customFormat="false" ht="15" hidden="false" customHeight="true" outlineLevel="0" collapsed="false">
      <c r="A173" s="51" t="s">
        <v>20</v>
      </c>
      <c r="B173" s="51" t="s">
        <v>265</v>
      </c>
      <c r="C173" s="51" t="s">
        <v>289</v>
      </c>
      <c r="D173" s="51" t="s">
        <v>190</v>
      </c>
      <c r="E173" s="51" t="s">
        <v>270</v>
      </c>
      <c r="F173" s="51" t="n">
        <v>1</v>
      </c>
      <c r="G173" s="52" t="n">
        <v>23583.3694666667</v>
      </c>
      <c r="H173" s="52" t="n">
        <f aca="false">F173*G173</f>
        <v>23583.3694666667</v>
      </c>
      <c r="I173" s="51" t="s">
        <v>324</v>
      </c>
      <c r="J173" s="47"/>
      <c r="K173" s="47"/>
      <c r="L173" s="47"/>
      <c r="M173" s="47"/>
      <c r="N173" s="47"/>
      <c r="O173" s="47"/>
    </row>
    <row r="174" customFormat="false" ht="15" hidden="false" customHeight="true" outlineLevel="0" collapsed="false">
      <c r="A174" s="51" t="s">
        <v>20</v>
      </c>
      <c r="B174" s="51" t="s">
        <v>265</v>
      </c>
      <c r="C174" s="51" t="s">
        <v>289</v>
      </c>
      <c r="D174" s="51" t="s">
        <v>291</v>
      </c>
      <c r="E174" s="51" t="s">
        <v>270</v>
      </c>
      <c r="F174" s="51" t="n">
        <v>1</v>
      </c>
      <c r="G174" s="52" t="n">
        <v>768.43</v>
      </c>
      <c r="H174" s="52" t="n">
        <v>768.43</v>
      </c>
      <c r="I174" s="51" t="s">
        <v>305</v>
      </c>
      <c r="J174" s="47"/>
      <c r="K174" s="47"/>
      <c r="L174" s="47"/>
      <c r="M174" s="47"/>
      <c r="N174" s="47"/>
      <c r="O174" s="47"/>
    </row>
    <row r="175" customFormat="false" ht="15" hidden="false" customHeight="true" outlineLevel="0" collapsed="false">
      <c r="A175" s="51" t="s">
        <v>20</v>
      </c>
      <c r="B175" s="51" t="s">
        <v>265</v>
      </c>
      <c r="C175" s="51" t="s">
        <v>289</v>
      </c>
      <c r="D175" s="51" t="s">
        <v>163</v>
      </c>
      <c r="E175" s="51" t="s">
        <v>270</v>
      </c>
      <c r="F175" s="51" t="n">
        <v>11</v>
      </c>
      <c r="G175" s="52" t="n">
        <v>28.31</v>
      </c>
      <c r="H175" s="52" t="n">
        <f aca="false">F175*G175</f>
        <v>311.41</v>
      </c>
      <c r="I175" s="51" t="s">
        <v>293</v>
      </c>
      <c r="J175" s="47"/>
      <c r="K175" s="47"/>
      <c r="L175" s="47"/>
      <c r="M175" s="47"/>
      <c r="N175" s="47"/>
      <c r="O175" s="47"/>
    </row>
    <row r="176" customFormat="false" ht="15" hidden="false" customHeight="true" outlineLevel="0" collapsed="false">
      <c r="A176" s="51" t="s">
        <v>20</v>
      </c>
      <c r="B176" s="51" t="s">
        <v>265</v>
      </c>
      <c r="C176" s="51" t="s">
        <v>289</v>
      </c>
      <c r="D176" s="51" t="s">
        <v>164</v>
      </c>
      <c r="E176" s="51" t="s">
        <v>270</v>
      </c>
      <c r="F176" s="51" t="n">
        <v>11</v>
      </c>
      <c r="G176" s="52" t="n">
        <v>47.79</v>
      </c>
      <c r="H176" s="52" t="n">
        <f aca="false">F176*G176</f>
        <v>525.69</v>
      </c>
      <c r="I176" s="51" t="s">
        <v>293</v>
      </c>
      <c r="J176" s="47"/>
      <c r="K176" s="47"/>
      <c r="L176" s="47"/>
      <c r="M176" s="47"/>
      <c r="N176" s="47"/>
      <c r="O176" s="47"/>
    </row>
    <row r="177" customFormat="false" ht="15" hidden="false" customHeight="true" outlineLevel="0" collapsed="false">
      <c r="A177" s="51" t="s">
        <v>20</v>
      </c>
      <c r="B177" s="51" t="s">
        <v>265</v>
      </c>
      <c r="C177" s="51" t="s">
        <v>44</v>
      </c>
      <c r="D177" s="51" t="s">
        <v>192</v>
      </c>
      <c r="E177" s="51" t="s">
        <v>270</v>
      </c>
      <c r="F177" s="51" t="n">
        <v>1</v>
      </c>
      <c r="G177" s="52" t="n">
        <v>105.29</v>
      </c>
      <c r="H177" s="52" t="n">
        <v>105.29</v>
      </c>
      <c r="I177" s="51" t="s">
        <v>305</v>
      </c>
      <c r="J177" s="47"/>
      <c r="K177" s="47"/>
      <c r="L177" s="47"/>
      <c r="M177" s="47"/>
      <c r="N177" s="47"/>
      <c r="O177" s="47"/>
    </row>
    <row r="178" customFormat="false" ht="15" hidden="false" customHeight="true" outlineLevel="0" collapsed="false">
      <c r="A178" s="51" t="s">
        <v>20</v>
      </c>
      <c r="B178" s="51" t="s">
        <v>265</v>
      </c>
      <c r="C178" s="51" t="s">
        <v>44</v>
      </c>
      <c r="D178" s="51" t="s">
        <v>162</v>
      </c>
      <c r="E178" s="51" t="s">
        <v>270</v>
      </c>
      <c r="F178" s="51" t="n">
        <v>11</v>
      </c>
      <c r="G178" s="52" t="n">
        <v>64.57</v>
      </c>
      <c r="H178" s="52" t="n">
        <f aca="false">F178*G178</f>
        <v>710.27</v>
      </c>
      <c r="I178" s="51" t="s">
        <v>293</v>
      </c>
      <c r="J178" s="47"/>
      <c r="K178" s="47"/>
      <c r="L178" s="47"/>
      <c r="M178" s="47"/>
      <c r="N178" s="47"/>
      <c r="O178" s="47"/>
    </row>
    <row r="179" customFormat="false" ht="15" hidden="false" customHeight="true" outlineLevel="0" collapsed="false">
      <c r="A179" s="51" t="s">
        <v>20</v>
      </c>
      <c r="B179" s="51" t="s">
        <v>265</v>
      </c>
      <c r="C179" s="51" t="s">
        <v>294</v>
      </c>
      <c r="D179" s="51" t="s">
        <v>160</v>
      </c>
      <c r="E179" s="51" t="s">
        <v>270</v>
      </c>
      <c r="F179" s="51" t="n">
        <v>11</v>
      </c>
      <c r="G179" s="52" t="n">
        <v>10.05</v>
      </c>
      <c r="H179" s="52" t="n">
        <f aca="false">F179*G179</f>
        <v>110.55</v>
      </c>
      <c r="I179" s="51" t="s">
        <v>293</v>
      </c>
      <c r="J179" s="47"/>
      <c r="K179" s="47"/>
      <c r="L179" s="47"/>
      <c r="M179" s="47"/>
      <c r="N179" s="47"/>
      <c r="O179" s="47"/>
    </row>
    <row r="180" customFormat="false" ht="15" hidden="false" customHeight="true" outlineLevel="0" collapsed="false">
      <c r="A180" s="51" t="s">
        <v>20</v>
      </c>
      <c r="B180" s="51" t="s">
        <v>265</v>
      </c>
      <c r="C180" s="51" t="s">
        <v>294</v>
      </c>
      <c r="D180" s="51" t="s">
        <v>161</v>
      </c>
      <c r="E180" s="51" t="s">
        <v>270</v>
      </c>
      <c r="F180" s="51" t="n">
        <v>11</v>
      </c>
      <c r="G180" s="52" t="n">
        <v>2.07</v>
      </c>
      <c r="H180" s="52" t="n">
        <f aca="false">F180*G180</f>
        <v>22.77</v>
      </c>
      <c r="I180" s="51" t="s">
        <v>293</v>
      </c>
      <c r="J180" s="47"/>
      <c r="K180" s="47"/>
      <c r="L180" s="47"/>
      <c r="M180" s="47"/>
      <c r="N180" s="47"/>
      <c r="O180" s="47"/>
    </row>
    <row r="181" customFormat="false" ht="15" hidden="false" customHeight="true" outlineLevel="0" collapsed="false">
      <c r="A181" s="51" t="s">
        <v>20</v>
      </c>
      <c r="B181" s="51" t="s">
        <v>265</v>
      </c>
      <c r="C181" s="51" t="s">
        <v>295</v>
      </c>
      <c r="D181" s="51" t="s">
        <v>193</v>
      </c>
      <c r="E181" s="51" t="s">
        <v>270</v>
      </c>
      <c r="F181" s="51" t="n">
        <v>1</v>
      </c>
      <c r="G181" s="52" t="n">
        <v>20.25</v>
      </c>
      <c r="H181" s="52" t="n">
        <v>20.25</v>
      </c>
      <c r="I181" s="51" t="s">
        <v>305</v>
      </c>
      <c r="J181" s="47"/>
      <c r="K181" s="47"/>
      <c r="L181" s="47"/>
      <c r="M181" s="47"/>
      <c r="N181" s="47"/>
      <c r="O181" s="47"/>
    </row>
    <row r="182" customFormat="false" ht="15" hidden="false" customHeight="true" outlineLevel="0" collapsed="false">
      <c r="A182" s="51" t="s">
        <v>20</v>
      </c>
      <c r="B182" s="51" t="s">
        <v>265</v>
      </c>
      <c r="C182" s="51" t="s">
        <v>295</v>
      </c>
      <c r="D182" s="51" t="s">
        <v>194</v>
      </c>
      <c r="E182" s="51" t="s">
        <v>270</v>
      </c>
      <c r="F182" s="51" t="n">
        <v>1</v>
      </c>
      <c r="G182" s="52" t="n">
        <v>-29.77</v>
      </c>
      <c r="H182" s="52" t="n">
        <v>-29.77</v>
      </c>
      <c r="I182" s="51" t="s">
        <v>305</v>
      </c>
      <c r="J182" s="47"/>
      <c r="K182" s="47"/>
      <c r="L182" s="47"/>
      <c r="M182" s="47"/>
      <c r="N182" s="47"/>
      <c r="O182" s="47"/>
    </row>
    <row r="183" customFormat="false" ht="15" hidden="false" customHeight="true" outlineLevel="0" collapsed="false">
      <c r="A183" s="51" t="s">
        <v>20</v>
      </c>
      <c r="B183" s="51" t="s">
        <v>265</v>
      </c>
      <c r="C183" s="51" t="s">
        <v>295</v>
      </c>
      <c r="D183" s="51" t="s">
        <v>195</v>
      </c>
      <c r="E183" s="51" t="s">
        <v>270</v>
      </c>
      <c r="F183" s="51" t="n">
        <v>1</v>
      </c>
      <c r="G183" s="52" t="n">
        <v>31.55</v>
      </c>
      <c r="H183" s="52" t="n">
        <v>31.55</v>
      </c>
      <c r="I183" s="51" t="s">
        <v>305</v>
      </c>
      <c r="J183" s="47"/>
      <c r="K183" s="47"/>
      <c r="L183" s="47"/>
      <c r="M183" s="47"/>
      <c r="N183" s="47"/>
      <c r="O183" s="47"/>
    </row>
    <row r="184" customFormat="false" ht="15" hidden="false" customHeight="true" outlineLevel="0" collapsed="false">
      <c r="A184" s="51" t="s">
        <v>20</v>
      </c>
      <c r="B184" s="51" t="s">
        <v>265</v>
      </c>
      <c r="C184" s="51" t="s">
        <v>296</v>
      </c>
      <c r="D184" s="51" t="s">
        <v>191</v>
      </c>
      <c r="E184" s="51" t="s">
        <v>270</v>
      </c>
      <c r="F184" s="51" t="n">
        <v>11</v>
      </c>
      <c r="G184" s="52" t="n">
        <v>30</v>
      </c>
      <c r="H184" s="52" t="n">
        <f aca="false">F184*G184</f>
        <v>330</v>
      </c>
      <c r="I184" s="51" t="s">
        <v>293</v>
      </c>
      <c r="J184" s="47"/>
      <c r="K184" s="47"/>
      <c r="L184" s="47"/>
      <c r="M184" s="47"/>
      <c r="N184" s="47"/>
      <c r="O184" s="47"/>
    </row>
    <row r="185" customFormat="false" ht="15" hidden="false" customHeight="true" outlineLevel="0" collapsed="false">
      <c r="A185" s="51" t="s">
        <v>20</v>
      </c>
      <c r="B185" s="51" t="s">
        <v>265</v>
      </c>
      <c r="C185" s="51" t="s">
        <v>318</v>
      </c>
      <c r="D185" s="51" t="s">
        <v>319</v>
      </c>
      <c r="E185" s="51" t="s">
        <v>270</v>
      </c>
      <c r="F185" s="51" t="n">
        <v>2</v>
      </c>
      <c r="G185" s="52" t="n">
        <v>50</v>
      </c>
      <c r="H185" s="52" t="n">
        <f aca="false">F185*G185</f>
        <v>100</v>
      </c>
      <c r="I185" s="51" t="s">
        <v>320</v>
      </c>
      <c r="J185" s="47"/>
      <c r="K185" s="47"/>
      <c r="L185" s="47"/>
      <c r="M185" s="47"/>
      <c r="N185" s="47"/>
      <c r="O185" s="47"/>
    </row>
    <row r="186" customFormat="false" ht="15" hidden="false" customHeight="true" outlineLevel="0" collapsed="false">
      <c r="A186" s="51" t="s">
        <v>20</v>
      </c>
      <c r="B186" s="51" t="s">
        <v>265</v>
      </c>
      <c r="C186" s="51" t="s">
        <v>297</v>
      </c>
      <c r="D186" s="51" t="s">
        <v>196</v>
      </c>
      <c r="E186" s="51" t="s">
        <v>270</v>
      </c>
      <c r="F186" s="51" t="n">
        <v>1</v>
      </c>
      <c r="G186" s="52" t="n">
        <v>0</v>
      </c>
      <c r="H186" s="52" t="n">
        <f aca="false">F186*G186</f>
        <v>0</v>
      </c>
      <c r="I186" s="51" t="s">
        <v>325</v>
      </c>
      <c r="J186" s="47"/>
      <c r="K186" s="47"/>
      <c r="L186" s="47"/>
      <c r="M186" s="47"/>
      <c r="N186" s="47"/>
      <c r="O186" s="47"/>
    </row>
    <row r="187" customFormat="false" ht="15" hidden="false" customHeight="true" outlineLevel="0" collapsed="false">
      <c r="A187" s="51" t="s">
        <v>20</v>
      </c>
      <c r="B187" s="51" t="s">
        <v>272</v>
      </c>
      <c r="C187" s="51" t="s">
        <v>289</v>
      </c>
      <c r="D187" s="51" t="s">
        <v>190</v>
      </c>
      <c r="E187" s="51" t="s">
        <v>270</v>
      </c>
      <c r="F187" s="51" t="n">
        <v>1</v>
      </c>
      <c r="G187" s="52" t="n">
        <v>2735.78</v>
      </c>
      <c r="H187" s="52" t="n">
        <f aca="false">F187*G187</f>
        <v>2735.78</v>
      </c>
      <c r="I187" s="51" t="s">
        <v>307</v>
      </c>
      <c r="J187" s="47"/>
      <c r="K187" s="47"/>
      <c r="L187" s="47"/>
      <c r="M187" s="47"/>
      <c r="N187" s="47"/>
      <c r="O187" s="47"/>
    </row>
    <row r="188" customFormat="false" ht="15" hidden="false" customHeight="true" outlineLevel="0" collapsed="false">
      <c r="A188" s="51" t="s">
        <v>20</v>
      </c>
      <c r="B188" s="51" t="s">
        <v>272</v>
      </c>
      <c r="C188" s="51" t="s">
        <v>289</v>
      </c>
      <c r="D188" s="51" t="s">
        <v>322</v>
      </c>
      <c r="E188" s="51" t="s">
        <v>270</v>
      </c>
      <c r="F188" s="51" t="n">
        <v>1</v>
      </c>
      <c r="G188" s="52" t="n">
        <v>24565.95</v>
      </c>
      <c r="H188" s="52" t="n">
        <f aca="false">F188*G188</f>
        <v>24565.95</v>
      </c>
      <c r="I188" s="51" t="s">
        <v>323</v>
      </c>
      <c r="J188" s="47"/>
      <c r="K188" s="47"/>
      <c r="L188" s="47"/>
      <c r="M188" s="47"/>
      <c r="N188" s="47"/>
      <c r="O188" s="47"/>
    </row>
    <row r="189" customFormat="false" ht="15" hidden="false" customHeight="true" outlineLevel="0" collapsed="false">
      <c r="A189" s="51" t="s">
        <v>20</v>
      </c>
      <c r="B189" s="51" t="s">
        <v>272</v>
      </c>
      <c r="C189" s="51" t="s">
        <v>289</v>
      </c>
      <c r="D189" s="51" t="s">
        <v>163</v>
      </c>
      <c r="E189" s="51" t="s">
        <v>270</v>
      </c>
      <c r="F189" s="51" t="n">
        <v>2</v>
      </c>
      <c r="G189" s="52" t="n">
        <v>28.31</v>
      </c>
      <c r="H189" s="52" t="n">
        <f aca="false">F189*G189</f>
        <v>56.62</v>
      </c>
      <c r="I189" s="51" t="s">
        <v>293</v>
      </c>
      <c r="J189" s="47"/>
      <c r="K189" s="47"/>
      <c r="L189" s="47"/>
      <c r="M189" s="47"/>
      <c r="N189" s="47"/>
      <c r="O189" s="47"/>
    </row>
    <row r="190" customFormat="false" ht="15" hidden="false" customHeight="true" outlineLevel="0" collapsed="false">
      <c r="A190" s="51" t="s">
        <v>20</v>
      </c>
      <c r="B190" s="51" t="s">
        <v>272</v>
      </c>
      <c r="C190" s="51" t="s">
        <v>289</v>
      </c>
      <c r="D190" s="51" t="s">
        <v>164</v>
      </c>
      <c r="E190" s="51" t="s">
        <v>270</v>
      </c>
      <c r="F190" s="51" t="n">
        <v>2</v>
      </c>
      <c r="G190" s="52" t="n">
        <v>47.79</v>
      </c>
      <c r="H190" s="52" t="n">
        <f aca="false">F190*G190</f>
        <v>95.58</v>
      </c>
      <c r="I190" s="51" t="s">
        <v>293</v>
      </c>
      <c r="J190" s="47"/>
      <c r="K190" s="47"/>
      <c r="L190" s="47"/>
      <c r="M190" s="47"/>
      <c r="N190" s="47"/>
      <c r="O190" s="47"/>
    </row>
    <row r="191" customFormat="false" ht="15" hidden="false" customHeight="true" outlineLevel="0" collapsed="false">
      <c r="A191" s="51" t="s">
        <v>20</v>
      </c>
      <c r="B191" s="51" t="s">
        <v>272</v>
      </c>
      <c r="C191" s="51" t="s">
        <v>44</v>
      </c>
      <c r="D191" s="51" t="s">
        <v>162</v>
      </c>
      <c r="E191" s="51" t="s">
        <v>270</v>
      </c>
      <c r="F191" s="51" t="n">
        <v>2</v>
      </c>
      <c r="G191" s="52" t="n">
        <v>64.57</v>
      </c>
      <c r="H191" s="52" t="n">
        <f aca="false">F191*G191</f>
        <v>129.14</v>
      </c>
      <c r="I191" s="51" t="s">
        <v>293</v>
      </c>
      <c r="J191" s="47"/>
      <c r="K191" s="47"/>
      <c r="L191" s="47"/>
      <c r="M191" s="47"/>
      <c r="N191" s="47"/>
      <c r="O191" s="47"/>
    </row>
    <row r="192" customFormat="false" ht="15" hidden="false" customHeight="true" outlineLevel="0" collapsed="false">
      <c r="A192" s="51" t="s">
        <v>20</v>
      </c>
      <c r="B192" s="51" t="s">
        <v>272</v>
      </c>
      <c r="C192" s="51" t="s">
        <v>294</v>
      </c>
      <c r="D192" s="51" t="s">
        <v>160</v>
      </c>
      <c r="E192" s="51" t="s">
        <v>270</v>
      </c>
      <c r="F192" s="51" t="n">
        <v>2</v>
      </c>
      <c r="G192" s="52" t="n">
        <v>10.05</v>
      </c>
      <c r="H192" s="52" t="n">
        <f aca="false">F192*G192</f>
        <v>20.1</v>
      </c>
      <c r="I192" s="51" t="s">
        <v>293</v>
      </c>
      <c r="J192" s="47"/>
      <c r="K192" s="47"/>
      <c r="L192" s="47"/>
      <c r="M192" s="47"/>
      <c r="N192" s="47"/>
      <c r="O192" s="47"/>
    </row>
    <row r="193" customFormat="false" ht="15" hidden="false" customHeight="true" outlineLevel="0" collapsed="false">
      <c r="A193" s="51" t="s">
        <v>20</v>
      </c>
      <c r="B193" s="51" t="s">
        <v>272</v>
      </c>
      <c r="C193" s="51" t="s">
        <v>294</v>
      </c>
      <c r="D193" s="51" t="s">
        <v>161</v>
      </c>
      <c r="E193" s="51" t="s">
        <v>270</v>
      </c>
      <c r="F193" s="51" t="n">
        <v>2</v>
      </c>
      <c r="G193" s="52" t="n">
        <v>2.07</v>
      </c>
      <c r="H193" s="52" t="n">
        <f aca="false">F193*G193</f>
        <v>4.14</v>
      </c>
      <c r="I193" s="51" t="s">
        <v>293</v>
      </c>
      <c r="J193" s="47"/>
      <c r="K193" s="47"/>
      <c r="L193" s="47"/>
      <c r="M193" s="47"/>
      <c r="N193" s="47"/>
      <c r="O193" s="47"/>
    </row>
    <row r="194" customFormat="false" ht="15" hidden="false" customHeight="true" outlineLevel="0" collapsed="false">
      <c r="A194" s="51" t="s">
        <v>20</v>
      </c>
      <c r="B194" s="51" t="s">
        <v>272</v>
      </c>
      <c r="C194" s="51" t="s">
        <v>295</v>
      </c>
      <c r="D194" s="51" t="s">
        <v>326</v>
      </c>
      <c r="E194" s="51" t="s">
        <v>270</v>
      </c>
      <c r="F194" s="51" t="n">
        <v>1</v>
      </c>
      <c r="G194" s="52" t="n">
        <v>-494.68</v>
      </c>
      <c r="H194" s="52" t="n">
        <f aca="false">F194*G194</f>
        <v>-494.68</v>
      </c>
      <c r="I194" s="51" t="s">
        <v>327</v>
      </c>
      <c r="J194" s="47"/>
      <c r="K194" s="47"/>
      <c r="L194" s="47"/>
      <c r="M194" s="47"/>
      <c r="N194" s="47"/>
      <c r="O194" s="47"/>
    </row>
    <row r="195" customFormat="false" ht="15" hidden="false" customHeight="true" outlineLevel="0" collapsed="false">
      <c r="A195" s="51" t="s">
        <v>20</v>
      </c>
      <c r="B195" s="51" t="s">
        <v>272</v>
      </c>
      <c r="C195" s="51" t="s">
        <v>296</v>
      </c>
      <c r="D195" s="51" t="s">
        <v>191</v>
      </c>
      <c r="E195" s="51" t="s">
        <v>270</v>
      </c>
      <c r="F195" s="51" t="n">
        <v>2</v>
      </c>
      <c r="G195" s="52" t="n">
        <v>30</v>
      </c>
      <c r="H195" s="52" t="n">
        <f aca="false">F195*G195</f>
        <v>60</v>
      </c>
      <c r="I195" s="51" t="s">
        <v>293</v>
      </c>
      <c r="J195" s="47"/>
      <c r="K195" s="47"/>
      <c r="L195" s="47"/>
      <c r="M195" s="47"/>
      <c r="N195" s="47"/>
      <c r="O195" s="47"/>
    </row>
    <row r="196" customFormat="false" ht="14.25" hidden="false" customHeight="true" outlineLevel="0" collapsed="false">
      <c r="A196" s="51" t="s">
        <v>20</v>
      </c>
      <c r="B196" s="51" t="s">
        <v>272</v>
      </c>
      <c r="C196" s="51" t="s">
        <v>318</v>
      </c>
      <c r="D196" s="51" t="s">
        <v>328</v>
      </c>
      <c r="E196" s="51" t="s">
        <v>270</v>
      </c>
      <c r="F196" s="51" t="n">
        <v>1</v>
      </c>
      <c r="G196" s="52" t="n">
        <v>50</v>
      </c>
      <c r="H196" s="52" t="n">
        <f aca="false">F196*G196</f>
        <v>50</v>
      </c>
      <c r="I196" s="51" t="s">
        <v>320</v>
      </c>
      <c r="J196" s="47"/>
      <c r="K196" s="47"/>
      <c r="L196" s="47"/>
      <c r="M196" s="47"/>
      <c r="N196" s="47"/>
      <c r="O196" s="47"/>
    </row>
    <row r="197" customFormat="false" ht="14.25" hidden="false" customHeight="true" outlineLevel="0" collapsed="false">
      <c r="A197" s="51" t="s">
        <v>20</v>
      </c>
      <c r="B197" s="51" t="s">
        <v>272</v>
      </c>
      <c r="C197" s="51" t="s">
        <v>297</v>
      </c>
      <c r="D197" s="51" t="s">
        <v>196</v>
      </c>
      <c r="E197" s="51" t="s">
        <v>270</v>
      </c>
      <c r="F197" s="51" t="n">
        <v>1</v>
      </c>
      <c r="G197" s="52" t="n">
        <v>1287.4</v>
      </c>
      <c r="H197" s="52" t="n">
        <f aca="false">F197*G197</f>
        <v>1287.4</v>
      </c>
      <c r="I197" s="51" t="s">
        <v>303</v>
      </c>
      <c r="J197" s="47"/>
      <c r="K197" s="47"/>
      <c r="L197" s="47"/>
      <c r="M197" s="47"/>
      <c r="N197" s="47"/>
      <c r="O197" s="47"/>
    </row>
    <row r="198" customFormat="false" ht="14.25" hidden="false" customHeight="true" outlineLevel="0" collapsed="false">
      <c r="A198" s="51" t="s">
        <v>20</v>
      </c>
      <c r="B198" s="51" t="s">
        <v>265</v>
      </c>
      <c r="C198" s="51" t="s">
        <v>289</v>
      </c>
      <c r="D198" s="51" t="s">
        <v>190</v>
      </c>
      <c r="E198" s="51" t="s">
        <v>273</v>
      </c>
      <c r="F198" s="51" t="n">
        <v>1</v>
      </c>
      <c r="G198" s="52" t="n">
        <v>66963.9794666667</v>
      </c>
      <c r="H198" s="52" t="n">
        <f aca="false">F198*G198</f>
        <v>66963.9794666667</v>
      </c>
      <c r="I198" s="51" t="s">
        <v>329</v>
      </c>
      <c r="J198" s="47"/>
      <c r="K198" s="47"/>
      <c r="L198" s="47"/>
      <c r="M198" s="47"/>
      <c r="N198" s="47"/>
      <c r="O198" s="47"/>
    </row>
    <row r="199" customFormat="false" ht="14.25" hidden="false" customHeight="true" outlineLevel="0" collapsed="false">
      <c r="A199" s="51" t="s">
        <v>20</v>
      </c>
      <c r="B199" s="51" t="s">
        <v>265</v>
      </c>
      <c r="C199" s="51" t="s">
        <v>289</v>
      </c>
      <c r="D199" s="51" t="s">
        <v>322</v>
      </c>
      <c r="E199" s="51" t="s">
        <v>273</v>
      </c>
      <c r="F199" s="51" t="n">
        <v>1</v>
      </c>
      <c r="G199" s="52" t="n">
        <v>1969.06</v>
      </c>
      <c r="H199" s="52" t="n">
        <f aca="false">F199*G199</f>
        <v>1969.06</v>
      </c>
      <c r="I199" s="51" t="s">
        <v>323</v>
      </c>
      <c r="J199" s="47"/>
      <c r="K199" s="47"/>
      <c r="L199" s="47"/>
      <c r="M199" s="47"/>
      <c r="N199" s="47"/>
      <c r="O199" s="47"/>
    </row>
    <row r="200" customFormat="false" ht="15" hidden="false" customHeight="true" outlineLevel="0" collapsed="false">
      <c r="A200" s="51" t="s">
        <v>20</v>
      </c>
      <c r="B200" s="51" t="s">
        <v>265</v>
      </c>
      <c r="C200" s="51" t="s">
        <v>289</v>
      </c>
      <c r="D200" s="51" t="s">
        <v>291</v>
      </c>
      <c r="E200" s="51" t="s">
        <v>273</v>
      </c>
      <c r="F200" s="51" t="n">
        <v>1</v>
      </c>
      <c r="G200" s="52" t="n">
        <v>1257.43</v>
      </c>
      <c r="H200" s="52" t="n">
        <v>1257.43</v>
      </c>
      <c r="I200" s="51" t="s">
        <v>309</v>
      </c>
      <c r="J200" s="47"/>
      <c r="K200" s="47"/>
      <c r="L200" s="47"/>
      <c r="M200" s="47"/>
      <c r="N200" s="47"/>
      <c r="O200" s="47"/>
    </row>
    <row r="201" customFormat="false" ht="15" hidden="false" customHeight="true" outlineLevel="0" collapsed="false">
      <c r="A201" s="51" t="s">
        <v>20</v>
      </c>
      <c r="B201" s="51" t="s">
        <v>265</v>
      </c>
      <c r="C201" s="51" t="s">
        <v>289</v>
      </c>
      <c r="D201" s="51" t="s">
        <v>163</v>
      </c>
      <c r="E201" s="51" t="s">
        <v>273</v>
      </c>
      <c r="F201" s="51" t="n">
        <v>18</v>
      </c>
      <c r="G201" s="52" t="n">
        <v>28.31</v>
      </c>
      <c r="H201" s="52" t="n">
        <f aca="false">F201*G201</f>
        <v>509.58</v>
      </c>
      <c r="I201" s="51" t="s">
        <v>293</v>
      </c>
      <c r="J201" s="47"/>
      <c r="K201" s="47"/>
      <c r="L201" s="47"/>
      <c r="M201" s="47"/>
      <c r="N201" s="47"/>
      <c r="O201" s="47"/>
    </row>
    <row r="202" customFormat="false" ht="14.25" hidden="false" customHeight="true" outlineLevel="0" collapsed="false">
      <c r="A202" s="51" t="s">
        <v>20</v>
      </c>
      <c r="B202" s="51" t="s">
        <v>265</v>
      </c>
      <c r="C202" s="51" t="s">
        <v>289</v>
      </c>
      <c r="D202" s="51" t="s">
        <v>164</v>
      </c>
      <c r="E202" s="51" t="s">
        <v>273</v>
      </c>
      <c r="F202" s="51" t="n">
        <v>18</v>
      </c>
      <c r="G202" s="52" t="n">
        <v>47.79</v>
      </c>
      <c r="H202" s="52" t="n">
        <f aca="false">F202*G202</f>
        <v>860.22</v>
      </c>
      <c r="I202" s="51" t="s">
        <v>293</v>
      </c>
      <c r="J202" s="47"/>
      <c r="K202" s="47"/>
      <c r="L202" s="47"/>
      <c r="M202" s="47"/>
      <c r="N202" s="47"/>
      <c r="O202" s="47"/>
    </row>
    <row r="203" customFormat="false" ht="14.25" hidden="false" customHeight="true" outlineLevel="0" collapsed="false">
      <c r="A203" s="51" t="s">
        <v>20</v>
      </c>
      <c r="B203" s="51" t="s">
        <v>265</v>
      </c>
      <c r="C203" s="51" t="s">
        <v>44</v>
      </c>
      <c r="D203" s="51" t="s">
        <v>192</v>
      </c>
      <c r="E203" s="51" t="s">
        <v>273</v>
      </c>
      <c r="F203" s="51" t="n">
        <v>1</v>
      </c>
      <c r="G203" s="52" t="n">
        <v>172.29</v>
      </c>
      <c r="H203" s="52" t="n">
        <v>172.29</v>
      </c>
      <c r="I203" s="51" t="s">
        <v>309</v>
      </c>
      <c r="J203" s="47"/>
      <c r="K203" s="47"/>
      <c r="L203" s="47"/>
      <c r="M203" s="47"/>
      <c r="N203" s="47"/>
      <c r="O203" s="47"/>
    </row>
    <row r="204" customFormat="false" ht="14.25" hidden="false" customHeight="true" outlineLevel="0" collapsed="false">
      <c r="A204" s="51" t="s">
        <v>20</v>
      </c>
      <c r="B204" s="51" t="s">
        <v>265</v>
      </c>
      <c r="C204" s="51" t="s">
        <v>44</v>
      </c>
      <c r="D204" s="51" t="s">
        <v>162</v>
      </c>
      <c r="E204" s="51" t="s">
        <v>273</v>
      </c>
      <c r="F204" s="51" t="n">
        <v>18</v>
      </c>
      <c r="G204" s="52" t="n">
        <v>64.57</v>
      </c>
      <c r="H204" s="52" t="n">
        <f aca="false">F204*G204</f>
        <v>1162.26</v>
      </c>
      <c r="I204" s="51" t="s">
        <v>293</v>
      </c>
      <c r="J204" s="47"/>
      <c r="K204" s="47"/>
      <c r="L204" s="47"/>
      <c r="M204" s="47"/>
      <c r="N204" s="47"/>
      <c r="O204" s="47"/>
    </row>
    <row r="205" customFormat="false" ht="14.25" hidden="false" customHeight="true" outlineLevel="0" collapsed="false">
      <c r="A205" s="51" t="s">
        <v>20</v>
      </c>
      <c r="B205" s="51" t="s">
        <v>265</v>
      </c>
      <c r="C205" s="51" t="s">
        <v>294</v>
      </c>
      <c r="D205" s="51" t="s">
        <v>160</v>
      </c>
      <c r="E205" s="51" t="s">
        <v>273</v>
      </c>
      <c r="F205" s="51" t="n">
        <v>18</v>
      </c>
      <c r="G205" s="52" t="n">
        <v>10.05</v>
      </c>
      <c r="H205" s="52" t="n">
        <f aca="false">F205*G205</f>
        <v>180.9</v>
      </c>
      <c r="I205" s="51" t="s">
        <v>293</v>
      </c>
      <c r="J205" s="47"/>
      <c r="K205" s="47"/>
      <c r="L205" s="47"/>
      <c r="M205" s="47"/>
      <c r="N205" s="47"/>
      <c r="O205" s="47"/>
    </row>
    <row r="206" customFormat="false" ht="14.25" hidden="false" customHeight="true" outlineLevel="0" collapsed="false">
      <c r="A206" s="51" t="s">
        <v>20</v>
      </c>
      <c r="B206" s="51" t="s">
        <v>265</v>
      </c>
      <c r="C206" s="51" t="s">
        <v>294</v>
      </c>
      <c r="D206" s="51" t="s">
        <v>161</v>
      </c>
      <c r="E206" s="51" t="s">
        <v>273</v>
      </c>
      <c r="F206" s="51" t="n">
        <v>18</v>
      </c>
      <c r="G206" s="52" t="n">
        <v>2.07</v>
      </c>
      <c r="H206" s="52" t="n">
        <f aca="false">F206*G206</f>
        <v>37.26</v>
      </c>
      <c r="I206" s="51" t="s">
        <v>293</v>
      </c>
      <c r="J206" s="47"/>
      <c r="K206" s="47"/>
      <c r="L206" s="47"/>
      <c r="M206" s="47"/>
      <c r="N206" s="47"/>
      <c r="O206" s="47"/>
    </row>
    <row r="207" customFormat="false" ht="14.25" hidden="false" customHeight="true" outlineLevel="0" collapsed="false">
      <c r="A207" s="51" t="s">
        <v>20</v>
      </c>
      <c r="B207" s="51" t="s">
        <v>265</v>
      </c>
      <c r="C207" s="51" t="s">
        <v>295</v>
      </c>
      <c r="D207" s="51" t="s">
        <v>193</v>
      </c>
      <c r="E207" s="51" t="s">
        <v>273</v>
      </c>
      <c r="F207" s="51" t="n">
        <v>1</v>
      </c>
      <c r="G207" s="52" t="n">
        <v>33.13</v>
      </c>
      <c r="H207" s="52" t="n">
        <v>33.13</v>
      </c>
      <c r="I207" s="51" t="s">
        <v>309</v>
      </c>
      <c r="J207" s="47"/>
      <c r="K207" s="47"/>
      <c r="L207" s="47"/>
      <c r="M207" s="47"/>
      <c r="N207" s="47"/>
      <c r="O207" s="47"/>
    </row>
    <row r="208" customFormat="false" ht="15" hidden="false" customHeight="true" outlineLevel="0" collapsed="false">
      <c r="A208" s="51" t="s">
        <v>20</v>
      </c>
      <c r="B208" s="51" t="s">
        <v>265</v>
      </c>
      <c r="C208" s="51" t="s">
        <v>295</v>
      </c>
      <c r="D208" s="51" t="s">
        <v>194</v>
      </c>
      <c r="E208" s="51" t="s">
        <v>273</v>
      </c>
      <c r="F208" s="51" t="n">
        <v>1</v>
      </c>
      <c r="G208" s="52" t="n">
        <v>-48.72</v>
      </c>
      <c r="H208" s="52" t="n">
        <v>-48.72</v>
      </c>
      <c r="I208" s="51" t="s">
        <v>309</v>
      </c>
      <c r="J208" s="47"/>
      <c r="K208" s="47"/>
      <c r="L208" s="47"/>
      <c r="M208" s="47"/>
      <c r="N208" s="47"/>
      <c r="O208" s="47"/>
    </row>
    <row r="209" customFormat="false" ht="14.25" hidden="false" customHeight="true" outlineLevel="0" collapsed="false">
      <c r="A209" s="51" t="s">
        <v>20</v>
      </c>
      <c r="B209" s="51" t="s">
        <v>265</v>
      </c>
      <c r="C209" s="51" t="s">
        <v>295</v>
      </c>
      <c r="D209" s="51" t="s">
        <v>195</v>
      </c>
      <c r="E209" s="51" t="s">
        <v>273</v>
      </c>
      <c r="F209" s="51" t="n">
        <v>1</v>
      </c>
      <c r="G209" s="52" t="n">
        <v>51.62</v>
      </c>
      <c r="H209" s="52" t="n">
        <v>51.62</v>
      </c>
      <c r="I209" s="51" t="s">
        <v>309</v>
      </c>
      <c r="J209" s="47"/>
      <c r="K209" s="47"/>
      <c r="L209" s="47"/>
      <c r="M209" s="47"/>
      <c r="N209" s="47"/>
      <c r="O209" s="47"/>
    </row>
    <row r="210" customFormat="false" ht="14.25" hidden="false" customHeight="true" outlineLevel="0" collapsed="false">
      <c r="A210" s="51" t="s">
        <v>20</v>
      </c>
      <c r="B210" s="51" t="s">
        <v>265</v>
      </c>
      <c r="C210" s="51" t="s">
        <v>296</v>
      </c>
      <c r="D210" s="51" t="s">
        <v>191</v>
      </c>
      <c r="E210" s="51" t="s">
        <v>273</v>
      </c>
      <c r="F210" s="51" t="n">
        <v>18</v>
      </c>
      <c r="G210" s="52" t="n">
        <v>30</v>
      </c>
      <c r="H210" s="52" t="n">
        <f aca="false">F210*G210</f>
        <v>540</v>
      </c>
      <c r="I210" s="51" t="s">
        <v>293</v>
      </c>
      <c r="J210" s="47"/>
      <c r="K210" s="47"/>
      <c r="L210" s="47"/>
      <c r="M210" s="47"/>
      <c r="N210" s="47"/>
      <c r="O210" s="47"/>
    </row>
    <row r="211" customFormat="false" ht="14.25" hidden="false" customHeight="true" outlineLevel="0" collapsed="false">
      <c r="A211" s="51" t="s">
        <v>20</v>
      </c>
      <c r="B211" s="51" t="s">
        <v>265</v>
      </c>
      <c r="C211" s="51" t="s">
        <v>318</v>
      </c>
      <c r="D211" s="51" t="s">
        <v>319</v>
      </c>
      <c r="E211" s="51" t="s">
        <v>273</v>
      </c>
      <c r="F211" s="51" t="n">
        <v>3</v>
      </c>
      <c r="G211" s="52" t="n">
        <v>50</v>
      </c>
      <c r="H211" s="52" t="n">
        <f aca="false">F211*G211</f>
        <v>150</v>
      </c>
      <c r="I211" s="51" t="s">
        <v>320</v>
      </c>
      <c r="J211" s="47"/>
      <c r="K211" s="47"/>
      <c r="L211" s="47"/>
      <c r="M211" s="47"/>
      <c r="N211" s="47"/>
      <c r="O211" s="47"/>
    </row>
    <row r="212" customFormat="false" ht="14.25" hidden="false" customHeight="true" outlineLevel="0" collapsed="false">
      <c r="A212" s="51" t="s">
        <v>20</v>
      </c>
      <c r="B212" s="51" t="s">
        <v>265</v>
      </c>
      <c r="C212" s="51" t="s">
        <v>297</v>
      </c>
      <c r="D212" s="51" t="s">
        <v>196</v>
      </c>
      <c r="E212" s="51" t="s">
        <v>273</v>
      </c>
      <c r="F212" s="51" t="n">
        <v>1</v>
      </c>
      <c r="G212" s="52" t="n">
        <v>1216.24</v>
      </c>
      <c r="H212" s="52" t="n">
        <f aca="false">F212*G212</f>
        <v>1216.24</v>
      </c>
      <c r="I212" s="51" t="s">
        <v>330</v>
      </c>
      <c r="J212" s="47"/>
      <c r="K212" s="47"/>
      <c r="L212" s="47"/>
      <c r="M212" s="47"/>
      <c r="N212" s="47"/>
      <c r="O212" s="47"/>
    </row>
    <row r="213" customFormat="false" ht="14.25" hidden="false" customHeight="true" outlineLevel="0" collapsed="false">
      <c r="A213" s="51" t="s">
        <v>20</v>
      </c>
      <c r="B213" s="51" t="s">
        <v>274</v>
      </c>
      <c r="C213" s="51" t="s">
        <v>289</v>
      </c>
      <c r="D213" s="51" t="s">
        <v>190</v>
      </c>
      <c r="E213" s="51" t="s">
        <v>273</v>
      </c>
      <c r="F213" s="51" t="n">
        <v>1</v>
      </c>
      <c r="G213" s="52" t="n">
        <v>1622.63</v>
      </c>
      <c r="H213" s="52" t="n">
        <f aca="false">F213*G213</f>
        <v>1622.63</v>
      </c>
      <c r="I213" s="51" t="s">
        <v>307</v>
      </c>
      <c r="J213" s="47"/>
      <c r="K213" s="47"/>
      <c r="L213" s="47"/>
      <c r="M213" s="47"/>
      <c r="N213" s="47"/>
      <c r="O213" s="47"/>
    </row>
    <row r="214" customFormat="false" ht="14.25" hidden="false" customHeight="true" outlineLevel="0" collapsed="false">
      <c r="A214" s="51" t="s">
        <v>20</v>
      </c>
      <c r="B214" s="51" t="s">
        <v>274</v>
      </c>
      <c r="C214" s="51" t="s">
        <v>289</v>
      </c>
      <c r="D214" s="51" t="s">
        <v>322</v>
      </c>
      <c r="E214" s="51" t="s">
        <v>273</v>
      </c>
      <c r="F214" s="51" t="n">
        <v>1</v>
      </c>
      <c r="G214" s="52" t="n">
        <v>2958.25</v>
      </c>
      <c r="H214" s="52" t="n">
        <f aca="false">F214*G214</f>
        <v>2958.25</v>
      </c>
      <c r="I214" s="51" t="s">
        <v>323</v>
      </c>
      <c r="J214" s="47"/>
      <c r="K214" s="47"/>
      <c r="L214" s="47"/>
      <c r="M214" s="47"/>
      <c r="N214" s="47"/>
      <c r="O214" s="47"/>
    </row>
    <row r="215" customFormat="false" ht="14.25" hidden="false" customHeight="true" outlineLevel="0" collapsed="false">
      <c r="A215" s="51" t="s">
        <v>20</v>
      </c>
      <c r="B215" s="51" t="s">
        <v>274</v>
      </c>
      <c r="C215" s="51" t="s">
        <v>289</v>
      </c>
      <c r="D215" s="51" t="s">
        <v>163</v>
      </c>
      <c r="E215" s="51" t="s">
        <v>273</v>
      </c>
      <c r="F215" s="51" t="n">
        <v>2</v>
      </c>
      <c r="G215" s="52" t="n">
        <v>28.31</v>
      </c>
      <c r="H215" s="52" t="n">
        <f aca="false">F215*G215</f>
        <v>56.62</v>
      </c>
      <c r="I215" s="51" t="s">
        <v>293</v>
      </c>
      <c r="J215" s="47"/>
      <c r="K215" s="47"/>
      <c r="L215" s="47"/>
      <c r="M215" s="47"/>
      <c r="N215" s="47"/>
      <c r="O215" s="47"/>
    </row>
    <row r="216" customFormat="false" ht="14.25" hidden="false" customHeight="true" outlineLevel="0" collapsed="false">
      <c r="A216" s="51" t="s">
        <v>20</v>
      </c>
      <c r="B216" s="51" t="s">
        <v>274</v>
      </c>
      <c r="C216" s="51" t="s">
        <v>289</v>
      </c>
      <c r="D216" s="51" t="s">
        <v>164</v>
      </c>
      <c r="E216" s="51" t="s">
        <v>273</v>
      </c>
      <c r="F216" s="51" t="n">
        <v>2</v>
      </c>
      <c r="G216" s="52" t="n">
        <v>47.79</v>
      </c>
      <c r="H216" s="52" t="n">
        <f aca="false">F216*G216</f>
        <v>95.58</v>
      </c>
      <c r="I216" s="51" t="s">
        <v>293</v>
      </c>
      <c r="J216" s="47"/>
      <c r="K216" s="47"/>
      <c r="L216" s="47"/>
      <c r="M216" s="47"/>
      <c r="N216" s="47"/>
      <c r="O216" s="47"/>
    </row>
    <row r="217" customFormat="false" ht="14.25" hidden="false" customHeight="true" outlineLevel="0" collapsed="false">
      <c r="A217" s="51" t="s">
        <v>20</v>
      </c>
      <c r="B217" s="51" t="s">
        <v>274</v>
      </c>
      <c r="C217" s="51" t="s">
        <v>44</v>
      </c>
      <c r="D217" s="51" t="s">
        <v>162</v>
      </c>
      <c r="E217" s="51" t="s">
        <v>273</v>
      </c>
      <c r="F217" s="51" t="n">
        <v>2</v>
      </c>
      <c r="G217" s="52" t="n">
        <v>64.57</v>
      </c>
      <c r="H217" s="52" t="n">
        <f aca="false">F217*G217</f>
        <v>129.14</v>
      </c>
      <c r="I217" s="51" t="s">
        <v>293</v>
      </c>
      <c r="J217" s="47"/>
      <c r="K217" s="47"/>
      <c r="L217" s="47"/>
      <c r="M217" s="47"/>
      <c r="N217" s="47"/>
      <c r="O217" s="47"/>
    </row>
    <row r="218" customFormat="false" ht="14.25" hidden="false" customHeight="true" outlineLevel="0" collapsed="false">
      <c r="A218" s="51" t="s">
        <v>20</v>
      </c>
      <c r="B218" s="51" t="s">
        <v>274</v>
      </c>
      <c r="C218" s="51" t="s">
        <v>294</v>
      </c>
      <c r="D218" s="51" t="s">
        <v>160</v>
      </c>
      <c r="E218" s="51" t="s">
        <v>273</v>
      </c>
      <c r="F218" s="51" t="n">
        <v>2</v>
      </c>
      <c r="G218" s="52" t="n">
        <v>10.05</v>
      </c>
      <c r="H218" s="52" t="n">
        <f aca="false">F218*G218</f>
        <v>20.1</v>
      </c>
      <c r="I218" s="51" t="s">
        <v>293</v>
      </c>
      <c r="J218" s="47"/>
      <c r="K218" s="47"/>
      <c r="L218" s="47"/>
      <c r="M218" s="47"/>
      <c r="N218" s="47"/>
      <c r="O218" s="47"/>
    </row>
    <row r="219" customFormat="false" ht="14.25" hidden="false" customHeight="true" outlineLevel="0" collapsed="false">
      <c r="A219" s="51" t="s">
        <v>20</v>
      </c>
      <c r="B219" s="51" t="s">
        <v>274</v>
      </c>
      <c r="C219" s="51" t="s">
        <v>294</v>
      </c>
      <c r="D219" s="51" t="s">
        <v>161</v>
      </c>
      <c r="E219" s="51" t="s">
        <v>273</v>
      </c>
      <c r="F219" s="51" t="n">
        <v>2</v>
      </c>
      <c r="G219" s="52" t="n">
        <v>2.07</v>
      </c>
      <c r="H219" s="52" t="n">
        <f aca="false">F219*G219</f>
        <v>4.14</v>
      </c>
      <c r="I219" s="51" t="s">
        <v>293</v>
      </c>
      <c r="J219" s="47"/>
      <c r="K219" s="47"/>
      <c r="L219" s="47"/>
      <c r="M219" s="47"/>
      <c r="N219" s="47"/>
      <c r="O219" s="47"/>
    </row>
    <row r="220" customFormat="false" ht="14.25" hidden="false" customHeight="true" outlineLevel="0" collapsed="false">
      <c r="A220" s="51" t="s">
        <v>20</v>
      </c>
      <c r="B220" s="51" t="s">
        <v>274</v>
      </c>
      <c r="C220" s="51" t="s">
        <v>296</v>
      </c>
      <c r="D220" s="51" t="s">
        <v>191</v>
      </c>
      <c r="E220" s="51" t="s">
        <v>273</v>
      </c>
      <c r="F220" s="51" t="n">
        <v>2</v>
      </c>
      <c r="G220" s="52" t="n">
        <v>30</v>
      </c>
      <c r="H220" s="52" t="n">
        <f aca="false">F220*G220</f>
        <v>60</v>
      </c>
      <c r="I220" s="51" t="s">
        <v>293</v>
      </c>
      <c r="J220" s="47"/>
      <c r="K220" s="47"/>
      <c r="L220" s="47"/>
      <c r="M220" s="47"/>
      <c r="N220" s="47"/>
      <c r="O220" s="47"/>
    </row>
    <row r="221" customFormat="false" ht="14.25" hidden="false" customHeight="true" outlineLevel="0" collapsed="false">
      <c r="A221" s="51" t="s">
        <v>20</v>
      </c>
      <c r="B221" s="51" t="s">
        <v>274</v>
      </c>
      <c r="C221" s="51" t="s">
        <v>297</v>
      </c>
      <c r="D221" s="51" t="s">
        <v>196</v>
      </c>
      <c r="E221" s="51" t="s">
        <v>273</v>
      </c>
      <c r="F221" s="51" t="n">
        <v>1</v>
      </c>
      <c r="G221" s="52" t="n">
        <v>687.15</v>
      </c>
      <c r="H221" s="52" t="n">
        <f aca="false">F221*G221</f>
        <v>687.15</v>
      </c>
      <c r="I221" s="51" t="s">
        <v>303</v>
      </c>
      <c r="J221" s="47"/>
      <c r="K221" s="47"/>
      <c r="L221" s="47"/>
      <c r="M221" s="47"/>
      <c r="N221" s="47"/>
      <c r="O221" s="47"/>
    </row>
    <row r="222" customFormat="false" ht="14.25" hidden="false" customHeight="true" outlineLevel="0" collapsed="false">
      <c r="A222" s="51" t="s">
        <v>20</v>
      </c>
      <c r="B222" s="51" t="s">
        <v>275</v>
      </c>
      <c r="C222" s="51" t="s">
        <v>289</v>
      </c>
      <c r="D222" s="51" t="s">
        <v>190</v>
      </c>
      <c r="E222" s="51" t="s">
        <v>273</v>
      </c>
      <c r="F222" s="51" t="n">
        <v>1</v>
      </c>
      <c r="G222" s="52" t="n">
        <v>12198.75</v>
      </c>
      <c r="H222" s="52" t="n">
        <f aca="false">F222*G222</f>
        <v>12198.75</v>
      </c>
      <c r="I222" s="51" t="s">
        <v>311</v>
      </c>
      <c r="J222" s="47"/>
      <c r="K222" s="47"/>
      <c r="L222" s="47"/>
      <c r="M222" s="47"/>
      <c r="N222" s="47"/>
      <c r="O222" s="47"/>
    </row>
    <row r="223" customFormat="false" ht="14.25" hidden="false" customHeight="true" outlineLevel="0" collapsed="false">
      <c r="A223" s="51" t="s">
        <v>20</v>
      </c>
      <c r="B223" s="51" t="s">
        <v>275</v>
      </c>
      <c r="C223" s="51" t="s">
        <v>289</v>
      </c>
      <c r="D223" s="51" t="s">
        <v>163</v>
      </c>
      <c r="E223" s="51" t="s">
        <v>273</v>
      </c>
      <c r="F223" s="51" t="n">
        <v>5</v>
      </c>
      <c r="G223" s="52" t="n">
        <v>28.31</v>
      </c>
      <c r="H223" s="52" t="n">
        <f aca="false">F223*G223</f>
        <v>141.55</v>
      </c>
      <c r="I223" s="51" t="s">
        <v>293</v>
      </c>
      <c r="J223" s="47"/>
      <c r="K223" s="47"/>
      <c r="L223" s="47"/>
      <c r="M223" s="47"/>
      <c r="N223" s="47"/>
      <c r="O223" s="47"/>
    </row>
    <row r="224" customFormat="false" ht="14.25" hidden="false" customHeight="true" outlineLevel="0" collapsed="false">
      <c r="A224" s="51" t="s">
        <v>20</v>
      </c>
      <c r="B224" s="51" t="s">
        <v>275</v>
      </c>
      <c r="C224" s="51" t="s">
        <v>289</v>
      </c>
      <c r="D224" s="51" t="s">
        <v>164</v>
      </c>
      <c r="E224" s="51" t="s">
        <v>273</v>
      </c>
      <c r="F224" s="51" t="n">
        <v>5</v>
      </c>
      <c r="G224" s="52" t="n">
        <v>47.79</v>
      </c>
      <c r="H224" s="52" t="n">
        <f aca="false">F224*G224</f>
        <v>238.95</v>
      </c>
      <c r="I224" s="51" t="s">
        <v>293</v>
      </c>
      <c r="J224" s="47"/>
      <c r="K224" s="47"/>
      <c r="L224" s="47"/>
      <c r="M224" s="47"/>
      <c r="N224" s="47"/>
      <c r="O224" s="47"/>
    </row>
    <row r="225" customFormat="false" ht="14.25" hidden="false" customHeight="true" outlineLevel="0" collapsed="false">
      <c r="A225" s="51" t="s">
        <v>20</v>
      </c>
      <c r="B225" s="51" t="s">
        <v>275</v>
      </c>
      <c r="C225" s="51" t="s">
        <v>44</v>
      </c>
      <c r="D225" s="51" t="s">
        <v>162</v>
      </c>
      <c r="E225" s="51" t="s">
        <v>273</v>
      </c>
      <c r="F225" s="51" t="n">
        <v>5</v>
      </c>
      <c r="G225" s="52" t="n">
        <v>64.57</v>
      </c>
      <c r="H225" s="52" t="n">
        <f aca="false">F225*G225</f>
        <v>322.85</v>
      </c>
      <c r="I225" s="51" t="s">
        <v>293</v>
      </c>
      <c r="J225" s="47"/>
      <c r="K225" s="47"/>
      <c r="L225" s="47"/>
      <c r="M225" s="47"/>
      <c r="N225" s="47"/>
      <c r="O225" s="47"/>
    </row>
    <row r="226" customFormat="false" ht="14.25" hidden="false" customHeight="true" outlineLevel="0" collapsed="false">
      <c r="A226" s="51" t="s">
        <v>20</v>
      </c>
      <c r="B226" s="51" t="s">
        <v>275</v>
      </c>
      <c r="C226" s="51" t="s">
        <v>294</v>
      </c>
      <c r="D226" s="51" t="s">
        <v>160</v>
      </c>
      <c r="E226" s="51" t="s">
        <v>273</v>
      </c>
      <c r="F226" s="51" t="n">
        <v>5</v>
      </c>
      <c r="G226" s="52" t="n">
        <v>10.05</v>
      </c>
      <c r="H226" s="52" t="n">
        <f aca="false">F226*G226</f>
        <v>50.25</v>
      </c>
      <c r="I226" s="51" t="s">
        <v>293</v>
      </c>
      <c r="J226" s="47"/>
      <c r="K226" s="47"/>
      <c r="L226" s="47"/>
      <c r="M226" s="47"/>
      <c r="N226" s="47"/>
      <c r="O226" s="47"/>
    </row>
    <row r="227" customFormat="false" ht="14.25" hidden="false" customHeight="true" outlineLevel="0" collapsed="false">
      <c r="A227" s="51" t="s">
        <v>20</v>
      </c>
      <c r="B227" s="51" t="s">
        <v>275</v>
      </c>
      <c r="C227" s="51" t="s">
        <v>294</v>
      </c>
      <c r="D227" s="51" t="s">
        <v>161</v>
      </c>
      <c r="E227" s="51" t="s">
        <v>273</v>
      </c>
      <c r="F227" s="51" t="n">
        <v>5</v>
      </c>
      <c r="G227" s="52" t="n">
        <v>2.07</v>
      </c>
      <c r="H227" s="52" t="n">
        <f aca="false">F227*G227</f>
        <v>10.35</v>
      </c>
      <c r="I227" s="51" t="s">
        <v>293</v>
      </c>
      <c r="J227" s="47"/>
      <c r="K227" s="47"/>
      <c r="L227" s="47"/>
      <c r="M227" s="47"/>
      <c r="N227" s="47"/>
      <c r="O227" s="47"/>
    </row>
    <row r="228" customFormat="false" ht="14.25" hidden="false" customHeight="true" outlineLevel="0" collapsed="false">
      <c r="A228" s="51" t="s">
        <v>20</v>
      </c>
      <c r="B228" s="51" t="s">
        <v>275</v>
      </c>
      <c r="C228" s="51" t="s">
        <v>296</v>
      </c>
      <c r="D228" s="51" t="s">
        <v>191</v>
      </c>
      <c r="E228" s="51" t="s">
        <v>273</v>
      </c>
      <c r="F228" s="51" t="n">
        <v>5</v>
      </c>
      <c r="G228" s="52" t="n">
        <v>30</v>
      </c>
      <c r="H228" s="52" t="n">
        <f aca="false">F228*G228</f>
        <v>150</v>
      </c>
      <c r="I228" s="51" t="s">
        <v>293</v>
      </c>
      <c r="J228" s="47"/>
      <c r="K228" s="47"/>
      <c r="L228" s="47"/>
      <c r="M228" s="47"/>
      <c r="N228" s="47"/>
      <c r="O228" s="47"/>
    </row>
    <row r="229" customFormat="false" ht="14.25" hidden="false" customHeight="true" outlineLevel="0" collapsed="false">
      <c r="A229" s="51" t="s">
        <v>20</v>
      </c>
      <c r="B229" s="51" t="s">
        <v>275</v>
      </c>
      <c r="C229" s="51" t="s">
        <v>297</v>
      </c>
      <c r="D229" s="51" t="s">
        <v>196</v>
      </c>
      <c r="E229" s="51" t="s">
        <v>273</v>
      </c>
      <c r="F229" s="51" t="n">
        <v>1</v>
      </c>
      <c r="G229" s="52" t="n">
        <v>1016.2</v>
      </c>
      <c r="H229" s="52" t="n">
        <f aca="false">F229*G229</f>
        <v>1016.2</v>
      </c>
      <c r="I229" s="51" t="s">
        <v>303</v>
      </c>
      <c r="J229" s="47"/>
      <c r="K229" s="47"/>
      <c r="L229" s="47"/>
      <c r="M229" s="47"/>
      <c r="N229" s="47"/>
      <c r="O229" s="47"/>
    </row>
    <row r="230" customFormat="false" ht="14.25" hidden="false" customHeight="true" outlineLevel="0" collapsed="false">
      <c r="A230" s="51" t="s">
        <v>20</v>
      </c>
      <c r="B230" s="51" t="s">
        <v>277</v>
      </c>
      <c r="C230" s="51" t="s">
        <v>289</v>
      </c>
      <c r="D230" s="51" t="s">
        <v>190</v>
      </c>
      <c r="E230" s="51" t="s">
        <v>276</v>
      </c>
      <c r="F230" s="51" t="n">
        <v>1</v>
      </c>
      <c r="G230" s="52" t="n">
        <v>15180.54</v>
      </c>
      <c r="H230" s="52" t="n">
        <f aca="false">F230*G230</f>
        <v>15180.54</v>
      </c>
      <c r="I230" s="51" t="s">
        <v>313</v>
      </c>
      <c r="J230" s="47"/>
      <c r="K230" s="47"/>
      <c r="L230" s="47"/>
      <c r="M230" s="47"/>
      <c r="N230" s="47"/>
      <c r="O230" s="47"/>
    </row>
    <row r="231" customFormat="false" ht="14.25" hidden="false" customHeight="true" outlineLevel="0" collapsed="false">
      <c r="A231" s="51" t="s">
        <v>20</v>
      </c>
      <c r="B231" s="51" t="s">
        <v>277</v>
      </c>
      <c r="C231" s="51" t="s">
        <v>289</v>
      </c>
      <c r="D231" s="51" t="s">
        <v>163</v>
      </c>
      <c r="E231" s="51" t="s">
        <v>276</v>
      </c>
      <c r="F231" s="51" t="n">
        <v>8</v>
      </c>
      <c r="G231" s="52" t="n">
        <v>28.31</v>
      </c>
      <c r="H231" s="52" t="n">
        <f aca="false">F231*G231</f>
        <v>226.48</v>
      </c>
      <c r="I231" s="51" t="s">
        <v>293</v>
      </c>
      <c r="J231" s="47"/>
      <c r="K231" s="47"/>
      <c r="L231" s="47"/>
      <c r="M231" s="47"/>
      <c r="N231" s="47"/>
      <c r="O231" s="47"/>
    </row>
    <row r="232" customFormat="false" ht="14.25" hidden="false" customHeight="true" outlineLevel="0" collapsed="false">
      <c r="A232" s="51" t="s">
        <v>20</v>
      </c>
      <c r="B232" s="51" t="s">
        <v>277</v>
      </c>
      <c r="C232" s="51" t="s">
        <v>289</v>
      </c>
      <c r="D232" s="51" t="s">
        <v>164</v>
      </c>
      <c r="E232" s="51" t="s">
        <v>276</v>
      </c>
      <c r="F232" s="51" t="n">
        <v>8</v>
      </c>
      <c r="G232" s="52" t="n">
        <v>47.79</v>
      </c>
      <c r="H232" s="52" t="n">
        <f aca="false">F232*G232</f>
        <v>382.32</v>
      </c>
      <c r="I232" s="51" t="s">
        <v>293</v>
      </c>
      <c r="J232" s="47"/>
      <c r="K232" s="47"/>
      <c r="L232" s="47"/>
      <c r="M232" s="47"/>
      <c r="N232" s="47"/>
      <c r="O232" s="47"/>
    </row>
    <row r="233" customFormat="false" ht="14.25" hidden="false" customHeight="true" outlineLevel="0" collapsed="false">
      <c r="A233" s="51" t="s">
        <v>20</v>
      </c>
      <c r="B233" s="51" t="s">
        <v>277</v>
      </c>
      <c r="C233" s="51" t="s">
        <v>44</v>
      </c>
      <c r="D233" s="51" t="s">
        <v>162</v>
      </c>
      <c r="E233" s="51" t="s">
        <v>276</v>
      </c>
      <c r="F233" s="51" t="n">
        <v>8</v>
      </c>
      <c r="G233" s="52" t="n">
        <v>64.57</v>
      </c>
      <c r="H233" s="52" t="n">
        <f aca="false">F233*G233</f>
        <v>516.56</v>
      </c>
      <c r="I233" s="51" t="s">
        <v>293</v>
      </c>
      <c r="J233" s="47"/>
      <c r="K233" s="47"/>
      <c r="L233" s="47"/>
      <c r="M233" s="47"/>
      <c r="N233" s="47"/>
      <c r="O233" s="47"/>
    </row>
    <row r="234" customFormat="false" ht="14.25" hidden="false" customHeight="true" outlineLevel="0" collapsed="false">
      <c r="A234" s="51" t="s">
        <v>20</v>
      </c>
      <c r="B234" s="51" t="s">
        <v>277</v>
      </c>
      <c r="C234" s="51" t="s">
        <v>294</v>
      </c>
      <c r="D234" s="51" t="s">
        <v>160</v>
      </c>
      <c r="E234" s="51" t="s">
        <v>276</v>
      </c>
      <c r="F234" s="51" t="n">
        <v>8</v>
      </c>
      <c r="G234" s="52" t="n">
        <v>10.05</v>
      </c>
      <c r="H234" s="52" t="n">
        <f aca="false">F234*G234</f>
        <v>80.4</v>
      </c>
      <c r="I234" s="51" t="s">
        <v>293</v>
      </c>
      <c r="J234" s="47"/>
      <c r="K234" s="47"/>
      <c r="L234" s="47"/>
      <c r="M234" s="47"/>
      <c r="N234" s="47"/>
      <c r="O234" s="47"/>
    </row>
    <row r="235" customFormat="false" ht="14.25" hidden="false" customHeight="true" outlineLevel="0" collapsed="false">
      <c r="A235" s="51" t="s">
        <v>20</v>
      </c>
      <c r="B235" s="51" t="s">
        <v>277</v>
      </c>
      <c r="C235" s="51" t="s">
        <v>294</v>
      </c>
      <c r="D235" s="51" t="s">
        <v>161</v>
      </c>
      <c r="E235" s="51" t="s">
        <v>276</v>
      </c>
      <c r="F235" s="51" t="n">
        <v>8</v>
      </c>
      <c r="G235" s="52" t="n">
        <v>2.07</v>
      </c>
      <c r="H235" s="52" t="n">
        <f aca="false">F235*G235</f>
        <v>16.56</v>
      </c>
      <c r="I235" s="51" t="s">
        <v>293</v>
      </c>
      <c r="J235" s="47"/>
      <c r="K235" s="47"/>
      <c r="L235" s="47"/>
      <c r="M235" s="47"/>
      <c r="N235" s="47"/>
      <c r="O235" s="47"/>
    </row>
    <row r="236" customFormat="false" ht="14.25" hidden="false" customHeight="true" outlineLevel="0" collapsed="false">
      <c r="A236" s="51" t="s">
        <v>20</v>
      </c>
      <c r="B236" s="51" t="s">
        <v>277</v>
      </c>
      <c r="C236" s="51" t="s">
        <v>295</v>
      </c>
      <c r="D236" s="51" t="s">
        <v>193</v>
      </c>
      <c r="E236" s="51" t="s">
        <v>276</v>
      </c>
      <c r="F236" s="51" t="n">
        <v>1</v>
      </c>
      <c r="G236" s="52" t="n">
        <v>699.62</v>
      </c>
      <c r="H236" s="52" t="n">
        <f aca="false">F236*G236</f>
        <v>699.62</v>
      </c>
      <c r="I236" s="51" t="s">
        <v>314</v>
      </c>
      <c r="J236" s="47"/>
      <c r="K236" s="47"/>
      <c r="L236" s="47"/>
      <c r="M236" s="47"/>
      <c r="N236" s="47"/>
      <c r="O236" s="47"/>
    </row>
    <row r="237" customFormat="false" ht="14.25" hidden="false" customHeight="true" outlineLevel="0" collapsed="false">
      <c r="A237" s="51" t="s">
        <v>20</v>
      </c>
      <c r="B237" s="51" t="s">
        <v>277</v>
      </c>
      <c r="C237" s="51" t="s">
        <v>295</v>
      </c>
      <c r="D237" s="51" t="s">
        <v>195</v>
      </c>
      <c r="E237" s="51" t="s">
        <v>276</v>
      </c>
      <c r="F237" s="51" t="n">
        <v>1</v>
      </c>
      <c r="G237" s="52" t="n">
        <v>566.12</v>
      </c>
      <c r="H237" s="52" t="n">
        <f aca="false">F237*G237</f>
        <v>566.12</v>
      </c>
      <c r="I237" s="51" t="s">
        <v>314</v>
      </c>
      <c r="J237" s="47"/>
      <c r="K237" s="47"/>
      <c r="L237" s="47"/>
      <c r="M237" s="47"/>
      <c r="N237" s="47"/>
      <c r="O237" s="47"/>
    </row>
    <row r="238" customFormat="false" ht="14.25" hidden="false" customHeight="true" outlineLevel="0" collapsed="false">
      <c r="A238" s="51" t="s">
        <v>20</v>
      </c>
      <c r="B238" s="51" t="s">
        <v>277</v>
      </c>
      <c r="C238" s="51" t="s">
        <v>296</v>
      </c>
      <c r="D238" s="51" t="s">
        <v>191</v>
      </c>
      <c r="E238" s="51" t="s">
        <v>276</v>
      </c>
      <c r="F238" s="51" t="n">
        <v>8</v>
      </c>
      <c r="G238" s="52" t="n">
        <v>30</v>
      </c>
      <c r="H238" s="52" t="n">
        <f aca="false">F238*G238</f>
        <v>240</v>
      </c>
      <c r="I238" s="51" t="s">
        <v>293</v>
      </c>
      <c r="J238" s="47"/>
      <c r="K238" s="47"/>
      <c r="L238" s="47"/>
      <c r="M238" s="47"/>
      <c r="N238" s="47"/>
      <c r="O238" s="47"/>
    </row>
    <row r="239" customFormat="false" ht="14.25" hidden="false" customHeight="true" outlineLevel="0" collapsed="false">
      <c r="A239" s="51" t="s">
        <v>20</v>
      </c>
      <c r="B239" s="51" t="s">
        <v>280</v>
      </c>
      <c r="C239" s="51" t="s">
        <v>289</v>
      </c>
      <c r="D239" s="51" t="s">
        <v>190</v>
      </c>
      <c r="E239" s="51" t="s">
        <v>276</v>
      </c>
      <c r="F239" s="51" t="n">
        <v>1</v>
      </c>
      <c r="G239" s="52" t="n">
        <v>13708.49</v>
      </c>
      <c r="H239" s="52" t="n">
        <f aca="false">F239*G239</f>
        <v>13708.49</v>
      </c>
      <c r="I239" s="51" t="s">
        <v>315</v>
      </c>
      <c r="J239" s="47"/>
      <c r="K239" s="47"/>
      <c r="L239" s="47"/>
      <c r="M239" s="47"/>
      <c r="N239" s="47"/>
      <c r="O239" s="47"/>
    </row>
    <row r="240" customFormat="false" ht="14.25" hidden="false" customHeight="true" outlineLevel="0" collapsed="false">
      <c r="A240" s="51" t="s">
        <v>20</v>
      </c>
      <c r="B240" s="51" t="s">
        <v>280</v>
      </c>
      <c r="C240" s="51" t="s">
        <v>289</v>
      </c>
      <c r="D240" s="51" t="s">
        <v>322</v>
      </c>
      <c r="E240" s="51" t="s">
        <v>276</v>
      </c>
      <c r="F240" s="51" t="n">
        <v>1</v>
      </c>
      <c r="G240" s="52" t="n">
        <v>1234.31</v>
      </c>
      <c r="H240" s="52" t="n">
        <f aca="false">F240*G240</f>
        <v>1234.31</v>
      </c>
      <c r="I240" s="51" t="s">
        <v>323</v>
      </c>
      <c r="J240" s="47"/>
      <c r="K240" s="47"/>
      <c r="L240" s="47"/>
      <c r="M240" s="47"/>
      <c r="N240" s="47"/>
      <c r="O240" s="47"/>
    </row>
    <row r="241" customFormat="false" ht="14.25" hidden="false" customHeight="true" outlineLevel="0" collapsed="false">
      <c r="A241" s="51" t="s">
        <v>20</v>
      </c>
      <c r="B241" s="51" t="s">
        <v>280</v>
      </c>
      <c r="C241" s="51" t="s">
        <v>289</v>
      </c>
      <c r="D241" s="51" t="s">
        <v>291</v>
      </c>
      <c r="E241" s="51" t="s">
        <v>276</v>
      </c>
      <c r="F241" s="51" t="n">
        <v>1</v>
      </c>
      <c r="G241" s="52" t="n">
        <v>2775</v>
      </c>
      <c r="H241" s="52" t="n">
        <f aca="false">F241*G241</f>
        <v>2775</v>
      </c>
      <c r="I241" s="51" t="s">
        <v>305</v>
      </c>
      <c r="J241" s="47"/>
      <c r="K241" s="47"/>
      <c r="L241" s="47"/>
      <c r="M241" s="47"/>
      <c r="N241" s="47"/>
      <c r="O241" s="47"/>
    </row>
    <row r="242" customFormat="false" ht="14.25" hidden="false" customHeight="true" outlineLevel="0" collapsed="false">
      <c r="A242" s="51" t="s">
        <v>20</v>
      </c>
      <c r="B242" s="51" t="s">
        <v>280</v>
      </c>
      <c r="C242" s="51" t="s">
        <v>289</v>
      </c>
      <c r="D242" s="51" t="s">
        <v>163</v>
      </c>
      <c r="E242" s="51" t="s">
        <v>276</v>
      </c>
      <c r="F242" s="51" t="n">
        <v>11</v>
      </c>
      <c r="G242" s="52" t="n">
        <v>28.31</v>
      </c>
      <c r="H242" s="52" t="n">
        <f aca="false">F242*G242</f>
        <v>311.41</v>
      </c>
      <c r="I242" s="51" t="s">
        <v>293</v>
      </c>
      <c r="J242" s="47"/>
      <c r="K242" s="47"/>
      <c r="L242" s="47"/>
      <c r="M242" s="47"/>
      <c r="N242" s="47"/>
      <c r="O242" s="47"/>
    </row>
    <row r="243" customFormat="false" ht="14.25" hidden="false" customHeight="true" outlineLevel="0" collapsed="false">
      <c r="A243" s="51" t="s">
        <v>20</v>
      </c>
      <c r="B243" s="51" t="s">
        <v>280</v>
      </c>
      <c r="C243" s="51" t="s">
        <v>289</v>
      </c>
      <c r="D243" s="51" t="s">
        <v>164</v>
      </c>
      <c r="E243" s="51" t="s">
        <v>276</v>
      </c>
      <c r="F243" s="51" t="n">
        <v>11</v>
      </c>
      <c r="G243" s="52" t="n">
        <v>47.79</v>
      </c>
      <c r="H243" s="52" t="n">
        <f aca="false">F243*G243</f>
        <v>525.69</v>
      </c>
      <c r="I243" s="51" t="s">
        <v>293</v>
      </c>
      <c r="J243" s="47"/>
      <c r="K243" s="47"/>
      <c r="L243" s="47"/>
      <c r="M243" s="47"/>
      <c r="N243" s="47"/>
      <c r="O243" s="47"/>
    </row>
    <row r="244" customFormat="false" ht="14.25" hidden="false" customHeight="true" outlineLevel="0" collapsed="false">
      <c r="A244" s="51" t="s">
        <v>20</v>
      </c>
      <c r="B244" s="51" t="s">
        <v>280</v>
      </c>
      <c r="C244" s="51" t="s">
        <v>44</v>
      </c>
      <c r="D244" s="51" t="s">
        <v>162</v>
      </c>
      <c r="E244" s="51" t="s">
        <v>276</v>
      </c>
      <c r="F244" s="51" t="n">
        <v>11</v>
      </c>
      <c r="G244" s="52" t="n">
        <v>64.57</v>
      </c>
      <c r="H244" s="52" t="n">
        <f aca="false">F244*G244</f>
        <v>710.27</v>
      </c>
      <c r="I244" s="51" t="s">
        <v>293</v>
      </c>
      <c r="J244" s="47"/>
      <c r="K244" s="47"/>
      <c r="L244" s="47"/>
      <c r="M244" s="47"/>
      <c r="N244" s="47"/>
      <c r="O244" s="47"/>
    </row>
    <row r="245" customFormat="false" ht="14.25" hidden="false" customHeight="true" outlineLevel="0" collapsed="false">
      <c r="A245" s="51" t="s">
        <v>20</v>
      </c>
      <c r="B245" s="51" t="s">
        <v>280</v>
      </c>
      <c r="C245" s="51" t="s">
        <v>294</v>
      </c>
      <c r="D245" s="51" t="s">
        <v>160</v>
      </c>
      <c r="E245" s="51" t="s">
        <v>276</v>
      </c>
      <c r="F245" s="51" t="n">
        <v>11</v>
      </c>
      <c r="G245" s="52" t="n">
        <v>10.05</v>
      </c>
      <c r="H245" s="52" t="n">
        <f aca="false">F245*G245</f>
        <v>110.55</v>
      </c>
      <c r="I245" s="51" t="s">
        <v>293</v>
      </c>
      <c r="J245" s="47"/>
      <c r="K245" s="47"/>
      <c r="L245" s="47"/>
      <c r="M245" s="47"/>
      <c r="N245" s="47"/>
      <c r="O245" s="47"/>
    </row>
    <row r="246" customFormat="false" ht="14.25" hidden="false" customHeight="true" outlineLevel="0" collapsed="false">
      <c r="A246" s="51" t="s">
        <v>20</v>
      </c>
      <c r="B246" s="51" t="s">
        <v>280</v>
      </c>
      <c r="C246" s="51" t="s">
        <v>294</v>
      </c>
      <c r="D246" s="51" t="s">
        <v>161</v>
      </c>
      <c r="E246" s="51" t="s">
        <v>276</v>
      </c>
      <c r="F246" s="51" t="n">
        <v>11</v>
      </c>
      <c r="G246" s="52" t="n">
        <v>2.07</v>
      </c>
      <c r="H246" s="52" t="n">
        <f aca="false">F246*G246</f>
        <v>22.77</v>
      </c>
      <c r="I246" s="51" t="s">
        <v>293</v>
      </c>
      <c r="J246" s="47"/>
      <c r="K246" s="47"/>
      <c r="L246" s="47"/>
      <c r="M246" s="47"/>
      <c r="N246" s="47"/>
      <c r="O246" s="47"/>
    </row>
    <row r="247" customFormat="false" ht="14.25" hidden="false" customHeight="true" outlineLevel="0" collapsed="false">
      <c r="A247" s="51" t="s">
        <v>20</v>
      </c>
      <c r="B247" s="51" t="s">
        <v>280</v>
      </c>
      <c r="C247" s="51" t="s">
        <v>295</v>
      </c>
      <c r="D247" s="51" t="s">
        <v>326</v>
      </c>
      <c r="E247" s="51" t="s">
        <v>276</v>
      </c>
      <c r="F247" s="51" t="n">
        <v>1</v>
      </c>
      <c r="G247" s="52" t="n">
        <v>-247.34</v>
      </c>
      <c r="H247" s="52" t="n">
        <f aca="false">F247*G247</f>
        <v>-247.34</v>
      </c>
      <c r="I247" s="51" t="s">
        <v>305</v>
      </c>
      <c r="J247" s="47"/>
      <c r="K247" s="47"/>
      <c r="L247" s="47"/>
      <c r="M247" s="47"/>
      <c r="N247" s="47"/>
      <c r="O247" s="47"/>
    </row>
    <row r="248" customFormat="false" ht="14.25" hidden="false" customHeight="true" outlineLevel="0" collapsed="false">
      <c r="A248" s="51" t="s">
        <v>20</v>
      </c>
      <c r="B248" s="51" t="s">
        <v>280</v>
      </c>
      <c r="C248" s="51" t="s">
        <v>296</v>
      </c>
      <c r="D248" s="51" t="s">
        <v>191</v>
      </c>
      <c r="E248" s="51" t="s">
        <v>276</v>
      </c>
      <c r="F248" s="51" t="n">
        <v>11</v>
      </c>
      <c r="G248" s="52" t="n">
        <v>30</v>
      </c>
      <c r="H248" s="52" t="n">
        <f aca="false">F248*G248</f>
        <v>330</v>
      </c>
      <c r="I248" s="51" t="s">
        <v>293</v>
      </c>
      <c r="J248" s="47"/>
      <c r="K248" s="47"/>
      <c r="L248" s="47"/>
      <c r="M248" s="47"/>
      <c r="N248" s="47"/>
      <c r="O248" s="47"/>
    </row>
    <row r="249" customFormat="false" ht="14.25" hidden="false" customHeight="true" outlineLevel="0" collapsed="false">
      <c r="A249" s="51" t="s">
        <v>20</v>
      </c>
      <c r="B249" s="51" t="s">
        <v>280</v>
      </c>
      <c r="C249" s="51" t="s">
        <v>318</v>
      </c>
      <c r="D249" s="51" t="s">
        <v>331</v>
      </c>
      <c r="E249" s="51" t="s">
        <v>276</v>
      </c>
      <c r="F249" s="51" t="n">
        <v>2</v>
      </c>
      <c r="G249" s="52" t="n">
        <v>50</v>
      </c>
      <c r="H249" s="52" t="n">
        <f aca="false">F249*G249</f>
        <v>100</v>
      </c>
      <c r="I249" s="51" t="s">
        <v>320</v>
      </c>
      <c r="J249" s="47"/>
      <c r="K249" s="47"/>
      <c r="L249" s="47"/>
      <c r="M249" s="47"/>
      <c r="N249" s="47"/>
      <c r="O249" s="47"/>
    </row>
    <row r="250" customFormat="false" ht="14.25" hidden="false" customHeight="true" outlineLevel="0" collapsed="false">
      <c r="A250" s="51" t="s">
        <v>20</v>
      </c>
      <c r="B250" s="51" t="s">
        <v>280</v>
      </c>
      <c r="C250" s="51" t="s">
        <v>297</v>
      </c>
      <c r="D250" s="51" t="s">
        <v>196</v>
      </c>
      <c r="E250" s="51" t="s">
        <v>276</v>
      </c>
      <c r="F250" s="51" t="n">
        <v>1</v>
      </c>
      <c r="G250" s="52" t="n">
        <v>4192.85</v>
      </c>
      <c r="H250" s="52" t="n">
        <f aca="false">F250*G250</f>
        <v>4192.85</v>
      </c>
      <c r="I250" s="51" t="s">
        <v>303</v>
      </c>
      <c r="J250" s="47"/>
      <c r="K250" s="47"/>
      <c r="L250" s="47"/>
      <c r="M250" s="47"/>
      <c r="N250" s="47"/>
      <c r="O250" s="47"/>
    </row>
    <row r="251" customFormat="false" ht="14.25" hidden="false" customHeight="true" outlineLevel="0" collapsed="false">
      <c r="A251" s="51" t="s">
        <v>20</v>
      </c>
      <c r="B251" s="51" t="s">
        <v>283</v>
      </c>
      <c r="C251" s="51" t="s">
        <v>289</v>
      </c>
      <c r="D251" s="51" t="s">
        <v>190</v>
      </c>
      <c r="E251" s="51" t="s">
        <v>282</v>
      </c>
      <c r="F251" s="51" t="n">
        <v>1</v>
      </c>
      <c r="G251" s="52" t="n">
        <v>3529.37</v>
      </c>
      <c r="H251" s="52" t="n">
        <f aca="false">F251*G251</f>
        <v>3529.37</v>
      </c>
      <c r="I251" s="51" t="s">
        <v>316</v>
      </c>
      <c r="J251" s="47"/>
      <c r="K251" s="47"/>
      <c r="L251" s="47"/>
      <c r="M251" s="47"/>
      <c r="N251" s="47"/>
      <c r="O251" s="47"/>
    </row>
    <row r="252" customFormat="false" ht="14.25" hidden="false" customHeight="true" outlineLevel="0" collapsed="false">
      <c r="A252" s="51" t="s">
        <v>20</v>
      </c>
      <c r="B252" s="51" t="s">
        <v>283</v>
      </c>
      <c r="C252" s="51" t="s">
        <v>289</v>
      </c>
      <c r="D252" s="51" t="s">
        <v>163</v>
      </c>
      <c r="E252" s="51" t="s">
        <v>282</v>
      </c>
      <c r="F252" s="51" t="n">
        <v>1</v>
      </c>
      <c r="G252" s="52" t="n">
        <v>28.31</v>
      </c>
      <c r="H252" s="52" t="n">
        <f aca="false">F252*G252</f>
        <v>28.31</v>
      </c>
      <c r="I252" s="51" t="s">
        <v>293</v>
      </c>
      <c r="J252" s="47"/>
      <c r="K252" s="47"/>
      <c r="L252" s="47"/>
      <c r="M252" s="47"/>
      <c r="N252" s="47"/>
      <c r="O252" s="47"/>
    </row>
    <row r="253" customFormat="false" ht="15" hidden="false" customHeight="true" outlineLevel="0" collapsed="false">
      <c r="A253" s="51" t="s">
        <v>20</v>
      </c>
      <c r="B253" s="51" t="s">
        <v>283</v>
      </c>
      <c r="C253" s="51" t="s">
        <v>289</v>
      </c>
      <c r="D253" s="51" t="s">
        <v>164</v>
      </c>
      <c r="E253" s="51" t="s">
        <v>282</v>
      </c>
      <c r="F253" s="51" t="n">
        <v>1</v>
      </c>
      <c r="G253" s="52" t="n">
        <v>47.79</v>
      </c>
      <c r="H253" s="52" t="n">
        <f aca="false">F253*G253</f>
        <v>47.79</v>
      </c>
      <c r="I253" s="51" t="s">
        <v>293</v>
      </c>
      <c r="J253" s="47"/>
      <c r="K253" s="47"/>
      <c r="L253" s="47"/>
      <c r="M253" s="47"/>
      <c r="N253" s="47"/>
      <c r="O253" s="47"/>
    </row>
    <row r="254" customFormat="false" ht="15" hidden="false" customHeight="true" outlineLevel="0" collapsed="false">
      <c r="A254" s="51" t="s">
        <v>20</v>
      </c>
      <c r="B254" s="51" t="s">
        <v>283</v>
      </c>
      <c r="C254" s="51" t="s">
        <v>44</v>
      </c>
      <c r="D254" s="51" t="s">
        <v>162</v>
      </c>
      <c r="E254" s="51" t="s">
        <v>282</v>
      </c>
      <c r="F254" s="51" t="n">
        <v>1</v>
      </c>
      <c r="G254" s="52" t="n">
        <v>64.57</v>
      </c>
      <c r="H254" s="52" t="n">
        <f aca="false">F254*G254</f>
        <v>64.57</v>
      </c>
      <c r="I254" s="51" t="s">
        <v>293</v>
      </c>
      <c r="J254" s="47"/>
      <c r="K254" s="47"/>
      <c r="L254" s="47"/>
      <c r="M254" s="47"/>
      <c r="N254" s="47"/>
      <c r="O254" s="47"/>
    </row>
    <row r="255" customFormat="false" ht="14.25" hidden="false" customHeight="true" outlineLevel="0" collapsed="false">
      <c r="A255" s="51" t="s">
        <v>20</v>
      </c>
      <c r="B255" s="51" t="s">
        <v>283</v>
      </c>
      <c r="C255" s="51" t="s">
        <v>294</v>
      </c>
      <c r="D255" s="51" t="s">
        <v>160</v>
      </c>
      <c r="E255" s="51" t="s">
        <v>282</v>
      </c>
      <c r="F255" s="51" t="n">
        <v>1</v>
      </c>
      <c r="G255" s="52" t="n">
        <v>10.05</v>
      </c>
      <c r="H255" s="52" t="n">
        <f aca="false">F255*G255</f>
        <v>10.05</v>
      </c>
      <c r="I255" s="51" t="s">
        <v>293</v>
      </c>
      <c r="J255" s="47"/>
      <c r="K255" s="47"/>
      <c r="L255" s="47"/>
      <c r="M255" s="47"/>
      <c r="N255" s="47"/>
      <c r="O255" s="47"/>
    </row>
    <row r="256" customFormat="false" ht="14.25" hidden="false" customHeight="true" outlineLevel="0" collapsed="false">
      <c r="A256" s="51" t="s">
        <v>20</v>
      </c>
      <c r="B256" s="51" t="s">
        <v>283</v>
      </c>
      <c r="C256" s="51" t="s">
        <v>294</v>
      </c>
      <c r="D256" s="51" t="s">
        <v>161</v>
      </c>
      <c r="E256" s="51" t="s">
        <v>282</v>
      </c>
      <c r="F256" s="51" t="n">
        <v>1</v>
      </c>
      <c r="G256" s="52" t="n">
        <v>2.07</v>
      </c>
      <c r="H256" s="52" t="n">
        <f aca="false">F256*G256</f>
        <v>2.07</v>
      </c>
      <c r="I256" s="51" t="s">
        <v>293</v>
      </c>
      <c r="J256" s="47"/>
      <c r="K256" s="47"/>
      <c r="L256" s="47"/>
      <c r="M256" s="47"/>
      <c r="N256" s="47"/>
      <c r="O256" s="47"/>
    </row>
    <row r="257" customFormat="false" ht="14.25" hidden="false" customHeight="true" outlineLevel="0" collapsed="false">
      <c r="A257" s="51" t="s">
        <v>20</v>
      </c>
      <c r="B257" s="51" t="s">
        <v>283</v>
      </c>
      <c r="C257" s="51" t="s">
        <v>296</v>
      </c>
      <c r="D257" s="51" t="s">
        <v>191</v>
      </c>
      <c r="E257" s="51" t="s">
        <v>282</v>
      </c>
      <c r="F257" s="51" t="n">
        <v>1</v>
      </c>
      <c r="G257" s="52" t="n">
        <v>30</v>
      </c>
      <c r="H257" s="52" t="n">
        <f aca="false">F257*G257</f>
        <v>30</v>
      </c>
      <c r="I257" s="51" t="s">
        <v>293</v>
      </c>
      <c r="J257" s="47"/>
      <c r="K257" s="47"/>
      <c r="L257" s="47"/>
      <c r="M257" s="47"/>
      <c r="N257" s="47"/>
      <c r="O257" s="47"/>
    </row>
    <row r="258" customFormat="false" ht="14.25" hidden="false" customHeight="true" outlineLevel="0" collapsed="false">
      <c r="A258" s="51" t="s">
        <v>21</v>
      </c>
      <c r="B258" s="51" t="s">
        <v>265</v>
      </c>
      <c r="C258" s="51" t="s">
        <v>289</v>
      </c>
      <c r="D258" s="51" t="s">
        <v>190</v>
      </c>
      <c r="E258" s="51" t="s">
        <v>264</v>
      </c>
      <c r="F258" s="51" t="n">
        <v>1</v>
      </c>
      <c r="G258" s="52" t="n">
        <v>81072.3365155553</v>
      </c>
      <c r="H258" s="52" t="n">
        <v>81072.3365155553</v>
      </c>
      <c r="I258" s="51" t="s">
        <v>332</v>
      </c>
    </row>
    <row r="259" customFormat="false" ht="14.25" hidden="false" customHeight="true" outlineLevel="0" collapsed="false">
      <c r="A259" s="51" t="s">
        <v>21</v>
      </c>
      <c r="B259" s="51" t="s">
        <v>265</v>
      </c>
      <c r="C259" s="51" t="s">
        <v>289</v>
      </c>
      <c r="D259" s="51" t="s">
        <v>291</v>
      </c>
      <c r="E259" s="51" t="s">
        <v>264</v>
      </c>
      <c r="F259" s="51" t="n">
        <v>1</v>
      </c>
      <c r="G259" s="52" t="n">
        <v>3360.29</v>
      </c>
      <c r="H259" s="52" t="n">
        <v>3360.29</v>
      </c>
      <c r="I259" s="51" t="s">
        <v>333</v>
      </c>
    </row>
    <row r="260" customFormat="false" ht="14.25" hidden="false" customHeight="true" outlineLevel="0" collapsed="false">
      <c r="A260" s="51" t="s">
        <v>21</v>
      </c>
      <c r="B260" s="51" t="s">
        <v>265</v>
      </c>
      <c r="C260" s="51" t="s">
        <v>289</v>
      </c>
      <c r="D260" s="51" t="s">
        <v>163</v>
      </c>
      <c r="E260" s="51" t="s">
        <v>264</v>
      </c>
      <c r="F260" s="51" t="n">
        <v>47</v>
      </c>
      <c r="G260" s="52" t="n">
        <v>26</v>
      </c>
      <c r="H260" s="52" t="n">
        <v>1222</v>
      </c>
      <c r="I260" s="51" t="s">
        <v>334</v>
      </c>
    </row>
    <row r="261" customFormat="false" ht="14.25" hidden="false" customHeight="true" outlineLevel="0" collapsed="false">
      <c r="A261" s="51" t="s">
        <v>21</v>
      </c>
      <c r="B261" s="51" t="s">
        <v>265</v>
      </c>
      <c r="C261" s="51" t="s">
        <v>289</v>
      </c>
      <c r="D261" s="51" t="s">
        <v>164</v>
      </c>
      <c r="E261" s="51" t="s">
        <v>264</v>
      </c>
      <c r="F261" s="51" t="n">
        <v>47</v>
      </c>
      <c r="G261" s="52" t="n">
        <v>42.77</v>
      </c>
      <c r="H261" s="52" t="n">
        <v>2010.19</v>
      </c>
      <c r="I261" s="51" t="s">
        <v>334</v>
      </c>
    </row>
    <row r="262" customFormat="false" ht="14.25" hidden="false" customHeight="true" outlineLevel="0" collapsed="false">
      <c r="A262" s="51" t="s">
        <v>21</v>
      </c>
      <c r="B262" s="51" t="s">
        <v>265</v>
      </c>
      <c r="C262" s="51" t="s">
        <v>44</v>
      </c>
      <c r="D262" s="51" t="s">
        <v>162</v>
      </c>
      <c r="E262" s="51" t="s">
        <v>264</v>
      </c>
      <c r="F262" s="51" t="n">
        <v>47</v>
      </c>
      <c r="G262" s="52" t="n">
        <v>63.75</v>
      </c>
      <c r="H262" s="52" t="n">
        <v>2996.25</v>
      </c>
      <c r="I262" s="51" t="s">
        <v>334</v>
      </c>
    </row>
    <row r="263" customFormat="false" ht="14.25" hidden="false" customHeight="true" outlineLevel="0" collapsed="false">
      <c r="A263" s="51" t="s">
        <v>21</v>
      </c>
      <c r="B263" s="51" t="s">
        <v>265</v>
      </c>
      <c r="C263" s="51" t="s">
        <v>44</v>
      </c>
      <c r="D263" s="51" t="s">
        <v>192</v>
      </c>
      <c r="E263" s="51" t="s">
        <v>264</v>
      </c>
      <c r="F263" s="51" t="n">
        <v>1</v>
      </c>
      <c r="G263" s="52" t="n">
        <v>451.39</v>
      </c>
      <c r="H263" s="52" t="n">
        <v>451.39</v>
      </c>
      <c r="I263" s="51" t="s">
        <v>333</v>
      </c>
    </row>
    <row r="264" customFormat="false" ht="14.25" hidden="false" customHeight="true" outlineLevel="0" collapsed="false">
      <c r="A264" s="51" t="s">
        <v>21</v>
      </c>
      <c r="B264" s="51" t="s">
        <v>265</v>
      </c>
      <c r="C264" s="51" t="s">
        <v>295</v>
      </c>
      <c r="D264" s="51" t="s">
        <v>193</v>
      </c>
      <c r="E264" s="51" t="s">
        <v>264</v>
      </c>
      <c r="F264" s="51" t="n">
        <v>1</v>
      </c>
      <c r="G264" s="52" t="n">
        <v>865.91</v>
      </c>
      <c r="H264" s="52" t="n">
        <v>865.91</v>
      </c>
      <c r="I264" s="51" t="s">
        <v>333</v>
      </c>
    </row>
    <row r="265" customFormat="false" ht="14.25" hidden="false" customHeight="true" outlineLevel="0" collapsed="false">
      <c r="A265" s="51" t="s">
        <v>21</v>
      </c>
      <c r="B265" s="51" t="s">
        <v>265</v>
      </c>
      <c r="C265" s="51" t="s">
        <v>295</v>
      </c>
      <c r="D265" s="51" t="s">
        <v>195</v>
      </c>
      <c r="E265" s="51" t="s">
        <v>264</v>
      </c>
      <c r="F265" s="51" t="n">
        <v>1</v>
      </c>
      <c r="G265" s="52" t="n">
        <v>251.02</v>
      </c>
      <c r="H265" s="52" t="n">
        <v>251.02</v>
      </c>
      <c r="I265" s="51" t="s">
        <v>333</v>
      </c>
    </row>
    <row r="266" customFormat="false" ht="14.25" hidden="false" customHeight="true" outlineLevel="0" collapsed="false">
      <c r="A266" s="51" t="s">
        <v>21</v>
      </c>
      <c r="B266" s="51" t="s">
        <v>265</v>
      </c>
      <c r="C266" s="51" t="s">
        <v>296</v>
      </c>
      <c r="D266" s="51" t="s">
        <v>191</v>
      </c>
      <c r="E266" s="51" t="s">
        <v>264</v>
      </c>
      <c r="F266" s="51" t="n">
        <v>50</v>
      </c>
      <c r="G266" s="52" t="n">
        <v>30</v>
      </c>
      <c r="H266" s="52" t="n">
        <f aca="false">G266*F266</f>
        <v>1500</v>
      </c>
      <c r="I266" s="51" t="s">
        <v>334</v>
      </c>
    </row>
    <row r="267" customFormat="false" ht="15" hidden="false" customHeight="true" outlineLevel="0" collapsed="false">
      <c r="A267" s="51" t="s">
        <v>21</v>
      </c>
      <c r="B267" s="51" t="s">
        <v>265</v>
      </c>
      <c r="C267" s="51" t="s">
        <v>294</v>
      </c>
      <c r="D267" s="51" t="s">
        <v>160</v>
      </c>
      <c r="E267" s="51" t="s">
        <v>264</v>
      </c>
      <c r="F267" s="51" t="n">
        <v>47</v>
      </c>
      <c r="G267" s="52" t="n">
        <v>9.85</v>
      </c>
      <c r="H267" s="52" t="n">
        <v>462.95</v>
      </c>
      <c r="I267" s="51" t="s">
        <v>334</v>
      </c>
    </row>
    <row r="268" customFormat="false" ht="14.25" hidden="false" customHeight="true" outlineLevel="0" collapsed="false">
      <c r="A268" s="51" t="s">
        <v>21</v>
      </c>
      <c r="B268" s="51" t="s">
        <v>265</v>
      </c>
      <c r="C268" s="51" t="s">
        <v>294</v>
      </c>
      <c r="D268" s="51" t="s">
        <v>161</v>
      </c>
      <c r="E268" s="51" t="s">
        <v>264</v>
      </c>
      <c r="F268" s="51" t="n">
        <v>47</v>
      </c>
      <c r="G268" s="52" t="n">
        <v>2.04</v>
      </c>
      <c r="H268" s="52" t="n">
        <v>95.88</v>
      </c>
      <c r="I268" s="51" t="s">
        <v>334</v>
      </c>
    </row>
    <row r="269" customFormat="false" ht="14.25" hidden="false" customHeight="true" outlineLevel="0" collapsed="false">
      <c r="A269" s="51" t="s">
        <v>21</v>
      </c>
      <c r="B269" s="51" t="s">
        <v>265</v>
      </c>
      <c r="C269" s="51" t="s">
        <v>297</v>
      </c>
      <c r="D269" s="51" t="s">
        <v>196</v>
      </c>
      <c r="E269" s="51" t="s">
        <v>264</v>
      </c>
      <c r="F269" s="51" t="n">
        <v>1</v>
      </c>
      <c r="G269" s="52" t="n">
        <v>2038.91</v>
      </c>
      <c r="H269" s="52" t="n">
        <f aca="false">G269*F269</f>
        <v>2038.91</v>
      </c>
      <c r="I269" s="51" t="s">
        <v>335</v>
      </c>
    </row>
    <row r="270" customFormat="false" ht="14.25" hidden="false" customHeight="true" outlineLevel="0" collapsed="false">
      <c r="A270" s="51" t="s">
        <v>21</v>
      </c>
      <c r="B270" s="51" t="s">
        <v>265</v>
      </c>
      <c r="C270" s="51" t="s">
        <v>289</v>
      </c>
      <c r="D270" s="51" t="s">
        <v>322</v>
      </c>
      <c r="E270" s="51" t="s">
        <v>264</v>
      </c>
      <c r="F270" s="51" t="n">
        <v>1</v>
      </c>
      <c r="G270" s="52" t="n">
        <v>16815.54</v>
      </c>
      <c r="H270" s="52" t="n">
        <f aca="false">G270*F270</f>
        <v>16815.54</v>
      </c>
      <c r="I270" s="51" t="s">
        <v>336</v>
      </c>
    </row>
    <row r="271" customFormat="false" ht="14.25" hidden="false" customHeight="true" outlineLevel="0" collapsed="false">
      <c r="A271" s="51" t="s">
        <v>21</v>
      </c>
      <c r="B271" s="51" t="s">
        <v>265</v>
      </c>
      <c r="C271" s="51" t="s">
        <v>289</v>
      </c>
      <c r="D271" s="51" t="s">
        <v>190</v>
      </c>
      <c r="E271" s="51" t="s">
        <v>267</v>
      </c>
      <c r="F271" s="51" t="n">
        <v>1</v>
      </c>
      <c r="G271" s="52" t="n">
        <v>6270.1</v>
      </c>
      <c r="H271" s="52" t="n">
        <f aca="false">G271*F271</f>
        <v>6270.1</v>
      </c>
      <c r="I271" s="51" t="s">
        <v>337</v>
      </c>
    </row>
    <row r="272" customFormat="false" ht="14.25" hidden="false" customHeight="true" outlineLevel="0" collapsed="false">
      <c r="A272" s="51" t="s">
        <v>21</v>
      </c>
      <c r="B272" s="51" t="s">
        <v>265</v>
      </c>
      <c r="C272" s="51" t="s">
        <v>289</v>
      </c>
      <c r="D272" s="51" t="s">
        <v>291</v>
      </c>
      <c r="E272" s="51" t="s">
        <v>267</v>
      </c>
      <c r="F272" s="51" t="n">
        <v>1</v>
      </c>
      <c r="G272" s="52" t="n">
        <v>182.68</v>
      </c>
      <c r="H272" s="52" t="n">
        <f aca="false">G272*F272</f>
        <v>182.68</v>
      </c>
      <c r="I272" s="51" t="s">
        <v>338</v>
      </c>
    </row>
    <row r="273" customFormat="false" ht="14.25" hidden="false" customHeight="true" outlineLevel="0" collapsed="false">
      <c r="A273" s="51" t="s">
        <v>21</v>
      </c>
      <c r="B273" s="51" t="s">
        <v>265</v>
      </c>
      <c r="C273" s="51" t="s">
        <v>289</v>
      </c>
      <c r="D273" s="51" t="s">
        <v>163</v>
      </c>
      <c r="E273" s="51" t="s">
        <v>267</v>
      </c>
      <c r="F273" s="51" t="n">
        <v>5</v>
      </c>
      <c r="G273" s="52" t="n">
        <v>26</v>
      </c>
      <c r="H273" s="52" t="n">
        <f aca="false">G273*F273</f>
        <v>130</v>
      </c>
      <c r="I273" s="51" t="s">
        <v>334</v>
      </c>
    </row>
    <row r="274" customFormat="false" ht="14.25" hidden="false" customHeight="true" outlineLevel="0" collapsed="false">
      <c r="A274" s="51" t="s">
        <v>21</v>
      </c>
      <c r="B274" s="51" t="s">
        <v>265</v>
      </c>
      <c r="C274" s="51" t="s">
        <v>289</v>
      </c>
      <c r="D274" s="51" t="s">
        <v>164</v>
      </c>
      <c r="E274" s="51" t="s">
        <v>267</v>
      </c>
      <c r="F274" s="51" t="n">
        <v>5</v>
      </c>
      <c r="G274" s="52" t="n">
        <v>42.77</v>
      </c>
      <c r="H274" s="52" t="n">
        <f aca="false">G274*F274</f>
        <v>213.85</v>
      </c>
      <c r="I274" s="51" t="s">
        <v>334</v>
      </c>
    </row>
    <row r="275" customFormat="false" ht="14.25" hidden="false" customHeight="true" outlineLevel="0" collapsed="false">
      <c r="A275" s="51" t="s">
        <v>21</v>
      </c>
      <c r="B275" s="51" t="s">
        <v>265</v>
      </c>
      <c r="C275" s="51" t="s">
        <v>44</v>
      </c>
      <c r="D275" s="51" t="s">
        <v>162</v>
      </c>
      <c r="E275" s="51" t="s">
        <v>267</v>
      </c>
      <c r="F275" s="51" t="n">
        <v>5</v>
      </c>
      <c r="G275" s="52" t="n">
        <v>63.75</v>
      </c>
      <c r="H275" s="52" t="n">
        <f aca="false">G275*F275</f>
        <v>318.75</v>
      </c>
      <c r="I275" s="51" t="s">
        <v>334</v>
      </c>
    </row>
    <row r="276" customFormat="false" ht="14.25" hidden="false" customHeight="true" outlineLevel="0" collapsed="false">
      <c r="A276" s="51" t="s">
        <v>21</v>
      </c>
      <c r="B276" s="51" t="s">
        <v>265</v>
      </c>
      <c r="C276" s="51" t="s">
        <v>44</v>
      </c>
      <c r="D276" s="51" t="s">
        <v>192</v>
      </c>
      <c r="E276" s="51" t="s">
        <v>267</v>
      </c>
      <c r="F276" s="51" t="n">
        <v>1</v>
      </c>
      <c r="G276" s="52" t="n">
        <v>24.54</v>
      </c>
      <c r="H276" s="52" t="n">
        <f aca="false">G276*F276</f>
        <v>24.54</v>
      </c>
      <c r="I276" s="51" t="s">
        <v>338</v>
      </c>
    </row>
    <row r="277" customFormat="false" ht="14.25" hidden="false" customHeight="true" outlineLevel="0" collapsed="false">
      <c r="A277" s="51" t="s">
        <v>21</v>
      </c>
      <c r="B277" s="51" t="s">
        <v>265</v>
      </c>
      <c r="C277" s="51" t="s">
        <v>295</v>
      </c>
      <c r="D277" s="51" t="s">
        <v>193</v>
      </c>
      <c r="E277" s="51" t="s">
        <v>267</v>
      </c>
      <c r="F277" s="51" t="n">
        <v>1</v>
      </c>
      <c r="G277" s="52" t="n">
        <v>47.07</v>
      </c>
      <c r="H277" s="52" t="n">
        <f aca="false">G277*F277</f>
        <v>47.07</v>
      </c>
      <c r="I277" s="51" t="s">
        <v>338</v>
      </c>
    </row>
    <row r="278" customFormat="false" ht="15" hidden="false" customHeight="true" outlineLevel="0" collapsed="false">
      <c r="A278" s="51" t="s">
        <v>21</v>
      </c>
      <c r="B278" s="51" t="s">
        <v>265</v>
      </c>
      <c r="C278" s="51" t="s">
        <v>295</v>
      </c>
      <c r="D278" s="51" t="s">
        <v>195</v>
      </c>
      <c r="E278" s="51" t="s">
        <v>267</v>
      </c>
      <c r="F278" s="51" t="n">
        <v>1</v>
      </c>
      <c r="G278" s="52" t="n">
        <v>13.65</v>
      </c>
      <c r="H278" s="52" t="n">
        <f aca="false">G278*F278</f>
        <v>13.65</v>
      </c>
      <c r="I278" s="51" t="s">
        <v>338</v>
      </c>
    </row>
    <row r="279" customFormat="false" ht="14.25" hidden="false" customHeight="true" outlineLevel="0" collapsed="false">
      <c r="A279" s="51" t="s">
        <v>21</v>
      </c>
      <c r="B279" s="51" t="s">
        <v>265</v>
      </c>
      <c r="C279" s="51" t="s">
        <v>296</v>
      </c>
      <c r="D279" s="51" t="s">
        <v>191</v>
      </c>
      <c r="E279" s="51" t="s">
        <v>267</v>
      </c>
      <c r="F279" s="51" t="n">
        <v>5</v>
      </c>
      <c r="G279" s="52" t="n">
        <v>30</v>
      </c>
      <c r="H279" s="52" t="n">
        <f aca="false">G279*F279</f>
        <v>150</v>
      </c>
      <c r="I279" s="51" t="s">
        <v>334</v>
      </c>
    </row>
    <row r="280" customFormat="false" ht="14.25" hidden="false" customHeight="true" outlineLevel="0" collapsed="false">
      <c r="A280" s="51" t="s">
        <v>21</v>
      </c>
      <c r="B280" s="51" t="s">
        <v>265</v>
      </c>
      <c r="C280" s="51" t="s">
        <v>294</v>
      </c>
      <c r="D280" s="51" t="s">
        <v>160</v>
      </c>
      <c r="E280" s="51" t="s">
        <v>267</v>
      </c>
      <c r="F280" s="51" t="n">
        <v>5</v>
      </c>
      <c r="G280" s="52" t="n">
        <v>9.85</v>
      </c>
      <c r="H280" s="52" t="n">
        <f aca="false">G280*F280</f>
        <v>49.25</v>
      </c>
      <c r="I280" s="51" t="s">
        <v>334</v>
      </c>
    </row>
    <row r="281" customFormat="false" ht="14.25" hidden="false" customHeight="true" outlineLevel="0" collapsed="false">
      <c r="A281" s="51" t="s">
        <v>21</v>
      </c>
      <c r="B281" s="51" t="s">
        <v>265</v>
      </c>
      <c r="C281" s="51" t="s">
        <v>294</v>
      </c>
      <c r="D281" s="51" t="s">
        <v>161</v>
      </c>
      <c r="E281" s="51" t="s">
        <v>267</v>
      </c>
      <c r="F281" s="51" t="n">
        <v>5</v>
      </c>
      <c r="G281" s="52" t="n">
        <v>2.04</v>
      </c>
      <c r="H281" s="52" t="n">
        <f aca="false">G281*F281</f>
        <v>10.2</v>
      </c>
      <c r="I281" s="51" t="s">
        <v>334</v>
      </c>
    </row>
    <row r="282" customFormat="false" ht="14.25" hidden="false" customHeight="true" outlineLevel="0" collapsed="false">
      <c r="A282" s="51" t="s">
        <v>21</v>
      </c>
      <c r="B282" s="51" t="s">
        <v>265</v>
      </c>
      <c r="C282" s="51" t="s">
        <v>289</v>
      </c>
      <c r="D282" s="51" t="s">
        <v>190</v>
      </c>
      <c r="E282" s="51" t="s">
        <v>269</v>
      </c>
      <c r="F282" s="51" t="n">
        <v>1</v>
      </c>
      <c r="G282" s="52" t="n">
        <v>14541.12</v>
      </c>
      <c r="H282" s="52" t="n">
        <f aca="false">G282*F282</f>
        <v>14541.12</v>
      </c>
      <c r="I282" s="51" t="s">
        <v>339</v>
      </c>
    </row>
    <row r="283" customFormat="false" ht="14.25" hidden="false" customHeight="true" outlineLevel="0" collapsed="false">
      <c r="A283" s="51" t="s">
        <v>21</v>
      </c>
      <c r="B283" s="51" t="s">
        <v>265</v>
      </c>
      <c r="C283" s="51" t="s">
        <v>289</v>
      </c>
      <c r="D283" s="51" t="s">
        <v>291</v>
      </c>
      <c r="E283" s="51" t="s">
        <v>269</v>
      </c>
      <c r="F283" s="51" t="n">
        <v>1</v>
      </c>
      <c r="G283" s="52" t="n">
        <v>423.65</v>
      </c>
      <c r="H283" s="52" t="n">
        <f aca="false">G283*F283</f>
        <v>423.65</v>
      </c>
      <c r="I283" s="51" t="s">
        <v>340</v>
      </c>
    </row>
    <row r="284" customFormat="false" ht="14.25" hidden="false" customHeight="true" outlineLevel="0" collapsed="false">
      <c r="A284" s="51" t="s">
        <v>21</v>
      </c>
      <c r="B284" s="51" t="s">
        <v>265</v>
      </c>
      <c r="C284" s="51" t="s">
        <v>289</v>
      </c>
      <c r="D284" s="51" t="s">
        <v>163</v>
      </c>
      <c r="E284" s="51" t="s">
        <v>269</v>
      </c>
      <c r="F284" s="51" t="n">
        <v>6</v>
      </c>
      <c r="G284" s="52" t="n">
        <v>26</v>
      </c>
      <c r="H284" s="52" t="n">
        <f aca="false">G284*F284</f>
        <v>156</v>
      </c>
      <c r="I284" s="51" t="s">
        <v>334</v>
      </c>
    </row>
    <row r="285" customFormat="false" ht="14.25" hidden="false" customHeight="true" outlineLevel="0" collapsed="false">
      <c r="A285" s="51" t="s">
        <v>21</v>
      </c>
      <c r="B285" s="51" t="s">
        <v>265</v>
      </c>
      <c r="C285" s="51" t="s">
        <v>289</v>
      </c>
      <c r="D285" s="51" t="s">
        <v>164</v>
      </c>
      <c r="E285" s="51" t="s">
        <v>269</v>
      </c>
      <c r="F285" s="51" t="n">
        <v>6</v>
      </c>
      <c r="G285" s="52" t="n">
        <v>42.77</v>
      </c>
      <c r="H285" s="52" t="n">
        <f aca="false">G285*F285</f>
        <v>256.62</v>
      </c>
      <c r="I285" s="51" t="s">
        <v>334</v>
      </c>
    </row>
    <row r="286" customFormat="false" ht="14.25" hidden="false" customHeight="true" outlineLevel="0" collapsed="false">
      <c r="A286" s="51" t="s">
        <v>21</v>
      </c>
      <c r="B286" s="51" t="s">
        <v>265</v>
      </c>
      <c r="C286" s="51" t="s">
        <v>44</v>
      </c>
      <c r="D286" s="51" t="s">
        <v>162</v>
      </c>
      <c r="E286" s="51" t="s">
        <v>269</v>
      </c>
      <c r="F286" s="51" t="n">
        <v>6</v>
      </c>
      <c r="G286" s="52" t="n">
        <v>63.75</v>
      </c>
      <c r="H286" s="52" t="n">
        <f aca="false">G286*F286</f>
        <v>382.5</v>
      </c>
      <c r="I286" s="51" t="s">
        <v>334</v>
      </c>
    </row>
    <row r="287" customFormat="false" ht="14.25" hidden="false" customHeight="true" outlineLevel="0" collapsed="false">
      <c r="A287" s="51" t="s">
        <v>21</v>
      </c>
      <c r="B287" s="51" t="s">
        <v>265</v>
      </c>
      <c r="C287" s="51" t="s">
        <v>44</v>
      </c>
      <c r="D287" s="51" t="s">
        <v>192</v>
      </c>
      <c r="E287" s="51" t="s">
        <v>269</v>
      </c>
      <c r="F287" s="51" t="n">
        <v>1</v>
      </c>
      <c r="G287" s="52" t="n">
        <v>56.91</v>
      </c>
      <c r="H287" s="52" t="n">
        <f aca="false">G287*F287</f>
        <v>56.91</v>
      </c>
      <c r="I287" s="51" t="s">
        <v>340</v>
      </c>
    </row>
    <row r="288" customFormat="false" ht="14.25" hidden="false" customHeight="true" outlineLevel="0" collapsed="false">
      <c r="A288" s="51" t="s">
        <v>21</v>
      </c>
      <c r="B288" s="51" t="s">
        <v>265</v>
      </c>
      <c r="C288" s="51" t="s">
        <v>295</v>
      </c>
      <c r="D288" s="51" t="s">
        <v>193</v>
      </c>
      <c r="E288" s="51" t="s">
        <v>269</v>
      </c>
      <c r="F288" s="51" t="n">
        <v>1</v>
      </c>
      <c r="G288" s="52" t="n">
        <v>109.17</v>
      </c>
      <c r="H288" s="52" t="n">
        <f aca="false">G288*F288</f>
        <v>109.17</v>
      </c>
      <c r="I288" s="51" t="s">
        <v>340</v>
      </c>
    </row>
    <row r="289" customFormat="false" ht="14.25" hidden="false" customHeight="true" outlineLevel="0" collapsed="false">
      <c r="A289" s="51" t="s">
        <v>21</v>
      </c>
      <c r="B289" s="51" t="s">
        <v>265</v>
      </c>
      <c r="C289" s="51" t="s">
        <v>295</v>
      </c>
      <c r="D289" s="51" t="s">
        <v>195</v>
      </c>
      <c r="E289" s="51" t="s">
        <v>269</v>
      </c>
      <c r="F289" s="51" t="n">
        <v>1</v>
      </c>
      <c r="G289" s="52" t="n">
        <v>31.65</v>
      </c>
      <c r="H289" s="52" t="n">
        <f aca="false">G289*F289</f>
        <v>31.65</v>
      </c>
      <c r="I289" s="51" t="s">
        <v>340</v>
      </c>
    </row>
    <row r="290" customFormat="false" ht="14.25" hidden="false" customHeight="true" outlineLevel="0" collapsed="false">
      <c r="A290" s="51" t="s">
        <v>21</v>
      </c>
      <c r="B290" s="51" t="s">
        <v>265</v>
      </c>
      <c r="C290" s="51" t="s">
        <v>296</v>
      </c>
      <c r="D290" s="51" t="s">
        <v>191</v>
      </c>
      <c r="E290" s="51" t="s">
        <v>269</v>
      </c>
      <c r="F290" s="51" t="n">
        <v>6</v>
      </c>
      <c r="G290" s="52" t="n">
        <v>30</v>
      </c>
      <c r="H290" s="52" t="n">
        <f aca="false">G290*F290</f>
        <v>180</v>
      </c>
      <c r="I290" s="51" t="s">
        <v>334</v>
      </c>
    </row>
    <row r="291" customFormat="false" ht="14.25" hidden="false" customHeight="true" outlineLevel="0" collapsed="false">
      <c r="A291" s="51" t="s">
        <v>21</v>
      </c>
      <c r="B291" s="51" t="s">
        <v>265</v>
      </c>
      <c r="C291" s="51" t="s">
        <v>294</v>
      </c>
      <c r="D291" s="51" t="s">
        <v>160</v>
      </c>
      <c r="E291" s="51" t="s">
        <v>269</v>
      </c>
      <c r="F291" s="51" t="n">
        <v>6</v>
      </c>
      <c r="G291" s="52" t="n">
        <v>9.85</v>
      </c>
      <c r="H291" s="52" t="n">
        <f aca="false">G291*F291</f>
        <v>59.1</v>
      </c>
      <c r="I291" s="51" t="s">
        <v>334</v>
      </c>
    </row>
    <row r="292" customFormat="false" ht="14.25" hidden="false" customHeight="true" outlineLevel="0" collapsed="false">
      <c r="A292" s="51" t="s">
        <v>21</v>
      </c>
      <c r="B292" s="51" t="s">
        <v>265</v>
      </c>
      <c r="C292" s="51" t="s">
        <v>294</v>
      </c>
      <c r="D292" s="51" t="s">
        <v>161</v>
      </c>
      <c r="E292" s="51" t="s">
        <v>269</v>
      </c>
      <c r="F292" s="51" t="n">
        <v>6</v>
      </c>
      <c r="G292" s="52" t="n">
        <v>2.04</v>
      </c>
      <c r="H292" s="52" t="n">
        <f aca="false">G292*F292</f>
        <v>12.24</v>
      </c>
      <c r="I292" s="51" t="s">
        <v>334</v>
      </c>
    </row>
    <row r="293" customFormat="false" ht="14.25" hidden="false" customHeight="true" outlineLevel="0" collapsed="false">
      <c r="A293" s="51" t="s">
        <v>21</v>
      </c>
      <c r="B293" s="51" t="s">
        <v>265</v>
      </c>
      <c r="C293" s="51" t="s">
        <v>297</v>
      </c>
      <c r="D293" s="51" t="s">
        <v>196</v>
      </c>
      <c r="E293" s="51" t="s">
        <v>269</v>
      </c>
      <c r="F293" s="51" t="n">
        <v>1</v>
      </c>
      <c r="G293" s="52" t="n">
        <v>799.48</v>
      </c>
      <c r="H293" s="52" t="n">
        <f aca="false">G293*F293</f>
        <v>799.48</v>
      </c>
      <c r="I293" s="51" t="s">
        <v>303</v>
      </c>
    </row>
    <row r="294" customFormat="false" ht="14.25" hidden="false" customHeight="true" outlineLevel="0" collapsed="false">
      <c r="A294" s="51" t="s">
        <v>21</v>
      </c>
      <c r="B294" s="51" t="s">
        <v>265</v>
      </c>
      <c r="C294" s="51" t="s">
        <v>289</v>
      </c>
      <c r="D294" s="51" t="s">
        <v>190</v>
      </c>
      <c r="E294" s="51" t="s">
        <v>270</v>
      </c>
      <c r="F294" s="51" t="n">
        <v>1</v>
      </c>
      <c r="G294" s="52" t="n">
        <v>17414.61856</v>
      </c>
      <c r="H294" s="52" t="n">
        <f aca="false">G294*F294</f>
        <v>17414.61856</v>
      </c>
      <c r="I294" s="51" t="s">
        <v>341</v>
      </c>
    </row>
    <row r="295" customFormat="false" ht="15" hidden="false" customHeight="true" outlineLevel="0" collapsed="false">
      <c r="A295" s="51" t="s">
        <v>21</v>
      </c>
      <c r="B295" s="51" t="s">
        <v>265</v>
      </c>
      <c r="C295" s="51" t="s">
        <v>289</v>
      </c>
      <c r="D295" s="51" t="s">
        <v>291</v>
      </c>
      <c r="E295" s="51" t="s">
        <v>270</v>
      </c>
      <c r="F295" s="51" t="n">
        <v>1</v>
      </c>
      <c r="G295" s="52" t="n">
        <v>693.66</v>
      </c>
      <c r="H295" s="52" t="n">
        <f aca="false">G295*F295</f>
        <v>693.66</v>
      </c>
      <c r="I295" s="51" t="s">
        <v>342</v>
      </c>
    </row>
    <row r="296" customFormat="false" ht="14.25" hidden="false" customHeight="true" outlineLevel="0" collapsed="false">
      <c r="A296" s="51" t="s">
        <v>21</v>
      </c>
      <c r="B296" s="51" t="s">
        <v>265</v>
      </c>
      <c r="C296" s="51" t="s">
        <v>289</v>
      </c>
      <c r="D296" s="51" t="s">
        <v>163</v>
      </c>
      <c r="E296" s="51" t="s">
        <v>270</v>
      </c>
      <c r="F296" s="51" t="n">
        <v>11</v>
      </c>
      <c r="G296" s="52" t="n">
        <v>26</v>
      </c>
      <c r="H296" s="52" t="n">
        <f aca="false">G296*F296</f>
        <v>286</v>
      </c>
      <c r="I296" s="51" t="s">
        <v>334</v>
      </c>
    </row>
    <row r="297" customFormat="false" ht="14.25" hidden="false" customHeight="true" outlineLevel="0" collapsed="false">
      <c r="A297" s="51" t="s">
        <v>21</v>
      </c>
      <c r="B297" s="51" t="s">
        <v>265</v>
      </c>
      <c r="C297" s="51" t="s">
        <v>289</v>
      </c>
      <c r="D297" s="51" t="s">
        <v>164</v>
      </c>
      <c r="E297" s="51" t="s">
        <v>270</v>
      </c>
      <c r="F297" s="51" t="n">
        <v>11</v>
      </c>
      <c r="G297" s="52" t="n">
        <v>42.77</v>
      </c>
      <c r="H297" s="52" t="n">
        <f aca="false">G297*F297</f>
        <v>470.47</v>
      </c>
      <c r="I297" s="51" t="s">
        <v>334</v>
      </c>
    </row>
    <row r="298" customFormat="false" ht="14.25" hidden="false" customHeight="true" outlineLevel="0" collapsed="false">
      <c r="A298" s="51" t="s">
        <v>21</v>
      </c>
      <c r="B298" s="51" t="s">
        <v>265</v>
      </c>
      <c r="C298" s="51" t="s">
        <v>44</v>
      </c>
      <c r="D298" s="51" t="s">
        <v>162</v>
      </c>
      <c r="E298" s="51" t="s">
        <v>270</v>
      </c>
      <c r="F298" s="51" t="n">
        <v>11</v>
      </c>
      <c r="G298" s="52" t="n">
        <v>63.75</v>
      </c>
      <c r="H298" s="52" t="n">
        <f aca="false">G298*F298</f>
        <v>701.25</v>
      </c>
      <c r="I298" s="51" t="s">
        <v>334</v>
      </c>
    </row>
    <row r="299" customFormat="false" ht="14.25" hidden="false" customHeight="true" outlineLevel="0" collapsed="false">
      <c r="A299" s="51" t="s">
        <v>21</v>
      </c>
      <c r="B299" s="51" t="s">
        <v>265</v>
      </c>
      <c r="C299" s="51" t="s">
        <v>44</v>
      </c>
      <c r="D299" s="51" t="s">
        <v>192</v>
      </c>
      <c r="E299" s="51" t="s">
        <v>270</v>
      </c>
      <c r="F299" s="51" t="n">
        <v>1</v>
      </c>
      <c r="G299" s="52" t="n">
        <v>93.18</v>
      </c>
      <c r="H299" s="52" t="n">
        <f aca="false">G299*F299</f>
        <v>93.18</v>
      </c>
      <c r="I299" s="51" t="s">
        <v>342</v>
      </c>
    </row>
    <row r="300" customFormat="false" ht="14.25" hidden="false" customHeight="true" outlineLevel="0" collapsed="false">
      <c r="A300" s="51" t="s">
        <v>21</v>
      </c>
      <c r="B300" s="51" t="s">
        <v>265</v>
      </c>
      <c r="C300" s="51" t="s">
        <v>295</v>
      </c>
      <c r="D300" s="51" t="s">
        <v>193</v>
      </c>
      <c r="E300" s="51" t="s">
        <v>270</v>
      </c>
      <c r="F300" s="51" t="n">
        <v>1</v>
      </c>
      <c r="G300" s="52" t="n">
        <v>178.75</v>
      </c>
      <c r="H300" s="52" t="n">
        <f aca="false">G300*F300</f>
        <v>178.75</v>
      </c>
      <c r="I300" s="51" t="s">
        <v>342</v>
      </c>
    </row>
    <row r="301" customFormat="false" ht="14.25" hidden="false" customHeight="true" outlineLevel="0" collapsed="false">
      <c r="A301" s="51" t="s">
        <v>21</v>
      </c>
      <c r="B301" s="51" t="s">
        <v>265</v>
      </c>
      <c r="C301" s="51" t="s">
        <v>295</v>
      </c>
      <c r="D301" s="51" t="s">
        <v>195</v>
      </c>
      <c r="E301" s="51" t="s">
        <v>270</v>
      </c>
      <c r="F301" s="51" t="n">
        <v>1</v>
      </c>
      <c r="G301" s="52" t="n">
        <v>51.82</v>
      </c>
      <c r="H301" s="52" t="n">
        <f aca="false">G301*F301</f>
        <v>51.82</v>
      </c>
      <c r="I301" s="51" t="s">
        <v>342</v>
      </c>
    </row>
    <row r="302" customFormat="false" ht="14.25" hidden="false" customHeight="true" outlineLevel="0" collapsed="false">
      <c r="A302" s="51" t="s">
        <v>21</v>
      </c>
      <c r="B302" s="51" t="s">
        <v>265</v>
      </c>
      <c r="C302" s="51" t="s">
        <v>296</v>
      </c>
      <c r="D302" s="51" t="s">
        <v>191</v>
      </c>
      <c r="E302" s="51" t="s">
        <v>270</v>
      </c>
      <c r="F302" s="51" t="n">
        <v>11</v>
      </c>
      <c r="G302" s="52" t="n">
        <v>30</v>
      </c>
      <c r="H302" s="52" t="n">
        <f aca="false">G302*F302</f>
        <v>330</v>
      </c>
      <c r="I302" s="51" t="s">
        <v>334</v>
      </c>
    </row>
    <row r="303" customFormat="false" ht="14.25" hidden="false" customHeight="true" outlineLevel="0" collapsed="false">
      <c r="A303" s="51" t="s">
        <v>21</v>
      </c>
      <c r="B303" s="51" t="s">
        <v>265</v>
      </c>
      <c r="C303" s="51" t="s">
        <v>294</v>
      </c>
      <c r="D303" s="51" t="s">
        <v>160</v>
      </c>
      <c r="E303" s="51" t="s">
        <v>270</v>
      </c>
      <c r="F303" s="51" t="n">
        <v>11</v>
      </c>
      <c r="G303" s="52" t="n">
        <v>9.85</v>
      </c>
      <c r="H303" s="52" t="n">
        <f aca="false">G303*F303</f>
        <v>108.35</v>
      </c>
      <c r="I303" s="51" t="s">
        <v>334</v>
      </c>
    </row>
    <row r="304" customFormat="false" ht="14.25" hidden="false" customHeight="true" outlineLevel="0" collapsed="false">
      <c r="A304" s="51" t="s">
        <v>21</v>
      </c>
      <c r="B304" s="51" t="s">
        <v>265</v>
      </c>
      <c r="C304" s="51" t="s">
        <v>294</v>
      </c>
      <c r="D304" s="51" t="s">
        <v>161</v>
      </c>
      <c r="E304" s="51" t="s">
        <v>270</v>
      </c>
      <c r="F304" s="51" t="n">
        <v>11</v>
      </c>
      <c r="G304" s="52" t="n">
        <v>2.04</v>
      </c>
      <c r="H304" s="52" t="n">
        <f aca="false">G304*F304</f>
        <v>22.44</v>
      </c>
      <c r="I304" s="51" t="s">
        <v>334</v>
      </c>
    </row>
    <row r="305" customFormat="false" ht="14.25" hidden="false" customHeight="true" outlineLevel="0" collapsed="false">
      <c r="A305" s="51" t="s">
        <v>21</v>
      </c>
      <c r="B305" s="51" t="s">
        <v>265</v>
      </c>
      <c r="C305" s="51" t="s">
        <v>289</v>
      </c>
      <c r="D305" s="51" t="s">
        <v>322</v>
      </c>
      <c r="E305" s="51" t="s">
        <v>270</v>
      </c>
      <c r="F305" s="51" t="n">
        <v>1</v>
      </c>
      <c r="G305" s="52" t="n">
        <v>6816.97</v>
      </c>
      <c r="H305" s="52" t="n">
        <f aca="false">G305*F305</f>
        <v>6816.97</v>
      </c>
      <c r="I305" s="51" t="s">
        <v>336</v>
      </c>
    </row>
    <row r="306" customFormat="false" ht="14.25" hidden="false" customHeight="true" outlineLevel="0" collapsed="false">
      <c r="A306" s="51" t="s">
        <v>21</v>
      </c>
      <c r="B306" s="51" t="s">
        <v>265</v>
      </c>
      <c r="C306" s="51" t="s">
        <v>289</v>
      </c>
      <c r="D306" s="51" t="s">
        <v>190</v>
      </c>
      <c r="E306" s="51" t="s">
        <v>273</v>
      </c>
      <c r="F306" s="51" t="n">
        <v>1</v>
      </c>
      <c r="G306" s="52" t="n">
        <v>34886.0380622222</v>
      </c>
      <c r="H306" s="52" t="n">
        <f aca="false">G306*F306</f>
        <v>34886.0380622222</v>
      </c>
      <c r="I306" s="51" t="s">
        <v>343</v>
      </c>
    </row>
    <row r="307" customFormat="false" ht="14.25" hidden="false" customHeight="true" outlineLevel="0" collapsed="false">
      <c r="A307" s="51" t="s">
        <v>21</v>
      </c>
      <c r="B307" s="1" t="s">
        <v>265</v>
      </c>
      <c r="C307" s="1" t="s">
        <v>289</v>
      </c>
      <c r="D307" s="1" t="s">
        <v>291</v>
      </c>
      <c r="E307" s="1" t="s">
        <v>273</v>
      </c>
      <c r="F307" s="1" t="n">
        <v>1</v>
      </c>
      <c r="G307" s="1" t="n">
        <v>1152.22</v>
      </c>
      <c r="H307" s="52" t="n">
        <f aca="false">G307*F307</f>
        <v>1152.22</v>
      </c>
      <c r="I307" s="51" t="s">
        <v>344</v>
      </c>
    </row>
    <row r="308" customFormat="false" ht="14.25" hidden="false" customHeight="true" outlineLevel="0" collapsed="false">
      <c r="A308" s="51" t="s">
        <v>21</v>
      </c>
      <c r="B308" s="51" t="s">
        <v>265</v>
      </c>
      <c r="C308" s="51" t="s">
        <v>289</v>
      </c>
      <c r="D308" s="51" t="s">
        <v>163</v>
      </c>
      <c r="E308" s="51" t="s">
        <v>273</v>
      </c>
      <c r="F308" s="51" t="n">
        <v>17</v>
      </c>
      <c r="G308" s="52" t="n">
        <v>26</v>
      </c>
      <c r="H308" s="52" t="n">
        <f aca="false">G308*F308</f>
        <v>442</v>
      </c>
      <c r="I308" s="51" t="s">
        <v>334</v>
      </c>
    </row>
    <row r="309" customFormat="false" ht="14.25" hidden="false" customHeight="true" outlineLevel="0" collapsed="false">
      <c r="A309" s="51" t="s">
        <v>21</v>
      </c>
      <c r="B309" s="1" t="s">
        <v>265</v>
      </c>
      <c r="C309" s="1" t="s">
        <v>289</v>
      </c>
      <c r="D309" s="1" t="s">
        <v>164</v>
      </c>
      <c r="E309" s="1" t="s">
        <v>273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334</v>
      </c>
    </row>
    <row r="310" customFormat="false" ht="14.25" hidden="false" customHeight="true" outlineLevel="0" collapsed="false">
      <c r="A310" s="51" t="s">
        <v>21</v>
      </c>
      <c r="B310" s="51" t="s">
        <v>265</v>
      </c>
      <c r="C310" s="51" t="s">
        <v>44</v>
      </c>
      <c r="D310" s="51" t="s">
        <v>162</v>
      </c>
      <c r="E310" s="51" t="s">
        <v>273</v>
      </c>
      <c r="F310" s="51" t="n">
        <v>17</v>
      </c>
      <c r="G310" s="52" t="n">
        <v>63.75</v>
      </c>
      <c r="H310" s="52" t="n">
        <f aca="false">G310*F310</f>
        <v>1083.75</v>
      </c>
      <c r="I310" s="51" t="s">
        <v>334</v>
      </c>
    </row>
    <row r="311" customFormat="false" ht="14.25" hidden="false" customHeight="true" outlineLevel="0" collapsed="false">
      <c r="A311" s="51" t="s">
        <v>21</v>
      </c>
      <c r="B311" s="51" t="s">
        <v>265</v>
      </c>
      <c r="C311" s="51" t="s">
        <v>44</v>
      </c>
      <c r="D311" s="51" t="s">
        <v>192</v>
      </c>
      <c r="E311" s="51" t="s">
        <v>273</v>
      </c>
      <c r="F311" s="51" t="n">
        <v>1</v>
      </c>
      <c r="G311" s="52" t="n">
        <v>154.78</v>
      </c>
      <c r="H311" s="52" t="n">
        <f aca="false">G311*F311</f>
        <v>154.78</v>
      </c>
      <c r="I311" s="51" t="s">
        <v>344</v>
      </c>
    </row>
    <row r="312" customFormat="false" ht="14.25" hidden="false" customHeight="true" outlineLevel="0" collapsed="false">
      <c r="A312" s="51" t="s">
        <v>21</v>
      </c>
      <c r="B312" s="51" t="s">
        <v>265</v>
      </c>
      <c r="C312" s="51" t="s">
        <v>295</v>
      </c>
      <c r="D312" s="51" t="s">
        <v>193</v>
      </c>
      <c r="E312" s="51" t="s">
        <v>273</v>
      </c>
      <c r="F312" s="51" t="n">
        <v>1</v>
      </c>
      <c r="G312" s="52" t="n">
        <v>296.91</v>
      </c>
      <c r="H312" s="52" t="n">
        <f aca="false">G312*F312</f>
        <v>296.91</v>
      </c>
      <c r="I312" s="51" t="s">
        <v>344</v>
      </c>
    </row>
    <row r="313" customFormat="false" ht="14.25" hidden="false" customHeight="true" outlineLevel="0" collapsed="false">
      <c r="A313" s="51" t="s">
        <v>21</v>
      </c>
      <c r="B313" s="51" t="s">
        <v>265</v>
      </c>
      <c r="C313" s="51" t="s">
        <v>295</v>
      </c>
      <c r="D313" s="51" t="s">
        <v>195</v>
      </c>
      <c r="E313" s="51" t="s">
        <v>273</v>
      </c>
      <c r="F313" s="51" t="n">
        <v>1</v>
      </c>
      <c r="G313" s="52" t="n">
        <v>86.07</v>
      </c>
      <c r="H313" s="52" t="n">
        <f aca="false">G313*F313</f>
        <v>86.07</v>
      </c>
      <c r="I313" s="51" t="s">
        <v>344</v>
      </c>
    </row>
    <row r="314" customFormat="false" ht="14.25" hidden="false" customHeight="true" outlineLevel="0" collapsed="false">
      <c r="A314" s="51" t="s">
        <v>21</v>
      </c>
      <c r="B314" s="51" t="s">
        <v>265</v>
      </c>
      <c r="C314" s="51" t="s">
        <v>296</v>
      </c>
      <c r="D314" s="51" t="s">
        <v>191</v>
      </c>
      <c r="E314" s="51" t="s">
        <v>273</v>
      </c>
      <c r="F314" s="51" t="n">
        <v>17</v>
      </c>
      <c r="G314" s="52" t="n">
        <v>30</v>
      </c>
      <c r="H314" s="52" t="n">
        <f aca="false">G314*F314</f>
        <v>510</v>
      </c>
      <c r="I314" s="51" t="s">
        <v>334</v>
      </c>
    </row>
    <row r="315" customFormat="false" ht="14.25" hidden="false" customHeight="true" outlineLevel="0" collapsed="false">
      <c r="A315" s="51" t="s">
        <v>21</v>
      </c>
      <c r="B315" s="51" t="s">
        <v>265</v>
      </c>
      <c r="C315" s="51" t="s">
        <v>294</v>
      </c>
      <c r="D315" s="51" t="s">
        <v>160</v>
      </c>
      <c r="E315" s="51" t="s">
        <v>273</v>
      </c>
      <c r="F315" s="51" t="n">
        <v>17</v>
      </c>
      <c r="G315" s="52" t="n">
        <v>9.85</v>
      </c>
      <c r="H315" s="52" t="n">
        <f aca="false">G315*F315</f>
        <v>167.45</v>
      </c>
      <c r="I315" s="51" t="s">
        <v>334</v>
      </c>
    </row>
    <row r="316" customFormat="false" ht="14.25" hidden="false" customHeight="true" outlineLevel="0" collapsed="false">
      <c r="A316" s="51" t="s">
        <v>21</v>
      </c>
      <c r="B316" s="51" t="s">
        <v>265</v>
      </c>
      <c r="C316" s="51" t="s">
        <v>294</v>
      </c>
      <c r="D316" s="51" t="s">
        <v>161</v>
      </c>
      <c r="E316" s="51" t="s">
        <v>273</v>
      </c>
      <c r="F316" s="51" t="n">
        <v>17</v>
      </c>
      <c r="G316" s="52" t="n">
        <v>2.04</v>
      </c>
      <c r="H316" s="52" t="n">
        <f aca="false">G316*F316</f>
        <v>34.68</v>
      </c>
      <c r="I316" s="51" t="s">
        <v>334</v>
      </c>
    </row>
    <row r="317" customFormat="false" ht="14.25" hidden="false" customHeight="true" outlineLevel="0" collapsed="false">
      <c r="A317" s="51" t="s">
        <v>21</v>
      </c>
      <c r="B317" s="51" t="s">
        <v>265</v>
      </c>
      <c r="C317" s="51" t="s">
        <v>297</v>
      </c>
      <c r="D317" s="51" t="s">
        <v>196</v>
      </c>
      <c r="E317" s="51" t="s">
        <v>273</v>
      </c>
      <c r="F317" s="51" t="n">
        <v>1</v>
      </c>
      <c r="G317" s="52" t="n">
        <v>4021.66</v>
      </c>
      <c r="H317" s="52" t="n">
        <f aca="false">G317*F317</f>
        <v>4021.66</v>
      </c>
      <c r="I317" s="51" t="s">
        <v>345</v>
      </c>
    </row>
    <row r="318" customFormat="false" ht="14.25" hidden="false" customHeight="true" outlineLevel="0" collapsed="false">
      <c r="A318" s="51" t="s">
        <v>21</v>
      </c>
      <c r="B318" s="51" t="s">
        <v>277</v>
      </c>
      <c r="C318" s="51" t="s">
        <v>289</v>
      </c>
      <c r="D318" s="51" t="s">
        <v>190</v>
      </c>
      <c r="E318" s="51" t="s">
        <v>276</v>
      </c>
      <c r="F318" s="51" t="n">
        <v>1</v>
      </c>
      <c r="G318" s="52" t="n">
        <v>24757.86</v>
      </c>
      <c r="H318" s="52" t="n">
        <f aca="false">G318*F318</f>
        <v>24757.86</v>
      </c>
      <c r="I318" s="51" t="s">
        <v>346</v>
      </c>
    </row>
    <row r="319" customFormat="false" ht="14.25" hidden="false" customHeight="true" outlineLevel="0" collapsed="false">
      <c r="A319" s="51" t="s">
        <v>21</v>
      </c>
      <c r="B319" s="51" t="s">
        <v>277</v>
      </c>
      <c r="C319" s="51" t="s">
        <v>289</v>
      </c>
      <c r="D319" s="51" t="s">
        <v>163</v>
      </c>
      <c r="E319" s="51" t="s">
        <v>276</v>
      </c>
      <c r="F319" s="51" t="n">
        <v>14</v>
      </c>
      <c r="G319" s="52" t="n">
        <v>26</v>
      </c>
      <c r="H319" s="52" t="n">
        <f aca="false">G319*F319</f>
        <v>364</v>
      </c>
      <c r="I319" s="51" t="s">
        <v>334</v>
      </c>
    </row>
    <row r="320" customFormat="false" ht="14.25" hidden="false" customHeight="true" outlineLevel="0" collapsed="false">
      <c r="A320" s="51" t="s">
        <v>21</v>
      </c>
      <c r="B320" s="51" t="s">
        <v>277</v>
      </c>
      <c r="C320" s="51" t="s">
        <v>289</v>
      </c>
      <c r="D320" s="51" t="s">
        <v>164</v>
      </c>
      <c r="E320" s="51" t="s">
        <v>276</v>
      </c>
      <c r="F320" s="51" t="n">
        <v>14</v>
      </c>
      <c r="G320" s="52" t="n">
        <v>42.77</v>
      </c>
      <c r="H320" s="52" t="n">
        <f aca="false">G320*F320</f>
        <v>598.78</v>
      </c>
      <c r="I320" s="51" t="s">
        <v>334</v>
      </c>
    </row>
    <row r="321" customFormat="false" ht="14.25" hidden="false" customHeight="true" outlineLevel="0" collapsed="false">
      <c r="A321" s="51" t="s">
        <v>21</v>
      </c>
      <c r="B321" s="51" t="s">
        <v>277</v>
      </c>
      <c r="C321" s="51" t="s">
        <v>44</v>
      </c>
      <c r="D321" s="51" t="s">
        <v>162</v>
      </c>
      <c r="E321" s="51" t="s">
        <v>276</v>
      </c>
      <c r="F321" s="51" t="n">
        <v>14</v>
      </c>
      <c r="G321" s="52" t="n">
        <v>63.75</v>
      </c>
      <c r="H321" s="52" t="n">
        <f aca="false">G321*F321</f>
        <v>892.5</v>
      </c>
      <c r="I321" s="51" t="s">
        <v>334</v>
      </c>
    </row>
    <row r="322" customFormat="false" ht="14.25" hidden="false" customHeight="true" outlineLevel="0" collapsed="false">
      <c r="A322" s="51" t="s">
        <v>21</v>
      </c>
      <c r="B322" s="51" t="s">
        <v>277</v>
      </c>
      <c r="C322" s="51" t="s">
        <v>44</v>
      </c>
      <c r="D322" s="51" t="s">
        <v>192</v>
      </c>
      <c r="E322" s="51" t="s">
        <v>276</v>
      </c>
      <c r="F322" s="51" t="n">
        <v>1</v>
      </c>
      <c r="G322" s="52" t="n">
        <v>151.6</v>
      </c>
      <c r="H322" s="52" t="n">
        <f aca="false">G322*F322</f>
        <v>151.6</v>
      </c>
      <c r="I322" s="51" t="s">
        <v>347</v>
      </c>
    </row>
    <row r="323" customFormat="false" ht="14.25" hidden="false" customHeight="true" outlineLevel="0" collapsed="false">
      <c r="A323" s="51" t="s">
        <v>21</v>
      </c>
      <c r="B323" s="51" t="s">
        <v>277</v>
      </c>
      <c r="C323" s="51" t="s">
        <v>296</v>
      </c>
      <c r="D323" s="51" t="s">
        <v>191</v>
      </c>
      <c r="E323" s="51" t="s">
        <v>276</v>
      </c>
      <c r="F323" s="51" t="n">
        <v>14</v>
      </c>
      <c r="G323" s="52" t="n">
        <v>30</v>
      </c>
      <c r="H323" s="52" t="n">
        <f aca="false">G323*F323</f>
        <v>420</v>
      </c>
      <c r="I323" s="51" t="s">
        <v>334</v>
      </c>
    </row>
    <row r="324" customFormat="false" ht="15" hidden="false" customHeight="true" outlineLevel="0" collapsed="false">
      <c r="A324" s="51" t="s">
        <v>21</v>
      </c>
      <c r="B324" s="51" t="s">
        <v>277</v>
      </c>
      <c r="C324" s="51" t="s">
        <v>294</v>
      </c>
      <c r="D324" s="51" t="s">
        <v>160</v>
      </c>
      <c r="E324" s="51" t="s">
        <v>276</v>
      </c>
      <c r="F324" s="51" t="n">
        <v>14</v>
      </c>
      <c r="G324" s="52" t="n">
        <v>9.85</v>
      </c>
      <c r="H324" s="52" t="n">
        <f aca="false">G324*F324</f>
        <v>137.9</v>
      </c>
      <c r="I324" s="51" t="s">
        <v>334</v>
      </c>
    </row>
    <row r="325" customFormat="false" ht="14.25" hidden="false" customHeight="true" outlineLevel="0" collapsed="false">
      <c r="A325" s="51" t="s">
        <v>21</v>
      </c>
      <c r="B325" s="51" t="s">
        <v>277</v>
      </c>
      <c r="C325" s="51" t="s">
        <v>294</v>
      </c>
      <c r="D325" s="51" t="s">
        <v>161</v>
      </c>
      <c r="E325" s="51" t="s">
        <v>276</v>
      </c>
      <c r="F325" s="51" t="n">
        <v>14</v>
      </c>
      <c r="G325" s="52" t="n">
        <v>2.04</v>
      </c>
      <c r="H325" s="52" t="n">
        <f aca="false">G325*F325</f>
        <v>28.56</v>
      </c>
      <c r="I325" s="51" t="s">
        <v>334</v>
      </c>
    </row>
    <row r="326" customFormat="false" ht="14.25" hidden="false" customHeight="true" outlineLevel="0" collapsed="false">
      <c r="A326" s="51" t="s">
        <v>21</v>
      </c>
      <c r="B326" s="51" t="s">
        <v>277</v>
      </c>
      <c r="C326" s="51" t="s">
        <v>297</v>
      </c>
      <c r="D326" s="51" t="s">
        <v>196</v>
      </c>
      <c r="E326" s="51" t="s">
        <v>276</v>
      </c>
      <c r="F326" s="51" t="n">
        <v>1</v>
      </c>
      <c r="G326" s="52" t="n">
        <v>1619.89</v>
      </c>
      <c r="H326" s="52" t="n">
        <f aca="false">G326*F326</f>
        <v>1619.89</v>
      </c>
      <c r="I326" s="51" t="s">
        <v>303</v>
      </c>
    </row>
    <row r="327" customFormat="false" ht="14.25" hidden="false" customHeight="true" outlineLevel="0" collapsed="false">
      <c r="A327" s="51" t="s">
        <v>21</v>
      </c>
      <c r="B327" s="51" t="s">
        <v>277</v>
      </c>
      <c r="C327" s="51" t="s">
        <v>289</v>
      </c>
      <c r="D327" s="51" t="s">
        <v>322</v>
      </c>
      <c r="E327" s="51" t="s">
        <v>276</v>
      </c>
      <c r="F327" s="51" t="n">
        <v>1</v>
      </c>
      <c r="G327" s="52" t="n">
        <v>13894.53</v>
      </c>
      <c r="H327" s="52" t="n">
        <f aca="false">G327*F327</f>
        <v>13894.53</v>
      </c>
      <c r="I327" s="51" t="s">
        <v>336</v>
      </c>
    </row>
    <row r="328" customFormat="false" ht="14.25" hidden="false" customHeight="true" outlineLevel="0" collapsed="false">
      <c r="A328" s="51" t="s">
        <v>21</v>
      </c>
      <c r="B328" s="51" t="s">
        <v>272</v>
      </c>
      <c r="C328" s="51" t="s">
        <v>289</v>
      </c>
      <c r="D328" s="51" t="s">
        <v>190</v>
      </c>
      <c r="E328" s="51" t="s">
        <v>270</v>
      </c>
      <c r="F328" s="51" t="n">
        <v>1</v>
      </c>
      <c r="G328" s="52" t="n">
        <v>5461.35</v>
      </c>
      <c r="H328" s="52" t="n">
        <f aca="false">G328*F328</f>
        <v>5461.35</v>
      </c>
      <c r="I328" s="51" t="s">
        <v>348</v>
      </c>
    </row>
    <row r="329" customFormat="false" ht="14.25" hidden="false" customHeight="true" outlineLevel="0" collapsed="false">
      <c r="A329" s="51" t="s">
        <v>21</v>
      </c>
      <c r="B329" s="51" t="s">
        <v>272</v>
      </c>
      <c r="C329" s="51" t="s">
        <v>289</v>
      </c>
      <c r="D329" s="51" t="s">
        <v>163</v>
      </c>
      <c r="E329" s="51" t="s">
        <v>270</v>
      </c>
      <c r="F329" s="51" t="n">
        <v>2</v>
      </c>
      <c r="G329" s="52" t="n">
        <v>26</v>
      </c>
      <c r="H329" s="52" t="n">
        <f aca="false">G329*F329</f>
        <v>52</v>
      </c>
      <c r="I329" s="51" t="s">
        <v>334</v>
      </c>
    </row>
    <row r="330" customFormat="false" ht="14.25" hidden="false" customHeight="true" outlineLevel="0" collapsed="false">
      <c r="A330" s="51" t="s">
        <v>21</v>
      </c>
      <c r="B330" s="51" t="s">
        <v>272</v>
      </c>
      <c r="C330" s="51" t="s">
        <v>289</v>
      </c>
      <c r="D330" s="51" t="s">
        <v>164</v>
      </c>
      <c r="E330" s="51" t="s">
        <v>270</v>
      </c>
      <c r="F330" s="51" t="n">
        <v>2</v>
      </c>
      <c r="G330" s="52" t="n">
        <v>42.77</v>
      </c>
      <c r="H330" s="52" t="n">
        <f aca="false">G330*F330</f>
        <v>85.54</v>
      </c>
      <c r="I330" s="51" t="s">
        <v>334</v>
      </c>
    </row>
    <row r="331" customFormat="false" ht="14.25" hidden="false" customHeight="true" outlineLevel="0" collapsed="false">
      <c r="A331" s="51" t="s">
        <v>21</v>
      </c>
      <c r="B331" s="51" t="s">
        <v>272</v>
      </c>
      <c r="C331" s="51" t="s">
        <v>44</v>
      </c>
      <c r="D331" s="51" t="s">
        <v>162</v>
      </c>
      <c r="E331" s="51" t="s">
        <v>270</v>
      </c>
      <c r="F331" s="51" t="n">
        <v>2</v>
      </c>
      <c r="G331" s="52" t="n">
        <v>63.75</v>
      </c>
      <c r="H331" s="52" t="n">
        <f aca="false">G331*F331</f>
        <v>127.5</v>
      </c>
      <c r="I331" s="51" t="s">
        <v>334</v>
      </c>
    </row>
    <row r="332" customFormat="false" ht="14.25" hidden="false" customHeight="true" outlineLevel="0" collapsed="false">
      <c r="A332" s="51" t="s">
        <v>21</v>
      </c>
      <c r="B332" s="51" t="s">
        <v>272</v>
      </c>
      <c r="C332" s="51" t="s">
        <v>296</v>
      </c>
      <c r="D332" s="51" t="s">
        <v>191</v>
      </c>
      <c r="E332" s="51" t="s">
        <v>270</v>
      </c>
      <c r="F332" s="51" t="n">
        <v>2</v>
      </c>
      <c r="G332" s="52" t="n">
        <v>30</v>
      </c>
      <c r="H332" s="52" t="n">
        <f aca="false">G332*F332</f>
        <v>60</v>
      </c>
      <c r="I332" s="51" t="s">
        <v>334</v>
      </c>
    </row>
    <row r="333" customFormat="false" ht="14.25" hidden="false" customHeight="true" outlineLevel="0" collapsed="false">
      <c r="A333" s="51" t="s">
        <v>21</v>
      </c>
      <c r="B333" s="51" t="s">
        <v>272</v>
      </c>
      <c r="C333" s="51" t="s">
        <v>294</v>
      </c>
      <c r="D333" s="51" t="s">
        <v>160</v>
      </c>
      <c r="E333" s="51" t="s">
        <v>270</v>
      </c>
      <c r="F333" s="51" t="n">
        <v>2</v>
      </c>
      <c r="G333" s="52" t="n">
        <v>9.85</v>
      </c>
      <c r="H333" s="52" t="n">
        <f aca="false">G333*F333</f>
        <v>19.7</v>
      </c>
      <c r="I333" s="51" t="s">
        <v>334</v>
      </c>
    </row>
    <row r="334" customFormat="false" ht="14.25" hidden="false" customHeight="true" outlineLevel="0" collapsed="false">
      <c r="A334" s="51" t="s">
        <v>21</v>
      </c>
      <c r="B334" s="51" t="s">
        <v>272</v>
      </c>
      <c r="C334" s="51" t="s">
        <v>294</v>
      </c>
      <c r="D334" s="51" t="s">
        <v>161</v>
      </c>
      <c r="E334" s="51" t="s">
        <v>270</v>
      </c>
      <c r="F334" s="51" t="n">
        <v>2</v>
      </c>
      <c r="G334" s="52" t="n">
        <v>2.04</v>
      </c>
      <c r="H334" s="52" t="n">
        <f aca="false">G334*F334</f>
        <v>4.08</v>
      </c>
      <c r="I334" s="51" t="s">
        <v>334</v>
      </c>
    </row>
    <row r="335" customFormat="false" ht="14.25" hidden="false" customHeight="true" outlineLevel="0" collapsed="false">
      <c r="A335" s="51" t="s">
        <v>21</v>
      </c>
      <c r="B335" s="51" t="s">
        <v>272</v>
      </c>
      <c r="C335" s="51" t="s">
        <v>297</v>
      </c>
      <c r="D335" s="51" t="s">
        <v>196</v>
      </c>
      <c r="E335" s="51" t="s">
        <v>270</v>
      </c>
      <c r="F335" s="51" t="n">
        <v>1</v>
      </c>
      <c r="G335" s="52" t="n">
        <v>819.89</v>
      </c>
      <c r="H335" s="52" t="n">
        <f aca="false">G335*F335</f>
        <v>819.89</v>
      </c>
      <c r="I335" s="51" t="s">
        <v>303</v>
      </c>
    </row>
    <row r="336" customFormat="false" ht="14.25" hidden="false" customHeight="true" outlineLevel="0" collapsed="false">
      <c r="A336" s="51" t="s">
        <v>21</v>
      </c>
      <c r="B336" s="51" t="s">
        <v>280</v>
      </c>
      <c r="C336" s="51" t="s">
        <v>289</v>
      </c>
      <c r="D336" s="51" t="s">
        <v>190</v>
      </c>
      <c r="E336" s="51" t="s">
        <v>276</v>
      </c>
      <c r="F336" s="51" t="n">
        <v>1</v>
      </c>
      <c r="G336" s="52" t="n">
        <v>30952.41</v>
      </c>
      <c r="H336" s="52" t="n">
        <f aca="false">G336*F336</f>
        <v>30952.41</v>
      </c>
      <c r="I336" s="51" t="s">
        <v>349</v>
      </c>
    </row>
    <row r="337" customFormat="false" ht="14.25" hidden="false" customHeight="true" outlineLevel="0" collapsed="false">
      <c r="A337" s="51" t="s">
        <v>21</v>
      </c>
      <c r="B337" s="51" t="s">
        <v>280</v>
      </c>
      <c r="C337" s="51" t="s">
        <v>289</v>
      </c>
      <c r="D337" s="51" t="s">
        <v>291</v>
      </c>
      <c r="E337" s="51" t="s">
        <v>276</v>
      </c>
      <c r="F337" s="51" t="n">
        <v>1</v>
      </c>
      <c r="G337" s="52" t="n">
        <v>1854</v>
      </c>
      <c r="H337" s="52" t="n">
        <f aca="false">G337*F337</f>
        <v>1854</v>
      </c>
      <c r="I337" s="51" t="s">
        <v>347</v>
      </c>
    </row>
    <row r="338" customFormat="false" ht="14.25" hidden="false" customHeight="true" outlineLevel="0" collapsed="false">
      <c r="A338" s="51" t="s">
        <v>21</v>
      </c>
      <c r="B338" s="51" t="s">
        <v>280</v>
      </c>
      <c r="C338" s="51" t="s">
        <v>289</v>
      </c>
      <c r="D338" s="51" t="s">
        <v>163</v>
      </c>
      <c r="E338" s="51" t="s">
        <v>276</v>
      </c>
      <c r="F338" s="51" t="n">
        <v>20</v>
      </c>
      <c r="G338" s="52" t="n">
        <v>26</v>
      </c>
      <c r="H338" s="52" t="n">
        <f aca="false">G338*F338</f>
        <v>520</v>
      </c>
      <c r="I338" s="51" t="s">
        <v>334</v>
      </c>
    </row>
    <row r="339" customFormat="false" ht="14.25" hidden="false" customHeight="true" outlineLevel="0" collapsed="false">
      <c r="A339" s="51" t="s">
        <v>21</v>
      </c>
      <c r="B339" s="51" t="s">
        <v>280</v>
      </c>
      <c r="C339" s="51" t="s">
        <v>289</v>
      </c>
      <c r="D339" s="51" t="s">
        <v>164</v>
      </c>
      <c r="E339" s="51" t="s">
        <v>276</v>
      </c>
      <c r="F339" s="51" t="n">
        <v>20</v>
      </c>
      <c r="G339" s="52" t="n">
        <v>42.77</v>
      </c>
      <c r="H339" s="52" t="n">
        <f aca="false">G339*F339</f>
        <v>855.4</v>
      </c>
      <c r="I339" s="51" t="s">
        <v>334</v>
      </c>
    </row>
    <row r="340" customFormat="false" ht="14.25" hidden="false" customHeight="true" outlineLevel="0" collapsed="false">
      <c r="A340" s="51" t="s">
        <v>21</v>
      </c>
      <c r="B340" s="51" t="s">
        <v>280</v>
      </c>
      <c r="C340" s="51" t="s">
        <v>44</v>
      </c>
      <c r="D340" s="51" t="s">
        <v>162</v>
      </c>
      <c r="E340" s="51" t="s">
        <v>276</v>
      </c>
      <c r="F340" s="51" t="n">
        <v>20</v>
      </c>
      <c r="G340" s="52" t="n">
        <v>63.75</v>
      </c>
      <c r="H340" s="52" t="n">
        <f aca="false">G340*F340</f>
        <v>1275</v>
      </c>
      <c r="I340" s="51" t="s">
        <v>334</v>
      </c>
    </row>
    <row r="341" customFormat="false" ht="14.25" hidden="false" customHeight="true" outlineLevel="0" collapsed="false">
      <c r="A341" s="51" t="s">
        <v>21</v>
      </c>
      <c r="B341" s="51" t="s">
        <v>280</v>
      </c>
      <c r="C341" s="51" t="s">
        <v>296</v>
      </c>
      <c r="D341" s="51" t="s">
        <v>191</v>
      </c>
      <c r="E341" s="51" t="s">
        <v>276</v>
      </c>
      <c r="F341" s="51" t="n">
        <v>20</v>
      </c>
      <c r="G341" s="52" t="n">
        <v>30</v>
      </c>
      <c r="H341" s="52" t="n">
        <f aca="false">G341*F341</f>
        <v>600</v>
      </c>
      <c r="I341" s="51" t="s">
        <v>334</v>
      </c>
    </row>
    <row r="342" customFormat="false" ht="14.25" hidden="false" customHeight="true" outlineLevel="0" collapsed="false">
      <c r="A342" s="51" t="s">
        <v>21</v>
      </c>
      <c r="B342" s="51" t="s">
        <v>280</v>
      </c>
      <c r="C342" s="51" t="s">
        <v>294</v>
      </c>
      <c r="D342" s="51" t="s">
        <v>160</v>
      </c>
      <c r="E342" s="51" t="s">
        <v>276</v>
      </c>
      <c r="F342" s="51" t="n">
        <v>20</v>
      </c>
      <c r="G342" s="52" t="n">
        <v>9.85</v>
      </c>
      <c r="H342" s="52" t="n">
        <f aca="false">G342*F342</f>
        <v>197</v>
      </c>
      <c r="I342" s="51" t="s">
        <v>334</v>
      </c>
    </row>
    <row r="343" customFormat="false" ht="14.25" hidden="false" customHeight="true" outlineLevel="0" collapsed="false">
      <c r="A343" s="51" t="s">
        <v>21</v>
      </c>
      <c r="B343" s="51" t="s">
        <v>280</v>
      </c>
      <c r="C343" s="51" t="s">
        <v>294</v>
      </c>
      <c r="D343" s="51" t="s">
        <v>161</v>
      </c>
      <c r="E343" s="51" t="s">
        <v>276</v>
      </c>
      <c r="F343" s="51" t="n">
        <v>20</v>
      </c>
      <c r="G343" s="52" t="n">
        <v>2.04</v>
      </c>
      <c r="H343" s="52" t="n">
        <f aca="false">G343*F343</f>
        <v>40.8</v>
      </c>
      <c r="I343" s="51" t="s">
        <v>334</v>
      </c>
    </row>
    <row r="344" customFormat="false" ht="14.25" hidden="false" customHeight="true" outlineLevel="0" collapsed="false">
      <c r="A344" s="51" t="s">
        <v>21</v>
      </c>
      <c r="B344" s="51" t="s">
        <v>280</v>
      </c>
      <c r="C344" s="51" t="s">
        <v>297</v>
      </c>
      <c r="D344" s="51" t="s">
        <v>196</v>
      </c>
      <c r="E344" s="51" t="s">
        <v>276</v>
      </c>
      <c r="F344" s="51" t="n">
        <v>1</v>
      </c>
      <c r="G344" s="52" t="n">
        <v>8955.16</v>
      </c>
      <c r="H344" s="52" t="n">
        <f aca="false">G344*F344</f>
        <v>8955.16</v>
      </c>
      <c r="I344" s="51" t="s">
        <v>303</v>
      </c>
    </row>
    <row r="345" customFormat="false" ht="14.25" hidden="false" customHeight="true" outlineLevel="0" collapsed="false">
      <c r="A345" s="51" t="s">
        <v>21</v>
      </c>
      <c r="B345" s="51" t="s">
        <v>280</v>
      </c>
      <c r="C345" s="51" t="s">
        <v>289</v>
      </c>
      <c r="D345" s="51" t="s">
        <v>322</v>
      </c>
      <c r="E345" s="51" t="s">
        <v>276</v>
      </c>
      <c r="F345" s="51" t="n">
        <v>1</v>
      </c>
      <c r="G345" s="52" t="n">
        <v>14147.43</v>
      </c>
      <c r="H345" s="52" t="n">
        <f aca="false">G345*F345</f>
        <v>14147.43</v>
      </c>
      <c r="I345" s="51" t="s">
        <v>336</v>
      </c>
    </row>
    <row r="346" customFormat="false" ht="14.25" hidden="false" customHeight="true" outlineLevel="0" collapsed="false">
      <c r="A346" s="51" t="s">
        <v>21</v>
      </c>
      <c r="B346" s="51" t="s">
        <v>275</v>
      </c>
      <c r="C346" s="51" t="s">
        <v>289</v>
      </c>
      <c r="D346" s="51" t="s">
        <v>190</v>
      </c>
      <c r="E346" s="51" t="s">
        <v>273</v>
      </c>
      <c r="F346" s="51" t="n">
        <v>1</v>
      </c>
      <c r="G346" s="52" t="n">
        <v>9667.49</v>
      </c>
      <c r="H346" s="52" t="n">
        <f aca="false">G346*F346</f>
        <v>9667.49</v>
      </c>
      <c r="I346" s="51" t="s">
        <v>350</v>
      </c>
    </row>
    <row r="347" customFormat="false" ht="14.25" hidden="false" customHeight="true" outlineLevel="0" collapsed="false">
      <c r="A347" s="51" t="s">
        <v>21</v>
      </c>
      <c r="B347" s="51" t="s">
        <v>275</v>
      </c>
      <c r="C347" s="51" t="s">
        <v>289</v>
      </c>
      <c r="D347" s="51" t="s">
        <v>163</v>
      </c>
      <c r="E347" s="51" t="s">
        <v>273</v>
      </c>
      <c r="F347" s="51" t="n">
        <v>5</v>
      </c>
      <c r="G347" s="52" t="n">
        <v>26</v>
      </c>
      <c r="H347" s="52" t="n">
        <f aca="false">G347*F347</f>
        <v>130</v>
      </c>
      <c r="I347" s="51" t="s">
        <v>334</v>
      </c>
    </row>
    <row r="348" customFormat="false" ht="14.25" hidden="false" customHeight="true" outlineLevel="0" collapsed="false">
      <c r="A348" s="51" t="s">
        <v>21</v>
      </c>
      <c r="B348" s="51" t="s">
        <v>275</v>
      </c>
      <c r="C348" s="51" t="s">
        <v>289</v>
      </c>
      <c r="D348" s="51" t="s">
        <v>164</v>
      </c>
      <c r="E348" s="51" t="s">
        <v>273</v>
      </c>
      <c r="F348" s="51" t="n">
        <v>5</v>
      </c>
      <c r="G348" s="52" t="n">
        <v>42.77</v>
      </c>
      <c r="H348" s="52" t="n">
        <f aca="false">G348*F348</f>
        <v>213.85</v>
      </c>
      <c r="I348" s="51" t="s">
        <v>334</v>
      </c>
    </row>
    <row r="349" customFormat="false" ht="15" hidden="false" customHeight="true" outlineLevel="0" collapsed="false">
      <c r="A349" s="51" t="s">
        <v>21</v>
      </c>
      <c r="B349" s="51" t="s">
        <v>275</v>
      </c>
      <c r="C349" s="51" t="s">
        <v>44</v>
      </c>
      <c r="D349" s="51" t="s">
        <v>162</v>
      </c>
      <c r="E349" s="51" t="s">
        <v>273</v>
      </c>
      <c r="F349" s="51" t="n">
        <v>5</v>
      </c>
      <c r="G349" s="52" t="n">
        <v>63.75</v>
      </c>
      <c r="H349" s="52" t="n">
        <f aca="false">G349*F349</f>
        <v>318.75</v>
      </c>
      <c r="I349" s="51" t="s">
        <v>334</v>
      </c>
    </row>
    <row r="350" customFormat="false" ht="14.25" hidden="false" customHeight="true" outlineLevel="0" collapsed="false">
      <c r="A350" s="51" t="s">
        <v>21</v>
      </c>
      <c r="B350" s="51" t="s">
        <v>275</v>
      </c>
      <c r="C350" s="51" t="s">
        <v>296</v>
      </c>
      <c r="D350" s="51" t="s">
        <v>191</v>
      </c>
      <c r="E350" s="51" t="s">
        <v>273</v>
      </c>
      <c r="F350" s="51" t="n">
        <v>5</v>
      </c>
      <c r="G350" s="52" t="n">
        <v>30</v>
      </c>
      <c r="H350" s="52" t="n">
        <f aca="false">G350*F350</f>
        <v>150</v>
      </c>
      <c r="I350" s="51" t="s">
        <v>334</v>
      </c>
    </row>
    <row r="351" customFormat="false" ht="14.25" hidden="false" customHeight="true" outlineLevel="0" collapsed="false">
      <c r="A351" s="51" t="s">
        <v>21</v>
      </c>
      <c r="B351" s="51" t="s">
        <v>275</v>
      </c>
      <c r="C351" s="51" t="s">
        <v>294</v>
      </c>
      <c r="D351" s="51" t="s">
        <v>160</v>
      </c>
      <c r="E351" s="51" t="s">
        <v>273</v>
      </c>
      <c r="F351" s="51" t="n">
        <v>5</v>
      </c>
      <c r="G351" s="52" t="n">
        <v>9.85</v>
      </c>
      <c r="H351" s="52" t="n">
        <f aca="false">G351*F351</f>
        <v>49.25</v>
      </c>
      <c r="I351" s="51" t="s">
        <v>334</v>
      </c>
    </row>
    <row r="352" customFormat="false" ht="14.25" hidden="false" customHeight="true" outlineLevel="0" collapsed="false">
      <c r="A352" s="51" t="s">
        <v>21</v>
      </c>
      <c r="B352" s="51" t="s">
        <v>275</v>
      </c>
      <c r="C352" s="51" t="s">
        <v>294</v>
      </c>
      <c r="D352" s="51" t="s">
        <v>161</v>
      </c>
      <c r="E352" s="51" t="s">
        <v>273</v>
      </c>
      <c r="F352" s="51" t="n">
        <v>5</v>
      </c>
      <c r="G352" s="52" t="n">
        <v>2.04</v>
      </c>
      <c r="H352" s="52" t="n">
        <f aca="false">G352*F352</f>
        <v>10.2</v>
      </c>
      <c r="I352" s="51" t="s">
        <v>334</v>
      </c>
    </row>
    <row r="353" customFormat="false" ht="14.25" hidden="false" customHeight="true" outlineLevel="0" collapsed="false">
      <c r="A353" s="51" t="s">
        <v>21</v>
      </c>
      <c r="B353" s="51" t="s">
        <v>275</v>
      </c>
      <c r="C353" s="51" t="s">
        <v>297</v>
      </c>
      <c r="D353" s="51" t="s">
        <v>196</v>
      </c>
      <c r="E353" s="51" t="s">
        <v>273</v>
      </c>
      <c r="F353" s="51" t="n">
        <v>1</v>
      </c>
      <c r="G353" s="52" t="n">
        <v>685.08</v>
      </c>
      <c r="H353" s="52" t="n">
        <f aca="false">G353*F353</f>
        <v>685.08</v>
      </c>
      <c r="I353" s="51" t="s">
        <v>303</v>
      </c>
    </row>
    <row r="354" customFormat="false" ht="14.25" hidden="false" customHeight="true" outlineLevel="0" collapsed="false">
      <c r="A354" s="1" t="s">
        <v>20</v>
      </c>
      <c r="B354" s="1" t="s">
        <v>265</v>
      </c>
      <c r="C354" s="1" t="s">
        <v>289</v>
      </c>
      <c r="D354" s="1" t="s">
        <v>351</v>
      </c>
      <c r="E354" s="1" t="s">
        <v>273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352</v>
      </c>
    </row>
    <row r="355" customFormat="false" ht="15" hidden="false" customHeight="true" outlineLevel="0" collapsed="false">
      <c r="A355" s="1" t="s">
        <v>20</v>
      </c>
      <c r="B355" s="1" t="s">
        <v>265</v>
      </c>
      <c r="C355" s="1" t="s">
        <v>297</v>
      </c>
      <c r="D355" s="1" t="s">
        <v>353</v>
      </c>
      <c r="E355" s="1" t="s">
        <v>273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354</v>
      </c>
    </row>
    <row r="356" customFormat="false" ht="14.25" hidden="false" customHeight="true" outlineLevel="0" collapsed="false">
      <c r="A356" s="1" t="s">
        <v>11</v>
      </c>
      <c r="B356" s="1" t="s">
        <v>265</v>
      </c>
      <c r="C356" s="1" t="s">
        <v>289</v>
      </c>
      <c r="D356" s="1" t="s">
        <v>351</v>
      </c>
      <c r="E356" s="1" t="s">
        <v>273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352</v>
      </c>
    </row>
    <row r="357" customFormat="false" ht="14.25" hidden="false" customHeight="true" outlineLevel="0" collapsed="false">
      <c r="A357" s="1" t="s">
        <v>11</v>
      </c>
      <c r="B357" s="1" t="s">
        <v>265</v>
      </c>
      <c r="C357" s="1" t="s">
        <v>297</v>
      </c>
      <c r="D357" s="1" t="s">
        <v>353</v>
      </c>
      <c r="E357" s="1" t="s">
        <v>273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354</v>
      </c>
    </row>
    <row r="358" customFormat="false" ht="14.25" hidden="false" customHeight="true" outlineLevel="0" collapsed="false">
      <c r="A358" s="1" t="s">
        <v>21</v>
      </c>
      <c r="B358" s="1" t="s">
        <v>265</v>
      </c>
      <c r="C358" s="1" t="s">
        <v>289</v>
      </c>
      <c r="D358" s="1" t="s">
        <v>351</v>
      </c>
      <c r="E358" s="1" t="s">
        <v>273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352</v>
      </c>
    </row>
    <row r="359" customFormat="false" ht="14.25" hidden="false" customHeight="true" outlineLevel="0" collapsed="false">
      <c r="A359" s="1" t="s">
        <v>21</v>
      </c>
      <c r="B359" s="1" t="s">
        <v>265</v>
      </c>
      <c r="C359" s="1" t="s">
        <v>297</v>
      </c>
      <c r="D359" s="1" t="s">
        <v>353</v>
      </c>
      <c r="E359" s="1" t="s">
        <v>273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354</v>
      </c>
    </row>
    <row r="360" customFormat="false" ht="14.25" hidden="false" customHeight="true" outlineLevel="0" collapsed="false">
      <c r="A360" s="1" t="s">
        <v>20</v>
      </c>
      <c r="B360" s="1" t="s">
        <v>265</v>
      </c>
      <c r="C360" s="1" t="s">
        <v>289</v>
      </c>
      <c r="D360" s="1" t="s">
        <v>355</v>
      </c>
      <c r="E360" s="1" t="s">
        <v>264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352</v>
      </c>
    </row>
    <row r="361" customFormat="false" ht="14.25" hidden="false" customHeight="true" outlineLevel="0" collapsed="false">
      <c r="A361" s="1" t="s">
        <v>20</v>
      </c>
      <c r="B361" s="1" t="s">
        <v>265</v>
      </c>
      <c r="C361" s="1" t="s">
        <v>297</v>
      </c>
      <c r="D361" s="1" t="s">
        <v>356</v>
      </c>
      <c r="E361" s="1" t="s">
        <v>264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354</v>
      </c>
    </row>
    <row r="362" customFormat="false" ht="14.25" hidden="false" customHeight="true" outlineLevel="0" collapsed="false">
      <c r="A362" s="1" t="s">
        <v>11</v>
      </c>
      <c r="B362" s="1" t="s">
        <v>265</v>
      </c>
      <c r="C362" s="1" t="s">
        <v>289</v>
      </c>
      <c r="D362" s="1" t="s">
        <v>355</v>
      </c>
      <c r="E362" s="1" t="s">
        <v>264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352</v>
      </c>
    </row>
    <row r="363" customFormat="false" ht="14.25" hidden="false" customHeight="true" outlineLevel="0" collapsed="false">
      <c r="A363" s="1" t="s">
        <v>11</v>
      </c>
      <c r="B363" s="1" t="s">
        <v>265</v>
      </c>
      <c r="C363" s="1" t="s">
        <v>297</v>
      </c>
      <c r="D363" s="1" t="s">
        <v>356</v>
      </c>
      <c r="E363" s="1" t="s">
        <v>264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354</v>
      </c>
    </row>
    <row r="364" customFormat="false" ht="14.25" hidden="false" customHeight="true" outlineLevel="0" collapsed="false">
      <c r="A364" s="1" t="s">
        <v>21</v>
      </c>
      <c r="B364" s="1" t="s">
        <v>265</v>
      </c>
      <c r="C364" s="1" t="s">
        <v>289</v>
      </c>
      <c r="D364" s="1" t="s">
        <v>355</v>
      </c>
      <c r="E364" s="1" t="s">
        <v>264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352</v>
      </c>
    </row>
    <row r="365" customFormat="false" ht="14.25" hidden="false" customHeight="true" outlineLevel="0" collapsed="false">
      <c r="A365" s="1" t="s">
        <v>21</v>
      </c>
      <c r="B365" s="1" t="s">
        <v>265</v>
      </c>
      <c r="C365" s="1" t="s">
        <v>297</v>
      </c>
      <c r="D365" s="1" t="s">
        <v>356</v>
      </c>
      <c r="E365" s="1" t="s">
        <v>264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354</v>
      </c>
    </row>
    <row r="366" customFormat="false" ht="14.25" hidden="false" customHeight="true" outlineLevel="0" collapsed="false">
      <c r="A366" s="1" t="s">
        <v>20</v>
      </c>
      <c r="B366" s="1" t="s">
        <v>265</v>
      </c>
      <c r="C366" s="1" t="s">
        <v>289</v>
      </c>
      <c r="D366" s="1" t="s">
        <v>357</v>
      </c>
      <c r="E366" s="1" t="s">
        <v>264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352</v>
      </c>
    </row>
    <row r="367" customFormat="false" ht="14.25" hidden="false" customHeight="true" outlineLevel="0" collapsed="false">
      <c r="A367" s="1" t="s">
        <v>20</v>
      </c>
      <c r="B367" s="1" t="s">
        <v>265</v>
      </c>
      <c r="C367" s="1" t="s">
        <v>297</v>
      </c>
      <c r="D367" s="1" t="s">
        <v>358</v>
      </c>
      <c r="E367" s="1" t="s">
        <v>264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354</v>
      </c>
    </row>
    <row r="368" customFormat="false" ht="14.25" hidden="false" customHeight="true" outlineLevel="0" collapsed="false">
      <c r="A368" s="1" t="s">
        <v>11</v>
      </c>
      <c r="B368" s="1" t="s">
        <v>265</v>
      </c>
      <c r="C368" s="1" t="s">
        <v>289</v>
      </c>
      <c r="D368" s="1" t="s">
        <v>357</v>
      </c>
      <c r="E368" s="1" t="s">
        <v>264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352</v>
      </c>
    </row>
    <row r="369" customFormat="false" ht="14.25" hidden="false" customHeight="true" outlineLevel="0" collapsed="false">
      <c r="A369" s="1" t="s">
        <v>11</v>
      </c>
      <c r="B369" s="1" t="s">
        <v>265</v>
      </c>
      <c r="C369" s="1" t="s">
        <v>297</v>
      </c>
      <c r="D369" s="1" t="s">
        <v>358</v>
      </c>
      <c r="E369" s="1" t="s">
        <v>264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354</v>
      </c>
    </row>
    <row r="370" customFormat="false" ht="14.25" hidden="false" customHeight="true" outlineLevel="0" collapsed="false">
      <c r="A370" s="1" t="s">
        <v>21</v>
      </c>
      <c r="B370" s="1" t="s">
        <v>265</v>
      </c>
      <c r="C370" s="1" t="s">
        <v>289</v>
      </c>
      <c r="D370" s="1" t="s">
        <v>357</v>
      </c>
      <c r="E370" s="1" t="s">
        <v>264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352</v>
      </c>
    </row>
    <row r="371" customFormat="false" ht="14.25" hidden="false" customHeight="true" outlineLevel="0" collapsed="false">
      <c r="A371" s="1" t="s">
        <v>21</v>
      </c>
      <c r="B371" s="1" t="s">
        <v>265</v>
      </c>
      <c r="C371" s="1" t="s">
        <v>297</v>
      </c>
      <c r="D371" s="1" t="s">
        <v>358</v>
      </c>
      <c r="E371" s="1" t="s">
        <v>264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354</v>
      </c>
    </row>
    <row r="372" customFormat="false" ht="14.25" hidden="false" customHeight="true" outlineLevel="0" collapsed="false">
      <c r="A372" s="1" t="s">
        <v>20</v>
      </c>
      <c r="B372" s="1" t="s">
        <v>265</v>
      </c>
      <c r="C372" s="1" t="s">
        <v>289</v>
      </c>
      <c r="D372" s="1" t="s">
        <v>359</v>
      </c>
      <c r="E372" s="1" t="s">
        <v>264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352</v>
      </c>
    </row>
    <row r="373" customFormat="false" ht="14.25" hidden="false" customHeight="true" outlineLevel="0" collapsed="false">
      <c r="A373" s="1" t="s">
        <v>20</v>
      </c>
      <c r="B373" s="1" t="s">
        <v>265</v>
      </c>
      <c r="C373" s="1" t="s">
        <v>297</v>
      </c>
      <c r="D373" s="1" t="s">
        <v>360</v>
      </c>
      <c r="E373" s="1" t="s">
        <v>264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361</v>
      </c>
    </row>
    <row r="374" customFormat="false" ht="14.25" hidden="false" customHeight="true" outlineLevel="0" collapsed="false">
      <c r="A374" s="1" t="s">
        <v>11</v>
      </c>
      <c r="B374" s="1" t="s">
        <v>265</v>
      </c>
      <c r="C374" s="1" t="s">
        <v>289</v>
      </c>
      <c r="D374" s="1" t="s">
        <v>359</v>
      </c>
      <c r="E374" s="1" t="s">
        <v>264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352</v>
      </c>
    </row>
    <row r="375" customFormat="false" ht="14.25" hidden="false" customHeight="true" outlineLevel="0" collapsed="false">
      <c r="A375" s="1" t="s">
        <v>11</v>
      </c>
      <c r="B375" s="1" t="s">
        <v>265</v>
      </c>
      <c r="C375" s="1" t="s">
        <v>297</v>
      </c>
      <c r="D375" s="1" t="s">
        <v>360</v>
      </c>
      <c r="E375" s="1" t="s">
        <v>264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361</v>
      </c>
    </row>
    <row r="376" customFormat="false" ht="14.25" hidden="false" customHeight="true" outlineLevel="0" collapsed="false">
      <c r="A376" s="1" t="s">
        <v>21</v>
      </c>
      <c r="B376" s="1" t="s">
        <v>265</v>
      </c>
      <c r="C376" s="1" t="s">
        <v>289</v>
      </c>
      <c r="D376" s="1" t="s">
        <v>359</v>
      </c>
      <c r="E376" s="1" t="s">
        <v>264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352</v>
      </c>
    </row>
    <row r="377" customFormat="false" ht="14.25" hidden="false" customHeight="true" outlineLevel="0" collapsed="false">
      <c r="A377" s="1" t="s">
        <v>21</v>
      </c>
      <c r="B377" s="1" t="s">
        <v>265</v>
      </c>
      <c r="C377" s="1" t="s">
        <v>297</v>
      </c>
      <c r="D377" s="1" t="s">
        <v>360</v>
      </c>
      <c r="E377" s="1" t="s">
        <v>264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361</v>
      </c>
    </row>
    <row r="378" customFormat="false" ht="14.25" hidden="false" customHeight="true" outlineLevel="0" collapsed="false">
      <c r="A378" s="1" t="s">
        <v>20</v>
      </c>
      <c r="B378" s="1" t="s">
        <v>265</v>
      </c>
      <c r="C378" s="1" t="s">
        <v>289</v>
      </c>
      <c r="D378" s="1" t="s">
        <v>362</v>
      </c>
      <c r="E378" s="1" t="s">
        <v>270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352</v>
      </c>
    </row>
    <row r="379" customFormat="false" ht="14.25" hidden="false" customHeight="true" outlineLevel="0" collapsed="false">
      <c r="A379" s="1" t="s">
        <v>20</v>
      </c>
      <c r="B379" s="1" t="s">
        <v>265</v>
      </c>
      <c r="C379" s="1" t="s">
        <v>297</v>
      </c>
      <c r="D379" s="1" t="s">
        <v>363</v>
      </c>
      <c r="E379" s="1" t="s">
        <v>270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354</v>
      </c>
    </row>
    <row r="380" customFormat="false" ht="14.25" hidden="false" customHeight="true" outlineLevel="0" collapsed="false">
      <c r="A380" s="1" t="s">
        <v>11</v>
      </c>
      <c r="B380" s="1" t="s">
        <v>265</v>
      </c>
      <c r="C380" s="1" t="s">
        <v>289</v>
      </c>
      <c r="D380" s="1" t="s">
        <v>362</v>
      </c>
      <c r="E380" s="1" t="s">
        <v>270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352</v>
      </c>
    </row>
    <row r="381" customFormat="false" ht="14.25" hidden="false" customHeight="true" outlineLevel="0" collapsed="false">
      <c r="A381" s="1" t="s">
        <v>11</v>
      </c>
      <c r="B381" s="1" t="s">
        <v>265</v>
      </c>
      <c r="C381" s="1" t="s">
        <v>297</v>
      </c>
      <c r="D381" s="1" t="s">
        <v>363</v>
      </c>
      <c r="E381" s="1" t="s">
        <v>270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354</v>
      </c>
    </row>
    <row r="382" customFormat="false" ht="14.25" hidden="false" customHeight="true" outlineLevel="0" collapsed="false">
      <c r="A382" s="1" t="s">
        <v>21</v>
      </c>
      <c r="B382" s="1" t="s">
        <v>265</v>
      </c>
      <c r="C382" s="1" t="s">
        <v>289</v>
      </c>
      <c r="D382" s="1" t="s">
        <v>362</v>
      </c>
      <c r="E382" s="1" t="s">
        <v>270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352</v>
      </c>
    </row>
    <row r="383" customFormat="false" ht="15" hidden="false" customHeight="true" outlineLevel="0" collapsed="false">
      <c r="A383" s="1" t="s">
        <v>21</v>
      </c>
      <c r="B383" s="1" t="s">
        <v>265</v>
      </c>
      <c r="C383" s="1" t="s">
        <v>297</v>
      </c>
      <c r="D383" s="1" t="s">
        <v>363</v>
      </c>
      <c r="E383" s="1" t="s">
        <v>270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354</v>
      </c>
    </row>
    <row r="384" customFormat="false" ht="14.25" hidden="false" customHeight="true" outlineLevel="0" collapsed="false">
      <c r="A384" s="1" t="s">
        <v>20</v>
      </c>
      <c r="B384" s="1" t="s">
        <v>277</v>
      </c>
      <c r="C384" s="1" t="s">
        <v>289</v>
      </c>
      <c r="D384" s="1" t="s">
        <v>364</v>
      </c>
      <c r="E384" s="1" t="s">
        <v>276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365</v>
      </c>
    </row>
    <row r="385" customFormat="false" ht="14.25" hidden="false" customHeight="true" outlineLevel="0" collapsed="false">
      <c r="A385" s="1" t="s">
        <v>20</v>
      </c>
      <c r="B385" s="1" t="s">
        <v>277</v>
      </c>
      <c r="C385" s="1" t="s">
        <v>297</v>
      </c>
      <c r="D385" s="1" t="s">
        <v>366</v>
      </c>
      <c r="E385" s="1" t="s">
        <v>276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361</v>
      </c>
    </row>
    <row r="386" customFormat="false" ht="14.25" hidden="false" customHeight="true" outlineLevel="0" collapsed="false">
      <c r="A386" s="1" t="s">
        <v>11</v>
      </c>
      <c r="B386" s="1" t="s">
        <v>277</v>
      </c>
      <c r="C386" s="1" t="s">
        <v>289</v>
      </c>
      <c r="D386" s="1" t="s">
        <v>364</v>
      </c>
      <c r="E386" s="1" t="s">
        <v>276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365</v>
      </c>
    </row>
    <row r="387" customFormat="false" ht="14.25" hidden="false" customHeight="true" outlineLevel="0" collapsed="false">
      <c r="A387" s="1" t="s">
        <v>11</v>
      </c>
      <c r="B387" s="1" t="s">
        <v>277</v>
      </c>
      <c r="C387" s="1" t="s">
        <v>297</v>
      </c>
      <c r="D387" s="1" t="s">
        <v>366</v>
      </c>
      <c r="E387" s="1" t="s">
        <v>276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361</v>
      </c>
    </row>
    <row r="388" customFormat="false" ht="14.25" hidden="false" customHeight="true" outlineLevel="0" collapsed="false">
      <c r="A388" s="1" t="s">
        <v>21</v>
      </c>
      <c r="B388" s="1" t="s">
        <v>277</v>
      </c>
      <c r="C388" s="1" t="s">
        <v>289</v>
      </c>
      <c r="D388" s="1" t="s">
        <v>364</v>
      </c>
      <c r="E388" s="1" t="s">
        <v>276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365</v>
      </c>
    </row>
    <row r="389" customFormat="false" ht="14.25" hidden="false" customHeight="true" outlineLevel="0" collapsed="false">
      <c r="A389" s="1" t="s">
        <v>21</v>
      </c>
      <c r="B389" s="1" t="s">
        <v>277</v>
      </c>
      <c r="C389" s="1" t="s">
        <v>297</v>
      </c>
      <c r="D389" s="1" t="s">
        <v>366</v>
      </c>
      <c r="E389" s="1" t="s">
        <v>276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361</v>
      </c>
    </row>
    <row r="390" customFormat="false" ht="14.25" hidden="false" customHeight="true" outlineLevel="0" collapsed="false">
      <c r="A390" s="53" t="s">
        <v>367</v>
      </c>
      <c r="B390" s="54"/>
      <c r="C390" s="54"/>
      <c r="D390" s="54"/>
      <c r="E390" s="54"/>
      <c r="F390" s="54"/>
      <c r="G390" s="55"/>
      <c r="H390" s="56" t="n">
        <f aca="false">SUM(H21:H389)</f>
        <v>1072725.58528287</v>
      </c>
      <c r="I390" s="47"/>
      <c r="J390" s="47"/>
      <c r="K390" s="47"/>
      <c r="L390" s="47"/>
      <c r="M390" s="47"/>
      <c r="N390" s="47"/>
      <c r="O390" s="47"/>
    </row>
    <row r="391" customFormat="false" ht="14.25" hidden="false" customHeight="true" outlineLevel="0" collapsed="false">
      <c r="A391" s="47"/>
      <c r="B391" s="47"/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</row>
    <row r="392" customFormat="false" ht="14.25" hidden="false" customHeight="true" outlineLevel="0" collapsed="false">
      <c r="A392" s="57" t="s">
        <v>368</v>
      </c>
      <c r="K392" s="47"/>
      <c r="L392" s="47"/>
      <c r="M392" s="47"/>
      <c r="N392" s="47"/>
      <c r="O392" s="47"/>
    </row>
    <row r="393" customFormat="false" ht="14.25" hidden="false" customHeight="true" outlineLevel="0" collapsed="false">
      <c r="A393" s="50" t="s">
        <v>9</v>
      </c>
      <c r="B393" s="50" t="s">
        <v>259</v>
      </c>
      <c r="C393" s="50" t="s">
        <v>3</v>
      </c>
      <c r="D393" s="50" t="s">
        <v>369</v>
      </c>
      <c r="E393" s="50" t="s">
        <v>370</v>
      </c>
      <c r="F393" s="50" t="s">
        <v>371</v>
      </c>
      <c r="G393" s="50" t="s">
        <v>372</v>
      </c>
      <c r="H393" s="50" t="s">
        <v>373</v>
      </c>
      <c r="I393" s="50" t="s">
        <v>374</v>
      </c>
      <c r="J393" s="50" t="s">
        <v>375</v>
      </c>
      <c r="K393" s="47"/>
      <c r="L393" s="47"/>
      <c r="M393" s="47"/>
      <c r="N393" s="47"/>
      <c r="O393" s="47"/>
    </row>
    <row r="394" customFormat="false" ht="14.25" hidden="false" customHeight="true" outlineLevel="0" collapsed="false">
      <c r="A394" s="51" t="s">
        <v>11</v>
      </c>
      <c r="B394" s="51" t="s">
        <v>264</v>
      </c>
      <c r="C394" s="51" t="s">
        <v>376</v>
      </c>
      <c r="D394" s="52" t="n">
        <v>121496.64</v>
      </c>
      <c r="E394" s="51" t="n">
        <v>537</v>
      </c>
      <c r="F394" s="51" t="n">
        <v>11</v>
      </c>
      <c r="G394" s="52" t="n">
        <v>41961.99</v>
      </c>
      <c r="H394" s="52" t="n">
        <v>1017.98</v>
      </c>
      <c r="I394" s="52" t="n">
        <v>42979.97</v>
      </c>
      <c r="J394" s="52" t="n">
        <v>221.71</v>
      </c>
      <c r="K394" s="47"/>
      <c r="L394" s="47"/>
      <c r="M394" s="47"/>
      <c r="N394" s="47"/>
      <c r="O394" s="47"/>
    </row>
    <row r="395" customFormat="false" ht="14.25" hidden="false" customHeight="true" outlineLevel="0" collapsed="false">
      <c r="A395" s="51" t="s">
        <v>11</v>
      </c>
      <c r="B395" s="51" t="s">
        <v>267</v>
      </c>
      <c r="C395" s="51" t="s">
        <v>376</v>
      </c>
      <c r="D395" s="52" t="n">
        <v>9414.77</v>
      </c>
      <c r="E395" s="51" t="n">
        <v>26</v>
      </c>
      <c r="F395" s="51" t="n">
        <v>1</v>
      </c>
      <c r="G395" s="52" t="n">
        <v>2047.79</v>
      </c>
      <c r="H395" s="52" t="n">
        <v>99.9</v>
      </c>
      <c r="I395" s="52" t="n">
        <v>2147.69</v>
      </c>
      <c r="J395" s="52" t="n">
        <v>348.7</v>
      </c>
      <c r="K395" s="47"/>
      <c r="L395" s="47"/>
      <c r="M395" s="47"/>
      <c r="N395" s="47"/>
      <c r="O395" s="47"/>
    </row>
    <row r="396" customFormat="false" ht="14.25" hidden="false" customHeight="true" outlineLevel="0" collapsed="false">
      <c r="A396" s="51" t="s">
        <v>11</v>
      </c>
      <c r="B396" s="51" t="s">
        <v>269</v>
      </c>
      <c r="C396" s="51" t="s">
        <v>376</v>
      </c>
      <c r="D396" s="52" t="n">
        <v>34081.23</v>
      </c>
      <c r="E396" s="51" t="n">
        <v>143</v>
      </c>
      <c r="F396" s="51" t="n">
        <v>2</v>
      </c>
      <c r="G396" s="52" t="n">
        <v>13522.34</v>
      </c>
      <c r="H396" s="52" t="n">
        <v>154.79</v>
      </c>
      <c r="I396" s="52" t="n">
        <v>13677.13</v>
      </c>
      <c r="J396" s="52" t="n">
        <v>235.04</v>
      </c>
      <c r="K396" s="47"/>
      <c r="L396" s="47"/>
      <c r="M396" s="47"/>
      <c r="N396" s="47"/>
      <c r="O396" s="47"/>
    </row>
    <row r="397" customFormat="false" ht="14.25" hidden="false" customHeight="true" outlineLevel="0" collapsed="false">
      <c r="A397" s="51" t="s">
        <v>11</v>
      </c>
      <c r="B397" s="51" t="s">
        <v>270</v>
      </c>
      <c r="C397" s="51" t="s">
        <v>376</v>
      </c>
      <c r="D397" s="52" t="n">
        <v>45540.01</v>
      </c>
      <c r="E397" s="51" t="n">
        <v>239</v>
      </c>
      <c r="F397" s="51" t="n">
        <v>1</v>
      </c>
      <c r="G397" s="52" t="n">
        <v>21837.84</v>
      </c>
      <c r="H397" s="52" t="n">
        <v>109.89</v>
      </c>
      <c r="I397" s="52" t="n">
        <v>21947.73</v>
      </c>
      <c r="J397" s="52" t="n">
        <v>189.75</v>
      </c>
      <c r="K397" s="47"/>
      <c r="L397" s="47"/>
      <c r="M397" s="47"/>
      <c r="N397" s="47"/>
      <c r="O397" s="47"/>
    </row>
    <row r="398" customFormat="false" ht="14.25" hidden="false" customHeight="true" outlineLevel="0" collapsed="false">
      <c r="A398" s="51" t="s">
        <v>11</v>
      </c>
      <c r="B398" s="51" t="s">
        <v>273</v>
      </c>
      <c r="C398" s="51" t="s">
        <v>376</v>
      </c>
      <c r="D398" s="52" t="n">
        <v>90875.72</v>
      </c>
      <c r="E398" s="51" t="n">
        <v>292</v>
      </c>
      <c r="F398" s="51" t="n">
        <v>3</v>
      </c>
      <c r="G398" s="52" t="n">
        <v>24097.75</v>
      </c>
      <c r="H398" s="52" t="n">
        <v>329.8</v>
      </c>
      <c r="I398" s="52" t="n">
        <v>24427.55</v>
      </c>
      <c r="J398" s="52" t="n">
        <v>308.05</v>
      </c>
      <c r="K398" s="47"/>
      <c r="L398" s="47"/>
      <c r="M398" s="47"/>
      <c r="N398" s="47"/>
      <c r="O398" s="47"/>
    </row>
    <row r="399" customFormat="false" ht="14.25" hidden="false" customHeight="true" outlineLevel="0" collapsed="false">
      <c r="A399" s="51" t="s">
        <v>11</v>
      </c>
      <c r="B399" s="51" t="s">
        <v>276</v>
      </c>
      <c r="C399" s="51" t="s">
        <v>376</v>
      </c>
      <c r="D399" s="52" t="n">
        <v>45425.95</v>
      </c>
      <c r="E399" s="51" t="n">
        <v>264</v>
      </c>
      <c r="F399" s="51" t="n">
        <v>8</v>
      </c>
      <c r="G399" s="52" t="n">
        <v>22685.42</v>
      </c>
      <c r="H399" s="52" t="n">
        <v>734.26</v>
      </c>
      <c r="I399" s="52" t="n">
        <v>23419.68</v>
      </c>
      <c r="J399" s="52" t="n">
        <v>167.01</v>
      </c>
      <c r="K399" s="47"/>
      <c r="L399" s="47"/>
      <c r="M399" s="47"/>
      <c r="N399" s="47"/>
      <c r="O399" s="47"/>
    </row>
    <row r="400" customFormat="false" ht="14.25" hidden="false" customHeight="true" outlineLevel="0" collapsed="false">
      <c r="A400" s="51" t="s">
        <v>11</v>
      </c>
      <c r="B400" s="51" t="s">
        <v>282</v>
      </c>
      <c r="C400" s="51" t="s">
        <v>376</v>
      </c>
      <c r="D400" s="52" t="n">
        <v>3703.62</v>
      </c>
      <c r="E400" s="51" t="n">
        <v>26</v>
      </c>
      <c r="F400" s="51" t="n">
        <v>0</v>
      </c>
      <c r="G400" s="52" t="n">
        <v>2307.4</v>
      </c>
      <c r="H400" s="52" t="n">
        <v>0</v>
      </c>
      <c r="I400" s="52" t="n">
        <v>2307.4</v>
      </c>
      <c r="J400" s="52" t="n">
        <v>142.45</v>
      </c>
      <c r="K400" s="47"/>
      <c r="L400" s="47"/>
      <c r="M400" s="47"/>
      <c r="N400" s="47"/>
      <c r="O400" s="47"/>
    </row>
    <row r="401" customFormat="false" ht="14.25" hidden="false" customHeight="true" outlineLevel="0" collapsed="false">
      <c r="A401" s="51" t="s">
        <v>20</v>
      </c>
      <c r="B401" s="51" t="s">
        <v>264</v>
      </c>
      <c r="C401" s="51" t="s">
        <v>376</v>
      </c>
      <c r="D401" s="52" t="n">
        <v>119150.38</v>
      </c>
      <c r="E401" s="51" t="n">
        <v>658</v>
      </c>
      <c r="F401" s="51" t="n">
        <v>10</v>
      </c>
      <c r="G401" s="52" t="n">
        <v>56085.27</v>
      </c>
      <c r="H401" s="52" t="n">
        <v>963.98</v>
      </c>
      <c r="I401" s="52" t="n">
        <v>57049.25</v>
      </c>
      <c r="J401" s="52" t="n">
        <v>178.37</v>
      </c>
      <c r="K401" s="47"/>
      <c r="L401" s="47"/>
      <c r="M401" s="47"/>
      <c r="N401" s="47"/>
      <c r="O401" s="47"/>
    </row>
    <row r="402" customFormat="false" ht="14.25" hidden="false" customHeight="true" outlineLevel="0" collapsed="false">
      <c r="A402" s="51" t="s">
        <v>20</v>
      </c>
      <c r="B402" s="51" t="s">
        <v>267</v>
      </c>
      <c r="C402" s="51" t="s">
        <v>376</v>
      </c>
      <c r="D402" s="52" t="n">
        <v>7367.92</v>
      </c>
      <c r="E402" s="51" t="n">
        <v>0</v>
      </c>
      <c r="F402" s="51" t="n">
        <v>0</v>
      </c>
      <c r="G402" s="52" t="n">
        <v>0</v>
      </c>
      <c r="H402" s="52" t="n">
        <v>0</v>
      </c>
      <c r="I402" s="52" t="n">
        <v>0</v>
      </c>
      <c r="J402" s="52"/>
      <c r="K402" s="47"/>
      <c r="L402" s="47"/>
      <c r="M402" s="47"/>
      <c r="N402" s="47"/>
      <c r="O402" s="47"/>
    </row>
    <row r="403" customFormat="false" ht="14.25" hidden="false" customHeight="true" outlineLevel="0" collapsed="false">
      <c r="A403" s="51" t="s">
        <v>20</v>
      </c>
      <c r="B403" s="51" t="s">
        <v>269</v>
      </c>
      <c r="C403" s="51" t="s">
        <v>376</v>
      </c>
      <c r="D403" s="52" t="n">
        <v>34042.65</v>
      </c>
      <c r="E403" s="51" t="n">
        <v>115</v>
      </c>
      <c r="F403" s="51" t="n">
        <v>5</v>
      </c>
      <c r="G403" s="52" t="n">
        <v>10449.44</v>
      </c>
      <c r="H403" s="52" t="n">
        <v>519.48</v>
      </c>
      <c r="I403" s="52" t="n">
        <v>10968.92</v>
      </c>
      <c r="J403" s="52" t="n">
        <v>283.69</v>
      </c>
      <c r="K403" s="47"/>
      <c r="L403" s="47"/>
      <c r="M403" s="47"/>
      <c r="N403" s="47"/>
      <c r="O403" s="47"/>
    </row>
    <row r="404" customFormat="false" ht="14.25" hidden="false" customHeight="true" outlineLevel="0" collapsed="false">
      <c r="A404" s="51" t="s">
        <v>20</v>
      </c>
      <c r="B404" s="51" t="s">
        <v>270</v>
      </c>
      <c r="C404" s="51" t="s">
        <v>376</v>
      </c>
      <c r="D404" s="52" t="n">
        <v>64543.96</v>
      </c>
      <c r="E404" s="51" t="n">
        <v>190</v>
      </c>
      <c r="F404" s="51" t="n">
        <v>0</v>
      </c>
      <c r="G404" s="52" t="n">
        <v>17667.07</v>
      </c>
      <c r="H404" s="52" t="n">
        <v>0</v>
      </c>
      <c r="I404" s="52" t="n">
        <v>17667.07</v>
      </c>
      <c r="J404" s="52" t="n">
        <v>339.71</v>
      </c>
      <c r="K404" s="47"/>
      <c r="L404" s="47"/>
      <c r="M404" s="47"/>
      <c r="N404" s="47"/>
      <c r="O404" s="47"/>
    </row>
    <row r="405" customFormat="false" ht="14.25" hidden="false" customHeight="true" outlineLevel="0" collapsed="false">
      <c r="A405" s="51" t="s">
        <v>20</v>
      </c>
      <c r="B405" s="51" t="s">
        <v>273</v>
      </c>
      <c r="C405" s="51" t="s">
        <v>376</v>
      </c>
      <c r="D405" s="52" t="n">
        <v>102992.51</v>
      </c>
      <c r="E405" s="51" t="n">
        <v>576</v>
      </c>
      <c r="F405" s="51" t="n">
        <v>6</v>
      </c>
      <c r="G405" s="52" t="n">
        <v>48361.21</v>
      </c>
      <c r="H405" s="52" t="n">
        <v>589.39</v>
      </c>
      <c r="I405" s="52" t="n">
        <v>48950.6</v>
      </c>
      <c r="J405" s="52" t="n">
        <v>176.96</v>
      </c>
      <c r="K405" s="47"/>
      <c r="L405" s="47"/>
      <c r="M405" s="47"/>
      <c r="N405" s="47"/>
      <c r="O405" s="47"/>
    </row>
    <row r="406" customFormat="false" ht="14.25" hidden="false" customHeight="true" outlineLevel="0" collapsed="false">
      <c r="A406" s="51" t="s">
        <v>20</v>
      </c>
      <c r="B406" s="51" t="s">
        <v>276</v>
      </c>
      <c r="C406" s="51" t="s">
        <v>376</v>
      </c>
      <c r="D406" s="52" t="n">
        <v>41682.6</v>
      </c>
      <c r="E406" s="51" t="n">
        <v>196</v>
      </c>
      <c r="F406" s="51" t="n">
        <v>11</v>
      </c>
      <c r="G406" s="52" t="n">
        <v>17775.09</v>
      </c>
      <c r="H406" s="52" t="n">
        <v>1108.79</v>
      </c>
      <c r="I406" s="52" t="n">
        <v>18883.88</v>
      </c>
      <c r="J406" s="52" t="n">
        <v>201.37</v>
      </c>
      <c r="K406" s="47"/>
      <c r="L406" s="47"/>
      <c r="M406" s="47"/>
      <c r="N406" s="47"/>
      <c r="O406" s="47"/>
    </row>
    <row r="407" customFormat="false" ht="14.25" hidden="false" customHeight="true" outlineLevel="0" collapsed="false">
      <c r="A407" s="51" t="s">
        <v>20</v>
      </c>
      <c r="B407" s="51" t="s">
        <v>282</v>
      </c>
      <c r="C407" s="51" t="s">
        <v>376</v>
      </c>
      <c r="D407" s="52" t="n">
        <v>3712.16</v>
      </c>
      <c r="E407" s="51" t="n">
        <v>23</v>
      </c>
      <c r="F407" s="51" t="n">
        <v>0</v>
      </c>
      <c r="G407" s="52" t="n">
        <v>1988.18</v>
      </c>
      <c r="H407" s="52" t="n">
        <v>0</v>
      </c>
      <c r="I407" s="52" t="n">
        <v>1988.18</v>
      </c>
      <c r="J407" s="52" t="n">
        <v>161.4</v>
      </c>
      <c r="K407" s="47"/>
      <c r="L407" s="47"/>
      <c r="M407" s="47"/>
      <c r="N407" s="47"/>
      <c r="O407" s="47"/>
    </row>
    <row r="408" customFormat="false" ht="14.25" hidden="false" customHeight="true" outlineLevel="0" collapsed="false">
      <c r="A408" s="51" t="s">
        <v>21</v>
      </c>
      <c r="B408" s="51" t="s">
        <v>264</v>
      </c>
      <c r="C408" s="51" t="s">
        <v>376</v>
      </c>
      <c r="D408" s="52" t="n">
        <v>161849.96</v>
      </c>
      <c r="E408" s="51" t="n">
        <v>808</v>
      </c>
      <c r="F408" s="51" t="n">
        <v>3</v>
      </c>
      <c r="G408" s="52" t="n">
        <v>67103</v>
      </c>
      <c r="H408" s="52" t="n">
        <v>74.9</v>
      </c>
      <c r="I408" s="52" t="n">
        <v>67177.9</v>
      </c>
      <c r="J408" s="52" t="n">
        <v>199.57</v>
      </c>
      <c r="K408" s="47"/>
      <c r="L408" s="47"/>
      <c r="M408" s="47"/>
      <c r="N408" s="47"/>
      <c r="O408" s="47"/>
    </row>
    <row r="409" customFormat="false" ht="14.25" hidden="false" customHeight="true" outlineLevel="0" collapsed="false">
      <c r="A409" s="51" t="s">
        <v>21</v>
      </c>
      <c r="B409" s="51" t="s">
        <v>267</v>
      </c>
      <c r="C409" s="51" t="s">
        <v>376</v>
      </c>
      <c r="D409" s="52" t="n">
        <v>7410.09</v>
      </c>
      <c r="E409" s="51" t="n">
        <v>138</v>
      </c>
      <c r="F409" s="51" t="n">
        <v>0</v>
      </c>
      <c r="G409" s="52" t="n">
        <v>11731.77</v>
      </c>
      <c r="H409" s="52" t="n">
        <v>0</v>
      </c>
      <c r="I409" s="52" t="n">
        <v>11731.77</v>
      </c>
      <c r="J409" s="52" t="n">
        <v>53.7</v>
      </c>
      <c r="K409" s="47"/>
      <c r="L409" s="47"/>
      <c r="M409" s="47"/>
      <c r="N409" s="47"/>
      <c r="O409" s="47"/>
    </row>
    <row r="410" customFormat="false" ht="14.25" hidden="false" customHeight="true" outlineLevel="0" collapsed="false">
      <c r="A410" s="51" t="s">
        <v>21</v>
      </c>
      <c r="B410" s="51" t="s">
        <v>269</v>
      </c>
      <c r="C410" s="51" t="s">
        <v>376</v>
      </c>
      <c r="D410" s="52" t="n">
        <v>17008.44</v>
      </c>
      <c r="E410" s="51" t="n">
        <v>128</v>
      </c>
      <c r="F410" s="51" t="n">
        <v>0</v>
      </c>
      <c r="G410" s="52" t="n">
        <v>11678.14</v>
      </c>
      <c r="H410" s="52" t="n">
        <v>0</v>
      </c>
      <c r="I410" s="52" t="n">
        <v>11678.14</v>
      </c>
      <c r="J410" s="52" t="n">
        <v>132.88</v>
      </c>
      <c r="K410" s="47"/>
      <c r="L410" s="47"/>
      <c r="M410" s="47"/>
      <c r="N410" s="47"/>
      <c r="O410" s="47"/>
    </row>
    <row r="411" customFormat="false" ht="14.25" hidden="false" customHeight="true" outlineLevel="0" collapsed="false">
      <c r="A411" s="51" t="s">
        <v>21</v>
      </c>
      <c r="B411" s="51" t="s">
        <v>270</v>
      </c>
      <c r="C411" s="51" t="s">
        <v>376</v>
      </c>
      <c r="D411" s="52" t="n">
        <v>41082.7</v>
      </c>
      <c r="E411" s="51" t="n">
        <v>327</v>
      </c>
      <c r="F411" s="51" t="n">
        <v>0</v>
      </c>
      <c r="G411" s="52" t="n">
        <v>29088.58</v>
      </c>
      <c r="H411" s="52" t="n">
        <v>0</v>
      </c>
      <c r="I411" s="52" t="n">
        <v>29088.58</v>
      </c>
      <c r="J411" s="52" t="n">
        <v>125.64</v>
      </c>
      <c r="K411" s="47"/>
      <c r="L411" s="47"/>
      <c r="M411" s="47"/>
      <c r="N411" s="47"/>
      <c r="O411" s="47"/>
    </row>
    <row r="412" customFormat="false" ht="14.25" hidden="false" customHeight="true" outlineLevel="0" collapsed="false">
      <c r="A412" s="51" t="s">
        <v>21</v>
      </c>
      <c r="B412" s="51" t="s">
        <v>273</v>
      </c>
      <c r="C412" s="51" t="s">
        <v>376</v>
      </c>
      <c r="D412" s="52" t="n">
        <v>65806.72</v>
      </c>
      <c r="E412" s="51" t="n">
        <v>342</v>
      </c>
      <c r="F412" s="51" t="n">
        <v>2</v>
      </c>
      <c r="G412" s="52" t="n">
        <v>28924.39</v>
      </c>
      <c r="H412" s="52" t="n">
        <v>25</v>
      </c>
      <c r="I412" s="52" t="n">
        <v>28949.39</v>
      </c>
      <c r="J412" s="52" t="n">
        <v>191.3</v>
      </c>
      <c r="K412" s="47"/>
      <c r="L412" s="47"/>
      <c r="M412" s="47"/>
      <c r="N412" s="47"/>
      <c r="O412" s="47"/>
    </row>
    <row r="413" customFormat="false" ht="14.25" hidden="false" customHeight="true" outlineLevel="0" collapsed="false">
      <c r="A413" s="51" t="s">
        <v>21</v>
      </c>
      <c r="B413" s="51" t="s">
        <v>276</v>
      </c>
      <c r="C413" s="51" t="s">
        <v>376</v>
      </c>
      <c r="D413" s="52" t="n">
        <v>92377.85</v>
      </c>
      <c r="E413" s="51" t="n">
        <v>266</v>
      </c>
      <c r="F413" s="51" t="n">
        <v>5</v>
      </c>
      <c r="G413" s="52" t="n">
        <v>23159.66</v>
      </c>
      <c r="H413" s="52" t="n">
        <v>105.09</v>
      </c>
      <c r="I413" s="52" t="n">
        <v>23264.75</v>
      </c>
      <c r="J413" s="52" t="n">
        <v>340.88</v>
      </c>
      <c r="K413" s="47"/>
      <c r="L413" s="47"/>
      <c r="M413" s="47"/>
      <c r="N413" s="47"/>
      <c r="O413" s="47"/>
    </row>
    <row r="414" customFormat="false" ht="14.25" hidden="false" customHeight="true" outlineLevel="0" collapsed="false">
      <c r="A414" s="51" t="s">
        <v>21</v>
      </c>
      <c r="B414" s="51" t="s">
        <v>282</v>
      </c>
      <c r="C414" s="51" t="s">
        <v>376</v>
      </c>
      <c r="D414" s="52" t="n">
        <v>0</v>
      </c>
      <c r="E414" s="51" t="n">
        <v>25</v>
      </c>
      <c r="F414" s="51" t="n">
        <v>1</v>
      </c>
      <c r="G414" s="52" t="n">
        <v>2177.7</v>
      </c>
      <c r="H414" s="52" t="n">
        <v>39.97</v>
      </c>
      <c r="I414" s="52" t="n">
        <v>2217.67</v>
      </c>
      <c r="J414" s="52" t="n">
        <v>0</v>
      </c>
      <c r="K414" s="47"/>
      <c r="L414" s="47"/>
      <c r="M414" s="47"/>
      <c r="N414" s="47"/>
      <c r="O414" s="47"/>
    </row>
    <row r="415" customFormat="false" ht="14.25" hidden="false" customHeight="true" outlineLevel="0" collapsed="false">
      <c r="A415" s="51"/>
      <c r="B415" s="51"/>
      <c r="C415" s="51"/>
      <c r="D415" s="52"/>
      <c r="E415" s="51"/>
      <c r="F415" s="51"/>
      <c r="G415" s="52"/>
      <c r="H415" s="52"/>
      <c r="I415" s="52"/>
      <c r="J415" s="51"/>
      <c r="K415" s="47"/>
      <c r="L415" s="47"/>
      <c r="M415" s="47"/>
      <c r="N415" s="47"/>
      <c r="O415" s="47"/>
    </row>
    <row r="416" customFormat="false" ht="14.25" hidden="false" customHeight="true" outlineLevel="0" collapsed="false">
      <c r="A416" s="51"/>
      <c r="B416" s="51"/>
      <c r="C416" s="51"/>
      <c r="D416" s="52"/>
      <c r="E416" s="51"/>
      <c r="F416" s="51"/>
      <c r="G416" s="52"/>
      <c r="H416" s="52"/>
      <c r="I416" s="52"/>
      <c r="J416" s="47"/>
      <c r="K416" s="47"/>
      <c r="L416" s="47"/>
      <c r="M416" s="47"/>
      <c r="N416" s="47"/>
      <c r="O416" s="47"/>
    </row>
    <row r="417" customFormat="false" ht="14.25" hidden="false" customHeight="true" outlineLevel="0" collapsed="false">
      <c r="A417" s="51"/>
      <c r="B417" s="51"/>
      <c r="C417" s="51"/>
      <c r="D417" s="52"/>
      <c r="E417" s="51"/>
      <c r="F417" s="51"/>
      <c r="G417" s="52"/>
      <c r="H417" s="52"/>
      <c r="I417" s="52"/>
      <c r="J417" s="47"/>
      <c r="K417" s="47"/>
      <c r="L417" s="47"/>
      <c r="M417" s="47"/>
      <c r="N417" s="47"/>
      <c r="O417" s="47"/>
    </row>
    <row r="418" customFormat="false" ht="14.25" hidden="false" customHeight="true" outlineLevel="0" collapsed="false">
      <c r="A418" s="51"/>
      <c r="B418" s="51"/>
      <c r="C418" s="51"/>
      <c r="D418" s="52"/>
      <c r="E418" s="51"/>
      <c r="F418" s="51"/>
      <c r="G418" s="52"/>
      <c r="H418" s="52"/>
      <c r="I418" s="52"/>
      <c r="J418" s="47"/>
      <c r="K418" s="47"/>
      <c r="L418" s="47"/>
      <c r="M418" s="47"/>
      <c r="N418" s="47"/>
      <c r="O418" s="47"/>
    </row>
    <row r="419" customFormat="false" ht="14.25" hidden="false" customHeight="true" outlineLevel="0" collapsed="false">
      <c r="A419" s="51"/>
      <c r="B419" s="51"/>
      <c r="C419" s="51"/>
      <c r="D419" s="52"/>
      <c r="E419" s="51"/>
      <c r="F419" s="51"/>
      <c r="G419" s="52"/>
      <c r="H419" s="52"/>
      <c r="I419" s="52"/>
      <c r="J419" s="47"/>
      <c r="K419" s="47"/>
      <c r="L419" s="47"/>
      <c r="M419" s="47"/>
      <c r="N419" s="47"/>
      <c r="O419" s="47"/>
    </row>
    <row r="420" customFormat="false" ht="14.25" hidden="false" customHeight="true" outlineLevel="0" collapsed="false">
      <c r="A420" s="51"/>
      <c r="B420" s="51"/>
      <c r="C420" s="51"/>
      <c r="D420" s="52"/>
      <c r="E420" s="51"/>
      <c r="F420" s="51"/>
      <c r="G420" s="52"/>
      <c r="H420" s="52"/>
      <c r="I420" s="52"/>
      <c r="J420" s="47"/>
      <c r="K420" s="47"/>
      <c r="L420" s="47"/>
      <c r="M420" s="47"/>
      <c r="N420" s="47"/>
      <c r="O420" s="47"/>
    </row>
    <row r="421" customFormat="false" ht="14.25" hidden="false" customHeight="true" outlineLevel="0" collapsed="false">
      <c r="A421" s="51"/>
      <c r="B421" s="51"/>
      <c r="C421" s="51"/>
      <c r="D421" s="52"/>
      <c r="E421" s="51"/>
      <c r="F421" s="51"/>
      <c r="G421" s="52"/>
      <c r="H421" s="52"/>
      <c r="I421" s="52"/>
      <c r="J421" s="47"/>
      <c r="K421" s="47"/>
      <c r="L421" s="47"/>
      <c r="M421" s="47"/>
      <c r="N421" s="47"/>
      <c r="O421" s="47"/>
    </row>
    <row r="422" customFormat="false" ht="14.25" hidden="false" customHeight="true" outlineLevel="0" collapsed="false">
      <c r="A422" s="51"/>
      <c r="B422" s="51"/>
      <c r="C422" s="51"/>
      <c r="D422" s="52"/>
      <c r="E422" s="51"/>
      <c r="F422" s="51"/>
      <c r="G422" s="52"/>
      <c r="H422" s="52"/>
      <c r="I422" s="52"/>
      <c r="J422" s="47"/>
      <c r="K422" s="47"/>
      <c r="L422" s="47"/>
      <c r="M422" s="47"/>
      <c r="N422" s="47"/>
      <c r="O422" s="47"/>
    </row>
    <row r="423" customFormat="false" ht="14.25" hidden="false" customHeight="true" outlineLevel="0" collapsed="false">
      <c r="A423" s="51"/>
      <c r="B423" s="51"/>
      <c r="C423" s="51"/>
      <c r="D423" s="52"/>
      <c r="E423" s="51"/>
      <c r="F423" s="51"/>
      <c r="G423" s="52"/>
      <c r="H423" s="52"/>
      <c r="I423" s="52"/>
      <c r="J423" s="47"/>
      <c r="K423" s="47"/>
      <c r="L423" s="47"/>
      <c r="M423" s="47"/>
      <c r="N423" s="47"/>
      <c r="O423" s="47"/>
    </row>
    <row r="424" customFormat="false" ht="14.25" hidden="false" customHeight="true" outlineLevel="0" collapsed="false">
      <c r="A424" s="51"/>
      <c r="B424" s="51"/>
      <c r="C424" s="51"/>
      <c r="D424" s="52"/>
      <c r="E424" s="51"/>
      <c r="F424" s="51"/>
      <c r="G424" s="52"/>
      <c r="H424" s="52"/>
      <c r="I424" s="52"/>
      <c r="J424" s="47"/>
      <c r="K424" s="47"/>
      <c r="L424" s="47"/>
      <c r="M424" s="47"/>
      <c r="N424" s="47"/>
      <c r="O424" s="47"/>
    </row>
    <row r="425" customFormat="false" ht="14.25" hidden="false" customHeight="true" outlineLevel="0" collapsed="false">
      <c r="A425" s="51"/>
      <c r="B425" s="51"/>
      <c r="C425" s="51"/>
      <c r="D425" s="52"/>
      <c r="E425" s="51"/>
      <c r="F425" s="51"/>
      <c r="G425" s="52"/>
      <c r="H425" s="52"/>
      <c r="I425" s="52"/>
      <c r="J425" s="47"/>
      <c r="K425" s="47"/>
      <c r="L425" s="47"/>
      <c r="M425" s="47"/>
      <c r="N425" s="47"/>
      <c r="O425" s="47"/>
    </row>
    <row r="426" customFormat="false" ht="14.25" hidden="false" customHeight="true" outlineLevel="0" collapsed="false">
      <c r="A426" s="51"/>
      <c r="B426" s="51"/>
      <c r="C426" s="51"/>
      <c r="D426" s="52"/>
      <c r="E426" s="51"/>
      <c r="F426" s="51"/>
      <c r="G426" s="52"/>
      <c r="H426" s="52"/>
      <c r="I426" s="52"/>
      <c r="J426" s="47"/>
      <c r="K426" s="47"/>
      <c r="L426" s="47"/>
      <c r="M426" s="47"/>
      <c r="N426" s="47"/>
      <c r="O426" s="47"/>
    </row>
    <row r="427" customFormat="false" ht="14.25" hidden="false" customHeight="true" outlineLevel="0" collapsed="false">
      <c r="A427" s="51"/>
      <c r="B427" s="51"/>
      <c r="C427" s="51"/>
      <c r="D427" s="52"/>
      <c r="E427" s="51"/>
      <c r="F427" s="51"/>
      <c r="G427" s="52"/>
      <c r="H427" s="52"/>
      <c r="I427" s="52"/>
      <c r="J427" s="47"/>
      <c r="K427" s="47"/>
      <c r="L427" s="47"/>
      <c r="M427" s="47"/>
      <c r="N427" s="47"/>
      <c r="O427" s="47"/>
    </row>
    <row r="428" customFormat="false" ht="14.25" hidden="false" customHeight="true" outlineLevel="0" collapsed="false">
      <c r="A428" s="51"/>
      <c r="B428" s="51"/>
      <c r="C428" s="51"/>
      <c r="D428" s="52"/>
      <c r="E428" s="51"/>
      <c r="F428" s="51"/>
      <c r="G428" s="52"/>
      <c r="H428" s="52"/>
      <c r="I428" s="52"/>
      <c r="J428" s="47"/>
      <c r="K428" s="47"/>
      <c r="L428" s="47"/>
      <c r="M428" s="47"/>
      <c r="N428" s="47"/>
      <c r="O428" s="47"/>
    </row>
    <row r="429" customFormat="false" ht="14.25" hidden="false" customHeight="true" outlineLevel="0" collapsed="false">
      <c r="A429" s="51"/>
      <c r="B429" s="51"/>
      <c r="C429" s="51"/>
      <c r="D429" s="52"/>
      <c r="E429" s="51"/>
      <c r="F429" s="51"/>
      <c r="G429" s="52"/>
      <c r="H429" s="52"/>
      <c r="I429" s="52"/>
      <c r="J429" s="47"/>
      <c r="K429" s="47"/>
      <c r="L429" s="47"/>
      <c r="M429" s="47"/>
      <c r="N429" s="47"/>
      <c r="O429" s="47"/>
    </row>
    <row r="430" customFormat="false" ht="14.25" hidden="false" customHeight="true" outlineLevel="0" collapsed="false">
      <c r="A430" s="51"/>
      <c r="B430" s="51"/>
      <c r="C430" s="51"/>
      <c r="D430" s="52"/>
      <c r="E430" s="51"/>
      <c r="F430" s="51"/>
      <c r="G430" s="52"/>
      <c r="H430" s="52"/>
      <c r="I430" s="52"/>
      <c r="J430" s="47"/>
      <c r="K430" s="47"/>
      <c r="L430" s="47"/>
      <c r="M430" s="47"/>
      <c r="N430" s="47"/>
      <c r="O430" s="47"/>
    </row>
    <row r="431" customFormat="false" ht="14.25" hidden="false" customHeight="true" outlineLevel="0" collapsed="false">
      <c r="A431" s="51"/>
      <c r="B431" s="51"/>
      <c r="C431" s="51"/>
      <c r="D431" s="52"/>
      <c r="E431" s="51"/>
      <c r="F431" s="51"/>
      <c r="G431" s="52"/>
      <c r="H431" s="52"/>
      <c r="I431" s="52"/>
      <c r="J431" s="47"/>
      <c r="K431" s="47"/>
      <c r="L431" s="47"/>
      <c r="M431" s="47"/>
      <c r="N431" s="47"/>
      <c r="O431" s="47"/>
    </row>
    <row r="432" customFormat="false" ht="14.25" hidden="false" customHeight="true" outlineLevel="0" collapsed="false">
      <c r="A432" s="51"/>
      <c r="B432" s="51"/>
      <c r="C432" s="51"/>
      <c r="D432" s="52"/>
      <c r="E432" s="51"/>
      <c r="F432" s="51"/>
      <c r="G432" s="52"/>
      <c r="H432" s="52"/>
      <c r="I432" s="52"/>
      <c r="J432" s="47"/>
      <c r="K432" s="47"/>
      <c r="L432" s="47"/>
      <c r="M432" s="47"/>
      <c r="N432" s="47"/>
      <c r="O432" s="47"/>
    </row>
    <row r="433" customFormat="false" ht="14.25" hidden="false" customHeight="true" outlineLevel="0" collapsed="false">
      <c r="A433" s="51"/>
      <c r="B433" s="51"/>
      <c r="C433" s="51"/>
      <c r="D433" s="52"/>
      <c r="E433" s="51"/>
      <c r="F433" s="51"/>
      <c r="G433" s="52"/>
      <c r="H433" s="52"/>
      <c r="I433" s="52"/>
      <c r="J433" s="47"/>
      <c r="K433" s="47"/>
      <c r="L433" s="47"/>
      <c r="M433" s="47"/>
      <c r="N433" s="47"/>
      <c r="O433" s="47"/>
    </row>
    <row r="434" customFormat="false" ht="14.25" hidden="false" customHeight="true" outlineLevel="0" collapsed="false">
      <c r="A434" s="51"/>
      <c r="B434" s="51"/>
      <c r="C434" s="51"/>
      <c r="D434" s="52"/>
      <c r="E434" s="51"/>
      <c r="F434" s="51"/>
      <c r="G434" s="52"/>
      <c r="H434" s="52"/>
      <c r="I434" s="52"/>
      <c r="J434" s="47"/>
      <c r="K434" s="47"/>
      <c r="L434" s="47"/>
      <c r="M434" s="47"/>
      <c r="N434" s="47"/>
      <c r="O434" s="47"/>
    </row>
    <row r="435" customFormat="false" ht="14.25" hidden="false" customHeight="true" outlineLevel="0" collapsed="false">
      <c r="A435" s="51"/>
      <c r="B435" s="51"/>
      <c r="C435" s="51"/>
      <c r="D435" s="52"/>
      <c r="E435" s="51"/>
      <c r="F435" s="51"/>
      <c r="G435" s="52"/>
      <c r="H435" s="52"/>
      <c r="I435" s="52"/>
      <c r="J435" s="47"/>
      <c r="K435" s="47"/>
      <c r="L435" s="47"/>
      <c r="M435" s="47"/>
      <c r="N435" s="47"/>
      <c r="O435" s="47"/>
    </row>
    <row r="436" customFormat="false" ht="14.25" hidden="false" customHeight="true" outlineLevel="0" collapsed="false">
      <c r="A436" s="51"/>
      <c r="B436" s="51"/>
      <c r="C436" s="51"/>
      <c r="D436" s="52"/>
      <c r="E436" s="51"/>
      <c r="F436" s="51"/>
      <c r="G436" s="52"/>
      <c r="H436" s="52"/>
      <c r="I436" s="52"/>
      <c r="J436" s="47"/>
      <c r="K436" s="47"/>
      <c r="L436" s="47"/>
      <c r="M436" s="47"/>
      <c r="N436" s="47"/>
      <c r="O436" s="47"/>
    </row>
    <row r="437" customFormat="false" ht="14.25" hidden="false" customHeight="true" outlineLevel="0" collapsed="false">
      <c r="A437" s="51"/>
      <c r="B437" s="51"/>
      <c r="C437" s="51"/>
      <c r="D437" s="52"/>
      <c r="E437" s="51"/>
      <c r="F437" s="51"/>
      <c r="G437" s="52"/>
      <c r="H437" s="52"/>
      <c r="I437" s="52"/>
      <c r="J437" s="47"/>
      <c r="K437" s="47"/>
      <c r="L437" s="47"/>
      <c r="M437" s="47"/>
      <c r="N437" s="47"/>
      <c r="O437" s="47"/>
    </row>
    <row r="438" customFormat="false" ht="14.25" hidden="false" customHeight="true" outlineLevel="0" collapsed="false">
      <c r="A438" s="51"/>
      <c r="B438" s="51"/>
      <c r="C438" s="51"/>
      <c r="D438" s="52"/>
      <c r="E438" s="51"/>
      <c r="F438" s="51"/>
      <c r="G438" s="52"/>
      <c r="H438" s="52"/>
      <c r="I438" s="52"/>
      <c r="J438" s="47"/>
      <c r="K438" s="47"/>
      <c r="L438" s="47"/>
      <c r="M438" s="47"/>
      <c r="N438" s="47"/>
      <c r="O438" s="47"/>
    </row>
    <row r="439" customFormat="false" ht="14.25" hidden="false" customHeight="true" outlineLevel="0" collapsed="false">
      <c r="A439" s="51"/>
      <c r="B439" s="51"/>
      <c r="C439" s="51"/>
      <c r="D439" s="52"/>
      <c r="E439" s="51"/>
      <c r="F439" s="51"/>
      <c r="G439" s="52"/>
      <c r="H439" s="52"/>
      <c r="I439" s="52"/>
      <c r="J439" s="47"/>
      <c r="K439" s="47"/>
      <c r="L439" s="47"/>
      <c r="M439" s="47"/>
      <c r="N439" s="47"/>
      <c r="O439" s="47"/>
    </row>
    <row r="440" customFormat="false" ht="14.25" hidden="false" customHeight="true" outlineLevel="0" collapsed="false">
      <c r="A440" s="51"/>
      <c r="B440" s="51"/>
      <c r="C440" s="51"/>
      <c r="D440" s="52"/>
      <c r="E440" s="51"/>
      <c r="F440" s="51"/>
      <c r="G440" s="52"/>
      <c r="H440" s="52"/>
      <c r="I440" s="52"/>
      <c r="J440" s="47"/>
      <c r="K440" s="47"/>
      <c r="L440" s="47"/>
      <c r="M440" s="47"/>
      <c r="N440" s="47"/>
      <c r="O440" s="47"/>
    </row>
    <row r="441" customFormat="false" ht="14.25" hidden="false" customHeight="true" outlineLevel="0" collapsed="false">
      <c r="A441" s="51"/>
      <c r="B441" s="51"/>
      <c r="C441" s="51"/>
      <c r="D441" s="52"/>
      <c r="E441" s="51"/>
      <c r="F441" s="51"/>
      <c r="G441" s="52"/>
      <c r="H441" s="52"/>
      <c r="I441" s="52"/>
      <c r="J441" s="47"/>
      <c r="K441" s="47"/>
      <c r="L441" s="47"/>
      <c r="M441" s="47"/>
      <c r="N441" s="47"/>
      <c r="O441" s="47"/>
    </row>
    <row r="442" customFormat="false" ht="14.25" hidden="false" customHeight="true" outlineLevel="0" collapsed="false">
      <c r="A442" s="51"/>
      <c r="B442" s="51"/>
      <c r="C442" s="51"/>
      <c r="D442" s="52"/>
      <c r="E442" s="51"/>
      <c r="F442" s="51"/>
      <c r="G442" s="52"/>
      <c r="H442" s="52"/>
      <c r="I442" s="52"/>
      <c r="J442" s="47"/>
      <c r="K442" s="47"/>
      <c r="L442" s="47"/>
      <c r="M442" s="47"/>
      <c r="N442" s="47"/>
      <c r="O442" s="47"/>
    </row>
    <row r="443" customFormat="false" ht="14.25" hidden="false" customHeight="true" outlineLevel="0" collapsed="false">
      <c r="A443" s="51"/>
      <c r="B443" s="51"/>
      <c r="C443" s="51"/>
      <c r="D443" s="52"/>
      <c r="E443" s="51"/>
      <c r="F443" s="51"/>
      <c r="G443" s="52"/>
      <c r="H443" s="52"/>
      <c r="I443" s="52"/>
      <c r="J443" s="47"/>
      <c r="K443" s="47"/>
      <c r="L443" s="47"/>
      <c r="M443" s="47"/>
      <c r="N443" s="47"/>
      <c r="O443" s="47"/>
    </row>
    <row r="444" customFormat="false" ht="14.25" hidden="false" customHeight="true" outlineLevel="0" collapsed="false">
      <c r="A444" s="51"/>
      <c r="B444" s="51"/>
      <c r="C444" s="51"/>
      <c r="D444" s="52"/>
      <c r="E444" s="51"/>
      <c r="F444" s="51"/>
      <c r="G444" s="52"/>
      <c r="H444" s="52"/>
      <c r="I444" s="52"/>
      <c r="J444" s="47"/>
      <c r="K444" s="47"/>
      <c r="L444" s="47"/>
      <c r="M444" s="47"/>
      <c r="N444" s="47"/>
      <c r="O444" s="47"/>
    </row>
    <row r="445" customFormat="false" ht="14.25" hidden="false" customHeight="true" outlineLevel="0" collapsed="false">
      <c r="A445" s="51"/>
      <c r="B445" s="51"/>
      <c r="C445" s="51"/>
      <c r="D445" s="52"/>
      <c r="E445" s="51"/>
      <c r="F445" s="51"/>
      <c r="G445" s="52"/>
      <c r="H445" s="52"/>
      <c r="I445" s="52"/>
      <c r="J445" s="47"/>
      <c r="K445" s="47"/>
      <c r="L445" s="47"/>
      <c r="M445" s="47"/>
      <c r="N445" s="47"/>
      <c r="O445" s="47"/>
    </row>
    <row r="446" customFormat="false" ht="14.25" hidden="false" customHeight="true" outlineLevel="0" collapsed="false">
      <c r="A446" s="51"/>
      <c r="B446" s="51"/>
      <c r="C446" s="51"/>
      <c r="D446" s="52"/>
      <c r="E446" s="51"/>
      <c r="F446" s="51"/>
      <c r="G446" s="52"/>
      <c r="H446" s="52"/>
      <c r="I446" s="52"/>
      <c r="J446" s="47"/>
      <c r="K446" s="47"/>
      <c r="L446" s="47"/>
      <c r="M446" s="47"/>
      <c r="N446" s="47"/>
      <c r="O446" s="47"/>
    </row>
    <row r="447" customFormat="false" ht="14.25" hidden="false" customHeight="true" outlineLevel="0" collapsed="false">
      <c r="A447" s="51"/>
      <c r="B447" s="51"/>
      <c r="C447" s="51"/>
      <c r="D447" s="52"/>
      <c r="E447" s="51"/>
      <c r="F447" s="51"/>
      <c r="G447" s="52"/>
      <c r="H447" s="52"/>
      <c r="I447" s="52"/>
      <c r="J447" s="47"/>
      <c r="K447" s="47"/>
      <c r="L447" s="47"/>
      <c r="M447" s="47"/>
      <c r="N447" s="47"/>
      <c r="O447" s="47"/>
    </row>
    <row r="448" customFormat="false" ht="14.25" hidden="false" customHeight="true" outlineLevel="0" collapsed="false">
      <c r="A448" s="51"/>
      <c r="B448" s="51"/>
      <c r="C448" s="51"/>
      <c r="D448" s="52"/>
      <c r="E448" s="51"/>
      <c r="F448" s="51"/>
      <c r="G448" s="52"/>
      <c r="H448" s="52"/>
      <c r="I448" s="52"/>
      <c r="J448" s="47"/>
      <c r="K448" s="47"/>
      <c r="L448" s="47"/>
      <c r="M448" s="47"/>
      <c r="N448" s="47"/>
      <c r="O448" s="47"/>
    </row>
    <row r="449" customFormat="false" ht="14.25" hidden="false" customHeight="true" outlineLevel="0" collapsed="false">
      <c r="A449" s="51"/>
      <c r="B449" s="51"/>
      <c r="C449" s="51"/>
      <c r="D449" s="52"/>
      <c r="E449" s="51"/>
      <c r="F449" s="51"/>
      <c r="G449" s="52"/>
      <c r="H449" s="52"/>
      <c r="I449" s="52"/>
      <c r="J449" s="47"/>
      <c r="K449" s="47"/>
      <c r="L449" s="47"/>
      <c r="M449" s="47"/>
      <c r="N449" s="47"/>
      <c r="O449" s="47"/>
    </row>
    <row r="450" customFormat="false" ht="14.25" hidden="false" customHeight="true" outlineLevel="0" collapsed="false">
      <c r="A450" s="51"/>
      <c r="B450" s="51"/>
      <c r="C450" s="51"/>
      <c r="D450" s="52"/>
      <c r="E450" s="51"/>
      <c r="F450" s="51"/>
      <c r="G450" s="52"/>
      <c r="H450" s="52"/>
      <c r="I450" s="52"/>
      <c r="J450" s="47"/>
      <c r="K450" s="47"/>
      <c r="L450" s="47"/>
      <c r="M450" s="47"/>
      <c r="N450" s="47"/>
      <c r="O450" s="47"/>
    </row>
    <row r="451" customFormat="false" ht="14.25" hidden="false" customHeight="true" outlineLevel="0" collapsed="false">
      <c r="A451" s="51"/>
      <c r="B451" s="51"/>
      <c r="C451" s="51"/>
      <c r="D451" s="52"/>
      <c r="E451" s="51"/>
      <c r="F451" s="51"/>
      <c r="G451" s="52"/>
      <c r="H451" s="52"/>
      <c r="I451" s="52"/>
      <c r="J451" s="47"/>
      <c r="K451" s="47"/>
      <c r="L451" s="47"/>
      <c r="M451" s="47"/>
      <c r="N451" s="47"/>
      <c r="O451" s="47"/>
    </row>
    <row r="452" customFormat="false" ht="14.25" hidden="false" customHeight="true" outlineLevel="0" collapsed="false">
      <c r="A452" s="51"/>
      <c r="B452" s="51"/>
      <c r="C452" s="51"/>
      <c r="D452" s="52"/>
      <c r="E452" s="51"/>
      <c r="F452" s="51"/>
      <c r="G452" s="52"/>
      <c r="H452" s="52"/>
      <c r="I452" s="52"/>
      <c r="J452" s="47"/>
      <c r="K452" s="47"/>
      <c r="L452" s="47"/>
      <c r="M452" s="47"/>
      <c r="N452" s="47"/>
      <c r="O452" s="47"/>
    </row>
    <row r="453" customFormat="false" ht="14.25" hidden="false" customHeight="true" outlineLevel="0" collapsed="false">
      <c r="A453" s="51"/>
      <c r="B453" s="51"/>
      <c r="C453" s="51"/>
      <c r="D453" s="52"/>
      <c r="E453" s="51"/>
      <c r="F453" s="51"/>
      <c r="G453" s="52"/>
      <c r="H453" s="52"/>
      <c r="I453" s="52"/>
      <c r="J453" s="47"/>
      <c r="K453" s="47"/>
      <c r="L453" s="47"/>
      <c r="M453" s="47"/>
      <c r="N453" s="47"/>
      <c r="O453" s="47"/>
    </row>
    <row r="454" customFormat="false" ht="14.25" hidden="false" customHeight="true" outlineLevel="0" collapsed="false">
      <c r="A454" s="51"/>
      <c r="B454" s="51"/>
      <c r="C454" s="51"/>
      <c r="D454" s="52"/>
      <c r="E454" s="51"/>
      <c r="F454" s="51"/>
      <c r="G454" s="52"/>
      <c r="H454" s="52"/>
      <c r="I454" s="52"/>
      <c r="J454" s="47"/>
      <c r="K454" s="47"/>
      <c r="L454" s="47"/>
      <c r="M454" s="47"/>
      <c r="N454" s="47"/>
      <c r="O454" s="47"/>
    </row>
    <row r="455" customFormat="false" ht="14.25" hidden="false" customHeight="true" outlineLevel="0" collapsed="false">
      <c r="A455" s="51"/>
      <c r="B455" s="51"/>
      <c r="C455" s="51"/>
      <c r="D455" s="52"/>
      <c r="E455" s="51"/>
      <c r="F455" s="51"/>
      <c r="G455" s="52"/>
      <c r="H455" s="52"/>
      <c r="I455" s="52"/>
      <c r="J455" s="47"/>
      <c r="K455" s="47"/>
      <c r="L455" s="47"/>
      <c r="M455" s="47"/>
      <c r="N455" s="47"/>
      <c r="O455" s="47"/>
    </row>
    <row r="456" customFormat="false" ht="14.25" hidden="false" customHeight="true" outlineLevel="0" collapsed="false">
      <c r="A456" s="51"/>
      <c r="B456" s="51"/>
      <c r="C456" s="51"/>
      <c r="D456" s="52"/>
      <c r="E456" s="51"/>
      <c r="F456" s="51"/>
      <c r="G456" s="52"/>
      <c r="H456" s="52"/>
      <c r="I456" s="52"/>
      <c r="J456" s="47"/>
      <c r="K456" s="47"/>
      <c r="L456" s="47"/>
      <c r="M456" s="47"/>
      <c r="N456" s="47"/>
      <c r="O456" s="47"/>
    </row>
    <row r="457" customFormat="false" ht="14.25" hidden="false" customHeight="true" outlineLevel="0" collapsed="false">
      <c r="A457" s="51"/>
      <c r="B457" s="51"/>
      <c r="C457" s="51"/>
      <c r="D457" s="52"/>
      <c r="E457" s="51"/>
      <c r="F457" s="51"/>
      <c r="G457" s="52"/>
      <c r="H457" s="52"/>
      <c r="I457" s="52"/>
      <c r="J457" s="47"/>
      <c r="K457" s="47"/>
      <c r="L457" s="47"/>
      <c r="M457" s="47"/>
      <c r="N457" s="47"/>
      <c r="O457" s="47"/>
    </row>
    <row r="458" customFormat="false" ht="14.25" hidden="false" customHeight="true" outlineLevel="0" collapsed="false">
      <c r="A458" s="51"/>
      <c r="B458" s="51"/>
      <c r="C458" s="51"/>
      <c r="D458" s="52"/>
      <c r="E458" s="51"/>
      <c r="F458" s="51"/>
      <c r="G458" s="52"/>
      <c r="H458" s="52"/>
      <c r="I458" s="52"/>
      <c r="J458" s="47"/>
      <c r="K458" s="47"/>
      <c r="L458" s="47"/>
      <c r="M458" s="47"/>
      <c r="N458" s="47"/>
      <c r="O458" s="47"/>
    </row>
    <row r="459" customFormat="false" ht="14.25" hidden="false" customHeight="true" outlineLevel="0" collapsed="false">
      <c r="A459" s="51"/>
      <c r="B459" s="51"/>
      <c r="C459" s="51"/>
      <c r="D459" s="52"/>
      <c r="E459" s="51"/>
      <c r="F459" s="51"/>
      <c r="G459" s="52"/>
      <c r="H459" s="52"/>
      <c r="I459" s="52"/>
      <c r="J459" s="47"/>
      <c r="K459" s="47"/>
      <c r="L459" s="47"/>
      <c r="M459" s="47"/>
      <c r="N459" s="47"/>
      <c r="O459" s="47"/>
    </row>
    <row r="460" customFormat="false" ht="14.25" hidden="false" customHeight="true" outlineLevel="0" collapsed="false">
      <c r="A460" s="51"/>
      <c r="B460" s="51"/>
      <c r="C460" s="51"/>
      <c r="D460" s="52"/>
      <c r="E460" s="51"/>
      <c r="F460" s="51"/>
      <c r="G460" s="52"/>
      <c r="H460" s="52"/>
      <c r="I460" s="52"/>
      <c r="J460" s="47"/>
      <c r="K460" s="47"/>
      <c r="L460" s="47"/>
      <c r="M460" s="47"/>
      <c r="N460" s="47"/>
      <c r="O460" s="47"/>
    </row>
    <row r="461" customFormat="false" ht="14.25" hidden="false" customHeight="true" outlineLevel="0" collapsed="false">
      <c r="A461" s="51"/>
      <c r="B461" s="51"/>
      <c r="C461" s="51"/>
      <c r="D461" s="52"/>
      <c r="E461" s="51"/>
      <c r="F461" s="51"/>
      <c r="G461" s="52"/>
      <c r="H461" s="52"/>
      <c r="I461" s="52"/>
      <c r="J461" s="47"/>
      <c r="K461" s="47"/>
      <c r="L461" s="47"/>
      <c r="M461" s="47"/>
      <c r="N461" s="47"/>
      <c r="O461" s="47"/>
    </row>
    <row r="462" customFormat="false" ht="14.25" hidden="false" customHeight="true" outlineLevel="0" collapsed="false">
      <c r="A462" s="51"/>
      <c r="B462" s="51"/>
      <c r="C462" s="51"/>
      <c r="D462" s="52"/>
      <c r="E462" s="51"/>
      <c r="F462" s="51"/>
      <c r="G462" s="52"/>
      <c r="H462" s="52"/>
      <c r="I462" s="52"/>
      <c r="J462" s="47"/>
      <c r="K462" s="47"/>
      <c r="L462" s="47"/>
      <c r="M462" s="47"/>
      <c r="N462" s="47"/>
      <c r="O462" s="47"/>
    </row>
    <row r="463" customFormat="false" ht="14.25" hidden="false" customHeight="true" outlineLevel="0" collapsed="false">
      <c r="A463" s="51"/>
      <c r="B463" s="51"/>
      <c r="C463" s="51"/>
      <c r="D463" s="52"/>
      <c r="E463" s="51"/>
      <c r="F463" s="51"/>
      <c r="G463" s="52"/>
      <c r="H463" s="52"/>
      <c r="I463" s="52"/>
      <c r="J463" s="47"/>
      <c r="K463" s="47"/>
      <c r="L463" s="47"/>
      <c r="M463" s="47"/>
      <c r="N463" s="47"/>
      <c r="O463" s="47"/>
    </row>
    <row r="464" customFormat="false" ht="14.25" hidden="false" customHeight="true" outlineLevel="0" collapsed="false">
      <c r="A464" s="51"/>
      <c r="B464" s="51"/>
      <c r="C464" s="51"/>
      <c r="D464" s="52"/>
      <c r="E464" s="51"/>
      <c r="F464" s="51"/>
      <c r="G464" s="52"/>
      <c r="H464" s="52"/>
      <c r="I464" s="52"/>
      <c r="J464" s="47"/>
      <c r="K464" s="47"/>
      <c r="L464" s="47"/>
      <c r="M464" s="47"/>
      <c r="N464" s="47"/>
      <c r="O464" s="47"/>
    </row>
    <row r="465" customFormat="false" ht="14.25" hidden="false" customHeight="true" outlineLevel="0" collapsed="false">
      <c r="A465" s="51"/>
      <c r="B465" s="51"/>
      <c r="C465" s="51"/>
      <c r="D465" s="52"/>
      <c r="E465" s="51"/>
      <c r="F465" s="51"/>
      <c r="G465" s="52"/>
      <c r="H465" s="52"/>
      <c r="I465" s="52"/>
      <c r="J465" s="47"/>
      <c r="K465" s="47"/>
      <c r="L465" s="47"/>
      <c r="M465" s="47"/>
      <c r="N465" s="47"/>
      <c r="O465" s="47"/>
    </row>
    <row r="466" customFormat="false" ht="14.25" hidden="false" customHeight="true" outlineLevel="0" collapsed="false">
      <c r="A466" s="51"/>
      <c r="B466" s="51"/>
      <c r="C466" s="51"/>
      <c r="D466" s="52"/>
      <c r="E466" s="51"/>
      <c r="F466" s="51"/>
      <c r="G466" s="52"/>
      <c r="H466" s="52"/>
      <c r="I466" s="52"/>
      <c r="J466" s="47"/>
      <c r="K466" s="47"/>
      <c r="L466" s="47"/>
      <c r="M466" s="47"/>
      <c r="N466" s="47"/>
      <c r="O466" s="47"/>
    </row>
    <row r="467" customFormat="false" ht="14.25" hidden="false" customHeight="true" outlineLevel="0" collapsed="false">
      <c r="A467" s="51"/>
      <c r="B467" s="51"/>
      <c r="C467" s="51"/>
      <c r="D467" s="52"/>
      <c r="E467" s="51"/>
      <c r="F467" s="51"/>
      <c r="G467" s="52"/>
      <c r="H467" s="52"/>
      <c r="I467" s="52"/>
      <c r="J467" s="47"/>
      <c r="K467" s="47"/>
      <c r="L467" s="47"/>
      <c r="M467" s="47"/>
      <c r="N467" s="47"/>
      <c r="O467" s="47"/>
    </row>
    <row r="468" customFormat="false" ht="14.25" hidden="false" customHeight="true" outlineLevel="0" collapsed="false">
      <c r="A468" s="51"/>
      <c r="B468" s="51"/>
      <c r="C468" s="51"/>
      <c r="D468" s="52"/>
      <c r="E468" s="51"/>
      <c r="F468" s="51"/>
      <c r="G468" s="52"/>
      <c r="H468" s="52"/>
      <c r="I468" s="52"/>
      <c r="J468" s="47"/>
      <c r="K468" s="47"/>
      <c r="L468" s="47"/>
      <c r="M468" s="47"/>
      <c r="N468" s="47"/>
      <c r="O468" s="47"/>
    </row>
    <row r="469" customFormat="false" ht="14.25" hidden="false" customHeight="true" outlineLevel="0" collapsed="false">
      <c r="A469" s="51"/>
      <c r="B469" s="51"/>
      <c r="C469" s="51"/>
      <c r="D469" s="52"/>
      <c r="E469" s="51"/>
      <c r="F469" s="51"/>
      <c r="G469" s="52"/>
      <c r="H469" s="52"/>
      <c r="I469" s="52"/>
      <c r="J469" s="47"/>
      <c r="K469" s="47"/>
      <c r="L469" s="47"/>
      <c r="M469" s="47"/>
      <c r="N469" s="47"/>
      <c r="O469" s="47"/>
    </row>
    <row r="470" customFormat="false" ht="14.25" hidden="false" customHeight="true" outlineLevel="0" collapsed="false">
      <c r="A470" s="51"/>
      <c r="B470" s="51"/>
      <c r="C470" s="51"/>
      <c r="D470" s="52"/>
      <c r="E470" s="51"/>
      <c r="F470" s="51"/>
      <c r="G470" s="52"/>
      <c r="H470" s="52"/>
      <c r="I470" s="52"/>
      <c r="J470" s="47"/>
      <c r="K470" s="47"/>
      <c r="L470" s="47"/>
      <c r="M470" s="47"/>
      <c r="N470" s="47"/>
      <c r="O470" s="47"/>
    </row>
    <row r="471" customFormat="false" ht="14.25" hidden="false" customHeight="true" outlineLevel="0" collapsed="false">
      <c r="A471" s="51"/>
      <c r="B471" s="51"/>
      <c r="C471" s="51"/>
      <c r="D471" s="52"/>
      <c r="E471" s="51"/>
      <c r="F471" s="51"/>
      <c r="G471" s="52"/>
      <c r="H471" s="52"/>
      <c r="I471" s="52"/>
      <c r="J471" s="47"/>
      <c r="K471" s="47"/>
      <c r="L471" s="47"/>
      <c r="M471" s="47"/>
      <c r="N471" s="47"/>
      <c r="O471" s="47"/>
    </row>
    <row r="472" customFormat="false" ht="14.25" hidden="false" customHeight="true" outlineLevel="0" collapsed="false">
      <c r="A472" s="51"/>
      <c r="B472" s="51"/>
      <c r="C472" s="51"/>
      <c r="D472" s="52"/>
      <c r="E472" s="51"/>
      <c r="F472" s="51"/>
      <c r="G472" s="52"/>
      <c r="H472" s="52"/>
      <c r="I472" s="52"/>
      <c r="J472" s="47"/>
      <c r="K472" s="47"/>
      <c r="L472" s="47"/>
      <c r="M472" s="47"/>
      <c r="N472" s="47"/>
      <c r="O472" s="47"/>
    </row>
    <row r="473" customFormat="false" ht="14.25" hidden="false" customHeight="true" outlineLevel="0" collapsed="false">
      <c r="A473" s="51"/>
      <c r="B473" s="51"/>
      <c r="C473" s="51"/>
      <c r="D473" s="52"/>
      <c r="E473" s="51"/>
      <c r="F473" s="51"/>
      <c r="G473" s="52"/>
      <c r="H473" s="52"/>
      <c r="I473" s="52"/>
      <c r="J473" s="47"/>
      <c r="K473" s="47"/>
      <c r="L473" s="47"/>
      <c r="M473" s="47"/>
      <c r="N473" s="47"/>
      <c r="O473" s="47"/>
    </row>
    <row r="474" customFormat="false" ht="14.25" hidden="false" customHeight="true" outlineLevel="0" collapsed="false">
      <c r="A474" s="51"/>
      <c r="B474" s="51"/>
      <c r="C474" s="51"/>
      <c r="D474" s="52"/>
      <c r="E474" s="51"/>
      <c r="F474" s="51"/>
      <c r="G474" s="52"/>
      <c r="H474" s="52"/>
      <c r="I474" s="52"/>
      <c r="J474" s="47"/>
      <c r="K474" s="47"/>
      <c r="L474" s="47"/>
      <c r="M474" s="47"/>
      <c r="N474" s="47"/>
      <c r="O474" s="47"/>
    </row>
    <row r="475" customFormat="false" ht="14.25" hidden="false" customHeight="true" outlineLevel="0" collapsed="false">
      <c r="A475" s="51"/>
      <c r="B475" s="51"/>
      <c r="C475" s="51"/>
      <c r="D475" s="52"/>
      <c r="E475" s="51"/>
      <c r="F475" s="51"/>
      <c r="G475" s="52"/>
      <c r="H475" s="52"/>
      <c r="I475" s="52"/>
      <c r="J475" s="47"/>
      <c r="K475" s="47"/>
      <c r="L475" s="47"/>
      <c r="M475" s="47"/>
      <c r="N475" s="47"/>
      <c r="O475" s="47"/>
    </row>
    <row r="476" customFormat="false" ht="14.25" hidden="false" customHeight="true" outlineLevel="0" collapsed="false">
      <c r="A476" s="51"/>
      <c r="B476" s="51"/>
      <c r="C476" s="51"/>
      <c r="D476" s="52"/>
      <c r="E476" s="51"/>
      <c r="F476" s="51"/>
      <c r="G476" s="52"/>
      <c r="H476" s="52"/>
      <c r="I476" s="52"/>
      <c r="J476" s="47"/>
      <c r="K476" s="47"/>
      <c r="L476" s="47"/>
      <c r="M476" s="47"/>
      <c r="N476" s="47"/>
      <c r="O476" s="47"/>
    </row>
    <row r="477" customFormat="false" ht="14.25" hidden="false" customHeight="true" outlineLevel="0" collapsed="false">
      <c r="A477" s="51"/>
      <c r="B477" s="51"/>
      <c r="C477" s="51"/>
      <c r="D477" s="52"/>
      <c r="E477" s="51"/>
      <c r="F477" s="51"/>
      <c r="G477" s="52"/>
      <c r="H477" s="52"/>
      <c r="I477" s="52"/>
      <c r="J477" s="47"/>
      <c r="K477" s="47"/>
      <c r="L477" s="47"/>
      <c r="M477" s="47"/>
      <c r="N477" s="47"/>
      <c r="O477" s="47"/>
    </row>
    <row r="478" customFormat="false" ht="14.25" hidden="false" customHeight="true" outlineLevel="0" collapsed="false">
      <c r="A478" s="51"/>
      <c r="B478" s="51"/>
      <c r="C478" s="51"/>
      <c r="D478" s="52"/>
      <c r="E478" s="51"/>
      <c r="F478" s="51"/>
      <c r="G478" s="52"/>
      <c r="H478" s="52"/>
      <c r="I478" s="52"/>
      <c r="J478" s="47"/>
      <c r="K478" s="47"/>
      <c r="L478" s="47"/>
      <c r="M478" s="47"/>
      <c r="N478" s="47"/>
      <c r="O478" s="47"/>
    </row>
    <row r="479" customFormat="false" ht="14.25" hidden="false" customHeight="true" outlineLevel="0" collapsed="false">
      <c r="A479" s="51"/>
      <c r="B479" s="51"/>
      <c r="C479" s="51"/>
      <c r="D479" s="52"/>
      <c r="E479" s="51"/>
      <c r="F479" s="51"/>
      <c r="G479" s="52"/>
      <c r="H479" s="52"/>
      <c r="I479" s="52"/>
      <c r="J479" s="47"/>
      <c r="K479" s="47"/>
      <c r="L479" s="47"/>
      <c r="M479" s="47"/>
      <c r="N479" s="47"/>
      <c r="O479" s="47"/>
    </row>
    <row r="480" customFormat="false" ht="14.25" hidden="false" customHeight="true" outlineLevel="0" collapsed="false">
      <c r="A480" s="51"/>
      <c r="B480" s="51"/>
      <c r="C480" s="51"/>
      <c r="D480" s="52"/>
      <c r="E480" s="51"/>
      <c r="F480" s="51"/>
      <c r="G480" s="52"/>
      <c r="H480" s="52"/>
      <c r="I480" s="52"/>
      <c r="J480" s="47"/>
      <c r="K480" s="47"/>
      <c r="L480" s="47"/>
      <c r="M480" s="47"/>
      <c r="N480" s="47"/>
      <c r="O480" s="47"/>
    </row>
    <row r="481" customFormat="false" ht="14.25" hidden="false" customHeight="true" outlineLevel="0" collapsed="false">
      <c r="A481" s="51"/>
      <c r="B481" s="51"/>
      <c r="C481" s="51"/>
      <c r="D481" s="52"/>
      <c r="E481" s="51"/>
      <c r="F481" s="51"/>
      <c r="G481" s="52"/>
      <c r="H481" s="52"/>
      <c r="I481" s="52"/>
      <c r="J481" s="47"/>
      <c r="K481" s="47"/>
      <c r="L481" s="47"/>
      <c r="M481" s="47"/>
      <c r="N481" s="47"/>
      <c r="O481" s="47"/>
    </row>
    <row r="482" customFormat="false" ht="14.25" hidden="false" customHeight="true" outlineLevel="0" collapsed="false">
      <c r="A482" s="51"/>
      <c r="B482" s="51"/>
      <c r="C482" s="51"/>
      <c r="D482" s="52"/>
      <c r="E482" s="51"/>
      <c r="F482" s="51"/>
      <c r="G482" s="52"/>
      <c r="H482" s="52"/>
      <c r="I482" s="52"/>
      <c r="J482" s="47"/>
      <c r="K482" s="47"/>
      <c r="L482" s="47"/>
      <c r="M482" s="47"/>
      <c r="N482" s="47"/>
      <c r="O482" s="47"/>
    </row>
    <row r="483" customFormat="false" ht="14.25" hidden="false" customHeight="true" outlineLevel="0" collapsed="false">
      <c r="A483" s="51"/>
      <c r="B483" s="51"/>
      <c r="C483" s="51"/>
      <c r="D483" s="52"/>
      <c r="E483" s="51"/>
      <c r="F483" s="51"/>
      <c r="G483" s="52"/>
      <c r="H483" s="52"/>
      <c r="I483" s="52"/>
      <c r="J483" s="47"/>
      <c r="K483" s="47"/>
      <c r="L483" s="47"/>
      <c r="M483" s="47"/>
      <c r="N483" s="47"/>
      <c r="O483" s="47"/>
    </row>
    <row r="484" customFormat="false" ht="14.25" hidden="false" customHeight="true" outlineLevel="0" collapsed="false">
      <c r="A484" s="51"/>
      <c r="B484" s="51"/>
      <c r="C484" s="51"/>
      <c r="D484" s="52"/>
      <c r="E484" s="51"/>
      <c r="F484" s="51"/>
      <c r="G484" s="52"/>
      <c r="H484" s="52"/>
      <c r="I484" s="52"/>
      <c r="J484" s="47"/>
      <c r="K484" s="47"/>
      <c r="L484" s="47"/>
      <c r="M484" s="47"/>
      <c r="N484" s="47"/>
      <c r="O484" s="47"/>
    </row>
    <row r="485" customFormat="false" ht="14.25" hidden="false" customHeight="true" outlineLevel="0" collapsed="false">
      <c r="A485" s="51"/>
      <c r="B485" s="51"/>
      <c r="C485" s="51"/>
      <c r="D485" s="52"/>
      <c r="E485" s="51"/>
      <c r="F485" s="51"/>
      <c r="G485" s="52"/>
      <c r="H485" s="52"/>
      <c r="I485" s="52"/>
      <c r="J485" s="47"/>
      <c r="K485" s="47"/>
      <c r="L485" s="47"/>
      <c r="M485" s="47"/>
      <c r="N485" s="47"/>
      <c r="O485" s="47"/>
    </row>
    <row r="486" customFormat="false" ht="14.25" hidden="false" customHeight="true" outlineLevel="0" collapsed="false">
      <c r="A486" s="51"/>
      <c r="B486" s="51"/>
      <c r="C486" s="51"/>
      <c r="D486" s="52"/>
      <c r="E486" s="51"/>
      <c r="F486" s="51"/>
      <c r="G486" s="52"/>
      <c r="H486" s="52"/>
      <c r="I486" s="52"/>
      <c r="J486" s="47"/>
      <c r="K486" s="47"/>
      <c r="L486" s="47"/>
      <c r="M486" s="47"/>
      <c r="N486" s="47"/>
      <c r="O486" s="47"/>
    </row>
    <row r="487" customFormat="false" ht="14.25" hidden="false" customHeight="true" outlineLevel="0" collapsed="false">
      <c r="A487" s="51"/>
      <c r="B487" s="51"/>
      <c r="C487" s="51"/>
      <c r="D487" s="52"/>
      <c r="E487" s="51"/>
      <c r="F487" s="51"/>
      <c r="G487" s="52"/>
      <c r="H487" s="52"/>
      <c r="I487" s="52"/>
      <c r="J487" s="47"/>
      <c r="K487" s="47"/>
      <c r="L487" s="47"/>
      <c r="M487" s="47"/>
      <c r="N487" s="47"/>
      <c r="O487" s="47"/>
    </row>
    <row r="488" customFormat="false" ht="14.25" hidden="false" customHeight="true" outlineLevel="0" collapsed="false">
      <c r="A488" s="51"/>
      <c r="B488" s="51"/>
      <c r="C488" s="51"/>
      <c r="D488" s="52"/>
      <c r="E488" s="51"/>
      <c r="F488" s="51"/>
      <c r="G488" s="52"/>
      <c r="H488" s="52"/>
      <c r="I488" s="52"/>
      <c r="J488" s="47"/>
      <c r="K488" s="47"/>
      <c r="L488" s="47"/>
      <c r="M488" s="47"/>
      <c r="N488" s="47"/>
      <c r="O488" s="47"/>
    </row>
    <row r="489" customFormat="false" ht="14.25" hidden="false" customHeight="true" outlineLevel="0" collapsed="false">
      <c r="A489" s="51"/>
      <c r="B489" s="51"/>
      <c r="C489" s="51"/>
      <c r="D489" s="52"/>
      <c r="E489" s="51"/>
      <c r="F489" s="51"/>
      <c r="G489" s="52"/>
      <c r="H489" s="52"/>
      <c r="I489" s="52"/>
      <c r="J489" s="47"/>
      <c r="K489" s="47"/>
      <c r="L489" s="47"/>
      <c r="M489" s="47"/>
      <c r="N489" s="47"/>
      <c r="O489" s="47"/>
    </row>
    <row r="490" customFormat="false" ht="14.25" hidden="false" customHeight="true" outlineLevel="0" collapsed="false">
      <c r="A490" s="51"/>
      <c r="B490" s="51"/>
      <c r="C490" s="51"/>
      <c r="D490" s="52"/>
      <c r="E490" s="51"/>
      <c r="F490" s="51"/>
      <c r="G490" s="52"/>
      <c r="H490" s="52"/>
      <c r="I490" s="52"/>
      <c r="J490" s="47"/>
      <c r="K490" s="47"/>
      <c r="L490" s="47"/>
      <c r="M490" s="47"/>
      <c r="N490" s="47"/>
      <c r="O490" s="47"/>
    </row>
    <row r="491" customFormat="false" ht="14.25" hidden="false" customHeight="true" outlineLevel="0" collapsed="false">
      <c r="A491" s="51"/>
      <c r="B491" s="51"/>
      <c r="C491" s="51"/>
      <c r="D491" s="52"/>
      <c r="E491" s="51"/>
      <c r="F491" s="51"/>
      <c r="G491" s="52"/>
      <c r="H491" s="52"/>
      <c r="I491" s="52"/>
      <c r="J491" s="47"/>
      <c r="K491" s="47"/>
      <c r="L491" s="47"/>
      <c r="M491" s="47"/>
      <c r="N491" s="47"/>
      <c r="O491" s="47"/>
    </row>
    <row r="492" customFormat="false" ht="14.25" hidden="false" customHeight="true" outlineLevel="0" collapsed="false">
      <c r="A492" s="51"/>
      <c r="B492" s="51"/>
      <c r="C492" s="51"/>
      <c r="D492" s="52"/>
      <c r="E492" s="51"/>
      <c r="F492" s="51"/>
      <c r="G492" s="52"/>
      <c r="H492" s="52"/>
      <c r="I492" s="52"/>
      <c r="J492" s="47"/>
      <c r="K492" s="47"/>
      <c r="L492" s="47"/>
      <c r="M492" s="47"/>
      <c r="N492" s="47"/>
      <c r="O492" s="47"/>
    </row>
    <row r="493" customFormat="false" ht="14.25" hidden="false" customHeight="true" outlineLevel="0" collapsed="false">
      <c r="A493" s="51"/>
      <c r="B493" s="51"/>
      <c r="C493" s="51"/>
      <c r="D493" s="52"/>
      <c r="E493" s="51"/>
      <c r="F493" s="51"/>
      <c r="G493" s="52"/>
      <c r="H493" s="52"/>
      <c r="I493" s="52"/>
      <c r="J493" s="47"/>
      <c r="K493" s="47"/>
      <c r="L493" s="47"/>
      <c r="M493" s="47"/>
      <c r="N493" s="47"/>
      <c r="O493" s="47"/>
    </row>
    <row r="494" customFormat="false" ht="14.25" hidden="false" customHeight="true" outlineLevel="0" collapsed="false">
      <c r="A494" s="51"/>
      <c r="B494" s="51"/>
      <c r="C494" s="51"/>
      <c r="D494" s="52"/>
      <c r="E494" s="51"/>
      <c r="F494" s="51"/>
      <c r="G494" s="52"/>
      <c r="H494" s="52"/>
      <c r="I494" s="52"/>
      <c r="J494" s="47"/>
      <c r="K494" s="47"/>
      <c r="L494" s="47"/>
      <c r="M494" s="47"/>
      <c r="N494" s="47"/>
      <c r="O494" s="47"/>
    </row>
    <row r="495" customFormat="false" ht="14.25" hidden="false" customHeight="true" outlineLevel="0" collapsed="false">
      <c r="A495" s="51"/>
      <c r="B495" s="51"/>
      <c r="C495" s="51"/>
      <c r="D495" s="52"/>
      <c r="E495" s="51"/>
      <c r="F495" s="51"/>
      <c r="G495" s="52"/>
      <c r="H495" s="52"/>
      <c r="I495" s="52"/>
      <c r="J495" s="47"/>
      <c r="K495" s="47"/>
      <c r="L495" s="47"/>
      <c r="M495" s="47"/>
      <c r="N495" s="47"/>
      <c r="O495" s="47"/>
    </row>
    <row r="496" customFormat="false" ht="14.25" hidden="false" customHeight="true" outlineLevel="0" collapsed="false">
      <c r="A496" s="51"/>
      <c r="B496" s="51"/>
      <c r="C496" s="51"/>
      <c r="D496" s="52"/>
      <c r="E496" s="51"/>
      <c r="F496" s="51"/>
      <c r="G496" s="52"/>
      <c r="H496" s="52"/>
      <c r="I496" s="52"/>
      <c r="J496" s="47"/>
      <c r="K496" s="47"/>
      <c r="L496" s="47"/>
      <c r="M496" s="47"/>
      <c r="N496" s="47"/>
      <c r="O496" s="47"/>
    </row>
    <row r="497" customFormat="false" ht="14.25" hidden="false" customHeight="true" outlineLevel="0" collapsed="false">
      <c r="A497" s="51"/>
      <c r="B497" s="51"/>
      <c r="C497" s="51"/>
      <c r="D497" s="52"/>
      <c r="E497" s="51"/>
      <c r="F497" s="51"/>
      <c r="G497" s="52"/>
      <c r="H497" s="52"/>
      <c r="I497" s="52"/>
      <c r="J497" s="47"/>
      <c r="K497" s="47"/>
      <c r="L497" s="47"/>
      <c r="M497" s="47"/>
      <c r="N497" s="47"/>
      <c r="O497" s="47"/>
    </row>
    <row r="498" customFormat="false" ht="14.25" hidden="false" customHeight="true" outlineLevel="0" collapsed="false">
      <c r="A498" s="51"/>
      <c r="B498" s="51"/>
      <c r="C498" s="51"/>
      <c r="D498" s="52"/>
      <c r="E498" s="51"/>
      <c r="F498" s="51"/>
      <c r="G498" s="52"/>
      <c r="H498" s="52"/>
      <c r="I498" s="52"/>
      <c r="J498" s="47"/>
      <c r="K498" s="47"/>
      <c r="L498" s="47"/>
      <c r="M498" s="47"/>
      <c r="N498" s="47"/>
      <c r="O498" s="47"/>
    </row>
    <row r="499" customFormat="false" ht="14.25" hidden="false" customHeight="true" outlineLevel="0" collapsed="false">
      <c r="A499" s="51"/>
      <c r="B499" s="51"/>
      <c r="C499" s="51"/>
      <c r="D499" s="52"/>
      <c r="E499" s="51"/>
      <c r="F499" s="51"/>
      <c r="G499" s="52"/>
      <c r="H499" s="52"/>
      <c r="I499" s="52"/>
      <c r="J499" s="47"/>
      <c r="K499" s="47"/>
      <c r="L499" s="47"/>
      <c r="M499" s="47"/>
      <c r="N499" s="47"/>
      <c r="O499" s="47"/>
    </row>
    <row r="500" customFormat="false" ht="14.25" hidden="false" customHeight="true" outlineLevel="0" collapsed="false">
      <c r="A500" s="51"/>
      <c r="B500" s="51"/>
      <c r="C500" s="51"/>
      <c r="D500" s="52"/>
      <c r="E500" s="51"/>
      <c r="F500" s="51"/>
      <c r="G500" s="52"/>
      <c r="H500" s="52"/>
      <c r="I500" s="52"/>
      <c r="J500" s="47"/>
      <c r="K500" s="47"/>
      <c r="L500" s="47"/>
      <c r="M500" s="47"/>
      <c r="N500" s="47"/>
      <c r="O500" s="47"/>
    </row>
    <row r="501" customFormat="false" ht="14.25" hidden="false" customHeight="true" outlineLevel="0" collapsed="false">
      <c r="A501" s="51"/>
      <c r="B501" s="51"/>
      <c r="C501" s="51"/>
      <c r="D501" s="52"/>
      <c r="E501" s="51"/>
      <c r="F501" s="51"/>
      <c r="G501" s="52"/>
      <c r="H501" s="52"/>
      <c r="I501" s="52"/>
      <c r="J501" s="47"/>
      <c r="K501" s="47"/>
      <c r="L501" s="47"/>
      <c r="M501" s="47"/>
      <c r="N501" s="47"/>
      <c r="O501" s="47"/>
    </row>
    <row r="502" customFormat="false" ht="14.25" hidden="false" customHeight="true" outlineLevel="0" collapsed="false">
      <c r="A502" s="51"/>
      <c r="B502" s="51"/>
      <c r="C502" s="51"/>
      <c r="D502" s="52"/>
      <c r="E502" s="51"/>
      <c r="F502" s="51"/>
      <c r="G502" s="52"/>
      <c r="H502" s="52"/>
      <c r="I502" s="52"/>
      <c r="J502" s="47"/>
      <c r="K502" s="47"/>
      <c r="L502" s="47"/>
      <c r="M502" s="47"/>
      <c r="N502" s="47"/>
      <c r="O502" s="47"/>
    </row>
    <row r="503" customFormat="false" ht="14.25" hidden="false" customHeight="true" outlineLevel="0" collapsed="false">
      <c r="A503" s="51"/>
      <c r="B503" s="51"/>
      <c r="C503" s="51"/>
      <c r="D503" s="52"/>
      <c r="E503" s="51"/>
      <c r="F503" s="51"/>
      <c r="G503" s="52"/>
      <c r="H503" s="52"/>
      <c r="I503" s="52"/>
      <c r="J503" s="47"/>
      <c r="K503" s="47"/>
      <c r="L503" s="47"/>
      <c r="M503" s="47"/>
      <c r="N503" s="47"/>
      <c r="O503" s="47"/>
    </row>
    <row r="504" customFormat="false" ht="14.25" hidden="false" customHeight="true" outlineLevel="0" collapsed="false">
      <c r="A504" s="51"/>
      <c r="B504" s="51"/>
      <c r="C504" s="51"/>
      <c r="D504" s="52"/>
      <c r="E504" s="51"/>
      <c r="F504" s="51"/>
      <c r="G504" s="52"/>
      <c r="H504" s="52"/>
      <c r="I504" s="52"/>
      <c r="J504" s="47"/>
      <c r="K504" s="47"/>
      <c r="L504" s="47"/>
      <c r="M504" s="47"/>
      <c r="N504" s="47"/>
      <c r="O504" s="47"/>
    </row>
    <row r="505" customFormat="false" ht="14.25" hidden="false" customHeight="true" outlineLevel="0" collapsed="false">
      <c r="A505" s="51"/>
      <c r="B505" s="51"/>
      <c r="C505" s="51"/>
      <c r="D505" s="52"/>
      <c r="E505" s="51"/>
      <c r="F505" s="51"/>
      <c r="G505" s="52"/>
      <c r="H505" s="52"/>
      <c r="I505" s="52"/>
      <c r="J505" s="47"/>
      <c r="K505" s="47"/>
      <c r="L505" s="47"/>
      <c r="M505" s="47"/>
      <c r="N505" s="47"/>
      <c r="O505" s="47"/>
    </row>
    <row r="506" customFormat="false" ht="14.25" hidden="false" customHeight="true" outlineLevel="0" collapsed="false">
      <c r="A506" s="51"/>
      <c r="B506" s="51"/>
      <c r="C506" s="51"/>
      <c r="D506" s="52"/>
      <c r="E506" s="51"/>
      <c r="F506" s="51"/>
      <c r="G506" s="52"/>
      <c r="H506" s="52"/>
      <c r="I506" s="52"/>
      <c r="J506" s="47"/>
      <c r="K506" s="47"/>
      <c r="L506" s="47"/>
      <c r="M506" s="47"/>
      <c r="N506" s="47"/>
      <c r="O506" s="47"/>
    </row>
    <row r="507" customFormat="false" ht="14.25" hidden="false" customHeight="true" outlineLevel="0" collapsed="false">
      <c r="A507" s="51"/>
      <c r="B507" s="51"/>
      <c r="C507" s="51"/>
      <c r="D507" s="52"/>
      <c r="E507" s="51"/>
      <c r="F507" s="51"/>
      <c r="G507" s="52"/>
      <c r="H507" s="52"/>
      <c r="I507" s="52"/>
      <c r="J507" s="47"/>
      <c r="K507" s="47"/>
      <c r="L507" s="47"/>
      <c r="M507" s="47"/>
      <c r="N507" s="47"/>
      <c r="O507" s="47"/>
    </row>
    <row r="508" customFormat="false" ht="14.25" hidden="false" customHeight="true" outlineLevel="0" collapsed="false">
      <c r="A508" s="51"/>
      <c r="B508" s="51"/>
      <c r="C508" s="51"/>
      <c r="D508" s="52"/>
      <c r="E508" s="51"/>
      <c r="F508" s="51"/>
      <c r="G508" s="52"/>
      <c r="H508" s="52"/>
      <c r="I508" s="52"/>
      <c r="J508" s="47"/>
      <c r="K508" s="47"/>
      <c r="L508" s="47"/>
      <c r="M508" s="47"/>
      <c r="N508" s="47"/>
      <c r="O508" s="47"/>
    </row>
    <row r="509" customFormat="false" ht="14.25" hidden="false" customHeight="true" outlineLevel="0" collapsed="false">
      <c r="A509" s="51"/>
      <c r="B509" s="51"/>
      <c r="C509" s="51"/>
      <c r="D509" s="52"/>
      <c r="E509" s="51"/>
      <c r="F509" s="51"/>
      <c r="G509" s="52"/>
      <c r="H509" s="52"/>
      <c r="I509" s="52"/>
      <c r="J509" s="47"/>
      <c r="K509" s="47"/>
      <c r="L509" s="47"/>
      <c r="M509" s="47"/>
      <c r="N509" s="47"/>
      <c r="O509" s="47"/>
    </row>
    <row r="510" customFormat="false" ht="14.25" hidden="false" customHeight="true" outlineLevel="0" collapsed="false">
      <c r="A510" s="51"/>
      <c r="B510" s="51"/>
      <c r="C510" s="51"/>
      <c r="D510" s="52"/>
      <c r="E510" s="51"/>
      <c r="F510" s="51"/>
      <c r="G510" s="52"/>
      <c r="H510" s="52"/>
      <c r="I510" s="52"/>
      <c r="J510" s="47"/>
      <c r="K510" s="47"/>
      <c r="L510" s="47"/>
      <c r="M510" s="47"/>
      <c r="N510" s="47"/>
      <c r="O510" s="47"/>
    </row>
    <row r="511" customFormat="false" ht="14.25" hidden="false" customHeight="true" outlineLevel="0" collapsed="false">
      <c r="A511" s="51"/>
      <c r="B511" s="51"/>
      <c r="C511" s="51"/>
      <c r="D511" s="52"/>
      <c r="E511" s="51"/>
      <c r="F511" s="51"/>
      <c r="G511" s="52"/>
      <c r="H511" s="52"/>
      <c r="I511" s="52"/>
      <c r="J511" s="47"/>
      <c r="K511" s="47"/>
      <c r="L511" s="47"/>
      <c r="M511" s="47"/>
      <c r="N511" s="47"/>
      <c r="O511" s="47"/>
    </row>
    <row r="512" customFormat="false" ht="14.25" hidden="false" customHeight="true" outlineLevel="0" collapsed="false">
      <c r="A512" s="51"/>
      <c r="B512" s="51"/>
      <c r="C512" s="51"/>
      <c r="D512" s="52"/>
      <c r="E512" s="51"/>
      <c r="F512" s="51"/>
      <c r="G512" s="52"/>
      <c r="H512" s="52"/>
      <c r="I512" s="52"/>
      <c r="J512" s="47"/>
      <c r="K512" s="47"/>
      <c r="L512" s="47"/>
      <c r="M512" s="47"/>
      <c r="N512" s="47"/>
      <c r="O512" s="47"/>
    </row>
    <row r="513" customFormat="false" ht="14.25" hidden="false" customHeight="true" outlineLevel="0" collapsed="false">
      <c r="A513" s="51"/>
      <c r="B513" s="51"/>
      <c r="C513" s="51"/>
      <c r="D513" s="52"/>
      <c r="E513" s="51"/>
      <c r="F513" s="51"/>
      <c r="G513" s="52"/>
      <c r="H513" s="52"/>
      <c r="I513" s="52"/>
      <c r="J513" s="47"/>
      <c r="K513" s="47"/>
      <c r="L513" s="47"/>
      <c r="M513" s="47"/>
      <c r="N513" s="47"/>
      <c r="O513" s="47"/>
    </row>
    <row r="514" customFormat="false" ht="14.25" hidden="false" customHeight="true" outlineLevel="0" collapsed="false">
      <c r="A514" s="51"/>
      <c r="B514" s="51"/>
      <c r="C514" s="51"/>
      <c r="D514" s="52"/>
      <c r="E514" s="51"/>
      <c r="F514" s="51"/>
      <c r="G514" s="52"/>
      <c r="H514" s="52"/>
      <c r="I514" s="52"/>
      <c r="J514" s="47"/>
      <c r="K514" s="47"/>
      <c r="L514" s="47"/>
      <c r="M514" s="47"/>
      <c r="N514" s="47"/>
      <c r="O514" s="47"/>
    </row>
    <row r="515" customFormat="false" ht="14.25" hidden="false" customHeight="true" outlineLevel="0" collapsed="false">
      <c r="A515" s="51"/>
      <c r="B515" s="51"/>
      <c r="C515" s="51"/>
      <c r="D515" s="52"/>
      <c r="E515" s="51"/>
      <c r="F515" s="51"/>
      <c r="G515" s="52"/>
      <c r="H515" s="52"/>
      <c r="I515" s="52"/>
      <c r="J515" s="47"/>
      <c r="K515" s="47"/>
      <c r="L515" s="47"/>
      <c r="M515" s="47"/>
      <c r="N515" s="47"/>
      <c r="O515" s="47"/>
    </row>
    <row r="516" customFormat="false" ht="14.25" hidden="false" customHeight="true" outlineLevel="0" collapsed="false">
      <c r="A516" s="51"/>
      <c r="B516" s="51"/>
      <c r="C516" s="51"/>
      <c r="D516" s="52"/>
      <c r="E516" s="51"/>
      <c r="F516" s="51"/>
      <c r="G516" s="52"/>
      <c r="H516" s="52"/>
      <c r="I516" s="52"/>
      <c r="J516" s="47"/>
      <c r="K516" s="47"/>
      <c r="L516" s="47"/>
      <c r="M516" s="47"/>
      <c r="N516" s="47"/>
      <c r="O516" s="47"/>
    </row>
    <row r="517" customFormat="false" ht="14.25" hidden="false" customHeight="true" outlineLevel="0" collapsed="false">
      <c r="A517" s="51"/>
      <c r="B517" s="51"/>
      <c r="C517" s="51"/>
      <c r="D517" s="52"/>
      <c r="E517" s="51"/>
      <c r="F517" s="51"/>
      <c r="G517" s="52"/>
      <c r="H517" s="52"/>
      <c r="I517" s="52"/>
      <c r="J517" s="47"/>
      <c r="K517" s="47"/>
      <c r="L517" s="47"/>
      <c r="M517" s="47"/>
      <c r="N517" s="47"/>
      <c r="O517" s="47"/>
    </row>
    <row r="518" customFormat="false" ht="14.25" hidden="false" customHeight="true" outlineLevel="0" collapsed="false">
      <c r="A518" s="51"/>
      <c r="B518" s="51"/>
      <c r="C518" s="51"/>
      <c r="D518" s="52"/>
      <c r="E518" s="51"/>
      <c r="F518" s="51"/>
      <c r="G518" s="52"/>
      <c r="H518" s="52"/>
      <c r="I518" s="52"/>
      <c r="J518" s="47"/>
      <c r="K518" s="47"/>
      <c r="L518" s="47"/>
      <c r="M518" s="47"/>
      <c r="N518" s="47"/>
      <c r="O518" s="47"/>
    </row>
    <row r="519" customFormat="false" ht="14.25" hidden="false" customHeight="true" outlineLevel="0" collapsed="false">
      <c r="A519" s="51"/>
      <c r="B519" s="51"/>
      <c r="C519" s="51"/>
      <c r="D519" s="52"/>
      <c r="E519" s="51"/>
      <c r="F519" s="51"/>
      <c r="G519" s="52"/>
      <c r="H519" s="52"/>
      <c r="I519" s="52"/>
      <c r="J519" s="47"/>
      <c r="K519" s="47"/>
      <c r="L519" s="47"/>
      <c r="M519" s="47"/>
      <c r="N519" s="47"/>
      <c r="O519" s="47"/>
    </row>
    <row r="520" customFormat="false" ht="14.25" hidden="false" customHeight="true" outlineLevel="0" collapsed="false">
      <c r="A520" s="51"/>
      <c r="B520" s="51"/>
      <c r="C520" s="51"/>
      <c r="D520" s="52"/>
      <c r="E520" s="51"/>
      <c r="F520" s="51"/>
      <c r="G520" s="52"/>
      <c r="H520" s="52"/>
      <c r="I520" s="52"/>
      <c r="J520" s="47"/>
      <c r="K520" s="47"/>
      <c r="L520" s="47"/>
      <c r="M520" s="47"/>
      <c r="N520" s="47"/>
      <c r="O520" s="47"/>
    </row>
    <row r="521" customFormat="false" ht="14.25" hidden="false" customHeight="true" outlineLevel="0" collapsed="false">
      <c r="A521" s="51"/>
      <c r="B521" s="51"/>
      <c r="C521" s="51"/>
      <c r="D521" s="52"/>
      <c r="E521" s="51"/>
      <c r="F521" s="51"/>
      <c r="G521" s="52"/>
      <c r="H521" s="52"/>
      <c r="I521" s="52"/>
      <c r="J521" s="47"/>
      <c r="K521" s="47"/>
      <c r="L521" s="47"/>
      <c r="M521" s="47"/>
      <c r="N521" s="47"/>
      <c r="O521" s="47"/>
    </row>
    <row r="522" customFormat="false" ht="14.25" hidden="false" customHeight="true" outlineLevel="0" collapsed="false">
      <c r="A522" s="51"/>
      <c r="B522" s="51"/>
      <c r="C522" s="51"/>
      <c r="D522" s="52"/>
      <c r="E522" s="51"/>
      <c r="F522" s="51"/>
      <c r="G522" s="52"/>
      <c r="H522" s="52"/>
      <c r="I522" s="52"/>
      <c r="J522" s="47"/>
      <c r="K522" s="47"/>
      <c r="L522" s="47"/>
      <c r="M522" s="47"/>
      <c r="N522" s="47"/>
      <c r="O522" s="47"/>
    </row>
    <row r="523" customFormat="false" ht="14.25" hidden="false" customHeight="true" outlineLevel="0" collapsed="false">
      <c r="A523" s="51"/>
      <c r="B523" s="51"/>
      <c r="C523" s="51"/>
      <c r="D523" s="52"/>
      <c r="E523" s="51"/>
      <c r="F523" s="51"/>
      <c r="G523" s="52"/>
      <c r="H523" s="52"/>
      <c r="I523" s="52"/>
      <c r="J523" s="47"/>
      <c r="K523" s="47"/>
      <c r="L523" s="47"/>
      <c r="M523" s="47"/>
      <c r="N523" s="47"/>
      <c r="O523" s="47"/>
    </row>
    <row r="524" customFormat="false" ht="14.25" hidden="false" customHeight="true" outlineLevel="0" collapsed="false">
      <c r="A524" s="51"/>
      <c r="B524" s="51"/>
      <c r="C524" s="51"/>
      <c r="D524" s="52"/>
      <c r="E524" s="51"/>
      <c r="F524" s="51"/>
      <c r="G524" s="52"/>
      <c r="H524" s="52"/>
      <c r="I524" s="52"/>
      <c r="J524" s="47"/>
      <c r="K524" s="47"/>
      <c r="L524" s="47"/>
      <c r="M524" s="47"/>
      <c r="N524" s="47"/>
      <c r="O524" s="47"/>
    </row>
    <row r="525" customFormat="false" ht="14.25" hidden="false" customHeight="true" outlineLevel="0" collapsed="false">
      <c r="A525" s="51"/>
      <c r="B525" s="51"/>
      <c r="C525" s="51"/>
      <c r="D525" s="52"/>
      <c r="E525" s="51"/>
      <c r="F525" s="51"/>
      <c r="G525" s="52"/>
      <c r="H525" s="52"/>
      <c r="I525" s="52"/>
      <c r="J525" s="47"/>
      <c r="K525" s="47"/>
      <c r="L525" s="47"/>
      <c r="M525" s="47"/>
      <c r="N525" s="47"/>
      <c r="O525" s="47"/>
    </row>
    <row r="526" customFormat="false" ht="14.25" hidden="false" customHeight="true" outlineLevel="0" collapsed="false">
      <c r="A526" s="51"/>
      <c r="B526" s="51"/>
      <c r="C526" s="51"/>
      <c r="D526" s="52"/>
      <c r="E526" s="51"/>
      <c r="F526" s="51"/>
      <c r="G526" s="52"/>
      <c r="H526" s="52"/>
      <c r="I526" s="52"/>
      <c r="J526" s="47"/>
      <c r="K526" s="47"/>
      <c r="L526" s="47"/>
      <c r="M526" s="47"/>
      <c r="N526" s="47"/>
      <c r="O526" s="47"/>
    </row>
    <row r="527" customFormat="false" ht="14.25" hidden="false" customHeight="true" outlineLevel="0" collapsed="false">
      <c r="A527" s="51"/>
      <c r="B527" s="51"/>
      <c r="C527" s="51"/>
      <c r="D527" s="52"/>
      <c r="E527" s="51"/>
      <c r="F527" s="51"/>
      <c r="G527" s="52"/>
      <c r="H527" s="52"/>
      <c r="I527" s="52"/>
      <c r="J527" s="47"/>
      <c r="K527" s="47"/>
      <c r="L527" s="47"/>
      <c r="M527" s="47"/>
      <c r="N527" s="47"/>
      <c r="O527" s="47"/>
    </row>
    <row r="528" customFormat="false" ht="14.25" hidden="false" customHeight="true" outlineLevel="0" collapsed="false">
      <c r="A528" s="51"/>
      <c r="B528" s="51"/>
      <c r="C528" s="51"/>
      <c r="D528" s="52"/>
      <c r="E528" s="51"/>
      <c r="F528" s="51"/>
      <c r="G528" s="52"/>
      <c r="H528" s="52"/>
      <c r="I528" s="52"/>
      <c r="J528" s="47"/>
      <c r="K528" s="47"/>
      <c r="L528" s="47"/>
      <c r="M528" s="47"/>
      <c r="N528" s="47"/>
      <c r="O528" s="47"/>
    </row>
    <row r="529" customFormat="false" ht="14.25" hidden="false" customHeight="true" outlineLevel="0" collapsed="false">
      <c r="A529" s="51"/>
      <c r="B529" s="51"/>
      <c r="C529" s="51"/>
      <c r="D529" s="52"/>
      <c r="E529" s="51"/>
      <c r="F529" s="51"/>
      <c r="G529" s="52"/>
      <c r="H529" s="52"/>
      <c r="I529" s="52"/>
      <c r="J529" s="47"/>
      <c r="K529" s="47"/>
      <c r="L529" s="47"/>
      <c r="M529" s="47"/>
      <c r="N529" s="47"/>
      <c r="O529" s="47"/>
    </row>
    <row r="530" customFormat="false" ht="14.25" hidden="false" customHeight="true" outlineLevel="0" collapsed="false">
      <c r="A530" s="51"/>
      <c r="B530" s="51"/>
      <c r="C530" s="51"/>
      <c r="D530" s="52"/>
      <c r="E530" s="51"/>
      <c r="F530" s="51"/>
      <c r="G530" s="52"/>
      <c r="H530" s="52"/>
      <c r="I530" s="52"/>
      <c r="J530" s="47"/>
      <c r="K530" s="47"/>
      <c r="L530" s="47"/>
      <c r="M530" s="47"/>
      <c r="N530" s="47"/>
      <c r="O530" s="47"/>
    </row>
    <row r="531" customFormat="false" ht="14.25" hidden="false" customHeight="true" outlineLevel="0" collapsed="false">
      <c r="A531" s="51"/>
      <c r="B531" s="51"/>
      <c r="C531" s="51"/>
      <c r="D531" s="52"/>
      <c r="E531" s="51"/>
      <c r="F531" s="51"/>
      <c r="G531" s="52"/>
      <c r="H531" s="52"/>
      <c r="I531" s="52"/>
      <c r="J531" s="47"/>
      <c r="K531" s="47"/>
      <c r="L531" s="47"/>
      <c r="M531" s="47"/>
      <c r="N531" s="47"/>
      <c r="O531" s="47"/>
    </row>
    <row r="532" customFormat="false" ht="14.25" hidden="false" customHeight="true" outlineLevel="0" collapsed="false">
      <c r="A532" s="51"/>
      <c r="B532" s="51"/>
      <c r="C532" s="51"/>
      <c r="D532" s="52"/>
      <c r="E532" s="51"/>
      <c r="F532" s="51"/>
      <c r="G532" s="52"/>
      <c r="H532" s="52"/>
      <c r="I532" s="52"/>
      <c r="J532" s="47"/>
      <c r="K532" s="47"/>
      <c r="L532" s="47"/>
      <c r="M532" s="47"/>
      <c r="N532" s="47"/>
      <c r="O532" s="47"/>
    </row>
    <row r="533" customFormat="false" ht="14.25" hidden="false" customHeight="true" outlineLevel="0" collapsed="false">
      <c r="A533" s="51"/>
      <c r="B533" s="51"/>
      <c r="C533" s="51"/>
      <c r="D533" s="52"/>
      <c r="E533" s="51"/>
      <c r="F533" s="51"/>
      <c r="G533" s="52"/>
      <c r="H533" s="52"/>
      <c r="I533" s="52"/>
      <c r="J533" s="47"/>
      <c r="K533" s="47"/>
      <c r="L533" s="47"/>
      <c r="M533" s="47"/>
      <c r="N533" s="47"/>
      <c r="O533" s="47"/>
    </row>
    <row r="534" customFormat="false" ht="14.25" hidden="false" customHeight="true" outlineLevel="0" collapsed="false">
      <c r="A534" s="51"/>
      <c r="B534" s="51"/>
      <c r="C534" s="51"/>
      <c r="D534" s="52"/>
      <c r="E534" s="51"/>
      <c r="F534" s="51"/>
      <c r="G534" s="52"/>
      <c r="H534" s="52"/>
      <c r="I534" s="52"/>
      <c r="J534" s="47"/>
      <c r="K534" s="47"/>
      <c r="L534" s="47"/>
      <c r="M534" s="47"/>
      <c r="N534" s="47"/>
      <c r="O534" s="47"/>
    </row>
    <row r="535" customFormat="false" ht="14.25" hidden="false" customHeight="true" outlineLevel="0" collapsed="false">
      <c r="A535" s="51"/>
      <c r="B535" s="51"/>
      <c r="C535" s="51"/>
      <c r="D535" s="52"/>
      <c r="E535" s="51"/>
      <c r="F535" s="51"/>
      <c r="G535" s="52"/>
      <c r="H535" s="52"/>
      <c r="I535" s="52"/>
      <c r="J535" s="47"/>
      <c r="K535" s="47"/>
      <c r="L535" s="47"/>
      <c r="M535" s="47"/>
      <c r="N535" s="47"/>
      <c r="O535" s="47"/>
    </row>
    <row r="536" customFormat="false" ht="14.25" hidden="false" customHeight="true" outlineLevel="0" collapsed="false">
      <c r="A536" s="51"/>
      <c r="B536" s="51"/>
      <c r="C536" s="51"/>
      <c r="D536" s="52"/>
      <c r="E536" s="51"/>
      <c r="F536" s="51"/>
      <c r="G536" s="52"/>
      <c r="H536" s="52"/>
      <c r="I536" s="52"/>
      <c r="J536" s="47"/>
      <c r="K536" s="47"/>
      <c r="L536" s="47"/>
      <c r="M536" s="47"/>
      <c r="N536" s="47"/>
      <c r="O536" s="47"/>
    </row>
    <row r="537" customFormat="false" ht="14.25" hidden="false" customHeight="true" outlineLevel="0" collapsed="false">
      <c r="A537" s="51"/>
      <c r="B537" s="51"/>
      <c r="C537" s="51"/>
      <c r="D537" s="52"/>
      <c r="E537" s="51"/>
      <c r="F537" s="51"/>
      <c r="G537" s="52"/>
      <c r="H537" s="52"/>
      <c r="I537" s="52"/>
      <c r="J537" s="47"/>
      <c r="K537" s="47"/>
      <c r="L537" s="47"/>
      <c r="M537" s="47"/>
      <c r="N537" s="47"/>
      <c r="O537" s="47"/>
    </row>
    <row r="538" customFormat="false" ht="14.25" hidden="false" customHeight="true" outlineLevel="0" collapsed="false">
      <c r="A538" s="51"/>
      <c r="B538" s="51"/>
      <c r="C538" s="51"/>
      <c r="D538" s="52"/>
      <c r="E538" s="51"/>
      <c r="F538" s="51"/>
      <c r="G538" s="52"/>
      <c r="H538" s="52"/>
      <c r="I538" s="52"/>
      <c r="J538" s="47"/>
      <c r="K538" s="47"/>
      <c r="L538" s="47"/>
      <c r="M538" s="47"/>
      <c r="N538" s="47"/>
      <c r="O538" s="47"/>
    </row>
    <row r="539" customFormat="false" ht="14.25" hidden="false" customHeight="true" outlineLevel="0" collapsed="false">
      <c r="A539" s="51"/>
      <c r="B539" s="51"/>
      <c r="C539" s="51"/>
      <c r="D539" s="52"/>
      <c r="E539" s="51"/>
      <c r="F539" s="51"/>
      <c r="G539" s="52"/>
      <c r="H539" s="52"/>
      <c r="I539" s="52"/>
      <c r="J539" s="47"/>
      <c r="K539" s="47"/>
      <c r="L539" s="47"/>
      <c r="M539" s="47"/>
      <c r="N539" s="47"/>
      <c r="O539" s="47"/>
    </row>
    <row r="540" customFormat="false" ht="14.25" hidden="false" customHeight="true" outlineLevel="0" collapsed="false">
      <c r="A540" s="51"/>
      <c r="B540" s="51"/>
      <c r="C540" s="51"/>
      <c r="D540" s="52"/>
      <c r="E540" s="51"/>
      <c r="F540" s="51"/>
      <c r="G540" s="52"/>
      <c r="H540" s="52"/>
      <c r="I540" s="52"/>
      <c r="J540" s="47"/>
      <c r="K540" s="47"/>
      <c r="L540" s="47"/>
      <c r="M540" s="47"/>
      <c r="N540" s="47"/>
      <c r="O540" s="47"/>
    </row>
    <row r="541" customFormat="false" ht="14.25" hidden="false" customHeight="true" outlineLevel="0" collapsed="false">
      <c r="A541" s="51"/>
      <c r="B541" s="51"/>
      <c r="C541" s="51"/>
      <c r="D541" s="52"/>
      <c r="E541" s="51"/>
      <c r="F541" s="51"/>
      <c r="G541" s="52"/>
      <c r="H541" s="52"/>
      <c r="I541" s="52"/>
      <c r="J541" s="47"/>
      <c r="K541" s="47"/>
      <c r="L541" s="47"/>
      <c r="M541" s="47"/>
      <c r="N541" s="47"/>
      <c r="O541" s="47"/>
    </row>
    <row r="542" customFormat="false" ht="14.25" hidden="false" customHeight="true" outlineLevel="0" collapsed="false">
      <c r="A542" s="51"/>
      <c r="B542" s="51"/>
      <c r="C542" s="51"/>
      <c r="D542" s="52"/>
      <c r="E542" s="51"/>
      <c r="F542" s="51"/>
      <c r="G542" s="52"/>
      <c r="H542" s="52"/>
      <c r="I542" s="52"/>
      <c r="J542" s="47"/>
      <c r="K542" s="47"/>
      <c r="L542" s="47"/>
      <c r="M542" s="47"/>
      <c r="N542" s="47"/>
      <c r="O542" s="47"/>
    </row>
    <row r="543" customFormat="false" ht="14.25" hidden="false" customHeight="true" outlineLevel="0" collapsed="false">
      <c r="A543" s="51"/>
      <c r="B543" s="51"/>
      <c r="C543" s="51"/>
      <c r="D543" s="52"/>
      <c r="E543" s="51"/>
      <c r="F543" s="51"/>
      <c r="G543" s="52"/>
      <c r="H543" s="52"/>
      <c r="I543" s="52"/>
      <c r="J543" s="47"/>
      <c r="K543" s="47"/>
      <c r="L543" s="47"/>
      <c r="M543" s="47"/>
      <c r="N543" s="47"/>
      <c r="O543" s="47"/>
    </row>
    <row r="544" customFormat="false" ht="14.25" hidden="false" customHeight="true" outlineLevel="0" collapsed="false">
      <c r="A544" s="51"/>
      <c r="B544" s="51"/>
      <c r="C544" s="51"/>
      <c r="D544" s="52"/>
      <c r="E544" s="51"/>
      <c r="F544" s="51"/>
      <c r="G544" s="52"/>
      <c r="H544" s="52"/>
      <c r="I544" s="52"/>
      <c r="J544" s="47"/>
      <c r="K544" s="47"/>
      <c r="L544" s="47"/>
      <c r="M544" s="47"/>
      <c r="N544" s="47"/>
      <c r="O544" s="47"/>
    </row>
    <row r="545" customFormat="false" ht="14.25" hidden="false" customHeight="true" outlineLevel="0" collapsed="false">
      <c r="A545" s="51"/>
      <c r="B545" s="51"/>
      <c r="C545" s="51"/>
      <c r="D545" s="52"/>
      <c r="E545" s="51"/>
      <c r="F545" s="51"/>
      <c r="G545" s="52"/>
      <c r="H545" s="52"/>
      <c r="I545" s="52"/>
      <c r="J545" s="47"/>
      <c r="K545" s="47"/>
      <c r="L545" s="47"/>
      <c r="M545" s="47"/>
      <c r="N545" s="47"/>
      <c r="O545" s="47"/>
    </row>
    <row r="546" customFormat="false" ht="14.25" hidden="false" customHeight="true" outlineLevel="0" collapsed="false">
      <c r="A546" s="51"/>
      <c r="B546" s="51"/>
      <c r="C546" s="51"/>
      <c r="D546" s="52"/>
      <c r="E546" s="51"/>
      <c r="F546" s="51"/>
      <c r="G546" s="52"/>
      <c r="H546" s="52"/>
      <c r="I546" s="52"/>
      <c r="J546" s="47"/>
      <c r="K546" s="47"/>
      <c r="L546" s="47"/>
      <c r="M546" s="47"/>
      <c r="N546" s="47"/>
      <c r="O546" s="47"/>
    </row>
    <row r="547" customFormat="false" ht="14.25" hidden="false" customHeight="true" outlineLevel="0" collapsed="false">
      <c r="A547" s="51"/>
      <c r="B547" s="51"/>
      <c r="C547" s="51"/>
      <c r="D547" s="52"/>
      <c r="E547" s="51"/>
      <c r="F547" s="51"/>
      <c r="G547" s="52"/>
      <c r="H547" s="52"/>
      <c r="I547" s="52"/>
      <c r="J547" s="47"/>
      <c r="K547" s="47"/>
      <c r="L547" s="47"/>
      <c r="M547" s="47"/>
      <c r="N547" s="47"/>
      <c r="O547" s="47"/>
    </row>
    <row r="548" customFormat="false" ht="14.25" hidden="false" customHeight="true" outlineLevel="0" collapsed="false">
      <c r="A548" s="51"/>
      <c r="B548" s="51"/>
      <c r="C548" s="51"/>
      <c r="D548" s="52"/>
      <c r="E548" s="51"/>
      <c r="F548" s="51"/>
      <c r="G548" s="52"/>
      <c r="H548" s="52"/>
      <c r="I548" s="52"/>
      <c r="J548" s="47"/>
      <c r="K548" s="47"/>
      <c r="L548" s="47"/>
      <c r="M548" s="47"/>
      <c r="N548" s="47"/>
      <c r="O548" s="47"/>
    </row>
    <row r="549" customFormat="false" ht="14.25" hidden="false" customHeight="true" outlineLevel="0" collapsed="false">
      <c r="A549" s="51"/>
      <c r="B549" s="51"/>
      <c r="C549" s="51"/>
      <c r="D549" s="52"/>
      <c r="E549" s="51"/>
      <c r="F549" s="51"/>
      <c r="G549" s="52"/>
      <c r="H549" s="52"/>
      <c r="I549" s="52"/>
      <c r="J549" s="47"/>
      <c r="K549" s="47"/>
      <c r="L549" s="47"/>
      <c r="M549" s="47"/>
      <c r="N549" s="47"/>
      <c r="O549" s="47"/>
    </row>
    <row r="550" customFormat="false" ht="14.25" hidden="false" customHeight="true" outlineLevel="0" collapsed="false">
      <c r="A550" s="51"/>
      <c r="B550" s="51"/>
      <c r="C550" s="51"/>
      <c r="D550" s="52"/>
      <c r="E550" s="51"/>
      <c r="F550" s="51"/>
      <c r="G550" s="52"/>
      <c r="H550" s="52"/>
      <c r="I550" s="52"/>
      <c r="J550" s="47"/>
      <c r="K550" s="47"/>
      <c r="L550" s="47"/>
      <c r="M550" s="47"/>
      <c r="N550" s="47"/>
      <c r="O550" s="47"/>
    </row>
    <row r="551" customFormat="false" ht="14.25" hidden="false" customHeight="true" outlineLevel="0" collapsed="false">
      <c r="A551" s="51"/>
      <c r="B551" s="51"/>
      <c r="C551" s="51"/>
      <c r="D551" s="52"/>
      <c r="E551" s="51"/>
      <c r="F551" s="51"/>
      <c r="G551" s="52"/>
      <c r="H551" s="52"/>
      <c r="I551" s="52"/>
      <c r="J551" s="47"/>
      <c r="K551" s="47"/>
      <c r="L551" s="47"/>
      <c r="M551" s="47"/>
      <c r="N551" s="47"/>
      <c r="O551" s="47"/>
    </row>
    <row r="552" customFormat="false" ht="14.25" hidden="false" customHeight="true" outlineLevel="0" collapsed="false">
      <c r="A552" s="51"/>
      <c r="B552" s="51"/>
      <c r="C552" s="51"/>
      <c r="D552" s="52"/>
      <c r="E552" s="51"/>
      <c r="F552" s="51"/>
      <c r="G552" s="52"/>
      <c r="H552" s="52"/>
      <c r="I552" s="52"/>
      <c r="J552" s="47"/>
      <c r="K552" s="47"/>
      <c r="L552" s="47"/>
      <c r="M552" s="47"/>
      <c r="N552" s="47"/>
      <c r="O552" s="47"/>
    </row>
    <row r="553" customFormat="false" ht="14.25" hidden="false" customHeight="true" outlineLevel="0" collapsed="false">
      <c r="A553" s="51"/>
      <c r="B553" s="51"/>
      <c r="C553" s="51"/>
      <c r="D553" s="52"/>
      <c r="E553" s="51"/>
      <c r="F553" s="51"/>
      <c r="G553" s="52"/>
      <c r="H553" s="52"/>
      <c r="I553" s="52"/>
      <c r="J553" s="47"/>
      <c r="K553" s="47"/>
      <c r="L553" s="47"/>
      <c r="M553" s="47"/>
      <c r="N553" s="47"/>
      <c r="O553" s="47"/>
    </row>
    <row r="554" customFormat="false" ht="14.25" hidden="false" customHeight="true" outlineLevel="0" collapsed="false">
      <c r="A554" s="51"/>
      <c r="B554" s="51"/>
      <c r="C554" s="51"/>
      <c r="D554" s="52"/>
      <c r="E554" s="51"/>
      <c r="F554" s="51"/>
      <c r="G554" s="52"/>
      <c r="H554" s="52"/>
      <c r="I554" s="52"/>
      <c r="J554" s="47"/>
      <c r="K554" s="47"/>
      <c r="L554" s="47"/>
      <c r="M554" s="47"/>
      <c r="N554" s="47"/>
      <c r="O554" s="47"/>
    </row>
    <row r="555" customFormat="false" ht="14.25" hidden="false" customHeight="true" outlineLevel="0" collapsed="false">
      <c r="A555" s="51"/>
      <c r="B555" s="51"/>
      <c r="C555" s="51"/>
      <c r="D555" s="52"/>
      <c r="E555" s="51"/>
      <c r="F555" s="51"/>
      <c r="G555" s="52"/>
      <c r="H555" s="52"/>
      <c r="I555" s="52"/>
      <c r="J555" s="47"/>
      <c r="K555" s="47"/>
      <c r="L555" s="47"/>
      <c r="M555" s="47"/>
      <c r="N555" s="47"/>
      <c r="O555" s="47"/>
    </row>
    <row r="556" customFormat="false" ht="14.25" hidden="false" customHeight="true" outlineLevel="0" collapsed="false">
      <c r="A556" s="51"/>
      <c r="B556" s="51"/>
      <c r="C556" s="51"/>
      <c r="D556" s="52"/>
      <c r="E556" s="51"/>
      <c r="F556" s="51"/>
      <c r="G556" s="52"/>
      <c r="H556" s="52"/>
      <c r="I556" s="52"/>
      <c r="J556" s="47"/>
      <c r="K556" s="47"/>
      <c r="L556" s="47"/>
      <c r="M556" s="47"/>
      <c r="N556" s="47"/>
      <c r="O556" s="47"/>
    </row>
    <row r="557" customFormat="false" ht="14.25" hidden="false" customHeight="true" outlineLevel="0" collapsed="false">
      <c r="A557" s="51"/>
      <c r="B557" s="51"/>
      <c r="C557" s="51"/>
      <c r="D557" s="52"/>
      <c r="E557" s="51"/>
      <c r="F557" s="51"/>
      <c r="G557" s="52"/>
      <c r="H557" s="52"/>
      <c r="I557" s="52"/>
      <c r="J557" s="47"/>
      <c r="K557" s="47"/>
      <c r="L557" s="47"/>
      <c r="M557" s="47"/>
      <c r="N557" s="47"/>
      <c r="O557" s="47"/>
    </row>
    <row r="558" customFormat="false" ht="14.25" hidden="false" customHeight="true" outlineLevel="0" collapsed="false">
      <c r="A558" s="51"/>
      <c r="B558" s="51"/>
      <c r="C558" s="51"/>
      <c r="D558" s="52"/>
      <c r="E558" s="51"/>
      <c r="F558" s="51"/>
      <c r="G558" s="52"/>
      <c r="H558" s="52"/>
      <c r="I558" s="52"/>
      <c r="J558" s="47"/>
      <c r="K558" s="47"/>
      <c r="L558" s="47"/>
      <c r="M558" s="47"/>
      <c r="N558" s="47"/>
      <c r="O558" s="47"/>
    </row>
    <row r="559" customFormat="false" ht="14.25" hidden="false" customHeight="true" outlineLevel="0" collapsed="false">
      <c r="A559" s="51"/>
      <c r="B559" s="51"/>
      <c r="C559" s="51"/>
      <c r="D559" s="52"/>
      <c r="E559" s="51"/>
      <c r="F559" s="51"/>
      <c r="G559" s="52"/>
      <c r="H559" s="52"/>
      <c r="I559" s="52"/>
      <c r="J559" s="47"/>
      <c r="K559" s="47"/>
      <c r="L559" s="47"/>
      <c r="M559" s="47"/>
      <c r="N559" s="47"/>
      <c r="O559" s="47"/>
    </row>
    <row r="560" customFormat="false" ht="14.25" hidden="false" customHeight="true" outlineLevel="0" collapsed="false">
      <c r="A560" s="51"/>
      <c r="B560" s="51"/>
      <c r="C560" s="51"/>
      <c r="D560" s="52"/>
      <c r="E560" s="51"/>
      <c r="F560" s="51"/>
      <c r="G560" s="52"/>
      <c r="H560" s="52"/>
      <c r="I560" s="52"/>
      <c r="J560" s="47"/>
      <c r="K560" s="47"/>
      <c r="L560" s="47"/>
      <c r="M560" s="47"/>
      <c r="N560" s="47"/>
      <c r="O560" s="47"/>
    </row>
    <row r="561" customFormat="false" ht="14.25" hidden="false" customHeight="true" outlineLevel="0" collapsed="false">
      <c r="A561" s="51"/>
      <c r="B561" s="51"/>
      <c r="C561" s="51"/>
      <c r="D561" s="52"/>
      <c r="E561" s="51"/>
      <c r="F561" s="51"/>
      <c r="G561" s="52"/>
      <c r="H561" s="52"/>
      <c r="I561" s="52"/>
      <c r="J561" s="47"/>
      <c r="K561" s="47"/>
      <c r="L561" s="47"/>
      <c r="M561" s="47"/>
      <c r="N561" s="47"/>
      <c r="O561" s="47"/>
    </row>
    <row r="562" customFormat="false" ht="14.25" hidden="false" customHeight="true" outlineLevel="0" collapsed="false">
      <c r="A562" s="51"/>
      <c r="B562" s="51"/>
      <c r="C562" s="51"/>
      <c r="D562" s="52"/>
      <c r="E562" s="51"/>
      <c r="F562" s="51"/>
      <c r="G562" s="52"/>
      <c r="H562" s="52"/>
      <c r="I562" s="52"/>
      <c r="J562" s="47"/>
      <c r="K562" s="47"/>
      <c r="L562" s="47"/>
      <c r="M562" s="47"/>
      <c r="N562" s="47"/>
      <c r="O562" s="47"/>
    </row>
    <row r="563" customFormat="false" ht="14.25" hidden="false" customHeight="true" outlineLevel="0" collapsed="false">
      <c r="A563" s="51"/>
      <c r="B563" s="51"/>
      <c r="C563" s="51"/>
      <c r="D563" s="52"/>
      <c r="E563" s="51"/>
      <c r="F563" s="51"/>
      <c r="G563" s="52"/>
      <c r="H563" s="52"/>
      <c r="I563" s="52"/>
      <c r="J563" s="47"/>
      <c r="K563" s="47"/>
      <c r="L563" s="47"/>
      <c r="M563" s="47"/>
      <c r="N563" s="47"/>
      <c r="O563" s="47"/>
    </row>
    <row r="564" customFormat="false" ht="14.25" hidden="false" customHeight="true" outlineLevel="0" collapsed="false">
      <c r="A564" s="51"/>
      <c r="B564" s="51"/>
      <c r="C564" s="51"/>
      <c r="D564" s="52"/>
      <c r="E564" s="51"/>
      <c r="F564" s="51"/>
      <c r="G564" s="52"/>
      <c r="H564" s="52"/>
      <c r="I564" s="52"/>
      <c r="J564" s="47"/>
      <c r="K564" s="47"/>
      <c r="L564" s="47"/>
      <c r="M564" s="47"/>
      <c r="N564" s="47"/>
      <c r="O564" s="47"/>
    </row>
    <row r="565" customFormat="false" ht="14.25" hidden="false" customHeight="true" outlineLevel="0" collapsed="false">
      <c r="A565" s="51"/>
      <c r="B565" s="51"/>
      <c r="C565" s="51"/>
      <c r="D565" s="52"/>
      <c r="E565" s="51"/>
      <c r="F565" s="51"/>
      <c r="G565" s="52"/>
      <c r="H565" s="52"/>
      <c r="I565" s="52"/>
      <c r="J565" s="47"/>
      <c r="K565" s="47"/>
      <c r="L565" s="47"/>
      <c r="M565" s="47"/>
      <c r="N565" s="47"/>
      <c r="O565" s="47"/>
    </row>
    <row r="566" customFormat="false" ht="14.25" hidden="false" customHeight="true" outlineLevel="0" collapsed="false">
      <c r="A566" s="51"/>
      <c r="B566" s="51"/>
      <c r="C566" s="51"/>
      <c r="D566" s="52"/>
      <c r="E566" s="51"/>
      <c r="F566" s="51"/>
      <c r="G566" s="52"/>
      <c r="H566" s="52"/>
      <c r="I566" s="52"/>
      <c r="J566" s="47"/>
      <c r="K566" s="47"/>
      <c r="L566" s="47"/>
      <c r="M566" s="47"/>
      <c r="N566" s="47"/>
      <c r="O566" s="47"/>
    </row>
    <row r="567" customFormat="false" ht="14.25" hidden="false" customHeight="true" outlineLevel="0" collapsed="false">
      <c r="A567" s="51"/>
      <c r="B567" s="51"/>
      <c r="C567" s="51"/>
      <c r="D567" s="52"/>
      <c r="E567" s="51"/>
      <c r="F567" s="51"/>
      <c r="G567" s="52"/>
      <c r="H567" s="52"/>
      <c r="I567" s="52"/>
      <c r="J567" s="47"/>
      <c r="K567" s="47"/>
      <c r="L567" s="47"/>
      <c r="M567" s="47"/>
      <c r="N567" s="47"/>
      <c r="O567" s="47"/>
    </row>
    <row r="568" customFormat="false" ht="14.25" hidden="false" customHeight="true" outlineLevel="0" collapsed="false">
      <c r="A568" s="51"/>
      <c r="B568" s="51"/>
      <c r="C568" s="51"/>
      <c r="D568" s="52"/>
      <c r="E568" s="51"/>
      <c r="F568" s="51"/>
      <c r="G568" s="52"/>
      <c r="H568" s="52"/>
      <c r="I568" s="52"/>
      <c r="J568" s="47"/>
      <c r="K568" s="47"/>
      <c r="L568" s="47"/>
      <c r="M568" s="47"/>
      <c r="N568" s="47"/>
      <c r="O568" s="47"/>
    </row>
    <row r="569" customFormat="false" ht="14.25" hidden="false" customHeight="true" outlineLevel="0" collapsed="false">
      <c r="A569" s="51"/>
      <c r="B569" s="51"/>
      <c r="C569" s="51"/>
      <c r="D569" s="52"/>
      <c r="E569" s="51"/>
      <c r="F569" s="51"/>
      <c r="G569" s="52"/>
      <c r="H569" s="52"/>
      <c r="I569" s="52"/>
      <c r="J569" s="47"/>
      <c r="K569" s="47"/>
      <c r="L569" s="47"/>
      <c r="M569" s="47"/>
      <c r="N569" s="47"/>
      <c r="O569" s="47"/>
    </row>
    <row r="570" customFormat="false" ht="14.25" hidden="false" customHeight="true" outlineLevel="0" collapsed="false">
      <c r="A570" s="51"/>
      <c r="B570" s="51"/>
      <c r="C570" s="51"/>
      <c r="D570" s="52"/>
      <c r="E570" s="51"/>
      <c r="F570" s="51"/>
      <c r="G570" s="52"/>
      <c r="H570" s="52"/>
      <c r="I570" s="52"/>
      <c r="J570" s="47"/>
      <c r="K570" s="47"/>
      <c r="L570" s="47"/>
      <c r="M570" s="47"/>
      <c r="N570" s="47"/>
      <c r="O570" s="47"/>
    </row>
    <row r="571" customFormat="false" ht="14.25" hidden="false" customHeight="true" outlineLevel="0" collapsed="false">
      <c r="A571" s="51"/>
      <c r="B571" s="51"/>
      <c r="C571" s="51"/>
      <c r="D571" s="52"/>
      <c r="E571" s="51"/>
      <c r="F571" s="51"/>
      <c r="G571" s="52"/>
      <c r="H571" s="52"/>
      <c r="I571" s="52"/>
      <c r="J571" s="47"/>
      <c r="K571" s="47"/>
      <c r="L571" s="47"/>
      <c r="M571" s="47"/>
      <c r="N571" s="47"/>
      <c r="O571" s="47"/>
    </row>
    <row r="572" customFormat="false" ht="14.25" hidden="false" customHeight="true" outlineLevel="0" collapsed="false">
      <c r="A572" s="51"/>
      <c r="B572" s="51"/>
      <c r="C572" s="51"/>
      <c r="D572" s="52"/>
      <c r="E572" s="51"/>
      <c r="F572" s="51"/>
      <c r="G572" s="52"/>
      <c r="H572" s="52"/>
      <c r="I572" s="52"/>
      <c r="J572" s="47"/>
      <c r="K572" s="47"/>
      <c r="L572" s="47"/>
      <c r="M572" s="47"/>
      <c r="N572" s="47"/>
      <c r="O572" s="47"/>
    </row>
    <row r="573" customFormat="false" ht="14.25" hidden="false" customHeight="true" outlineLevel="0" collapsed="false">
      <c r="A573" s="51"/>
      <c r="B573" s="51"/>
      <c r="C573" s="51"/>
      <c r="D573" s="52"/>
      <c r="E573" s="51"/>
      <c r="F573" s="51"/>
      <c r="G573" s="52"/>
      <c r="H573" s="52"/>
      <c r="I573" s="52"/>
      <c r="J573" s="47"/>
      <c r="K573" s="47"/>
      <c r="L573" s="47"/>
      <c r="M573" s="47"/>
      <c r="N573" s="47"/>
      <c r="O573" s="47"/>
    </row>
    <row r="574" customFormat="false" ht="14.25" hidden="false" customHeight="true" outlineLevel="0" collapsed="false">
      <c r="A574" s="51"/>
      <c r="B574" s="51"/>
      <c r="C574" s="51"/>
      <c r="D574" s="52"/>
      <c r="E574" s="51"/>
      <c r="F574" s="51"/>
      <c r="G574" s="52"/>
      <c r="H574" s="52"/>
      <c r="I574" s="52"/>
      <c r="J574" s="47"/>
      <c r="K574" s="47"/>
      <c r="L574" s="47"/>
      <c r="M574" s="47"/>
      <c r="N574" s="47"/>
      <c r="O574" s="47"/>
    </row>
    <row r="575" customFormat="false" ht="14.25" hidden="false" customHeight="true" outlineLevel="0" collapsed="false">
      <c r="A575" s="51"/>
      <c r="B575" s="51"/>
      <c r="C575" s="51"/>
      <c r="D575" s="52"/>
      <c r="E575" s="51"/>
      <c r="F575" s="51"/>
      <c r="G575" s="52"/>
      <c r="H575" s="52"/>
      <c r="I575" s="52"/>
      <c r="J575" s="47"/>
      <c r="K575" s="47"/>
      <c r="L575" s="47"/>
      <c r="M575" s="47"/>
      <c r="N575" s="47"/>
      <c r="O575" s="47"/>
    </row>
    <row r="576" customFormat="false" ht="14.25" hidden="false" customHeight="true" outlineLevel="0" collapsed="false">
      <c r="A576" s="51"/>
      <c r="B576" s="51"/>
      <c r="C576" s="51"/>
      <c r="D576" s="52"/>
      <c r="E576" s="51"/>
      <c r="F576" s="51"/>
      <c r="G576" s="52"/>
      <c r="H576" s="52"/>
      <c r="I576" s="52"/>
      <c r="J576" s="47"/>
      <c r="K576" s="47"/>
      <c r="L576" s="47"/>
      <c r="M576" s="47"/>
      <c r="N576" s="47"/>
      <c r="O576" s="47"/>
    </row>
    <row r="577" customFormat="false" ht="14.25" hidden="false" customHeight="true" outlineLevel="0" collapsed="false">
      <c r="A577" s="51"/>
      <c r="B577" s="51"/>
      <c r="C577" s="51"/>
      <c r="D577" s="52"/>
      <c r="E577" s="51"/>
      <c r="F577" s="51"/>
      <c r="G577" s="52"/>
      <c r="H577" s="52"/>
      <c r="I577" s="52"/>
      <c r="J577" s="47"/>
      <c r="K577" s="47"/>
      <c r="L577" s="47"/>
      <c r="M577" s="47"/>
      <c r="N577" s="47"/>
      <c r="O577" s="47"/>
    </row>
    <row r="578" customFormat="false" ht="14.25" hidden="false" customHeight="true" outlineLevel="0" collapsed="false">
      <c r="A578" s="51"/>
      <c r="B578" s="51"/>
      <c r="C578" s="51"/>
      <c r="D578" s="52"/>
      <c r="E578" s="51"/>
      <c r="F578" s="51"/>
      <c r="G578" s="52"/>
      <c r="H578" s="52"/>
      <c r="I578" s="52"/>
      <c r="J578" s="47"/>
      <c r="K578" s="47"/>
      <c r="L578" s="47"/>
      <c r="M578" s="47"/>
      <c r="N578" s="47"/>
      <c r="O578" s="47"/>
    </row>
    <row r="579" customFormat="false" ht="14.25" hidden="false" customHeight="true" outlineLevel="0" collapsed="false">
      <c r="A579" s="51"/>
      <c r="B579" s="51"/>
      <c r="C579" s="51"/>
      <c r="D579" s="52"/>
      <c r="E579" s="51"/>
      <c r="F579" s="51"/>
      <c r="G579" s="52"/>
      <c r="H579" s="52"/>
      <c r="I579" s="52"/>
      <c r="J579" s="47"/>
      <c r="K579" s="47"/>
      <c r="L579" s="47"/>
      <c r="M579" s="47"/>
      <c r="N579" s="47"/>
      <c r="O579" s="47"/>
    </row>
    <row r="580" customFormat="false" ht="14.25" hidden="false" customHeight="true" outlineLevel="0" collapsed="false">
      <c r="A580" s="51"/>
      <c r="B580" s="51"/>
      <c r="C580" s="51"/>
      <c r="D580" s="52"/>
      <c r="E580" s="51"/>
      <c r="F580" s="51"/>
      <c r="G580" s="52"/>
      <c r="H580" s="52"/>
      <c r="I580" s="52"/>
      <c r="J580" s="47"/>
      <c r="K580" s="47"/>
      <c r="L580" s="47"/>
      <c r="M580" s="47"/>
      <c r="N580" s="47"/>
      <c r="O580" s="47"/>
    </row>
    <row r="581" customFormat="false" ht="14.25" hidden="false" customHeight="true" outlineLevel="0" collapsed="false">
      <c r="A581" s="51"/>
      <c r="B581" s="51"/>
      <c r="C581" s="51"/>
      <c r="D581" s="52"/>
      <c r="E581" s="51"/>
      <c r="F581" s="51"/>
      <c r="G581" s="52"/>
      <c r="H581" s="52"/>
      <c r="I581" s="52"/>
      <c r="J581" s="47"/>
      <c r="K581" s="47"/>
      <c r="L581" s="47"/>
      <c r="M581" s="47"/>
      <c r="N581" s="47"/>
      <c r="O581" s="47"/>
    </row>
    <row r="582" customFormat="false" ht="14.25" hidden="false" customHeight="true" outlineLevel="0" collapsed="false">
      <c r="A582" s="51"/>
      <c r="B582" s="51"/>
      <c r="C582" s="51"/>
      <c r="D582" s="52"/>
      <c r="E582" s="51"/>
      <c r="F582" s="51"/>
      <c r="G582" s="52"/>
      <c r="H582" s="52"/>
      <c r="I582" s="52"/>
      <c r="J582" s="47"/>
      <c r="K582" s="47"/>
      <c r="L582" s="47"/>
      <c r="M582" s="47"/>
      <c r="N582" s="47"/>
      <c r="O582" s="47"/>
    </row>
    <row r="583" customFormat="false" ht="14.25" hidden="false" customHeight="true" outlineLevel="0" collapsed="false">
      <c r="A583" s="51"/>
      <c r="B583" s="51"/>
      <c r="C583" s="51"/>
      <c r="D583" s="52"/>
      <c r="E583" s="51"/>
      <c r="F583" s="51"/>
      <c r="G583" s="52"/>
      <c r="H583" s="52"/>
      <c r="I583" s="52"/>
      <c r="J583" s="47"/>
      <c r="K583" s="47"/>
      <c r="L583" s="47"/>
      <c r="M583" s="47"/>
      <c r="N583" s="47"/>
      <c r="O583" s="47"/>
    </row>
    <row r="584" customFormat="false" ht="14.25" hidden="false" customHeight="true" outlineLevel="0" collapsed="false">
      <c r="A584" s="51"/>
      <c r="B584" s="51"/>
      <c r="C584" s="51"/>
      <c r="D584" s="52"/>
      <c r="E584" s="51"/>
      <c r="F584" s="51"/>
      <c r="G584" s="52"/>
      <c r="H584" s="52"/>
      <c r="I584" s="52"/>
      <c r="J584" s="47"/>
      <c r="K584" s="47"/>
      <c r="L584" s="47"/>
      <c r="M584" s="47"/>
      <c r="N584" s="47"/>
      <c r="O584" s="47"/>
    </row>
    <row r="585" customFormat="false" ht="14.25" hidden="false" customHeight="true" outlineLevel="0" collapsed="false">
      <c r="A585" s="51"/>
      <c r="B585" s="51"/>
      <c r="C585" s="51"/>
      <c r="D585" s="52"/>
      <c r="E585" s="51"/>
      <c r="F585" s="51"/>
      <c r="G585" s="52"/>
      <c r="H585" s="52"/>
      <c r="I585" s="52"/>
      <c r="J585" s="47"/>
      <c r="K585" s="47"/>
      <c r="L585" s="47"/>
      <c r="M585" s="47"/>
      <c r="N585" s="47"/>
      <c r="O585" s="47"/>
    </row>
    <row r="586" customFormat="false" ht="14.25" hidden="false" customHeight="true" outlineLevel="0" collapsed="false">
      <c r="A586" s="51"/>
      <c r="B586" s="51"/>
      <c r="C586" s="51"/>
      <c r="D586" s="52"/>
      <c r="E586" s="51"/>
      <c r="F586" s="51"/>
      <c r="G586" s="52"/>
      <c r="H586" s="52"/>
      <c r="I586" s="52"/>
      <c r="J586" s="47"/>
      <c r="K586" s="47"/>
      <c r="L586" s="47"/>
      <c r="M586" s="47"/>
      <c r="N586" s="47"/>
      <c r="O586" s="47"/>
    </row>
    <row r="587" customFormat="false" ht="14.25" hidden="false" customHeight="true" outlineLevel="0" collapsed="false">
      <c r="A587" s="51"/>
      <c r="B587" s="51"/>
      <c r="C587" s="51"/>
      <c r="D587" s="52"/>
      <c r="E587" s="51"/>
      <c r="F587" s="51"/>
      <c r="G587" s="52"/>
      <c r="H587" s="52"/>
      <c r="I587" s="52"/>
      <c r="J587" s="47"/>
      <c r="K587" s="47"/>
      <c r="L587" s="47"/>
      <c r="M587" s="47"/>
      <c r="N587" s="47"/>
      <c r="O587" s="47"/>
    </row>
    <row r="588" customFormat="false" ht="14.25" hidden="false" customHeight="true" outlineLevel="0" collapsed="false">
      <c r="A588" s="51"/>
      <c r="B588" s="51"/>
      <c r="C588" s="51"/>
      <c r="D588" s="52"/>
      <c r="E588" s="51"/>
      <c r="F588" s="51"/>
      <c r="G588" s="52"/>
      <c r="H588" s="52"/>
      <c r="I588" s="52"/>
      <c r="J588" s="47"/>
      <c r="K588" s="47"/>
      <c r="L588" s="47"/>
      <c r="M588" s="47"/>
      <c r="N588" s="47"/>
      <c r="O588" s="47"/>
    </row>
    <row r="589" customFormat="false" ht="14.25" hidden="false" customHeight="true" outlineLevel="0" collapsed="false">
      <c r="A589" s="51"/>
      <c r="B589" s="51"/>
      <c r="C589" s="51"/>
      <c r="D589" s="52"/>
      <c r="E589" s="51"/>
      <c r="F589" s="51"/>
      <c r="G589" s="52"/>
      <c r="H589" s="52"/>
      <c r="I589" s="52"/>
      <c r="J589" s="47"/>
      <c r="K589" s="47"/>
      <c r="L589" s="47"/>
      <c r="M589" s="47"/>
      <c r="N589" s="47"/>
      <c r="O589" s="47"/>
    </row>
    <row r="590" customFormat="false" ht="14.25" hidden="false" customHeight="true" outlineLevel="0" collapsed="false">
      <c r="A590" s="51"/>
      <c r="B590" s="51"/>
      <c r="C590" s="51"/>
      <c r="D590" s="52"/>
      <c r="E590" s="51"/>
      <c r="F590" s="51"/>
      <c r="G590" s="52"/>
      <c r="H590" s="52"/>
      <c r="I590" s="52"/>
      <c r="J590" s="47"/>
      <c r="K590" s="47"/>
      <c r="L590" s="47"/>
      <c r="M590" s="47"/>
      <c r="N590" s="47"/>
      <c r="O590" s="47"/>
    </row>
    <row r="591" customFormat="false" ht="14.25" hidden="false" customHeight="true" outlineLevel="0" collapsed="false">
      <c r="A591" s="51"/>
      <c r="B591" s="51"/>
      <c r="C591" s="51"/>
      <c r="D591" s="52"/>
      <c r="E591" s="51"/>
      <c r="F591" s="51"/>
      <c r="G591" s="52"/>
      <c r="H591" s="52"/>
      <c r="I591" s="52"/>
      <c r="J591" s="47"/>
      <c r="K591" s="47"/>
      <c r="L591" s="47"/>
      <c r="M591" s="47"/>
      <c r="N591" s="47"/>
      <c r="O591" s="47"/>
    </row>
    <row r="592" customFormat="false" ht="14.25" hidden="false" customHeight="true" outlineLevel="0" collapsed="false">
      <c r="A592" s="51"/>
      <c r="B592" s="51"/>
      <c r="C592" s="51"/>
      <c r="D592" s="52"/>
      <c r="E592" s="51"/>
      <c r="F592" s="51"/>
      <c r="G592" s="52"/>
      <c r="H592" s="52"/>
      <c r="I592" s="52"/>
      <c r="J592" s="47"/>
      <c r="K592" s="47"/>
      <c r="L592" s="47"/>
      <c r="M592" s="47"/>
      <c r="N592" s="47"/>
      <c r="O592" s="47"/>
    </row>
    <row r="593" customFormat="false" ht="14.25" hidden="false" customHeight="true" outlineLevel="0" collapsed="false">
      <c r="A593" s="51"/>
      <c r="B593" s="51"/>
      <c r="C593" s="51"/>
      <c r="D593" s="52"/>
      <c r="E593" s="51"/>
      <c r="F593" s="51"/>
      <c r="G593" s="52"/>
      <c r="H593" s="52"/>
      <c r="I593" s="52"/>
      <c r="J593" s="47"/>
      <c r="K593" s="47"/>
      <c r="L593" s="47"/>
      <c r="M593" s="47"/>
      <c r="N593" s="47"/>
      <c r="O593" s="47"/>
    </row>
    <row r="594" customFormat="false" ht="14.25" hidden="false" customHeight="true" outlineLevel="0" collapsed="false">
      <c r="A594" s="51"/>
      <c r="B594" s="51"/>
      <c r="C594" s="51"/>
      <c r="D594" s="52"/>
      <c r="E594" s="51"/>
      <c r="F594" s="51"/>
      <c r="G594" s="52"/>
      <c r="H594" s="52"/>
      <c r="I594" s="52"/>
      <c r="J594" s="47"/>
      <c r="K594" s="47"/>
      <c r="L594" s="47"/>
      <c r="M594" s="47"/>
      <c r="N594" s="47"/>
      <c r="O594" s="47"/>
    </row>
    <row r="595" customFormat="false" ht="14.25" hidden="false" customHeight="true" outlineLevel="0" collapsed="false">
      <c r="A595" s="51"/>
      <c r="B595" s="51"/>
      <c r="C595" s="51"/>
      <c r="D595" s="52"/>
      <c r="E595" s="51"/>
      <c r="F595" s="51"/>
      <c r="G595" s="52"/>
      <c r="H595" s="52"/>
      <c r="I595" s="52"/>
      <c r="J595" s="47"/>
      <c r="K595" s="47"/>
      <c r="L595" s="47"/>
      <c r="M595" s="47"/>
      <c r="N595" s="47"/>
      <c r="O595" s="47"/>
    </row>
    <row r="596" customFormat="false" ht="14.25" hidden="false" customHeight="true" outlineLevel="0" collapsed="false">
      <c r="A596" s="51"/>
      <c r="B596" s="51"/>
      <c r="C596" s="51"/>
      <c r="D596" s="52"/>
      <c r="E596" s="51"/>
      <c r="F596" s="51"/>
      <c r="G596" s="52"/>
      <c r="H596" s="52"/>
      <c r="I596" s="52"/>
      <c r="J596" s="47"/>
      <c r="K596" s="47"/>
      <c r="L596" s="47"/>
      <c r="M596" s="47"/>
      <c r="N596" s="47"/>
      <c r="O596" s="47"/>
    </row>
    <row r="597" customFormat="false" ht="14.25" hidden="false" customHeight="true" outlineLevel="0" collapsed="false">
      <c r="A597" s="51"/>
      <c r="B597" s="51"/>
      <c r="C597" s="51"/>
      <c r="D597" s="52"/>
      <c r="E597" s="51"/>
      <c r="F597" s="51"/>
      <c r="G597" s="52"/>
      <c r="H597" s="52"/>
      <c r="I597" s="52"/>
      <c r="J597" s="47"/>
      <c r="K597" s="47"/>
      <c r="L597" s="47"/>
      <c r="M597" s="47"/>
      <c r="N597" s="47"/>
      <c r="O597" s="47"/>
    </row>
    <row r="598" customFormat="false" ht="14.25" hidden="false" customHeight="true" outlineLevel="0" collapsed="false">
      <c r="A598" s="51"/>
      <c r="B598" s="51"/>
      <c r="C598" s="51"/>
      <c r="D598" s="52"/>
      <c r="E598" s="51"/>
      <c r="F598" s="51"/>
      <c r="G598" s="52"/>
      <c r="H598" s="52"/>
      <c r="I598" s="52"/>
      <c r="J598" s="47"/>
      <c r="K598" s="47"/>
      <c r="L598" s="47"/>
      <c r="M598" s="47"/>
      <c r="N598" s="47"/>
      <c r="O598" s="47"/>
    </row>
    <row r="599" customFormat="false" ht="14.25" hidden="false" customHeight="true" outlineLevel="0" collapsed="false">
      <c r="A599" s="51"/>
      <c r="B599" s="51"/>
      <c r="C599" s="51"/>
      <c r="D599" s="52"/>
      <c r="E599" s="51"/>
      <c r="F599" s="51"/>
      <c r="G599" s="52"/>
      <c r="H599" s="52"/>
      <c r="I599" s="52"/>
      <c r="J599" s="47"/>
      <c r="K599" s="47"/>
      <c r="L599" s="47"/>
      <c r="M599" s="47"/>
      <c r="N599" s="47"/>
      <c r="O599" s="47"/>
    </row>
    <row r="600" customFormat="false" ht="14.25" hidden="false" customHeight="true" outlineLevel="0" collapsed="false">
      <c r="A600" s="51"/>
      <c r="B600" s="51"/>
      <c r="C600" s="51"/>
      <c r="D600" s="52"/>
      <c r="E600" s="51"/>
      <c r="F600" s="51"/>
      <c r="G600" s="52"/>
      <c r="H600" s="52"/>
      <c r="I600" s="52"/>
      <c r="J600" s="47"/>
      <c r="K600" s="47"/>
      <c r="L600" s="47"/>
      <c r="M600" s="47"/>
      <c r="N600" s="47"/>
      <c r="O600" s="47"/>
    </row>
    <row r="601" customFormat="false" ht="14.25" hidden="false" customHeight="true" outlineLevel="0" collapsed="false">
      <c r="A601" s="51"/>
      <c r="B601" s="51"/>
      <c r="C601" s="51"/>
      <c r="D601" s="52"/>
      <c r="E601" s="51"/>
      <c r="F601" s="51"/>
      <c r="G601" s="52"/>
      <c r="H601" s="52"/>
      <c r="I601" s="52"/>
      <c r="J601" s="47"/>
      <c r="K601" s="47"/>
      <c r="L601" s="47"/>
      <c r="M601" s="47"/>
      <c r="N601" s="47"/>
      <c r="O601" s="47"/>
    </row>
    <row r="602" customFormat="false" ht="14.25" hidden="false" customHeight="true" outlineLevel="0" collapsed="false">
      <c r="A602" s="51"/>
      <c r="B602" s="51"/>
      <c r="C602" s="51"/>
      <c r="D602" s="52"/>
      <c r="E602" s="51"/>
      <c r="F602" s="51"/>
      <c r="G602" s="52"/>
      <c r="H602" s="52"/>
      <c r="I602" s="52"/>
      <c r="J602" s="47"/>
      <c r="K602" s="47"/>
      <c r="L602" s="47"/>
      <c r="M602" s="47"/>
      <c r="N602" s="47"/>
      <c r="O602" s="47"/>
    </row>
    <row r="603" customFormat="false" ht="14.25" hidden="false" customHeight="true" outlineLevel="0" collapsed="false">
      <c r="A603" s="51"/>
      <c r="B603" s="51"/>
      <c r="C603" s="51"/>
      <c r="D603" s="52"/>
      <c r="E603" s="51"/>
      <c r="F603" s="51"/>
      <c r="G603" s="52"/>
      <c r="H603" s="52"/>
      <c r="I603" s="52"/>
      <c r="J603" s="47"/>
      <c r="K603" s="47"/>
      <c r="L603" s="47"/>
      <c r="M603" s="47"/>
      <c r="N603" s="47"/>
      <c r="O603" s="47"/>
    </row>
    <row r="604" customFormat="false" ht="14.25" hidden="false" customHeight="true" outlineLevel="0" collapsed="false">
      <c r="A604" s="51"/>
      <c r="B604" s="51"/>
      <c r="C604" s="51"/>
      <c r="D604" s="52"/>
      <c r="E604" s="51"/>
      <c r="F604" s="51"/>
      <c r="G604" s="52"/>
      <c r="H604" s="52"/>
      <c r="I604" s="52"/>
      <c r="J604" s="47"/>
      <c r="K604" s="47"/>
      <c r="L604" s="47"/>
      <c r="M604" s="47"/>
      <c r="N604" s="47"/>
      <c r="O604" s="47"/>
    </row>
    <row r="605" customFormat="false" ht="14.25" hidden="false" customHeight="true" outlineLevel="0" collapsed="false">
      <c r="A605" s="51"/>
      <c r="B605" s="51"/>
      <c r="C605" s="51"/>
      <c r="D605" s="52"/>
      <c r="E605" s="51"/>
      <c r="F605" s="51"/>
      <c r="G605" s="52"/>
      <c r="H605" s="52"/>
      <c r="I605" s="52"/>
      <c r="J605" s="47"/>
      <c r="K605" s="47"/>
      <c r="L605" s="47"/>
      <c r="M605" s="47"/>
      <c r="N605" s="47"/>
      <c r="O605" s="47"/>
    </row>
    <row r="606" customFormat="false" ht="14.25" hidden="false" customHeight="true" outlineLevel="0" collapsed="false">
      <c r="A606" s="51"/>
      <c r="B606" s="51"/>
      <c r="C606" s="51"/>
      <c r="D606" s="52"/>
      <c r="E606" s="51"/>
      <c r="F606" s="51"/>
      <c r="G606" s="52"/>
      <c r="H606" s="52"/>
      <c r="I606" s="52"/>
      <c r="J606" s="47"/>
      <c r="K606" s="47"/>
      <c r="L606" s="47"/>
      <c r="M606" s="47"/>
      <c r="N606" s="47"/>
      <c r="O606" s="47"/>
    </row>
    <row r="607" customFormat="false" ht="14.25" hidden="false" customHeight="true" outlineLevel="0" collapsed="false">
      <c r="A607" s="51"/>
      <c r="B607" s="51"/>
      <c r="C607" s="51"/>
      <c r="D607" s="52"/>
      <c r="E607" s="51"/>
      <c r="F607" s="51"/>
      <c r="G607" s="52"/>
      <c r="H607" s="52"/>
      <c r="I607" s="52"/>
      <c r="J607" s="47"/>
      <c r="K607" s="47"/>
      <c r="L607" s="47"/>
      <c r="M607" s="47"/>
      <c r="N607" s="47"/>
      <c r="O607" s="47"/>
    </row>
    <row r="608" customFormat="false" ht="14.25" hidden="false" customHeight="true" outlineLevel="0" collapsed="false">
      <c r="A608" s="51"/>
      <c r="B608" s="51"/>
      <c r="C608" s="51"/>
      <c r="D608" s="52"/>
      <c r="E608" s="51"/>
      <c r="F608" s="51"/>
      <c r="G608" s="52"/>
      <c r="H608" s="52"/>
      <c r="I608" s="52"/>
      <c r="J608" s="47"/>
      <c r="K608" s="47"/>
      <c r="L608" s="47"/>
      <c r="M608" s="47"/>
      <c r="N608" s="47"/>
      <c r="O608" s="47"/>
    </row>
    <row r="609" customFormat="false" ht="14.25" hidden="false" customHeight="true" outlineLevel="0" collapsed="false">
      <c r="A609" s="51"/>
      <c r="B609" s="51"/>
      <c r="C609" s="51"/>
      <c r="D609" s="52"/>
      <c r="E609" s="51"/>
      <c r="F609" s="51"/>
      <c r="G609" s="52"/>
      <c r="H609" s="52"/>
      <c r="I609" s="52"/>
      <c r="J609" s="47"/>
      <c r="K609" s="47"/>
      <c r="L609" s="47"/>
      <c r="M609" s="47"/>
      <c r="N609" s="47"/>
      <c r="O609" s="47"/>
    </row>
    <row r="610" customFormat="false" ht="14.25" hidden="false" customHeight="true" outlineLevel="0" collapsed="false">
      <c r="A610" s="51"/>
      <c r="B610" s="51"/>
      <c r="C610" s="51"/>
      <c r="D610" s="52"/>
      <c r="E610" s="51"/>
      <c r="F610" s="51"/>
      <c r="G610" s="52"/>
      <c r="H610" s="52"/>
      <c r="I610" s="52"/>
      <c r="J610" s="47"/>
      <c r="K610" s="47"/>
      <c r="L610" s="47"/>
      <c r="M610" s="47"/>
      <c r="N610" s="47"/>
      <c r="O610" s="47"/>
    </row>
    <row r="611" customFormat="false" ht="14.25" hidden="false" customHeight="true" outlineLevel="0" collapsed="false">
      <c r="A611" s="51"/>
      <c r="B611" s="51"/>
      <c r="C611" s="51"/>
      <c r="D611" s="52"/>
      <c r="E611" s="51"/>
      <c r="F611" s="51"/>
      <c r="G611" s="52"/>
      <c r="H611" s="52"/>
      <c r="I611" s="52"/>
      <c r="J611" s="47"/>
      <c r="K611" s="47"/>
      <c r="L611" s="47"/>
      <c r="M611" s="47"/>
      <c r="N611" s="47"/>
      <c r="O611" s="47"/>
    </row>
    <row r="612" customFormat="false" ht="14.25" hidden="false" customHeight="true" outlineLevel="0" collapsed="false">
      <c r="A612" s="51"/>
      <c r="B612" s="51"/>
      <c r="C612" s="51"/>
      <c r="D612" s="52"/>
      <c r="E612" s="51"/>
      <c r="F612" s="51"/>
      <c r="G612" s="52"/>
      <c r="H612" s="52"/>
      <c r="I612" s="52"/>
      <c r="J612" s="47"/>
      <c r="K612" s="47"/>
      <c r="L612" s="47"/>
      <c r="M612" s="47"/>
      <c r="N612" s="47"/>
      <c r="O612" s="47"/>
    </row>
    <row r="613" customFormat="false" ht="14.25" hidden="false" customHeight="true" outlineLevel="0" collapsed="false">
      <c r="A613" s="51"/>
      <c r="B613" s="51"/>
      <c r="C613" s="51"/>
      <c r="D613" s="52"/>
      <c r="E613" s="51"/>
      <c r="F613" s="51"/>
      <c r="G613" s="52"/>
      <c r="H613" s="52"/>
      <c r="I613" s="52"/>
      <c r="J613" s="47"/>
      <c r="K613" s="47"/>
      <c r="L613" s="47"/>
      <c r="M613" s="47"/>
      <c r="N613" s="47"/>
      <c r="O613" s="47"/>
    </row>
    <row r="614" customFormat="false" ht="14.25" hidden="false" customHeight="true" outlineLevel="0" collapsed="false">
      <c r="A614" s="51"/>
      <c r="B614" s="51"/>
      <c r="C614" s="51"/>
      <c r="D614" s="52"/>
      <c r="E614" s="51"/>
      <c r="F614" s="51"/>
      <c r="G614" s="52"/>
      <c r="H614" s="52"/>
      <c r="I614" s="52"/>
      <c r="J614" s="47"/>
      <c r="K614" s="47"/>
      <c r="L614" s="47"/>
      <c r="M614" s="47"/>
      <c r="N614" s="47"/>
      <c r="O614" s="47"/>
    </row>
    <row r="615" customFormat="false" ht="14.25" hidden="false" customHeight="true" outlineLevel="0" collapsed="false">
      <c r="A615" s="51"/>
      <c r="B615" s="51"/>
      <c r="C615" s="51"/>
      <c r="D615" s="52"/>
      <c r="E615" s="51"/>
      <c r="F615" s="51"/>
      <c r="G615" s="52"/>
      <c r="H615" s="52"/>
      <c r="I615" s="52"/>
      <c r="J615" s="47"/>
      <c r="K615" s="47"/>
      <c r="L615" s="47"/>
      <c r="M615" s="47"/>
      <c r="N615" s="47"/>
      <c r="O615" s="47"/>
    </row>
    <row r="616" customFormat="false" ht="14.25" hidden="false" customHeight="true" outlineLevel="0" collapsed="false">
      <c r="A616" s="51"/>
      <c r="B616" s="51"/>
      <c r="C616" s="51"/>
      <c r="D616" s="52"/>
      <c r="E616" s="51"/>
      <c r="F616" s="51"/>
      <c r="G616" s="52"/>
      <c r="H616" s="52"/>
      <c r="I616" s="52"/>
      <c r="J616" s="47"/>
      <c r="K616" s="47"/>
      <c r="L616" s="47"/>
      <c r="M616" s="47"/>
      <c r="N616" s="47"/>
      <c r="O616" s="47"/>
    </row>
    <row r="617" customFormat="false" ht="14.25" hidden="false" customHeight="true" outlineLevel="0" collapsed="false">
      <c r="A617" s="51"/>
      <c r="B617" s="51"/>
      <c r="C617" s="51"/>
      <c r="D617" s="52"/>
      <c r="E617" s="51"/>
      <c r="F617" s="51"/>
      <c r="G617" s="52"/>
      <c r="H617" s="52"/>
      <c r="I617" s="52"/>
      <c r="J617" s="47"/>
      <c r="K617" s="47"/>
      <c r="L617" s="47"/>
      <c r="M617" s="47"/>
      <c r="N617" s="47"/>
      <c r="O617" s="47"/>
    </row>
    <row r="618" customFormat="false" ht="14.25" hidden="false" customHeight="true" outlineLevel="0" collapsed="false">
      <c r="A618" s="51"/>
      <c r="B618" s="51"/>
      <c r="C618" s="51"/>
      <c r="D618" s="52"/>
      <c r="E618" s="51"/>
      <c r="F618" s="51"/>
      <c r="G618" s="52"/>
      <c r="H618" s="52"/>
      <c r="I618" s="52"/>
      <c r="J618" s="47"/>
      <c r="K618" s="47"/>
      <c r="L618" s="47"/>
      <c r="M618" s="47"/>
      <c r="N618" s="47"/>
      <c r="O618" s="47"/>
    </row>
    <row r="619" customFormat="false" ht="14.25" hidden="false" customHeight="true" outlineLevel="0" collapsed="false">
      <c r="A619" s="51"/>
      <c r="B619" s="51"/>
      <c r="C619" s="51"/>
      <c r="D619" s="52"/>
      <c r="E619" s="51"/>
      <c r="F619" s="51"/>
      <c r="G619" s="52"/>
      <c r="H619" s="52"/>
      <c r="I619" s="52"/>
      <c r="J619" s="47"/>
      <c r="K619" s="47"/>
      <c r="L619" s="47"/>
      <c r="M619" s="47"/>
      <c r="N619" s="47"/>
      <c r="O619" s="47"/>
    </row>
    <row r="620" customFormat="false" ht="14.25" hidden="false" customHeight="true" outlineLevel="0" collapsed="false">
      <c r="A620" s="51"/>
      <c r="B620" s="51"/>
      <c r="C620" s="51"/>
      <c r="D620" s="52"/>
      <c r="E620" s="51"/>
      <c r="F620" s="51"/>
      <c r="G620" s="52"/>
      <c r="H620" s="52"/>
      <c r="I620" s="52"/>
      <c r="J620" s="47"/>
      <c r="K620" s="47"/>
      <c r="L620" s="47"/>
      <c r="M620" s="47"/>
      <c r="N620" s="47"/>
      <c r="O620" s="47"/>
    </row>
    <row r="621" customFormat="false" ht="14.25" hidden="false" customHeight="true" outlineLevel="0" collapsed="false">
      <c r="A621" s="51"/>
      <c r="B621" s="51"/>
      <c r="C621" s="51"/>
      <c r="D621" s="52"/>
      <c r="E621" s="51"/>
      <c r="F621" s="51"/>
      <c r="G621" s="52"/>
      <c r="H621" s="52"/>
      <c r="I621" s="52"/>
      <c r="J621" s="47"/>
      <c r="K621" s="47"/>
      <c r="L621" s="47"/>
      <c r="M621" s="47"/>
      <c r="N621" s="47"/>
      <c r="O621" s="47"/>
    </row>
    <row r="622" customFormat="false" ht="14.25" hidden="false" customHeight="true" outlineLevel="0" collapsed="false">
      <c r="A622" s="51"/>
      <c r="B622" s="51"/>
      <c r="C622" s="51"/>
      <c r="D622" s="52"/>
      <c r="E622" s="51"/>
      <c r="F622" s="51"/>
      <c r="G622" s="52"/>
      <c r="H622" s="52"/>
      <c r="I622" s="52"/>
      <c r="J622" s="47"/>
      <c r="K622" s="47"/>
      <c r="L622" s="47"/>
      <c r="M622" s="47"/>
      <c r="N622" s="47"/>
      <c r="O622" s="47"/>
    </row>
    <row r="623" customFormat="false" ht="14.25" hidden="false" customHeight="true" outlineLevel="0" collapsed="false">
      <c r="A623" s="51"/>
      <c r="B623" s="51"/>
      <c r="C623" s="51"/>
      <c r="D623" s="52"/>
      <c r="E623" s="51"/>
      <c r="F623" s="51"/>
      <c r="G623" s="52"/>
      <c r="H623" s="52"/>
      <c r="I623" s="52"/>
      <c r="J623" s="47"/>
      <c r="K623" s="47"/>
      <c r="L623" s="47"/>
      <c r="M623" s="47"/>
      <c r="N623" s="47"/>
      <c r="O623" s="47"/>
    </row>
    <row r="624" customFormat="false" ht="14.25" hidden="false" customHeight="true" outlineLevel="0" collapsed="false">
      <c r="A624" s="51"/>
      <c r="B624" s="51"/>
      <c r="C624" s="51"/>
      <c r="D624" s="52"/>
      <c r="E624" s="51"/>
      <c r="F624" s="51"/>
      <c r="G624" s="52"/>
      <c r="H624" s="52"/>
      <c r="I624" s="52"/>
      <c r="J624" s="47"/>
      <c r="K624" s="47"/>
      <c r="L624" s="47"/>
      <c r="M624" s="47"/>
      <c r="N624" s="47"/>
      <c r="O624" s="47"/>
    </row>
    <row r="625" customFormat="false" ht="14.25" hidden="false" customHeight="true" outlineLevel="0" collapsed="false">
      <c r="A625" s="51"/>
      <c r="B625" s="51"/>
      <c r="C625" s="51"/>
      <c r="D625" s="52"/>
      <c r="E625" s="51"/>
      <c r="F625" s="51"/>
      <c r="G625" s="52"/>
      <c r="H625" s="52"/>
      <c r="I625" s="52"/>
      <c r="J625" s="47"/>
      <c r="K625" s="47"/>
      <c r="L625" s="47"/>
      <c r="M625" s="47"/>
      <c r="N625" s="47"/>
      <c r="O625" s="47"/>
    </row>
    <row r="626" customFormat="false" ht="14.25" hidden="false" customHeight="true" outlineLevel="0" collapsed="false">
      <c r="A626" s="51"/>
      <c r="B626" s="51"/>
      <c r="C626" s="51"/>
      <c r="D626" s="52"/>
      <c r="E626" s="51"/>
      <c r="F626" s="51"/>
      <c r="G626" s="52"/>
      <c r="H626" s="52"/>
      <c r="I626" s="52"/>
      <c r="J626" s="47"/>
      <c r="K626" s="47"/>
      <c r="L626" s="47"/>
      <c r="M626" s="47"/>
      <c r="N626" s="47"/>
      <c r="O626" s="47"/>
    </row>
    <row r="627" customFormat="false" ht="14.25" hidden="false" customHeight="true" outlineLevel="0" collapsed="false">
      <c r="A627" s="51"/>
      <c r="B627" s="51"/>
      <c r="C627" s="51"/>
      <c r="D627" s="52"/>
      <c r="E627" s="51"/>
      <c r="F627" s="51"/>
      <c r="G627" s="52"/>
      <c r="H627" s="52"/>
      <c r="I627" s="52"/>
      <c r="J627" s="47"/>
      <c r="K627" s="47"/>
      <c r="L627" s="47"/>
      <c r="M627" s="47"/>
      <c r="N627" s="47"/>
      <c r="O627" s="47"/>
    </row>
    <row r="628" customFormat="false" ht="14.25" hidden="false" customHeight="true" outlineLevel="0" collapsed="false">
      <c r="A628" s="51"/>
      <c r="B628" s="51"/>
      <c r="C628" s="51"/>
      <c r="D628" s="52"/>
      <c r="E628" s="51"/>
      <c r="F628" s="51"/>
      <c r="G628" s="52"/>
      <c r="H628" s="52"/>
      <c r="I628" s="52"/>
      <c r="J628" s="47"/>
      <c r="K628" s="47"/>
      <c r="L628" s="47"/>
      <c r="M628" s="47"/>
      <c r="N628" s="47"/>
      <c r="O628" s="47"/>
    </row>
    <row r="629" customFormat="false" ht="14.25" hidden="false" customHeight="true" outlineLevel="0" collapsed="false">
      <c r="A629" s="51"/>
      <c r="B629" s="51"/>
      <c r="C629" s="51"/>
      <c r="D629" s="52"/>
      <c r="E629" s="51"/>
      <c r="F629" s="51"/>
      <c r="G629" s="52"/>
      <c r="H629" s="52"/>
      <c r="I629" s="52"/>
      <c r="J629" s="47"/>
      <c r="K629" s="47"/>
      <c r="L629" s="47"/>
      <c r="M629" s="47"/>
      <c r="N629" s="47"/>
      <c r="O629" s="47"/>
    </row>
    <row r="630" customFormat="false" ht="14.25" hidden="false" customHeight="true" outlineLevel="0" collapsed="false">
      <c r="A630" s="51"/>
      <c r="B630" s="51"/>
      <c r="C630" s="51"/>
      <c r="D630" s="52"/>
      <c r="E630" s="51"/>
      <c r="F630" s="51"/>
      <c r="G630" s="52"/>
      <c r="H630" s="52"/>
      <c r="I630" s="52"/>
      <c r="J630" s="47"/>
      <c r="K630" s="47"/>
      <c r="L630" s="47"/>
      <c r="M630" s="47"/>
      <c r="N630" s="47"/>
      <c r="O630" s="47"/>
    </row>
    <row r="631" customFormat="false" ht="14.25" hidden="false" customHeight="true" outlineLevel="0" collapsed="false">
      <c r="A631" s="51"/>
      <c r="B631" s="51"/>
      <c r="C631" s="51"/>
      <c r="D631" s="52"/>
      <c r="E631" s="51"/>
      <c r="F631" s="51"/>
      <c r="G631" s="52"/>
      <c r="H631" s="52"/>
      <c r="I631" s="52"/>
      <c r="J631" s="47"/>
      <c r="K631" s="47"/>
      <c r="L631" s="47"/>
      <c r="M631" s="47"/>
      <c r="N631" s="47"/>
      <c r="O631" s="47"/>
    </row>
    <row r="632" customFormat="false" ht="14.25" hidden="false" customHeight="true" outlineLevel="0" collapsed="false">
      <c r="A632" s="51"/>
      <c r="B632" s="51"/>
      <c r="C632" s="51"/>
      <c r="D632" s="52"/>
      <c r="E632" s="51"/>
      <c r="F632" s="51"/>
      <c r="G632" s="52"/>
      <c r="H632" s="52"/>
      <c r="I632" s="52"/>
      <c r="J632" s="47"/>
      <c r="K632" s="47"/>
      <c r="L632" s="47"/>
      <c r="M632" s="47"/>
      <c r="N632" s="47"/>
      <c r="O632" s="47"/>
    </row>
    <row r="633" customFormat="false" ht="14.25" hidden="false" customHeight="true" outlineLevel="0" collapsed="false">
      <c r="A633" s="51"/>
      <c r="B633" s="51"/>
      <c r="C633" s="51"/>
      <c r="D633" s="52"/>
      <c r="E633" s="51"/>
      <c r="F633" s="51"/>
      <c r="G633" s="52"/>
      <c r="H633" s="52"/>
      <c r="I633" s="52"/>
      <c r="J633" s="47"/>
      <c r="K633" s="47"/>
      <c r="L633" s="47"/>
      <c r="M633" s="47"/>
      <c r="N633" s="47"/>
      <c r="O633" s="47"/>
    </row>
    <row r="634" customFormat="false" ht="14.25" hidden="false" customHeight="true" outlineLevel="0" collapsed="false">
      <c r="A634" s="51"/>
      <c r="B634" s="51"/>
      <c r="C634" s="51"/>
      <c r="D634" s="52"/>
      <c r="E634" s="51"/>
      <c r="F634" s="51"/>
      <c r="G634" s="52"/>
      <c r="H634" s="52"/>
      <c r="I634" s="52"/>
      <c r="J634" s="47"/>
      <c r="K634" s="47"/>
      <c r="L634" s="47"/>
      <c r="M634" s="47"/>
      <c r="N634" s="47"/>
      <c r="O634" s="47"/>
    </row>
    <row r="635" customFormat="false" ht="14.25" hidden="false" customHeight="true" outlineLevel="0" collapsed="false">
      <c r="A635" s="51"/>
      <c r="B635" s="51"/>
      <c r="C635" s="51"/>
      <c r="D635" s="52"/>
      <c r="E635" s="51"/>
      <c r="F635" s="51"/>
      <c r="G635" s="52"/>
      <c r="H635" s="52"/>
      <c r="I635" s="52"/>
      <c r="J635" s="47"/>
      <c r="K635" s="47"/>
      <c r="L635" s="47"/>
      <c r="M635" s="47"/>
      <c r="N635" s="47"/>
      <c r="O635" s="47"/>
    </row>
    <row r="636" customFormat="false" ht="14.25" hidden="false" customHeight="true" outlineLevel="0" collapsed="false">
      <c r="A636" s="51"/>
      <c r="B636" s="51"/>
      <c r="C636" s="51"/>
      <c r="D636" s="52"/>
      <c r="E636" s="51"/>
      <c r="F636" s="51"/>
      <c r="G636" s="52"/>
      <c r="H636" s="52"/>
      <c r="I636" s="52"/>
      <c r="J636" s="47"/>
      <c r="K636" s="47"/>
      <c r="L636" s="47"/>
      <c r="M636" s="47"/>
      <c r="N636" s="47"/>
      <c r="O636" s="47"/>
    </row>
    <row r="637" customFormat="false" ht="14.25" hidden="false" customHeight="true" outlineLevel="0" collapsed="false">
      <c r="A637" s="51"/>
      <c r="B637" s="51"/>
      <c r="C637" s="51"/>
      <c r="D637" s="52"/>
      <c r="E637" s="51"/>
      <c r="F637" s="51"/>
      <c r="G637" s="52"/>
      <c r="H637" s="52"/>
      <c r="I637" s="52"/>
      <c r="J637" s="47"/>
      <c r="K637" s="47"/>
      <c r="L637" s="47"/>
      <c r="M637" s="47"/>
      <c r="N637" s="47"/>
      <c r="O637" s="47"/>
    </row>
    <row r="638" customFormat="false" ht="14.25" hidden="false" customHeight="true" outlineLevel="0" collapsed="false">
      <c r="A638" s="51"/>
      <c r="B638" s="51"/>
      <c r="C638" s="51"/>
      <c r="D638" s="52"/>
      <c r="E638" s="51"/>
      <c r="F638" s="51"/>
      <c r="G638" s="52"/>
      <c r="H638" s="52"/>
      <c r="I638" s="52"/>
      <c r="J638" s="47"/>
      <c r="K638" s="47"/>
      <c r="L638" s="47"/>
      <c r="M638" s="47"/>
      <c r="N638" s="47"/>
      <c r="O638" s="47"/>
    </row>
    <row r="639" customFormat="false" ht="14.25" hidden="false" customHeight="true" outlineLevel="0" collapsed="false">
      <c r="A639" s="51"/>
      <c r="B639" s="51"/>
      <c r="C639" s="51"/>
      <c r="D639" s="52"/>
      <c r="E639" s="51"/>
      <c r="F639" s="51"/>
      <c r="G639" s="52"/>
      <c r="H639" s="52"/>
      <c r="I639" s="52"/>
      <c r="J639" s="47"/>
      <c r="K639" s="47"/>
      <c r="L639" s="47"/>
      <c r="M639" s="47"/>
      <c r="N639" s="47"/>
      <c r="O639" s="47"/>
    </row>
    <row r="640" customFormat="false" ht="14.25" hidden="false" customHeight="true" outlineLevel="0" collapsed="false">
      <c r="A640" s="51"/>
      <c r="B640" s="51"/>
      <c r="C640" s="51"/>
      <c r="D640" s="52"/>
      <c r="E640" s="51"/>
      <c r="F640" s="51"/>
      <c r="G640" s="52"/>
      <c r="H640" s="52"/>
      <c r="I640" s="52"/>
      <c r="J640" s="47"/>
      <c r="K640" s="47"/>
      <c r="L640" s="47"/>
      <c r="M640" s="47"/>
      <c r="N640" s="47"/>
      <c r="O640" s="47"/>
    </row>
    <row r="641" customFormat="false" ht="14.25" hidden="false" customHeight="true" outlineLevel="0" collapsed="false">
      <c r="A641" s="51"/>
      <c r="B641" s="51"/>
      <c r="C641" s="51"/>
      <c r="D641" s="52"/>
      <c r="E641" s="51"/>
      <c r="F641" s="51"/>
      <c r="G641" s="52"/>
      <c r="H641" s="52"/>
      <c r="I641" s="52"/>
      <c r="J641" s="47"/>
      <c r="K641" s="47"/>
      <c r="L641" s="47"/>
      <c r="M641" s="47"/>
      <c r="N641" s="47"/>
      <c r="O641" s="47"/>
    </row>
    <row r="642" customFormat="false" ht="14.25" hidden="false" customHeight="true" outlineLevel="0" collapsed="false">
      <c r="A642" s="51"/>
      <c r="B642" s="51"/>
      <c r="C642" s="51"/>
      <c r="D642" s="52"/>
      <c r="E642" s="51"/>
      <c r="F642" s="51"/>
      <c r="G642" s="52"/>
      <c r="H642" s="52"/>
      <c r="I642" s="52"/>
      <c r="J642" s="47"/>
      <c r="K642" s="47"/>
      <c r="L642" s="47"/>
      <c r="M642" s="47"/>
      <c r="N642" s="47"/>
      <c r="O642" s="47"/>
    </row>
    <row r="643" customFormat="false" ht="14.25" hidden="false" customHeight="true" outlineLevel="0" collapsed="false">
      <c r="A643" s="51"/>
      <c r="B643" s="51"/>
      <c r="C643" s="51"/>
      <c r="D643" s="52"/>
      <c r="E643" s="51"/>
      <c r="F643" s="51"/>
      <c r="G643" s="52"/>
      <c r="H643" s="52"/>
      <c r="I643" s="52"/>
      <c r="J643" s="47"/>
      <c r="K643" s="47"/>
      <c r="L643" s="47"/>
      <c r="M643" s="47"/>
      <c r="N643" s="47"/>
      <c r="O643" s="47"/>
    </row>
    <row r="644" customFormat="false" ht="14.25" hidden="false" customHeight="true" outlineLevel="0" collapsed="false">
      <c r="A644" s="51"/>
      <c r="B644" s="51"/>
      <c r="C644" s="51"/>
      <c r="D644" s="52"/>
      <c r="E644" s="51"/>
      <c r="F644" s="51"/>
      <c r="G644" s="52"/>
      <c r="H644" s="52"/>
      <c r="I644" s="52"/>
      <c r="J644" s="47"/>
      <c r="K644" s="47"/>
      <c r="L644" s="47"/>
      <c r="M644" s="47"/>
      <c r="N644" s="47"/>
      <c r="O644" s="47"/>
    </row>
    <row r="645" customFormat="false" ht="14.25" hidden="false" customHeight="true" outlineLevel="0" collapsed="false">
      <c r="A645" s="51"/>
      <c r="B645" s="51"/>
      <c r="C645" s="51"/>
      <c r="D645" s="52"/>
      <c r="E645" s="51"/>
      <c r="F645" s="51"/>
      <c r="G645" s="52"/>
      <c r="H645" s="52"/>
      <c r="I645" s="52"/>
      <c r="J645" s="47"/>
      <c r="K645" s="47"/>
      <c r="L645" s="47"/>
      <c r="M645" s="47"/>
      <c r="N645" s="47"/>
      <c r="O645" s="47"/>
    </row>
    <row r="646" customFormat="false" ht="14.25" hidden="false" customHeight="true" outlineLevel="0" collapsed="false">
      <c r="A646" s="51"/>
      <c r="B646" s="51"/>
      <c r="C646" s="51"/>
      <c r="D646" s="52"/>
      <c r="E646" s="51"/>
      <c r="F646" s="51"/>
      <c r="G646" s="52"/>
      <c r="H646" s="52"/>
      <c r="I646" s="52"/>
      <c r="J646" s="47"/>
      <c r="K646" s="47"/>
      <c r="L646" s="47"/>
      <c r="M646" s="47"/>
      <c r="N646" s="47"/>
      <c r="O646" s="47"/>
    </row>
    <row r="647" customFormat="false" ht="14.25" hidden="false" customHeight="true" outlineLevel="0" collapsed="false">
      <c r="A647" s="51"/>
      <c r="B647" s="51"/>
      <c r="C647" s="51"/>
      <c r="D647" s="52"/>
      <c r="E647" s="51"/>
      <c r="F647" s="51"/>
      <c r="G647" s="52"/>
      <c r="H647" s="52"/>
      <c r="I647" s="52"/>
      <c r="J647" s="47"/>
      <c r="K647" s="47"/>
      <c r="L647" s="47"/>
      <c r="M647" s="47"/>
      <c r="N647" s="47"/>
      <c r="O647" s="47"/>
    </row>
    <row r="648" customFormat="false" ht="14.25" hidden="false" customHeight="true" outlineLevel="0" collapsed="false">
      <c r="A648" s="51"/>
      <c r="B648" s="51"/>
      <c r="C648" s="51"/>
      <c r="D648" s="52"/>
      <c r="E648" s="51"/>
      <c r="F648" s="51"/>
      <c r="G648" s="52"/>
      <c r="H648" s="52"/>
      <c r="I648" s="52"/>
      <c r="J648" s="47"/>
      <c r="K648" s="47"/>
      <c r="L648" s="47"/>
      <c r="M648" s="47"/>
      <c r="N648" s="47"/>
      <c r="O648" s="47"/>
    </row>
    <row r="649" customFormat="false" ht="14.25" hidden="false" customHeight="true" outlineLevel="0" collapsed="false">
      <c r="A649" s="51"/>
      <c r="B649" s="51"/>
      <c r="C649" s="51"/>
      <c r="D649" s="52"/>
      <c r="E649" s="51"/>
      <c r="F649" s="51"/>
      <c r="G649" s="52"/>
      <c r="H649" s="52"/>
      <c r="I649" s="52"/>
      <c r="J649" s="47"/>
      <c r="K649" s="47"/>
      <c r="L649" s="47"/>
      <c r="M649" s="47"/>
      <c r="N649" s="47"/>
      <c r="O649" s="47"/>
    </row>
    <row r="650" customFormat="false" ht="14.25" hidden="false" customHeight="true" outlineLevel="0" collapsed="false">
      <c r="A650" s="51"/>
      <c r="B650" s="51"/>
      <c r="C650" s="51"/>
      <c r="D650" s="52"/>
      <c r="E650" s="51"/>
      <c r="F650" s="51"/>
      <c r="G650" s="52"/>
      <c r="H650" s="52"/>
      <c r="I650" s="52"/>
      <c r="J650" s="47"/>
      <c r="K650" s="47"/>
      <c r="L650" s="47"/>
      <c r="M650" s="47"/>
      <c r="N650" s="47"/>
      <c r="O650" s="47"/>
    </row>
    <row r="651" customFormat="false" ht="14.25" hidden="false" customHeight="true" outlineLevel="0" collapsed="false">
      <c r="A651" s="51"/>
      <c r="B651" s="51"/>
      <c r="C651" s="51"/>
      <c r="D651" s="52"/>
      <c r="E651" s="51"/>
      <c r="F651" s="51"/>
      <c r="G651" s="52"/>
      <c r="H651" s="52"/>
      <c r="I651" s="52"/>
      <c r="J651" s="47"/>
      <c r="K651" s="47"/>
      <c r="L651" s="47"/>
      <c r="M651" s="47"/>
      <c r="N651" s="47"/>
      <c r="O651" s="47"/>
    </row>
    <row r="652" customFormat="false" ht="14.25" hidden="false" customHeight="true" outlineLevel="0" collapsed="false">
      <c r="A652" s="51"/>
      <c r="B652" s="51"/>
      <c r="C652" s="51"/>
      <c r="D652" s="52"/>
      <c r="E652" s="51"/>
      <c r="F652" s="51"/>
      <c r="G652" s="52"/>
      <c r="H652" s="52"/>
      <c r="I652" s="52"/>
      <c r="J652" s="47"/>
      <c r="K652" s="47"/>
      <c r="L652" s="47"/>
      <c r="M652" s="47"/>
      <c r="N652" s="47"/>
      <c r="O652" s="47"/>
    </row>
    <row r="653" customFormat="false" ht="14.25" hidden="false" customHeight="true" outlineLevel="0" collapsed="false">
      <c r="A653" s="51"/>
      <c r="B653" s="51"/>
      <c r="C653" s="51"/>
      <c r="D653" s="52"/>
      <c r="E653" s="51"/>
      <c r="F653" s="51"/>
      <c r="G653" s="52"/>
      <c r="H653" s="52"/>
      <c r="I653" s="52"/>
      <c r="J653" s="47"/>
      <c r="K653" s="47"/>
      <c r="L653" s="47"/>
      <c r="M653" s="47"/>
      <c r="N653" s="47"/>
      <c r="O653" s="47"/>
    </row>
    <row r="654" customFormat="false" ht="14.25" hidden="false" customHeight="true" outlineLevel="0" collapsed="false">
      <c r="A654" s="51"/>
      <c r="B654" s="51"/>
      <c r="C654" s="51"/>
      <c r="D654" s="52"/>
      <c r="E654" s="51"/>
      <c r="F654" s="51"/>
      <c r="G654" s="52"/>
      <c r="H654" s="52"/>
      <c r="I654" s="52"/>
      <c r="J654" s="47"/>
      <c r="K654" s="47"/>
      <c r="L654" s="47"/>
      <c r="M654" s="47"/>
      <c r="N654" s="47"/>
      <c r="O654" s="47"/>
    </row>
    <row r="655" customFormat="false" ht="14.25" hidden="false" customHeight="true" outlineLevel="0" collapsed="false">
      <c r="A655" s="51"/>
      <c r="B655" s="51"/>
      <c r="C655" s="51"/>
      <c r="D655" s="52"/>
      <c r="E655" s="51"/>
      <c r="F655" s="51"/>
      <c r="G655" s="52"/>
      <c r="H655" s="52"/>
      <c r="I655" s="52"/>
      <c r="J655" s="47"/>
      <c r="K655" s="47"/>
      <c r="L655" s="47"/>
      <c r="M655" s="47"/>
      <c r="N655" s="47"/>
      <c r="O655" s="47"/>
    </row>
    <row r="656" customFormat="false" ht="14.25" hidden="false" customHeight="true" outlineLevel="0" collapsed="false">
      <c r="A656" s="51"/>
      <c r="B656" s="51"/>
      <c r="C656" s="51"/>
      <c r="D656" s="52"/>
      <c r="E656" s="51"/>
      <c r="F656" s="51"/>
      <c r="G656" s="52"/>
      <c r="H656" s="52"/>
      <c r="I656" s="52"/>
      <c r="J656" s="47"/>
      <c r="K656" s="47"/>
      <c r="L656" s="47"/>
      <c r="M656" s="47"/>
      <c r="N656" s="47"/>
      <c r="O656" s="47"/>
    </row>
    <row r="657" customFormat="false" ht="14.25" hidden="false" customHeight="true" outlineLevel="0" collapsed="false">
      <c r="A657" s="51"/>
      <c r="B657" s="51"/>
      <c r="C657" s="51"/>
      <c r="D657" s="52"/>
      <c r="E657" s="51"/>
      <c r="F657" s="51"/>
      <c r="G657" s="52"/>
      <c r="H657" s="52"/>
      <c r="I657" s="52"/>
      <c r="J657" s="47"/>
      <c r="K657" s="47"/>
      <c r="L657" s="47"/>
      <c r="M657" s="47"/>
      <c r="N657" s="47"/>
      <c r="O657" s="47"/>
    </row>
    <row r="658" customFormat="false" ht="14.25" hidden="false" customHeight="true" outlineLevel="0" collapsed="false">
      <c r="A658" s="51"/>
      <c r="B658" s="51"/>
      <c r="C658" s="51"/>
      <c r="D658" s="52"/>
      <c r="E658" s="51"/>
      <c r="F658" s="51"/>
      <c r="G658" s="52"/>
      <c r="H658" s="52"/>
      <c r="I658" s="52"/>
      <c r="J658" s="47"/>
      <c r="K658" s="47"/>
      <c r="L658" s="47"/>
      <c r="M658" s="47"/>
      <c r="N658" s="47"/>
      <c r="O658" s="47"/>
    </row>
    <row r="659" customFormat="false" ht="14.25" hidden="false" customHeight="true" outlineLevel="0" collapsed="false">
      <c r="A659" s="51"/>
      <c r="B659" s="51"/>
      <c r="C659" s="51"/>
      <c r="D659" s="52"/>
      <c r="E659" s="51"/>
      <c r="F659" s="51"/>
      <c r="G659" s="52"/>
      <c r="H659" s="52"/>
      <c r="I659" s="52"/>
      <c r="J659" s="47"/>
      <c r="K659" s="47"/>
      <c r="L659" s="47"/>
      <c r="M659" s="47"/>
      <c r="N659" s="47"/>
      <c r="O659" s="47"/>
    </row>
    <row r="660" customFormat="false" ht="14.25" hidden="false" customHeight="true" outlineLevel="0" collapsed="false">
      <c r="A660" s="51"/>
      <c r="B660" s="51"/>
      <c r="C660" s="51"/>
      <c r="D660" s="52"/>
      <c r="E660" s="51"/>
      <c r="F660" s="51"/>
      <c r="G660" s="52"/>
      <c r="H660" s="52"/>
      <c r="I660" s="52"/>
      <c r="J660" s="47"/>
      <c r="K660" s="47"/>
      <c r="L660" s="47"/>
      <c r="M660" s="47"/>
      <c r="N660" s="47"/>
      <c r="O660" s="47"/>
    </row>
    <row r="661" customFormat="false" ht="14.25" hidden="false" customHeight="true" outlineLevel="0" collapsed="false">
      <c r="A661" s="51"/>
      <c r="B661" s="51"/>
      <c r="C661" s="51"/>
      <c r="D661" s="52"/>
      <c r="E661" s="51"/>
      <c r="F661" s="51"/>
      <c r="G661" s="52"/>
      <c r="H661" s="52"/>
      <c r="I661" s="52"/>
      <c r="J661" s="47"/>
      <c r="K661" s="47"/>
      <c r="L661" s="47"/>
      <c r="M661" s="47"/>
      <c r="N661" s="47"/>
      <c r="O661" s="47"/>
    </row>
    <row r="662" customFormat="false" ht="14.25" hidden="false" customHeight="true" outlineLevel="0" collapsed="false">
      <c r="A662" s="51"/>
      <c r="B662" s="51"/>
      <c r="C662" s="51"/>
      <c r="D662" s="52"/>
      <c r="E662" s="51"/>
      <c r="F662" s="51"/>
      <c r="G662" s="52"/>
      <c r="H662" s="52"/>
      <c r="I662" s="52"/>
      <c r="J662" s="47"/>
      <c r="K662" s="47"/>
      <c r="L662" s="47"/>
      <c r="M662" s="47"/>
      <c r="N662" s="47"/>
      <c r="O662" s="47"/>
    </row>
    <row r="663" customFormat="false" ht="14.25" hidden="false" customHeight="true" outlineLevel="0" collapsed="false">
      <c r="A663" s="51"/>
      <c r="B663" s="51"/>
      <c r="C663" s="51"/>
      <c r="D663" s="52"/>
      <c r="E663" s="51"/>
      <c r="F663" s="51"/>
      <c r="G663" s="52"/>
      <c r="H663" s="52"/>
      <c r="I663" s="52"/>
      <c r="J663" s="47"/>
      <c r="K663" s="47"/>
      <c r="L663" s="47"/>
      <c r="M663" s="47"/>
      <c r="N663" s="47"/>
      <c r="O663" s="47"/>
    </row>
    <row r="664" customFormat="false" ht="14.25" hidden="false" customHeight="true" outlineLevel="0" collapsed="false">
      <c r="A664" s="51"/>
      <c r="B664" s="51"/>
      <c r="C664" s="51"/>
      <c r="D664" s="52"/>
      <c r="E664" s="51"/>
      <c r="F664" s="51"/>
      <c r="G664" s="52"/>
      <c r="H664" s="52"/>
      <c r="I664" s="52"/>
      <c r="J664" s="47"/>
      <c r="K664" s="47"/>
      <c r="L664" s="47"/>
      <c r="M664" s="47"/>
      <c r="N664" s="47"/>
      <c r="O664" s="47"/>
    </row>
    <row r="665" customFormat="false" ht="14.25" hidden="false" customHeight="true" outlineLevel="0" collapsed="false">
      <c r="A665" s="51"/>
      <c r="B665" s="51"/>
      <c r="C665" s="51"/>
      <c r="D665" s="52"/>
      <c r="E665" s="51"/>
      <c r="F665" s="51"/>
      <c r="G665" s="52"/>
      <c r="H665" s="52"/>
      <c r="I665" s="52"/>
      <c r="J665" s="47"/>
      <c r="K665" s="47"/>
      <c r="L665" s="47"/>
      <c r="M665" s="47"/>
      <c r="N665" s="47"/>
      <c r="O665" s="47"/>
    </row>
    <row r="666" customFormat="false" ht="14.25" hidden="false" customHeight="true" outlineLevel="0" collapsed="false">
      <c r="A666" s="51"/>
      <c r="B666" s="51"/>
      <c r="C666" s="51"/>
      <c r="D666" s="52"/>
      <c r="E666" s="51"/>
      <c r="F666" s="51"/>
      <c r="G666" s="52"/>
      <c r="H666" s="52"/>
      <c r="I666" s="52"/>
      <c r="J666" s="47"/>
      <c r="K666" s="47"/>
      <c r="L666" s="47"/>
      <c r="M666" s="47"/>
      <c r="N666" s="47"/>
      <c r="O666" s="47"/>
    </row>
    <row r="667" customFormat="false" ht="14.25" hidden="false" customHeight="true" outlineLevel="0" collapsed="false">
      <c r="A667" s="51"/>
      <c r="B667" s="51"/>
      <c r="C667" s="51"/>
      <c r="D667" s="52"/>
      <c r="E667" s="51"/>
      <c r="F667" s="51"/>
      <c r="G667" s="52"/>
      <c r="H667" s="52"/>
      <c r="I667" s="52"/>
      <c r="J667" s="47"/>
      <c r="K667" s="47"/>
      <c r="L667" s="47"/>
      <c r="M667" s="47"/>
      <c r="N667" s="47"/>
      <c r="O667" s="47"/>
    </row>
    <row r="668" customFormat="false" ht="14.25" hidden="false" customHeight="true" outlineLevel="0" collapsed="false">
      <c r="A668" s="51"/>
      <c r="B668" s="51"/>
      <c r="C668" s="51"/>
      <c r="D668" s="52"/>
      <c r="E668" s="51"/>
      <c r="F668" s="51"/>
      <c r="G668" s="52"/>
      <c r="H668" s="52"/>
      <c r="I668" s="52"/>
      <c r="J668" s="47"/>
      <c r="K668" s="47"/>
      <c r="L668" s="47"/>
      <c r="M668" s="47"/>
      <c r="N668" s="47"/>
      <c r="O668" s="47"/>
    </row>
    <row r="669" customFormat="false" ht="14.25" hidden="false" customHeight="true" outlineLevel="0" collapsed="false">
      <c r="A669" s="51"/>
      <c r="B669" s="51"/>
      <c r="C669" s="51"/>
      <c r="D669" s="52"/>
      <c r="E669" s="51"/>
      <c r="F669" s="51"/>
      <c r="G669" s="52"/>
      <c r="H669" s="52"/>
      <c r="I669" s="52"/>
      <c r="J669" s="47"/>
      <c r="K669" s="47"/>
      <c r="L669" s="47"/>
      <c r="M669" s="47"/>
      <c r="N669" s="47"/>
      <c r="O669" s="47"/>
    </row>
    <row r="670" customFormat="false" ht="14.25" hidden="false" customHeight="true" outlineLevel="0" collapsed="false">
      <c r="A670" s="51"/>
      <c r="B670" s="51"/>
      <c r="C670" s="51"/>
      <c r="D670" s="52"/>
      <c r="E670" s="51"/>
      <c r="F670" s="51"/>
      <c r="G670" s="52"/>
      <c r="H670" s="52"/>
      <c r="I670" s="52"/>
      <c r="J670" s="47"/>
      <c r="K670" s="47"/>
      <c r="L670" s="47"/>
      <c r="M670" s="47"/>
      <c r="N670" s="47"/>
      <c r="O670" s="47"/>
    </row>
    <row r="671" customFormat="false" ht="14.25" hidden="false" customHeight="true" outlineLevel="0" collapsed="false">
      <c r="A671" s="51"/>
      <c r="B671" s="51"/>
      <c r="C671" s="51"/>
      <c r="D671" s="52"/>
      <c r="E671" s="51"/>
      <c r="F671" s="51"/>
      <c r="G671" s="52"/>
      <c r="H671" s="52"/>
      <c r="I671" s="52"/>
      <c r="J671" s="47"/>
      <c r="K671" s="47"/>
      <c r="L671" s="47"/>
      <c r="M671" s="47"/>
      <c r="N671" s="47"/>
      <c r="O671" s="47"/>
    </row>
    <row r="672" customFormat="false" ht="14.25" hidden="false" customHeight="true" outlineLevel="0" collapsed="false">
      <c r="A672" s="51"/>
      <c r="B672" s="51"/>
      <c r="C672" s="51"/>
      <c r="D672" s="52"/>
      <c r="E672" s="51"/>
      <c r="F672" s="51"/>
      <c r="G672" s="52"/>
      <c r="H672" s="52"/>
      <c r="I672" s="52"/>
      <c r="J672" s="47"/>
      <c r="K672" s="47"/>
      <c r="L672" s="47"/>
      <c r="M672" s="47"/>
      <c r="N672" s="47"/>
      <c r="O672" s="47"/>
    </row>
    <row r="673" customFormat="false" ht="14.25" hidden="false" customHeight="true" outlineLevel="0" collapsed="false">
      <c r="A673" s="51"/>
      <c r="B673" s="51"/>
      <c r="C673" s="51"/>
      <c r="D673" s="52"/>
      <c r="E673" s="51"/>
      <c r="F673" s="51"/>
      <c r="G673" s="52"/>
      <c r="H673" s="52"/>
      <c r="I673" s="52"/>
      <c r="J673" s="47"/>
      <c r="K673" s="47"/>
      <c r="L673" s="47"/>
      <c r="M673" s="47"/>
      <c r="N673" s="47"/>
      <c r="O673" s="47"/>
    </row>
    <row r="674" customFormat="false" ht="14.25" hidden="false" customHeight="true" outlineLevel="0" collapsed="false">
      <c r="A674" s="51"/>
      <c r="B674" s="51"/>
      <c r="C674" s="51"/>
      <c r="D674" s="52"/>
      <c r="E674" s="51"/>
      <c r="F674" s="51"/>
      <c r="G674" s="52"/>
      <c r="H674" s="52"/>
      <c r="I674" s="52"/>
      <c r="J674" s="47"/>
      <c r="K674" s="47"/>
      <c r="L674" s="47"/>
      <c r="M674" s="47"/>
      <c r="N674" s="47"/>
      <c r="O674" s="47"/>
    </row>
    <row r="675" customFormat="false" ht="14.25" hidden="false" customHeight="true" outlineLevel="0" collapsed="false">
      <c r="A675" s="51"/>
      <c r="B675" s="51"/>
      <c r="C675" s="51"/>
      <c r="D675" s="52"/>
      <c r="E675" s="51"/>
      <c r="F675" s="51"/>
      <c r="G675" s="52"/>
      <c r="H675" s="52"/>
      <c r="I675" s="52"/>
      <c r="J675" s="47"/>
      <c r="K675" s="47"/>
      <c r="L675" s="47"/>
      <c r="M675" s="47"/>
      <c r="N675" s="47"/>
      <c r="O675" s="47"/>
    </row>
    <row r="676" customFormat="false" ht="14.25" hidden="false" customHeight="true" outlineLevel="0" collapsed="false">
      <c r="A676" s="51"/>
      <c r="B676" s="51"/>
      <c r="C676" s="51"/>
      <c r="D676" s="52"/>
      <c r="E676" s="51"/>
      <c r="F676" s="51"/>
      <c r="G676" s="52"/>
      <c r="H676" s="52"/>
      <c r="I676" s="52"/>
      <c r="J676" s="47"/>
      <c r="K676" s="47"/>
      <c r="L676" s="47"/>
      <c r="M676" s="47"/>
      <c r="N676" s="47"/>
      <c r="O676" s="47"/>
    </row>
    <row r="677" customFormat="false" ht="14.25" hidden="false" customHeight="true" outlineLevel="0" collapsed="false">
      <c r="A677" s="51"/>
      <c r="B677" s="51"/>
      <c r="C677" s="51"/>
      <c r="D677" s="52"/>
      <c r="E677" s="51"/>
      <c r="F677" s="51"/>
      <c r="G677" s="52"/>
      <c r="H677" s="52"/>
      <c r="I677" s="52"/>
      <c r="J677" s="47"/>
      <c r="K677" s="47"/>
      <c r="L677" s="47"/>
      <c r="M677" s="47"/>
      <c r="N677" s="47"/>
      <c r="O677" s="47"/>
    </row>
    <row r="678" customFormat="false" ht="14.25" hidden="false" customHeight="true" outlineLevel="0" collapsed="false">
      <c r="A678" s="51"/>
      <c r="B678" s="51"/>
      <c r="C678" s="51"/>
      <c r="D678" s="52"/>
      <c r="E678" s="51"/>
      <c r="F678" s="51"/>
      <c r="G678" s="52"/>
      <c r="H678" s="52"/>
      <c r="I678" s="52"/>
      <c r="J678" s="47"/>
      <c r="K678" s="47"/>
      <c r="L678" s="47"/>
      <c r="M678" s="47"/>
      <c r="N678" s="47"/>
      <c r="O678" s="47"/>
    </row>
    <row r="679" customFormat="false" ht="14.25" hidden="false" customHeight="true" outlineLevel="0" collapsed="false">
      <c r="A679" s="51"/>
      <c r="B679" s="51"/>
      <c r="C679" s="51"/>
      <c r="D679" s="52"/>
      <c r="E679" s="51"/>
      <c r="F679" s="51"/>
      <c r="G679" s="52"/>
      <c r="H679" s="52"/>
      <c r="I679" s="52"/>
      <c r="J679" s="47"/>
      <c r="K679" s="47"/>
      <c r="L679" s="47"/>
      <c r="M679" s="47"/>
      <c r="N679" s="47"/>
      <c r="O679" s="47"/>
    </row>
    <row r="680" customFormat="false" ht="14.25" hidden="false" customHeight="true" outlineLevel="0" collapsed="false">
      <c r="A680" s="51"/>
      <c r="B680" s="51"/>
      <c r="C680" s="51"/>
      <c r="D680" s="52"/>
      <c r="E680" s="51"/>
      <c r="F680" s="51"/>
      <c r="G680" s="52"/>
      <c r="H680" s="52"/>
      <c r="I680" s="52"/>
      <c r="J680" s="47"/>
      <c r="K680" s="47"/>
      <c r="L680" s="47"/>
      <c r="M680" s="47"/>
      <c r="N680" s="47"/>
      <c r="O680" s="47"/>
    </row>
    <row r="681" customFormat="false" ht="14.25" hidden="false" customHeight="true" outlineLevel="0" collapsed="false">
      <c r="A681" s="51"/>
      <c r="B681" s="51"/>
      <c r="C681" s="51"/>
      <c r="D681" s="52"/>
      <c r="E681" s="51"/>
      <c r="F681" s="51"/>
      <c r="G681" s="52"/>
      <c r="H681" s="52"/>
      <c r="I681" s="52"/>
      <c r="J681" s="47"/>
      <c r="K681" s="47"/>
      <c r="L681" s="47"/>
      <c r="M681" s="47"/>
      <c r="N681" s="47"/>
      <c r="O681" s="47"/>
    </row>
    <row r="682" customFormat="false" ht="14.25" hidden="false" customHeight="true" outlineLevel="0" collapsed="false">
      <c r="A682" s="51"/>
      <c r="B682" s="51"/>
      <c r="C682" s="51"/>
      <c r="D682" s="52"/>
      <c r="E682" s="51"/>
      <c r="F682" s="51"/>
      <c r="G682" s="52"/>
      <c r="H682" s="52"/>
      <c r="I682" s="52"/>
      <c r="J682" s="47"/>
      <c r="K682" s="47"/>
      <c r="L682" s="47"/>
      <c r="M682" s="47"/>
      <c r="N682" s="47"/>
      <c r="O682" s="47"/>
    </row>
    <row r="683" customFormat="false" ht="14.25" hidden="false" customHeight="true" outlineLevel="0" collapsed="false">
      <c r="A683" s="51"/>
      <c r="B683" s="51"/>
      <c r="C683" s="51"/>
      <c r="D683" s="52"/>
      <c r="E683" s="51"/>
      <c r="F683" s="51"/>
      <c r="G683" s="52"/>
      <c r="H683" s="52"/>
      <c r="I683" s="52"/>
      <c r="J683" s="47"/>
      <c r="K683" s="47"/>
      <c r="L683" s="47"/>
      <c r="M683" s="47"/>
      <c r="N683" s="47"/>
      <c r="O683" s="47"/>
    </row>
    <row r="684" customFormat="false" ht="14.25" hidden="false" customHeight="true" outlineLevel="0" collapsed="false">
      <c r="A684" s="51"/>
      <c r="B684" s="51"/>
      <c r="C684" s="51"/>
      <c r="D684" s="52"/>
      <c r="E684" s="51"/>
      <c r="F684" s="51"/>
      <c r="G684" s="52"/>
      <c r="H684" s="52"/>
      <c r="I684" s="52"/>
      <c r="J684" s="47"/>
      <c r="K684" s="47"/>
      <c r="L684" s="47"/>
      <c r="M684" s="47"/>
      <c r="N684" s="47"/>
      <c r="O684" s="47"/>
    </row>
    <row r="685" customFormat="false" ht="14.25" hidden="false" customHeight="true" outlineLevel="0" collapsed="false">
      <c r="A685" s="51"/>
      <c r="B685" s="51"/>
      <c r="C685" s="51"/>
      <c r="D685" s="52"/>
      <c r="E685" s="51"/>
      <c r="F685" s="51"/>
      <c r="G685" s="52"/>
      <c r="H685" s="52"/>
      <c r="I685" s="52"/>
      <c r="J685" s="47"/>
      <c r="K685" s="47"/>
      <c r="L685" s="47"/>
      <c r="M685" s="47"/>
      <c r="N685" s="47"/>
      <c r="O685" s="47"/>
    </row>
    <row r="686" customFormat="false" ht="14.25" hidden="false" customHeight="true" outlineLevel="0" collapsed="false">
      <c r="A686" s="51"/>
      <c r="B686" s="51"/>
      <c r="C686" s="51"/>
      <c r="D686" s="52"/>
      <c r="E686" s="51"/>
      <c r="F686" s="51"/>
      <c r="G686" s="52"/>
      <c r="H686" s="52"/>
      <c r="I686" s="52"/>
      <c r="J686" s="47"/>
      <c r="K686" s="47"/>
      <c r="L686" s="47"/>
      <c r="M686" s="47"/>
      <c r="N686" s="47"/>
      <c r="O686" s="47"/>
    </row>
    <row r="687" customFormat="false" ht="14.25" hidden="false" customHeight="true" outlineLevel="0" collapsed="false">
      <c r="A687" s="51"/>
      <c r="B687" s="51"/>
      <c r="C687" s="51"/>
      <c r="D687" s="52"/>
      <c r="E687" s="51"/>
      <c r="F687" s="51"/>
      <c r="G687" s="52"/>
      <c r="H687" s="52"/>
      <c r="I687" s="52"/>
      <c r="J687" s="47"/>
      <c r="K687" s="47"/>
      <c r="L687" s="47"/>
      <c r="M687" s="47"/>
      <c r="N687" s="47"/>
      <c r="O687" s="47"/>
    </row>
    <row r="688" customFormat="false" ht="14.25" hidden="false" customHeight="true" outlineLevel="0" collapsed="false">
      <c r="A688" s="51"/>
      <c r="B688" s="51"/>
      <c r="C688" s="51"/>
      <c r="D688" s="52"/>
      <c r="E688" s="51"/>
      <c r="F688" s="51"/>
      <c r="G688" s="52"/>
      <c r="H688" s="52"/>
      <c r="I688" s="52"/>
      <c r="J688" s="47"/>
      <c r="K688" s="47"/>
      <c r="L688" s="47"/>
      <c r="M688" s="47"/>
      <c r="N688" s="47"/>
      <c r="O688" s="47"/>
    </row>
    <row r="689" customFormat="false" ht="14.25" hidden="false" customHeight="true" outlineLevel="0" collapsed="false">
      <c r="A689" s="51"/>
      <c r="B689" s="51"/>
      <c r="C689" s="51"/>
      <c r="D689" s="52"/>
      <c r="E689" s="51"/>
      <c r="F689" s="51"/>
      <c r="G689" s="52"/>
      <c r="H689" s="52"/>
      <c r="I689" s="52"/>
      <c r="J689" s="47"/>
      <c r="K689" s="47"/>
      <c r="L689" s="47"/>
      <c r="M689" s="47"/>
      <c r="N689" s="47"/>
      <c r="O689" s="47"/>
    </row>
    <row r="690" customFormat="false" ht="14.25" hidden="false" customHeight="true" outlineLevel="0" collapsed="false">
      <c r="A690" s="51"/>
      <c r="B690" s="51"/>
      <c r="C690" s="51"/>
      <c r="D690" s="52"/>
      <c r="E690" s="51"/>
      <c r="F690" s="51"/>
      <c r="G690" s="52"/>
      <c r="H690" s="52"/>
      <c r="I690" s="52"/>
      <c r="J690" s="47"/>
      <c r="K690" s="47"/>
      <c r="L690" s="47"/>
      <c r="M690" s="47"/>
      <c r="N690" s="47"/>
      <c r="O690" s="47"/>
    </row>
    <row r="691" customFormat="false" ht="14.25" hidden="false" customHeight="true" outlineLevel="0" collapsed="false">
      <c r="A691" s="51"/>
      <c r="B691" s="51"/>
      <c r="C691" s="51"/>
      <c r="D691" s="52"/>
      <c r="E691" s="51"/>
      <c r="F691" s="51"/>
      <c r="G691" s="52"/>
      <c r="H691" s="52"/>
      <c r="I691" s="52"/>
      <c r="J691" s="47"/>
      <c r="K691" s="47"/>
      <c r="L691" s="47"/>
      <c r="M691" s="47"/>
      <c r="N691" s="47"/>
      <c r="O691" s="47"/>
    </row>
    <row r="692" customFormat="false" ht="14.25" hidden="false" customHeight="true" outlineLevel="0" collapsed="false">
      <c r="A692" s="51"/>
      <c r="B692" s="51"/>
      <c r="C692" s="51"/>
      <c r="D692" s="52"/>
      <c r="E692" s="51"/>
      <c r="F692" s="51"/>
      <c r="G692" s="52"/>
      <c r="H692" s="52"/>
      <c r="I692" s="52"/>
      <c r="J692" s="47"/>
      <c r="K692" s="47"/>
      <c r="L692" s="47"/>
      <c r="M692" s="47"/>
      <c r="N692" s="47"/>
      <c r="O692" s="47"/>
    </row>
    <row r="693" customFormat="false" ht="14.25" hidden="false" customHeight="true" outlineLevel="0" collapsed="false">
      <c r="A693" s="51"/>
      <c r="B693" s="51"/>
      <c r="C693" s="51"/>
      <c r="D693" s="52"/>
      <c r="E693" s="51"/>
      <c r="F693" s="51"/>
      <c r="G693" s="52"/>
      <c r="H693" s="52"/>
      <c r="I693" s="52"/>
      <c r="J693" s="47"/>
      <c r="K693" s="47"/>
      <c r="L693" s="47"/>
      <c r="M693" s="47"/>
      <c r="N693" s="47"/>
      <c r="O693" s="47"/>
    </row>
    <row r="694" customFormat="false" ht="14.25" hidden="false" customHeight="true" outlineLevel="0" collapsed="false">
      <c r="A694" s="51"/>
      <c r="B694" s="51"/>
      <c r="C694" s="51"/>
      <c r="D694" s="52"/>
      <c r="E694" s="51"/>
      <c r="F694" s="51"/>
      <c r="G694" s="52"/>
      <c r="H694" s="52"/>
      <c r="I694" s="52"/>
      <c r="J694" s="47"/>
      <c r="K694" s="47"/>
      <c r="L694" s="47"/>
      <c r="M694" s="47"/>
      <c r="N694" s="47"/>
      <c r="O694" s="47"/>
    </row>
    <row r="695" customFormat="false" ht="14.25" hidden="false" customHeight="true" outlineLevel="0" collapsed="false">
      <c r="A695" s="51"/>
      <c r="B695" s="51"/>
      <c r="C695" s="51"/>
      <c r="D695" s="52"/>
      <c r="E695" s="51"/>
      <c r="F695" s="51"/>
      <c r="G695" s="52"/>
      <c r="H695" s="52"/>
      <c r="I695" s="52"/>
      <c r="J695" s="47"/>
      <c r="K695" s="47"/>
      <c r="L695" s="47"/>
      <c r="M695" s="47"/>
      <c r="N695" s="47"/>
      <c r="O695" s="47"/>
    </row>
    <row r="696" customFormat="false" ht="14.25" hidden="false" customHeight="true" outlineLevel="0" collapsed="false">
      <c r="A696" s="51"/>
      <c r="B696" s="51"/>
      <c r="C696" s="51"/>
      <c r="D696" s="52"/>
      <c r="E696" s="51"/>
      <c r="F696" s="51"/>
      <c r="G696" s="52"/>
      <c r="H696" s="52"/>
      <c r="I696" s="52"/>
      <c r="J696" s="47"/>
      <c r="K696" s="47"/>
      <c r="L696" s="47"/>
      <c r="M696" s="47"/>
      <c r="N696" s="47"/>
      <c r="O696" s="47"/>
    </row>
    <row r="697" customFormat="false" ht="14.25" hidden="false" customHeight="true" outlineLevel="0" collapsed="false">
      <c r="A697" s="51"/>
      <c r="B697" s="51"/>
      <c r="C697" s="51"/>
      <c r="D697" s="52"/>
      <c r="E697" s="51"/>
      <c r="F697" s="51"/>
      <c r="G697" s="52"/>
      <c r="H697" s="52"/>
      <c r="I697" s="52"/>
      <c r="J697" s="47"/>
      <c r="K697" s="47"/>
      <c r="L697" s="47"/>
      <c r="M697" s="47"/>
      <c r="N697" s="47"/>
      <c r="O697" s="47"/>
    </row>
    <row r="698" customFormat="false" ht="14.25" hidden="false" customHeight="true" outlineLevel="0" collapsed="false">
      <c r="A698" s="51"/>
      <c r="B698" s="51"/>
      <c r="C698" s="51"/>
      <c r="D698" s="52"/>
      <c r="E698" s="51"/>
      <c r="F698" s="51"/>
      <c r="G698" s="52"/>
      <c r="H698" s="52"/>
      <c r="I698" s="52"/>
      <c r="J698" s="47"/>
      <c r="K698" s="47"/>
      <c r="L698" s="47"/>
      <c r="M698" s="47"/>
      <c r="N698" s="47"/>
      <c r="O698" s="47"/>
    </row>
    <row r="699" customFormat="false" ht="14.25" hidden="false" customHeight="true" outlineLevel="0" collapsed="false">
      <c r="A699" s="51"/>
      <c r="B699" s="51"/>
      <c r="C699" s="51"/>
      <c r="D699" s="52"/>
      <c r="E699" s="51"/>
      <c r="F699" s="51"/>
      <c r="G699" s="52"/>
      <c r="H699" s="52"/>
      <c r="I699" s="52"/>
      <c r="J699" s="47"/>
      <c r="K699" s="47"/>
      <c r="L699" s="47"/>
      <c r="M699" s="47"/>
      <c r="N699" s="47"/>
      <c r="O699" s="47"/>
    </row>
    <row r="700" customFormat="false" ht="14.25" hidden="false" customHeight="true" outlineLevel="0" collapsed="false">
      <c r="A700" s="51"/>
      <c r="B700" s="51"/>
      <c r="C700" s="51"/>
      <c r="D700" s="52"/>
      <c r="E700" s="51"/>
      <c r="F700" s="51"/>
      <c r="G700" s="52"/>
      <c r="H700" s="52"/>
      <c r="I700" s="52"/>
      <c r="J700" s="47"/>
      <c r="K700" s="47"/>
      <c r="L700" s="47"/>
      <c r="M700" s="47"/>
      <c r="N700" s="47"/>
      <c r="O700" s="47"/>
    </row>
    <row r="701" customFormat="false" ht="14.25" hidden="false" customHeight="true" outlineLevel="0" collapsed="false">
      <c r="A701" s="51"/>
      <c r="B701" s="51"/>
      <c r="C701" s="51"/>
      <c r="D701" s="52"/>
      <c r="E701" s="51"/>
      <c r="F701" s="51"/>
      <c r="G701" s="52"/>
      <c r="H701" s="52"/>
      <c r="I701" s="52"/>
      <c r="J701" s="47"/>
      <c r="K701" s="47"/>
      <c r="L701" s="47"/>
      <c r="M701" s="47"/>
      <c r="N701" s="47"/>
      <c r="O701" s="47"/>
    </row>
    <row r="702" customFormat="false" ht="14.25" hidden="false" customHeight="true" outlineLevel="0" collapsed="false">
      <c r="A702" s="51"/>
      <c r="B702" s="51"/>
      <c r="C702" s="51"/>
      <c r="D702" s="52"/>
      <c r="E702" s="51"/>
      <c r="F702" s="51"/>
      <c r="G702" s="52"/>
      <c r="H702" s="52"/>
      <c r="I702" s="52"/>
      <c r="J702" s="47"/>
      <c r="K702" s="47"/>
      <c r="L702" s="47"/>
      <c r="M702" s="47"/>
      <c r="N702" s="47"/>
      <c r="O702" s="47"/>
    </row>
    <row r="703" customFormat="false" ht="14.25" hidden="false" customHeight="true" outlineLevel="0" collapsed="false">
      <c r="A703" s="51"/>
      <c r="B703" s="51"/>
      <c r="C703" s="51"/>
      <c r="D703" s="52"/>
      <c r="E703" s="51"/>
      <c r="F703" s="51"/>
      <c r="G703" s="52"/>
      <c r="H703" s="52"/>
      <c r="I703" s="52"/>
      <c r="J703" s="47"/>
      <c r="K703" s="47"/>
      <c r="L703" s="47"/>
      <c r="M703" s="47"/>
      <c r="N703" s="47"/>
      <c r="O703" s="47"/>
    </row>
    <row r="704" customFormat="false" ht="14.25" hidden="false" customHeight="true" outlineLevel="0" collapsed="false">
      <c r="A704" s="51"/>
      <c r="B704" s="51"/>
      <c r="C704" s="51"/>
      <c r="D704" s="52"/>
      <c r="E704" s="51"/>
      <c r="F704" s="51"/>
      <c r="G704" s="52"/>
      <c r="H704" s="52"/>
      <c r="I704" s="52"/>
      <c r="J704" s="47"/>
      <c r="K704" s="47"/>
      <c r="L704" s="47"/>
      <c r="M704" s="47"/>
      <c r="N704" s="47"/>
      <c r="O704" s="47"/>
    </row>
    <row r="705" customFormat="false" ht="14.25" hidden="false" customHeight="true" outlineLevel="0" collapsed="false">
      <c r="A705" s="51"/>
      <c r="B705" s="51"/>
      <c r="C705" s="51"/>
      <c r="D705" s="52"/>
      <c r="E705" s="51"/>
      <c r="F705" s="51"/>
      <c r="G705" s="52"/>
      <c r="H705" s="52"/>
      <c r="I705" s="52"/>
      <c r="J705" s="47"/>
      <c r="K705" s="47"/>
      <c r="L705" s="47"/>
      <c r="M705" s="47"/>
      <c r="N705" s="47"/>
      <c r="O705" s="47"/>
    </row>
    <row r="706" customFormat="false" ht="14.25" hidden="false" customHeight="true" outlineLevel="0" collapsed="false">
      <c r="A706" s="51"/>
      <c r="B706" s="51"/>
      <c r="C706" s="51"/>
      <c r="D706" s="52"/>
      <c r="E706" s="51"/>
      <c r="F706" s="51"/>
      <c r="G706" s="52"/>
      <c r="H706" s="52"/>
      <c r="I706" s="52"/>
      <c r="J706" s="47"/>
      <c r="K706" s="47"/>
      <c r="L706" s="47"/>
      <c r="M706" s="47"/>
      <c r="N706" s="47"/>
      <c r="O706" s="47"/>
    </row>
    <row r="707" customFormat="false" ht="14.25" hidden="false" customHeight="true" outlineLevel="0" collapsed="false">
      <c r="A707" s="51"/>
      <c r="B707" s="51"/>
      <c r="C707" s="51"/>
      <c r="D707" s="52"/>
      <c r="E707" s="51"/>
      <c r="F707" s="51"/>
      <c r="G707" s="52"/>
      <c r="H707" s="52"/>
      <c r="I707" s="52"/>
      <c r="J707" s="47"/>
      <c r="K707" s="47"/>
      <c r="L707" s="47"/>
      <c r="M707" s="47"/>
      <c r="N707" s="47"/>
      <c r="O707" s="47"/>
    </row>
    <row r="708" customFormat="false" ht="14.25" hidden="false" customHeight="true" outlineLevel="0" collapsed="false">
      <c r="A708" s="51"/>
      <c r="B708" s="51"/>
      <c r="C708" s="51"/>
      <c r="D708" s="52"/>
      <c r="E708" s="51"/>
      <c r="F708" s="51"/>
      <c r="G708" s="52"/>
      <c r="H708" s="52"/>
      <c r="I708" s="52"/>
      <c r="J708" s="47"/>
      <c r="K708" s="47"/>
      <c r="L708" s="47"/>
      <c r="M708" s="47"/>
      <c r="N708" s="47"/>
      <c r="O708" s="47"/>
    </row>
    <row r="709" customFormat="false" ht="14.25" hidden="false" customHeight="true" outlineLevel="0" collapsed="false">
      <c r="A709" s="51"/>
      <c r="B709" s="51"/>
      <c r="C709" s="51"/>
      <c r="D709" s="52"/>
      <c r="E709" s="51"/>
      <c r="F709" s="51"/>
      <c r="G709" s="52"/>
      <c r="H709" s="52"/>
      <c r="I709" s="52"/>
      <c r="J709" s="47"/>
      <c r="K709" s="47"/>
      <c r="L709" s="47"/>
      <c r="M709" s="47"/>
      <c r="N709" s="47"/>
      <c r="O709" s="47"/>
    </row>
    <row r="710" customFormat="false" ht="14.25" hidden="false" customHeight="true" outlineLevel="0" collapsed="false">
      <c r="A710" s="51"/>
      <c r="B710" s="51"/>
      <c r="C710" s="51"/>
      <c r="D710" s="52"/>
      <c r="E710" s="51"/>
      <c r="F710" s="51"/>
      <c r="G710" s="52"/>
      <c r="H710" s="52"/>
      <c r="I710" s="52"/>
      <c r="J710" s="47"/>
      <c r="K710" s="47"/>
      <c r="L710" s="47"/>
      <c r="M710" s="47"/>
      <c r="N710" s="47"/>
      <c r="O710" s="47"/>
    </row>
    <row r="711" customFormat="false" ht="14.25" hidden="false" customHeight="true" outlineLevel="0" collapsed="false">
      <c r="A711" s="51"/>
      <c r="B711" s="51"/>
      <c r="C711" s="51"/>
      <c r="D711" s="52"/>
      <c r="E711" s="51"/>
      <c r="F711" s="51"/>
      <c r="G711" s="52"/>
      <c r="H711" s="52"/>
      <c r="I711" s="52"/>
      <c r="J711" s="47"/>
      <c r="K711" s="47"/>
      <c r="L711" s="47"/>
      <c r="M711" s="47"/>
      <c r="N711" s="47"/>
      <c r="O711" s="47"/>
    </row>
    <row r="712" customFormat="false" ht="14.25" hidden="false" customHeight="true" outlineLevel="0" collapsed="false">
      <c r="A712" s="51"/>
      <c r="B712" s="51"/>
      <c r="C712" s="51"/>
      <c r="D712" s="52"/>
      <c r="E712" s="51"/>
      <c r="F712" s="51"/>
      <c r="G712" s="52"/>
      <c r="H712" s="52"/>
      <c r="I712" s="52"/>
      <c r="J712" s="47"/>
      <c r="K712" s="47"/>
      <c r="L712" s="47"/>
      <c r="M712" s="47"/>
      <c r="N712" s="47"/>
      <c r="O712" s="47"/>
    </row>
    <row r="713" customFormat="false" ht="14.25" hidden="false" customHeight="true" outlineLevel="0" collapsed="false">
      <c r="A713" s="51"/>
      <c r="B713" s="51"/>
      <c r="C713" s="51"/>
      <c r="D713" s="52"/>
      <c r="E713" s="51"/>
      <c r="F713" s="51"/>
      <c r="G713" s="52"/>
      <c r="H713" s="52"/>
      <c r="I713" s="52"/>
      <c r="J713" s="47"/>
      <c r="K713" s="47"/>
      <c r="L713" s="47"/>
      <c r="M713" s="47"/>
      <c r="N713" s="47"/>
      <c r="O713" s="47"/>
    </row>
    <row r="714" customFormat="false" ht="14.25" hidden="false" customHeight="true" outlineLevel="0" collapsed="false">
      <c r="A714" s="51"/>
      <c r="B714" s="51"/>
      <c r="C714" s="51"/>
      <c r="D714" s="52"/>
      <c r="E714" s="51"/>
      <c r="F714" s="51"/>
      <c r="G714" s="52"/>
      <c r="H714" s="52"/>
      <c r="I714" s="52"/>
      <c r="J714" s="47"/>
      <c r="K714" s="47"/>
      <c r="L714" s="47"/>
      <c r="M714" s="47"/>
      <c r="N714" s="47"/>
      <c r="O714" s="47"/>
    </row>
    <row r="715" customFormat="false" ht="14.25" hidden="false" customHeight="true" outlineLevel="0" collapsed="false">
      <c r="A715" s="51"/>
      <c r="B715" s="51"/>
      <c r="C715" s="51"/>
      <c r="D715" s="52"/>
      <c r="E715" s="51"/>
      <c r="F715" s="51"/>
      <c r="G715" s="52"/>
      <c r="H715" s="52"/>
      <c r="I715" s="52"/>
      <c r="J715" s="47"/>
      <c r="K715" s="47"/>
      <c r="L715" s="47"/>
      <c r="M715" s="47"/>
      <c r="N715" s="47"/>
      <c r="O715" s="47"/>
    </row>
    <row r="716" customFormat="false" ht="14.25" hidden="false" customHeight="true" outlineLevel="0" collapsed="false">
      <c r="A716" s="51"/>
      <c r="B716" s="51"/>
      <c r="C716" s="51"/>
      <c r="D716" s="52"/>
      <c r="E716" s="51"/>
      <c r="F716" s="51"/>
      <c r="G716" s="52"/>
      <c r="H716" s="52"/>
      <c r="I716" s="52"/>
      <c r="J716" s="47"/>
      <c r="K716" s="47"/>
      <c r="L716" s="47"/>
      <c r="M716" s="47"/>
      <c r="N716" s="47"/>
      <c r="O716" s="47"/>
    </row>
    <row r="717" customFormat="false" ht="14.25" hidden="false" customHeight="true" outlineLevel="0" collapsed="false">
      <c r="A717" s="51"/>
      <c r="B717" s="51"/>
      <c r="C717" s="51"/>
      <c r="D717" s="52"/>
      <c r="E717" s="51"/>
      <c r="F717" s="51"/>
      <c r="G717" s="52"/>
      <c r="H717" s="52"/>
      <c r="I717" s="52"/>
      <c r="J717" s="47"/>
      <c r="K717" s="47"/>
      <c r="L717" s="47"/>
      <c r="M717" s="47"/>
      <c r="N717" s="47"/>
      <c r="O717" s="47"/>
    </row>
    <row r="718" customFormat="false" ht="14.25" hidden="false" customHeight="true" outlineLevel="0" collapsed="false">
      <c r="A718" s="51"/>
      <c r="B718" s="51"/>
      <c r="C718" s="51"/>
      <c r="D718" s="52"/>
      <c r="E718" s="51"/>
      <c r="F718" s="51"/>
      <c r="G718" s="52"/>
      <c r="H718" s="52"/>
      <c r="I718" s="52"/>
      <c r="J718" s="47"/>
      <c r="K718" s="47"/>
      <c r="L718" s="47"/>
      <c r="M718" s="47"/>
      <c r="N718" s="47"/>
      <c r="O718" s="47"/>
    </row>
    <row r="719" customFormat="false" ht="14.25" hidden="false" customHeight="true" outlineLevel="0" collapsed="false">
      <c r="A719" s="51"/>
      <c r="B719" s="51"/>
      <c r="C719" s="51"/>
      <c r="D719" s="52"/>
      <c r="E719" s="51"/>
      <c r="F719" s="51"/>
      <c r="G719" s="52"/>
      <c r="H719" s="52"/>
      <c r="I719" s="52"/>
      <c r="J719" s="47"/>
      <c r="K719" s="47"/>
      <c r="L719" s="47"/>
      <c r="M719" s="47"/>
      <c r="N719" s="47"/>
      <c r="O719" s="47"/>
    </row>
    <row r="720" customFormat="false" ht="14.25" hidden="false" customHeight="true" outlineLevel="0" collapsed="false">
      <c r="A720" s="51"/>
      <c r="B720" s="51"/>
      <c r="C720" s="51"/>
      <c r="D720" s="52"/>
      <c r="E720" s="51"/>
      <c r="F720" s="51"/>
      <c r="G720" s="52"/>
      <c r="H720" s="52"/>
      <c r="I720" s="52"/>
      <c r="J720" s="47"/>
      <c r="K720" s="47"/>
      <c r="L720" s="47"/>
      <c r="M720" s="47"/>
      <c r="N720" s="47"/>
      <c r="O720" s="47"/>
    </row>
    <row r="721" customFormat="false" ht="14.25" hidden="false" customHeight="true" outlineLevel="0" collapsed="false">
      <c r="A721" s="51"/>
      <c r="B721" s="51"/>
      <c r="C721" s="51"/>
      <c r="D721" s="52"/>
      <c r="E721" s="51"/>
      <c r="F721" s="51"/>
      <c r="G721" s="52"/>
      <c r="H721" s="52"/>
      <c r="I721" s="52"/>
      <c r="J721" s="47"/>
      <c r="K721" s="47"/>
      <c r="L721" s="47"/>
      <c r="M721" s="47"/>
      <c r="N721" s="47"/>
      <c r="O721" s="47"/>
    </row>
    <row r="722" customFormat="false" ht="14.25" hidden="false" customHeight="true" outlineLevel="0" collapsed="false">
      <c r="A722" s="51"/>
      <c r="B722" s="51"/>
      <c r="C722" s="51"/>
      <c r="D722" s="52"/>
      <c r="E722" s="51"/>
      <c r="F722" s="51"/>
      <c r="G722" s="52"/>
      <c r="H722" s="52"/>
      <c r="I722" s="52"/>
      <c r="J722" s="47"/>
      <c r="K722" s="47"/>
      <c r="L722" s="47"/>
      <c r="M722" s="47"/>
      <c r="N722" s="47"/>
      <c r="O722" s="47"/>
    </row>
    <row r="723" customFormat="false" ht="14.25" hidden="false" customHeight="true" outlineLevel="0" collapsed="false">
      <c r="A723" s="51"/>
      <c r="B723" s="51"/>
      <c r="C723" s="51"/>
      <c r="D723" s="52"/>
      <c r="E723" s="51"/>
      <c r="F723" s="51"/>
      <c r="G723" s="52"/>
      <c r="H723" s="52"/>
      <c r="I723" s="52"/>
      <c r="J723" s="47"/>
      <c r="K723" s="47"/>
      <c r="L723" s="47"/>
      <c r="M723" s="47"/>
      <c r="N723" s="47"/>
      <c r="O723" s="47"/>
    </row>
    <row r="724" customFormat="false" ht="14.25" hidden="false" customHeight="true" outlineLevel="0" collapsed="false">
      <c r="A724" s="51"/>
      <c r="B724" s="51"/>
      <c r="C724" s="51"/>
      <c r="D724" s="52"/>
      <c r="E724" s="51"/>
      <c r="F724" s="51"/>
      <c r="G724" s="52"/>
      <c r="H724" s="52"/>
      <c r="I724" s="52"/>
      <c r="J724" s="47"/>
      <c r="K724" s="47"/>
      <c r="L724" s="47"/>
      <c r="M724" s="47"/>
      <c r="N724" s="47"/>
      <c r="O724" s="47"/>
    </row>
    <row r="725" customFormat="false" ht="14.25" hidden="false" customHeight="true" outlineLevel="0" collapsed="false">
      <c r="A725" s="51"/>
      <c r="B725" s="51"/>
      <c r="C725" s="51"/>
      <c r="D725" s="52"/>
      <c r="E725" s="51"/>
      <c r="F725" s="51"/>
      <c r="G725" s="52"/>
      <c r="H725" s="52"/>
      <c r="I725" s="52"/>
      <c r="J725" s="47"/>
      <c r="K725" s="47"/>
      <c r="L725" s="47"/>
      <c r="M725" s="47"/>
      <c r="N725" s="47"/>
      <c r="O725" s="47"/>
    </row>
    <row r="726" customFormat="false" ht="14.25" hidden="false" customHeight="true" outlineLevel="0" collapsed="false">
      <c r="A726" s="51"/>
      <c r="B726" s="51"/>
      <c r="C726" s="51"/>
      <c r="D726" s="52"/>
      <c r="E726" s="51"/>
      <c r="F726" s="51"/>
      <c r="G726" s="52"/>
      <c r="H726" s="52"/>
      <c r="I726" s="52"/>
      <c r="J726" s="47"/>
      <c r="K726" s="47"/>
      <c r="L726" s="47"/>
      <c r="M726" s="47"/>
      <c r="N726" s="47"/>
      <c r="O726" s="47"/>
    </row>
    <row r="727" customFormat="false" ht="14.25" hidden="false" customHeight="true" outlineLevel="0" collapsed="false">
      <c r="A727" s="51"/>
      <c r="B727" s="51"/>
      <c r="C727" s="51"/>
      <c r="D727" s="52"/>
      <c r="E727" s="51"/>
      <c r="F727" s="51"/>
      <c r="G727" s="52"/>
      <c r="H727" s="52"/>
      <c r="I727" s="52"/>
      <c r="J727" s="47"/>
      <c r="K727" s="47"/>
      <c r="L727" s="47"/>
      <c r="M727" s="47"/>
      <c r="N727" s="47"/>
      <c r="O727" s="47"/>
    </row>
    <row r="728" customFormat="false" ht="14.25" hidden="false" customHeight="true" outlineLevel="0" collapsed="false">
      <c r="A728" s="51"/>
      <c r="B728" s="51"/>
      <c r="C728" s="51"/>
      <c r="D728" s="52"/>
      <c r="E728" s="51"/>
      <c r="F728" s="51"/>
      <c r="G728" s="52"/>
      <c r="H728" s="52"/>
      <c r="I728" s="52"/>
      <c r="J728" s="47"/>
      <c r="K728" s="47"/>
      <c r="L728" s="47"/>
      <c r="M728" s="47"/>
      <c r="N728" s="47"/>
      <c r="O728" s="47"/>
    </row>
    <row r="729" customFormat="false" ht="14.25" hidden="false" customHeight="true" outlineLevel="0" collapsed="false">
      <c r="A729" s="51"/>
      <c r="B729" s="51"/>
      <c r="C729" s="51"/>
      <c r="D729" s="52"/>
      <c r="E729" s="51"/>
      <c r="F729" s="51"/>
      <c r="G729" s="52"/>
      <c r="H729" s="52"/>
      <c r="I729" s="52"/>
      <c r="J729" s="47"/>
      <c r="K729" s="47"/>
      <c r="L729" s="47"/>
      <c r="M729" s="47"/>
      <c r="N729" s="47"/>
      <c r="O729" s="47"/>
    </row>
    <row r="730" customFormat="false" ht="14.25" hidden="false" customHeight="true" outlineLevel="0" collapsed="false">
      <c r="A730" s="51"/>
      <c r="B730" s="51"/>
      <c r="C730" s="51"/>
      <c r="D730" s="52"/>
      <c r="E730" s="51"/>
      <c r="F730" s="51"/>
      <c r="G730" s="52"/>
      <c r="H730" s="52"/>
      <c r="I730" s="52"/>
      <c r="J730" s="47"/>
      <c r="K730" s="47"/>
      <c r="L730" s="47"/>
      <c r="M730" s="47"/>
      <c r="N730" s="47"/>
      <c r="O730" s="47"/>
    </row>
    <row r="731" customFormat="false" ht="14.25" hidden="false" customHeight="true" outlineLevel="0" collapsed="false">
      <c r="A731" s="51"/>
      <c r="B731" s="51"/>
      <c r="C731" s="51"/>
      <c r="D731" s="52"/>
      <c r="E731" s="51"/>
      <c r="F731" s="51"/>
      <c r="G731" s="52"/>
      <c r="H731" s="52"/>
      <c r="I731" s="52"/>
      <c r="J731" s="47"/>
      <c r="K731" s="47"/>
      <c r="L731" s="47"/>
      <c r="M731" s="47"/>
      <c r="N731" s="47"/>
      <c r="O731" s="47"/>
    </row>
    <row r="732" customFormat="false" ht="14.25" hidden="false" customHeight="true" outlineLevel="0" collapsed="false">
      <c r="A732" s="51"/>
      <c r="B732" s="51"/>
      <c r="C732" s="51"/>
      <c r="D732" s="52"/>
      <c r="E732" s="51"/>
      <c r="F732" s="51"/>
      <c r="G732" s="52"/>
      <c r="H732" s="52"/>
      <c r="I732" s="52"/>
      <c r="J732" s="47"/>
      <c r="K732" s="47"/>
      <c r="L732" s="47"/>
      <c r="M732" s="47"/>
      <c r="N732" s="47"/>
      <c r="O732" s="47"/>
    </row>
    <row r="733" customFormat="false" ht="14.25" hidden="false" customHeight="true" outlineLevel="0" collapsed="false">
      <c r="A733" s="51"/>
      <c r="B733" s="51"/>
      <c r="C733" s="51"/>
      <c r="D733" s="52"/>
      <c r="E733" s="51"/>
      <c r="F733" s="51"/>
      <c r="G733" s="52"/>
      <c r="H733" s="52"/>
      <c r="I733" s="52"/>
      <c r="J733" s="47"/>
      <c r="K733" s="47"/>
      <c r="L733" s="47"/>
      <c r="M733" s="47"/>
      <c r="N733" s="47"/>
      <c r="O733" s="47"/>
    </row>
    <row r="734" customFormat="false" ht="14.25" hidden="false" customHeight="true" outlineLevel="0" collapsed="false">
      <c r="A734" s="51"/>
      <c r="B734" s="51"/>
      <c r="C734" s="51"/>
      <c r="D734" s="52"/>
      <c r="E734" s="51"/>
      <c r="F734" s="51"/>
      <c r="G734" s="52"/>
      <c r="H734" s="52"/>
      <c r="I734" s="52"/>
      <c r="J734" s="47"/>
      <c r="K734" s="47"/>
      <c r="L734" s="47"/>
      <c r="M734" s="47"/>
      <c r="N734" s="47"/>
      <c r="O734" s="47"/>
    </row>
    <row r="735" customFormat="false" ht="14.25" hidden="false" customHeight="true" outlineLevel="0" collapsed="false">
      <c r="A735" s="51"/>
      <c r="B735" s="51"/>
      <c r="C735" s="51"/>
      <c r="D735" s="52"/>
      <c r="E735" s="51"/>
      <c r="F735" s="51"/>
      <c r="G735" s="52"/>
      <c r="H735" s="52"/>
      <c r="I735" s="52"/>
      <c r="J735" s="47"/>
      <c r="K735" s="47"/>
      <c r="L735" s="47"/>
      <c r="M735" s="47"/>
      <c r="N735" s="47"/>
      <c r="O735" s="47"/>
    </row>
    <row r="736" customFormat="false" ht="14.25" hidden="false" customHeight="true" outlineLevel="0" collapsed="false">
      <c r="A736" s="51"/>
      <c r="B736" s="51"/>
      <c r="C736" s="51"/>
      <c r="D736" s="52"/>
      <c r="E736" s="51"/>
      <c r="F736" s="51"/>
      <c r="G736" s="52"/>
      <c r="H736" s="52"/>
      <c r="I736" s="52"/>
      <c r="J736" s="47"/>
      <c r="K736" s="47"/>
      <c r="L736" s="47"/>
      <c r="M736" s="47"/>
      <c r="N736" s="47"/>
      <c r="O736" s="47"/>
    </row>
    <row r="737" customFormat="false" ht="14.25" hidden="false" customHeight="true" outlineLevel="0" collapsed="false">
      <c r="A737" s="51"/>
      <c r="B737" s="51"/>
      <c r="C737" s="51"/>
      <c r="D737" s="52"/>
      <c r="E737" s="51"/>
      <c r="F737" s="51"/>
      <c r="G737" s="52"/>
      <c r="H737" s="52"/>
      <c r="I737" s="52"/>
      <c r="J737" s="47"/>
      <c r="K737" s="47"/>
      <c r="L737" s="47"/>
      <c r="M737" s="47"/>
      <c r="N737" s="47"/>
      <c r="O737" s="47"/>
    </row>
    <row r="738" customFormat="false" ht="14.25" hidden="false" customHeight="true" outlineLevel="0" collapsed="false">
      <c r="A738" s="51"/>
      <c r="B738" s="51"/>
      <c r="C738" s="51"/>
      <c r="D738" s="52"/>
      <c r="E738" s="51"/>
      <c r="F738" s="51"/>
      <c r="G738" s="52"/>
      <c r="H738" s="52"/>
      <c r="I738" s="52"/>
      <c r="J738" s="47"/>
      <c r="K738" s="47"/>
      <c r="L738" s="47"/>
      <c r="M738" s="47"/>
      <c r="N738" s="47"/>
      <c r="O738" s="47"/>
    </row>
    <row r="739" customFormat="false" ht="14.25" hidden="false" customHeight="true" outlineLevel="0" collapsed="false">
      <c r="A739" s="51"/>
      <c r="B739" s="51"/>
      <c r="C739" s="51"/>
      <c r="D739" s="52"/>
      <c r="E739" s="51"/>
      <c r="F739" s="51"/>
      <c r="G739" s="52"/>
      <c r="H739" s="52"/>
      <c r="I739" s="52"/>
      <c r="J739" s="47"/>
      <c r="K739" s="47"/>
      <c r="L739" s="47"/>
      <c r="M739" s="47"/>
      <c r="N739" s="47"/>
      <c r="O739" s="47"/>
    </row>
    <row r="740" customFormat="false" ht="14.25" hidden="false" customHeight="true" outlineLevel="0" collapsed="false">
      <c r="A740" s="51"/>
      <c r="B740" s="51"/>
      <c r="C740" s="51"/>
      <c r="D740" s="52"/>
      <c r="E740" s="51"/>
      <c r="F740" s="51"/>
      <c r="G740" s="52"/>
      <c r="H740" s="52"/>
      <c r="I740" s="52"/>
      <c r="J740" s="47"/>
      <c r="K740" s="47"/>
      <c r="L740" s="47"/>
      <c r="M740" s="47"/>
      <c r="N740" s="47"/>
      <c r="O740" s="47"/>
    </row>
    <row r="741" customFormat="false" ht="14.25" hidden="false" customHeight="true" outlineLevel="0" collapsed="false">
      <c r="A741" s="51"/>
      <c r="B741" s="51"/>
      <c r="C741" s="51"/>
      <c r="D741" s="52"/>
      <c r="E741" s="51"/>
      <c r="F741" s="51"/>
      <c r="G741" s="52"/>
      <c r="H741" s="52"/>
      <c r="I741" s="52"/>
      <c r="J741" s="47"/>
      <c r="K741" s="47"/>
      <c r="L741" s="47"/>
      <c r="M741" s="47"/>
      <c r="N741" s="47"/>
      <c r="O741" s="47"/>
    </row>
    <row r="742" customFormat="false" ht="14.25" hidden="false" customHeight="true" outlineLevel="0" collapsed="false">
      <c r="A742" s="51"/>
      <c r="B742" s="51"/>
      <c r="C742" s="51"/>
      <c r="D742" s="52"/>
      <c r="E742" s="51"/>
      <c r="F742" s="51"/>
      <c r="G742" s="52"/>
      <c r="H742" s="52"/>
      <c r="I742" s="52"/>
      <c r="J742" s="47"/>
      <c r="K742" s="47"/>
      <c r="L742" s="47"/>
      <c r="M742" s="47"/>
      <c r="N742" s="47"/>
      <c r="O742" s="47"/>
    </row>
    <row r="743" customFormat="false" ht="14.25" hidden="false" customHeight="true" outlineLevel="0" collapsed="false">
      <c r="A743" s="51"/>
      <c r="B743" s="51"/>
      <c r="C743" s="51"/>
      <c r="D743" s="52"/>
      <c r="E743" s="51"/>
      <c r="F743" s="51"/>
      <c r="G743" s="52"/>
      <c r="H743" s="52"/>
      <c r="I743" s="52"/>
      <c r="J743" s="47"/>
      <c r="K743" s="47"/>
      <c r="L743" s="47"/>
      <c r="M743" s="47"/>
      <c r="N743" s="47"/>
      <c r="O743" s="47"/>
    </row>
    <row r="744" customFormat="false" ht="14.25" hidden="false" customHeight="true" outlineLevel="0" collapsed="false">
      <c r="A744" s="51"/>
      <c r="B744" s="51"/>
      <c r="C744" s="51"/>
      <c r="D744" s="52"/>
      <c r="E744" s="51"/>
      <c r="F744" s="51"/>
      <c r="G744" s="52"/>
      <c r="H744" s="52"/>
      <c r="I744" s="52"/>
      <c r="J744" s="47"/>
      <c r="K744" s="47"/>
      <c r="L744" s="47"/>
      <c r="M744" s="47"/>
      <c r="N744" s="47"/>
      <c r="O744" s="47"/>
    </row>
    <row r="745" customFormat="false" ht="14.25" hidden="false" customHeight="true" outlineLevel="0" collapsed="false">
      <c r="A745" s="51"/>
      <c r="B745" s="51"/>
      <c r="C745" s="51"/>
      <c r="D745" s="52"/>
      <c r="E745" s="51"/>
      <c r="F745" s="51"/>
      <c r="G745" s="52"/>
      <c r="H745" s="52"/>
      <c r="I745" s="52"/>
      <c r="J745" s="47"/>
      <c r="K745" s="47"/>
      <c r="L745" s="47"/>
      <c r="M745" s="47"/>
      <c r="N745" s="47"/>
      <c r="O745" s="47"/>
    </row>
    <row r="746" customFormat="false" ht="14.25" hidden="false" customHeight="true" outlineLevel="0" collapsed="false">
      <c r="A746" s="51"/>
      <c r="B746" s="51"/>
      <c r="C746" s="51"/>
      <c r="D746" s="52"/>
      <c r="E746" s="51"/>
      <c r="F746" s="51"/>
      <c r="G746" s="52"/>
      <c r="H746" s="52"/>
      <c r="I746" s="52"/>
      <c r="J746" s="47"/>
      <c r="K746" s="47"/>
      <c r="L746" s="47"/>
      <c r="M746" s="47"/>
      <c r="N746" s="47"/>
      <c r="O746" s="47"/>
    </row>
    <row r="747" customFormat="false" ht="14.25" hidden="false" customHeight="true" outlineLevel="0" collapsed="false">
      <c r="A747" s="51"/>
      <c r="B747" s="51"/>
      <c r="C747" s="51"/>
      <c r="D747" s="52"/>
      <c r="E747" s="51"/>
      <c r="F747" s="51"/>
      <c r="G747" s="52"/>
      <c r="H747" s="52"/>
      <c r="I747" s="52"/>
      <c r="J747" s="47"/>
      <c r="K747" s="47"/>
      <c r="L747" s="47"/>
      <c r="M747" s="47"/>
      <c r="N747" s="47"/>
      <c r="O747" s="47"/>
    </row>
    <row r="748" customFormat="false" ht="14.25" hidden="false" customHeight="true" outlineLevel="0" collapsed="false">
      <c r="A748" s="51"/>
      <c r="B748" s="51"/>
      <c r="C748" s="51"/>
      <c r="D748" s="52"/>
      <c r="E748" s="51"/>
      <c r="F748" s="51"/>
      <c r="G748" s="52"/>
      <c r="H748" s="52"/>
      <c r="I748" s="52"/>
      <c r="J748" s="47"/>
      <c r="K748" s="47"/>
      <c r="L748" s="47"/>
      <c r="M748" s="47"/>
      <c r="N748" s="47"/>
      <c r="O748" s="47"/>
    </row>
    <row r="749" customFormat="false" ht="14.25" hidden="false" customHeight="true" outlineLevel="0" collapsed="false">
      <c r="A749" s="51"/>
      <c r="B749" s="51"/>
      <c r="C749" s="51"/>
      <c r="D749" s="52"/>
      <c r="E749" s="51"/>
      <c r="F749" s="51"/>
      <c r="G749" s="52"/>
      <c r="H749" s="52"/>
      <c r="I749" s="52"/>
      <c r="J749" s="47"/>
      <c r="K749" s="47"/>
      <c r="L749" s="47"/>
      <c r="M749" s="47"/>
      <c r="N749" s="47"/>
      <c r="O749" s="47"/>
    </row>
    <row r="750" customFormat="false" ht="14.25" hidden="false" customHeight="true" outlineLevel="0" collapsed="false">
      <c r="A750" s="51"/>
      <c r="B750" s="51"/>
      <c r="C750" s="51"/>
      <c r="D750" s="52"/>
      <c r="E750" s="51"/>
      <c r="F750" s="51"/>
      <c r="G750" s="52"/>
      <c r="H750" s="52"/>
      <c r="I750" s="52"/>
      <c r="J750" s="47"/>
      <c r="K750" s="47"/>
      <c r="L750" s="47"/>
      <c r="M750" s="47"/>
      <c r="N750" s="47"/>
      <c r="O750" s="47"/>
    </row>
    <row r="751" customFormat="false" ht="14.25" hidden="false" customHeight="true" outlineLevel="0" collapsed="false">
      <c r="A751" s="51"/>
      <c r="B751" s="51"/>
      <c r="C751" s="51"/>
      <c r="D751" s="52"/>
      <c r="E751" s="51"/>
      <c r="F751" s="51"/>
      <c r="G751" s="52"/>
      <c r="H751" s="52"/>
      <c r="I751" s="52"/>
      <c r="J751" s="47"/>
      <c r="K751" s="47"/>
      <c r="L751" s="47"/>
      <c r="M751" s="47"/>
      <c r="N751" s="47"/>
      <c r="O751" s="47"/>
    </row>
    <row r="752" customFormat="false" ht="14.25" hidden="false" customHeight="true" outlineLevel="0" collapsed="false">
      <c r="A752" s="51"/>
      <c r="B752" s="51"/>
      <c r="C752" s="51"/>
      <c r="D752" s="52"/>
      <c r="E752" s="51"/>
      <c r="F752" s="51"/>
      <c r="G752" s="52"/>
      <c r="H752" s="52"/>
      <c r="I752" s="52"/>
      <c r="J752" s="47"/>
      <c r="K752" s="47"/>
      <c r="L752" s="47"/>
      <c r="M752" s="47"/>
      <c r="N752" s="47"/>
      <c r="O752" s="47"/>
    </row>
    <row r="753" customFormat="false" ht="14.25" hidden="false" customHeight="true" outlineLevel="0" collapsed="false">
      <c r="A753" s="51"/>
      <c r="B753" s="51"/>
      <c r="C753" s="51"/>
      <c r="D753" s="52"/>
      <c r="E753" s="51"/>
      <c r="F753" s="51"/>
      <c r="G753" s="52"/>
      <c r="H753" s="52"/>
      <c r="I753" s="52"/>
      <c r="J753" s="47"/>
      <c r="K753" s="47"/>
      <c r="L753" s="47"/>
      <c r="M753" s="47"/>
      <c r="N753" s="47"/>
      <c r="O753" s="47"/>
    </row>
    <row r="754" customFormat="false" ht="14.25" hidden="false" customHeight="true" outlineLevel="0" collapsed="false">
      <c r="A754" s="51"/>
      <c r="B754" s="51"/>
      <c r="C754" s="51"/>
      <c r="D754" s="52"/>
      <c r="E754" s="51"/>
      <c r="F754" s="51"/>
      <c r="G754" s="52"/>
      <c r="H754" s="52"/>
      <c r="I754" s="52"/>
      <c r="J754" s="47"/>
      <c r="K754" s="47"/>
      <c r="L754" s="47"/>
      <c r="M754" s="47"/>
      <c r="N754" s="47"/>
      <c r="O754" s="47"/>
    </row>
    <row r="755" customFormat="false" ht="14.25" hidden="false" customHeight="true" outlineLevel="0" collapsed="false">
      <c r="A755" s="51"/>
      <c r="B755" s="51"/>
      <c r="C755" s="51"/>
      <c r="D755" s="52"/>
      <c r="E755" s="51"/>
      <c r="F755" s="51"/>
      <c r="G755" s="52"/>
      <c r="H755" s="52"/>
      <c r="I755" s="52"/>
      <c r="J755" s="47"/>
      <c r="K755" s="47"/>
      <c r="L755" s="47"/>
      <c r="M755" s="47"/>
      <c r="N755" s="47"/>
      <c r="O755" s="47"/>
    </row>
    <row r="756" customFormat="false" ht="14.25" hidden="false" customHeight="true" outlineLevel="0" collapsed="false">
      <c r="A756" s="51"/>
      <c r="B756" s="51"/>
      <c r="C756" s="51"/>
      <c r="D756" s="52"/>
      <c r="E756" s="51"/>
      <c r="F756" s="51"/>
      <c r="G756" s="52"/>
      <c r="H756" s="52"/>
      <c r="I756" s="52"/>
      <c r="J756" s="47"/>
      <c r="K756" s="47"/>
      <c r="L756" s="47"/>
      <c r="M756" s="47"/>
      <c r="N756" s="47"/>
      <c r="O756" s="47"/>
    </row>
    <row r="757" customFormat="false" ht="14.25" hidden="false" customHeight="true" outlineLevel="0" collapsed="false">
      <c r="A757" s="51"/>
      <c r="B757" s="51"/>
      <c r="C757" s="51"/>
      <c r="D757" s="52"/>
      <c r="E757" s="51"/>
      <c r="F757" s="51"/>
      <c r="G757" s="52"/>
      <c r="H757" s="52"/>
      <c r="I757" s="52"/>
      <c r="J757" s="47"/>
      <c r="K757" s="47"/>
      <c r="L757" s="47"/>
      <c r="M757" s="47"/>
      <c r="N757" s="47"/>
      <c r="O757" s="47"/>
    </row>
    <row r="758" customFormat="false" ht="14.25" hidden="false" customHeight="true" outlineLevel="0" collapsed="false">
      <c r="A758" s="51"/>
      <c r="B758" s="51"/>
      <c r="C758" s="51"/>
      <c r="D758" s="52"/>
      <c r="E758" s="51"/>
      <c r="F758" s="51"/>
      <c r="G758" s="52"/>
      <c r="H758" s="52"/>
      <c r="I758" s="52"/>
      <c r="J758" s="47"/>
      <c r="K758" s="47"/>
      <c r="L758" s="47"/>
      <c r="M758" s="47"/>
      <c r="N758" s="47"/>
      <c r="O758" s="47"/>
    </row>
    <row r="759" customFormat="false" ht="14.25" hidden="false" customHeight="true" outlineLevel="0" collapsed="false">
      <c r="A759" s="51"/>
      <c r="B759" s="51"/>
      <c r="C759" s="51"/>
      <c r="D759" s="52"/>
      <c r="E759" s="51"/>
      <c r="F759" s="51"/>
      <c r="G759" s="52"/>
      <c r="H759" s="52"/>
      <c r="I759" s="52"/>
      <c r="J759" s="47"/>
      <c r="K759" s="47"/>
      <c r="L759" s="47"/>
      <c r="M759" s="47"/>
      <c r="N759" s="47"/>
      <c r="O759" s="47"/>
    </row>
    <row r="760" customFormat="false" ht="14.25" hidden="false" customHeight="true" outlineLevel="0" collapsed="false">
      <c r="A760" s="51"/>
      <c r="B760" s="51"/>
      <c r="C760" s="51"/>
      <c r="D760" s="52"/>
      <c r="E760" s="51"/>
      <c r="F760" s="51"/>
      <c r="G760" s="52"/>
      <c r="H760" s="52"/>
      <c r="I760" s="52"/>
      <c r="J760" s="47"/>
      <c r="K760" s="47"/>
      <c r="L760" s="47"/>
      <c r="M760" s="47"/>
      <c r="N760" s="47"/>
      <c r="O760" s="47"/>
    </row>
    <row r="761" customFormat="false" ht="14.25" hidden="false" customHeight="true" outlineLevel="0" collapsed="false">
      <c r="A761" s="51"/>
      <c r="B761" s="51"/>
      <c r="C761" s="51"/>
      <c r="D761" s="52"/>
      <c r="E761" s="51"/>
      <c r="F761" s="51"/>
      <c r="G761" s="52"/>
      <c r="H761" s="52"/>
      <c r="I761" s="52"/>
      <c r="J761" s="47"/>
      <c r="K761" s="47"/>
      <c r="L761" s="47"/>
      <c r="M761" s="47"/>
      <c r="N761" s="47"/>
      <c r="O761" s="47"/>
    </row>
    <row r="762" customFormat="false" ht="14.25" hidden="false" customHeight="true" outlineLevel="0" collapsed="false">
      <c r="A762" s="51"/>
      <c r="B762" s="51"/>
      <c r="C762" s="51"/>
      <c r="D762" s="52"/>
      <c r="E762" s="51"/>
      <c r="F762" s="51"/>
      <c r="G762" s="52"/>
      <c r="H762" s="52"/>
      <c r="I762" s="52"/>
      <c r="J762" s="47"/>
      <c r="K762" s="47"/>
      <c r="L762" s="47"/>
      <c r="M762" s="47"/>
      <c r="N762" s="47"/>
      <c r="O762" s="47"/>
    </row>
    <row r="763" customFormat="false" ht="14.25" hidden="false" customHeight="true" outlineLevel="0" collapsed="false">
      <c r="A763" s="51"/>
      <c r="B763" s="51"/>
      <c r="C763" s="51"/>
      <c r="D763" s="52"/>
      <c r="E763" s="51"/>
      <c r="F763" s="51"/>
      <c r="G763" s="52"/>
      <c r="H763" s="52"/>
      <c r="I763" s="52"/>
      <c r="J763" s="47"/>
      <c r="K763" s="47"/>
      <c r="L763" s="47"/>
      <c r="M763" s="47"/>
      <c r="N763" s="47"/>
      <c r="O763" s="47"/>
    </row>
    <row r="764" customFormat="false" ht="14.25" hidden="false" customHeight="true" outlineLevel="0" collapsed="false">
      <c r="A764" s="51"/>
      <c r="B764" s="51"/>
      <c r="C764" s="51"/>
      <c r="D764" s="52"/>
      <c r="E764" s="51"/>
      <c r="F764" s="51"/>
      <c r="G764" s="52"/>
      <c r="H764" s="52"/>
      <c r="I764" s="52"/>
      <c r="J764" s="47"/>
      <c r="K764" s="47"/>
      <c r="L764" s="47"/>
      <c r="M764" s="47"/>
      <c r="N764" s="47"/>
      <c r="O764" s="47"/>
    </row>
    <row r="765" customFormat="false" ht="14.25" hidden="false" customHeight="true" outlineLevel="0" collapsed="false">
      <c r="A765" s="51"/>
      <c r="B765" s="51"/>
      <c r="C765" s="51"/>
      <c r="D765" s="52"/>
      <c r="E765" s="51"/>
      <c r="F765" s="51"/>
      <c r="G765" s="52"/>
      <c r="H765" s="52"/>
      <c r="I765" s="52"/>
      <c r="J765" s="47"/>
      <c r="K765" s="47"/>
      <c r="L765" s="47"/>
      <c r="M765" s="47"/>
      <c r="N765" s="47"/>
      <c r="O765" s="47"/>
    </row>
    <row r="766" customFormat="false" ht="14.25" hidden="false" customHeight="true" outlineLevel="0" collapsed="false">
      <c r="A766" s="51"/>
      <c r="B766" s="51"/>
      <c r="C766" s="51"/>
      <c r="D766" s="52"/>
      <c r="E766" s="51"/>
      <c r="F766" s="51"/>
      <c r="G766" s="52"/>
      <c r="H766" s="52"/>
      <c r="I766" s="52"/>
      <c r="J766" s="47"/>
      <c r="K766" s="47"/>
      <c r="L766" s="47"/>
      <c r="M766" s="47"/>
      <c r="N766" s="47"/>
      <c r="O766" s="47"/>
    </row>
    <row r="767" customFormat="false" ht="14.25" hidden="false" customHeight="true" outlineLevel="0" collapsed="false">
      <c r="A767" s="51"/>
      <c r="B767" s="51"/>
      <c r="C767" s="51"/>
      <c r="D767" s="52"/>
      <c r="E767" s="51"/>
      <c r="F767" s="51"/>
      <c r="G767" s="52"/>
      <c r="H767" s="52"/>
      <c r="I767" s="52"/>
      <c r="J767" s="47"/>
      <c r="K767" s="47"/>
      <c r="L767" s="47"/>
      <c r="M767" s="47"/>
      <c r="N767" s="47"/>
      <c r="O767" s="47"/>
    </row>
    <row r="768" customFormat="false" ht="14.25" hidden="false" customHeight="true" outlineLevel="0" collapsed="false">
      <c r="A768" s="51"/>
      <c r="B768" s="51"/>
      <c r="C768" s="51"/>
      <c r="D768" s="52"/>
      <c r="E768" s="51"/>
      <c r="F768" s="51"/>
      <c r="G768" s="52"/>
      <c r="H768" s="52"/>
      <c r="I768" s="52"/>
      <c r="J768" s="47"/>
      <c r="K768" s="47"/>
      <c r="L768" s="47"/>
      <c r="M768" s="47"/>
      <c r="N768" s="47"/>
      <c r="O768" s="47"/>
    </row>
    <row r="769" customFormat="false" ht="14.25" hidden="false" customHeight="true" outlineLevel="0" collapsed="false">
      <c r="A769" s="51"/>
      <c r="B769" s="51"/>
      <c r="C769" s="51"/>
      <c r="D769" s="52"/>
      <c r="E769" s="51"/>
      <c r="F769" s="51"/>
      <c r="G769" s="52"/>
      <c r="H769" s="52"/>
      <c r="I769" s="52"/>
      <c r="J769" s="47"/>
      <c r="K769" s="47"/>
      <c r="L769" s="47"/>
      <c r="M769" s="47"/>
      <c r="N769" s="47"/>
      <c r="O769" s="47"/>
    </row>
    <row r="770" customFormat="false" ht="14.25" hidden="false" customHeight="true" outlineLevel="0" collapsed="false">
      <c r="A770" s="51"/>
      <c r="B770" s="51"/>
      <c r="C770" s="51"/>
      <c r="D770" s="52"/>
      <c r="E770" s="51"/>
      <c r="F770" s="51"/>
      <c r="G770" s="52"/>
      <c r="H770" s="52"/>
      <c r="I770" s="52"/>
      <c r="J770" s="47"/>
      <c r="K770" s="47"/>
      <c r="L770" s="47"/>
      <c r="M770" s="47"/>
      <c r="N770" s="47"/>
      <c r="O770" s="47"/>
    </row>
    <row r="771" customFormat="false" ht="14.25" hidden="false" customHeight="true" outlineLevel="0" collapsed="false">
      <c r="A771" s="51"/>
      <c r="B771" s="51"/>
      <c r="C771" s="51"/>
      <c r="D771" s="52"/>
      <c r="E771" s="51"/>
      <c r="F771" s="51"/>
      <c r="G771" s="52"/>
      <c r="H771" s="52"/>
      <c r="I771" s="52"/>
      <c r="J771" s="47"/>
      <c r="K771" s="47"/>
      <c r="L771" s="47"/>
      <c r="M771" s="47"/>
      <c r="N771" s="47"/>
      <c r="O771" s="47"/>
    </row>
    <row r="772" customFormat="false" ht="14.25" hidden="false" customHeight="true" outlineLevel="0" collapsed="false">
      <c r="A772" s="51"/>
      <c r="B772" s="51"/>
      <c r="C772" s="51"/>
      <c r="D772" s="52"/>
      <c r="E772" s="51"/>
      <c r="F772" s="51"/>
      <c r="G772" s="52"/>
      <c r="H772" s="52"/>
      <c r="I772" s="52"/>
      <c r="J772" s="47"/>
      <c r="K772" s="47"/>
      <c r="L772" s="47"/>
      <c r="M772" s="47"/>
      <c r="N772" s="47"/>
      <c r="O772" s="47"/>
    </row>
    <row r="773" customFormat="false" ht="14.25" hidden="false" customHeight="true" outlineLevel="0" collapsed="false">
      <c r="A773" s="51"/>
      <c r="B773" s="51"/>
      <c r="C773" s="51"/>
      <c r="D773" s="52"/>
      <c r="E773" s="51"/>
      <c r="F773" s="51"/>
      <c r="G773" s="52"/>
      <c r="H773" s="52"/>
      <c r="I773" s="52"/>
      <c r="J773" s="47"/>
      <c r="K773" s="47"/>
      <c r="L773" s="47"/>
      <c r="M773" s="47"/>
      <c r="N773" s="47"/>
      <c r="O773" s="47"/>
    </row>
    <row r="774" customFormat="false" ht="14.25" hidden="false" customHeight="true" outlineLevel="0" collapsed="false">
      <c r="A774" s="51"/>
      <c r="B774" s="51"/>
      <c r="C774" s="51"/>
      <c r="D774" s="52"/>
      <c r="E774" s="51"/>
      <c r="F774" s="51"/>
      <c r="G774" s="52"/>
      <c r="H774" s="52"/>
      <c r="I774" s="52"/>
      <c r="J774" s="47"/>
      <c r="K774" s="47"/>
      <c r="L774" s="47"/>
      <c r="M774" s="47"/>
      <c r="N774" s="47"/>
      <c r="O774" s="47"/>
    </row>
    <row r="775" customFormat="false" ht="14.25" hidden="false" customHeight="true" outlineLevel="0" collapsed="false">
      <c r="A775" s="51"/>
      <c r="B775" s="51"/>
      <c r="C775" s="51"/>
      <c r="D775" s="52"/>
      <c r="E775" s="51"/>
      <c r="F775" s="51"/>
      <c r="G775" s="52"/>
      <c r="H775" s="52"/>
      <c r="I775" s="52"/>
      <c r="J775" s="47"/>
      <c r="K775" s="47"/>
      <c r="L775" s="47"/>
      <c r="M775" s="47"/>
      <c r="N775" s="47"/>
      <c r="O775" s="47"/>
    </row>
    <row r="776" customFormat="false" ht="14.25" hidden="false" customHeight="true" outlineLevel="0" collapsed="false">
      <c r="A776" s="51"/>
      <c r="B776" s="51"/>
      <c r="C776" s="51"/>
      <c r="D776" s="52"/>
      <c r="E776" s="51"/>
      <c r="F776" s="51"/>
      <c r="G776" s="52"/>
      <c r="H776" s="52"/>
      <c r="I776" s="52"/>
      <c r="J776" s="47"/>
      <c r="K776" s="47"/>
      <c r="L776" s="47"/>
      <c r="M776" s="47"/>
      <c r="N776" s="47"/>
      <c r="O776" s="47"/>
    </row>
    <row r="777" customFormat="false" ht="14.25" hidden="false" customHeight="true" outlineLevel="0" collapsed="false">
      <c r="A777" s="51"/>
      <c r="B777" s="51"/>
      <c r="C777" s="51"/>
      <c r="D777" s="52"/>
      <c r="E777" s="51"/>
      <c r="F777" s="51"/>
      <c r="G777" s="52"/>
      <c r="H777" s="52"/>
      <c r="I777" s="52"/>
      <c r="J777" s="47"/>
      <c r="K777" s="47"/>
      <c r="L777" s="47"/>
      <c r="M777" s="47"/>
      <c r="N777" s="47"/>
      <c r="O777" s="47"/>
    </row>
    <row r="778" customFormat="false" ht="14.25" hidden="false" customHeight="true" outlineLevel="0" collapsed="false">
      <c r="A778" s="51"/>
      <c r="B778" s="51"/>
      <c r="C778" s="51"/>
      <c r="D778" s="52"/>
      <c r="E778" s="51"/>
      <c r="F778" s="51"/>
      <c r="G778" s="52"/>
      <c r="H778" s="52"/>
      <c r="I778" s="52"/>
      <c r="J778" s="47"/>
      <c r="K778" s="47"/>
      <c r="L778" s="47"/>
      <c r="M778" s="47"/>
      <c r="N778" s="47"/>
      <c r="O778" s="47"/>
    </row>
    <row r="779" customFormat="false" ht="14.25" hidden="false" customHeight="true" outlineLevel="0" collapsed="false">
      <c r="A779" s="51"/>
      <c r="B779" s="51"/>
      <c r="C779" s="51"/>
      <c r="D779" s="52"/>
      <c r="E779" s="51"/>
      <c r="F779" s="51"/>
      <c r="G779" s="52"/>
      <c r="H779" s="52"/>
      <c r="I779" s="52"/>
      <c r="J779" s="47"/>
      <c r="K779" s="47"/>
      <c r="L779" s="47"/>
      <c r="M779" s="47"/>
      <c r="N779" s="47"/>
      <c r="O779" s="47"/>
    </row>
    <row r="780" customFormat="false" ht="14.25" hidden="false" customHeight="true" outlineLevel="0" collapsed="false">
      <c r="A780" s="51"/>
      <c r="B780" s="51"/>
      <c r="C780" s="51"/>
      <c r="D780" s="52"/>
      <c r="E780" s="51"/>
      <c r="F780" s="51"/>
      <c r="G780" s="52"/>
      <c r="H780" s="52"/>
      <c r="I780" s="52"/>
      <c r="J780" s="47"/>
      <c r="K780" s="47"/>
      <c r="L780" s="47"/>
      <c r="M780" s="47"/>
      <c r="N780" s="47"/>
      <c r="O780" s="47"/>
    </row>
    <row r="781" customFormat="false" ht="14.25" hidden="false" customHeight="true" outlineLevel="0" collapsed="false">
      <c r="A781" s="51"/>
      <c r="B781" s="51"/>
      <c r="C781" s="51"/>
      <c r="D781" s="52"/>
      <c r="E781" s="51"/>
      <c r="F781" s="51"/>
      <c r="G781" s="52"/>
      <c r="H781" s="52"/>
      <c r="I781" s="52"/>
      <c r="J781" s="47"/>
      <c r="K781" s="47"/>
      <c r="L781" s="47"/>
      <c r="M781" s="47"/>
      <c r="N781" s="47"/>
      <c r="O781" s="47"/>
    </row>
    <row r="782" customFormat="false" ht="14.25" hidden="false" customHeight="true" outlineLevel="0" collapsed="false">
      <c r="A782" s="51"/>
      <c r="B782" s="51"/>
      <c r="C782" s="51"/>
      <c r="D782" s="52"/>
      <c r="E782" s="51"/>
      <c r="F782" s="51"/>
      <c r="G782" s="52"/>
      <c r="H782" s="52"/>
      <c r="I782" s="52"/>
      <c r="J782" s="47"/>
      <c r="K782" s="47"/>
      <c r="L782" s="47"/>
      <c r="M782" s="47"/>
      <c r="N782" s="47"/>
      <c r="O782" s="47"/>
    </row>
    <row r="783" customFormat="false" ht="14.25" hidden="false" customHeight="true" outlineLevel="0" collapsed="false">
      <c r="A783" s="51"/>
      <c r="B783" s="51"/>
      <c r="C783" s="51"/>
      <c r="D783" s="52"/>
      <c r="E783" s="51"/>
      <c r="F783" s="51"/>
      <c r="G783" s="52"/>
      <c r="H783" s="52"/>
      <c r="I783" s="52"/>
      <c r="J783" s="47"/>
      <c r="K783" s="47"/>
      <c r="L783" s="47"/>
      <c r="M783" s="47"/>
      <c r="N783" s="47"/>
      <c r="O783" s="47"/>
    </row>
    <row r="784" customFormat="false" ht="14.25" hidden="false" customHeight="true" outlineLevel="0" collapsed="false">
      <c r="A784" s="51"/>
      <c r="B784" s="51"/>
      <c r="C784" s="51"/>
      <c r="D784" s="52"/>
      <c r="E784" s="51"/>
      <c r="F784" s="51"/>
      <c r="G784" s="52"/>
      <c r="H784" s="52"/>
      <c r="I784" s="52"/>
      <c r="J784" s="47"/>
      <c r="K784" s="47"/>
      <c r="L784" s="47"/>
      <c r="M784" s="47"/>
      <c r="N784" s="47"/>
      <c r="O784" s="47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8" t="s">
        <v>377</v>
      </c>
      <c r="B1" s="58"/>
      <c r="C1" s="58"/>
      <c r="D1" s="58"/>
    </row>
    <row r="2" customFormat="false" ht="15" hidden="false" customHeight="true" outlineLevel="0" collapsed="false">
      <c r="A2" s="59" t="s">
        <v>378</v>
      </c>
      <c r="B2" s="59"/>
      <c r="C2" s="59"/>
      <c r="D2" s="59"/>
    </row>
    <row r="4" customFormat="false" ht="15" hidden="false" customHeight="true" outlineLevel="0" collapsed="false">
      <c r="A4" s="60" t="s">
        <v>9</v>
      </c>
      <c r="B4" s="60" t="s">
        <v>143</v>
      </c>
      <c r="C4" s="60" t="s">
        <v>285</v>
      </c>
      <c r="D4" s="60" t="s">
        <v>287</v>
      </c>
    </row>
    <row r="5" customFormat="false" ht="15" hidden="false" customHeight="true" outlineLevel="0" collapsed="false">
      <c r="A5" s="44" t="s">
        <v>11</v>
      </c>
      <c r="B5" s="44" t="s">
        <v>85</v>
      </c>
      <c r="C5" s="44" t="s">
        <v>187</v>
      </c>
      <c r="D5" s="61" t="n">
        <f aca="false">'CUSTOS MENSAIS'!F1304</f>
        <v>359.291803</v>
      </c>
    </row>
    <row r="6" customFormat="false" ht="15" hidden="false" customHeight="true" outlineLevel="0" collapsed="false">
      <c r="A6" s="45" t="s">
        <v>11</v>
      </c>
      <c r="B6" s="45" t="s">
        <v>318</v>
      </c>
      <c r="C6" s="45" t="s">
        <v>189</v>
      </c>
      <c r="D6" s="62" t="n">
        <f aca="false">'CUSTOS MENSAIS'!F1306</f>
        <v>0.291</v>
      </c>
    </row>
    <row r="7" customFormat="false" ht="15" hidden="false" customHeight="true" outlineLevel="0" collapsed="false">
      <c r="A7" s="44" t="s">
        <v>11</v>
      </c>
      <c r="B7" s="44" t="s">
        <v>289</v>
      </c>
      <c r="C7" s="44" t="s">
        <v>190</v>
      </c>
      <c r="D7" s="61" t="n">
        <f aca="false">'CUSTOS MENSAIS'!F1307</f>
        <v>0</v>
      </c>
    </row>
    <row r="8" customFormat="false" ht="15" hidden="false" customHeight="true" outlineLevel="0" collapsed="false">
      <c r="A8" s="45" t="s">
        <v>11</v>
      </c>
      <c r="B8" s="45" t="s">
        <v>296</v>
      </c>
      <c r="C8" s="45" t="s">
        <v>191</v>
      </c>
      <c r="D8" s="62" t="n">
        <f aca="false">'CUSTOS MENSAIS'!F1308</f>
        <v>38376.56</v>
      </c>
    </row>
    <row r="9" customFormat="false" ht="15" hidden="false" customHeight="true" outlineLevel="0" collapsed="false">
      <c r="A9" s="44" t="s">
        <v>11</v>
      </c>
      <c r="B9" s="44" t="s">
        <v>289</v>
      </c>
      <c r="C9" s="44" t="s">
        <v>163</v>
      </c>
      <c r="D9" s="61" t="n">
        <f aca="false">'CUSTOS MENSAIS'!F1309</f>
        <v>0</v>
      </c>
    </row>
    <row r="10" customFormat="false" ht="15" hidden="false" customHeight="true" outlineLevel="0" collapsed="false">
      <c r="A10" s="45" t="s">
        <v>11</v>
      </c>
      <c r="B10" s="45" t="s">
        <v>289</v>
      </c>
      <c r="C10" s="45" t="s">
        <v>164</v>
      </c>
      <c r="D10" s="62" t="n">
        <f aca="false">'CUSTOS MENSAIS'!F1310</f>
        <v>0</v>
      </c>
    </row>
    <row r="11" customFormat="false" ht="15" hidden="false" customHeight="true" outlineLevel="0" collapsed="false">
      <c r="A11" s="44" t="s">
        <v>11</v>
      </c>
      <c r="B11" s="44" t="s">
        <v>44</v>
      </c>
      <c r="C11" s="44" t="s">
        <v>162</v>
      </c>
      <c r="D11" s="61" t="n">
        <f aca="false">'CUSTOS MENSAIS'!F1311</f>
        <v>10389.2</v>
      </c>
    </row>
    <row r="12" customFormat="false" ht="15" hidden="false" customHeight="true" outlineLevel="0" collapsed="false">
      <c r="A12" s="45" t="s">
        <v>11</v>
      </c>
      <c r="B12" s="45" t="s">
        <v>44</v>
      </c>
      <c r="C12" s="45" t="s">
        <v>192</v>
      </c>
      <c r="D12" s="62" t="n">
        <f aca="false">'CUSTOS MENSAIS'!F1312</f>
        <v>100</v>
      </c>
    </row>
    <row r="13" customFormat="false" ht="15" hidden="false" customHeight="true" outlineLevel="0" collapsed="false">
      <c r="A13" s="44" t="s">
        <v>11</v>
      </c>
      <c r="B13" s="44" t="s">
        <v>295</v>
      </c>
      <c r="C13" s="44" t="s">
        <v>193</v>
      </c>
      <c r="D13" s="61" t="n">
        <f aca="false">'CUSTOS MENSAIS'!F1328</f>
        <v>35</v>
      </c>
    </row>
    <row r="14" customFormat="false" ht="15" hidden="false" customHeight="true" outlineLevel="0" collapsed="false">
      <c r="A14" s="45" t="s">
        <v>11</v>
      </c>
      <c r="B14" s="45" t="s">
        <v>295</v>
      </c>
      <c r="C14" s="45" t="s">
        <v>194</v>
      </c>
      <c r="D14" s="62" t="n">
        <f aca="false">'CUSTOS MENSAIS'!F1329</f>
        <v>180</v>
      </c>
    </row>
    <row r="15" customFormat="false" ht="15" hidden="false" customHeight="true" outlineLevel="0" collapsed="false">
      <c r="A15" s="44" t="s">
        <v>11</v>
      </c>
      <c r="B15" s="44" t="s">
        <v>295</v>
      </c>
      <c r="C15" s="44" t="s">
        <v>195</v>
      </c>
      <c r="D15" s="61" t="n">
        <f aca="false">'CUSTOS MENSAIS'!F1330</f>
        <v>0</v>
      </c>
    </row>
    <row r="16" customFormat="false" ht="15" hidden="false" customHeight="true" outlineLevel="0" collapsed="false">
      <c r="A16" s="45" t="s">
        <v>11</v>
      </c>
      <c r="B16" s="45" t="s">
        <v>297</v>
      </c>
      <c r="C16" s="45" t="s">
        <v>196</v>
      </c>
      <c r="D16" s="62" t="n">
        <f aca="false">'CUSTOS MENSAIS'!F1331</f>
        <v>692.28</v>
      </c>
    </row>
    <row r="17" customFormat="false" ht="15" hidden="false" customHeight="true" outlineLevel="0" collapsed="false">
      <c r="A17" s="44" t="s">
        <v>11</v>
      </c>
      <c r="B17" s="44" t="s">
        <v>294</v>
      </c>
      <c r="C17" s="44" t="s">
        <v>160</v>
      </c>
      <c r="D17" s="61" t="n">
        <f aca="false">'CUSTOS MENSAIS'!F1332</f>
        <v>7689.5</v>
      </c>
    </row>
    <row r="18" customFormat="false" ht="15" hidden="false" customHeight="true" outlineLevel="0" collapsed="false">
      <c r="A18" s="45" t="s">
        <v>11</v>
      </c>
      <c r="B18" s="45" t="s">
        <v>294</v>
      </c>
      <c r="C18" s="45" t="s">
        <v>161</v>
      </c>
      <c r="D18" s="62" t="n">
        <f aca="false">'CUSTOS MENSAIS'!F1333</f>
        <v>350</v>
      </c>
    </row>
    <row r="19" customFormat="false" ht="15" hidden="false" customHeight="true" outlineLevel="0" collapsed="false">
      <c r="A19" s="44" t="s">
        <v>11</v>
      </c>
      <c r="B19" s="44" t="s">
        <v>289</v>
      </c>
      <c r="C19" s="44" t="s">
        <v>197</v>
      </c>
      <c r="D19" s="61" t="n">
        <f aca="false">'CUSTOS MENSAIS'!F1334</f>
        <v>5036.91</v>
      </c>
    </row>
    <row r="20" customFormat="false" ht="15" hidden="false" customHeight="true" outlineLevel="0" collapsed="false">
      <c r="A20" s="45" t="s">
        <v>11</v>
      </c>
      <c r="B20" s="45" t="s">
        <v>318</v>
      </c>
      <c r="C20" s="45" t="s">
        <v>198</v>
      </c>
      <c r="D20" s="62" t="n">
        <f aca="false">'CUSTOS MENSAIS'!F1335</f>
        <v>570</v>
      </c>
    </row>
    <row r="21" customFormat="false" ht="15" hidden="false" customHeight="true" outlineLevel="0" collapsed="false">
      <c r="A21" s="44" t="s">
        <v>11</v>
      </c>
      <c r="B21" s="44" t="s">
        <v>318</v>
      </c>
      <c r="C21" s="44" t="s">
        <v>199</v>
      </c>
      <c r="D21" s="61" t="n">
        <f aca="false">'CUSTOS MENSAIS'!F1336</f>
        <v>89.28</v>
      </c>
    </row>
    <row r="22" customFormat="false" ht="15" hidden="false" customHeight="true" outlineLevel="0" collapsed="false">
      <c r="A22" s="45" t="s">
        <v>11</v>
      </c>
      <c r="B22" s="45" t="s">
        <v>318</v>
      </c>
      <c r="C22" s="45" t="s">
        <v>200</v>
      </c>
      <c r="D22" s="62" t="n">
        <f aca="false">'CUSTOS MENSAIS'!F1337</f>
        <v>18.45</v>
      </c>
    </row>
    <row r="23" customFormat="false" ht="15" hidden="false" customHeight="true" outlineLevel="0" collapsed="false">
      <c r="A23" s="44" t="s">
        <v>11</v>
      </c>
      <c r="B23" s="44" t="s">
        <v>318</v>
      </c>
      <c r="C23" s="44" t="s">
        <v>201</v>
      </c>
      <c r="D23" s="61" t="n">
        <f aca="false">'CUSTOS MENSAIS'!F1338</f>
        <v>7.8808</v>
      </c>
    </row>
    <row r="24" customFormat="false" ht="15" hidden="false" customHeight="true" outlineLevel="0" collapsed="false">
      <c r="A24" s="63" t="s">
        <v>11</v>
      </c>
      <c r="B24" s="63"/>
      <c r="C24" s="63" t="s">
        <v>379</v>
      </c>
      <c r="D24" s="64" t="n">
        <f aca="false">SUM(D5:D23)</f>
        <v>63894.643603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4" t="s">
        <v>20</v>
      </c>
      <c r="B26" s="44" t="s">
        <v>85</v>
      </c>
      <c r="C26" s="44" t="s">
        <v>187</v>
      </c>
      <c r="D26" s="61" t="n">
        <f aca="false">'CUSTOS MENSAIS'!F1339</f>
        <v>239.527869</v>
      </c>
    </row>
    <row r="27" customFormat="false" ht="15" hidden="false" customHeight="true" outlineLevel="0" collapsed="false">
      <c r="A27" s="45" t="s">
        <v>20</v>
      </c>
      <c r="B27" s="45" t="s">
        <v>318</v>
      </c>
      <c r="C27" s="45" t="s">
        <v>189</v>
      </c>
      <c r="D27" s="62" t="n">
        <f aca="false">'CUSTOS MENSAIS'!F1341</f>
        <v>0.194</v>
      </c>
    </row>
    <row r="28" customFormat="false" ht="15" hidden="false" customHeight="true" outlineLevel="0" collapsed="false">
      <c r="A28" s="44" t="s">
        <v>20</v>
      </c>
      <c r="B28" s="44" t="s">
        <v>289</v>
      </c>
      <c r="C28" s="44" t="s">
        <v>190</v>
      </c>
      <c r="D28" s="61" t="n">
        <f aca="false">'CUSTOS MENSAIS'!F1342</f>
        <v>0</v>
      </c>
    </row>
    <row r="29" customFormat="false" ht="15" hidden="false" customHeight="true" outlineLevel="0" collapsed="false">
      <c r="A29" s="45" t="s">
        <v>20</v>
      </c>
      <c r="B29" s="45" t="s">
        <v>296</v>
      </c>
      <c r="C29" s="45" t="s">
        <v>191</v>
      </c>
      <c r="D29" s="62" t="n">
        <f aca="false">'CUSTOS MENSAIS'!F1343</f>
        <v>26304.95</v>
      </c>
    </row>
    <row r="30" customFormat="false" ht="15" hidden="false" customHeight="true" outlineLevel="0" collapsed="false">
      <c r="A30" s="44" t="s">
        <v>20</v>
      </c>
      <c r="B30" s="44" t="s">
        <v>289</v>
      </c>
      <c r="C30" s="44" t="s">
        <v>163</v>
      </c>
      <c r="D30" s="61" t="n">
        <f aca="false">'CUSTOS MENSAIS'!F1362</f>
        <v>107.549</v>
      </c>
    </row>
    <row r="31" customFormat="false" ht="15" hidden="false" customHeight="true" outlineLevel="0" collapsed="false">
      <c r="A31" s="45" t="s">
        <v>20</v>
      </c>
      <c r="B31" s="45" t="s">
        <v>289</v>
      </c>
      <c r="C31" s="45" t="s">
        <v>164</v>
      </c>
      <c r="D31" s="62" t="n">
        <f aca="false">'CUSTOS MENSAIS'!F1363</f>
        <v>0.3152</v>
      </c>
    </row>
    <row r="32" customFormat="false" ht="15" hidden="false" customHeight="true" outlineLevel="0" collapsed="false">
      <c r="A32" s="44" t="s">
        <v>20</v>
      </c>
      <c r="B32" s="44" t="s">
        <v>44</v>
      </c>
      <c r="C32" s="44" t="s">
        <v>162</v>
      </c>
      <c r="D32" s="61" t="n">
        <f aca="false">'CUSTOS MENSAIS'!F1364</f>
        <v>0</v>
      </c>
    </row>
    <row r="33" customFormat="false" ht="15" hidden="false" customHeight="true" outlineLevel="0" collapsed="false">
      <c r="A33" s="45" t="s">
        <v>20</v>
      </c>
      <c r="B33" s="45" t="s">
        <v>44</v>
      </c>
      <c r="C33" s="45" t="s">
        <v>192</v>
      </c>
      <c r="D33" s="62" t="n">
        <f aca="false">'CUSTOS MENSAIS'!F1365</f>
        <v>130589.439786667</v>
      </c>
    </row>
    <row r="34" customFormat="false" ht="15" hidden="false" customHeight="true" outlineLevel="0" collapsed="false">
      <c r="A34" s="44" t="s">
        <v>20</v>
      </c>
      <c r="B34" s="44" t="s">
        <v>295</v>
      </c>
      <c r="C34" s="44" t="s">
        <v>193</v>
      </c>
      <c r="D34" s="61" t="n">
        <f aca="false">'CUSTOS MENSAIS'!F1366</f>
        <v>700</v>
      </c>
    </row>
    <row r="35" customFormat="false" ht="15" hidden="false" customHeight="true" outlineLevel="0" collapsed="false">
      <c r="A35" s="45" t="s">
        <v>20</v>
      </c>
      <c r="B35" s="45" t="s">
        <v>295</v>
      </c>
      <c r="C35" s="45" t="s">
        <v>194</v>
      </c>
      <c r="D35" s="62" t="n">
        <f aca="false">'CUSTOS MENSAIS'!F1367</f>
        <v>128.96</v>
      </c>
    </row>
    <row r="36" customFormat="false" ht="15" hidden="false" customHeight="true" outlineLevel="0" collapsed="false">
      <c r="A36" s="44" t="s">
        <v>20</v>
      </c>
      <c r="B36" s="44" t="s">
        <v>295</v>
      </c>
      <c r="C36" s="44" t="s">
        <v>195</v>
      </c>
      <c r="D36" s="61" t="n">
        <f aca="false">'CUSTOS MENSAIS'!F1368</f>
        <v>26.65</v>
      </c>
    </row>
    <row r="37" customFormat="false" ht="15" hidden="false" customHeight="true" outlineLevel="0" collapsed="false">
      <c r="A37" s="45" t="s">
        <v>20</v>
      </c>
      <c r="B37" s="45" t="s">
        <v>297</v>
      </c>
      <c r="C37" s="45" t="s">
        <v>196</v>
      </c>
      <c r="D37" s="62" t="n">
        <f aca="false">'CUSTOS MENSAIS'!F1369</f>
        <v>21454</v>
      </c>
    </row>
    <row r="38" customFormat="false" ht="15" hidden="false" customHeight="true" outlineLevel="0" collapsed="false">
      <c r="A38" s="44" t="s">
        <v>20</v>
      </c>
      <c r="B38" s="44" t="s">
        <v>294</v>
      </c>
      <c r="C38" s="44" t="s">
        <v>160</v>
      </c>
      <c r="D38" s="61" t="n">
        <f aca="false">'CUSTOS MENSAIS'!F1370</f>
        <v>178.44</v>
      </c>
    </row>
    <row r="39" customFormat="false" ht="15" hidden="false" customHeight="true" outlineLevel="0" collapsed="false">
      <c r="A39" s="45" t="s">
        <v>20</v>
      </c>
      <c r="B39" s="45" t="s">
        <v>294</v>
      </c>
      <c r="C39" s="45" t="s">
        <v>161</v>
      </c>
      <c r="D39" s="62" t="n">
        <f aca="false">'CUSTOS MENSAIS'!F1371</f>
        <v>261.24</v>
      </c>
    </row>
    <row r="40" customFormat="false" ht="15" hidden="false" customHeight="true" outlineLevel="0" collapsed="false">
      <c r="A40" s="44" t="s">
        <v>20</v>
      </c>
      <c r="B40" s="44" t="s">
        <v>289</v>
      </c>
      <c r="C40" s="44" t="s">
        <v>197</v>
      </c>
      <c r="D40" s="61" t="n">
        <f aca="false">'CUSTOS MENSAIS'!F1372</f>
        <v>285.96</v>
      </c>
    </row>
    <row r="41" customFormat="false" ht="15" hidden="false" customHeight="true" outlineLevel="0" collapsed="false">
      <c r="A41" s="45" t="s">
        <v>20</v>
      </c>
      <c r="B41" s="45" t="s">
        <v>318</v>
      </c>
      <c r="C41" s="45" t="s">
        <v>198</v>
      </c>
      <c r="D41" s="62" t="n">
        <f aca="false">'CUSTOS MENSAIS'!F1373</f>
        <v>89.22</v>
      </c>
    </row>
    <row r="42" customFormat="false" ht="15" hidden="false" customHeight="true" outlineLevel="0" collapsed="false">
      <c r="A42" s="44" t="s">
        <v>20</v>
      </c>
      <c r="B42" s="44" t="s">
        <v>318</v>
      </c>
      <c r="C42" s="44" t="s">
        <v>199</v>
      </c>
      <c r="D42" s="61" t="n">
        <f aca="false">'CUSTOS MENSAIS'!F1374</f>
        <v>130.62</v>
      </c>
    </row>
    <row r="43" customFormat="false" ht="15" hidden="false" customHeight="true" outlineLevel="0" collapsed="false">
      <c r="A43" s="45" t="s">
        <v>20</v>
      </c>
      <c r="B43" s="45" t="s">
        <v>318</v>
      </c>
      <c r="C43" s="45" t="s">
        <v>200</v>
      </c>
      <c r="D43" s="62" t="n">
        <f aca="false">'CUSTOS MENSAIS'!F1375</f>
        <v>142.98</v>
      </c>
    </row>
    <row r="44" customFormat="false" ht="15" hidden="false" customHeight="true" outlineLevel="0" collapsed="false">
      <c r="A44" s="44" t="s">
        <v>20</v>
      </c>
      <c r="B44" s="44" t="s">
        <v>318</v>
      </c>
      <c r="C44" s="44" t="s">
        <v>201</v>
      </c>
      <c r="D44" s="61" t="n">
        <f aca="false">'CUSTOS MENSAIS'!F1376</f>
        <v>386.62</v>
      </c>
    </row>
    <row r="45" customFormat="false" ht="15" hidden="false" customHeight="true" outlineLevel="0" collapsed="false">
      <c r="A45" s="63" t="s">
        <v>20</v>
      </c>
      <c r="B45" s="63"/>
      <c r="C45" s="63" t="s">
        <v>380</v>
      </c>
      <c r="D45" s="64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5" t="s">
        <v>381</v>
      </c>
      <c r="B48" s="65"/>
      <c r="C48" s="65"/>
      <c r="D48" s="65"/>
      <c r="E48" s="65"/>
      <c r="F48" s="65"/>
    </row>
    <row r="49" customFormat="false" ht="15" hidden="false" customHeight="true" outlineLevel="0" collapsed="false">
      <c r="A49" s="66" t="s">
        <v>9</v>
      </c>
      <c r="B49" s="66" t="s">
        <v>382</v>
      </c>
      <c r="C49" s="66" t="s">
        <v>383</v>
      </c>
      <c r="D49" s="66" t="s">
        <v>384</v>
      </c>
      <c r="E49" s="66" t="s">
        <v>385</v>
      </c>
      <c r="F49" s="66" t="s">
        <v>386</v>
      </c>
    </row>
    <row r="50" customFormat="false" ht="15" hidden="false" customHeight="true" outlineLevel="0" collapsed="false">
      <c r="A50" s="44" t="s">
        <v>11</v>
      </c>
      <c r="B50" s="44" t="n">
        <v>4</v>
      </c>
      <c r="C50" s="44" t="n">
        <v>184</v>
      </c>
      <c r="D50" s="61" t="n">
        <v>395977.23</v>
      </c>
      <c r="E50" s="61" t="n">
        <f aca="false">SETORES!$D$65</f>
        <v>143614.95804</v>
      </c>
      <c r="F50" s="61" t="n">
        <f aca="false">IFERROR(E50/C50,0)</f>
        <v>780.516076304348</v>
      </c>
    </row>
    <row r="51" customFormat="false" ht="14.25" hidden="false" customHeight="true" outlineLevel="0" collapsed="false">
      <c r="A51" s="45" t="s">
        <v>20</v>
      </c>
      <c r="B51" s="45" t="n">
        <v>4</v>
      </c>
      <c r="C51" s="45" t="n">
        <v>144</v>
      </c>
      <c r="D51" s="62" t="n">
        <v>369202.82</v>
      </c>
      <c r="E51" s="62" t="n">
        <f aca="false">SETORES!$D$19</f>
        <v>53576.6036</v>
      </c>
      <c r="F51" s="62" t="n">
        <f aca="false">IFERROR(E51/C51,0)</f>
        <v>372.059747222222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5" t="s">
        <v>387</v>
      </c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</row>
    <row r="54" customFormat="false" ht="14.25" hidden="false" customHeight="true" outlineLevel="0" collapsed="false">
      <c r="A54" s="66" t="s">
        <v>9</v>
      </c>
      <c r="B54" s="66" t="s">
        <v>388</v>
      </c>
      <c r="C54" s="66" t="s">
        <v>389</v>
      </c>
      <c r="D54" s="66" t="s">
        <v>390</v>
      </c>
      <c r="E54" s="66" t="s">
        <v>391</v>
      </c>
      <c r="F54" s="66" t="s">
        <v>392</v>
      </c>
      <c r="G54" s="67" t="s">
        <v>393</v>
      </c>
      <c r="H54" s="67" t="s">
        <v>394</v>
      </c>
      <c r="I54" s="66" t="s">
        <v>395</v>
      </c>
      <c r="J54" s="66" t="s">
        <v>396</v>
      </c>
      <c r="K54" s="66" t="s">
        <v>397</v>
      </c>
      <c r="L54" s="66" t="s">
        <v>398</v>
      </c>
      <c r="M54" s="66" t="s">
        <v>375</v>
      </c>
      <c r="O54" s="1" t="s">
        <v>399</v>
      </c>
    </row>
    <row r="55" customFormat="false" ht="14.25" hidden="false" customHeight="true" outlineLevel="0" collapsed="false">
      <c r="A55" s="44" t="s">
        <v>11</v>
      </c>
      <c r="B55" s="44" t="s">
        <v>400</v>
      </c>
      <c r="C55" s="44" t="n">
        <v>48</v>
      </c>
      <c r="D55" s="61" t="n">
        <v>6854.1</v>
      </c>
      <c r="E55" s="61" t="n">
        <v>1028.11</v>
      </c>
      <c r="F55" s="61" t="n">
        <v>1631.07</v>
      </c>
      <c r="G55" s="61" t="n">
        <v>301240</v>
      </c>
      <c r="H55" s="61" t="n">
        <v>30000</v>
      </c>
      <c r="I55" s="61" t="n">
        <f aca="false">D55+G55+H55</f>
        <v>338094.1</v>
      </c>
      <c r="J55" s="61" t="n">
        <v>242.09</v>
      </c>
      <c r="K55" s="61" t="n">
        <v>13541.11</v>
      </c>
      <c r="L55" s="68" t="n">
        <f aca="false">K55+E55+F55+J55</f>
        <v>16442.38</v>
      </c>
      <c r="M55" s="68" t="n">
        <f aca="false">IFERROR(L55/C55,0)</f>
        <v>342.549583333333</v>
      </c>
    </row>
    <row r="56" customFormat="false" ht="14.25" hidden="false" customHeight="true" outlineLevel="0" collapsed="false">
      <c r="A56" s="45" t="s">
        <v>11</v>
      </c>
      <c r="B56" s="45" t="s">
        <v>401</v>
      </c>
      <c r="C56" s="45" t="n">
        <v>43</v>
      </c>
      <c r="D56" s="62" t="n">
        <v>6244.2</v>
      </c>
      <c r="E56" s="62" t="n">
        <v>936.63</v>
      </c>
      <c r="F56" s="62" t="n">
        <v>1561.07</v>
      </c>
      <c r="G56" s="62" t="n">
        <v>5900</v>
      </c>
      <c r="H56" s="62" t="n">
        <v>0</v>
      </c>
      <c r="I56" s="62" t="n">
        <f aca="false">D56+G56+H56</f>
        <v>12144.2</v>
      </c>
      <c r="J56" s="62" t="n">
        <v>1590</v>
      </c>
      <c r="K56" s="62" t="n">
        <v>10750.53</v>
      </c>
      <c r="L56" s="68" t="n">
        <f aca="false">K56+E56+F56+J56</f>
        <v>14838.23</v>
      </c>
      <c r="M56" s="68" t="n">
        <f aca="false">IFERROR(L56/C56,0)</f>
        <v>345.07511627907</v>
      </c>
    </row>
    <row r="57" customFormat="false" ht="14.25" hidden="false" customHeight="true" outlineLevel="0" collapsed="false">
      <c r="A57" s="44" t="s">
        <v>11</v>
      </c>
      <c r="B57" s="44" t="s">
        <v>402</v>
      </c>
      <c r="C57" s="44" t="n">
        <v>53</v>
      </c>
      <c r="D57" s="61" t="n">
        <v>14873.8</v>
      </c>
      <c r="E57" s="61" t="n">
        <v>2231.07</v>
      </c>
      <c r="F57" s="61" t="n">
        <v>2480.97</v>
      </c>
      <c r="G57" s="61" t="n">
        <v>10359.7</v>
      </c>
      <c r="H57" s="61" t="n">
        <v>0</v>
      </c>
      <c r="I57" s="61" t="n">
        <f aca="false">D57+G57+H57</f>
        <v>25233.5</v>
      </c>
      <c r="J57" s="61"/>
      <c r="K57" s="61" t="n">
        <v>17898.88</v>
      </c>
      <c r="L57" s="68" t="n">
        <f aca="false">K57+E57+F57+J57</f>
        <v>22610.92</v>
      </c>
      <c r="M57" s="68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4" t="s">
        <v>20</v>
      </c>
      <c r="B59" s="44" t="s">
        <v>400</v>
      </c>
      <c r="C59" s="44" t="n">
        <v>37</v>
      </c>
      <c r="D59" s="61" t="n">
        <v>4936</v>
      </c>
      <c r="E59" s="61" t="n">
        <v>740.4</v>
      </c>
      <c r="F59" s="61" t="n">
        <v>1234</v>
      </c>
      <c r="G59" s="61" t="n">
        <v>297690</v>
      </c>
      <c r="H59" s="61" t="n">
        <v>22859.4</v>
      </c>
      <c r="I59" s="61" t="n">
        <f aca="false">D59+G59+H59</f>
        <v>325485.4</v>
      </c>
      <c r="J59" s="61" t="n">
        <v>126.47</v>
      </c>
      <c r="K59" s="61" t="n">
        <v>10908.52</v>
      </c>
      <c r="L59" s="67" t="n">
        <f aca="false">K59+E59+F59+J59</f>
        <v>13009.39</v>
      </c>
      <c r="M59" s="68" t="n">
        <f aca="false">IFERROR(L59/C59,0)</f>
        <v>351.605135135135</v>
      </c>
      <c r="N59" s="68"/>
      <c r="O59" s="1" t="n">
        <v>25</v>
      </c>
    </row>
    <row r="60" customFormat="false" ht="14.25" hidden="false" customHeight="true" outlineLevel="0" collapsed="false">
      <c r="A60" s="45" t="s">
        <v>20</v>
      </c>
      <c r="B60" s="45" t="s">
        <v>401</v>
      </c>
      <c r="C60" s="45" t="n">
        <v>35</v>
      </c>
      <c r="D60" s="62" t="n">
        <v>5285.89</v>
      </c>
      <c r="E60" s="62" t="n">
        <v>792.88</v>
      </c>
      <c r="F60" s="62" t="n">
        <v>1321.27</v>
      </c>
      <c r="G60" s="62" t="n">
        <v>2900</v>
      </c>
      <c r="H60" s="62" t="n">
        <v>0</v>
      </c>
      <c r="I60" s="62" t="n">
        <f aca="false">D60+G60+H60</f>
        <v>8185.89</v>
      </c>
      <c r="J60" s="62" t="n">
        <v>2083.99</v>
      </c>
      <c r="K60" s="62" t="n">
        <v>7395.12</v>
      </c>
      <c r="L60" s="67" t="n">
        <f aca="false">K60+E60+F60+J60</f>
        <v>11593.26</v>
      </c>
      <c r="M60" s="68" t="n">
        <f aca="false">IFERROR(L60/C60,0)</f>
        <v>331.236</v>
      </c>
      <c r="N60" s="68"/>
      <c r="O60" s="1" t="n">
        <v>2</v>
      </c>
    </row>
    <row r="61" customFormat="false" ht="14.25" hidden="false" customHeight="true" outlineLevel="0" collapsed="false">
      <c r="A61" s="44" t="s">
        <v>20</v>
      </c>
      <c r="B61" s="44" t="s">
        <v>402</v>
      </c>
      <c r="C61" s="44" t="n">
        <v>30</v>
      </c>
      <c r="D61" s="61" t="n">
        <v>5866.4</v>
      </c>
      <c r="E61" s="61" t="n">
        <v>879.96</v>
      </c>
      <c r="F61" s="61" t="n">
        <v>1196.6</v>
      </c>
      <c r="G61" s="61" t="n">
        <v>8959.7</v>
      </c>
      <c r="H61" s="61" t="n">
        <v>0</v>
      </c>
      <c r="I61" s="61" t="n">
        <f aca="false">D61+G61+H61</f>
        <v>14826.1</v>
      </c>
      <c r="J61" s="61" t="n">
        <v>233.47</v>
      </c>
      <c r="K61" s="61" t="n">
        <v>9283.74</v>
      </c>
      <c r="L61" s="67" t="n">
        <f aca="false">K61+E61+F61+J61</f>
        <v>11593.77</v>
      </c>
      <c r="M61" s="68" t="n">
        <f aca="false">IFERROR(L61/C61,0)</f>
        <v>386.459</v>
      </c>
      <c r="N61" s="68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9" t="n">
        <f aca="false">SUM(D59:D61)</f>
        <v>16088.29</v>
      </c>
      <c r="E62" s="69" t="n">
        <f aca="false">SUM(E59:E61)</f>
        <v>2413.24</v>
      </c>
      <c r="F62" s="69" t="n">
        <f aca="false">SUM(F59:F61)</f>
        <v>3751.87</v>
      </c>
      <c r="G62" s="69" t="n">
        <f aca="false">SUM(G59:G61)</f>
        <v>309549.7</v>
      </c>
      <c r="H62" s="69" t="n">
        <f aca="false">SUM(H59:H61)</f>
        <v>22859.4</v>
      </c>
      <c r="I62" s="69" t="n">
        <f aca="false">SUM(I59:I61)</f>
        <v>348497.39</v>
      </c>
      <c r="J62" s="69" t="n">
        <f aca="false">SUM(J59:J61)</f>
        <v>2443.93</v>
      </c>
      <c r="K62" s="69" t="n">
        <f aca="false">SUM(K59:K61)</f>
        <v>27587.38</v>
      </c>
      <c r="L62" s="67" t="n">
        <f aca="false">SUM(L59:L61)</f>
        <v>36196.42</v>
      </c>
      <c r="M62" s="68" t="n">
        <f aca="false">IFERROR(L62/C62,0)</f>
        <v>354.866862745098</v>
      </c>
      <c r="N62" s="68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0" t="s">
        <v>403</v>
      </c>
    </row>
    <row r="2" customFormat="false" ht="15" hidden="false" customHeight="true" outlineLevel="0" collapsed="false">
      <c r="A2" s="71" t="s">
        <v>404</v>
      </c>
    </row>
    <row r="4" customFormat="false" ht="15" hidden="false" customHeight="true" outlineLevel="0" collapsed="false">
      <c r="A4" s="72" t="s">
        <v>9</v>
      </c>
      <c r="B4" s="72" t="s">
        <v>24</v>
      </c>
      <c r="C4" s="72" t="s">
        <v>144</v>
      </c>
      <c r="D4" s="72" t="s">
        <v>3</v>
      </c>
      <c r="E4" s="72" t="s">
        <v>145</v>
      </c>
      <c r="F4" s="72" t="s">
        <v>146</v>
      </c>
      <c r="G4" s="72" t="s">
        <v>405</v>
      </c>
      <c r="H4" s="72" t="s">
        <v>406</v>
      </c>
    </row>
    <row r="5" customFormat="false" ht="15" hidden="false" customHeight="true" outlineLevel="0" collapsed="false">
      <c r="A5" s="1" t="s">
        <v>407</v>
      </c>
      <c r="B5" s="1" t="s">
        <v>408</v>
      </c>
      <c r="C5" s="1" t="s">
        <v>409</v>
      </c>
      <c r="D5" s="1" t="s">
        <v>279</v>
      </c>
      <c r="E5" s="73" t="n">
        <v>13402</v>
      </c>
      <c r="F5" s="26" t="n">
        <v>0.187098400414136</v>
      </c>
      <c r="G5" s="26" t="n">
        <v>2507.49276235025</v>
      </c>
      <c r="H5" s="1" t="s">
        <v>410</v>
      </c>
    </row>
    <row r="6" customFormat="false" ht="15" hidden="false" customHeight="true" outlineLevel="0" collapsed="false">
      <c r="A6" s="1" t="s">
        <v>407</v>
      </c>
      <c r="B6" s="1" t="s">
        <v>411</v>
      </c>
      <c r="C6" s="1" t="s">
        <v>86</v>
      </c>
      <c r="D6" s="1" t="s">
        <v>279</v>
      </c>
      <c r="E6" s="73" t="n">
        <v>13402</v>
      </c>
      <c r="F6" s="26" t="n">
        <v>0.208713221370437</v>
      </c>
      <c r="G6" s="26" t="n">
        <v>2797.1745928066</v>
      </c>
      <c r="H6" s="1" t="s">
        <v>410</v>
      </c>
    </row>
    <row r="7" customFormat="false" ht="15" hidden="false" customHeight="true" outlineLevel="0" collapsed="false">
      <c r="A7" s="1" t="s">
        <v>407</v>
      </c>
      <c r="B7" s="1" t="s">
        <v>412</v>
      </c>
      <c r="C7" s="1" t="s">
        <v>413</v>
      </c>
      <c r="D7" s="1" t="s">
        <v>277</v>
      </c>
      <c r="E7" s="73" t="n">
        <v>0</v>
      </c>
      <c r="F7" s="26" t="n">
        <v>0</v>
      </c>
      <c r="G7" s="26" t="n">
        <v>0</v>
      </c>
      <c r="H7" s="1" t="s">
        <v>414</v>
      </c>
    </row>
    <row r="8" customFormat="false" ht="15" hidden="false" customHeight="true" outlineLevel="0" collapsed="false">
      <c r="A8" s="1" t="s">
        <v>407</v>
      </c>
      <c r="B8" s="1" t="s">
        <v>412</v>
      </c>
      <c r="C8" s="1" t="s">
        <v>415</v>
      </c>
      <c r="D8" s="1" t="s">
        <v>277</v>
      </c>
      <c r="E8" s="73" t="n">
        <v>16</v>
      </c>
      <c r="F8" s="26" t="n">
        <v>2.85</v>
      </c>
      <c r="G8" s="26" t="n">
        <v>45.6</v>
      </c>
      <c r="H8" s="1" t="s">
        <v>416</v>
      </c>
    </row>
    <row r="9" customFormat="false" ht="15" hidden="false" customHeight="true" outlineLevel="0" collapsed="false">
      <c r="A9" s="1" t="s">
        <v>407</v>
      </c>
      <c r="B9" s="1" t="s">
        <v>412</v>
      </c>
      <c r="C9" s="1" t="s">
        <v>413</v>
      </c>
      <c r="D9" s="1" t="s">
        <v>279</v>
      </c>
      <c r="E9" s="73" t="n">
        <v>0</v>
      </c>
      <c r="F9" s="26" t="n">
        <v>0</v>
      </c>
      <c r="G9" s="26" t="n">
        <v>0</v>
      </c>
      <c r="H9" s="1" t="s">
        <v>417</v>
      </c>
    </row>
    <row r="10" customFormat="false" ht="15" hidden="false" customHeight="true" outlineLevel="0" collapsed="false">
      <c r="A10" s="1" t="s">
        <v>407</v>
      </c>
      <c r="B10" s="1" t="s">
        <v>412</v>
      </c>
      <c r="C10" s="1" t="s">
        <v>418</v>
      </c>
      <c r="D10" s="1" t="s">
        <v>279</v>
      </c>
      <c r="E10" s="73" t="n">
        <v>0</v>
      </c>
      <c r="F10" s="26" t="n">
        <v>0</v>
      </c>
      <c r="G10" s="26" t="n">
        <v>0</v>
      </c>
      <c r="H10" s="1" t="s">
        <v>419</v>
      </c>
    </row>
    <row r="11" customFormat="false" ht="15" hidden="false" customHeight="true" outlineLevel="0" collapsed="false">
      <c r="A11" s="1" t="s">
        <v>407</v>
      </c>
      <c r="B11" s="1" t="s">
        <v>412</v>
      </c>
      <c r="C11" s="1" t="s">
        <v>413</v>
      </c>
      <c r="D11" s="1" t="s">
        <v>283</v>
      </c>
      <c r="E11" s="73" t="n">
        <v>0</v>
      </c>
      <c r="F11" s="26" t="n">
        <v>0</v>
      </c>
      <c r="G11" s="26" t="n">
        <v>0</v>
      </c>
      <c r="H11" s="1" t="s">
        <v>417</v>
      </c>
    </row>
    <row r="12" customFormat="false" ht="15" hidden="false" customHeight="true" outlineLevel="0" collapsed="false">
      <c r="A12" s="1" t="s">
        <v>407</v>
      </c>
      <c r="B12" s="1" t="s">
        <v>412</v>
      </c>
      <c r="C12" s="1" t="s">
        <v>415</v>
      </c>
      <c r="D12" s="1" t="s">
        <v>283</v>
      </c>
      <c r="E12" s="73" t="n">
        <v>10</v>
      </c>
      <c r="F12" s="26" t="n">
        <v>2.85</v>
      </c>
      <c r="G12" s="26" t="n">
        <v>28.5</v>
      </c>
      <c r="H12" s="1" t="s">
        <v>416</v>
      </c>
    </row>
    <row r="13" customFormat="false" ht="15" hidden="false" customHeight="true" outlineLevel="0" collapsed="false">
      <c r="A13" s="1" t="s">
        <v>407</v>
      </c>
      <c r="B13" s="1" t="s">
        <v>412</v>
      </c>
      <c r="C13" s="1" t="s">
        <v>413</v>
      </c>
      <c r="D13" s="1" t="s">
        <v>280</v>
      </c>
      <c r="E13" s="73" t="n">
        <v>0</v>
      </c>
      <c r="F13" s="26" t="n">
        <v>0</v>
      </c>
      <c r="G13" s="26" t="n">
        <v>0</v>
      </c>
      <c r="H13" s="1" t="s">
        <v>414</v>
      </c>
    </row>
    <row r="14" customFormat="false" ht="15" hidden="false" customHeight="true" outlineLevel="0" collapsed="false">
      <c r="A14" s="1" t="s">
        <v>407</v>
      </c>
      <c r="B14" s="1" t="s">
        <v>412</v>
      </c>
      <c r="C14" s="1" t="s">
        <v>415</v>
      </c>
      <c r="D14" s="1" t="s">
        <v>280</v>
      </c>
      <c r="E14" s="73" t="n">
        <v>0</v>
      </c>
      <c r="F14" s="26" t="n">
        <v>0</v>
      </c>
      <c r="G14" s="26" t="n">
        <v>0</v>
      </c>
      <c r="H14" s="1" t="s">
        <v>420</v>
      </c>
    </row>
    <row r="15" customFormat="false" ht="15" hidden="false" customHeight="true" outlineLevel="0" collapsed="false">
      <c r="A15" s="1" t="s">
        <v>407</v>
      </c>
      <c r="B15" s="1" t="s">
        <v>412</v>
      </c>
      <c r="C15" s="1" t="s">
        <v>413</v>
      </c>
      <c r="D15" s="1" t="s">
        <v>274</v>
      </c>
      <c r="E15" s="73" t="n">
        <v>0</v>
      </c>
      <c r="F15" s="26" t="n">
        <v>0</v>
      </c>
      <c r="G15" s="26" t="n">
        <v>0</v>
      </c>
      <c r="H15" s="1" t="s">
        <v>421</v>
      </c>
    </row>
    <row r="16" customFormat="false" ht="15" hidden="false" customHeight="true" outlineLevel="0" collapsed="false">
      <c r="A16" s="1" t="s">
        <v>407</v>
      </c>
      <c r="B16" s="1" t="s">
        <v>412</v>
      </c>
      <c r="C16" s="1" t="s">
        <v>415</v>
      </c>
      <c r="D16" s="1" t="s">
        <v>274</v>
      </c>
      <c r="E16" s="73" t="n">
        <v>20</v>
      </c>
      <c r="F16" s="26" t="n">
        <v>2.85</v>
      </c>
      <c r="G16" s="26" t="n">
        <v>57</v>
      </c>
      <c r="H16" s="1" t="s">
        <v>416</v>
      </c>
    </row>
    <row r="17" customFormat="false" ht="15" hidden="false" customHeight="true" outlineLevel="0" collapsed="false">
      <c r="A17" s="1" t="s">
        <v>407</v>
      </c>
      <c r="B17" s="1" t="s">
        <v>412</v>
      </c>
      <c r="C17" s="1" t="s">
        <v>413</v>
      </c>
      <c r="D17" s="1" t="s">
        <v>275</v>
      </c>
      <c r="E17" s="73" t="n">
        <v>0</v>
      </c>
      <c r="F17" s="26" t="n">
        <v>0</v>
      </c>
      <c r="G17" s="26" t="n">
        <v>0</v>
      </c>
      <c r="H17" s="1" t="s">
        <v>417</v>
      </c>
    </row>
    <row r="18" customFormat="false" ht="15" hidden="false" customHeight="true" outlineLevel="0" collapsed="false">
      <c r="A18" s="1" t="s">
        <v>407</v>
      </c>
      <c r="B18" s="1" t="s">
        <v>412</v>
      </c>
      <c r="C18" s="1" t="s">
        <v>413</v>
      </c>
      <c r="D18" s="1" t="s">
        <v>275</v>
      </c>
      <c r="E18" s="73" t="n">
        <v>0</v>
      </c>
      <c r="F18" s="26" t="n">
        <v>0</v>
      </c>
      <c r="G18" s="26" t="n">
        <v>0</v>
      </c>
      <c r="H18" s="1" t="s">
        <v>422</v>
      </c>
    </row>
    <row r="19" customFormat="false" ht="15" hidden="false" customHeight="true" outlineLevel="0" collapsed="false">
      <c r="A19" s="1" t="s">
        <v>407</v>
      </c>
      <c r="B19" s="1" t="s">
        <v>78</v>
      </c>
      <c r="C19" s="1" t="s">
        <v>423</v>
      </c>
      <c r="D19" s="1" t="s">
        <v>283</v>
      </c>
      <c r="E19" s="73" t="n">
        <v>3650</v>
      </c>
      <c r="F19" s="26" t="n">
        <v>0.457702446918301</v>
      </c>
      <c r="G19" s="26" t="n">
        <v>1670.6139312518</v>
      </c>
      <c r="H19" s="1" t="s">
        <v>410</v>
      </c>
    </row>
    <row r="20" customFormat="false" ht="15" hidden="false" customHeight="true" outlineLevel="0" collapsed="false">
      <c r="A20" s="1" t="s">
        <v>407</v>
      </c>
      <c r="B20" s="1" t="s">
        <v>78</v>
      </c>
      <c r="C20" s="1" t="s">
        <v>423</v>
      </c>
      <c r="D20" s="1" t="s">
        <v>280</v>
      </c>
      <c r="E20" s="73" t="n">
        <v>6396</v>
      </c>
      <c r="F20" s="26" t="n">
        <v>0.457702446918301</v>
      </c>
      <c r="G20" s="26" t="n">
        <v>2927.46485048945</v>
      </c>
      <c r="H20" s="1" t="s">
        <v>410</v>
      </c>
    </row>
    <row r="21" customFormat="false" ht="15" hidden="false" customHeight="true" outlineLevel="0" collapsed="false">
      <c r="A21" s="1" t="s">
        <v>407</v>
      </c>
      <c r="B21" s="1" t="s">
        <v>78</v>
      </c>
      <c r="C21" s="1" t="s">
        <v>423</v>
      </c>
      <c r="D21" s="1" t="s">
        <v>274</v>
      </c>
      <c r="E21" s="73" t="n">
        <v>14331</v>
      </c>
      <c r="F21" s="26" t="n">
        <v>0.457702446918301</v>
      </c>
      <c r="G21" s="26" t="n">
        <v>6559.33376678617</v>
      </c>
      <c r="H21" s="1" t="s">
        <v>410</v>
      </c>
    </row>
    <row r="22" customFormat="false" ht="15" hidden="false" customHeight="true" outlineLevel="0" collapsed="false">
      <c r="A22" s="1" t="s">
        <v>407</v>
      </c>
      <c r="B22" s="1" t="s">
        <v>78</v>
      </c>
      <c r="C22" s="1" t="s">
        <v>423</v>
      </c>
      <c r="D22" s="1" t="s">
        <v>272</v>
      </c>
      <c r="E22" s="73" t="n">
        <v>4782</v>
      </c>
      <c r="F22" s="26" t="n">
        <v>0.457702446918301</v>
      </c>
      <c r="G22" s="26" t="n">
        <v>2188.73310116332</v>
      </c>
      <c r="H22" s="1" t="s">
        <v>410</v>
      </c>
    </row>
    <row r="23" customFormat="false" ht="15" hidden="false" customHeight="true" outlineLevel="0" collapsed="false">
      <c r="A23" s="1" t="s">
        <v>407</v>
      </c>
      <c r="B23" s="1" t="s">
        <v>424</v>
      </c>
      <c r="C23" s="1" t="s">
        <v>425</v>
      </c>
      <c r="D23" s="1" t="s">
        <v>265</v>
      </c>
      <c r="E23" s="73" t="n">
        <v>6246</v>
      </c>
      <c r="F23" s="26" t="n">
        <v>1.86</v>
      </c>
      <c r="G23" s="26" t="n">
        <v>11617.56</v>
      </c>
      <c r="H23" s="1" t="s">
        <v>426</v>
      </c>
    </row>
    <row r="24" customFormat="false" ht="15" hidden="false" customHeight="true" outlineLevel="0" collapsed="false">
      <c r="A24" s="1" t="s">
        <v>407</v>
      </c>
      <c r="B24" s="1" t="s">
        <v>424</v>
      </c>
      <c r="C24" s="1" t="s">
        <v>425</v>
      </c>
      <c r="D24" s="1" t="s">
        <v>277</v>
      </c>
      <c r="E24" s="73" t="n">
        <v>296</v>
      </c>
      <c r="F24" s="26" t="n">
        <v>1.86</v>
      </c>
      <c r="G24" s="26" t="n">
        <v>550.56</v>
      </c>
      <c r="H24" s="1" t="s">
        <v>426</v>
      </c>
    </row>
    <row r="25" customFormat="false" ht="15" hidden="false" customHeight="true" outlineLevel="0" collapsed="false">
      <c r="A25" s="1" t="s">
        <v>407</v>
      </c>
      <c r="B25" s="1" t="s">
        <v>424</v>
      </c>
      <c r="C25" s="1" t="s">
        <v>427</v>
      </c>
      <c r="D25" s="1" t="s">
        <v>277</v>
      </c>
      <c r="E25" s="73" t="n">
        <v>2</v>
      </c>
      <c r="F25" s="26" t="n">
        <v>383.56</v>
      </c>
      <c r="G25" s="26" t="n">
        <v>767.12</v>
      </c>
      <c r="H25" s="1" t="s">
        <v>428</v>
      </c>
    </row>
    <row r="26" customFormat="false" ht="15" hidden="false" customHeight="true" outlineLevel="0" collapsed="false">
      <c r="A26" s="1" t="s">
        <v>407</v>
      </c>
      <c r="B26" s="1" t="s">
        <v>424</v>
      </c>
      <c r="C26" s="1" t="s">
        <v>429</v>
      </c>
      <c r="D26" s="1" t="s">
        <v>277</v>
      </c>
      <c r="E26" s="73" t="n">
        <v>0</v>
      </c>
      <c r="F26" s="26" t="n">
        <v>0</v>
      </c>
      <c r="G26" s="26" t="n">
        <v>0</v>
      </c>
      <c r="H26" s="1" t="s">
        <v>430</v>
      </c>
    </row>
    <row r="27" customFormat="false" ht="15" hidden="false" customHeight="true" outlineLevel="0" collapsed="false">
      <c r="A27" s="1" t="s">
        <v>407</v>
      </c>
      <c r="B27" s="1" t="s">
        <v>424</v>
      </c>
      <c r="C27" s="1" t="s">
        <v>431</v>
      </c>
      <c r="D27" s="1" t="s">
        <v>277</v>
      </c>
      <c r="E27" s="73" t="n">
        <v>3</v>
      </c>
      <c r="F27" s="26" t="n">
        <v>300.37</v>
      </c>
      <c r="G27" s="26" t="n">
        <v>901.11</v>
      </c>
      <c r="H27" s="1" t="s">
        <v>432</v>
      </c>
    </row>
    <row r="28" customFormat="false" ht="15" hidden="false" customHeight="true" outlineLevel="0" collapsed="false">
      <c r="A28" s="1" t="s">
        <v>407</v>
      </c>
      <c r="B28" s="1" t="s">
        <v>424</v>
      </c>
      <c r="C28" s="1" t="s">
        <v>433</v>
      </c>
      <c r="D28" s="1" t="s">
        <v>277</v>
      </c>
      <c r="E28" s="73" t="n">
        <v>-1</v>
      </c>
      <c r="F28" s="26" t="n">
        <v>812.42</v>
      </c>
      <c r="G28" s="26" t="n">
        <v>-812.42</v>
      </c>
      <c r="H28" s="1" t="s">
        <v>434</v>
      </c>
    </row>
    <row r="29" customFormat="false" ht="15" hidden="false" customHeight="true" outlineLevel="0" collapsed="false">
      <c r="A29" s="1" t="s">
        <v>407</v>
      </c>
      <c r="B29" s="1" t="s">
        <v>424</v>
      </c>
      <c r="C29" s="1" t="s">
        <v>433</v>
      </c>
      <c r="D29" s="1" t="s">
        <v>277</v>
      </c>
      <c r="E29" s="73" t="n">
        <v>-1</v>
      </c>
      <c r="F29" s="26" t="n">
        <v>4015.98</v>
      </c>
      <c r="G29" s="26" t="n">
        <v>-4015.98</v>
      </c>
      <c r="H29" s="1" t="s">
        <v>435</v>
      </c>
    </row>
    <row r="30" customFormat="false" ht="15" hidden="false" customHeight="true" outlineLevel="0" collapsed="false">
      <c r="A30" s="1" t="s">
        <v>407</v>
      </c>
      <c r="B30" s="1" t="s">
        <v>424</v>
      </c>
      <c r="C30" s="1" t="s">
        <v>436</v>
      </c>
      <c r="D30" s="1" t="s">
        <v>277</v>
      </c>
      <c r="E30" s="73" t="n">
        <v>0</v>
      </c>
      <c r="F30" s="26" t="n">
        <v>0</v>
      </c>
      <c r="G30" s="26" t="n">
        <v>0</v>
      </c>
      <c r="H30" s="1" t="s">
        <v>437</v>
      </c>
    </row>
    <row r="31" customFormat="false" ht="15" hidden="false" customHeight="true" outlineLevel="0" collapsed="false">
      <c r="A31" s="1" t="s">
        <v>407</v>
      </c>
      <c r="B31" s="1" t="s">
        <v>424</v>
      </c>
      <c r="C31" s="1" t="s">
        <v>438</v>
      </c>
      <c r="D31" s="1" t="s">
        <v>277</v>
      </c>
      <c r="E31" s="73" t="n">
        <v>0</v>
      </c>
      <c r="F31" s="26" t="n">
        <v>0</v>
      </c>
      <c r="G31" s="26" t="n">
        <v>0</v>
      </c>
      <c r="H31" s="1" t="s">
        <v>437</v>
      </c>
    </row>
    <row r="32" customFormat="false" ht="15" hidden="false" customHeight="true" outlineLevel="0" collapsed="false">
      <c r="A32" s="1" t="s">
        <v>407</v>
      </c>
      <c r="B32" s="1" t="s">
        <v>424</v>
      </c>
      <c r="C32" s="1" t="s">
        <v>439</v>
      </c>
      <c r="D32" s="1" t="s">
        <v>277</v>
      </c>
      <c r="E32" s="73" t="n">
        <v>0</v>
      </c>
      <c r="F32" s="26" t="n">
        <v>0</v>
      </c>
      <c r="G32" s="26" t="n">
        <v>0</v>
      </c>
      <c r="H32" s="1" t="s">
        <v>437</v>
      </c>
    </row>
    <row r="33" customFormat="false" ht="15" hidden="false" customHeight="true" outlineLevel="0" collapsed="false">
      <c r="A33" s="1" t="s">
        <v>407</v>
      </c>
      <c r="B33" s="1" t="s">
        <v>424</v>
      </c>
      <c r="C33" s="1" t="s">
        <v>440</v>
      </c>
      <c r="D33" s="1" t="s">
        <v>277</v>
      </c>
      <c r="E33" s="73" t="n">
        <v>0</v>
      </c>
      <c r="F33" s="26" t="n">
        <v>0</v>
      </c>
      <c r="G33" s="26" t="n">
        <v>0</v>
      </c>
      <c r="H33" s="1" t="s">
        <v>437</v>
      </c>
    </row>
    <row r="34" customFormat="false" ht="15" hidden="false" customHeight="true" outlineLevel="0" collapsed="false">
      <c r="A34" s="1" t="s">
        <v>407</v>
      </c>
      <c r="B34" s="1" t="s">
        <v>424</v>
      </c>
      <c r="C34" s="1" t="s">
        <v>441</v>
      </c>
      <c r="D34" s="1" t="s">
        <v>277</v>
      </c>
      <c r="E34" s="73" t="n">
        <v>0</v>
      </c>
      <c r="F34" s="26" t="n">
        <v>0</v>
      </c>
      <c r="G34" s="26" t="n">
        <v>0</v>
      </c>
      <c r="H34" s="1" t="s">
        <v>437</v>
      </c>
    </row>
    <row r="35" customFormat="false" ht="15" hidden="false" customHeight="true" outlineLevel="0" collapsed="false">
      <c r="A35" s="1" t="s">
        <v>407</v>
      </c>
      <c r="B35" s="1" t="s">
        <v>424</v>
      </c>
      <c r="C35" s="1" t="s">
        <v>442</v>
      </c>
      <c r="D35" s="1" t="s">
        <v>279</v>
      </c>
      <c r="E35" s="73" t="n">
        <v>1</v>
      </c>
      <c r="F35" s="26" t="n">
        <v>33.5</v>
      </c>
      <c r="G35" s="26" t="n">
        <v>33.5</v>
      </c>
      <c r="H35" s="1" t="s">
        <v>443</v>
      </c>
    </row>
    <row r="36" customFormat="false" ht="15" hidden="false" customHeight="true" outlineLevel="0" collapsed="false">
      <c r="A36" s="1" t="s">
        <v>407</v>
      </c>
      <c r="B36" s="1" t="s">
        <v>424</v>
      </c>
      <c r="C36" s="1" t="s">
        <v>442</v>
      </c>
      <c r="D36" s="1" t="s">
        <v>279</v>
      </c>
      <c r="E36" s="73" t="n">
        <v>1</v>
      </c>
      <c r="F36" s="26" t="n">
        <v>22</v>
      </c>
      <c r="G36" s="26" t="n">
        <v>22</v>
      </c>
      <c r="H36" s="1" t="s">
        <v>444</v>
      </c>
    </row>
    <row r="37" customFormat="false" ht="15" hidden="false" customHeight="true" outlineLevel="0" collapsed="false">
      <c r="A37" s="1" t="s">
        <v>407</v>
      </c>
      <c r="B37" s="1" t="s">
        <v>424</v>
      </c>
      <c r="C37" s="1" t="s">
        <v>425</v>
      </c>
      <c r="D37" s="1" t="s">
        <v>279</v>
      </c>
      <c r="E37" s="73" t="n">
        <v>328</v>
      </c>
      <c r="F37" s="26" t="n">
        <v>1.86</v>
      </c>
      <c r="G37" s="26" t="n">
        <v>610.08</v>
      </c>
      <c r="H37" s="1" t="s">
        <v>426</v>
      </c>
    </row>
    <row r="38" customFormat="false" ht="15" hidden="false" customHeight="true" outlineLevel="0" collapsed="false">
      <c r="A38" s="1" t="s">
        <v>407</v>
      </c>
      <c r="B38" s="1" t="s">
        <v>424</v>
      </c>
      <c r="C38" s="1" t="s">
        <v>427</v>
      </c>
      <c r="D38" s="1" t="s">
        <v>279</v>
      </c>
      <c r="E38" s="73" t="n">
        <v>5</v>
      </c>
      <c r="F38" s="26" t="n">
        <v>383.56</v>
      </c>
      <c r="G38" s="26" t="n">
        <v>1917.8</v>
      </c>
      <c r="H38" s="1" t="s">
        <v>445</v>
      </c>
    </row>
    <row r="39" customFormat="false" ht="15" hidden="false" customHeight="true" outlineLevel="0" collapsed="false">
      <c r="A39" s="1" t="s">
        <v>407</v>
      </c>
      <c r="B39" s="1" t="s">
        <v>424</v>
      </c>
      <c r="C39" s="1" t="s">
        <v>429</v>
      </c>
      <c r="D39" s="1" t="s">
        <v>279</v>
      </c>
      <c r="E39" s="73" t="n">
        <v>1</v>
      </c>
      <c r="F39" s="26" t="n">
        <v>338.53</v>
      </c>
      <c r="G39" s="26" t="n">
        <v>338.53</v>
      </c>
      <c r="H39" s="1" t="s">
        <v>446</v>
      </c>
    </row>
    <row r="40" customFormat="false" ht="15" hidden="false" customHeight="true" outlineLevel="0" collapsed="false">
      <c r="A40" s="1" t="s">
        <v>407</v>
      </c>
      <c r="B40" s="1" t="s">
        <v>424</v>
      </c>
      <c r="C40" s="1" t="s">
        <v>431</v>
      </c>
      <c r="D40" s="1" t="s">
        <v>279</v>
      </c>
      <c r="E40" s="73" t="n">
        <v>1</v>
      </c>
      <c r="F40" s="26" t="n">
        <v>400.26</v>
      </c>
      <c r="G40" s="26" t="n">
        <v>400.26</v>
      </c>
      <c r="H40" s="1" t="s">
        <v>447</v>
      </c>
    </row>
    <row r="41" customFormat="false" ht="15" hidden="false" customHeight="true" outlineLevel="0" collapsed="false">
      <c r="A41" s="1" t="s">
        <v>407</v>
      </c>
      <c r="B41" s="1" t="s">
        <v>424</v>
      </c>
      <c r="C41" s="1" t="s">
        <v>433</v>
      </c>
      <c r="D41" s="1" t="s">
        <v>279</v>
      </c>
      <c r="E41" s="73" t="n">
        <v>1</v>
      </c>
      <c r="F41" s="26" t="n">
        <v>268.13</v>
      </c>
      <c r="G41" s="26" t="n">
        <v>268.13</v>
      </c>
      <c r="H41" s="1" t="s">
        <v>448</v>
      </c>
    </row>
    <row r="42" customFormat="false" ht="15" hidden="false" customHeight="true" outlineLevel="0" collapsed="false">
      <c r="A42" s="1" t="s">
        <v>407</v>
      </c>
      <c r="B42" s="1" t="s">
        <v>424</v>
      </c>
      <c r="C42" s="1" t="s">
        <v>433</v>
      </c>
      <c r="D42" s="1" t="s">
        <v>279</v>
      </c>
      <c r="E42" s="73" t="n">
        <v>52</v>
      </c>
      <c r="F42" s="26" t="n">
        <v>20.06</v>
      </c>
      <c r="G42" s="26" t="n">
        <v>1043.12</v>
      </c>
      <c r="H42" s="1" t="s">
        <v>449</v>
      </c>
    </row>
    <row r="43" customFormat="false" ht="15" hidden="false" customHeight="true" outlineLevel="0" collapsed="false">
      <c r="A43" s="1" t="s">
        <v>407</v>
      </c>
      <c r="B43" s="1" t="s">
        <v>424</v>
      </c>
      <c r="C43" s="1" t="s">
        <v>450</v>
      </c>
      <c r="D43" s="1" t="s">
        <v>279</v>
      </c>
      <c r="E43" s="73" t="n">
        <v>0</v>
      </c>
      <c r="F43" s="26" t="n">
        <v>0</v>
      </c>
      <c r="G43" s="26" t="n">
        <v>0</v>
      </c>
      <c r="H43" s="1" t="s">
        <v>437</v>
      </c>
    </row>
    <row r="44" customFormat="false" ht="15" hidden="false" customHeight="true" outlineLevel="0" collapsed="false">
      <c r="A44" s="1" t="s">
        <v>407</v>
      </c>
      <c r="B44" s="1" t="s">
        <v>424</v>
      </c>
      <c r="C44" s="1" t="s">
        <v>438</v>
      </c>
      <c r="D44" s="1" t="s">
        <v>279</v>
      </c>
      <c r="E44" s="73" t="n">
        <v>1</v>
      </c>
      <c r="F44" s="26" t="n">
        <v>0</v>
      </c>
      <c r="G44" s="26" t="n">
        <v>0</v>
      </c>
      <c r="H44" s="1" t="s">
        <v>437</v>
      </c>
    </row>
    <row r="45" customFormat="false" ht="15" hidden="false" customHeight="true" outlineLevel="0" collapsed="false">
      <c r="A45" s="1" t="s">
        <v>407</v>
      </c>
      <c r="B45" s="1" t="s">
        <v>424</v>
      </c>
      <c r="C45" s="1" t="s">
        <v>451</v>
      </c>
      <c r="D45" s="1" t="s">
        <v>279</v>
      </c>
      <c r="E45" s="73" t="n">
        <v>0</v>
      </c>
      <c r="F45" s="26" t="n">
        <v>0</v>
      </c>
      <c r="G45" s="26" t="n">
        <v>0</v>
      </c>
      <c r="H45" s="1" t="s">
        <v>437</v>
      </c>
    </row>
    <row r="46" customFormat="false" ht="15" hidden="false" customHeight="true" outlineLevel="0" collapsed="false">
      <c r="A46" s="1" t="s">
        <v>407</v>
      </c>
      <c r="B46" s="1" t="s">
        <v>424</v>
      </c>
      <c r="C46" s="1" t="s">
        <v>452</v>
      </c>
      <c r="D46" s="1" t="s">
        <v>279</v>
      </c>
      <c r="E46" s="73" t="n">
        <v>1</v>
      </c>
      <c r="F46" s="26" t="n">
        <v>0</v>
      </c>
      <c r="G46" s="26" t="n">
        <v>0</v>
      </c>
      <c r="H46" s="1" t="s">
        <v>437</v>
      </c>
    </row>
    <row r="47" customFormat="false" ht="15" hidden="false" customHeight="true" outlineLevel="0" collapsed="false">
      <c r="A47" s="1" t="s">
        <v>407</v>
      </c>
      <c r="B47" s="1" t="s">
        <v>424</v>
      </c>
      <c r="C47" s="1" t="s">
        <v>453</v>
      </c>
      <c r="D47" s="1" t="s">
        <v>279</v>
      </c>
      <c r="E47" s="73" t="n">
        <v>0</v>
      </c>
      <c r="F47" s="26" t="n">
        <v>0</v>
      </c>
      <c r="G47" s="26" t="n">
        <v>0</v>
      </c>
      <c r="H47" s="1" t="s">
        <v>437</v>
      </c>
    </row>
    <row r="48" customFormat="false" ht="15" hidden="false" customHeight="true" outlineLevel="0" collapsed="false">
      <c r="A48" s="1" t="s">
        <v>407</v>
      </c>
      <c r="B48" s="1" t="s">
        <v>424</v>
      </c>
      <c r="C48" s="1" t="s">
        <v>454</v>
      </c>
      <c r="D48" s="1" t="s">
        <v>279</v>
      </c>
      <c r="E48" s="73" t="n">
        <v>0</v>
      </c>
      <c r="F48" s="26" t="n">
        <v>0</v>
      </c>
      <c r="G48" s="26" t="n">
        <v>0</v>
      </c>
      <c r="H48" s="1" t="s">
        <v>437</v>
      </c>
    </row>
    <row r="49" customFormat="false" ht="15" hidden="false" customHeight="true" outlineLevel="0" collapsed="false">
      <c r="A49" s="1" t="s">
        <v>407</v>
      </c>
      <c r="B49" s="1" t="s">
        <v>424</v>
      </c>
      <c r="C49" s="1" t="s">
        <v>425</v>
      </c>
      <c r="D49" s="1" t="s">
        <v>283</v>
      </c>
      <c r="E49" s="73" t="n">
        <v>236</v>
      </c>
      <c r="F49" s="26" t="n">
        <v>1.86</v>
      </c>
      <c r="G49" s="26" t="n">
        <v>438.96</v>
      </c>
      <c r="H49" s="1" t="s">
        <v>426</v>
      </c>
    </row>
    <row r="50" customFormat="false" ht="15" hidden="false" customHeight="true" outlineLevel="0" collapsed="false">
      <c r="A50" s="1" t="s">
        <v>407</v>
      </c>
      <c r="B50" s="1" t="s">
        <v>424</v>
      </c>
      <c r="C50" s="1" t="s">
        <v>427</v>
      </c>
      <c r="D50" s="1" t="s">
        <v>283</v>
      </c>
      <c r="E50" s="73" t="n">
        <v>0</v>
      </c>
      <c r="F50" s="26" t="n">
        <v>0</v>
      </c>
      <c r="G50" s="26" t="n">
        <v>0</v>
      </c>
      <c r="H50" s="1" t="s">
        <v>428</v>
      </c>
    </row>
    <row r="51" customFormat="false" ht="15" hidden="false" customHeight="true" outlineLevel="0" collapsed="false">
      <c r="A51" s="1" t="s">
        <v>407</v>
      </c>
      <c r="B51" s="1" t="s">
        <v>424</v>
      </c>
      <c r="C51" s="1" t="s">
        <v>429</v>
      </c>
      <c r="D51" s="1" t="s">
        <v>283</v>
      </c>
      <c r="E51" s="73" t="n">
        <v>2</v>
      </c>
      <c r="F51" s="26" t="n">
        <v>338.53</v>
      </c>
      <c r="G51" s="26" t="n">
        <v>677.06</v>
      </c>
      <c r="H51" s="1" t="s">
        <v>428</v>
      </c>
    </row>
    <row r="52" customFormat="false" ht="15" hidden="false" customHeight="true" outlineLevel="0" collapsed="false">
      <c r="A52" s="1" t="s">
        <v>407</v>
      </c>
      <c r="B52" s="1" t="s">
        <v>424</v>
      </c>
      <c r="C52" s="1" t="s">
        <v>431</v>
      </c>
      <c r="D52" s="1" t="s">
        <v>283</v>
      </c>
      <c r="E52" s="73" t="n">
        <v>1</v>
      </c>
      <c r="F52" s="26" t="n">
        <v>300.37</v>
      </c>
      <c r="G52" s="26" t="n">
        <v>300.37</v>
      </c>
      <c r="H52" s="1" t="s">
        <v>455</v>
      </c>
    </row>
    <row r="53" customFormat="false" ht="15" hidden="false" customHeight="true" outlineLevel="0" collapsed="false">
      <c r="A53" s="1" t="s">
        <v>407</v>
      </c>
      <c r="B53" s="1" t="s">
        <v>424</v>
      </c>
      <c r="C53" s="1" t="s">
        <v>438</v>
      </c>
      <c r="D53" s="1" t="s">
        <v>283</v>
      </c>
      <c r="E53" s="73" t="n">
        <v>1</v>
      </c>
      <c r="F53" s="26" t="n">
        <v>0</v>
      </c>
      <c r="G53" s="26" t="n">
        <v>0</v>
      </c>
      <c r="H53" s="1" t="s">
        <v>437</v>
      </c>
    </row>
    <row r="54" customFormat="false" ht="15" hidden="false" customHeight="true" outlineLevel="0" collapsed="false">
      <c r="A54" s="1" t="s">
        <v>407</v>
      </c>
      <c r="B54" s="1" t="s">
        <v>424</v>
      </c>
      <c r="C54" s="1" t="s">
        <v>456</v>
      </c>
      <c r="D54" s="1" t="s">
        <v>283</v>
      </c>
      <c r="E54" s="73" t="n">
        <v>1</v>
      </c>
      <c r="F54" s="26" t="n">
        <v>0</v>
      </c>
      <c r="G54" s="26" t="n">
        <v>0</v>
      </c>
      <c r="H54" s="1" t="s">
        <v>437</v>
      </c>
    </row>
    <row r="55" customFormat="false" ht="15" hidden="false" customHeight="true" outlineLevel="0" collapsed="false">
      <c r="A55" s="1" t="s">
        <v>407</v>
      </c>
      <c r="B55" s="1" t="s">
        <v>424</v>
      </c>
      <c r="C55" s="1" t="s">
        <v>457</v>
      </c>
      <c r="D55" s="1" t="s">
        <v>283</v>
      </c>
      <c r="E55" s="73" t="n">
        <v>0</v>
      </c>
      <c r="F55" s="26" t="n">
        <v>0</v>
      </c>
      <c r="G55" s="26" t="n">
        <v>0</v>
      </c>
      <c r="H55" s="1" t="s">
        <v>437</v>
      </c>
    </row>
    <row r="56" customFormat="false" ht="15" hidden="false" customHeight="true" outlineLevel="0" collapsed="false">
      <c r="A56" s="1" t="s">
        <v>407</v>
      </c>
      <c r="B56" s="1" t="s">
        <v>424</v>
      </c>
      <c r="C56" s="1" t="s">
        <v>458</v>
      </c>
      <c r="D56" s="1" t="s">
        <v>283</v>
      </c>
      <c r="E56" s="73" t="n">
        <v>0</v>
      </c>
      <c r="F56" s="26" t="n">
        <v>0</v>
      </c>
      <c r="G56" s="26" t="n">
        <v>0</v>
      </c>
      <c r="H56" s="1" t="s">
        <v>437</v>
      </c>
    </row>
    <row r="57" customFormat="false" ht="15" hidden="false" customHeight="true" outlineLevel="0" collapsed="false">
      <c r="A57" s="1" t="s">
        <v>407</v>
      </c>
      <c r="B57" s="1" t="s">
        <v>424</v>
      </c>
      <c r="C57" s="1" t="s">
        <v>425</v>
      </c>
      <c r="D57" s="1" t="s">
        <v>280</v>
      </c>
      <c r="E57" s="73" t="n">
        <v>666</v>
      </c>
      <c r="F57" s="26" t="n">
        <v>1.86</v>
      </c>
      <c r="G57" s="26" t="n">
        <v>1238.76</v>
      </c>
      <c r="H57" s="1" t="s">
        <v>426</v>
      </c>
    </row>
    <row r="58" customFormat="false" ht="15" hidden="false" customHeight="true" outlineLevel="0" collapsed="false">
      <c r="A58" s="1" t="s">
        <v>407</v>
      </c>
      <c r="B58" s="1" t="s">
        <v>424</v>
      </c>
      <c r="C58" s="1" t="s">
        <v>427</v>
      </c>
      <c r="D58" s="1" t="s">
        <v>280</v>
      </c>
      <c r="E58" s="73" t="n">
        <v>4</v>
      </c>
      <c r="F58" s="26" t="n">
        <v>383.56</v>
      </c>
      <c r="G58" s="26" t="n">
        <v>1534.24</v>
      </c>
      <c r="H58" s="1" t="s">
        <v>459</v>
      </c>
    </row>
    <row r="59" customFormat="false" ht="15" hidden="false" customHeight="true" outlineLevel="0" collapsed="false">
      <c r="A59" s="1" t="s">
        <v>407</v>
      </c>
      <c r="B59" s="1" t="s">
        <v>424</v>
      </c>
      <c r="C59" s="1" t="s">
        <v>429</v>
      </c>
      <c r="D59" s="1" t="s">
        <v>280</v>
      </c>
      <c r="E59" s="73" t="n">
        <v>4</v>
      </c>
      <c r="F59" s="26" t="n">
        <v>338.53</v>
      </c>
      <c r="G59" s="26" t="n">
        <v>1354.12</v>
      </c>
      <c r="H59" s="1" t="s">
        <v>460</v>
      </c>
    </row>
    <row r="60" customFormat="false" ht="15" hidden="false" customHeight="true" outlineLevel="0" collapsed="false">
      <c r="A60" s="1" t="s">
        <v>407</v>
      </c>
      <c r="B60" s="1" t="s">
        <v>424</v>
      </c>
      <c r="C60" s="1" t="s">
        <v>431</v>
      </c>
      <c r="D60" s="1" t="s">
        <v>280</v>
      </c>
      <c r="E60" s="73" t="n">
        <v>2</v>
      </c>
      <c r="F60" s="26" t="n">
        <v>400.26</v>
      </c>
      <c r="G60" s="26" t="n">
        <v>800.52</v>
      </c>
      <c r="H60" s="1" t="s">
        <v>461</v>
      </c>
    </row>
    <row r="61" customFormat="false" ht="15" hidden="false" customHeight="true" outlineLevel="0" collapsed="false">
      <c r="A61" s="1" t="s">
        <v>407</v>
      </c>
      <c r="B61" s="1" t="s">
        <v>424</v>
      </c>
      <c r="C61" s="1" t="s">
        <v>433</v>
      </c>
      <c r="D61" s="1" t="s">
        <v>280</v>
      </c>
      <c r="E61" s="73" t="n">
        <v>1</v>
      </c>
      <c r="F61" s="26" t="n">
        <v>588.98</v>
      </c>
      <c r="G61" s="26" t="n">
        <v>588.98</v>
      </c>
      <c r="H61" s="1" t="s">
        <v>462</v>
      </c>
    </row>
    <row r="62" customFormat="false" ht="15" hidden="false" customHeight="true" outlineLevel="0" collapsed="false">
      <c r="A62" s="1" t="s">
        <v>407</v>
      </c>
      <c r="B62" s="1" t="s">
        <v>424</v>
      </c>
      <c r="C62" s="1" t="s">
        <v>433</v>
      </c>
      <c r="D62" s="1" t="s">
        <v>280</v>
      </c>
      <c r="E62" s="73" t="n">
        <v>149</v>
      </c>
      <c r="F62" s="26" t="n">
        <v>20.06</v>
      </c>
      <c r="G62" s="26" t="n">
        <v>2988.94</v>
      </c>
      <c r="H62" s="1" t="s">
        <v>463</v>
      </c>
    </row>
    <row r="63" customFormat="false" ht="15" hidden="false" customHeight="true" outlineLevel="0" collapsed="false">
      <c r="A63" s="1" t="s">
        <v>407</v>
      </c>
      <c r="B63" s="1" t="s">
        <v>424</v>
      </c>
      <c r="C63" s="1" t="s">
        <v>464</v>
      </c>
      <c r="D63" s="1" t="s">
        <v>280</v>
      </c>
      <c r="E63" s="73" t="n">
        <v>2</v>
      </c>
      <c r="F63" s="26" t="n">
        <v>0</v>
      </c>
      <c r="G63" s="26" t="n">
        <v>0</v>
      </c>
      <c r="H63" s="1" t="s">
        <v>437</v>
      </c>
    </row>
    <row r="64" customFormat="false" ht="15" hidden="false" customHeight="true" outlineLevel="0" collapsed="false">
      <c r="A64" s="1" t="s">
        <v>407</v>
      </c>
      <c r="B64" s="1" t="s">
        <v>424</v>
      </c>
      <c r="C64" s="1" t="s">
        <v>465</v>
      </c>
      <c r="D64" s="1" t="s">
        <v>280</v>
      </c>
      <c r="E64" s="73" t="n">
        <v>0</v>
      </c>
      <c r="F64" s="26" t="n">
        <v>0</v>
      </c>
      <c r="G64" s="26" t="n">
        <v>0</v>
      </c>
      <c r="H64" s="1" t="s">
        <v>437</v>
      </c>
    </row>
    <row r="65" customFormat="false" ht="15" hidden="false" customHeight="true" outlineLevel="0" collapsed="false">
      <c r="A65" s="1" t="s">
        <v>407</v>
      </c>
      <c r="B65" s="1" t="s">
        <v>424</v>
      </c>
      <c r="C65" s="1" t="s">
        <v>466</v>
      </c>
      <c r="D65" s="1" t="s">
        <v>280</v>
      </c>
      <c r="E65" s="73" t="n">
        <v>2</v>
      </c>
      <c r="F65" s="26" t="n">
        <v>0</v>
      </c>
      <c r="G65" s="26" t="n">
        <v>0</v>
      </c>
      <c r="H65" s="1" t="s">
        <v>437</v>
      </c>
    </row>
    <row r="66" customFormat="false" ht="15" hidden="false" customHeight="true" outlineLevel="0" collapsed="false">
      <c r="A66" s="1" t="s">
        <v>407</v>
      </c>
      <c r="B66" s="1" t="s">
        <v>424</v>
      </c>
      <c r="C66" s="1" t="s">
        <v>467</v>
      </c>
      <c r="D66" s="1" t="s">
        <v>280</v>
      </c>
      <c r="E66" s="73" t="n">
        <v>0</v>
      </c>
      <c r="F66" s="26" t="n">
        <v>0</v>
      </c>
      <c r="G66" s="26" t="n">
        <v>0</v>
      </c>
      <c r="H66" s="1" t="s">
        <v>437</v>
      </c>
    </row>
    <row r="67" customFormat="false" ht="15" hidden="false" customHeight="true" outlineLevel="0" collapsed="false">
      <c r="A67" s="1" t="s">
        <v>407</v>
      </c>
      <c r="B67" s="1" t="s">
        <v>424</v>
      </c>
      <c r="C67" s="1" t="s">
        <v>425</v>
      </c>
      <c r="D67" s="1" t="s">
        <v>274</v>
      </c>
      <c r="E67" s="73" t="n">
        <v>537</v>
      </c>
      <c r="F67" s="26" t="n">
        <v>1.86</v>
      </c>
      <c r="G67" s="26" t="n">
        <v>998.82</v>
      </c>
      <c r="H67" s="1" t="s">
        <v>426</v>
      </c>
    </row>
    <row r="68" customFormat="false" ht="15" hidden="false" customHeight="true" outlineLevel="0" collapsed="false">
      <c r="A68" s="1" t="s">
        <v>407</v>
      </c>
      <c r="B68" s="1" t="s">
        <v>424</v>
      </c>
      <c r="C68" s="1" t="s">
        <v>427</v>
      </c>
      <c r="D68" s="1" t="s">
        <v>274</v>
      </c>
      <c r="E68" s="73" t="n">
        <v>1</v>
      </c>
      <c r="F68" s="26" t="n">
        <v>383.56</v>
      </c>
      <c r="G68" s="26" t="n">
        <v>383.56</v>
      </c>
      <c r="H68" s="1" t="s">
        <v>468</v>
      </c>
    </row>
    <row r="69" customFormat="false" ht="15" hidden="false" customHeight="true" outlineLevel="0" collapsed="false">
      <c r="A69" s="1" t="s">
        <v>407</v>
      </c>
      <c r="B69" s="1" t="s">
        <v>424</v>
      </c>
      <c r="C69" s="1" t="s">
        <v>429</v>
      </c>
      <c r="D69" s="1" t="s">
        <v>274</v>
      </c>
      <c r="E69" s="73" t="n">
        <v>4</v>
      </c>
      <c r="F69" s="26" t="n">
        <v>338.53</v>
      </c>
      <c r="G69" s="26" t="n">
        <v>1354.12</v>
      </c>
      <c r="H69" s="1" t="s">
        <v>469</v>
      </c>
    </row>
    <row r="70" customFormat="false" ht="15" hidden="false" customHeight="true" outlineLevel="0" collapsed="false">
      <c r="A70" s="1" t="s">
        <v>407</v>
      </c>
      <c r="B70" s="1" t="s">
        <v>424</v>
      </c>
      <c r="C70" s="1" t="s">
        <v>431</v>
      </c>
      <c r="D70" s="1" t="s">
        <v>274</v>
      </c>
      <c r="E70" s="73" t="n">
        <v>1</v>
      </c>
      <c r="F70" s="26" t="n">
        <v>400.26</v>
      </c>
      <c r="G70" s="26" t="n">
        <v>400.26</v>
      </c>
      <c r="H70" s="1" t="s">
        <v>470</v>
      </c>
    </row>
    <row r="71" customFormat="false" ht="15" hidden="false" customHeight="true" outlineLevel="0" collapsed="false">
      <c r="A71" s="1" t="s">
        <v>407</v>
      </c>
      <c r="B71" s="1" t="s">
        <v>424</v>
      </c>
      <c r="C71" s="1" t="s">
        <v>471</v>
      </c>
      <c r="D71" s="1" t="s">
        <v>274</v>
      </c>
      <c r="E71" s="73" t="n">
        <v>1</v>
      </c>
      <c r="F71" s="26" t="n">
        <v>434.14</v>
      </c>
      <c r="G71" s="26" t="n">
        <v>434.14</v>
      </c>
      <c r="H71" s="1" t="s">
        <v>472</v>
      </c>
    </row>
    <row r="72" customFormat="false" ht="15" hidden="false" customHeight="true" outlineLevel="0" collapsed="false">
      <c r="A72" s="1" t="s">
        <v>407</v>
      </c>
      <c r="B72" s="1" t="s">
        <v>424</v>
      </c>
      <c r="C72" s="1" t="s">
        <v>471</v>
      </c>
      <c r="D72" s="1" t="s">
        <v>274</v>
      </c>
      <c r="E72" s="73" t="n">
        <v>9</v>
      </c>
      <c r="F72" s="26" t="n">
        <v>9.7</v>
      </c>
      <c r="G72" s="26" t="n">
        <v>87.3</v>
      </c>
      <c r="H72" s="1" t="s">
        <v>449</v>
      </c>
    </row>
    <row r="73" customFormat="false" ht="15" hidden="false" customHeight="true" outlineLevel="0" collapsed="false">
      <c r="A73" s="1" t="s">
        <v>407</v>
      </c>
      <c r="B73" s="1" t="s">
        <v>424</v>
      </c>
      <c r="C73" s="1" t="s">
        <v>438</v>
      </c>
      <c r="D73" s="1" t="s">
        <v>274</v>
      </c>
      <c r="E73" s="73" t="n">
        <v>15</v>
      </c>
      <c r="F73" s="26" t="n">
        <v>0</v>
      </c>
      <c r="G73" s="26" t="n">
        <v>0</v>
      </c>
      <c r="H73" s="1" t="s">
        <v>437</v>
      </c>
    </row>
    <row r="74" customFormat="false" ht="15" hidden="false" customHeight="true" outlineLevel="0" collapsed="false">
      <c r="A74" s="1" t="s">
        <v>407</v>
      </c>
      <c r="B74" s="1" t="s">
        <v>424</v>
      </c>
      <c r="C74" s="1" t="s">
        <v>473</v>
      </c>
      <c r="D74" s="1" t="s">
        <v>274</v>
      </c>
      <c r="E74" s="73" t="n">
        <v>0</v>
      </c>
      <c r="F74" s="26" t="n">
        <v>0</v>
      </c>
      <c r="G74" s="26" t="n">
        <v>0</v>
      </c>
      <c r="H74" s="1" t="s">
        <v>437</v>
      </c>
    </row>
    <row r="75" customFormat="false" ht="15" hidden="false" customHeight="true" outlineLevel="0" collapsed="false">
      <c r="A75" s="1" t="s">
        <v>407</v>
      </c>
      <c r="B75" s="1" t="s">
        <v>424</v>
      </c>
      <c r="C75" s="1" t="s">
        <v>474</v>
      </c>
      <c r="D75" s="1" t="s">
        <v>274</v>
      </c>
      <c r="E75" s="73" t="n">
        <v>0</v>
      </c>
      <c r="F75" s="26" t="n">
        <v>0</v>
      </c>
      <c r="G75" s="26" t="n">
        <v>0</v>
      </c>
      <c r="H75" s="1" t="s">
        <v>437</v>
      </c>
    </row>
    <row r="76" customFormat="false" ht="15" hidden="false" customHeight="true" outlineLevel="0" collapsed="false">
      <c r="A76" s="1" t="s">
        <v>407</v>
      </c>
      <c r="B76" s="1" t="s">
        <v>424</v>
      </c>
      <c r="C76" s="1" t="s">
        <v>475</v>
      </c>
      <c r="D76" s="1" t="s">
        <v>274</v>
      </c>
      <c r="E76" s="73" t="n">
        <v>0</v>
      </c>
      <c r="F76" s="26" t="n">
        <v>0</v>
      </c>
      <c r="G76" s="26" t="n">
        <v>0</v>
      </c>
      <c r="H76" s="1" t="s">
        <v>437</v>
      </c>
    </row>
    <row r="77" customFormat="false" ht="15" hidden="false" customHeight="true" outlineLevel="0" collapsed="false">
      <c r="A77" s="1" t="s">
        <v>407</v>
      </c>
      <c r="B77" s="1" t="s">
        <v>424</v>
      </c>
      <c r="C77" s="1" t="s">
        <v>425</v>
      </c>
      <c r="D77" s="1" t="s">
        <v>275</v>
      </c>
      <c r="E77" s="73" t="n">
        <v>163</v>
      </c>
      <c r="F77" s="26" t="n">
        <v>1.86</v>
      </c>
      <c r="G77" s="26" t="n">
        <v>303.18</v>
      </c>
      <c r="H77" s="1" t="s">
        <v>426</v>
      </c>
    </row>
    <row r="78" customFormat="false" ht="15" hidden="false" customHeight="true" outlineLevel="0" collapsed="false">
      <c r="A78" s="1" t="s">
        <v>407</v>
      </c>
      <c r="B78" s="1" t="s">
        <v>424</v>
      </c>
      <c r="C78" s="1" t="s">
        <v>427</v>
      </c>
      <c r="D78" s="1" t="s">
        <v>275</v>
      </c>
      <c r="E78" s="73" t="n">
        <v>1</v>
      </c>
      <c r="F78" s="26" t="n">
        <v>383.56</v>
      </c>
      <c r="G78" s="26" t="n">
        <v>383.56</v>
      </c>
      <c r="H78" s="1" t="s">
        <v>476</v>
      </c>
    </row>
    <row r="79" customFormat="false" ht="15" hidden="false" customHeight="true" outlineLevel="0" collapsed="false">
      <c r="A79" s="1" t="s">
        <v>407</v>
      </c>
      <c r="B79" s="1" t="s">
        <v>424</v>
      </c>
      <c r="C79" s="1" t="s">
        <v>429</v>
      </c>
      <c r="D79" s="1" t="s">
        <v>275</v>
      </c>
      <c r="E79" s="73" t="n">
        <v>0</v>
      </c>
      <c r="F79" s="26" t="n">
        <v>0</v>
      </c>
      <c r="G79" s="26" t="n">
        <v>0</v>
      </c>
      <c r="H79" s="1" t="s">
        <v>477</v>
      </c>
    </row>
    <row r="80" customFormat="false" ht="15" hidden="false" customHeight="true" outlineLevel="0" collapsed="false">
      <c r="A80" s="1" t="s">
        <v>407</v>
      </c>
      <c r="B80" s="1" t="s">
        <v>424</v>
      </c>
      <c r="C80" s="1" t="s">
        <v>431</v>
      </c>
      <c r="D80" s="1" t="s">
        <v>275</v>
      </c>
      <c r="E80" s="73" t="n">
        <v>1</v>
      </c>
      <c r="F80" s="26" t="n">
        <v>400.26</v>
      </c>
      <c r="G80" s="26" t="n">
        <v>400.26</v>
      </c>
      <c r="H80" s="1" t="s">
        <v>428</v>
      </c>
    </row>
    <row r="81" customFormat="false" ht="15" hidden="false" customHeight="true" outlineLevel="0" collapsed="false">
      <c r="A81" s="1" t="s">
        <v>407</v>
      </c>
      <c r="B81" s="1" t="s">
        <v>424</v>
      </c>
      <c r="C81" s="1" t="s">
        <v>471</v>
      </c>
      <c r="D81" s="1" t="s">
        <v>275</v>
      </c>
      <c r="E81" s="73" t="n">
        <v>1</v>
      </c>
      <c r="F81" s="26" t="n">
        <v>867</v>
      </c>
      <c r="G81" s="26" t="n">
        <v>867</v>
      </c>
      <c r="H81" s="1" t="s">
        <v>478</v>
      </c>
    </row>
    <row r="82" customFormat="false" ht="15" hidden="false" customHeight="true" outlineLevel="0" collapsed="false">
      <c r="A82" s="1" t="s">
        <v>407</v>
      </c>
      <c r="B82" s="1" t="s">
        <v>424</v>
      </c>
      <c r="C82" s="1" t="s">
        <v>471</v>
      </c>
      <c r="D82" s="1" t="s">
        <v>275</v>
      </c>
      <c r="E82" s="73" t="n">
        <v>21</v>
      </c>
      <c r="F82" s="26" t="n">
        <v>9.7</v>
      </c>
      <c r="G82" s="26" t="n">
        <v>203.7</v>
      </c>
      <c r="H82" s="1" t="s">
        <v>449</v>
      </c>
    </row>
    <row r="83" customFormat="false" ht="15" hidden="false" customHeight="true" outlineLevel="0" collapsed="false">
      <c r="A83" s="1" t="s">
        <v>407</v>
      </c>
      <c r="B83" s="1" t="s">
        <v>424</v>
      </c>
      <c r="C83" s="1" t="s">
        <v>438</v>
      </c>
      <c r="D83" s="1" t="s">
        <v>275</v>
      </c>
      <c r="E83" s="73" t="n">
        <v>0</v>
      </c>
      <c r="F83" s="26" t="n">
        <v>0</v>
      </c>
      <c r="G83" s="26" t="n">
        <v>0</v>
      </c>
      <c r="H83" s="1" t="s">
        <v>437</v>
      </c>
    </row>
    <row r="84" customFormat="false" ht="15" hidden="false" customHeight="true" outlineLevel="0" collapsed="false">
      <c r="A84" s="1" t="s">
        <v>407</v>
      </c>
      <c r="B84" s="1" t="s">
        <v>424</v>
      </c>
      <c r="C84" s="1" t="s">
        <v>479</v>
      </c>
      <c r="D84" s="1" t="s">
        <v>275</v>
      </c>
      <c r="E84" s="73" t="n">
        <v>0</v>
      </c>
      <c r="F84" s="26" t="n">
        <v>0</v>
      </c>
      <c r="G84" s="26" t="n">
        <v>0</v>
      </c>
      <c r="H84" s="1" t="s">
        <v>437</v>
      </c>
    </row>
    <row r="85" customFormat="false" ht="15" hidden="false" customHeight="true" outlineLevel="0" collapsed="false">
      <c r="A85" s="1" t="s">
        <v>407</v>
      </c>
      <c r="B85" s="1" t="s">
        <v>424</v>
      </c>
      <c r="C85" s="1" t="s">
        <v>425</v>
      </c>
      <c r="D85" s="1" t="s">
        <v>272</v>
      </c>
      <c r="E85" s="73" t="n">
        <v>378</v>
      </c>
      <c r="F85" s="26" t="n">
        <v>1.86</v>
      </c>
      <c r="G85" s="26" t="n">
        <v>703.08</v>
      </c>
      <c r="H85" s="1" t="s">
        <v>426</v>
      </c>
    </row>
    <row r="86" customFormat="false" ht="15" hidden="false" customHeight="true" outlineLevel="0" collapsed="false">
      <c r="A86" s="1" t="s">
        <v>407</v>
      </c>
      <c r="B86" s="1" t="s">
        <v>424</v>
      </c>
      <c r="C86" s="1" t="s">
        <v>427</v>
      </c>
      <c r="D86" s="1" t="s">
        <v>272</v>
      </c>
      <c r="E86" s="73" t="n">
        <v>1</v>
      </c>
      <c r="F86" s="26" t="n">
        <v>383.56</v>
      </c>
      <c r="G86" s="26" t="n">
        <v>383.56</v>
      </c>
      <c r="H86" s="1" t="s">
        <v>480</v>
      </c>
    </row>
    <row r="87" customFormat="false" ht="15" hidden="false" customHeight="true" outlineLevel="0" collapsed="false">
      <c r="A87" s="1" t="s">
        <v>407</v>
      </c>
      <c r="B87" s="1" t="s">
        <v>424</v>
      </c>
      <c r="C87" s="1" t="s">
        <v>429</v>
      </c>
      <c r="D87" s="1" t="s">
        <v>272</v>
      </c>
      <c r="E87" s="73" t="n">
        <v>2</v>
      </c>
      <c r="F87" s="26" t="n">
        <v>338.53</v>
      </c>
      <c r="G87" s="26" t="n">
        <v>677.06</v>
      </c>
      <c r="H87" s="1" t="s">
        <v>481</v>
      </c>
    </row>
    <row r="88" customFormat="false" ht="15" hidden="false" customHeight="true" outlineLevel="0" collapsed="false">
      <c r="A88" s="1" t="s">
        <v>407</v>
      </c>
      <c r="B88" s="1" t="s">
        <v>424</v>
      </c>
      <c r="C88" s="1" t="s">
        <v>431</v>
      </c>
      <c r="D88" s="1" t="s">
        <v>272</v>
      </c>
      <c r="E88" s="73" t="n">
        <v>2</v>
      </c>
      <c r="F88" s="26" t="n">
        <v>400.26</v>
      </c>
      <c r="G88" s="26" t="n">
        <v>800.52</v>
      </c>
      <c r="H88" s="1" t="s">
        <v>482</v>
      </c>
    </row>
    <row r="89" customFormat="false" ht="15" hidden="false" customHeight="true" outlineLevel="0" collapsed="false">
      <c r="A89" s="1" t="s">
        <v>407</v>
      </c>
      <c r="B89" s="1" t="s">
        <v>424</v>
      </c>
      <c r="C89" s="1" t="s">
        <v>438</v>
      </c>
      <c r="D89" s="1" t="s">
        <v>272</v>
      </c>
      <c r="E89" s="73" t="n">
        <v>4</v>
      </c>
      <c r="F89" s="26" t="n">
        <v>0</v>
      </c>
      <c r="G89" s="26" t="n">
        <v>0</v>
      </c>
      <c r="H89" s="1" t="s">
        <v>437</v>
      </c>
    </row>
    <row r="90" customFormat="false" ht="15" hidden="false" customHeight="true" outlineLevel="0" collapsed="false">
      <c r="A90" s="1" t="s">
        <v>407</v>
      </c>
      <c r="B90" s="1" t="s">
        <v>424</v>
      </c>
      <c r="C90" s="1" t="s">
        <v>483</v>
      </c>
      <c r="D90" s="1" t="s">
        <v>272</v>
      </c>
      <c r="E90" s="73" t="n">
        <v>0</v>
      </c>
      <c r="F90" s="26" t="n">
        <v>0</v>
      </c>
      <c r="G90" s="26" t="n">
        <v>0</v>
      </c>
      <c r="H90" s="1" t="s">
        <v>437</v>
      </c>
    </row>
    <row r="91" customFormat="false" ht="15" hidden="false" customHeight="true" outlineLevel="0" collapsed="false">
      <c r="A91" s="1" t="s">
        <v>407</v>
      </c>
      <c r="B91" s="1" t="s">
        <v>424</v>
      </c>
      <c r="C91" s="1" t="s">
        <v>484</v>
      </c>
      <c r="D91" s="1" t="s">
        <v>272</v>
      </c>
      <c r="E91" s="73" t="n">
        <v>-15</v>
      </c>
      <c r="F91" s="26" t="n">
        <v>0</v>
      </c>
      <c r="G91" s="26" t="n">
        <v>0</v>
      </c>
      <c r="H91" s="1" t="s">
        <v>437</v>
      </c>
    </row>
    <row r="92" customFormat="false" ht="15" hidden="false" customHeight="true" outlineLevel="0" collapsed="false">
      <c r="A92" s="1" t="s">
        <v>407</v>
      </c>
      <c r="B92" s="1" t="s">
        <v>424</v>
      </c>
      <c r="C92" s="1" t="s">
        <v>485</v>
      </c>
      <c r="D92" s="1" t="s">
        <v>272</v>
      </c>
      <c r="E92" s="73" t="n">
        <v>0</v>
      </c>
      <c r="F92" s="26" t="n">
        <v>0</v>
      </c>
      <c r="G92" s="26" t="n">
        <v>0</v>
      </c>
      <c r="H92" s="1" t="s">
        <v>437</v>
      </c>
    </row>
    <row r="93" customFormat="false" ht="15" hidden="false" customHeight="true" outlineLevel="0" collapsed="false">
      <c r="A93" s="1" t="s">
        <v>407</v>
      </c>
      <c r="B93" s="1" t="s">
        <v>424</v>
      </c>
      <c r="C93" s="1" t="s">
        <v>486</v>
      </c>
      <c r="D93" s="1" t="s">
        <v>272</v>
      </c>
      <c r="E93" s="73" t="n">
        <v>0</v>
      </c>
      <c r="F93" s="26" t="n">
        <v>0</v>
      </c>
      <c r="G93" s="26" t="n">
        <v>0</v>
      </c>
      <c r="H93" s="1" t="s">
        <v>437</v>
      </c>
    </row>
    <row r="94" customFormat="false" ht="15" hidden="false" customHeight="true" outlineLevel="0" collapsed="false">
      <c r="A94" s="1" t="s">
        <v>407</v>
      </c>
      <c r="B94" s="1" t="s">
        <v>487</v>
      </c>
      <c r="C94" s="1" t="s">
        <v>488</v>
      </c>
      <c r="D94" s="1" t="s">
        <v>277</v>
      </c>
      <c r="E94" s="73" t="n">
        <v>6280</v>
      </c>
      <c r="F94" s="26" t="n">
        <v>0.178624545023269</v>
      </c>
      <c r="G94" s="26" t="n">
        <v>1121.76214274613</v>
      </c>
      <c r="H94" s="1" t="s">
        <v>410</v>
      </c>
    </row>
    <row r="95" customFormat="false" ht="15" hidden="false" customHeight="true" outlineLevel="0" collapsed="false">
      <c r="A95" s="1" t="s">
        <v>407</v>
      </c>
      <c r="B95" s="1" t="s">
        <v>487</v>
      </c>
      <c r="C95" s="1" t="s">
        <v>488</v>
      </c>
      <c r="D95" s="1" t="s">
        <v>279</v>
      </c>
      <c r="E95" s="73" t="n">
        <v>13402</v>
      </c>
      <c r="F95" s="26" t="n">
        <v>0.178624545023269</v>
      </c>
      <c r="G95" s="26" t="n">
        <v>2393.92615240185</v>
      </c>
      <c r="H95" s="1" t="s">
        <v>410</v>
      </c>
    </row>
    <row r="96" customFormat="false" ht="15" hidden="false" customHeight="true" outlineLevel="0" collapsed="false">
      <c r="A96" s="1" t="s">
        <v>407</v>
      </c>
      <c r="B96" s="1" t="s">
        <v>487</v>
      </c>
      <c r="C96" s="1" t="s">
        <v>488</v>
      </c>
      <c r="D96" s="1" t="s">
        <v>283</v>
      </c>
      <c r="E96" s="73" t="n">
        <v>3650</v>
      </c>
      <c r="F96" s="26" t="n">
        <v>0.178624545023269</v>
      </c>
      <c r="G96" s="26" t="n">
        <v>651.979589334932</v>
      </c>
      <c r="H96" s="1" t="s">
        <v>410</v>
      </c>
    </row>
    <row r="97" customFormat="false" ht="15" hidden="false" customHeight="true" outlineLevel="0" collapsed="false">
      <c r="A97" s="1" t="s">
        <v>407</v>
      </c>
      <c r="B97" s="1" t="s">
        <v>487</v>
      </c>
      <c r="C97" s="1" t="s">
        <v>488</v>
      </c>
      <c r="D97" s="1" t="s">
        <v>280</v>
      </c>
      <c r="E97" s="73" t="n">
        <v>6396</v>
      </c>
      <c r="F97" s="26" t="n">
        <v>0.178624545023269</v>
      </c>
      <c r="G97" s="26" t="n">
        <v>1142.48258996883</v>
      </c>
      <c r="H97" s="1" t="s">
        <v>410</v>
      </c>
    </row>
    <row r="98" customFormat="false" ht="15" hidden="false" customHeight="true" outlineLevel="0" collapsed="false">
      <c r="A98" s="1" t="s">
        <v>407</v>
      </c>
      <c r="B98" s="1" t="s">
        <v>487</v>
      </c>
      <c r="C98" s="1" t="s">
        <v>488</v>
      </c>
      <c r="D98" s="1" t="s">
        <v>274</v>
      </c>
      <c r="E98" s="73" t="n">
        <v>14331</v>
      </c>
      <c r="F98" s="26" t="n">
        <v>0.178624545023269</v>
      </c>
      <c r="G98" s="26" t="n">
        <v>2559.86835472847</v>
      </c>
      <c r="H98" s="1" t="s">
        <v>410</v>
      </c>
    </row>
    <row r="99" customFormat="false" ht="15" hidden="false" customHeight="true" outlineLevel="0" collapsed="false">
      <c r="A99" s="1" t="s">
        <v>407</v>
      </c>
      <c r="B99" s="1" t="s">
        <v>487</v>
      </c>
      <c r="C99" s="1" t="s">
        <v>488</v>
      </c>
      <c r="D99" s="1" t="s">
        <v>275</v>
      </c>
      <c r="E99" s="73" t="n">
        <v>4730</v>
      </c>
      <c r="F99" s="26" t="n">
        <v>0.178624545023269</v>
      </c>
      <c r="G99" s="26" t="n">
        <v>844.894097960063</v>
      </c>
      <c r="H99" s="1" t="s">
        <v>410</v>
      </c>
    </row>
    <row r="100" customFormat="false" ht="15" hidden="false" customHeight="true" outlineLevel="0" collapsed="false">
      <c r="A100" s="1" t="s">
        <v>407</v>
      </c>
      <c r="B100" s="1" t="s">
        <v>487</v>
      </c>
      <c r="C100" s="1" t="s">
        <v>488</v>
      </c>
      <c r="D100" s="1" t="s">
        <v>272</v>
      </c>
      <c r="E100" s="73" t="n">
        <v>4782</v>
      </c>
      <c r="F100" s="26" t="n">
        <v>0.178624545023269</v>
      </c>
      <c r="G100" s="26" t="n">
        <v>854.182574301273</v>
      </c>
      <c r="H100" s="1" t="s">
        <v>410</v>
      </c>
    </row>
    <row r="101" customFormat="false" ht="15" hidden="false" customHeight="true" outlineLevel="0" collapsed="false">
      <c r="A101" s="1" t="s">
        <v>407</v>
      </c>
      <c r="B101" s="1" t="s">
        <v>40</v>
      </c>
      <c r="C101" s="1" t="s">
        <v>489</v>
      </c>
      <c r="D101" s="1" t="s">
        <v>279</v>
      </c>
      <c r="E101" s="73" t="n">
        <v>1</v>
      </c>
      <c r="F101" s="26" t="n">
        <v>80</v>
      </c>
      <c r="G101" s="26" t="n">
        <v>80</v>
      </c>
      <c r="H101" s="1" t="s">
        <v>490</v>
      </c>
    </row>
    <row r="102" customFormat="false" ht="15" hidden="false" customHeight="true" outlineLevel="0" collapsed="false">
      <c r="A102" s="1" t="s">
        <v>407</v>
      </c>
      <c r="B102" s="1" t="s">
        <v>139</v>
      </c>
      <c r="C102" s="1" t="s">
        <v>491</v>
      </c>
      <c r="D102" s="1" t="s">
        <v>279</v>
      </c>
      <c r="E102" s="73" t="n">
        <v>13402</v>
      </c>
      <c r="F102" s="26" t="n">
        <v>0.0871424396912673</v>
      </c>
      <c r="G102" s="26" t="n">
        <v>1167.88297674237</v>
      </c>
      <c r="H102" s="1" t="s">
        <v>410</v>
      </c>
    </row>
    <row r="103" customFormat="false" ht="15" hidden="false" customHeight="true" outlineLevel="0" collapsed="false">
      <c r="A103" s="1" t="s">
        <v>407</v>
      </c>
      <c r="B103" s="1" t="s">
        <v>45</v>
      </c>
      <c r="C103" s="1" t="s">
        <v>492</v>
      </c>
      <c r="D103" s="1" t="s">
        <v>277</v>
      </c>
      <c r="E103" s="73" t="n">
        <v>1</v>
      </c>
      <c r="F103" s="26" t="n">
        <v>9145.68</v>
      </c>
      <c r="G103" s="26" t="n">
        <v>9145.68</v>
      </c>
      <c r="H103" s="1" t="s">
        <v>493</v>
      </c>
    </row>
    <row r="104" customFormat="false" ht="15" hidden="false" customHeight="true" outlineLevel="0" collapsed="false">
      <c r="A104" s="1" t="s">
        <v>407</v>
      </c>
      <c r="B104" s="1" t="s">
        <v>45</v>
      </c>
      <c r="C104" s="1" t="s">
        <v>492</v>
      </c>
      <c r="D104" s="1" t="s">
        <v>283</v>
      </c>
      <c r="E104" s="73" t="n">
        <v>1</v>
      </c>
      <c r="F104" s="26" t="n">
        <v>3372.11</v>
      </c>
      <c r="G104" s="26" t="n">
        <v>3372.11</v>
      </c>
      <c r="H104" s="1" t="s">
        <v>493</v>
      </c>
    </row>
    <row r="105" customFormat="false" ht="15" hidden="false" customHeight="true" outlineLevel="0" collapsed="false">
      <c r="A105" s="1" t="s">
        <v>407</v>
      </c>
      <c r="B105" s="1" t="s">
        <v>45</v>
      </c>
      <c r="C105" s="1" t="s">
        <v>492</v>
      </c>
      <c r="D105" s="1" t="s">
        <v>275</v>
      </c>
      <c r="E105" s="73" t="n">
        <v>1</v>
      </c>
      <c r="F105" s="26" t="n">
        <v>15695.77</v>
      </c>
      <c r="G105" s="26" t="n">
        <v>15695.77</v>
      </c>
      <c r="H105" s="1" t="s">
        <v>493</v>
      </c>
    </row>
    <row r="106" customFormat="false" ht="15" hidden="false" customHeight="true" outlineLevel="0" collapsed="false">
      <c r="A106" s="1" t="s">
        <v>407</v>
      </c>
      <c r="B106" s="1" t="s">
        <v>45</v>
      </c>
      <c r="C106" s="1" t="s">
        <v>494</v>
      </c>
      <c r="D106" s="1" t="s">
        <v>272</v>
      </c>
      <c r="E106" s="73" t="n">
        <v>0</v>
      </c>
      <c r="F106" s="26" t="n">
        <v>0</v>
      </c>
      <c r="G106" s="26" t="n">
        <v>0</v>
      </c>
      <c r="H106" s="1" t="s">
        <v>495</v>
      </c>
    </row>
    <row r="107" customFormat="false" ht="15" hidden="false" customHeight="true" outlineLevel="0" collapsed="false">
      <c r="A107" s="1" t="s">
        <v>407</v>
      </c>
      <c r="B107" s="1" t="s">
        <v>50</v>
      </c>
      <c r="C107" s="1" t="s">
        <v>496</v>
      </c>
      <c r="D107" s="1" t="s">
        <v>277</v>
      </c>
      <c r="E107" s="73" t="n">
        <v>1</v>
      </c>
      <c r="F107" s="26" t="n">
        <v>1128</v>
      </c>
      <c r="G107" s="26" t="n">
        <v>1128</v>
      </c>
      <c r="H107" s="1" t="s">
        <v>497</v>
      </c>
    </row>
    <row r="108" customFormat="false" ht="15" hidden="false" customHeight="true" outlineLevel="0" collapsed="false">
      <c r="A108" s="1" t="s">
        <v>407</v>
      </c>
      <c r="B108" s="1" t="s">
        <v>50</v>
      </c>
      <c r="C108" s="1" t="s">
        <v>496</v>
      </c>
      <c r="D108" s="1" t="s">
        <v>279</v>
      </c>
      <c r="E108" s="73" t="n">
        <v>1</v>
      </c>
      <c r="F108" s="26" t="n">
        <v>676.8</v>
      </c>
      <c r="G108" s="26" t="n">
        <v>676.8</v>
      </c>
      <c r="H108" s="1" t="s">
        <v>497</v>
      </c>
    </row>
    <row r="109" customFormat="false" ht="15" hidden="false" customHeight="true" outlineLevel="0" collapsed="false">
      <c r="A109" s="1" t="s">
        <v>407</v>
      </c>
      <c r="B109" s="1" t="s">
        <v>50</v>
      </c>
      <c r="C109" s="1" t="s">
        <v>496</v>
      </c>
      <c r="D109" s="1" t="s">
        <v>283</v>
      </c>
      <c r="E109" s="73" t="n">
        <v>1</v>
      </c>
      <c r="F109" s="26" t="n">
        <v>676.8</v>
      </c>
      <c r="G109" s="26" t="n">
        <v>676.8</v>
      </c>
      <c r="H109" s="1" t="s">
        <v>497</v>
      </c>
    </row>
    <row r="110" customFormat="false" ht="15" hidden="false" customHeight="true" outlineLevel="0" collapsed="false">
      <c r="A110" s="1" t="s">
        <v>407</v>
      </c>
      <c r="B110" s="1" t="s">
        <v>50</v>
      </c>
      <c r="C110" s="1" t="s">
        <v>496</v>
      </c>
      <c r="D110" s="1" t="s">
        <v>280</v>
      </c>
      <c r="E110" s="73" t="n">
        <v>1</v>
      </c>
      <c r="F110" s="26" t="n">
        <v>676.8</v>
      </c>
      <c r="G110" s="26" t="n">
        <v>676.8</v>
      </c>
      <c r="H110" s="1" t="s">
        <v>498</v>
      </c>
    </row>
    <row r="111" customFormat="false" ht="15" hidden="false" customHeight="true" outlineLevel="0" collapsed="false">
      <c r="A111" s="1" t="s">
        <v>407</v>
      </c>
      <c r="B111" s="1" t="s">
        <v>50</v>
      </c>
      <c r="C111" s="1" t="s">
        <v>496</v>
      </c>
      <c r="D111" s="1" t="s">
        <v>280</v>
      </c>
      <c r="E111" s="73" t="n">
        <v>1</v>
      </c>
      <c r="F111" s="26" t="n">
        <v>338.4</v>
      </c>
      <c r="G111" s="26" t="n">
        <v>338.4</v>
      </c>
      <c r="H111" s="1" t="s">
        <v>497</v>
      </c>
    </row>
    <row r="112" customFormat="false" ht="15" hidden="false" customHeight="true" outlineLevel="0" collapsed="false">
      <c r="A112" s="1" t="s">
        <v>407</v>
      </c>
      <c r="B112" s="1" t="s">
        <v>50</v>
      </c>
      <c r="C112" s="1" t="s">
        <v>496</v>
      </c>
      <c r="D112" s="1" t="s">
        <v>274</v>
      </c>
      <c r="E112" s="73" t="n">
        <v>1</v>
      </c>
      <c r="F112" s="26" t="n">
        <v>676.8</v>
      </c>
      <c r="G112" s="26" t="n">
        <v>676.8</v>
      </c>
      <c r="H112" s="1" t="s">
        <v>499</v>
      </c>
    </row>
    <row r="113" customFormat="false" ht="15" hidden="false" customHeight="true" outlineLevel="0" collapsed="false">
      <c r="A113" s="1" t="s">
        <v>407</v>
      </c>
      <c r="B113" s="1" t="s">
        <v>50</v>
      </c>
      <c r="C113" s="1" t="s">
        <v>496</v>
      </c>
      <c r="D113" s="1" t="s">
        <v>274</v>
      </c>
      <c r="E113" s="73" t="n">
        <v>1</v>
      </c>
      <c r="F113" s="26" t="n">
        <v>2387.6</v>
      </c>
      <c r="G113" s="26" t="n">
        <v>2387.6</v>
      </c>
      <c r="H113" s="1" t="s">
        <v>497</v>
      </c>
    </row>
    <row r="114" customFormat="false" ht="15" hidden="false" customHeight="true" outlineLevel="0" collapsed="false">
      <c r="A114" s="1" t="s">
        <v>407</v>
      </c>
      <c r="B114" s="1" t="s">
        <v>50</v>
      </c>
      <c r="C114" s="1" t="s">
        <v>496</v>
      </c>
      <c r="D114" s="1" t="s">
        <v>275</v>
      </c>
      <c r="E114" s="73" t="n">
        <v>1</v>
      </c>
      <c r="F114" s="26" t="n">
        <v>676.8</v>
      </c>
      <c r="G114" s="26" t="n">
        <v>676.8</v>
      </c>
      <c r="H114" s="1" t="s">
        <v>497</v>
      </c>
    </row>
    <row r="115" customFormat="false" ht="15" hidden="false" customHeight="true" outlineLevel="0" collapsed="false">
      <c r="A115" s="1" t="s">
        <v>407</v>
      </c>
      <c r="B115" s="1" t="s">
        <v>50</v>
      </c>
      <c r="C115" s="1" t="s">
        <v>496</v>
      </c>
      <c r="D115" s="1" t="s">
        <v>272</v>
      </c>
      <c r="E115" s="73" t="n">
        <v>1</v>
      </c>
      <c r="F115" s="26" t="n">
        <v>569.64</v>
      </c>
      <c r="G115" s="26" t="n">
        <v>569.64</v>
      </c>
      <c r="H115" s="1" t="s">
        <v>497</v>
      </c>
    </row>
    <row r="116" customFormat="false" ht="15" hidden="false" customHeight="true" outlineLevel="0" collapsed="false">
      <c r="A116" s="1" t="s">
        <v>407</v>
      </c>
      <c r="B116" s="1" t="s">
        <v>500</v>
      </c>
      <c r="C116" s="1" t="s">
        <v>501</v>
      </c>
      <c r="D116" s="1" t="s">
        <v>277</v>
      </c>
      <c r="E116" s="73" t="n">
        <v>0</v>
      </c>
      <c r="F116" s="26" t="n">
        <v>0</v>
      </c>
      <c r="G116" s="26" t="n">
        <v>0</v>
      </c>
      <c r="H116" s="1" t="s">
        <v>502</v>
      </c>
    </row>
    <row r="117" customFormat="false" ht="15" hidden="false" customHeight="true" outlineLevel="0" collapsed="false">
      <c r="A117" s="1" t="s">
        <v>407</v>
      </c>
      <c r="B117" s="1" t="s">
        <v>500</v>
      </c>
      <c r="C117" s="1" t="s">
        <v>503</v>
      </c>
      <c r="D117" s="1" t="s">
        <v>277</v>
      </c>
      <c r="E117" s="73" t="n">
        <v>0</v>
      </c>
      <c r="F117" s="26" t="n">
        <v>0</v>
      </c>
      <c r="G117" s="26" t="n">
        <v>0</v>
      </c>
      <c r="H117" s="1" t="s">
        <v>504</v>
      </c>
    </row>
    <row r="118" customFormat="false" ht="15" hidden="false" customHeight="true" outlineLevel="0" collapsed="false">
      <c r="A118" s="1" t="s">
        <v>407</v>
      </c>
      <c r="B118" s="1" t="s">
        <v>500</v>
      </c>
      <c r="C118" s="1" t="s">
        <v>505</v>
      </c>
      <c r="D118" s="1" t="s">
        <v>277</v>
      </c>
      <c r="E118" s="73" t="n">
        <v>10</v>
      </c>
      <c r="F118" s="26" t="n">
        <v>20</v>
      </c>
      <c r="G118" s="26" t="n">
        <v>200</v>
      </c>
      <c r="H118" s="1" t="s">
        <v>506</v>
      </c>
    </row>
    <row r="119" customFormat="false" ht="15" hidden="false" customHeight="true" outlineLevel="0" collapsed="false">
      <c r="A119" s="1" t="s">
        <v>407</v>
      </c>
      <c r="B119" s="1" t="s">
        <v>500</v>
      </c>
      <c r="C119" s="1" t="s">
        <v>507</v>
      </c>
      <c r="D119" s="1" t="s">
        <v>277</v>
      </c>
      <c r="E119" s="73" t="n">
        <v>0</v>
      </c>
      <c r="F119" s="26" t="n">
        <v>0</v>
      </c>
      <c r="G119" s="26" t="n">
        <v>0</v>
      </c>
      <c r="H119" s="1" t="s">
        <v>508</v>
      </c>
    </row>
    <row r="120" customFormat="false" ht="15" hidden="false" customHeight="true" outlineLevel="0" collapsed="false">
      <c r="A120" s="1" t="s">
        <v>407</v>
      </c>
      <c r="B120" s="1" t="s">
        <v>500</v>
      </c>
      <c r="C120" s="1" t="s">
        <v>509</v>
      </c>
      <c r="D120" s="1" t="s">
        <v>277</v>
      </c>
      <c r="E120" s="73" t="n">
        <v>0</v>
      </c>
      <c r="F120" s="26" t="n">
        <v>0</v>
      </c>
      <c r="G120" s="26" t="n">
        <v>0</v>
      </c>
      <c r="H120" s="1" t="s">
        <v>510</v>
      </c>
    </row>
    <row r="121" customFormat="false" ht="15" hidden="false" customHeight="true" outlineLevel="0" collapsed="false">
      <c r="A121" s="1" t="s">
        <v>407</v>
      </c>
      <c r="B121" s="1" t="s">
        <v>500</v>
      </c>
      <c r="C121" s="1" t="s">
        <v>507</v>
      </c>
      <c r="D121" s="1" t="s">
        <v>279</v>
      </c>
      <c r="E121" s="73" t="n">
        <v>1</v>
      </c>
      <c r="F121" s="26" t="n">
        <v>1112.18</v>
      </c>
      <c r="G121" s="26" t="n">
        <v>1112.18</v>
      </c>
      <c r="H121" s="1" t="s">
        <v>508</v>
      </c>
    </row>
    <row r="122" customFormat="false" ht="15" hidden="false" customHeight="true" outlineLevel="0" collapsed="false">
      <c r="A122" s="1" t="s">
        <v>407</v>
      </c>
      <c r="B122" s="1" t="s">
        <v>500</v>
      </c>
      <c r="C122" s="1" t="s">
        <v>505</v>
      </c>
      <c r="D122" s="1" t="s">
        <v>283</v>
      </c>
      <c r="E122" s="73" t="n">
        <v>3</v>
      </c>
      <c r="F122" s="26" t="n">
        <v>20</v>
      </c>
      <c r="G122" s="26" t="n">
        <v>60</v>
      </c>
      <c r="H122" s="1" t="s">
        <v>506</v>
      </c>
    </row>
    <row r="123" customFormat="false" ht="15" hidden="false" customHeight="true" outlineLevel="0" collapsed="false">
      <c r="A123" s="1" t="s">
        <v>407</v>
      </c>
      <c r="B123" s="1" t="s">
        <v>500</v>
      </c>
      <c r="C123" s="1" t="s">
        <v>507</v>
      </c>
      <c r="D123" s="1" t="s">
        <v>283</v>
      </c>
      <c r="E123" s="73" t="n">
        <v>1</v>
      </c>
      <c r="F123" s="26" t="n">
        <v>387.64</v>
      </c>
      <c r="G123" s="26" t="n">
        <v>387.64</v>
      </c>
      <c r="H123" s="1" t="s">
        <v>508</v>
      </c>
    </row>
    <row r="124" customFormat="false" ht="15" hidden="false" customHeight="true" outlineLevel="0" collapsed="false">
      <c r="A124" s="1" t="s">
        <v>407</v>
      </c>
      <c r="B124" s="1" t="s">
        <v>500</v>
      </c>
      <c r="C124" s="1" t="s">
        <v>509</v>
      </c>
      <c r="D124" s="1" t="s">
        <v>283</v>
      </c>
      <c r="E124" s="73" t="n">
        <v>0</v>
      </c>
      <c r="F124" s="26" t="n">
        <v>0</v>
      </c>
      <c r="G124" s="26" t="n">
        <v>0</v>
      </c>
      <c r="H124" s="1" t="s">
        <v>510</v>
      </c>
    </row>
    <row r="125" customFormat="false" ht="15" hidden="false" customHeight="true" outlineLevel="0" collapsed="false">
      <c r="A125" s="1" t="s">
        <v>407</v>
      </c>
      <c r="B125" s="1" t="s">
        <v>500</v>
      </c>
      <c r="C125" s="1" t="s">
        <v>501</v>
      </c>
      <c r="D125" s="1" t="s">
        <v>280</v>
      </c>
      <c r="E125" s="73" t="n">
        <v>0</v>
      </c>
      <c r="F125" s="26" t="n">
        <v>0</v>
      </c>
      <c r="G125" s="26" t="n">
        <v>0</v>
      </c>
      <c r="H125" s="1" t="s">
        <v>511</v>
      </c>
    </row>
    <row r="126" customFormat="false" ht="15" hidden="false" customHeight="true" outlineLevel="0" collapsed="false">
      <c r="A126" s="1" t="s">
        <v>407</v>
      </c>
      <c r="B126" s="1" t="s">
        <v>500</v>
      </c>
      <c r="C126" s="1" t="s">
        <v>503</v>
      </c>
      <c r="D126" s="1" t="s">
        <v>280</v>
      </c>
      <c r="E126" s="73" t="n">
        <v>0</v>
      </c>
      <c r="F126" s="26" t="n">
        <v>0</v>
      </c>
      <c r="G126" s="26" t="n">
        <v>0</v>
      </c>
      <c r="H126" s="1" t="s">
        <v>512</v>
      </c>
    </row>
    <row r="127" customFormat="false" ht="15" hidden="false" customHeight="true" outlineLevel="0" collapsed="false">
      <c r="A127" s="1" t="s">
        <v>407</v>
      </c>
      <c r="B127" s="1" t="s">
        <v>500</v>
      </c>
      <c r="C127" s="1" t="s">
        <v>513</v>
      </c>
      <c r="D127" s="1" t="s">
        <v>280</v>
      </c>
      <c r="E127" s="73" t="n">
        <v>0</v>
      </c>
      <c r="F127" s="26" t="n">
        <v>0</v>
      </c>
      <c r="G127" s="26" t="n">
        <v>0</v>
      </c>
      <c r="H127" s="1" t="s">
        <v>510</v>
      </c>
    </row>
    <row r="128" customFormat="false" ht="15" hidden="false" customHeight="true" outlineLevel="0" collapsed="false">
      <c r="A128" s="1" t="s">
        <v>407</v>
      </c>
      <c r="B128" s="1" t="s">
        <v>500</v>
      </c>
      <c r="C128" s="1" t="s">
        <v>505</v>
      </c>
      <c r="D128" s="1" t="s">
        <v>280</v>
      </c>
      <c r="E128" s="73" t="n">
        <v>13</v>
      </c>
      <c r="F128" s="26" t="n">
        <v>20</v>
      </c>
      <c r="G128" s="26" t="n">
        <v>260</v>
      </c>
      <c r="H128" s="1" t="s">
        <v>506</v>
      </c>
    </row>
    <row r="129" customFormat="false" ht="15" hidden="false" customHeight="true" outlineLevel="0" collapsed="false">
      <c r="A129" s="1" t="s">
        <v>407</v>
      </c>
      <c r="B129" s="1" t="s">
        <v>500</v>
      </c>
      <c r="C129" s="1" t="s">
        <v>507</v>
      </c>
      <c r="D129" s="1" t="s">
        <v>280</v>
      </c>
      <c r="E129" s="73" t="n">
        <v>0</v>
      </c>
      <c r="F129" s="26" t="n">
        <v>0</v>
      </c>
      <c r="G129" s="26" t="n">
        <v>0</v>
      </c>
      <c r="H129" s="1" t="s">
        <v>508</v>
      </c>
    </row>
    <row r="130" customFormat="false" ht="15" hidden="false" customHeight="true" outlineLevel="0" collapsed="false">
      <c r="A130" s="1" t="s">
        <v>407</v>
      </c>
      <c r="B130" s="1" t="s">
        <v>500</v>
      </c>
      <c r="C130" s="1" t="s">
        <v>509</v>
      </c>
      <c r="D130" s="1" t="s">
        <v>280</v>
      </c>
      <c r="E130" s="73" t="n">
        <v>0</v>
      </c>
      <c r="F130" s="26" t="n">
        <v>0</v>
      </c>
      <c r="G130" s="26" t="n">
        <v>0</v>
      </c>
      <c r="H130" s="1" t="s">
        <v>510</v>
      </c>
    </row>
    <row r="131" customFormat="false" ht="15" hidden="false" customHeight="true" outlineLevel="0" collapsed="false">
      <c r="A131" s="1" t="s">
        <v>407</v>
      </c>
      <c r="B131" s="1" t="s">
        <v>500</v>
      </c>
      <c r="C131" s="1" t="s">
        <v>505</v>
      </c>
      <c r="D131" s="1" t="s">
        <v>274</v>
      </c>
      <c r="E131" s="73" t="n">
        <v>19</v>
      </c>
      <c r="F131" s="26" t="n">
        <v>20</v>
      </c>
      <c r="G131" s="26" t="n">
        <v>380</v>
      </c>
      <c r="H131" s="1" t="s">
        <v>506</v>
      </c>
    </row>
    <row r="132" customFormat="false" ht="15" hidden="false" customHeight="true" outlineLevel="0" collapsed="false">
      <c r="A132" s="1" t="s">
        <v>407</v>
      </c>
      <c r="B132" s="1" t="s">
        <v>500</v>
      </c>
      <c r="C132" s="1" t="s">
        <v>507</v>
      </c>
      <c r="D132" s="1" t="s">
        <v>274</v>
      </c>
      <c r="E132" s="73" t="n">
        <v>1</v>
      </c>
      <c r="F132" s="26" t="n">
        <v>1092.02</v>
      </c>
      <c r="G132" s="26" t="n">
        <v>1092.02</v>
      </c>
      <c r="H132" s="1" t="s">
        <v>508</v>
      </c>
    </row>
    <row r="133" customFormat="false" ht="15" hidden="false" customHeight="true" outlineLevel="0" collapsed="false">
      <c r="A133" s="1" t="s">
        <v>407</v>
      </c>
      <c r="B133" s="1" t="s">
        <v>500</v>
      </c>
      <c r="C133" s="1" t="s">
        <v>514</v>
      </c>
      <c r="D133" s="1" t="s">
        <v>274</v>
      </c>
      <c r="E133" s="73" t="n">
        <v>1</v>
      </c>
      <c r="F133" s="26" t="n">
        <v>1326.53</v>
      </c>
      <c r="G133" s="26" t="n">
        <v>1326.53</v>
      </c>
      <c r="H133" s="1" t="s">
        <v>510</v>
      </c>
    </row>
    <row r="134" customFormat="false" ht="15" hidden="false" customHeight="true" outlineLevel="0" collapsed="false">
      <c r="A134" s="1" t="s">
        <v>407</v>
      </c>
      <c r="B134" s="1" t="s">
        <v>500</v>
      </c>
      <c r="C134" s="1" t="s">
        <v>513</v>
      </c>
      <c r="D134" s="1" t="s">
        <v>275</v>
      </c>
      <c r="E134" s="73" t="n">
        <v>0</v>
      </c>
      <c r="F134" s="26" t="n">
        <v>0</v>
      </c>
      <c r="G134" s="26" t="n">
        <v>0</v>
      </c>
      <c r="H134" s="1" t="s">
        <v>515</v>
      </c>
    </row>
    <row r="135" customFormat="false" ht="15" hidden="false" customHeight="true" outlineLevel="0" collapsed="false">
      <c r="A135" s="1" t="s">
        <v>407</v>
      </c>
      <c r="B135" s="1" t="s">
        <v>500</v>
      </c>
      <c r="C135" s="1" t="s">
        <v>505</v>
      </c>
      <c r="D135" s="1" t="s">
        <v>275</v>
      </c>
      <c r="E135" s="73" t="n">
        <v>4</v>
      </c>
      <c r="F135" s="26" t="n">
        <v>20</v>
      </c>
      <c r="G135" s="26" t="n">
        <v>80</v>
      </c>
      <c r="H135" s="1" t="s">
        <v>506</v>
      </c>
    </row>
    <row r="136" customFormat="false" ht="15" hidden="false" customHeight="true" outlineLevel="0" collapsed="false">
      <c r="A136" s="1" t="s">
        <v>407</v>
      </c>
      <c r="B136" s="1" t="s">
        <v>500</v>
      </c>
      <c r="C136" s="1" t="s">
        <v>507</v>
      </c>
      <c r="D136" s="1" t="s">
        <v>275</v>
      </c>
      <c r="E136" s="73" t="n">
        <v>0</v>
      </c>
      <c r="F136" s="26" t="n">
        <v>0</v>
      </c>
      <c r="G136" s="26" t="n">
        <v>0</v>
      </c>
      <c r="H136" s="1" t="s">
        <v>508</v>
      </c>
    </row>
    <row r="137" customFormat="false" ht="15" hidden="false" customHeight="true" outlineLevel="0" collapsed="false">
      <c r="A137" s="1" t="s">
        <v>407</v>
      </c>
      <c r="B137" s="1" t="s">
        <v>500</v>
      </c>
      <c r="C137" s="1" t="s">
        <v>514</v>
      </c>
      <c r="D137" s="1" t="s">
        <v>275</v>
      </c>
      <c r="E137" s="73" t="n">
        <v>1</v>
      </c>
      <c r="F137" s="26" t="n">
        <v>366.53</v>
      </c>
      <c r="G137" s="26" t="n">
        <v>366.53</v>
      </c>
      <c r="H137" s="1" t="s">
        <v>510</v>
      </c>
    </row>
    <row r="138" customFormat="false" ht="15" hidden="false" customHeight="true" outlineLevel="0" collapsed="false">
      <c r="A138" s="1" t="s">
        <v>407</v>
      </c>
      <c r="B138" s="1" t="s">
        <v>500</v>
      </c>
      <c r="C138" s="1" t="s">
        <v>501</v>
      </c>
      <c r="D138" s="1" t="s">
        <v>272</v>
      </c>
      <c r="E138" s="73" t="n">
        <v>0</v>
      </c>
      <c r="F138" s="26" t="n">
        <v>0</v>
      </c>
      <c r="G138" s="26" t="n">
        <v>0</v>
      </c>
      <c r="H138" s="1" t="s">
        <v>516</v>
      </c>
    </row>
    <row r="139" customFormat="false" ht="15" hidden="false" customHeight="true" outlineLevel="0" collapsed="false">
      <c r="A139" s="1" t="s">
        <v>407</v>
      </c>
      <c r="B139" s="1" t="s">
        <v>500</v>
      </c>
      <c r="C139" s="1" t="s">
        <v>505</v>
      </c>
      <c r="D139" s="1" t="s">
        <v>272</v>
      </c>
      <c r="E139" s="73" t="n">
        <v>8</v>
      </c>
      <c r="F139" s="26" t="n">
        <v>20</v>
      </c>
      <c r="G139" s="26" t="n">
        <v>160</v>
      </c>
      <c r="H139" s="1" t="s">
        <v>506</v>
      </c>
    </row>
    <row r="140" customFormat="false" ht="15" hidden="false" customHeight="true" outlineLevel="0" collapsed="false">
      <c r="A140" s="1" t="s">
        <v>407</v>
      </c>
      <c r="B140" s="1" t="s">
        <v>500</v>
      </c>
      <c r="C140" s="1" t="s">
        <v>507</v>
      </c>
      <c r="D140" s="1" t="s">
        <v>272</v>
      </c>
      <c r="E140" s="73" t="n">
        <v>1</v>
      </c>
      <c r="F140" s="26" t="n">
        <v>643.2</v>
      </c>
      <c r="G140" s="26" t="n">
        <v>643.2</v>
      </c>
      <c r="H140" s="1" t="s">
        <v>508</v>
      </c>
    </row>
    <row r="141" customFormat="false" ht="15" hidden="false" customHeight="true" outlineLevel="0" collapsed="false">
      <c r="A141" s="1" t="s">
        <v>407</v>
      </c>
      <c r="B141" s="1" t="s">
        <v>500</v>
      </c>
      <c r="C141" s="1" t="s">
        <v>509</v>
      </c>
      <c r="D141" s="1" t="s">
        <v>272</v>
      </c>
      <c r="E141" s="73" t="n">
        <v>1</v>
      </c>
      <c r="F141" s="26" t="n">
        <v>664.27</v>
      </c>
      <c r="G141" s="26" t="n">
        <v>664.27</v>
      </c>
      <c r="H141" s="1" t="s">
        <v>510</v>
      </c>
    </row>
    <row r="142" customFormat="false" ht="15" hidden="false" customHeight="true" outlineLevel="0" collapsed="false">
      <c r="A142" s="1" t="s">
        <v>407</v>
      </c>
      <c r="B142" s="1" t="s">
        <v>517</v>
      </c>
      <c r="C142" s="1" t="s">
        <v>518</v>
      </c>
      <c r="D142" s="1" t="s">
        <v>277</v>
      </c>
      <c r="E142" s="73" t="n">
        <v>0</v>
      </c>
      <c r="F142" s="26" t="n">
        <v>0</v>
      </c>
      <c r="G142" s="26" t="n">
        <v>0</v>
      </c>
      <c r="H142" s="1" t="s">
        <v>519</v>
      </c>
    </row>
    <row r="143" customFormat="false" ht="15" hidden="false" customHeight="true" outlineLevel="0" collapsed="false">
      <c r="A143" s="1" t="s">
        <v>407</v>
      </c>
      <c r="B143" s="1" t="s">
        <v>517</v>
      </c>
      <c r="C143" s="1" t="s">
        <v>520</v>
      </c>
      <c r="D143" s="1" t="s">
        <v>277</v>
      </c>
      <c r="E143" s="73" t="n">
        <v>0</v>
      </c>
      <c r="F143" s="26" t="n">
        <v>0</v>
      </c>
      <c r="G143" s="26" t="n">
        <v>0</v>
      </c>
      <c r="H143" s="1" t="s">
        <v>521</v>
      </c>
    </row>
    <row r="144" customFormat="false" ht="15" hidden="false" customHeight="true" outlineLevel="0" collapsed="false">
      <c r="A144" s="1" t="s">
        <v>407</v>
      </c>
      <c r="B144" s="1" t="s">
        <v>517</v>
      </c>
      <c r="C144" s="1" t="s">
        <v>522</v>
      </c>
      <c r="D144" s="1" t="s">
        <v>277</v>
      </c>
      <c r="E144" s="73" t="n">
        <v>0</v>
      </c>
      <c r="F144" s="26" t="n">
        <v>0</v>
      </c>
      <c r="G144" s="26" t="n">
        <v>0</v>
      </c>
      <c r="H144" s="1" t="s">
        <v>523</v>
      </c>
    </row>
    <row r="145" customFormat="false" ht="15" hidden="false" customHeight="true" outlineLevel="0" collapsed="false">
      <c r="A145" s="1" t="s">
        <v>407</v>
      </c>
      <c r="B145" s="1" t="s">
        <v>517</v>
      </c>
      <c r="C145" s="1" t="s">
        <v>524</v>
      </c>
      <c r="D145" s="1" t="s">
        <v>277</v>
      </c>
      <c r="E145" s="73" t="n">
        <v>0</v>
      </c>
      <c r="F145" s="26" t="n">
        <v>0</v>
      </c>
      <c r="G145" s="26" t="n">
        <v>0</v>
      </c>
      <c r="H145" s="1" t="s">
        <v>525</v>
      </c>
    </row>
    <row r="146" customFormat="false" ht="15" hidden="false" customHeight="true" outlineLevel="0" collapsed="false">
      <c r="A146" s="1" t="s">
        <v>407</v>
      </c>
      <c r="B146" s="1" t="s">
        <v>517</v>
      </c>
      <c r="C146" s="1" t="s">
        <v>526</v>
      </c>
      <c r="D146" s="1" t="s">
        <v>279</v>
      </c>
      <c r="E146" s="73" t="n">
        <v>1</v>
      </c>
      <c r="F146" s="26" t="n">
        <v>315.66</v>
      </c>
      <c r="G146" s="26" t="n">
        <v>315.66</v>
      </c>
      <c r="H146" s="1" t="s">
        <v>527</v>
      </c>
    </row>
    <row r="147" customFormat="false" ht="15" hidden="false" customHeight="true" outlineLevel="0" collapsed="false">
      <c r="A147" s="1" t="s">
        <v>407</v>
      </c>
      <c r="B147" s="1" t="s">
        <v>517</v>
      </c>
      <c r="C147" s="1" t="s">
        <v>528</v>
      </c>
      <c r="D147" s="1" t="s">
        <v>279</v>
      </c>
      <c r="E147" s="73" t="n">
        <v>0</v>
      </c>
      <c r="F147" s="26" t="n">
        <v>0</v>
      </c>
      <c r="G147" s="26" t="n">
        <v>0</v>
      </c>
      <c r="H147" s="1" t="s">
        <v>529</v>
      </c>
    </row>
    <row r="148" customFormat="false" ht="15" hidden="false" customHeight="true" outlineLevel="0" collapsed="false">
      <c r="A148" s="1" t="s">
        <v>407</v>
      </c>
      <c r="B148" s="1" t="s">
        <v>517</v>
      </c>
      <c r="C148" s="1" t="s">
        <v>530</v>
      </c>
      <c r="D148" s="1" t="s">
        <v>283</v>
      </c>
      <c r="E148" s="73" t="n">
        <v>1</v>
      </c>
      <c r="F148" s="26" t="n">
        <v>64.68</v>
      </c>
      <c r="G148" s="26" t="n">
        <v>64.68</v>
      </c>
      <c r="H148" s="1" t="s">
        <v>531</v>
      </c>
    </row>
    <row r="149" customFormat="false" ht="15" hidden="false" customHeight="true" outlineLevel="0" collapsed="false">
      <c r="A149" s="1" t="s">
        <v>407</v>
      </c>
      <c r="B149" s="1" t="s">
        <v>517</v>
      </c>
      <c r="C149" s="1" t="s">
        <v>532</v>
      </c>
      <c r="D149" s="1" t="s">
        <v>283</v>
      </c>
      <c r="E149" s="73" t="n">
        <v>-1</v>
      </c>
      <c r="F149" s="26" t="n">
        <v>2120.72</v>
      </c>
      <c r="G149" s="26" t="n">
        <v>-2120.72</v>
      </c>
      <c r="H149" s="1" t="s">
        <v>533</v>
      </c>
    </row>
    <row r="150" customFormat="false" ht="15" hidden="false" customHeight="true" outlineLevel="0" collapsed="false">
      <c r="A150" s="1" t="s">
        <v>407</v>
      </c>
      <c r="B150" s="1" t="s">
        <v>517</v>
      </c>
      <c r="C150" s="1" t="s">
        <v>534</v>
      </c>
      <c r="D150" s="1" t="s">
        <v>283</v>
      </c>
      <c r="E150" s="73" t="n">
        <v>0</v>
      </c>
      <c r="F150" s="26" t="n">
        <v>0</v>
      </c>
      <c r="G150" s="26" t="n">
        <v>0</v>
      </c>
      <c r="H150" s="1" t="s">
        <v>527</v>
      </c>
    </row>
    <row r="151" customFormat="false" ht="15" hidden="false" customHeight="true" outlineLevel="0" collapsed="false">
      <c r="A151" s="1" t="s">
        <v>407</v>
      </c>
      <c r="B151" s="1" t="s">
        <v>517</v>
      </c>
      <c r="C151" s="1" t="s">
        <v>535</v>
      </c>
      <c r="D151" s="1" t="s">
        <v>283</v>
      </c>
      <c r="E151" s="73" t="n">
        <v>1</v>
      </c>
      <c r="F151" s="26" t="n">
        <v>310.32</v>
      </c>
      <c r="G151" s="26" t="n">
        <v>310.32</v>
      </c>
      <c r="H151" s="1" t="s">
        <v>536</v>
      </c>
    </row>
    <row r="152" customFormat="false" ht="15" hidden="false" customHeight="true" outlineLevel="0" collapsed="false">
      <c r="A152" s="1" t="s">
        <v>407</v>
      </c>
      <c r="B152" s="1" t="s">
        <v>517</v>
      </c>
      <c r="C152" s="1" t="s">
        <v>537</v>
      </c>
      <c r="D152" s="1" t="s">
        <v>283</v>
      </c>
      <c r="E152" s="73" t="n">
        <v>-1</v>
      </c>
      <c r="F152" s="26" t="n">
        <v>4279.74</v>
      </c>
      <c r="G152" s="26" t="n">
        <v>-4279.74</v>
      </c>
      <c r="H152" s="1" t="s">
        <v>536</v>
      </c>
    </row>
    <row r="153" customFormat="false" ht="15" hidden="false" customHeight="true" outlineLevel="0" collapsed="false">
      <c r="A153" s="1" t="s">
        <v>407</v>
      </c>
      <c r="B153" s="1" t="s">
        <v>517</v>
      </c>
      <c r="C153" s="1" t="s">
        <v>538</v>
      </c>
      <c r="D153" s="1" t="s">
        <v>283</v>
      </c>
      <c r="E153" s="73" t="n">
        <v>1</v>
      </c>
      <c r="F153" s="26" t="n">
        <v>1612.93</v>
      </c>
      <c r="G153" s="26" t="n">
        <v>1612.93</v>
      </c>
      <c r="H153" s="1" t="s">
        <v>539</v>
      </c>
    </row>
    <row r="154" customFormat="false" ht="15" hidden="false" customHeight="true" outlineLevel="0" collapsed="false">
      <c r="A154" s="1" t="s">
        <v>407</v>
      </c>
      <c r="B154" s="1" t="s">
        <v>517</v>
      </c>
      <c r="C154" s="1" t="s">
        <v>540</v>
      </c>
      <c r="D154" s="1" t="s">
        <v>280</v>
      </c>
      <c r="E154" s="73" t="n">
        <v>0</v>
      </c>
      <c r="F154" s="26" t="n">
        <v>0</v>
      </c>
      <c r="G154" s="26" t="n">
        <v>0</v>
      </c>
      <c r="H154" s="1" t="s">
        <v>527</v>
      </c>
    </row>
    <row r="155" customFormat="false" ht="15" hidden="false" customHeight="true" outlineLevel="0" collapsed="false">
      <c r="A155" s="1" t="s">
        <v>407</v>
      </c>
      <c r="B155" s="1" t="s">
        <v>517</v>
      </c>
      <c r="C155" s="1" t="s">
        <v>541</v>
      </c>
      <c r="D155" s="1" t="s">
        <v>280</v>
      </c>
      <c r="E155" s="73" t="n">
        <v>0</v>
      </c>
      <c r="F155" s="26" t="n">
        <v>0</v>
      </c>
      <c r="G155" s="26" t="n">
        <v>0</v>
      </c>
      <c r="H155" s="1" t="s">
        <v>542</v>
      </c>
    </row>
    <row r="156" customFormat="false" ht="15" hidden="false" customHeight="true" outlineLevel="0" collapsed="false">
      <c r="A156" s="1" t="s">
        <v>407</v>
      </c>
      <c r="B156" s="1" t="s">
        <v>517</v>
      </c>
      <c r="C156" s="1" t="s">
        <v>543</v>
      </c>
      <c r="D156" s="1" t="s">
        <v>274</v>
      </c>
      <c r="E156" s="73" t="n">
        <v>0</v>
      </c>
      <c r="F156" s="26" t="n">
        <v>0</v>
      </c>
      <c r="G156" s="26" t="n">
        <v>0</v>
      </c>
      <c r="H156" s="1" t="s">
        <v>544</v>
      </c>
    </row>
    <row r="157" customFormat="false" ht="15" hidden="false" customHeight="true" outlineLevel="0" collapsed="false">
      <c r="A157" s="1" t="s">
        <v>407</v>
      </c>
      <c r="B157" s="1" t="s">
        <v>517</v>
      </c>
      <c r="C157" s="1" t="s">
        <v>545</v>
      </c>
      <c r="D157" s="1" t="s">
        <v>274</v>
      </c>
      <c r="E157" s="73" t="n">
        <v>0</v>
      </c>
      <c r="F157" s="26" t="n">
        <v>0</v>
      </c>
      <c r="G157" s="26" t="n">
        <v>0</v>
      </c>
      <c r="H157" s="1" t="s">
        <v>519</v>
      </c>
    </row>
    <row r="158" customFormat="false" ht="15" hidden="false" customHeight="true" outlineLevel="0" collapsed="false">
      <c r="A158" s="1" t="s">
        <v>407</v>
      </c>
      <c r="B158" s="1" t="s">
        <v>517</v>
      </c>
      <c r="C158" s="1" t="s">
        <v>546</v>
      </c>
      <c r="D158" s="1" t="s">
        <v>274</v>
      </c>
      <c r="E158" s="73" t="n">
        <v>0</v>
      </c>
      <c r="F158" s="26" t="n">
        <v>0</v>
      </c>
      <c r="G158" s="26" t="n">
        <v>0</v>
      </c>
      <c r="H158" s="1" t="s">
        <v>523</v>
      </c>
    </row>
    <row r="159" customFormat="false" ht="15" hidden="false" customHeight="true" outlineLevel="0" collapsed="false">
      <c r="A159" s="1" t="s">
        <v>407</v>
      </c>
      <c r="B159" s="1" t="s">
        <v>517</v>
      </c>
      <c r="C159" s="1" t="s">
        <v>547</v>
      </c>
      <c r="D159" s="1" t="s">
        <v>274</v>
      </c>
      <c r="E159" s="73" t="n">
        <v>0</v>
      </c>
      <c r="F159" s="26" t="n">
        <v>0</v>
      </c>
      <c r="G159" s="26" t="n">
        <v>0</v>
      </c>
      <c r="H159" s="1" t="s">
        <v>529</v>
      </c>
    </row>
    <row r="160" customFormat="false" ht="15" hidden="false" customHeight="true" outlineLevel="0" collapsed="false">
      <c r="A160" s="1" t="s">
        <v>407</v>
      </c>
      <c r="B160" s="1" t="s">
        <v>517</v>
      </c>
      <c r="C160" s="1" t="s">
        <v>543</v>
      </c>
      <c r="D160" s="1" t="s">
        <v>275</v>
      </c>
      <c r="E160" s="73" t="n">
        <v>0</v>
      </c>
      <c r="F160" s="26" t="n">
        <v>0</v>
      </c>
      <c r="G160" s="26" t="n">
        <v>0</v>
      </c>
      <c r="H160" s="1" t="s">
        <v>527</v>
      </c>
    </row>
    <row r="161" customFormat="false" ht="15" hidden="false" customHeight="true" outlineLevel="0" collapsed="false">
      <c r="A161" s="1" t="s">
        <v>407</v>
      </c>
      <c r="B161" s="1" t="s">
        <v>517</v>
      </c>
      <c r="C161" s="1" t="s">
        <v>548</v>
      </c>
      <c r="D161" s="1" t="s">
        <v>275</v>
      </c>
      <c r="E161" s="73" t="n">
        <v>0</v>
      </c>
      <c r="F161" s="26" t="n">
        <v>0</v>
      </c>
      <c r="G161" s="26" t="n">
        <v>0</v>
      </c>
      <c r="H161" s="1" t="s">
        <v>527</v>
      </c>
    </row>
    <row r="162" customFormat="false" ht="15" hidden="false" customHeight="true" outlineLevel="0" collapsed="false">
      <c r="A162" s="1" t="s">
        <v>407</v>
      </c>
      <c r="B162" s="1" t="s">
        <v>517</v>
      </c>
      <c r="C162" s="1" t="s">
        <v>549</v>
      </c>
      <c r="D162" s="1" t="s">
        <v>275</v>
      </c>
      <c r="E162" s="73" t="n">
        <v>0</v>
      </c>
      <c r="F162" s="26" t="n">
        <v>0</v>
      </c>
      <c r="G162" s="26" t="n">
        <v>0</v>
      </c>
      <c r="H162" s="1" t="s">
        <v>542</v>
      </c>
    </row>
    <row r="163" customFormat="false" ht="15" hidden="false" customHeight="true" outlineLevel="0" collapsed="false">
      <c r="A163" s="1" t="s">
        <v>407</v>
      </c>
      <c r="B163" s="1" t="s">
        <v>517</v>
      </c>
      <c r="C163" s="1" t="s">
        <v>547</v>
      </c>
      <c r="D163" s="1" t="s">
        <v>275</v>
      </c>
      <c r="E163" s="73" t="n">
        <v>0</v>
      </c>
      <c r="F163" s="26" t="n">
        <v>0</v>
      </c>
      <c r="G163" s="26" t="n">
        <v>0</v>
      </c>
      <c r="H163" s="1" t="s">
        <v>550</v>
      </c>
    </row>
    <row r="164" customFormat="false" ht="15" hidden="false" customHeight="true" outlineLevel="0" collapsed="false">
      <c r="A164" s="1" t="s">
        <v>407</v>
      </c>
      <c r="B164" s="1" t="s">
        <v>517</v>
      </c>
      <c r="C164" s="1" t="s">
        <v>551</v>
      </c>
      <c r="D164" s="1" t="s">
        <v>272</v>
      </c>
      <c r="E164" s="73" t="n">
        <v>4782</v>
      </c>
      <c r="F164" s="26" t="n">
        <v>0.31</v>
      </c>
      <c r="G164" s="26" t="n">
        <v>1482.42</v>
      </c>
      <c r="H164" s="1" t="s">
        <v>410</v>
      </c>
    </row>
    <row r="165" customFormat="false" ht="15" hidden="false" customHeight="true" outlineLevel="0" collapsed="false">
      <c r="A165" s="1" t="s">
        <v>407</v>
      </c>
      <c r="B165" s="1" t="s">
        <v>517</v>
      </c>
      <c r="C165" s="1" t="s">
        <v>552</v>
      </c>
      <c r="D165" s="1" t="s">
        <v>272</v>
      </c>
      <c r="E165" s="73" t="n">
        <v>1</v>
      </c>
      <c r="F165" s="26" t="n">
        <v>2480.38</v>
      </c>
      <c r="G165" s="26" t="n">
        <v>2480.38</v>
      </c>
      <c r="H165" s="1" t="s">
        <v>527</v>
      </c>
    </row>
    <row r="166" customFormat="false" ht="15" hidden="false" customHeight="true" outlineLevel="0" collapsed="false">
      <c r="A166" s="1" t="s">
        <v>407</v>
      </c>
      <c r="B166" s="1" t="s">
        <v>517</v>
      </c>
      <c r="C166" s="1" t="s">
        <v>553</v>
      </c>
      <c r="D166" s="1" t="s">
        <v>272</v>
      </c>
      <c r="E166" s="73" t="n">
        <v>0</v>
      </c>
      <c r="F166" s="26" t="n">
        <v>0</v>
      </c>
      <c r="G166" s="26" t="n">
        <v>0</v>
      </c>
      <c r="H166" s="1" t="s">
        <v>527</v>
      </c>
    </row>
    <row r="167" customFormat="false" ht="15" hidden="false" customHeight="true" outlineLevel="0" collapsed="false">
      <c r="A167" s="1" t="s">
        <v>407</v>
      </c>
      <c r="B167" s="1" t="s">
        <v>517</v>
      </c>
      <c r="C167" s="1" t="s">
        <v>554</v>
      </c>
      <c r="D167" s="1" t="s">
        <v>272</v>
      </c>
      <c r="E167" s="73" t="n">
        <v>1</v>
      </c>
      <c r="F167" s="26" t="n">
        <v>13877.08</v>
      </c>
      <c r="G167" s="26" t="n">
        <v>13877.08</v>
      </c>
      <c r="H167" s="1" t="s">
        <v>550</v>
      </c>
    </row>
    <row r="168" customFormat="false" ht="15" hidden="false" customHeight="true" outlineLevel="0" collapsed="false">
      <c r="A168" s="1" t="s">
        <v>407</v>
      </c>
      <c r="B168" s="1" t="s">
        <v>517</v>
      </c>
      <c r="C168" s="1" t="s">
        <v>555</v>
      </c>
      <c r="D168" s="1" t="s">
        <v>272</v>
      </c>
      <c r="E168" s="73" t="n">
        <v>0</v>
      </c>
      <c r="F168" s="26" t="n">
        <v>0</v>
      </c>
      <c r="G168" s="26" t="n">
        <v>0</v>
      </c>
      <c r="H168" s="1" t="s">
        <v>542</v>
      </c>
    </row>
    <row r="169" customFormat="false" ht="15" hidden="false" customHeight="true" outlineLevel="0" collapsed="false">
      <c r="A169" s="1" t="s">
        <v>407</v>
      </c>
      <c r="B169" s="1" t="s">
        <v>556</v>
      </c>
      <c r="C169" s="1" t="s">
        <v>557</v>
      </c>
      <c r="D169" s="1" t="s">
        <v>279</v>
      </c>
      <c r="E169" s="73" t="n">
        <v>1</v>
      </c>
      <c r="F169" s="26" t="n">
        <v>238.88</v>
      </c>
      <c r="G169" s="26" t="n">
        <v>238.88</v>
      </c>
      <c r="H169" s="1" t="s">
        <v>558</v>
      </c>
    </row>
    <row r="170" customFormat="false" ht="15" hidden="false" customHeight="true" outlineLevel="0" collapsed="false">
      <c r="A170" s="1" t="s">
        <v>407</v>
      </c>
      <c r="B170" s="1" t="s">
        <v>556</v>
      </c>
      <c r="C170" s="1" t="s">
        <v>559</v>
      </c>
      <c r="D170" s="1" t="s">
        <v>279</v>
      </c>
      <c r="E170" s="73" t="n">
        <v>1</v>
      </c>
      <c r="F170" s="26" t="n">
        <v>609.17</v>
      </c>
      <c r="G170" s="26" t="n">
        <v>609.17</v>
      </c>
      <c r="H170" s="1" t="s">
        <v>558</v>
      </c>
    </row>
    <row r="171" customFormat="false" ht="15" hidden="false" customHeight="true" outlineLevel="0" collapsed="false">
      <c r="A171" s="1" t="s">
        <v>407</v>
      </c>
      <c r="B171" s="1" t="s">
        <v>556</v>
      </c>
      <c r="C171" s="1" t="s">
        <v>560</v>
      </c>
      <c r="D171" s="1" t="s">
        <v>279</v>
      </c>
      <c r="E171" s="73" t="n">
        <v>1</v>
      </c>
      <c r="F171" s="26" t="n">
        <v>510</v>
      </c>
      <c r="G171" s="26" t="n">
        <v>510</v>
      </c>
      <c r="H171" s="1" t="s">
        <v>558</v>
      </c>
    </row>
    <row r="172" customFormat="false" ht="15" hidden="false" customHeight="true" outlineLevel="0" collapsed="false">
      <c r="A172" s="1" t="s">
        <v>407</v>
      </c>
      <c r="B172" s="1" t="s">
        <v>556</v>
      </c>
      <c r="C172" s="1" t="s">
        <v>561</v>
      </c>
      <c r="D172" s="1" t="s">
        <v>279</v>
      </c>
      <c r="E172" s="73" t="n">
        <v>1</v>
      </c>
      <c r="F172" s="26" t="n">
        <v>333.1</v>
      </c>
      <c r="G172" s="26" t="n">
        <v>333.1</v>
      </c>
      <c r="H172" s="1" t="s">
        <v>562</v>
      </c>
    </row>
    <row r="173" customFormat="false" ht="15" hidden="false" customHeight="true" outlineLevel="0" collapsed="false">
      <c r="A173" s="1" t="s">
        <v>407</v>
      </c>
      <c r="B173" s="1" t="s">
        <v>556</v>
      </c>
      <c r="C173" s="1" t="s">
        <v>563</v>
      </c>
      <c r="D173" s="1" t="s">
        <v>279</v>
      </c>
      <c r="E173" s="73" t="n">
        <v>1</v>
      </c>
      <c r="F173" s="26" t="n">
        <v>1833.24</v>
      </c>
      <c r="G173" s="26" t="n">
        <v>1833.24</v>
      </c>
      <c r="H173" s="1" t="s">
        <v>558</v>
      </c>
    </row>
    <row r="174" customFormat="false" ht="15" hidden="false" customHeight="true" outlineLevel="0" collapsed="false">
      <c r="A174" s="1" t="s">
        <v>407</v>
      </c>
      <c r="B174" s="1" t="s">
        <v>556</v>
      </c>
      <c r="C174" s="1" t="s">
        <v>564</v>
      </c>
      <c r="D174" s="1" t="s">
        <v>279</v>
      </c>
      <c r="E174" s="73" t="n">
        <v>1</v>
      </c>
      <c r="F174" s="26" t="n">
        <v>2973.2</v>
      </c>
      <c r="G174" s="26" t="n">
        <v>2973.2</v>
      </c>
      <c r="H174" s="1" t="s">
        <v>558</v>
      </c>
    </row>
    <row r="175" customFormat="false" ht="15" hidden="false" customHeight="true" outlineLevel="0" collapsed="false">
      <c r="A175" s="1" t="s">
        <v>407</v>
      </c>
      <c r="B175" s="1" t="s">
        <v>556</v>
      </c>
      <c r="C175" s="1" t="s">
        <v>565</v>
      </c>
      <c r="D175" s="1" t="s">
        <v>279</v>
      </c>
      <c r="E175" s="73" t="n">
        <v>1</v>
      </c>
      <c r="F175" s="26" t="n">
        <v>7615.46</v>
      </c>
      <c r="G175" s="26" t="n">
        <v>7615.46</v>
      </c>
      <c r="H175" s="1" t="s">
        <v>558</v>
      </c>
    </row>
    <row r="176" customFormat="false" ht="15" hidden="false" customHeight="true" outlineLevel="0" collapsed="false">
      <c r="A176" s="1" t="s">
        <v>407</v>
      </c>
      <c r="B176" s="1" t="s">
        <v>556</v>
      </c>
      <c r="C176" s="1" t="s">
        <v>566</v>
      </c>
      <c r="D176" s="1" t="s">
        <v>280</v>
      </c>
      <c r="E176" s="73" t="n">
        <v>-1</v>
      </c>
      <c r="F176" s="26" t="n">
        <v>837.25</v>
      </c>
      <c r="G176" s="26" t="n">
        <v>-837.25</v>
      </c>
      <c r="H176" s="1" t="s">
        <v>567</v>
      </c>
    </row>
    <row r="177" customFormat="false" ht="15" hidden="false" customHeight="true" outlineLevel="0" collapsed="false">
      <c r="A177" s="1" t="s">
        <v>407</v>
      </c>
      <c r="B177" s="1" t="s">
        <v>556</v>
      </c>
      <c r="C177" s="1" t="s">
        <v>557</v>
      </c>
      <c r="D177" s="1" t="s">
        <v>280</v>
      </c>
      <c r="E177" s="73" t="n">
        <v>-1</v>
      </c>
      <c r="F177" s="26" t="n">
        <v>238.88</v>
      </c>
      <c r="G177" s="26" t="n">
        <v>-238.88</v>
      </c>
      <c r="H177" s="1" t="s">
        <v>558</v>
      </c>
    </row>
    <row r="178" customFormat="false" ht="15" hidden="false" customHeight="true" outlineLevel="0" collapsed="false">
      <c r="A178" s="1" t="s">
        <v>407</v>
      </c>
      <c r="B178" s="1" t="s">
        <v>556</v>
      </c>
      <c r="C178" s="1" t="s">
        <v>557</v>
      </c>
      <c r="D178" s="1" t="s">
        <v>280</v>
      </c>
      <c r="E178" s="73" t="n">
        <v>1</v>
      </c>
      <c r="F178" s="26" t="n">
        <v>34.83</v>
      </c>
      <c r="G178" s="26" t="n">
        <v>34.83</v>
      </c>
      <c r="H178" s="1" t="s">
        <v>568</v>
      </c>
    </row>
    <row r="179" customFormat="false" ht="15" hidden="false" customHeight="true" outlineLevel="0" collapsed="false">
      <c r="A179" s="1" t="s">
        <v>407</v>
      </c>
      <c r="B179" s="1" t="s">
        <v>556</v>
      </c>
      <c r="C179" s="1" t="s">
        <v>442</v>
      </c>
      <c r="D179" s="1" t="s">
        <v>272</v>
      </c>
      <c r="E179" s="73" t="n">
        <v>1</v>
      </c>
      <c r="F179" s="26" t="n">
        <v>25.5</v>
      </c>
      <c r="G179" s="26" t="n">
        <v>25.5</v>
      </c>
      <c r="H179" s="1" t="s">
        <v>569</v>
      </c>
    </row>
    <row r="180" customFormat="false" ht="15" hidden="false" customHeight="true" outlineLevel="0" collapsed="false">
      <c r="A180" s="1" t="s">
        <v>407</v>
      </c>
      <c r="B180" s="1" t="s">
        <v>556</v>
      </c>
      <c r="C180" s="1" t="s">
        <v>560</v>
      </c>
      <c r="D180" s="1" t="s">
        <v>272</v>
      </c>
      <c r="E180" s="73" t="n">
        <v>1</v>
      </c>
      <c r="F180" s="26" t="n">
        <v>67.33</v>
      </c>
      <c r="G180" s="26" t="n">
        <v>67.33</v>
      </c>
      <c r="H180" s="1" t="s">
        <v>570</v>
      </c>
    </row>
    <row r="181" customFormat="false" ht="15" hidden="false" customHeight="true" outlineLevel="0" collapsed="false">
      <c r="A181" s="1" t="s">
        <v>407</v>
      </c>
      <c r="B181" s="1" t="s">
        <v>556</v>
      </c>
      <c r="C181" s="1" t="s">
        <v>560</v>
      </c>
      <c r="D181" s="1" t="s">
        <v>272</v>
      </c>
      <c r="E181" s="73" t="n">
        <v>-1</v>
      </c>
      <c r="F181" s="26" t="n">
        <v>510</v>
      </c>
      <c r="G181" s="26" t="n">
        <v>-510</v>
      </c>
      <c r="H181" s="1" t="s">
        <v>558</v>
      </c>
    </row>
    <row r="182" customFormat="false" ht="15" hidden="false" customHeight="true" outlineLevel="0" collapsed="false">
      <c r="A182" s="1" t="s">
        <v>407</v>
      </c>
      <c r="B182" s="1" t="s">
        <v>47</v>
      </c>
      <c r="C182" s="1" t="s">
        <v>571</v>
      </c>
      <c r="D182" s="1" t="s">
        <v>277</v>
      </c>
      <c r="E182" s="73" t="n">
        <v>1</v>
      </c>
      <c r="F182" s="26" t="n">
        <v>7780.43</v>
      </c>
      <c r="G182" s="26" t="n">
        <v>7780.43</v>
      </c>
      <c r="H182" s="1" t="s">
        <v>572</v>
      </c>
    </row>
    <row r="183" customFormat="false" ht="15" hidden="false" customHeight="true" outlineLevel="0" collapsed="false">
      <c r="A183" s="1" t="s">
        <v>407</v>
      </c>
      <c r="B183" s="1" t="s">
        <v>47</v>
      </c>
      <c r="C183" s="1" t="s">
        <v>571</v>
      </c>
      <c r="D183" s="1" t="s">
        <v>279</v>
      </c>
      <c r="E183" s="73" t="n">
        <v>1</v>
      </c>
      <c r="F183" s="26" t="n">
        <v>2777.71</v>
      </c>
      <c r="G183" s="26" t="n">
        <v>2777.71</v>
      </c>
      <c r="H183" s="1" t="s">
        <v>573</v>
      </c>
    </row>
    <row r="184" customFormat="false" ht="15" hidden="false" customHeight="true" outlineLevel="0" collapsed="false">
      <c r="A184" s="1" t="s">
        <v>407</v>
      </c>
      <c r="B184" s="1" t="s">
        <v>47</v>
      </c>
      <c r="C184" s="1" t="s">
        <v>571</v>
      </c>
      <c r="D184" s="1" t="s">
        <v>283</v>
      </c>
      <c r="E184" s="73" t="n">
        <v>0</v>
      </c>
      <c r="F184" s="26" t="n">
        <v>0</v>
      </c>
      <c r="G184" s="26" t="n">
        <v>0</v>
      </c>
      <c r="H184" s="1" t="s">
        <v>574</v>
      </c>
    </row>
    <row r="185" customFormat="false" ht="15" hidden="false" customHeight="true" outlineLevel="0" collapsed="false">
      <c r="A185" s="1" t="s">
        <v>407</v>
      </c>
      <c r="B185" s="1" t="s">
        <v>47</v>
      </c>
      <c r="C185" s="1" t="s">
        <v>571</v>
      </c>
      <c r="D185" s="1" t="s">
        <v>280</v>
      </c>
      <c r="E185" s="73" t="n">
        <v>1</v>
      </c>
      <c r="F185" s="26" t="n">
        <v>4438.18</v>
      </c>
      <c r="G185" s="26" t="n">
        <v>4438.18</v>
      </c>
      <c r="H185" s="1" t="s">
        <v>575</v>
      </c>
    </row>
    <row r="186" customFormat="false" ht="15" hidden="false" customHeight="true" outlineLevel="0" collapsed="false">
      <c r="A186" s="1" t="s">
        <v>407</v>
      </c>
      <c r="B186" s="1" t="s">
        <v>47</v>
      </c>
      <c r="C186" s="1" t="s">
        <v>571</v>
      </c>
      <c r="D186" s="1" t="s">
        <v>274</v>
      </c>
      <c r="E186" s="73" t="n">
        <v>1</v>
      </c>
      <c r="F186" s="26" t="n">
        <v>5054.07</v>
      </c>
      <c r="G186" s="26" t="n">
        <v>5054.07</v>
      </c>
      <c r="H186" s="1" t="s">
        <v>576</v>
      </c>
    </row>
    <row r="187" customFormat="false" ht="15" hidden="false" customHeight="true" outlineLevel="0" collapsed="false">
      <c r="A187" s="1" t="s">
        <v>407</v>
      </c>
      <c r="B187" s="1" t="s">
        <v>47</v>
      </c>
      <c r="C187" s="1" t="s">
        <v>571</v>
      </c>
      <c r="D187" s="1" t="s">
        <v>275</v>
      </c>
      <c r="E187" s="73" t="n">
        <v>0</v>
      </c>
      <c r="F187" s="26" t="n">
        <v>0</v>
      </c>
      <c r="G187" s="26" t="n">
        <v>0</v>
      </c>
      <c r="H187" s="1" t="s">
        <v>574</v>
      </c>
    </row>
    <row r="188" customFormat="false" ht="15" hidden="false" customHeight="true" outlineLevel="0" collapsed="false">
      <c r="A188" s="1" t="s">
        <v>407</v>
      </c>
      <c r="B188" s="1" t="s">
        <v>47</v>
      </c>
      <c r="C188" s="1" t="s">
        <v>571</v>
      </c>
      <c r="D188" s="1" t="s">
        <v>272</v>
      </c>
      <c r="E188" s="73" t="n">
        <v>1</v>
      </c>
      <c r="F188" s="26" t="n">
        <v>1379.96</v>
      </c>
      <c r="G188" s="26" t="n">
        <v>1379.96</v>
      </c>
      <c r="H188" s="1" t="s">
        <v>577</v>
      </c>
    </row>
    <row r="189" customFormat="false" ht="15" hidden="false" customHeight="true" outlineLevel="0" collapsed="false">
      <c r="A189" s="1" t="s">
        <v>407</v>
      </c>
      <c r="B189" s="1" t="s">
        <v>85</v>
      </c>
      <c r="C189" s="1" t="s">
        <v>578</v>
      </c>
      <c r="D189" s="1" t="s">
        <v>265</v>
      </c>
      <c r="E189" s="73" t="n">
        <v>1</v>
      </c>
      <c r="F189" s="26" t="n">
        <v>404.4</v>
      </c>
      <c r="G189" s="26" t="n">
        <v>404.4</v>
      </c>
      <c r="H189" s="1" t="s">
        <v>579</v>
      </c>
    </row>
    <row r="190" customFormat="false" ht="15" hidden="false" customHeight="true" outlineLevel="0" collapsed="false">
      <c r="A190" s="1" t="s">
        <v>407</v>
      </c>
      <c r="B190" s="1" t="s">
        <v>85</v>
      </c>
      <c r="C190" s="1" t="s">
        <v>578</v>
      </c>
      <c r="D190" s="1" t="s">
        <v>265</v>
      </c>
      <c r="E190" s="73" t="n">
        <v>139</v>
      </c>
      <c r="F190" s="26" t="n">
        <v>124.1</v>
      </c>
      <c r="G190" s="26" t="n">
        <v>17249.9</v>
      </c>
      <c r="H190" s="1" t="s">
        <v>580</v>
      </c>
    </row>
    <row r="191" customFormat="false" ht="15" hidden="false" customHeight="true" outlineLevel="0" collapsed="false">
      <c r="A191" s="1" t="s">
        <v>407</v>
      </c>
      <c r="B191" s="1" t="s">
        <v>85</v>
      </c>
      <c r="C191" s="1" t="s">
        <v>578</v>
      </c>
      <c r="D191" s="1" t="s">
        <v>277</v>
      </c>
      <c r="E191" s="73" t="n">
        <v>3</v>
      </c>
      <c r="F191" s="26" t="n">
        <v>143.82</v>
      </c>
      <c r="G191" s="26" t="n">
        <v>431.46</v>
      </c>
      <c r="H191" s="1" t="s">
        <v>580</v>
      </c>
    </row>
    <row r="192" customFormat="false" ht="15" hidden="false" customHeight="true" outlineLevel="0" collapsed="false">
      <c r="A192" s="1" t="s">
        <v>407</v>
      </c>
      <c r="B192" s="1" t="s">
        <v>85</v>
      </c>
      <c r="C192" s="1" t="s">
        <v>578</v>
      </c>
      <c r="D192" s="1" t="s">
        <v>279</v>
      </c>
      <c r="E192" s="73" t="n">
        <v>12</v>
      </c>
      <c r="F192" s="26" t="n">
        <v>133.21</v>
      </c>
      <c r="G192" s="26" t="n">
        <v>1598.52</v>
      </c>
      <c r="H192" s="1" t="s">
        <v>580</v>
      </c>
    </row>
    <row r="193" customFormat="false" ht="15" hidden="false" customHeight="true" outlineLevel="0" collapsed="false">
      <c r="A193" s="1" t="s">
        <v>407</v>
      </c>
      <c r="B193" s="1" t="s">
        <v>85</v>
      </c>
      <c r="C193" s="1" t="s">
        <v>578</v>
      </c>
      <c r="D193" s="1" t="s">
        <v>283</v>
      </c>
      <c r="E193" s="73" t="n">
        <v>15</v>
      </c>
      <c r="F193" s="26" t="n">
        <v>151.02</v>
      </c>
      <c r="G193" s="26" t="n">
        <v>2265.3</v>
      </c>
      <c r="H193" s="1" t="s">
        <v>580</v>
      </c>
    </row>
    <row r="194" customFormat="false" ht="15" hidden="false" customHeight="true" outlineLevel="0" collapsed="false">
      <c r="A194" s="1" t="s">
        <v>407</v>
      </c>
      <c r="B194" s="1" t="s">
        <v>85</v>
      </c>
      <c r="C194" s="1" t="s">
        <v>578</v>
      </c>
      <c r="D194" s="1" t="s">
        <v>280</v>
      </c>
      <c r="E194" s="73" t="n">
        <v>20</v>
      </c>
      <c r="F194" s="26" t="n">
        <v>151.92</v>
      </c>
      <c r="G194" s="26" t="n">
        <v>3038.4</v>
      </c>
      <c r="H194" s="1" t="s">
        <v>580</v>
      </c>
    </row>
    <row r="195" customFormat="false" ht="15" hidden="false" customHeight="true" outlineLevel="0" collapsed="false">
      <c r="A195" s="1" t="s">
        <v>407</v>
      </c>
      <c r="B195" s="1" t="s">
        <v>85</v>
      </c>
      <c r="C195" s="1" t="s">
        <v>578</v>
      </c>
      <c r="D195" s="1" t="s">
        <v>274</v>
      </c>
      <c r="E195" s="73" t="n">
        <v>10</v>
      </c>
      <c r="F195" s="26" t="n">
        <v>151.02</v>
      </c>
      <c r="G195" s="26" t="n">
        <v>1510.2</v>
      </c>
      <c r="H195" s="1" t="s">
        <v>580</v>
      </c>
    </row>
    <row r="196" customFormat="false" ht="15" hidden="false" customHeight="true" outlineLevel="0" collapsed="false">
      <c r="A196" s="1" t="s">
        <v>407</v>
      </c>
      <c r="B196" s="1" t="s">
        <v>85</v>
      </c>
      <c r="C196" s="1" t="s">
        <v>578</v>
      </c>
      <c r="D196" s="1" t="s">
        <v>275</v>
      </c>
      <c r="E196" s="73" t="n">
        <v>1</v>
      </c>
      <c r="F196" s="26" t="n">
        <v>143.82</v>
      </c>
      <c r="G196" s="26" t="n">
        <v>143.82</v>
      </c>
      <c r="H196" s="1" t="s">
        <v>580</v>
      </c>
    </row>
    <row r="197" customFormat="false" ht="15" hidden="false" customHeight="true" outlineLevel="0" collapsed="false">
      <c r="A197" s="1" t="s">
        <v>407</v>
      </c>
      <c r="B197" s="1" t="s">
        <v>85</v>
      </c>
      <c r="C197" s="1" t="s">
        <v>578</v>
      </c>
      <c r="D197" s="1" t="s">
        <v>272</v>
      </c>
      <c r="E197" s="73" t="n">
        <v>9</v>
      </c>
      <c r="F197" s="26" t="n">
        <v>123.18</v>
      </c>
      <c r="G197" s="26" t="n">
        <v>1108.62</v>
      </c>
      <c r="H197" s="1" t="s">
        <v>580</v>
      </c>
    </row>
    <row r="198" customFormat="false" ht="15" hidden="false" customHeight="true" outlineLevel="0" collapsed="false">
      <c r="A198" s="1" t="s">
        <v>407</v>
      </c>
      <c r="B198" s="1" t="s">
        <v>32</v>
      </c>
      <c r="C198" s="1" t="s">
        <v>581</v>
      </c>
      <c r="D198" s="1" t="s">
        <v>277</v>
      </c>
      <c r="E198" s="73" t="n">
        <v>1</v>
      </c>
      <c r="F198" s="26" t="n">
        <v>209</v>
      </c>
      <c r="G198" s="26" t="n">
        <v>209</v>
      </c>
      <c r="H198" s="1" t="s">
        <v>582</v>
      </c>
    </row>
    <row r="199" customFormat="false" ht="15" hidden="false" customHeight="true" outlineLevel="0" collapsed="false">
      <c r="A199" s="1" t="s">
        <v>407</v>
      </c>
      <c r="B199" s="1" t="s">
        <v>32</v>
      </c>
      <c r="C199" s="1" t="s">
        <v>583</v>
      </c>
      <c r="D199" s="1" t="s">
        <v>277</v>
      </c>
      <c r="E199" s="73" t="n">
        <v>1</v>
      </c>
      <c r="F199" s="26" t="n">
        <v>419.64</v>
      </c>
      <c r="G199" s="26" t="n">
        <v>419.64</v>
      </c>
      <c r="H199" s="1" t="s">
        <v>584</v>
      </c>
    </row>
    <row r="200" customFormat="false" ht="15" hidden="false" customHeight="true" outlineLevel="0" collapsed="false">
      <c r="A200" s="1" t="s">
        <v>407</v>
      </c>
      <c r="B200" s="1" t="s">
        <v>32</v>
      </c>
      <c r="C200" s="1" t="s">
        <v>581</v>
      </c>
      <c r="D200" s="1" t="s">
        <v>279</v>
      </c>
      <c r="E200" s="73" t="n">
        <v>0</v>
      </c>
      <c r="F200" s="26" t="n">
        <v>0</v>
      </c>
      <c r="G200" s="26" t="n">
        <v>0</v>
      </c>
      <c r="H200" s="1" t="s">
        <v>582</v>
      </c>
    </row>
    <row r="201" customFormat="false" ht="15" hidden="false" customHeight="true" outlineLevel="0" collapsed="false">
      <c r="A201" s="1" t="s">
        <v>407</v>
      </c>
      <c r="B201" s="1" t="s">
        <v>32</v>
      </c>
      <c r="C201" s="1" t="s">
        <v>581</v>
      </c>
      <c r="D201" s="1" t="s">
        <v>279</v>
      </c>
      <c r="E201" s="73" t="n">
        <v>0</v>
      </c>
      <c r="F201" s="26" t="n">
        <v>0</v>
      </c>
      <c r="G201" s="26" t="n">
        <v>0</v>
      </c>
      <c r="H201" s="1" t="s">
        <v>582</v>
      </c>
    </row>
    <row r="202" customFormat="false" ht="15" hidden="false" customHeight="true" outlineLevel="0" collapsed="false">
      <c r="A202" s="1" t="s">
        <v>407</v>
      </c>
      <c r="B202" s="1" t="s">
        <v>32</v>
      </c>
      <c r="C202" s="1" t="s">
        <v>583</v>
      </c>
      <c r="D202" s="1" t="s">
        <v>279</v>
      </c>
      <c r="E202" s="73" t="n">
        <v>0</v>
      </c>
      <c r="F202" s="26" t="n">
        <v>0</v>
      </c>
      <c r="G202" s="26" t="n">
        <v>0</v>
      </c>
      <c r="H202" s="1" t="s">
        <v>584</v>
      </c>
    </row>
    <row r="203" customFormat="false" ht="15" hidden="false" customHeight="true" outlineLevel="0" collapsed="false">
      <c r="A203" s="1" t="s">
        <v>407</v>
      </c>
      <c r="B203" s="1" t="s">
        <v>32</v>
      </c>
      <c r="C203" s="1" t="s">
        <v>581</v>
      </c>
      <c r="D203" s="1" t="s">
        <v>283</v>
      </c>
      <c r="E203" s="73" t="n">
        <v>0</v>
      </c>
      <c r="F203" s="26" t="n">
        <v>0</v>
      </c>
      <c r="G203" s="26" t="n">
        <v>0</v>
      </c>
      <c r="H203" s="1" t="s">
        <v>582</v>
      </c>
    </row>
    <row r="204" customFormat="false" ht="15" hidden="false" customHeight="true" outlineLevel="0" collapsed="false">
      <c r="A204" s="1" t="s">
        <v>407</v>
      </c>
      <c r="B204" s="1" t="s">
        <v>32</v>
      </c>
      <c r="C204" s="1" t="s">
        <v>583</v>
      </c>
      <c r="D204" s="1" t="s">
        <v>283</v>
      </c>
      <c r="E204" s="73" t="n">
        <v>0</v>
      </c>
      <c r="F204" s="26" t="n">
        <v>0</v>
      </c>
      <c r="G204" s="26" t="n">
        <v>0</v>
      </c>
      <c r="H204" s="1" t="s">
        <v>585</v>
      </c>
    </row>
    <row r="205" customFormat="false" ht="15" hidden="false" customHeight="true" outlineLevel="0" collapsed="false">
      <c r="A205" s="1" t="s">
        <v>407</v>
      </c>
      <c r="B205" s="1" t="s">
        <v>32</v>
      </c>
      <c r="C205" s="1" t="s">
        <v>581</v>
      </c>
      <c r="D205" s="1" t="s">
        <v>280</v>
      </c>
      <c r="E205" s="73" t="n">
        <v>1</v>
      </c>
      <c r="F205" s="26" t="n">
        <v>280</v>
      </c>
      <c r="G205" s="26" t="n">
        <v>280</v>
      </c>
      <c r="H205" s="1" t="s">
        <v>582</v>
      </c>
    </row>
    <row r="206" customFormat="false" ht="15" hidden="false" customHeight="true" outlineLevel="0" collapsed="false">
      <c r="A206" s="1" t="s">
        <v>407</v>
      </c>
      <c r="B206" s="1" t="s">
        <v>32</v>
      </c>
      <c r="C206" s="1" t="s">
        <v>581</v>
      </c>
      <c r="D206" s="1" t="s">
        <v>280</v>
      </c>
      <c r="E206" s="73" t="n">
        <v>0</v>
      </c>
      <c r="F206" s="26" t="n">
        <v>0</v>
      </c>
      <c r="G206" s="26" t="n">
        <v>0</v>
      </c>
      <c r="H206" s="1" t="s">
        <v>582</v>
      </c>
    </row>
    <row r="207" customFormat="false" ht="15" hidden="false" customHeight="true" outlineLevel="0" collapsed="false">
      <c r="A207" s="1" t="s">
        <v>407</v>
      </c>
      <c r="B207" s="1" t="s">
        <v>32</v>
      </c>
      <c r="C207" s="1" t="s">
        <v>581</v>
      </c>
      <c r="D207" s="1" t="s">
        <v>274</v>
      </c>
      <c r="E207" s="73" t="n">
        <v>1</v>
      </c>
      <c r="F207" s="26" t="n">
        <v>492</v>
      </c>
      <c r="G207" s="26" t="n">
        <v>492</v>
      </c>
      <c r="H207" s="1" t="s">
        <v>582</v>
      </c>
    </row>
    <row r="208" customFormat="false" ht="15" hidden="false" customHeight="true" outlineLevel="0" collapsed="false">
      <c r="A208" s="1" t="s">
        <v>407</v>
      </c>
      <c r="B208" s="1" t="s">
        <v>32</v>
      </c>
      <c r="C208" s="1" t="s">
        <v>583</v>
      </c>
      <c r="D208" s="1" t="s">
        <v>274</v>
      </c>
      <c r="E208" s="73" t="n">
        <v>1</v>
      </c>
      <c r="F208" s="26" t="n">
        <v>668.79</v>
      </c>
      <c r="G208" s="26" t="n">
        <v>668.79</v>
      </c>
      <c r="H208" s="1" t="s">
        <v>584</v>
      </c>
    </row>
    <row r="209" customFormat="false" ht="15" hidden="false" customHeight="true" outlineLevel="0" collapsed="false">
      <c r="A209" s="1" t="s">
        <v>407</v>
      </c>
      <c r="B209" s="1" t="s">
        <v>32</v>
      </c>
      <c r="C209" s="1" t="s">
        <v>581</v>
      </c>
      <c r="D209" s="1" t="s">
        <v>275</v>
      </c>
      <c r="E209" s="73" t="n">
        <v>0</v>
      </c>
      <c r="F209" s="26" t="n">
        <v>0</v>
      </c>
      <c r="G209" s="26" t="n">
        <v>0</v>
      </c>
      <c r="H209" s="1" t="s">
        <v>582</v>
      </c>
    </row>
    <row r="210" customFormat="false" ht="15" hidden="false" customHeight="true" outlineLevel="0" collapsed="false">
      <c r="A210" s="1" t="s">
        <v>407</v>
      </c>
      <c r="B210" s="1" t="s">
        <v>32</v>
      </c>
      <c r="C210" s="1" t="s">
        <v>581</v>
      </c>
      <c r="D210" s="1" t="s">
        <v>272</v>
      </c>
      <c r="E210" s="73" t="n">
        <v>1</v>
      </c>
      <c r="F210" s="26" t="n">
        <v>204</v>
      </c>
      <c r="G210" s="26" t="n">
        <v>204</v>
      </c>
      <c r="H210" s="1" t="s">
        <v>582</v>
      </c>
    </row>
    <row r="211" customFormat="false" ht="15" hidden="false" customHeight="true" outlineLevel="0" collapsed="false">
      <c r="A211" s="1" t="s">
        <v>407</v>
      </c>
      <c r="B211" s="1" t="s">
        <v>32</v>
      </c>
      <c r="C211" s="1" t="s">
        <v>583</v>
      </c>
      <c r="D211" s="1" t="s">
        <v>272</v>
      </c>
      <c r="E211" s="73" t="n">
        <v>1</v>
      </c>
      <c r="F211" s="26" t="n">
        <v>348.7</v>
      </c>
      <c r="G211" s="26" t="n">
        <v>348.7</v>
      </c>
      <c r="H211" s="1" t="s">
        <v>586</v>
      </c>
    </row>
    <row r="212" customFormat="false" ht="15" hidden="false" customHeight="true" outlineLevel="0" collapsed="false">
      <c r="A212" s="1" t="s">
        <v>407</v>
      </c>
      <c r="B212" s="1" t="s">
        <v>587</v>
      </c>
      <c r="C212" s="1" t="s">
        <v>588</v>
      </c>
      <c r="D212" s="1" t="s">
        <v>279</v>
      </c>
      <c r="E212" s="73" t="n">
        <v>13402</v>
      </c>
      <c r="F212" s="26" t="n">
        <v>2.21459650529971</v>
      </c>
      <c r="G212" s="26" t="n">
        <v>29680.0223640267</v>
      </c>
      <c r="H212" s="1" t="s">
        <v>410</v>
      </c>
    </row>
    <row r="213" customFormat="false" ht="15" hidden="false" customHeight="true" outlineLevel="0" collapsed="false">
      <c r="A213" s="1" t="s">
        <v>407</v>
      </c>
      <c r="B213" s="1" t="s">
        <v>44</v>
      </c>
      <c r="C213" s="1" t="s">
        <v>589</v>
      </c>
      <c r="D213" s="1" t="s">
        <v>277</v>
      </c>
      <c r="E213" s="73" t="n">
        <v>0</v>
      </c>
      <c r="F213" s="26" t="n">
        <v>0</v>
      </c>
      <c r="G213" s="26" t="n">
        <v>0</v>
      </c>
      <c r="H213" s="1" t="s">
        <v>590</v>
      </c>
    </row>
    <row r="214" customFormat="false" ht="15" hidden="false" customHeight="true" outlineLevel="0" collapsed="false">
      <c r="A214" s="1" t="s">
        <v>407</v>
      </c>
      <c r="B214" s="1" t="s">
        <v>44</v>
      </c>
      <c r="C214" s="1" t="s">
        <v>589</v>
      </c>
      <c r="D214" s="1" t="s">
        <v>277</v>
      </c>
      <c r="E214" s="73" t="n">
        <v>1</v>
      </c>
      <c r="F214" s="26" t="n">
        <v>13006.38</v>
      </c>
      <c r="G214" s="26" t="n">
        <v>13006.38</v>
      </c>
      <c r="H214" s="1" t="s">
        <v>591</v>
      </c>
    </row>
    <row r="215" customFormat="false" ht="15" hidden="false" customHeight="true" outlineLevel="0" collapsed="false">
      <c r="A215" s="1" t="s">
        <v>407</v>
      </c>
      <c r="B215" s="1" t="s">
        <v>44</v>
      </c>
      <c r="C215" s="1" t="s">
        <v>589</v>
      </c>
      <c r="D215" s="1" t="s">
        <v>279</v>
      </c>
      <c r="E215" s="73" t="n">
        <v>0</v>
      </c>
      <c r="F215" s="26" t="n">
        <v>0</v>
      </c>
      <c r="G215" s="26" t="n">
        <v>0</v>
      </c>
      <c r="H215" s="1" t="s">
        <v>591</v>
      </c>
    </row>
    <row r="216" customFormat="false" ht="15" hidden="false" customHeight="true" outlineLevel="0" collapsed="false">
      <c r="A216" s="1" t="s">
        <v>407</v>
      </c>
      <c r="B216" s="1" t="s">
        <v>44</v>
      </c>
      <c r="C216" s="1" t="s">
        <v>592</v>
      </c>
      <c r="D216" s="1" t="s">
        <v>279</v>
      </c>
      <c r="E216" s="73" t="n">
        <v>0</v>
      </c>
      <c r="F216" s="26" t="n">
        <v>0</v>
      </c>
      <c r="G216" s="26" t="n">
        <v>0</v>
      </c>
      <c r="H216" s="1" t="s">
        <v>593</v>
      </c>
    </row>
    <row r="217" customFormat="false" ht="15" hidden="false" customHeight="true" outlineLevel="0" collapsed="false">
      <c r="A217" s="1" t="s">
        <v>407</v>
      </c>
      <c r="B217" s="1" t="s">
        <v>44</v>
      </c>
      <c r="C217" s="1" t="s">
        <v>594</v>
      </c>
      <c r="D217" s="1" t="s">
        <v>279</v>
      </c>
      <c r="E217" s="73" t="n">
        <v>0</v>
      </c>
      <c r="F217" s="26" t="n">
        <v>0</v>
      </c>
      <c r="G217" s="26" t="n">
        <v>0</v>
      </c>
      <c r="H217" s="1" t="s">
        <v>595</v>
      </c>
    </row>
    <row r="218" customFormat="false" ht="15" hidden="false" customHeight="true" outlineLevel="0" collapsed="false">
      <c r="A218" s="1" t="s">
        <v>407</v>
      </c>
      <c r="B218" s="1" t="s">
        <v>44</v>
      </c>
      <c r="C218" s="1" t="s">
        <v>596</v>
      </c>
      <c r="D218" s="1" t="s">
        <v>279</v>
      </c>
      <c r="E218" s="73" t="n">
        <v>0</v>
      </c>
      <c r="F218" s="26" t="n">
        <v>0</v>
      </c>
      <c r="G218" s="26" t="n">
        <v>0</v>
      </c>
      <c r="H218" s="1" t="s">
        <v>597</v>
      </c>
    </row>
    <row r="219" customFormat="false" ht="15" hidden="false" customHeight="true" outlineLevel="0" collapsed="false">
      <c r="A219" s="1" t="s">
        <v>407</v>
      </c>
      <c r="B219" s="1" t="s">
        <v>44</v>
      </c>
      <c r="C219" s="1" t="s">
        <v>589</v>
      </c>
      <c r="D219" s="1" t="s">
        <v>283</v>
      </c>
      <c r="E219" s="73" t="n">
        <v>0</v>
      </c>
      <c r="F219" s="26" t="n">
        <v>0</v>
      </c>
      <c r="G219" s="26" t="n">
        <v>0</v>
      </c>
      <c r="H219" s="1" t="s">
        <v>590</v>
      </c>
    </row>
    <row r="220" customFormat="false" ht="15" hidden="false" customHeight="true" outlineLevel="0" collapsed="false">
      <c r="A220" s="1" t="s">
        <v>407</v>
      </c>
      <c r="B220" s="1" t="s">
        <v>44</v>
      </c>
      <c r="C220" s="1" t="s">
        <v>589</v>
      </c>
      <c r="D220" s="1" t="s">
        <v>283</v>
      </c>
      <c r="E220" s="73" t="n">
        <v>1</v>
      </c>
      <c r="F220" s="26" t="n">
        <v>1234.54</v>
      </c>
      <c r="G220" s="26" t="n">
        <v>1234.54</v>
      </c>
      <c r="H220" s="1" t="s">
        <v>591</v>
      </c>
    </row>
    <row r="221" customFormat="false" ht="15" hidden="false" customHeight="true" outlineLevel="0" collapsed="false">
      <c r="A221" s="1" t="s">
        <v>407</v>
      </c>
      <c r="B221" s="1" t="s">
        <v>44</v>
      </c>
      <c r="C221" s="1" t="s">
        <v>598</v>
      </c>
      <c r="D221" s="1" t="s">
        <v>283</v>
      </c>
      <c r="E221" s="73" t="n">
        <v>0</v>
      </c>
      <c r="F221" s="26" t="n">
        <v>0</v>
      </c>
      <c r="G221" s="26" t="n">
        <v>0</v>
      </c>
      <c r="H221" s="1" t="s">
        <v>593</v>
      </c>
    </row>
    <row r="222" customFormat="false" ht="15" hidden="false" customHeight="true" outlineLevel="0" collapsed="false">
      <c r="A222" s="1" t="s">
        <v>407</v>
      </c>
      <c r="B222" s="1" t="s">
        <v>44</v>
      </c>
      <c r="C222" s="1" t="s">
        <v>599</v>
      </c>
      <c r="D222" s="1" t="s">
        <v>283</v>
      </c>
      <c r="E222" s="73" t="n">
        <v>0</v>
      </c>
      <c r="F222" s="26" t="n">
        <v>0</v>
      </c>
      <c r="G222" s="26" t="n">
        <v>0</v>
      </c>
      <c r="H222" s="1" t="s">
        <v>597</v>
      </c>
    </row>
    <row r="223" customFormat="false" ht="15" hidden="false" customHeight="true" outlineLevel="0" collapsed="false">
      <c r="A223" s="1" t="s">
        <v>407</v>
      </c>
      <c r="B223" s="1" t="s">
        <v>44</v>
      </c>
      <c r="C223" s="1" t="s">
        <v>589</v>
      </c>
      <c r="D223" s="1" t="s">
        <v>280</v>
      </c>
      <c r="E223" s="73" t="n">
        <v>-1</v>
      </c>
      <c r="F223" s="26" t="n">
        <v>1580.87</v>
      </c>
      <c r="G223" s="26" t="n">
        <v>-1580.87</v>
      </c>
      <c r="H223" s="1" t="s">
        <v>590</v>
      </c>
    </row>
    <row r="224" customFormat="false" ht="15" hidden="false" customHeight="true" outlineLevel="0" collapsed="false">
      <c r="A224" s="1" t="s">
        <v>407</v>
      </c>
      <c r="B224" s="1" t="s">
        <v>44</v>
      </c>
      <c r="C224" s="1" t="s">
        <v>589</v>
      </c>
      <c r="D224" s="1" t="s">
        <v>280</v>
      </c>
      <c r="E224" s="73" t="n">
        <v>1</v>
      </c>
      <c r="F224" s="26" t="n">
        <v>577</v>
      </c>
      <c r="G224" s="26" t="n">
        <v>577</v>
      </c>
      <c r="H224" s="1" t="s">
        <v>591</v>
      </c>
    </row>
    <row r="225" customFormat="false" ht="15" hidden="false" customHeight="true" outlineLevel="0" collapsed="false">
      <c r="A225" s="1" t="s">
        <v>407</v>
      </c>
      <c r="B225" s="1" t="s">
        <v>44</v>
      </c>
      <c r="C225" s="1" t="s">
        <v>600</v>
      </c>
      <c r="D225" s="1" t="s">
        <v>280</v>
      </c>
      <c r="E225" s="73" t="n">
        <v>0</v>
      </c>
      <c r="F225" s="26" t="n">
        <v>0</v>
      </c>
      <c r="G225" s="26" t="n">
        <v>0</v>
      </c>
      <c r="H225" s="1" t="s">
        <v>593</v>
      </c>
    </row>
    <row r="226" customFormat="false" ht="15" hidden="false" customHeight="true" outlineLevel="0" collapsed="false">
      <c r="A226" s="1" t="s">
        <v>407</v>
      </c>
      <c r="B226" s="1" t="s">
        <v>44</v>
      </c>
      <c r="C226" s="1" t="s">
        <v>601</v>
      </c>
      <c r="D226" s="1" t="s">
        <v>280</v>
      </c>
      <c r="E226" s="73" t="n">
        <v>0</v>
      </c>
      <c r="F226" s="26" t="n">
        <v>0</v>
      </c>
      <c r="G226" s="26" t="n">
        <v>0</v>
      </c>
      <c r="H226" s="1" t="s">
        <v>593</v>
      </c>
    </row>
    <row r="227" customFormat="false" ht="15" hidden="false" customHeight="true" outlineLevel="0" collapsed="false">
      <c r="A227" s="1" t="s">
        <v>407</v>
      </c>
      <c r="B227" s="1" t="s">
        <v>44</v>
      </c>
      <c r="C227" s="1" t="s">
        <v>602</v>
      </c>
      <c r="D227" s="1" t="s">
        <v>280</v>
      </c>
      <c r="E227" s="73" t="n">
        <v>0</v>
      </c>
      <c r="F227" s="26" t="n">
        <v>0</v>
      </c>
      <c r="G227" s="26" t="n">
        <v>0</v>
      </c>
      <c r="H227" s="1" t="s">
        <v>597</v>
      </c>
    </row>
    <row r="228" customFormat="false" ht="15" hidden="false" customHeight="true" outlineLevel="0" collapsed="false">
      <c r="A228" s="1" t="s">
        <v>407</v>
      </c>
      <c r="B228" s="1" t="s">
        <v>44</v>
      </c>
      <c r="C228" s="1" t="s">
        <v>603</v>
      </c>
      <c r="D228" s="1" t="s">
        <v>280</v>
      </c>
      <c r="E228" s="73" t="n">
        <v>0</v>
      </c>
      <c r="F228" s="26" t="n">
        <v>0</v>
      </c>
      <c r="G228" s="26" t="n">
        <v>0</v>
      </c>
      <c r="H228" s="1" t="s">
        <v>597</v>
      </c>
    </row>
    <row r="229" customFormat="false" ht="15" hidden="false" customHeight="true" outlineLevel="0" collapsed="false">
      <c r="A229" s="1" t="s">
        <v>407</v>
      </c>
      <c r="B229" s="1" t="s">
        <v>44</v>
      </c>
      <c r="C229" s="1" t="s">
        <v>589</v>
      </c>
      <c r="D229" s="1" t="s">
        <v>274</v>
      </c>
      <c r="E229" s="73" t="n">
        <v>-1</v>
      </c>
      <c r="F229" s="26" t="n">
        <v>1333.53</v>
      </c>
      <c r="G229" s="26" t="n">
        <v>-1333.53</v>
      </c>
      <c r="H229" s="1" t="s">
        <v>590</v>
      </c>
    </row>
    <row r="230" customFormat="false" ht="15" hidden="false" customHeight="true" outlineLevel="0" collapsed="false">
      <c r="A230" s="1" t="s">
        <v>407</v>
      </c>
      <c r="B230" s="1" t="s">
        <v>44</v>
      </c>
      <c r="C230" s="1" t="s">
        <v>589</v>
      </c>
      <c r="D230" s="1" t="s">
        <v>274</v>
      </c>
      <c r="E230" s="73" t="n">
        <v>1</v>
      </c>
      <c r="F230" s="26" t="n">
        <v>3555.83</v>
      </c>
      <c r="G230" s="26" t="n">
        <v>3555.83</v>
      </c>
      <c r="H230" s="1" t="s">
        <v>591</v>
      </c>
    </row>
    <row r="231" customFormat="false" ht="15" hidden="false" customHeight="true" outlineLevel="0" collapsed="false">
      <c r="A231" s="1" t="s">
        <v>407</v>
      </c>
      <c r="B231" s="1" t="s">
        <v>44</v>
      </c>
      <c r="C231" s="1" t="s">
        <v>601</v>
      </c>
      <c r="D231" s="1" t="s">
        <v>274</v>
      </c>
      <c r="E231" s="73" t="n">
        <v>0</v>
      </c>
      <c r="F231" s="26" t="n">
        <v>0</v>
      </c>
      <c r="G231" s="26" t="n">
        <v>0</v>
      </c>
      <c r="H231" s="1" t="s">
        <v>597</v>
      </c>
    </row>
    <row r="232" customFormat="false" ht="15" hidden="false" customHeight="true" outlineLevel="0" collapsed="false">
      <c r="A232" s="1" t="s">
        <v>407</v>
      </c>
      <c r="B232" s="1" t="s">
        <v>44</v>
      </c>
      <c r="C232" s="1" t="s">
        <v>602</v>
      </c>
      <c r="D232" s="1" t="s">
        <v>274</v>
      </c>
      <c r="E232" s="73" t="n">
        <v>0</v>
      </c>
      <c r="F232" s="26" t="n">
        <v>0</v>
      </c>
      <c r="G232" s="26" t="n">
        <v>0</v>
      </c>
      <c r="H232" s="1" t="s">
        <v>597</v>
      </c>
    </row>
    <row r="233" customFormat="false" ht="15" hidden="false" customHeight="true" outlineLevel="0" collapsed="false">
      <c r="A233" s="1" t="s">
        <v>407</v>
      </c>
      <c r="B233" s="1" t="s">
        <v>44</v>
      </c>
      <c r="C233" s="1" t="s">
        <v>589</v>
      </c>
      <c r="D233" s="1" t="s">
        <v>275</v>
      </c>
      <c r="E233" s="73" t="n">
        <v>1</v>
      </c>
      <c r="F233" s="26" t="n">
        <v>1957.68</v>
      </c>
      <c r="G233" s="26" t="n">
        <v>1957.68</v>
      </c>
      <c r="H233" s="1" t="s">
        <v>591</v>
      </c>
    </row>
    <row r="234" customFormat="false" ht="15" hidden="false" customHeight="true" outlineLevel="0" collapsed="false">
      <c r="A234" s="1" t="s">
        <v>407</v>
      </c>
      <c r="B234" s="1" t="s">
        <v>44</v>
      </c>
      <c r="C234" s="1" t="s">
        <v>589</v>
      </c>
      <c r="D234" s="1" t="s">
        <v>275</v>
      </c>
      <c r="E234" s="73" t="n">
        <v>0</v>
      </c>
      <c r="F234" s="26" t="n">
        <v>0</v>
      </c>
      <c r="G234" s="26" t="n">
        <v>0</v>
      </c>
      <c r="H234" s="1" t="s">
        <v>590</v>
      </c>
    </row>
    <row r="235" customFormat="false" ht="15" hidden="false" customHeight="true" outlineLevel="0" collapsed="false">
      <c r="A235" s="1" t="s">
        <v>407</v>
      </c>
      <c r="B235" s="1" t="s">
        <v>44</v>
      </c>
      <c r="C235" s="1" t="s">
        <v>589</v>
      </c>
      <c r="D235" s="1" t="s">
        <v>272</v>
      </c>
      <c r="E235" s="73" t="n">
        <v>1</v>
      </c>
      <c r="F235" s="26" t="n">
        <v>3624.23</v>
      </c>
      <c r="G235" s="26" t="n">
        <v>3624.23</v>
      </c>
      <c r="H235" s="1" t="s">
        <v>591</v>
      </c>
    </row>
    <row r="236" customFormat="false" ht="15" hidden="false" customHeight="true" outlineLevel="0" collapsed="false">
      <c r="A236" s="1" t="s">
        <v>407</v>
      </c>
      <c r="B236" s="1" t="s">
        <v>44</v>
      </c>
      <c r="C236" s="1" t="s">
        <v>589</v>
      </c>
      <c r="D236" s="1" t="s">
        <v>272</v>
      </c>
      <c r="E236" s="73" t="n">
        <v>-1</v>
      </c>
      <c r="F236" s="26" t="n">
        <v>494.68</v>
      </c>
      <c r="G236" s="26" t="n">
        <v>-494.68</v>
      </c>
      <c r="H236" s="1" t="s">
        <v>590</v>
      </c>
    </row>
    <row r="237" customFormat="false" ht="15" hidden="false" customHeight="true" outlineLevel="0" collapsed="false">
      <c r="A237" s="1" t="s">
        <v>407</v>
      </c>
      <c r="B237" s="1" t="s">
        <v>44</v>
      </c>
      <c r="C237" s="1" t="s">
        <v>604</v>
      </c>
      <c r="D237" s="1" t="s">
        <v>272</v>
      </c>
      <c r="E237" s="73" t="n">
        <v>0</v>
      </c>
      <c r="F237" s="26" t="n">
        <v>0</v>
      </c>
      <c r="G237" s="26" t="n">
        <v>0</v>
      </c>
      <c r="H237" s="1" t="s">
        <v>593</v>
      </c>
    </row>
    <row r="238" customFormat="false" ht="15" hidden="false" customHeight="true" outlineLevel="0" collapsed="false">
      <c r="A238" s="1" t="s">
        <v>407</v>
      </c>
      <c r="B238" s="1" t="s">
        <v>44</v>
      </c>
      <c r="C238" s="1" t="s">
        <v>599</v>
      </c>
      <c r="D238" s="1" t="s">
        <v>272</v>
      </c>
      <c r="E238" s="73" t="n">
        <v>0</v>
      </c>
      <c r="F238" s="26" t="n">
        <v>0</v>
      </c>
      <c r="G238" s="26" t="n">
        <v>0</v>
      </c>
      <c r="H238" s="1" t="s">
        <v>597</v>
      </c>
    </row>
    <row r="239" customFormat="false" ht="15" hidden="false" customHeight="true" outlineLevel="0" collapsed="false">
      <c r="A239" s="1" t="s">
        <v>407</v>
      </c>
      <c r="B239" s="1" t="s">
        <v>87</v>
      </c>
      <c r="C239" s="1" t="s">
        <v>605</v>
      </c>
      <c r="D239" s="1" t="s">
        <v>277</v>
      </c>
      <c r="E239" s="73" t="n">
        <v>2</v>
      </c>
      <c r="F239" s="26" t="n">
        <v>50</v>
      </c>
      <c r="G239" s="26" t="n">
        <v>100</v>
      </c>
      <c r="H239" s="1" t="s">
        <v>606</v>
      </c>
    </row>
    <row r="240" customFormat="false" ht="15" hidden="false" customHeight="true" outlineLevel="0" collapsed="false">
      <c r="A240" s="1" t="s">
        <v>407</v>
      </c>
      <c r="B240" s="1" t="s">
        <v>87</v>
      </c>
      <c r="C240" s="1" t="s">
        <v>605</v>
      </c>
      <c r="D240" s="1" t="s">
        <v>279</v>
      </c>
      <c r="E240" s="73" t="n">
        <v>2</v>
      </c>
      <c r="F240" s="26" t="n">
        <v>50</v>
      </c>
      <c r="G240" s="26" t="n">
        <v>100</v>
      </c>
      <c r="H240" s="1" t="s">
        <v>606</v>
      </c>
    </row>
    <row r="241" customFormat="false" ht="15" hidden="false" customHeight="true" outlineLevel="0" collapsed="false">
      <c r="A241" s="1" t="s">
        <v>407</v>
      </c>
      <c r="B241" s="1" t="s">
        <v>87</v>
      </c>
      <c r="C241" s="1" t="s">
        <v>605</v>
      </c>
      <c r="D241" s="1" t="s">
        <v>283</v>
      </c>
      <c r="E241" s="73" t="n">
        <v>1</v>
      </c>
      <c r="F241" s="26" t="n">
        <v>10</v>
      </c>
      <c r="G241" s="26" t="n">
        <v>10</v>
      </c>
      <c r="H241" s="1" t="s">
        <v>606</v>
      </c>
    </row>
    <row r="242" customFormat="false" ht="15" hidden="false" customHeight="true" outlineLevel="0" collapsed="false">
      <c r="A242" s="1" t="s">
        <v>407</v>
      </c>
      <c r="B242" s="1" t="s">
        <v>87</v>
      </c>
      <c r="C242" s="1" t="s">
        <v>605</v>
      </c>
      <c r="D242" s="1" t="s">
        <v>280</v>
      </c>
      <c r="E242" s="73" t="n">
        <v>1</v>
      </c>
      <c r="F242" s="26" t="n">
        <v>10</v>
      </c>
      <c r="G242" s="26" t="n">
        <v>10</v>
      </c>
      <c r="H242" s="1" t="s">
        <v>606</v>
      </c>
    </row>
    <row r="243" customFormat="false" ht="15" hidden="false" customHeight="true" outlineLevel="0" collapsed="false">
      <c r="A243" s="1" t="s">
        <v>407</v>
      </c>
      <c r="B243" s="1" t="s">
        <v>87</v>
      </c>
      <c r="C243" s="1" t="s">
        <v>605</v>
      </c>
      <c r="D243" s="1" t="s">
        <v>280</v>
      </c>
      <c r="E243" s="73" t="n">
        <v>5</v>
      </c>
      <c r="F243" s="26" t="n">
        <v>50</v>
      </c>
      <c r="G243" s="26" t="n">
        <v>250</v>
      </c>
      <c r="H243" s="1" t="s">
        <v>606</v>
      </c>
    </row>
    <row r="244" customFormat="false" ht="15" hidden="false" customHeight="true" outlineLevel="0" collapsed="false">
      <c r="A244" s="1" t="s">
        <v>407</v>
      </c>
      <c r="B244" s="1" t="s">
        <v>87</v>
      </c>
      <c r="C244" s="1" t="s">
        <v>605</v>
      </c>
      <c r="D244" s="1" t="s">
        <v>274</v>
      </c>
      <c r="E244" s="73" t="n">
        <v>2</v>
      </c>
      <c r="F244" s="26" t="n">
        <v>50</v>
      </c>
      <c r="G244" s="26" t="n">
        <v>100</v>
      </c>
      <c r="H244" s="1" t="s">
        <v>606</v>
      </c>
    </row>
    <row r="245" customFormat="false" ht="15" hidden="false" customHeight="true" outlineLevel="0" collapsed="false">
      <c r="A245" s="1" t="s">
        <v>407</v>
      </c>
      <c r="B245" s="1" t="s">
        <v>87</v>
      </c>
      <c r="C245" s="1" t="s">
        <v>605</v>
      </c>
      <c r="D245" s="1" t="s">
        <v>275</v>
      </c>
      <c r="E245" s="73" t="n">
        <v>1</v>
      </c>
      <c r="F245" s="26" t="n">
        <v>50</v>
      </c>
      <c r="G245" s="26" t="n">
        <v>50</v>
      </c>
      <c r="H245" s="1" t="s">
        <v>606</v>
      </c>
    </row>
    <row r="246" customFormat="false" ht="15" hidden="false" customHeight="true" outlineLevel="0" collapsed="false">
      <c r="A246" s="1" t="s">
        <v>407</v>
      </c>
      <c r="B246" s="1" t="s">
        <v>87</v>
      </c>
      <c r="C246" s="1" t="s">
        <v>605</v>
      </c>
      <c r="D246" s="1" t="s">
        <v>272</v>
      </c>
      <c r="E246" s="73" t="n">
        <v>1</v>
      </c>
      <c r="F246" s="26" t="n">
        <v>90</v>
      </c>
      <c r="G246" s="26" t="n">
        <v>90</v>
      </c>
      <c r="H246" s="1" t="s">
        <v>606</v>
      </c>
    </row>
    <row r="247" customFormat="false" ht="15" hidden="false" customHeight="true" outlineLevel="0" collapsed="false">
      <c r="A247" s="1" t="s">
        <v>407</v>
      </c>
      <c r="B247" s="1" t="s">
        <v>87</v>
      </c>
      <c r="C247" s="1" t="s">
        <v>605</v>
      </c>
      <c r="D247" s="1" t="s">
        <v>272</v>
      </c>
      <c r="E247" s="73" t="n">
        <v>2</v>
      </c>
      <c r="F247" s="26" t="n">
        <v>10</v>
      </c>
      <c r="G247" s="26" t="n">
        <v>20</v>
      </c>
      <c r="H247" s="1" t="s">
        <v>606</v>
      </c>
    </row>
    <row r="248" customFormat="false" ht="15" hidden="false" customHeight="true" outlineLevel="0" collapsed="false">
      <c r="A248" s="1" t="s">
        <v>407</v>
      </c>
      <c r="B248" s="1" t="s">
        <v>87</v>
      </c>
      <c r="C248" s="1" t="s">
        <v>605</v>
      </c>
      <c r="D248" s="1" t="s">
        <v>272</v>
      </c>
      <c r="E248" s="73" t="n">
        <v>3</v>
      </c>
      <c r="F248" s="26" t="n">
        <v>50</v>
      </c>
      <c r="G248" s="26" t="n">
        <v>150</v>
      </c>
      <c r="H248" s="1" t="s">
        <v>606</v>
      </c>
    </row>
    <row r="249" customFormat="false" ht="15" hidden="false" customHeight="true" outlineLevel="0" collapsed="false">
      <c r="A249" s="1" t="s">
        <v>607</v>
      </c>
      <c r="B249" s="1" t="s">
        <v>408</v>
      </c>
      <c r="C249" s="1" t="s">
        <v>409</v>
      </c>
      <c r="D249" s="1" t="s">
        <v>279</v>
      </c>
      <c r="E249" s="73" t="n">
        <v>13402</v>
      </c>
      <c r="F249" s="26" t="n">
        <v>0.369625478903327</v>
      </c>
      <c r="G249" s="26" t="n">
        <v>4953.72066826238</v>
      </c>
      <c r="H249" s="1" t="s">
        <v>410</v>
      </c>
    </row>
    <row r="250" customFormat="false" ht="15" hidden="false" customHeight="true" outlineLevel="0" collapsed="false">
      <c r="A250" s="1" t="s">
        <v>607</v>
      </c>
      <c r="B250" s="1" t="s">
        <v>411</v>
      </c>
      <c r="C250" s="1" t="s">
        <v>86</v>
      </c>
      <c r="D250" s="1" t="s">
        <v>279</v>
      </c>
      <c r="E250" s="73" t="n">
        <v>13402</v>
      </c>
      <c r="F250" s="26" t="n">
        <v>0.213162125376571</v>
      </c>
      <c r="G250" s="26" t="n">
        <v>2856.7988042968</v>
      </c>
      <c r="H250" s="1" t="s">
        <v>410</v>
      </c>
    </row>
    <row r="251" customFormat="false" ht="15" hidden="false" customHeight="true" outlineLevel="0" collapsed="false">
      <c r="A251" s="1" t="s">
        <v>607</v>
      </c>
      <c r="B251" s="1" t="s">
        <v>412</v>
      </c>
      <c r="C251" s="1" t="s">
        <v>413</v>
      </c>
      <c r="D251" s="1" t="s">
        <v>265</v>
      </c>
      <c r="E251" s="73" t="n">
        <v>1</v>
      </c>
      <c r="F251" s="26" t="n">
        <v>1391.04</v>
      </c>
      <c r="G251" s="26" t="n">
        <v>1391.04</v>
      </c>
      <c r="H251" s="1" t="s">
        <v>608</v>
      </c>
    </row>
    <row r="252" customFormat="false" ht="15" hidden="false" customHeight="true" outlineLevel="0" collapsed="false">
      <c r="A252" s="1" t="s">
        <v>607</v>
      </c>
      <c r="B252" s="1" t="s">
        <v>412</v>
      </c>
      <c r="C252" s="1" t="s">
        <v>415</v>
      </c>
      <c r="D252" s="1" t="s">
        <v>265</v>
      </c>
      <c r="E252" s="73" t="n">
        <v>1</v>
      </c>
      <c r="F252" s="26" t="n">
        <v>6752.06</v>
      </c>
      <c r="G252" s="26" t="n">
        <v>6752.06</v>
      </c>
      <c r="H252" s="1" t="s">
        <v>608</v>
      </c>
    </row>
    <row r="253" customFormat="false" ht="15" hidden="false" customHeight="true" outlineLevel="0" collapsed="false">
      <c r="A253" s="1" t="s">
        <v>607</v>
      </c>
      <c r="B253" s="1" t="s">
        <v>412</v>
      </c>
      <c r="C253" s="1" t="s">
        <v>413</v>
      </c>
      <c r="D253" s="1" t="s">
        <v>277</v>
      </c>
      <c r="E253" s="73" t="n">
        <v>0</v>
      </c>
      <c r="F253" s="26" t="n">
        <v>0</v>
      </c>
      <c r="G253" s="26" t="n">
        <v>0</v>
      </c>
      <c r="H253" s="1" t="s">
        <v>414</v>
      </c>
    </row>
    <row r="254" customFormat="false" ht="15" hidden="false" customHeight="true" outlineLevel="0" collapsed="false">
      <c r="A254" s="1" t="s">
        <v>607</v>
      </c>
      <c r="B254" s="1" t="s">
        <v>412</v>
      </c>
      <c r="C254" s="1" t="s">
        <v>415</v>
      </c>
      <c r="D254" s="1" t="s">
        <v>277</v>
      </c>
      <c r="E254" s="73" t="n">
        <v>1</v>
      </c>
      <c r="F254" s="26" t="n">
        <v>71.25</v>
      </c>
      <c r="G254" s="26" t="n">
        <v>71.25</v>
      </c>
      <c r="H254" s="1" t="s">
        <v>608</v>
      </c>
    </row>
    <row r="255" customFormat="false" ht="15" hidden="false" customHeight="true" outlineLevel="0" collapsed="false">
      <c r="A255" s="1" t="s">
        <v>607</v>
      </c>
      <c r="B255" s="1" t="s">
        <v>412</v>
      </c>
      <c r="C255" s="1" t="s">
        <v>413</v>
      </c>
      <c r="D255" s="1" t="s">
        <v>279</v>
      </c>
      <c r="E255" s="73" t="n">
        <v>0</v>
      </c>
      <c r="F255" s="26" t="n">
        <v>0</v>
      </c>
      <c r="G255" s="26" t="n">
        <v>0</v>
      </c>
      <c r="H255" s="1" t="s">
        <v>417</v>
      </c>
    </row>
    <row r="256" customFormat="false" ht="15" hidden="false" customHeight="true" outlineLevel="0" collapsed="false">
      <c r="A256" s="1" t="s">
        <v>607</v>
      </c>
      <c r="B256" s="1" t="s">
        <v>412</v>
      </c>
      <c r="C256" s="1" t="s">
        <v>418</v>
      </c>
      <c r="D256" s="1" t="s">
        <v>279</v>
      </c>
      <c r="E256" s="73" t="n">
        <v>0</v>
      </c>
      <c r="F256" s="26" t="n">
        <v>0</v>
      </c>
      <c r="G256" s="26" t="n">
        <v>0</v>
      </c>
      <c r="H256" s="1" t="s">
        <v>419</v>
      </c>
    </row>
    <row r="257" customFormat="false" ht="15" hidden="false" customHeight="true" outlineLevel="0" collapsed="false">
      <c r="A257" s="1" t="s">
        <v>607</v>
      </c>
      <c r="B257" s="1" t="s">
        <v>412</v>
      </c>
      <c r="C257" s="1" t="s">
        <v>413</v>
      </c>
      <c r="D257" s="1" t="s">
        <v>283</v>
      </c>
      <c r="E257" s="73" t="n">
        <v>0</v>
      </c>
      <c r="F257" s="26" t="n">
        <v>0</v>
      </c>
      <c r="G257" s="26" t="n">
        <v>0</v>
      </c>
      <c r="H257" s="1" t="s">
        <v>417</v>
      </c>
    </row>
    <row r="258" customFormat="false" ht="15" hidden="false" customHeight="true" outlineLevel="0" collapsed="false">
      <c r="A258" s="1" t="s">
        <v>607</v>
      </c>
      <c r="B258" s="1" t="s">
        <v>412</v>
      </c>
      <c r="C258" s="1" t="s">
        <v>415</v>
      </c>
      <c r="D258" s="1" t="s">
        <v>283</v>
      </c>
      <c r="E258" s="73" t="n">
        <v>1</v>
      </c>
      <c r="F258" s="26" t="n">
        <v>38.5</v>
      </c>
      <c r="G258" s="26" t="n">
        <v>38.5</v>
      </c>
      <c r="H258" s="1" t="s">
        <v>608</v>
      </c>
    </row>
    <row r="259" customFormat="false" ht="15" hidden="false" customHeight="true" outlineLevel="0" collapsed="false">
      <c r="A259" s="1" t="s">
        <v>607</v>
      </c>
      <c r="B259" s="1" t="s">
        <v>412</v>
      </c>
      <c r="C259" s="1" t="s">
        <v>413</v>
      </c>
      <c r="D259" s="1" t="s">
        <v>280</v>
      </c>
      <c r="E259" s="73" t="n">
        <v>0</v>
      </c>
      <c r="F259" s="26" t="n">
        <v>0</v>
      </c>
      <c r="G259" s="26" t="n">
        <v>0</v>
      </c>
      <c r="H259" s="1" t="s">
        <v>414</v>
      </c>
    </row>
    <row r="260" customFormat="false" ht="15" hidden="false" customHeight="true" outlineLevel="0" collapsed="false">
      <c r="A260" s="1" t="s">
        <v>607</v>
      </c>
      <c r="B260" s="1" t="s">
        <v>412</v>
      </c>
      <c r="C260" s="1" t="s">
        <v>415</v>
      </c>
      <c r="D260" s="1" t="s">
        <v>280</v>
      </c>
      <c r="E260" s="73" t="n">
        <v>0</v>
      </c>
      <c r="F260" s="26" t="n">
        <v>0</v>
      </c>
      <c r="G260" s="26" t="n">
        <v>0</v>
      </c>
      <c r="H260" s="1" t="s">
        <v>420</v>
      </c>
    </row>
    <row r="261" customFormat="false" ht="15" hidden="false" customHeight="true" outlineLevel="0" collapsed="false">
      <c r="A261" s="1" t="s">
        <v>607</v>
      </c>
      <c r="B261" s="1" t="s">
        <v>412</v>
      </c>
      <c r="C261" s="1" t="s">
        <v>413</v>
      </c>
      <c r="D261" s="1" t="s">
        <v>274</v>
      </c>
      <c r="E261" s="73" t="n">
        <v>0</v>
      </c>
      <c r="F261" s="26" t="n">
        <v>0</v>
      </c>
      <c r="G261" s="26" t="n">
        <v>0</v>
      </c>
      <c r="H261" s="1" t="s">
        <v>421</v>
      </c>
    </row>
    <row r="262" customFormat="false" ht="15" hidden="false" customHeight="true" outlineLevel="0" collapsed="false">
      <c r="A262" s="1" t="s">
        <v>607</v>
      </c>
      <c r="B262" s="1" t="s">
        <v>412</v>
      </c>
      <c r="C262" s="1" t="s">
        <v>415</v>
      </c>
      <c r="D262" s="1" t="s">
        <v>274</v>
      </c>
      <c r="E262" s="73" t="n">
        <v>1</v>
      </c>
      <c r="F262" s="26" t="n">
        <v>114</v>
      </c>
      <c r="G262" s="26" t="n">
        <v>114</v>
      </c>
      <c r="H262" s="1" t="s">
        <v>608</v>
      </c>
    </row>
    <row r="263" customFormat="false" ht="15" hidden="false" customHeight="true" outlineLevel="0" collapsed="false">
      <c r="A263" s="1" t="s">
        <v>607</v>
      </c>
      <c r="B263" s="1" t="s">
        <v>412</v>
      </c>
      <c r="C263" s="1" t="s">
        <v>415</v>
      </c>
      <c r="D263" s="1" t="s">
        <v>274</v>
      </c>
      <c r="E263" s="73" t="n">
        <v>0</v>
      </c>
      <c r="F263" s="26" t="n">
        <v>0</v>
      </c>
      <c r="G263" s="26" t="n">
        <v>0</v>
      </c>
      <c r="H263" s="1" t="s">
        <v>416</v>
      </c>
    </row>
    <row r="264" customFormat="false" ht="15" hidden="false" customHeight="true" outlineLevel="0" collapsed="false">
      <c r="A264" s="1" t="s">
        <v>607</v>
      </c>
      <c r="B264" s="1" t="s">
        <v>412</v>
      </c>
      <c r="C264" s="1" t="s">
        <v>413</v>
      </c>
      <c r="D264" s="1" t="s">
        <v>275</v>
      </c>
      <c r="E264" s="73" t="n">
        <v>0</v>
      </c>
      <c r="F264" s="26" t="n">
        <v>0</v>
      </c>
      <c r="G264" s="26" t="n">
        <v>0</v>
      </c>
      <c r="H264" s="1" t="s">
        <v>417</v>
      </c>
    </row>
    <row r="265" customFormat="false" ht="15" hidden="false" customHeight="true" outlineLevel="0" collapsed="false">
      <c r="A265" s="1" t="s">
        <v>607</v>
      </c>
      <c r="B265" s="1" t="s">
        <v>412</v>
      </c>
      <c r="C265" s="1" t="s">
        <v>413</v>
      </c>
      <c r="D265" s="1" t="s">
        <v>275</v>
      </c>
      <c r="E265" s="73" t="n">
        <v>0</v>
      </c>
      <c r="F265" s="26" t="n">
        <v>0</v>
      </c>
      <c r="G265" s="26" t="n">
        <v>0</v>
      </c>
      <c r="H265" s="1" t="s">
        <v>422</v>
      </c>
    </row>
    <row r="266" customFormat="false" ht="15" hidden="false" customHeight="true" outlineLevel="0" collapsed="false">
      <c r="A266" s="1" t="s">
        <v>607</v>
      </c>
      <c r="B266" s="1" t="s">
        <v>78</v>
      </c>
      <c r="C266" s="1" t="s">
        <v>423</v>
      </c>
      <c r="D266" s="1" t="s">
        <v>283</v>
      </c>
      <c r="E266" s="73" t="n">
        <v>3650</v>
      </c>
      <c r="F266" s="26" t="n">
        <v>0.4347261411092</v>
      </c>
      <c r="G266" s="26" t="n">
        <v>1586.750415</v>
      </c>
      <c r="H266" s="1" t="s">
        <v>410</v>
      </c>
    </row>
    <row r="267" customFormat="false" ht="15" hidden="false" customHeight="true" outlineLevel="0" collapsed="false">
      <c r="A267" s="1" t="s">
        <v>607</v>
      </c>
      <c r="B267" s="1" t="s">
        <v>78</v>
      </c>
      <c r="C267" s="1" t="s">
        <v>423</v>
      </c>
      <c r="D267" s="1" t="s">
        <v>280</v>
      </c>
      <c r="E267" s="73" t="n">
        <v>6396</v>
      </c>
      <c r="F267" s="26" t="n">
        <v>0.4347261411092</v>
      </c>
      <c r="G267" s="26" t="n">
        <v>2780.508399</v>
      </c>
      <c r="H267" s="1" t="s">
        <v>410</v>
      </c>
    </row>
    <row r="268" customFormat="false" ht="15" hidden="false" customHeight="true" outlineLevel="0" collapsed="false">
      <c r="A268" s="1" t="s">
        <v>607</v>
      </c>
      <c r="B268" s="1" t="s">
        <v>78</v>
      </c>
      <c r="C268" s="1" t="s">
        <v>423</v>
      </c>
      <c r="D268" s="1" t="s">
        <v>274</v>
      </c>
      <c r="E268" s="73" t="n">
        <v>14331</v>
      </c>
      <c r="F268" s="26" t="n">
        <v>0.4347261411092</v>
      </c>
      <c r="G268" s="26" t="n">
        <v>6230.060328</v>
      </c>
      <c r="H268" s="1" t="s">
        <v>410</v>
      </c>
    </row>
    <row r="269" customFormat="false" ht="15" hidden="false" customHeight="true" outlineLevel="0" collapsed="false">
      <c r="A269" s="1" t="s">
        <v>607</v>
      </c>
      <c r="B269" s="1" t="s">
        <v>78</v>
      </c>
      <c r="C269" s="1" t="s">
        <v>423</v>
      </c>
      <c r="D269" s="1" t="s">
        <v>272</v>
      </c>
      <c r="E269" s="73" t="n">
        <v>4782</v>
      </c>
      <c r="F269" s="26" t="n">
        <v>0.4347261411092</v>
      </c>
      <c r="G269" s="26" t="n">
        <v>2078.860407</v>
      </c>
      <c r="H269" s="1" t="s">
        <v>410</v>
      </c>
    </row>
    <row r="270" customFormat="false" ht="15" hidden="false" customHeight="true" outlineLevel="0" collapsed="false">
      <c r="A270" s="1" t="s">
        <v>607</v>
      </c>
      <c r="B270" s="1" t="s">
        <v>424</v>
      </c>
      <c r="C270" s="1" t="s">
        <v>425</v>
      </c>
      <c r="D270" s="1" t="s">
        <v>265</v>
      </c>
      <c r="E270" s="73" t="n">
        <v>4995</v>
      </c>
      <c r="F270" s="26" t="n">
        <v>1.86</v>
      </c>
      <c r="G270" s="26" t="n">
        <v>9290.7</v>
      </c>
      <c r="H270" s="1" t="s">
        <v>609</v>
      </c>
    </row>
    <row r="271" customFormat="false" ht="15" hidden="false" customHeight="true" outlineLevel="0" collapsed="false">
      <c r="A271" s="1" t="s">
        <v>607</v>
      </c>
      <c r="B271" s="1" t="s">
        <v>424</v>
      </c>
      <c r="C271" s="1" t="s">
        <v>425</v>
      </c>
      <c r="D271" s="1" t="s">
        <v>265</v>
      </c>
      <c r="E271" s="73" t="n">
        <v>4995</v>
      </c>
      <c r="F271" s="26" t="n">
        <v>1.86</v>
      </c>
      <c r="G271" s="26" t="n">
        <v>9290.7</v>
      </c>
      <c r="H271" s="1" t="s">
        <v>609</v>
      </c>
    </row>
    <row r="272" customFormat="false" ht="15" hidden="false" customHeight="true" outlineLevel="0" collapsed="false">
      <c r="A272" s="1" t="s">
        <v>607</v>
      </c>
      <c r="B272" s="1" t="s">
        <v>424</v>
      </c>
      <c r="C272" s="1" t="s">
        <v>425</v>
      </c>
      <c r="D272" s="1" t="s">
        <v>277</v>
      </c>
      <c r="E272" s="73" t="n">
        <v>305</v>
      </c>
      <c r="F272" s="26" t="n">
        <v>1.86</v>
      </c>
      <c r="G272" s="26" t="n">
        <v>567.3</v>
      </c>
      <c r="H272" s="1" t="s">
        <v>609</v>
      </c>
    </row>
    <row r="273" customFormat="false" ht="15" hidden="false" customHeight="true" outlineLevel="0" collapsed="false">
      <c r="A273" s="1" t="s">
        <v>607</v>
      </c>
      <c r="B273" s="1" t="s">
        <v>424</v>
      </c>
      <c r="C273" s="1" t="s">
        <v>425</v>
      </c>
      <c r="D273" s="1" t="s">
        <v>277</v>
      </c>
      <c r="E273" s="73" t="n">
        <v>305</v>
      </c>
      <c r="F273" s="26" t="n">
        <v>1.86</v>
      </c>
      <c r="G273" s="26" t="n">
        <v>567.3</v>
      </c>
      <c r="H273" s="1" t="s">
        <v>609</v>
      </c>
    </row>
    <row r="274" customFormat="false" ht="15" hidden="false" customHeight="true" outlineLevel="0" collapsed="false">
      <c r="A274" s="1" t="s">
        <v>607</v>
      </c>
      <c r="B274" s="1" t="s">
        <v>424</v>
      </c>
      <c r="C274" s="1" t="s">
        <v>427</v>
      </c>
      <c r="D274" s="1" t="s">
        <v>277</v>
      </c>
      <c r="E274" s="73" t="n">
        <v>2</v>
      </c>
      <c r="F274" s="26" t="n">
        <v>383.56</v>
      </c>
      <c r="G274" s="26" t="n">
        <v>767.12</v>
      </c>
      <c r="H274" s="1" t="s">
        <v>428</v>
      </c>
    </row>
    <row r="275" customFormat="false" ht="15" hidden="false" customHeight="true" outlineLevel="0" collapsed="false">
      <c r="A275" s="1" t="s">
        <v>607</v>
      </c>
      <c r="B275" s="1" t="s">
        <v>424</v>
      </c>
      <c r="C275" s="1" t="s">
        <v>429</v>
      </c>
      <c r="D275" s="1" t="s">
        <v>277</v>
      </c>
      <c r="E275" s="73" t="n">
        <v>0</v>
      </c>
      <c r="F275" s="26" t="n">
        <v>0</v>
      </c>
      <c r="G275" s="26" t="n">
        <v>0</v>
      </c>
      <c r="H275" s="1" t="s">
        <v>430</v>
      </c>
    </row>
    <row r="276" customFormat="false" ht="15" hidden="false" customHeight="true" outlineLevel="0" collapsed="false">
      <c r="A276" s="1" t="s">
        <v>607</v>
      </c>
      <c r="B276" s="1" t="s">
        <v>424</v>
      </c>
      <c r="C276" s="1" t="s">
        <v>431</v>
      </c>
      <c r="D276" s="1" t="s">
        <v>277</v>
      </c>
      <c r="E276" s="73" t="n">
        <v>0</v>
      </c>
      <c r="F276" s="26" t="n">
        <v>0</v>
      </c>
      <c r="G276" s="26" t="n">
        <v>0</v>
      </c>
      <c r="H276" s="1" t="s">
        <v>432</v>
      </c>
    </row>
    <row r="277" customFormat="false" ht="15" hidden="false" customHeight="true" outlineLevel="0" collapsed="false">
      <c r="A277" s="1" t="s">
        <v>607</v>
      </c>
      <c r="B277" s="1" t="s">
        <v>424</v>
      </c>
      <c r="C277" s="1" t="s">
        <v>433</v>
      </c>
      <c r="D277" s="1" t="s">
        <v>277</v>
      </c>
      <c r="E277" s="73" t="n">
        <v>-1</v>
      </c>
      <c r="F277" s="26" t="n">
        <v>774.2</v>
      </c>
      <c r="G277" s="26" t="n">
        <v>-774.2</v>
      </c>
      <c r="H277" s="1" t="s">
        <v>434</v>
      </c>
    </row>
    <row r="278" customFormat="false" ht="15" hidden="false" customHeight="true" outlineLevel="0" collapsed="false">
      <c r="A278" s="1" t="s">
        <v>607</v>
      </c>
      <c r="B278" s="1" t="s">
        <v>424</v>
      </c>
      <c r="C278" s="1" t="s">
        <v>433</v>
      </c>
      <c r="D278" s="1" t="s">
        <v>277</v>
      </c>
      <c r="E278" s="73" t="n">
        <v>-1</v>
      </c>
      <c r="F278" s="26" t="n">
        <v>4167</v>
      </c>
      <c r="G278" s="26" t="n">
        <v>-4167</v>
      </c>
      <c r="H278" s="1" t="s">
        <v>435</v>
      </c>
    </row>
    <row r="279" customFormat="false" ht="15" hidden="false" customHeight="true" outlineLevel="0" collapsed="false">
      <c r="A279" s="1" t="s">
        <v>607</v>
      </c>
      <c r="B279" s="1" t="s">
        <v>424</v>
      </c>
      <c r="C279" s="1" t="s">
        <v>436</v>
      </c>
      <c r="D279" s="1" t="s">
        <v>277</v>
      </c>
      <c r="E279" s="73" t="n">
        <v>3</v>
      </c>
      <c r="F279" s="26" t="n">
        <v>0</v>
      </c>
      <c r="G279" s="26" t="n">
        <v>0</v>
      </c>
      <c r="H279" s="1" t="s">
        <v>437</v>
      </c>
    </row>
    <row r="280" customFormat="false" ht="15" hidden="false" customHeight="true" outlineLevel="0" collapsed="false">
      <c r="A280" s="1" t="s">
        <v>607</v>
      </c>
      <c r="B280" s="1" t="s">
        <v>424</v>
      </c>
      <c r="C280" s="1" t="s">
        <v>438</v>
      </c>
      <c r="D280" s="1" t="s">
        <v>277</v>
      </c>
      <c r="E280" s="73" t="n">
        <v>0</v>
      </c>
      <c r="F280" s="26" t="n">
        <v>0</v>
      </c>
      <c r="G280" s="26" t="n">
        <v>0</v>
      </c>
      <c r="H280" s="1" t="s">
        <v>437</v>
      </c>
    </row>
    <row r="281" customFormat="false" ht="15" hidden="false" customHeight="true" outlineLevel="0" collapsed="false">
      <c r="A281" s="1" t="s">
        <v>607</v>
      </c>
      <c r="B281" s="1" t="s">
        <v>424</v>
      </c>
      <c r="C281" s="1" t="s">
        <v>439</v>
      </c>
      <c r="D281" s="1" t="s">
        <v>277</v>
      </c>
      <c r="E281" s="73" t="n">
        <v>0</v>
      </c>
      <c r="F281" s="26" t="n">
        <v>0</v>
      </c>
      <c r="G281" s="26" t="n">
        <v>0</v>
      </c>
      <c r="H281" s="1" t="s">
        <v>437</v>
      </c>
    </row>
    <row r="282" customFormat="false" ht="15" hidden="false" customHeight="true" outlineLevel="0" collapsed="false">
      <c r="A282" s="1" t="s">
        <v>607</v>
      </c>
      <c r="B282" s="1" t="s">
        <v>424</v>
      </c>
      <c r="C282" s="1" t="s">
        <v>440</v>
      </c>
      <c r="D282" s="1" t="s">
        <v>277</v>
      </c>
      <c r="E282" s="73" t="n">
        <v>5</v>
      </c>
      <c r="F282" s="26" t="n">
        <v>0</v>
      </c>
      <c r="G282" s="26" t="n">
        <v>0</v>
      </c>
      <c r="H282" s="1" t="s">
        <v>437</v>
      </c>
    </row>
    <row r="283" customFormat="false" ht="15" hidden="false" customHeight="true" outlineLevel="0" collapsed="false">
      <c r="A283" s="1" t="s">
        <v>607</v>
      </c>
      <c r="B283" s="1" t="s">
        <v>424</v>
      </c>
      <c r="C283" s="1" t="s">
        <v>441</v>
      </c>
      <c r="D283" s="1" t="s">
        <v>277</v>
      </c>
      <c r="E283" s="73" t="n">
        <v>0</v>
      </c>
      <c r="F283" s="26" t="n">
        <v>0</v>
      </c>
      <c r="G283" s="26" t="n">
        <v>0</v>
      </c>
      <c r="H283" s="1" t="s">
        <v>437</v>
      </c>
    </row>
    <row r="284" customFormat="false" ht="15" hidden="false" customHeight="true" outlineLevel="0" collapsed="false">
      <c r="A284" s="1" t="s">
        <v>607</v>
      </c>
      <c r="B284" s="1" t="s">
        <v>424</v>
      </c>
      <c r="C284" s="1" t="s">
        <v>442</v>
      </c>
      <c r="D284" s="1" t="s">
        <v>279</v>
      </c>
      <c r="E284" s="73" t="n">
        <v>1</v>
      </c>
      <c r="F284" s="26" t="n">
        <v>33.5</v>
      </c>
      <c r="G284" s="26" t="n">
        <v>33.5</v>
      </c>
      <c r="H284" s="1" t="s">
        <v>443</v>
      </c>
    </row>
    <row r="285" customFormat="false" ht="15" hidden="false" customHeight="true" outlineLevel="0" collapsed="false">
      <c r="A285" s="1" t="s">
        <v>607</v>
      </c>
      <c r="B285" s="1" t="s">
        <v>424</v>
      </c>
      <c r="C285" s="1" t="s">
        <v>442</v>
      </c>
      <c r="D285" s="1" t="s">
        <v>279</v>
      </c>
      <c r="E285" s="73" t="n">
        <v>1</v>
      </c>
      <c r="F285" s="26" t="n">
        <v>22</v>
      </c>
      <c r="G285" s="26" t="n">
        <v>22</v>
      </c>
      <c r="H285" s="1" t="s">
        <v>444</v>
      </c>
    </row>
    <row r="286" customFormat="false" ht="15" hidden="false" customHeight="true" outlineLevel="0" collapsed="false">
      <c r="A286" s="1" t="s">
        <v>607</v>
      </c>
      <c r="B286" s="1" t="s">
        <v>424</v>
      </c>
      <c r="C286" s="1" t="s">
        <v>425</v>
      </c>
      <c r="D286" s="1" t="s">
        <v>279</v>
      </c>
      <c r="E286" s="73" t="n">
        <v>322</v>
      </c>
      <c r="F286" s="26" t="n">
        <v>1.86</v>
      </c>
      <c r="G286" s="26" t="n">
        <v>598.92</v>
      </c>
      <c r="H286" s="1" t="s">
        <v>609</v>
      </c>
    </row>
    <row r="287" customFormat="false" ht="15" hidden="false" customHeight="true" outlineLevel="0" collapsed="false">
      <c r="A287" s="1" t="s">
        <v>607</v>
      </c>
      <c r="B287" s="1" t="s">
        <v>424</v>
      </c>
      <c r="C287" s="1" t="s">
        <v>425</v>
      </c>
      <c r="D287" s="1" t="s">
        <v>279</v>
      </c>
      <c r="E287" s="73" t="n">
        <v>322</v>
      </c>
      <c r="F287" s="26" t="n">
        <v>1.86</v>
      </c>
      <c r="G287" s="26" t="n">
        <v>598.92</v>
      </c>
      <c r="H287" s="1" t="s">
        <v>609</v>
      </c>
    </row>
    <row r="288" customFormat="false" ht="15" hidden="false" customHeight="true" outlineLevel="0" collapsed="false">
      <c r="A288" s="1" t="s">
        <v>607</v>
      </c>
      <c r="B288" s="1" t="s">
        <v>424</v>
      </c>
      <c r="C288" s="1" t="s">
        <v>427</v>
      </c>
      <c r="D288" s="1" t="s">
        <v>279</v>
      </c>
      <c r="E288" s="73" t="n">
        <v>5</v>
      </c>
      <c r="F288" s="26" t="n">
        <v>383.56</v>
      </c>
      <c r="G288" s="26" t="n">
        <v>1917.8</v>
      </c>
      <c r="H288" s="1" t="s">
        <v>445</v>
      </c>
    </row>
    <row r="289" customFormat="false" ht="15" hidden="false" customHeight="true" outlineLevel="0" collapsed="false">
      <c r="A289" s="1" t="s">
        <v>607</v>
      </c>
      <c r="B289" s="1" t="s">
        <v>424</v>
      </c>
      <c r="C289" s="1" t="s">
        <v>429</v>
      </c>
      <c r="D289" s="1" t="s">
        <v>279</v>
      </c>
      <c r="E289" s="73" t="n">
        <v>1</v>
      </c>
      <c r="F289" s="26" t="n">
        <v>338.53</v>
      </c>
      <c r="G289" s="26" t="n">
        <v>338.53</v>
      </c>
      <c r="H289" s="1" t="s">
        <v>446</v>
      </c>
    </row>
    <row r="290" customFormat="false" ht="15" hidden="false" customHeight="true" outlineLevel="0" collapsed="false">
      <c r="A290" s="1" t="s">
        <v>607</v>
      </c>
      <c r="B290" s="1" t="s">
        <v>424</v>
      </c>
      <c r="C290" s="1" t="s">
        <v>431</v>
      </c>
      <c r="D290" s="1" t="s">
        <v>279</v>
      </c>
      <c r="E290" s="73" t="n">
        <v>1</v>
      </c>
      <c r="F290" s="26" t="n">
        <v>400.26</v>
      </c>
      <c r="G290" s="26" t="n">
        <v>400.26</v>
      </c>
      <c r="H290" s="1" t="s">
        <v>447</v>
      </c>
    </row>
    <row r="291" customFormat="false" ht="15" hidden="false" customHeight="true" outlineLevel="0" collapsed="false">
      <c r="A291" s="1" t="s">
        <v>607</v>
      </c>
      <c r="B291" s="1" t="s">
        <v>424</v>
      </c>
      <c r="C291" s="1" t="s">
        <v>433</v>
      </c>
      <c r="D291" s="1" t="s">
        <v>279</v>
      </c>
      <c r="E291" s="73" t="n">
        <v>1</v>
      </c>
      <c r="F291" s="26" t="n">
        <v>324</v>
      </c>
      <c r="G291" s="26" t="n">
        <v>324</v>
      </c>
      <c r="H291" s="1" t="s">
        <v>448</v>
      </c>
    </row>
    <row r="292" customFormat="false" ht="15" hidden="false" customHeight="true" outlineLevel="0" collapsed="false">
      <c r="A292" s="1" t="s">
        <v>607</v>
      </c>
      <c r="B292" s="1" t="s">
        <v>424</v>
      </c>
      <c r="C292" s="1" t="s">
        <v>433</v>
      </c>
      <c r="D292" s="1" t="s">
        <v>279</v>
      </c>
      <c r="E292" s="73" t="n">
        <v>64</v>
      </c>
      <c r="F292" s="26" t="n">
        <v>23.15</v>
      </c>
      <c r="G292" s="26" t="n">
        <v>1481.6</v>
      </c>
      <c r="H292" s="1" t="s">
        <v>449</v>
      </c>
    </row>
    <row r="293" customFormat="false" ht="15" hidden="false" customHeight="true" outlineLevel="0" collapsed="false">
      <c r="A293" s="1" t="s">
        <v>607</v>
      </c>
      <c r="B293" s="1" t="s">
        <v>424</v>
      </c>
      <c r="C293" s="1" t="s">
        <v>450</v>
      </c>
      <c r="D293" s="1" t="s">
        <v>279</v>
      </c>
      <c r="E293" s="73" t="n">
        <v>3</v>
      </c>
      <c r="F293" s="26" t="n">
        <v>0</v>
      </c>
      <c r="G293" s="26" t="n">
        <v>0</v>
      </c>
      <c r="H293" s="1" t="s">
        <v>437</v>
      </c>
    </row>
    <row r="294" customFormat="false" ht="15" hidden="false" customHeight="true" outlineLevel="0" collapsed="false">
      <c r="A294" s="1" t="s">
        <v>607</v>
      </c>
      <c r="B294" s="1" t="s">
        <v>424</v>
      </c>
      <c r="C294" s="1" t="s">
        <v>438</v>
      </c>
      <c r="D294" s="1" t="s">
        <v>279</v>
      </c>
      <c r="E294" s="73" t="n">
        <v>1</v>
      </c>
      <c r="F294" s="26" t="n">
        <v>0</v>
      </c>
      <c r="G294" s="26" t="n">
        <v>0</v>
      </c>
      <c r="H294" s="1" t="s">
        <v>437</v>
      </c>
    </row>
    <row r="295" customFormat="false" ht="15" hidden="false" customHeight="true" outlineLevel="0" collapsed="false">
      <c r="A295" s="1" t="s">
        <v>607</v>
      </c>
      <c r="B295" s="1" t="s">
        <v>424</v>
      </c>
      <c r="C295" s="1" t="s">
        <v>451</v>
      </c>
      <c r="D295" s="1" t="s">
        <v>279</v>
      </c>
      <c r="E295" s="73" t="n">
        <v>0</v>
      </c>
      <c r="F295" s="26" t="n">
        <v>0</v>
      </c>
      <c r="G295" s="26" t="n">
        <v>0</v>
      </c>
      <c r="H295" s="1" t="s">
        <v>437</v>
      </c>
    </row>
    <row r="296" customFormat="false" ht="15" hidden="false" customHeight="true" outlineLevel="0" collapsed="false">
      <c r="A296" s="1" t="s">
        <v>607</v>
      </c>
      <c r="B296" s="1" t="s">
        <v>424</v>
      </c>
      <c r="C296" s="1" t="s">
        <v>452</v>
      </c>
      <c r="D296" s="1" t="s">
        <v>279</v>
      </c>
      <c r="E296" s="73" t="n">
        <v>2</v>
      </c>
      <c r="F296" s="26" t="n">
        <v>0</v>
      </c>
      <c r="G296" s="26" t="n">
        <v>0</v>
      </c>
      <c r="H296" s="1" t="s">
        <v>437</v>
      </c>
    </row>
    <row r="297" customFormat="false" ht="15" hidden="false" customHeight="true" outlineLevel="0" collapsed="false">
      <c r="A297" s="1" t="s">
        <v>607</v>
      </c>
      <c r="B297" s="1" t="s">
        <v>424</v>
      </c>
      <c r="C297" s="1" t="s">
        <v>453</v>
      </c>
      <c r="D297" s="1" t="s">
        <v>279</v>
      </c>
      <c r="E297" s="73" t="n">
        <v>5</v>
      </c>
      <c r="F297" s="26" t="n">
        <v>0</v>
      </c>
      <c r="G297" s="26" t="n">
        <v>0</v>
      </c>
      <c r="H297" s="1" t="s">
        <v>437</v>
      </c>
    </row>
    <row r="298" customFormat="false" ht="15" hidden="false" customHeight="true" outlineLevel="0" collapsed="false">
      <c r="A298" s="1" t="s">
        <v>607</v>
      </c>
      <c r="B298" s="1" t="s">
        <v>424</v>
      </c>
      <c r="C298" s="1" t="s">
        <v>454</v>
      </c>
      <c r="D298" s="1" t="s">
        <v>279</v>
      </c>
      <c r="E298" s="73" t="n">
        <v>0</v>
      </c>
      <c r="F298" s="26" t="n">
        <v>0</v>
      </c>
      <c r="G298" s="26" t="n">
        <v>0</v>
      </c>
      <c r="H298" s="1" t="s">
        <v>437</v>
      </c>
    </row>
    <row r="299" customFormat="false" ht="15" hidden="false" customHeight="true" outlineLevel="0" collapsed="false">
      <c r="A299" s="1" t="s">
        <v>607</v>
      </c>
      <c r="B299" s="1" t="s">
        <v>424</v>
      </c>
      <c r="C299" s="1" t="s">
        <v>425</v>
      </c>
      <c r="D299" s="1" t="s">
        <v>283</v>
      </c>
      <c r="E299" s="73" t="n">
        <v>240</v>
      </c>
      <c r="F299" s="26" t="n">
        <v>1.86</v>
      </c>
      <c r="G299" s="26" t="n">
        <v>446.4</v>
      </c>
      <c r="H299" s="1" t="s">
        <v>609</v>
      </c>
    </row>
    <row r="300" customFormat="false" ht="15" hidden="false" customHeight="true" outlineLevel="0" collapsed="false">
      <c r="A300" s="1" t="s">
        <v>607</v>
      </c>
      <c r="B300" s="1" t="s">
        <v>424</v>
      </c>
      <c r="C300" s="1" t="s">
        <v>425</v>
      </c>
      <c r="D300" s="1" t="s">
        <v>283</v>
      </c>
      <c r="E300" s="73" t="n">
        <v>240</v>
      </c>
      <c r="F300" s="26" t="n">
        <v>1.86</v>
      </c>
      <c r="G300" s="26" t="n">
        <v>446.4</v>
      </c>
      <c r="H300" s="1" t="s">
        <v>609</v>
      </c>
    </row>
    <row r="301" customFormat="false" ht="15" hidden="false" customHeight="true" outlineLevel="0" collapsed="false">
      <c r="A301" s="1" t="s">
        <v>607</v>
      </c>
      <c r="B301" s="1" t="s">
        <v>424</v>
      </c>
      <c r="C301" s="1" t="s">
        <v>427</v>
      </c>
      <c r="D301" s="1" t="s">
        <v>283</v>
      </c>
      <c r="E301" s="73" t="n">
        <v>0</v>
      </c>
      <c r="F301" s="26" t="n">
        <v>0</v>
      </c>
      <c r="G301" s="26" t="n">
        <v>0</v>
      </c>
      <c r="H301" s="1" t="s">
        <v>428</v>
      </c>
    </row>
    <row r="302" customFormat="false" ht="15" hidden="false" customHeight="true" outlineLevel="0" collapsed="false">
      <c r="A302" s="1" t="s">
        <v>607</v>
      </c>
      <c r="B302" s="1" t="s">
        <v>424</v>
      </c>
      <c r="C302" s="1" t="s">
        <v>429</v>
      </c>
      <c r="D302" s="1" t="s">
        <v>283</v>
      </c>
      <c r="E302" s="73" t="n">
        <v>2</v>
      </c>
      <c r="F302" s="26" t="n">
        <v>338.53</v>
      </c>
      <c r="G302" s="26" t="n">
        <v>677.06</v>
      </c>
      <c r="H302" s="1" t="s">
        <v>428</v>
      </c>
    </row>
    <row r="303" customFormat="false" ht="15" hidden="false" customHeight="true" outlineLevel="0" collapsed="false">
      <c r="A303" s="1" t="s">
        <v>607</v>
      </c>
      <c r="B303" s="1" t="s">
        <v>424</v>
      </c>
      <c r="C303" s="1" t="s">
        <v>431</v>
      </c>
      <c r="D303" s="1" t="s">
        <v>283</v>
      </c>
      <c r="E303" s="73" t="n">
        <v>0</v>
      </c>
      <c r="F303" s="26" t="n">
        <v>0</v>
      </c>
      <c r="G303" s="26" t="n">
        <v>0</v>
      </c>
      <c r="H303" s="1" t="s">
        <v>455</v>
      </c>
    </row>
    <row r="304" customFormat="false" ht="15" hidden="false" customHeight="true" outlineLevel="0" collapsed="false">
      <c r="A304" s="1" t="s">
        <v>607</v>
      </c>
      <c r="B304" s="1" t="s">
        <v>424</v>
      </c>
      <c r="C304" s="1" t="s">
        <v>438</v>
      </c>
      <c r="D304" s="1" t="s">
        <v>283</v>
      </c>
      <c r="E304" s="73" t="n">
        <v>1</v>
      </c>
      <c r="F304" s="26" t="n">
        <v>0</v>
      </c>
      <c r="G304" s="26" t="n">
        <v>0</v>
      </c>
      <c r="H304" s="1" t="s">
        <v>437</v>
      </c>
    </row>
    <row r="305" customFormat="false" ht="15" hidden="false" customHeight="true" outlineLevel="0" collapsed="false">
      <c r="A305" s="1" t="s">
        <v>607</v>
      </c>
      <c r="B305" s="1" t="s">
        <v>424</v>
      </c>
      <c r="C305" s="1" t="s">
        <v>456</v>
      </c>
      <c r="D305" s="1" t="s">
        <v>283</v>
      </c>
      <c r="E305" s="73" t="n">
        <v>3</v>
      </c>
      <c r="F305" s="26" t="n">
        <v>0</v>
      </c>
      <c r="G305" s="26" t="n">
        <v>0</v>
      </c>
      <c r="H305" s="1" t="s">
        <v>437</v>
      </c>
    </row>
    <row r="306" customFormat="false" ht="15" hidden="false" customHeight="true" outlineLevel="0" collapsed="false">
      <c r="A306" s="1" t="s">
        <v>607</v>
      </c>
      <c r="B306" s="1" t="s">
        <v>424</v>
      </c>
      <c r="C306" s="1" t="s">
        <v>457</v>
      </c>
      <c r="D306" s="1" t="s">
        <v>283</v>
      </c>
      <c r="E306" s="73" t="n">
        <v>0</v>
      </c>
      <c r="F306" s="26" t="n">
        <v>0</v>
      </c>
      <c r="G306" s="26" t="n">
        <v>0</v>
      </c>
      <c r="H306" s="1" t="s">
        <v>437</v>
      </c>
    </row>
    <row r="307" customFormat="false" ht="15" hidden="false" customHeight="true" outlineLevel="0" collapsed="false">
      <c r="A307" s="1" t="s">
        <v>607</v>
      </c>
      <c r="B307" s="1" t="s">
        <v>424</v>
      </c>
      <c r="C307" s="1" t="s">
        <v>458</v>
      </c>
      <c r="D307" s="1" t="s">
        <v>283</v>
      </c>
      <c r="E307" s="73" t="n">
        <v>0</v>
      </c>
      <c r="F307" s="26" t="n">
        <v>0</v>
      </c>
      <c r="G307" s="26" t="n">
        <v>0</v>
      </c>
      <c r="H307" s="1" t="s">
        <v>437</v>
      </c>
    </row>
    <row r="308" customFormat="false" ht="15" hidden="false" customHeight="true" outlineLevel="0" collapsed="false">
      <c r="A308" s="1" t="s">
        <v>607</v>
      </c>
      <c r="B308" s="1" t="s">
        <v>424</v>
      </c>
      <c r="C308" s="1" t="s">
        <v>425</v>
      </c>
      <c r="D308" s="1" t="s">
        <v>280</v>
      </c>
      <c r="E308" s="73" t="n">
        <v>679</v>
      </c>
      <c r="F308" s="26" t="n">
        <v>1.86</v>
      </c>
      <c r="G308" s="26" t="n">
        <v>1262.94</v>
      </c>
      <c r="H308" s="1" t="s">
        <v>609</v>
      </c>
    </row>
    <row r="309" customFormat="false" ht="15" hidden="false" customHeight="true" outlineLevel="0" collapsed="false">
      <c r="A309" s="1" t="s">
        <v>607</v>
      </c>
      <c r="B309" s="1" t="s">
        <v>424</v>
      </c>
      <c r="C309" s="1" t="s">
        <v>425</v>
      </c>
      <c r="D309" s="1" t="s">
        <v>280</v>
      </c>
      <c r="E309" s="73" t="n">
        <v>679</v>
      </c>
      <c r="F309" s="26" t="n">
        <v>1.86</v>
      </c>
      <c r="G309" s="26" t="n">
        <v>1262.94</v>
      </c>
      <c r="H309" s="1" t="s">
        <v>609</v>
      </c>
    </row>
    <row r="310" customFormat="false" ht="15" hidden="false" customHeight="true" outlineLevel="0" collapsed="false">
      <c r="A310" s="1" t="s">
        <v>607</v>
      </c>
      <c r="B310" s="1" t="s">
        <v>424</v>
      </c>
      <c r="C310" s="1" t="s">
        <v>427</v>
      </c>
      <c r="D310" s="1" t="s">
        <v>280</v>
      </c>
      <c r="E310" s="73" t="n">
        <v>4</v>
      </c>
      <c r="F310" s="26" t="n">
        <v>383.56</v>
      </c>
      <c r="G310" s="26" t="n">
        <v>1534.24</v>
      </c>
      <c r="H310" s="1" t="s">
        <v>459</v>
      </c>
    </row>
    <row r="311" customFormat="false" ht="15" hidden="false" customHeight="true" outlineLevel="0" collapsed="false">
      <c r="A311" s="1" t="s">
        <v>607</v>
      </c>
      <c r="B311" s="1" t="s">
        <v>424</v>
      </c>
      <c r="C311" s="1" t="s">
        <v>429</v>
      </c>
      <c r="D311" s="1" t="s">
        <v>280</v>
      </c>
      <c r="E311" s="73" t="n">
        <v>4</v>
      </c>
      <c r="F311" s="26" t="n">
        <v>338.53</v>
      </c>
      <c r="G311" s="26" t="n">
        <v>1354.12</v>
      </c>
      <c r="H311" s="1" t="s">
        <v>460</v>
      </c>
    </row>
    <row r="312" customFormat="false" ht="15" hidden="false" customHeight="true" outlineLevel="0" collapsed="false">
      <c r="A312" s="1" t="s">
        <v>607</v>
      </c>
      <c r="B312" s="1" t="s">
        <v>424</v>
      </c>
      <c r="C312" s="1" t="s">
        <v>431</v>
      </c>
      <c r="D312" s="1" t="s">
        <v>280</v>
      </c>
      <c r="E312" s="73" t="n">
        <v>2</v>
      </c>
      <c r="F312" s="26" t="n">
        <v>400.26</v>
      </c>
      <c r="G312" s="26" t="n">
        <v>800.52</v>
      </c>
      <c r="H312" s="1" t="s">
        <v>461</v>
      </c>
    </row>
    <row r="313" customFormat="false" ht="15" hidden="false" customHeight="true" outlineLevel="0" collapsed="false">
      <c r="A313" s="1" t="s">
        <v>607</v>
      </c>
      <c r="B313" s="1" t="s">
        <v>424</v>
      </c>
      <c r="C313" s="1" t="s">
        <v>433</v>
      </c>
      <c r="D313" s="1" t="s">
        <v>280</v>
      </c>
      <c r="E313" s="73" t="n">
        <v>1</v>
      </c>
      <c r="F313" s="26" t="n">
        <v>448</v>
      </c>
      <c r="G313" s="26" t="n">
        <v>448</v>
      </c>
      <c r="H313" s="1" t="s">
        <v>462</v>
      </c>
    </row>
    <row r="314" customFormat="false" ht="15" hidden="false" customHeight="true" outlineLevel="0" collapsed="false">
      <c r="A314" s="1" t="s">
        <v>607</v>
      </c>
      <c r="B314" s="1" t="s">
        <v>424</v>
      </c>
      <c r="C314" s="1" t="s">
        <v>433</v>
      </c>
      <c r="D314" s="1" t="s">
        <v>280</v>
      </c>
      <c r="E314" s="73" t="n">
        <v>116</v>
      </c>
      <c r="F314" s="26" t="n">
        <v>23.15</v>
      </c>
      <c r="G314" s="26" t="n">
        <v>2685.4</v>
      </c>
      <c r="H314" s="1" t="s">
        <v>463</v>
      </c>
    </row>
    <row r="315" customFormat="false" ht="15" hidden="false" customHeight="true" outlineLevel="0" collapsed="false">
      <c r="A315" s="1" t="s">
        <v>607</v>
      </c>
      <c r="B315" s="1" t="s">
        <v>424</v>
      </c>
      <c r="C315" s="1" t="s">
        <v>464</v>
      </c>
      <c r="D315" s="1" t="s">
        <v>280</v>
      </c>
      <c r="E315" s="73" t="n">
        <v>2</v>
      </c>
      <c r="F315" s="26" t="n">
        <v>0</v>
      </c>
      <c r="G315" s="26" t="n">
        <v>0</v>
      </c>
      <c r="H315" s="1" t="s">
        <v>437</v>
      </c>
    </row>
    <row r="316" customFormat="false" ht="15" hidden="false" customHeight="true" outlineLevel="0" collapsed="false">
      <c r="A316" s="1" t="s">
        <v>607</v>
      </c>
      <c r="B316" s="1" t="s">
        <v>424</v>
      </c>
      <c r="C316" s="1" t="s">
        <v>465</v>
      </c>
      <c r="D316" s="1" t="s">
        <v>280</v>
      </c>
      <c r="E316" s="73" t="n">
        <v>0</v>
      </c>
      <c r="F316" s="26" t="n">
        <v>0</v>
      </c>
      <c r="G316" s="26" t="n">
        <v>0</v>
      </c>
      <c r="H316" s="1" t="s">
        <v>437</v>
      </c>
    </row>
    <row r="317" customFormat="false" ht="15" hidden="false" customHeight="true" outlineLevel="0" collapsed="false">
      <c r="A317" s="1" t="s">
        <v>607</v>
      </c>
      <c r="B317" s="1" t="s">
        <v>424</v>
      </c>
      <c r="C317" s="1" t="s">
        <v>466</v>
      </c>
      <c r="D317" s="1" t="s">
        <v>280</v>
      </c>
      <c r="E317" s="73" t="n">
        <v>0</v>
      </c>
      <c r="F317" s="26" t="n">
        <v>0</v>
      </c>
      <c r="G317" s="26" t="n">
        <v>0</v>
      </c>
      <c r="H317" s="1" t="s">
        <v>437</v>
      </c>
    </row>
    <row r="318" customFormat="false" ht="15" hidden="false" customHeight="true" outlineLevel="0" collapsed="false">
      <c r="A318" s="1" t="s">
        <v>607</v>
      </c>
      <c r="B318" s="1" t="s">
        <v>424</v>
      </c>
      <c r="C318" s="1" t="s">
        <v>467</v>
      </c>
      <c r="D318" s="1" t="s">
        <v>280</v>
      </c>
      <c r="E318" s="73" t="n">
        <v>0</v>
      </c>
      <c r="F318" s="26" t="n">
        <v>0</v>
      </c>
      <c r="G318" s="26" t="n">
        <v>0</v>
      </c>
      <c r="H318" s="1" t="s">
        <v>437</v>
      </c>
    </row>
    <row r="319" customFormat="false" ht="15" hidden="false" customHeight="true" outlineLevel="0" collapsed="false">
      <c r="A319" s="1" t="s">
        <v>607</v>
      </c>
      <c r="B319" s="1" t="s">
        <v>424</v>
      </c>
      <c r="C319" s="1" t="s">
        <v>425</v>
      </c>
      <c r="D319" s="1" t="s">
        <v>274</v>
      </c>
      <c r="E319" s="73" t="n">
        <v>508</v>
      </c>
      <c r="F319" s="26" t="n">
        <v>1.86</v>
      </c>
      <c r="G319" s="26" t="n">
        <v>944.88</v>
      </c>
      <c r="H319" s="1" t="s">
        <v>609</v>
      </c>
    </row>
    <row r="320" customFormat="false" ht="15" hidden="false" customHeight="true" outlineLevel="0" collapsed="false">
      <c r="A320" s="1" t="s">
        <v>607</v>
      </c>
      <c r="B320" s="1" t="s">
        <v>424</v>
      </c>
      <c r="C320" s="1" t="s">
        <v>425</v>
      </c>
      <c r="D320" s="1" t="s">
        <v>274</v>
      </c>
      <c r="E320" s="73" t="n">
        <v>508</v>
      </c>
      <c r="F320" s="26" t="n">
        <v>1.86</v>
      </c>
      <c r="G320" s="26" t="n">
        <v>944.88</v>
      </c>
      <c r="H320" s="1" t="s">
        <v>609</v>
      </c>
    </row>
    <row r="321" customFormat="false" ht="15" hidden="false" customHeight="true" outlineLevel="0" collapsed="false">
      <c r="A321" s="1" t="s">
        <v>607</v>
      </c>
      <c r="B321" s="1" t="s">
        <v>424</v>
      </c>
      <c r="C321" s="1" t="s">
        <v>427</v>
      </c>
      <c r="D321" s="1" t="s">
        <v>274</v>
      </c>
      <c r="E321" s="73" t="n">
        <v>1</v>
      </c>
      <c r="F321" s="26" t="n">
        <v>383.56</v>
      </c>
      <c r="G321" s="26" t="n">
        <v>383.56</v>
      </c>
      <c r="H321" s="1" t="s">
        <v>468</v>
      </c>
    </row>
    <row r="322" customFormat="false" ht="15" hidden="false" customHeight="true" outlineLevel="0" collapsed="false">
      <c r="A322" s="1" t="s">
        <v>607</v>
      </c>
      <c r="B322" s="1" t="s">
        <v>424</v>
      </c>
      <c r="C322" s="1" t="s">
        <v>429</v>
      </c>
      <c r="D322" s="1" t="s">
        <v>274</v>
      </c>
      <c r="E322" s="73" t="n">
        <v>4</v>
      </c>
      <c r="F322" s="26" t="n">
        <v>338.53</v>
      </c>
      <c r="G322" s="26" t="n">
        <v>1354.12</v>
      </c>
      <c r="H322" s="1" t="s">
        <v>469</v>
      </c>
    </row>
    <row r="323" customFormat="false" ht="15" hidden="false" customHeight="true" outlineLevel="0" collapsed="false">
      <c r="A323" s="1" t="s">
        <v>607</v>
      </c>
      <c r="B323" s="1" t="s">
        <v>424</v>
      </c>
      <c r="C323" s="1" t="s">
        <v>431</v>
      </c>
      <c r="D323" s="1" t="s">
        <v>274</v>
      </c>
      <c r="E323" s="73" t="n">
        <v>1</v>
      </c>
      <c r="F323" s="26" t="n">
        <v>400.26</v>
      </c>
      <c r="G323" s="26" t="n">
        <v>400.26</v>
      </c>
      <c r="H323" s="1" t="s">
        <v>470</v>
      </c>
    </row>
    <row r="324" customFormat="false" ht="15" hidden="false" customHeight="true" outlineLevel="0" collapsed="false">
      <c r="A324" s="1" t="s">
        <v>607</v>
      </c>
      <c r="B324" s="1" t="s">
        <v>424</v>
      </c>
      <c r="C324" s="1" t="s">
        <v>471</v>
      </c>
      <c r="D324" s="1" t="s">
        <v>274</v>
      </c>
      <c r="E324" s="73" t="n">
        <v>1</v>
      </c>
      <c r="F324" s="26" t="n">
        <v>443</v>
      </c>
      <c r="G324" s="26" t="n">
        <v>443</v>
      </c>
      <c r="H324" s="1" t="s">
        <v>472</v>
      </c>
    </row>
    <row r="325" customFormat="false" ht="15" hidden="false" customHeight="true" outlineLevel="0" collapsed="false">
      <c r="A325" s="1" t="s">
        <v>607</v>
      </c>
      <c r="B325" s="1" t="s">
        <v>424</v>
      </c>
      <c r="C325" s="1" t="s">
        <v>471</v>
      </c>
      <c r="D325" s="1" t="s">
        <v>274</v>
      </c>
      <c r="E325" s="73" t="n">
        <v>182</v>
      </c>
      <c r="F325" s="26" t="n">
        <v>12.34</v>
      </c>
      <c r="G325" s="26" t="n">
        <v>2245.88</v>
      </c>
      <c r="H325" s="1" t="s">
        <v>449</v>
      </c>
    </row>
    <row r="326" customFormat="false" ht="15" hidden="false" customHeight="true" outlineLevel="0" collapsed="false">
      <c r="A326" s="1" t="s">
        <v>607</v>
      </c>
      <c r="B326" s="1" t="s">
        <v>424</v>
      </c>
      <c r="C326" s="1" t="s">
        <v>438</v>
      </c>
      <c r="D326" s="1" t="s">
        <v>274</v>
      </c>
      <c r="E326" s="73" t="n">
        <v>15</v>
      </c>
      <c r="F326" s="26" t="n">
        <v>0</v>
      </c>
      <c r="G326" s="26" t="n">
        <v>0</v>
      </c>
      <c r="H326" s="1" t="s">
        <v>437</v>
      </c>
    </row>
    <row r="327" customFormat="false" ht="15" hidden="false" customHeight="true" outlineLevel="0" collapsed="false">
      <c r="A327" s="1" t="s">
        <v>607</v>
      </c>
      <c r="B327" s="1" t="s">
        <v>424</v>
      </c>
      <c r="C327" s="1" t="s">
        <v>473</v>
      </c>
      <c r="D327" s="1" t="s">
        <v>274</v>
      </c>
      <c r="E327" s="73" t="n">
        <v>0</v>
      </c>
      <c r="F327" s="26" t="n">
        <v>0</v>
      </c>
      <c r="G327" s="26" t="n">
        <v>0</v>
      </c>
      <c r="H327" s="1" t="s">
        <v>437</v>
      </c>
    </row>
    <row r="328" customFormat="false" ht="15" hidden="false" customHeight="true" outlineLevel="0" collapsed="false">
      <c r="A328" s="1" t="s">
        <v>607</v>
      </c>
      <c r="B328" s="1" t="s">
        <v>424</v>
      </c>
      <c r="C328" s="1" t="s">
        <v>474</v>
      </c>
      <c r="D328" s="1" t="s">
        <v>274</v>
      </c>
      <c r="E328" s="73" t="n">
        <v>0</v>
      </c>
      <c r="F328" s="26" t="n">
        <v>0</v>
      </c>
      <c r="G328" s="26" t="n">
        <v>0</v>
      </c>
      <c r="H328" s="1" t="s">
        <v>437</v>
      </c>
    </row>
    <row r="329" customFormat="false" ht="15" hidden="false" customHeight="true" outlineLevel="0" collapsed="false">
      <c r="A329" s="1" t="s">
        <v>607</v>
      </c>
      <c r="B329" s="1" t="s">
        <v>424</v>
      </c>
      <c r="C329" s="1" t="s">
        <v>475</v>
      </c>
      <c r="D329" s="1" t="s">
        <v>274</v>
      </c>
      <c r="E329" s="73" t="n">
        <v>0</v>
      </c>
      <c r="F329" s="26" t="n">
        <v>0</v>
      </c>
      <c r="G329" s="26" t="n">
        <v>0</v>
      </c>
      <c r="H329" s="1" t="s">
        <v>437</v>
      </c>
    </row>
    <row r="330" customFormat="false" ht="15" hidden="false" customHeight="true" outlineLevel="0" collapsed="false">
      <c r="A330" s="1" t="s">
        <v>607</v>
      </c>
      <c r="B330" s="1" t="s">
        <v>424</v>
      </c>
      <c r="C330" s="1" t="s">
        <v>425</v>
      </c>
      <c r="D330" s="1" t="s">
        <v>275</v>
      </c>
      <c r="E330" s="73" t="n">
        <v>111</v>
      </c>
      <c r="F330" s="26" t="n">
        <v>1.86</v>
      </c>
      <c r="G330" s="26" t="n">
        <v>206.46</v>
      </c>
      <c r="H330" s="1" t="s">
        <v>609</v>
      </c>
    </row>
    <row r="331" customFormat="false" ht="15" hidden="false" customHeight="true" outlineLevel="0" collapsed="false">
      <c r="A331" s="1" t="s">
        <v>607</v>
      </c>
      <c r="B331" s="1" t="s">
        <v>424</v>
      </c>
      <c r="C331" s="1" t="s">
        <v>425</v>
      </c>
      <c r="D331" s="1" t="s">
        <v>275</v>
      </c>
      <c r="E331" s="73" t="n">
        <v>111</v>
      </c>
      <c r="F331" s="26" t="n">
        <v>1.86</v>
      </c>
      <c r="G331" s="26" t="n">
        <v>206.46</v>
      </c>
      <c r="H331" s="1" t="s">
        <v>609</v>
      </c>
    </row>
    <row r="332" customFormat="false" ht="15" hidden="false" customHeight="true" outlineLevel="0" collapsed="false">
      <c r="A332" s="1" t="s">
        <v>607</v>
      </c>
      <c r="B332" s="1" t="s">
        <v>424</v>
      </c>
      <c r="C332" s="1" t="s">
        <v>427</v>
      </c>
      <c r="D332" s="1" t="s">
        <v>275</v>
      </c>
      <c r="E332" s="73" t="n">
        <v>1</v>
      </c>
      <c r="F332" s="26" t="n">
        <v>383.56</v>
      </c>
      <c r="G332" s="26" t="n">
        <v>383.56</v>
      </c>
      <c r="H332" s="1" t="s">
        <v>476</v>
      </c>
    </row>
    <row r="333" customFormat="false" ht="15" hidden="false" customHeight="true" outlineLevel="0" collapsed="false">
      <c r="A333" s="1" t="s">
        <v>607</v>
      </c>
      <c r="B333" s="1" t="s">
        <v>424</v>
      </c>
      <c r="C333" s="1" t="s">
        <v>429</v>
      </c>
      <c r="D333" s="1" t="s">
        <v>275</v>
      </c>
      <c r="E333" s="73" t="n">
        <v>0</v>
      </c>
      <c r="F333" s="26" t="n">
        <v>0</v>
      </c>
      <c r="G333" s="26" t="n">
        <v>0</v>
      </c>
      <c r="H333" s="1" t="s">
        <v>477</v>
      </c>
    </row>
    <row r="334" customFormat="false" ht="15" hidden="false" customHeight="true" outlineLevel="0" collapsed="false">
      <c r="A334" s="1" t="s">
        <v>607</v>
      </c>
      <c r="B334" s="1" t="s">
        <v>424</v>
      </c>
      <c r="C334" s="1" t="s">
        <v>431</v>
      </c>
      <c r="D334" s="1" t="s">
        <v>275</v>
      </c>
      <c r="E334" s="73" t="n">
        <v>1</v>
      </c>
      <c r="F334" s="26" t="n">
        <v>400.26</v>
      </c>
      <c r="G334" s="26" t="n">
        <v>400.26</v>
      </c>
      <c r="H334" s="1" t="s">
        <v>428</v>
      </c>
    </row>
    <row r="335" customFormat="false" ht="15" hidden="false" customHeight="true" outlineLevel="0" collapsed="false">
      <c r="A335" s="1" t="s">
        <v>607</v>
      </c>
      <c r="B335" s="1" t="s">
        <v>424</v>
      </c>
      <c r="C335" s="1" t="s">
        <v>471</v>
      </c>
      <c r="D335" s="1" t="s">
        <v>275</v>
      </c>
      <c r="E335" s="73" t="n">
        <v>1</v>
      </c>
      <c r="F335" s="26" t="n">
        <v>867</v>
      </c>
      <c r="G335" s="26" t="n">
        <v>867</v>
      </c>
      <c r="H335" s="1" t="s">
        <v>478</v>
      </c>
    </row>
    <row r="336" customFormat="false" ht="15" hidden="false" customHeight="true" outlineLevel="0" collapsed="false">
      <c r="A336" s="1" t="s">
        <v>607</v>
      </c>
      <c r="B336" s="1" t="s">
        <v>424</v>
      </c>
      <c r="C336" s="1" t="s">
        <v>471</v>
      </c>
      <c r="D336" s="1" t="s">
        <v>275</v>
      </c>
      <c r="E336" s="73" t="n">
        <v>96</v>
      </c>
      <c r="F336" s="26" t="n">
        <v>12.34</v>
      </c>
      <c r="G336" s="26" t="n">
        <v>1184.64</v>
      </c>
      <c r="H336" s="1" t="s">
        <v>449</v>
      </c>
    </row>
    <row r="337" customFormat="false" ht="15" hidden="false" customHeight="true" outlineLevel="0" collapsed="false">
      <c r="A337" s="1" t="s">
        <v>607</v>
      </c>
      <c r="B337" s="1" t="s">
        <v>424</v>
      </c>
      <c r="C337" s="1" t="s">
        <v>438</v>
      </c>
      <c r="D337" s="1" t="s">
        <v>275</v>
      </c>
      <c r="E337" s="73" t="n">
        <v>1</v>
      </c>
      <c r="F337" s="26" t="n">
        <v>0</v>
      </c>
      <c r="G337" s="26" t="n">
        <v>0</v>
      </c>
      <c r="H337" s="1" t="s">
        <v>437</v>
      </c>
    </row>
    <row r="338" customFormat="false" ht="15" hidden="false" customHeight="true" outlineLevel="0" collapsed="false">
      <c r="A338" s="1" t="s">
        <v>607</v>
      </c>
      <c r="B338" s="1" t="s">
        <v>424</v>
      </c>
      <c r="C338" s="1" t="s">
        <v>479</v>
      </c>
      <c r="D338" s="1" t="s">
        <v>275</v>
      </c>
      <c r="E338" s="73" t="n">
        <v>2</v>
      </c>
      <c r="F338" s="26" t="n">
        <v>0</v>
      </c>
      <c r="G338" s="26" t="n">
        <v>0</v>
      </c>
      <c r="H338" s="1" t="s">
        <v>437</v>
      </c>
    </row>
    <row r="339" customFormat="false" ht="15" hidden="false" customHeight="true" outlineLevel="0" collapsed="false">
      <c r="A339" s="1" t="s">
        <v>607</v>
      </c>
      <c r="B339" s="1" t="s">
        <v>424</v>
      </c>
      <c r="C339" s="1" t="s">
        <v>442</v>
      </c>
      <c r="D339" s="1" t="s">
        <v>272</v>
      </c>
      <c r="E339" s="73" t="n">
        <v>1</v>
      </c>
      <c r="F339" s="26" t="n">
        <v>25.5</v>
      </c>
      <c r="G339" s="26" t="n">
        <v>25.5</v>
      </c>
      <c r="H339" s="1" t="s">
        <v>569</v>
      </c>
    </row>
    <row r="340" customFormat="false" ht="15" hidden="false" customHeight="true" outlineLevel="0" collapsed="false">
      <c r="A340" s="1" t="s">
        <v>607</v>
      </c>
      <c r="B340" s="1" t="s">
        <v>424</v>
      </c>
      <c r="C340" s="1" t="s">
        <v>425</v>
      </c>
      <c r="D340" s="1" t="s">
        <v>272</v>
      </c>
      <c r="E340" s="73" t="n">
        <v>285</v>
      </c>
      <c r="F340" s="26" t="n">
        <v>1.86</v>
      </c>
      <c r="G340" s="26" t="n">
        <v>530.1</v>
      </c>
      <c r="H340" s="1" t="s">
        <v>609</v>
      </c>
    </row>
    <row r="341" customFormat="false" ht="15" hidden="false" customHeight="true" outlineLevel="0" collapsed="false">
      <c r="A341" s="1" t="s">
        <v>607</v>
      </c>
      <c r="B341" s="1" t="s">
        <v>424</v>
      </c>
      <c r="C341" s="1" t="s">
        <v>425</v>
      </c>
      <c r="D341" s="1" t="s">
        <v>272</v>
      </c>
      <c r="E341" s="73" t="n">
        <v>0</v>
      </c>
      <c r="F341" s="26" t="n">
        <v>0</v>
      </c>
      <c r="G341" s="26" t="n">
        <v>0</v>
      </c>
      <c r="H341" s="1" t="s">
        <v>426</v>
      </c>
    </row>
    <row r="342" customFormat="false" ht="15" hidden="false" customHeight="true" outlineLevel="0" collapsed="false">
      <c r="A342" s="1" t="s">
        <v>607</v>
      </c>
      <c r="B342" s="1" t="s">
        <v>424</v>
      </c>
      <c r="C342" s="1" t="s">
        <v>425</v>
      </c>
      <c r="D342" s="1" t="s">
        <v>272</v>
      </c>
      <c r="E342" s="73" t="n">
        <v>285</v>
      </c>
      <c r="F342" s="26" t="n">
        <v>1.86</v>
      </c>
      <c r="G342" s="26" t="n">
        <v>530.1</v>
      </c>
      <c r="H342" s="1" t="s">
        <v>609</v>
      </c>
    </row>
    <row r="343" customFormat="false" ht="15" hidden="false" customHeight="true" outlineLevel="0" collapsed="false">
      <c r="A343" s="1" t="s">
        <v>607</v>
      </c>
      <c r="B343" s="1" t="s">
        <v>424</v>
      </c>
      <c r="C343" s="1" t="s">
        <v>427</v>
      </c>
      <c r="D343" s="1" t="s">
        <v>272</v>
      </c>
      <c r="E343" s="73" t="n">
        <v>1</v>
      </c>
      <c r="F343" s="26" t="n">
        <v>383.56</v>
      </c>
      <c r="G343" s="26" t="n">
        <v>383.56</v>
      </c>
      <c r="H343" s="1" t="s">
        <v>480</v>
      </c>
    </row>
    <row r="344" customFormat="false" ht="15" hidden="false" customHeight="true" outlineLevel="0" collapsed="false">
      <c r="A344" s="1" t="s">
        <v>607</v>
      </c>
      <c r="B344" s="1" t="s">
        <v>424</v>
      </c>
      <c r="C344" s="1" t="s">
        <v>429</v>
      </c>
      <c r="D344" s="1" t="s">
        <v>272</v>
      </c>
      <c r="E344" s="73" t="n">
        <v>2</v>
      </c>
      <c r="F344" s="26" t="n">
        <v>338.53</v>
      </c>
      <c r="G344" s="26" t="n">
        <v>677.06</v>
      </c>
      <c r="H344" s="1" t="s">
        <v>481</v>
      </c>
    </row>
    <row r="345" customFormat="false" ht="15" hidden="false" customHeight="true" outlineLevel="0" collapsed="false">
      <c r="A345" s="1" t="s">
        <v>607</v>
      </c>
      <c r="B345" s="1" t="s">
        <v>424</v>
      </c>
      <c r="C345" s="1" t="s">
        <v>431</v>
      </c>
      <c r="D345" s="1" t="s">
        <v>272</v>
      </c>
      <c r="E345" s="73" t="n">
        <v>2</v>
      </c>
      <c r="F345" s="26" t="n">
        <v>400.26</v>
      </c>
      <c r="G345" s="26" t="n">
        <v>800.52</v>
      </c>
      <c r="H345" s="1" t="s">
        <v>482</v>
      </c>
    </row>
    <row r="346" customFormat="false" ht="15" hidden="false" customHeight="true" outlineLevel="0" collapsed="false">
      <c r="A346" s="1" t="s">
        <v>607</v>
      </c>
      <c r="B346" s="1" t="s">
        <v>424</v>
      </c>
      <c r="C346" s="1" t="s">
        <v>438</v>
      </c>
      <c r="D346" s="1" t="s">
        <v>272</v>
      </c>
      <c r="E346" s="73" t="n">
        <v>4</v>
      </c>
      <c r="F346" s="26" t="n">
        <v>0</v>
      </c>
      <c r="G346" s="26" t="n">
        <v>0</v>
      </c>
      <c r="H346" s="1" t="s">
        <v>437</v>
      </c>
    </row>
    <row r="347" customFormat="false" ht="15" hidden="false" customHeight="true" outlineLevel="0" collapsed="false">
      <c r="A347" s="1" t="s">
        <v>607</v>
      </c>
      <c r="B347" s="1" t="s">
        <v>424</v>
      </c>
      <c r="C347" s="1" t="s">
        <v>483</v>
      </c>
      <c r="D347" s="1" t="s">
        <v>272</v>
      </c>
      <c r="E347" s="73" t="n">
        <v>0</v>
      </c>
      <c r="F347" s="26" t="n">
        <v>0</v>
      </c>
      <c r="G347" s="26" t="n">
        <v>0</v>
      </c>
      <c r="H347" s="1" t="s">
        <v>437</v>
      </c>
    </row>
    <row r="348" customFormat="false" ht="15" hidden="false" customHeight="true" outlineLevel="0" collapsed="false">
      <c r="A348" s="1" t="s">
        <v>607</v>
      </c>
      <c r="B348" s="1" t="s">
        <v>424</v>
      </c>
      <c r="C348" s="1" t="s">
        <v>484</v>
      </c>
      <c r="D348" s="1" t="s">
        <v>272</v>
      </c>
      <c r="E348" s="73" t="n">
        <v>-15</v>
      </c>
      <c r="F348" s="26" t="n">
        <v>0</v>
      </c>
      <c r="G348" s="26" t="n">
        <v>0</v>
      </c>
      <c r="H348" s="1" t="s">
        <v>437</v>
      </c>
    </row>
    <row r="349" customFormat="false" ht="15" hidden="false" customHeight="true" outlineLevel="0" collapsed="false">
      <c r="A349" s="1" t="s">
        <v>607</v>
      </c>
      <c r="B349" s="1" t="s">
        <v>424</v>
      </c>
      <c r="C349" s="1" t="s">
        <v>485</v>
      </c>
      <c r="D349" s="1" t="s">
        <v>272</v>
      </c>
      <c r="E349" s="73" t="n">
        <v>0</v>
      </c>
      <c r="F349" s="26" t="n">
        <v>0</v>
      </c>
      <c r="G349" s="26" t="n">
        <v>0</v>
      </c>
      <c r="H349" s="1" t="s">
        <v>437</v>
      </c>
    </row>
    <row r="350" customFormat="false" ht="15" hidden="false" customHeight="true" outlineLevel="0" collapsed="false">
      <c r="A350" s="1" t="s">
        <v>607</v>
      </c>
      <c r="B350" s="1" t="s">
        <v>424</v>
      </c>
      <c r="C350" s="1" t="s">
        <v>486</v>
      </c>
      <c r="D350" s="1" t="s">
        <v>272</v>
      </c>
      <c r="E350" s="73" t="n">
        <v>0</v>
      </c>
      <c r="F350" s="26" t="n">
        <v>0</v>
      </c>
      <c r="G350" s="26" t="n">
        <v>0</v>
      </c>
      <c r="H350" s="1" t="s">
        <v>437</v>
      </c>
    </row>
    <row r="351" customFormat="false" ht="15" hidden="false" customHeight="true" outlineLevel="0" collapsed="false">
      <c r="A351" s="1" t="s">
        <v>607</v>
      </c>
      <c r="B351" s="1" t="s">
        <v>487</v>
      </c>
      <c r="C351" s="1" t="s">
        <v>488</v>
      </c>
      <c r="D351" s="1" t="s">
        <v>277</v>
      </c>
      <c r="E351" s="73" t="n">
        <v>6280</v>
      </c>
      <c r="F351" s="26" t="n">
        <v>0.212371943123151</v>
      </c>
      <c r="G351" s="26" t="n">
        <v>1333.69580281339</v>
      </c>
      <c r="H351" s="1" t="s">
        <v>410</v>
      </c>
    </row>
    <row r="352" customFormat="false" ht="15" hidden="false" customHeight="true" outlineLevel="0" collapsed="false">
      <c r="A352" s="1" t="s">
        <v>607</v>
      </c>
      <c r="B352" s="1" t="s">
        <v>487</v>
      </c>
      <c r="C352" s="1" t="s">
        <v>488</v>
      </c>
      <c r="D352" s="1" t="s">
        <v>279</v>
      </c>
      <c r="E352" s="73" t="n">
        <v>13402</v>
      </c>
      <c r="F352" s="26" t="n">
        <v>0.212371943123151</v>
      </c>
      <c r="G352" s="26" t="n">
        <v>2846.20878173647</v>
      </c>
      <c r="H352" s="1" t="s">
        <v>410</v>
      </c>
    </row>
    <row r="353" customFormat="false" ht="15" hidden="false" customHeight="true" outlineLevel="0" collapsed="false">
      <c r="A353" s="1" t="s">
        <v>607</v>
      </c>
      <c r="B353" s="1" t="s">
        <v>487</v>
      </c>
      <c r="C353" s="1" t="s">
        <v>488</v>
      </c>
      <c r="D353" s="1" t="s">
        <v>283</v>
      </c>
      <c r="E353" s="73" t="n">
        <v>3650</v>
      </c>
      <c r="F353" s="26" t="n">
        <v>0.212371943123151</v>
      </c>
      <c r="G353" s="26" t="n">
        <v>775.157592399501</v>
      </c>
      <c r="H353" s="1" t="s">
        <v>410</v>
      </c>
    </row>
    <row r="354" customFormat="false" ht="15" hidden="false" customHeight="true" outlineLevel="0" collapsed="false">
      <c r="A354" s="1" t="s">
        <v>607</v>
      </c>
      <c r="B354" s="1" t="s">
        <v>487</v>
      </c>
      <c r="C354" s="1" t="s">
        <v>488</v>
      </c>
      <c r="D354" s="1" t="s">
        <v>280</v>
      </c>
      <c r="E354" s="73" t="n">
        <v>6396</v>
      </c>
      <c r="F354" s="26" t="n">
        <v>0.212371943123151</v>
      </c>
      <c r="G354" s="26" t="n">
        <v>1358.33094821567</v>
      </c>
      <c r="H354" s="1" t="s">
        <v>410</v>
      </c>
    </row>
    <row r="355" customFormat="false" ht="15" hidden="false" customHeight="true" outlineLevel="0" collapsed="false">
      <c r="A355" s="1" t="s">
        <v>607</v>
      </c>
      <c r="B355" s="1" t="s">
        <v>487</v>
      </c>
      <c r="C355" s="1" t="s">
        <v>488</v>
      </c>
      <c r="D355" s="1" t="s">
        <v>274</v>
      </c>
      <c r="E355" s="73" t="n">
        <v>14331</v>
      </c>
      <c r="F355" s="26" t="n">
        <v>0.212371943123151</v>
      </c>
      <c r="G355" s="26" t="n">
        <v>3043.50231689788</v>
      </c>
      <c r="H355" s="1" t="s">
        <v>410</v>
      </c>
    </row>
    <row r="356" customFormat="false" ht="15" hidden="false" customHeight="true" outlineLevel="0" collapsed="false">
      <c r="A356" s="1" t="s">
        <v>607</v>
      </c>
      <c r="B356" s="1" t="s">
        <v>487</v>
      </c>
      <c r="C356" s="1" t="s">
        <v>488</v>
      </c>
      <c r="D356" s="1" t="s">
        <v>275</v>
      </c>
      <c r="E356" s="73" t="n">
        <v>4730</v>
      </c>
      <c r="F356" s="26" t="n">
        <v>0.212371943123151</v>
      </c>
      <c r="G356" s="26" t="n">
        <v>1004.5192909725</v>
      </c>
      <c r="H356" s="1" t="s">
        <v>410</v>
      </c>
    </row>
    <row r="357" customFormat="false" ht="15" hidden="false" customHeight="true" outlineLevel="0" collapsed="false">
      <c r="A357" s="1" t="s">
        <v>607</v>
      </c>
      <c r="B357" s="1" t="s">
        <v>487</v>
      </c>
      <c r="C357" s="1" t="s">
        <v>488</v>
      </c>
      <c r="D357" s="1" t="s">
        <v>272</v>
      </c>
      <c r="E357" s="73" t="n">
        <v>4782</v>
      </c>
      <c r="F357" s="26" t="n">
        <v>0.212371943123151</v>
      </c>
      <c r="G357" s="26" t="n">
        <v>1015.56263201491</v>
      </c>
      <c r="H357" s="1" t="s">
        <v>410</v>
      </c>
    </row>
    <row r="358" customFormat="false" ht="15" hidden="false" customHeight="true" outlineLevel="0" collapsed="false">
      <c r="A358" s="1" t="s">
        <v>607</v>
      </c>
      <c r="B358" s="1" t="s">
        <v>40</v>
      </c>
      <c r="C358" s="1" t="s">
        <v>489</v>
      </c>
      <c r="D358" s="1" t="s">
        <v>279</v>
      </c>
      <c r="E358" s="73" t="n">
        <v>0</v>
      </c>
      <c r="F358" s="26" t="n">
        <v>0</v>
      </c>
      <c r="G358" s="26" t="n">
        <v>0</v>
      </c>
      <c r="H358" s="1" t="s">
        <v>490</v>
      </c>
    </row>
    <row r="359" customFormat="false" ht="15" hidden="false" customHeight="true" outlineLevel="0" collapsed="false">
      <c r="A359" s="1" t="s">
        <v>607</v>
      </c>
      <c r="B359" s="1" t="s">
        <v>139</v>
      </c>
      <c r="C359" s="1" t="s">
        <v>491</v>
      </c>
      <c r="D359" s="1" t="s">
        <v>279</v>
      </c>
      <c r="E359" s="73" t="n">
        <v>13402</v>
      </c>
      <c r="F359" s="26" t="n">
        <v>0.0959225828032635</v>
      </c>
      <c r="G359" s="26" t="n">
        <v>1285.554455</v>
      </c>
      <c r="H359" s="1" t="s">
        <v>410</v>
      </c>
    </row>
    <row r="360" customFormat="false" ht="15" hidden="false" customHeight="true" outlineLevel="0" collapsed="false">
      <c r="A360" s="1" t="s">
        <v>607</v>
      </c>
      <c r="B360" s="1" t="s">
        <v>45</v>
      </c>
      <c r="C360" s="1" t="s">
        <v>492</v>
      </c>
      <c r="D360" s="1" t="s">
        <v>277</v>
      </c>
      <c r="E360" s="73" t="n">
        <v>1</v>
      </c>
      <c r="F360" s="26" t="n">
        <v>9145.68</v>
      </c>
      <c r="G360" s="26" t="n">
        <v>9145.68</v>
      </c>
      <c r="H360" s="1" t="s">
        <v>493</v>
      </c>
    </row>
    <row r="361" customFormat="false" ht="15" hidden="false" customHeight="true" outlineLevel="0" collapsed="false">
      <c r="A361" s="1" t="s">
        <v>607</v>
      </c>
      <c r="B361" s="1" t="s">
        <v>45</v>
      </c>
      <c r="C361" s="1" t="s">
        <v>492</v>
      </c>
      <c r="D361" s="1" t="s">
        <v>283</v>
      </c>
      <c r="E361" s="73" t="n">
        <v>1</v>
      </c>
      <c r="F361" s="26" t="n">
        <v>3372.11</v>
      </c>
      <c r="G361" s="26" t="n">
        <v>3372.11</v>
      </c>
      <c r="H361" s="1" t="s">
        <v>493</v>
      </c>
    </row>
    <row r="362" customFormat="false" ht="15" hidden="false" customHeight="true" outlineLevel="0" collapsed="false">
      <c r="A362" s="1" t="s">
        <v>607</v>
      </c>
      <c r="B362" s="1" t="s">
        <v>45</v>
      </c>
      <c r="C362" s="1" t="s">
        <v>492</v>
      </c>
      <c r="D362" s="1" t="s">
        <v>275</v>
      </c>
      <c r="E362" s="73" t="n">
        <v>1</v>
      </c>
      <c r="F362" s="26" t="n">
        <v>15695.77</v>
      </c>
      <c r="G362" s="26" t="n">
        <v>15695.77</v>
      </c>
      <c r="H362" s="1" t="s">
        <v>493</v>
      </c>
    </row>
    <row r="363" customFormat="false" ht="15" hidden="false" customHeight="true" outlineLevel="0" collapsed="false">
      <c r="A363" s="1" t="s">
        <v>607</v>
      </c>
      <c r="B363" s="1" t="s">
        <v>45</v>
      </c>
      <c r="C363" s="1" t="s">
        <v>494</v>
      </c>
      <c r="D363" s="1" t="s">
        <v>272</v>
      </c>
      <c r="E363" s="73" t="n">
        <v>0</v>
      </c>
      <c r="F363" s="26" t="n">
        <v>0</v>
      </c>
      <c r="G363" s="26" t="n">
        <v>0</v>
      </c>
      <c r="H363" s="1" t="s">
        <v>495</v>
      </c>
    </row>
    <row r="364" customFormat="false" ht="15" hidden="false" customHeight="true" outlineLevel="0" collapsed="false">
      <c r="A364" s="1" t="s">
        <v>607</v>
      </c>
      <c r="B364" s="1" t="s">
        <v>45</v>
      </c>
      <c r="C364" s="1" t="s">
        <v>571</v>
      </c>
      <c r="D364" s="1" t="s">
        <v>272</v>
      </c>
      <c r="E364" s="73" t="n">
        <v>1</v>
      </c>
      <c r="F364" s="26" t="n">
        <v>22320</v>
      </c>
      <c r="G364" s="26" t="n">
        <v>22320</v>
      </c>
      <c r="H364" s="1" t="s">
        <v>610</v>
      </c>
    </row>
    <row r="365" customFormat="false" ht="15" hidden="false" customHeight="true" outlineLevel="0" collapsed="false">
      <c r="A365" s="1" t="s">
        <v>607</v>
      </c>
      <c r="B365" s="1" t="s">
        <v>50</v>
      </c>
      <c r="C365" s="1" t="s">
        <v>496</v>
      </c>
      <c r="D365" s="1" t="s">
        <v>277</v>
      </c>
      <c r="E365" s="73" t="n">
        <v>1</v>
      </c>
      <c r="F365" s="26" t="n">
        <v>676.8</v>
      </c>
      <c r="G365" s="26" t="n">
        <v>676.8</v>
      </c>
      <c r="H365" s="1" t="s">
        <v>497</v>
      </c>
    </row>
    <row r="366" customFormat="false" ht="15" hidden="false" customHeight="true" outlineLevel="0" collapsed="false">
      <c r="A366" s="1" t="s">
        <v>607</v>
      </c>
      <c r="B366" s="1" t="s">
        <v>50</v>
      </c>
      <c r="C366" s="1" t="s">
        <v>496</v>
      </c>
      <c r="D366" s="1" t="s">
        <v>279</v>
      </c>
      <c r="E366" s="73" t="n">
        <v>1</v>
      </c>
      <c r="F366" s="26" t="n">
        <v>676.8</v>
      </c>
      <c r="G366" s="26" t="n">
        <v>676.8</v>
      </c>
      <c r="H366" s="1" t="s">
        <v>497</v>
      </c>
    </row>
    <row r="367" customFormat="false" ht="15" hidden="false" customHeight="true" outlineLevel="0" collapsed="false">
      <c r="A367" s="1" t="s">
        <v>607</v>
      </c>
      <c r="B367" s="1" t="s">
        <v>50</v>
      </c>
      <c r="C367" s="1" t="s">
        <v>496</v>
      </c>
      <c r="D367" s="1" t="s">
        <v>283</v>
      </c>
      <c r="E367" s="73" t="n">
        <v>1</v>
      </c>
      <c r="F367" s="26" t="n">
        <v>676.8</v>
      </c>
      <c r="G367" s="26" t="n">
        <v>676.8</v>
      </c>
      <c r="H367" s="1" t="s">
        <v>497</v>
      </c>
    </row>
    <row r="368" customFormat="false" ht="15" hidden="false" customHeight="true" outlineLevel="0" collapsed="false">
      <c r="A368" s="1" t="s">
        <v>607</v>
      </c>
      <c r="B368" s="1" t="s">
        <v>50</v>
      </c>
      <c r="C368" s="1" t="s">
        <v>496</v>
      </c>
      <c r="D368" s="1" t="s">
        <v>280</v>
      </c>
      <c r="E368" s="73" t="n">
        <v>1</v>
      </c>
      <c r="F368" s="26" t="n">
        <v>676.8</v>
      </c>
      <c r="G368" s="26" t="n">
        <v>676.8</v>
      </c>
      <c r="H368" s="1" t="s">
        <v>498</v>
      </c>
    </row>
    <row r="369" customFormat="false" ht="15" hidden="false" customHeight="true" outlineLevel="0" collapsed="false">
      <c r="A369" s="1" t="s">
        <v>607</v>
      </c>
      <c r="B369" s="1" t="s">
        <v>50</v>
      </c>
      <c r="C369" s="1" t="s">
        <v>496</v>
      </c>
      <c r="D369" s="1" t="s">
        <v>280</v>
      </c>
      <c r="E369" s="73" t="n">
        <v>1</v>
      </c>
      <c r="F369" s="26" t="n">
        <v>676.8</v>
      </c>
      <c r="G369" s="26" t="n">
        <v>676.8</v>
      </c>
      <c r="H369" s="1" t="s">
        <v>497</v>
      </c>
    </row>
    <row r="370" customFormat="false" ht="15" hidden="false" customHeight="true" outlineLevel="0" collapsed="false">
      <c r="A370" s="1" t="s">
        <v>607</v>
      </c>
      <c r="B370" s="1" t="s">
        <v>50</v>
      </c>
      <c r="C370" s="1" t="s">
        <v>496</v>
      </c>
      <c r="D370" s="1" t="s">
        <v>274</v>
      </c>
      <c r="E370" s="73" t="n">
        <v>1</v>
      </c>
      <c r="F370" s="26" t="n">
        <v>676.8</v>
      </c>
      <c r="G370" s="26" t="n">
        <v>676.8</v>
      </c>
      <c r="H370" s="1" t="s">
        <v>499</v>
      </c>
    </row>
    <row r="371" customFormat="false" ht="15" hidden="false" customHeight="true" outlineLevel="0" collapsed="false">
      <c r="A371" s="1" t="s">
        <v>607</v>
      </c>
      <c r="B371" s="1" t="s">
        <v>50</v>
      </c>
      <c r="C371" s="1" t="s">
        <v>496</v>
      </c>
      <c r="D371" s="1" t="s">
        <v>274</v>
      </c>
      <c r="E371" s="73" t="n">
        <v>1</v>
      </c>
      <c r="F371" s="26" t="n">
        <v>676.8</v>
      </c>
      <c r="G371" s="26" t="n">
        <v>676.8</v>
      </c>
      <c r="H371" s="1" t="s">
        <v>497</v>
      </c>
    </row>
    <row r="372" customFormat="false" ht="15" hidden="false" customHeight="true" outlineLevel="0" collapsed="false">
      <c r="A372" s="1" t="s">
        <v>607</v>
      </c>
      <c r="B372" s="1" t="s">
        <v>50</v>
      </c>
      <c r="C372" s="1" t="s">
        <v>496</v>
      </c>
      <c r="D372" s="1" t="s">
        <v>275</v>
      </c>
      <c r="E372" s="73" t="n">
        <v>1</v>
      </c>
      <c r="F372" s="26" t="n">
        <v>676.8</v>
      </c>
      <c r="G372" s="26" t="n">
        <v>676.8</v>
      </c>
      <c r="H372" s="1" t="s">
        <v>497</v>
      </c>
    </row>
    <row r="373" customFormat="false" ht="15" hidden="false" customHeight="true" outlineLevel="0" collapsed="false">
      <c r="A373" s="1" t="s">
        <v>607</v>
      </c>
      <c r="B373" s="1" t="s">
        <v>50</v>
      </c>
      <c r="C373" s="1" t="s">
        <v>496</v>
      </c>
      <c r="D373" s="1" t="s">
        <v>272</v>
      </c>
      <c r="E373" s="73" t="n">
        <v>1</v>
      </c>
      <c r="F373" s="26" t="n">
        <v>676.8</v>
      </c>
      <c r="G373" s="26" t="n">
        <v>676.8</v>
      </c>
      <c r="H373" s="1" t="s">
        <v>497</v>
      </c>
    </row>
    <row r="374" customFormat="false" ht="15" hidden="false" customHeight="true" outlineLevel="0" collapsed="false">
      <c r="A374" s="1" t="s">
        <v>607</v>
      </c>
      <c r="B374" s="1" t="s">
        <v>500</v>
      </c>
      <c r="C374" s="1" t="s">
        <v>501</v>
      </c>
      <c r="D374" s="1" t="s">
        <v>277</v>
      </c>
      <c r="E374" s="73" t="n">
        <v>0</v>
      </c>
      <c r="F374" s="26" t="n">
        <v>0</v>
      </c>
      <c r="G374" s="26" t="n">
        <v>0</v>
      </c>
      <c r="H374" s="1" t="s">
        <v>502</v>
      </c>
    </row>
    <row r="375" customFormat="false" ht="15" hidden="false" customHeight="true" outlineLevel="0" collapsed="false">
      <c r="A375" s="1" t="s">
        <v>607</v>
      </c>
      <c r="B375" s="1" t="s">
        <v>500</v>
      </c>
      <c r="C375" s="1" t="s">
        <v>503</v>
      </c>
      <c r="D375" s="1" t="s">
        <v>277</v>
      </c>
      <c r="E375" s="73" t="n">
        <v>0</v>
      </c>
      <c r="F375" s="26" t="n">
        <v>0</v>
      </c>
      <c r="G375" s="26" t="n">
        <v>0</v>
      </c>
      <c r="H375" s="1" t="s">
        <v>504</v>
      </c>
    </row>
    <row r="376" customFormat="false" ht="15" hidden="false" customHeight="true" outlineLevel="0" collapsed="false">
      <c r="A376" s="1" t="s">
        <v>607</v>
      </c>
      <c r="B376" s="1" t="s">
        <v>500</v>
      </c>
      <c r="C376" s="1" t="s">
        <v>505</v>
      </c>
      <c r="D376" s="1" t="s">
        <v>277</v>
      </c>
      <c r="E376" s="73" t="n">
        <v>10</v>
      </c>
      <c r="F376" s="26" t="n">
        <v>20</v>
      </c>
      <c r="G376" s="26" t="n">
        <v>200</v>
      </c>
      <c r="H376" s="1" t="s">
        <v>506</v>
      </c>
    </row>
    <row r="377" customFormat="false" ht="15" hidden="false" customHeight="true" outlineLevel="0" collapsed="false">
      <c r="A377" s="1" t="s">
        <v>607</v>
      </c>
      <c r="B377" s="1" t="s">
        <v>500</v>
      </c>
      <c r="C377" s="1" t="s">
        <v>507</v>
      </c>
      <c r="D377" s="1" t="s">
        <v>277</v>
      </c>
      <c r="E377" s="73" t="n">
        <v>1</v>
      </c>
      <c r="F377" s="26" t="n">
        <v>745.21</v>
      </c>
      <c r="G377" s="26" t="n">
        <v>745.21</v>
      </c>
      <c r="H377" s="1" t="s">
        <v>508</v>
      </c>
    </row>
    <row r="378" customFormat="false" ht="15" hidden="false" customHeight="true" outlineLevel="0" collapsed="false">
      <c r="A378" s="1" t="s">
        <v>607</v>
      </c>
      <c r="B378" s="1" t="s">
        <v>500</v>
      </c>
      <c r="C378" s="1" t="s">
        <v>509</v>
      </c>
      <c r="D378" s="1" t="s">
        <v>277</v>
      </c>
      <c r="E378" s="73" t="n">
        <v>0</v>
      </c>
      <c r="F378" s="26" t="n">
        <v>0</v>
      </c>
      <c r="G378" s="26" t="n">
        <v>0</v>
      </c>
      <c r="H378" s="1" t="s">
        <v>510</v>
      </c>
    </row>
    <row r="379" customFormat="false" ht="15" hidden="false" customHeight="true" outlineLevel="0" collapsed="false">
      <c r="A379" s="1" t="s">
        <v>607</v>
      </c>
      <c r="B379" s="1" t="s">
        <v>500</v>
      </c>
      <c r="C379" s="1" t="s">
        <v>507</v>
      </c>
      <c r="D379" s="1" t="s">
        <v>279</v>
      </c>
      <c r="E379" s="73" t="n">
        <v>0</v>
      </c>
      <c r="F379" s="26" t="n">
        <v>0</v>
      </c>
      <c r="G379" s="26" t="n">
        <v>0</v>
      </c>
      <c r="H379" s="1" t="s">
        <v>508</v>
      </c>
    </row>
    <row r="380" customFormat="false" ht="15" hidden="false" customHeight="true" outlineLevel="0" collapsed="false">
      <c r="A380" s="1" t="s">
        <v>607</v>
      </c>
      <c r="B380" s="1" t="s">
        <v>500</v>
      </c>
      <c r="C380" s="1" t="s">
        <v>505</v>
      </c>
      <c r="D380" s="1" t="s">
        <v>283</v>
      </c>
      <c r="E380" s="73" t="n">
        <v>3</v>
      </c>
      <c r="F380" s="26" t="n">
        <v>20</v>
      </c>
      <c r="G380" s="26" t="n">
        <v>60</v>
      </c>
      <c r="H380" s="1" t="s">
        <v>506</v>
      </c>
    </row>
    <row r="381" customFormat="false" ht="15" hidden="false" customHeight="true" outlineLevel="0" collapsed="false">
      <c r="A381" s="1" t="s">
        <v>607</v>
      </c>
      <c r="B381" s="1" t="s">
        <v>500</v>
      </c>
      <c r="C381" s="1" t="s">
        <v>507</v>
      </c>
      <c r="D381" s="1" t="s">
        <v>283</v>
      </c>
      <c r="E381" s="73" t="n">
        <v>1</v>
      </c>
      <c r="F381" s="26" t="n">
        <v>373.15</v>
      </c>
      <c r="G381" s="26" t="n">
        <v>373.15</v>
      </c>
      <c r="H381" s="1" t="s">
        <v>508</v>
      </c>
    </row>
    <row r="382" customFormat="false" ht="15" hidden="false" customHeight="true" outlineLevel="0" collapsed="false">
      <c r="A382" s="1" t="s">
        <v>607</v>
      </c>
      <c r="B382" s="1" t="s">
        <v>500</v>
      </c>
      <c r="C382" s="1" t="s">
        <v>509</v>
      </c>
      <c r="D382" s="1" t="s">
        <v>283</v>
      </c>
      <c r="E382" s="73" t="n">
        <v>0</v>
      </c>
      <c r="F382" s="26" t="n">
        <v>0</v>
      </c>
      <c r="G382" s="26" t="n">
        <v>0</v>
      </c>
      <c r="H382" s="1" t="s">
        <v>510</v>
      </c>
    </row>
    <row r="383" customFormat="false" ht="15" hidden="false" customHeight="true" outlineLevel="0" collapsed="false">
      <c r="A383" s="1" t="s">
        <v>607</v>
      </c>
      <c r="B383" s="1" t="s">
        <v>500</v>
      </c>
      <c r="C383" s="1" t="s">
        <v>501</v>
      </c>
      <c r="D383" s="1" t="s">
        <v>280</v>
      </c>
      <c r="E383" s="73" t="n">
        <v>0</v>
      </c>
      <c r="F383" s="26" t="n">
        <v>0</v>
      </c>
      <c r="G383" s="26" t="n">
        <v>0</v>
      </c>
      <c r="H383" s="1" t="s">
        <v>511</v>
      </c>
    </row>
    <row r="384" customFormat="false" ht="15" hidden="false" customHeight="true" outlineLevel="0" collapsed="false">
      <c r="A384" s="1" t="s">
        <v>607</v>
      </c>
      <c r="B384" s="1" t="s">
        <v>500</v>
      </c>
      <c r="C384" s="1" t="s">
        <v>503</v>
      </c>
      <c r="D384" s="1" t="s">
        <v>280</v>
      </c>
      <c r="E384" s="73" t="n">
        <v>0</v>
      </c>
      <c r="F384" s="26" t="n">
        <v>0</v>
      </c>
      <c r="G384" s="26" t="n">
        <v>0</v>
      </c>
      <c r="H384" s="1" t="s">
        <v>512</v>
      </c>
    </row>
    <row r="385" customFormat="false" ht="15" hidden="false" customHeight="true" outlineLevel="0" collapsed="false">
      <c r="A385" s="1" t="s">
        <v>607</v>
      </c>
      <c r="B385" s="1" t="s">
        <v>500</v>
      </c>
      <c r="C385" s="1" t="s">
        <v>513</v>
      </c>
      <c r="D385" s="1" t="s">
        <v>280</v>
      </c>
      <c r="E385" s="73" t="n">
        <v>0</v>
      </c>
      <c r="F385" s="26" t="n">
        <v>0</v>
      </c>
      <c r="G385" s="26" t="n">
        <v>0</v>
      </c>
      <c r="H385" s="1" t="s">
        <v>510</v>
      </c>
    </row>
    <row r="386" customFormat="false" ht="15" hidden="false" customHeight="true" outlineLevel="0" collapsed="false">
      <c r="A386" s="1" t="s">
        <v>607</v>
      </c>
      <c r="B386" s="1" t="s">
        <v>500</v>
      </c>
      <c r="C386" s="1" t="s">
        <v>505</v>
      </c>
      <c r="D386" s="1" t="s">
        <v>280</v>
      </c>
      <c r="E386" s="73" t="n">
        <v>13</v>
      </c>
      <c r="F386" s="26" t="n">
        <v>20</v>
      </c>
      <c r="G386" s="26" t="n">
        <v>260</v>
      </c>
      <c r="H386" s="1" t="s">
        <v>506</v>
      </c>
    </row>
    <row r="387" customFormat="false" ht="15" hidden="false" customHeight="true" outlineLevel="0" collapsed="false">
      <c r="A387" s="1" t="s">
        <v>607</v>
      </c>
      <c r="B387" s="1" t="s">
        <v>500</v>
      </c>
      <c r="C387" s="1" t="s">
        <v>507</v>
      </c>
      <c r="D387" s="1" t="s">
        <v>280</v>
      </c>
      <c r="E387" s="73" t="n">
        <v>0</v>
      </c>
      <c r="F387" s="26" t="n">
        <v>0</v>
      </c>
      <c r="G387" s="26" t="n">
        <v>0</v>
      </c>
      <c r="H387" s="1" t="s">
        <v>508</v>
      </c>
    </row>
    <row r="388" customFormat="false" ht="15" hidden="false" customHeight="true" outlineLevel="0" collapsed="false">
      <c r="A388" s="1" t="s">
        <v>607</v>
      </c>
      <c r="B388" s="1" t="s">
        <v>500</v>
      </c>
      <c r="C388" s="1" t="s">
        <v>509</v>
      </c>
      <c r="D388" s="1" t="s">
        <v>280</v>
      </c>
      <c r="E388" s="73" t="n">
        <v>0</v>
      </c>
      <c r="F388" s="26" t="n">
        <v>0</v>
      </c>
      <c r="G388" s="26" t="n">
        <v>0</v>
      </c>
      <c r="H388" s="1" t="s">
        <v>510</v>
      </c>
    </row>
    <row r="389" customFormat="false" ht="15" hidden="false" customHeight="true" outlineLevel="0" collapsed="false">
      <c r="A389" s="1" t="s">
        <v>607</v>
      </c>
      <c r="B389" s="1" t="s">
        <v>500</v>
      </c>
      <c r="C389" s="1" t="s">
        <v>505</v>
      </c>
      <c r="D389" s="1" t="s">
        <v>274</v>
      </c>
      <c r="E389" s="73" t="n">
        <v>19</v>
      </c>
      <c r="F389" s="26" t="n">
        <v>20</v>
      </c>
      <c r="G389" s="26" t="n">
        <v>380</v>
      </c>
      <c r="H389" s="1" t="s">
        <v>506</v>
      </c>
    </row>
    <row r="390" customFormat="false" ht="15" hidden="false" customHeight="true" outlineLevel="0" collapsed="false">
      <c r="A390" s="1" t="s">
        <v>607</v>
      </c>
      <c r="B390" s="1" t="s">
        <v>500</v>
      </c>
      <c r="C390" s="1" t="s">
        <v>507</v>
      </c>
      <c r="D390" s="1" t="s">
        <v>274</v>
      </c>
      <c r="E390" s="73" t="n">
        <v>1</v>
      </c>
      <c r="F390" s="26" t="n">
        <v>1381.14</v>
      </c>
      <c r="G390" s="26" t="n">
        <v>1381.14</v>
      </c>
      <c r="H390" s="1" t="s">
        <v>508</v>
      </c>
    </row>
    <row r="391" customFormat="false" ht="15" hidden="false" customHeight="true" outlineLevel="0" collapsed="false">
      <c r="A391" s="1" t="s">
        <v>607</v>
      </c>
      <c r="B391" s="1" t="s">
        <v>500</v>
      </c>
      <c r="C391" s="1" t="s">
        <v>514</v>
      </c>
      <c r="D391" s="1" t="s">
        <v>274</v>
      </c>
      <c r="E391" s="73" t="n">
        <v>0</v>
      </c>
      <c r="F391" s="26" t="n">
        <v>0</v>
      </c>
      <c r="G391" s="26" t="n">
        <v>0</v>
      </c>
      <c r="H391" s="1" t="s">
        <v>510</v>
      </c>
    </row>
    <row r="392" customFormat="false" ht="15" hidden="false" customHeight="true" outlineLevel="0" collapsed="false">
      <c r="A392" s="1" t="s">
        <v>607</v>
      </c>
      <c r="B392" s="1" t="s">
        <v>500</v>
      </c>
      <c r="C392" s="1" t="s">
        <v>513</v>
      </c>
      <c r="D392" s="1" t="s">
        <v>275</v>
      </c>
      <c r="E392" s="73" t="n">
        <v>0</v>
      </c>
      <c r="F392" s="26" t="n">
        <v>0</v>
      </c>
      <c r="G392" s="26" t="n">
        <v>0</v>
      </c>
      <c r="H392" s="1" t="s">
        <v>515</v>
      </c>
    </row>
    <row r="393" customFormat="false" ht="15" hidden="false" customHeight="true" outlineLevel="0" collapsed="false">
      <c r="A393" s="1" t="s">
        <v>607</v>
      </c>
      <c r="B393" s="1" t="s">
        <v>500</v>
      </c>
      <c r="C393" s="1" t="s">
        <v>505</v>
      </c>
      <c r="D393" s="1" t="s">
        <v>275</v>
      </c>
      <c r="E393" s="73" t="n">
        <v>4</v>
      </c>
      <c r="F393" s="26" t="n">
        <v>20</v>
      </c>
      <c r="G393" s="26" t="n">
        <v>80</v>
      </c>
      <c r="H393" s="1" t="s">
        <v>506</v>
      </c>
    </row>
    <row r="394" customFormat="false" ht="15" hidden="false" customHeight="true" outlineLevel="0" collapsed="false">
      <c r="A394" s="1" t="s">
        <v>607</v>
      </c>
      <c r="B394" s="1" t="s">
        <v>500</v>
      </c>
      <c r="C394" s="1" t="s">
        <v>507</v>
      </c>
      <c r="D394" s="1" t="s">
        <v>275</v>
      </c>
      <c r="E394" s="73" t="n">
        <v>0</v>
      </c>
      <c r="F394" s="26" t="n">
        <v>0</v>
      </c>
      <c r="G394" s="26" t="n">
        <v>0</v>
      </c>
      <c r="H394" s="1" t="s">
        <v>508</v>
      </c>
    </row>
    <row r="395" customFormat="false" ht="15" hidden="false" customHeight="true" outlineLevel="0" collapsed="false">
      <c r="A395" s="1" t="s">
        <v>607</v>
      </c>
      <c r="B395" s="1" t="s">
        <v>500</v>
      </c>
      <c r="C395" s="1" t="s">
        <v>514</v>
      </c>
      <c r="D395" s="1" t="s">
        <v>275</v>
      </c>
      <c r="E395" s="73" t="n">
        <v>0</v>
      </c>
      <c r="F395" s="26" t="n">
        <v>0</v>
      </c>
      <c r="G395" s="26" t="n">
        <v>0</v>
      </c>
      <c r="H395" s="1" t="s">
        <v>510</v>
      </c>
    </row>
    <row r="396" customFormat="false" ht="15" hidden="false" customHeight="true" outlineLevel="0" collapsed="false">
      <c r="A396" s="1" t="s">
        <v>607</v>
      </c>
      <c r="B396" s="1" t="s">
        <v>500</v>
      </c>
      <c r="C396" s="1" t="s">
        <v>501</v>
      </c>
      <c r="D396" s="1" t="s">
        <v>272</v>
      </c>
      <c r="E396" s="73" t="n">
        <v>0</v>
      </c>
      <c r="F396" s="26" t="n">
        <v>0</v>
      </c>
      <c r="G396" s="26" t="n">
        <v>0</v>
      </c>
      <c r="H396" s="1" t="s">
        <v>516</v>
      </c>
    </row>
    <row r="397" customFormat="false" ht="15" hidden="false" customHeight="true" outlineLevel="0" collapsed="false">
      <c r="A397" s="1" t="s">
        <v>607</v>
      </c>
      <c r="B397" s="1" t="s">
        <v>500</v>
      </c>
      <c r="C397" s="1" t="s">
        <v>505</v>
      </c>
      <c r="D397" s="1" t="s">
        <v>272</v>
      </c>
      <c r="E397" s="73" t="n">
        <v>8</v>
      </c>
      <c r="F397" s="26" t="n">
        <v>20</v>
      </c>
      <c r="G397" s="26" t="n">
        <v>160</v>
      </c>
      <c r="H397" s="1" t="s">
        <v>506</v>
      </c>
    </row>
    <row r="398" customFormat="false" ht="15" hidden="false" customHeight="true" outlineLevel="0" collapsed="false">
      <c r="A398" s="1" t="s">
        <v>607</v>
      </c>
      <c r="B398" s="1" t="s">
        <v>500</v>
      </c>
      <c r="C398" s="1" t="s">
        <v>507</v>
      </c>
      <c r="D398" s="1" t="s">
        <v>272</v>
      </c>
      <c r="E398" s="73" t="n">
        <v>1</v>
      </c>
      <c r="F398" s="26" t="n">
        <v>414.35</v>
      </c>
      <c r="G398" s="26" t="n">
        <v>414.35</v>
      </c>
      <c r="H398" s="1" t="s">
        <v>508</v>
      </c>
    </row>
    <row r="399" customFormat="false" ht="15" hidden="false" customHeight="true" outlineLevel="0" collapsed="false">
      <c r="A399" s="1" t="s">
        <v>607</v>
      </c>
      <c r="B399" s="1" t="s">
        <v>500</v>
      </c>
      <c r="C399" s="1" t="s">
        <v>509</v>
      </c>
      <c r="D399" s="1" t="s">
        <v>272</v>
      </c>
      <c r="E399" s="73" t="n">
        <v>0</v>
      </c>
      <c r="F399" s="26" t="n">
        <v>0</v>
      </c>
      <c r="G399" s="26" t="n">
        <v>0</v>
      </c>
      <c r="H399" s="1" t="s">
        <v>510</v>
      </c>
    </row>
    <row r="400" customFormat="false" ht="15" hidden="false" customHeight="true" outlineLevel="0" collapsed="false">
      <c r="A400" s="1" t="s">
        <v>607</v>
      </c>
      <c r="B400" s="1" t="s">
        <v>517</v>
      </c>
      <c r="C400" s="1" t="s">
        <v>518</v>
      </c>
      <c r="D400" s="1" t="s">
        <v>277</v>
      </c>
      <c r="E400" s="73" t="n">
        <v>0</v>
      </c>
      <c r="F400" s="26" t="n">
        <v>0</v>
      </c>
      <c r="G400" s="26" t="n">
        <v>0</v>
      </c>
      <c r="H400" s="1" t="s">
        <v>519</v>
      </c>
    </row>
    <row r="401" customFormat="false" ht="15" hidden="false" customHeight="true" outlineLevel="0" collapsed="false">
      <c r="A401" s="1" t="s">
        <v>607</v>
      </c>
      <c r="B401" s="1" t="s">
        <v>517</v>
      </c>
      <c r="C401" s="1" t="s">
        <v>520</v>
      </c>
      <c r="D401" s="1" t="s">
        <v>277</v>
      </c>
      <c r="E401" s="73" t="n">
        <v>0</v>
      </c>
      <c r="F401" s="26" t="n">
        <v>0</v>
      </c>
      <c r="G401" s="26" t="n">
        <v>0</v>
      </c>
      <c r="H401" s="1" t="s">
        <v>521</v>
      </c>
    </row>
    <row r="402" customFormat="false" ht="15" hidden="false" customHeight="true" outlineLevel="0" collapsed="false">
      <c r="A402" s="1" t="s">
        <v>607</v>
      </c>
      <c r="B402" s="1" t="s">
        <v>517</v>
      </c>
      <c r="C402" s="1" t="s">
        <v>522</v>
      </c>
      <c r="D402" s="1" t="s">
        <v>277</v>
      </c>
      <c r="E402" s="73" t="n">
        <v>0</v>
      </c>
      <c r="F402" s="26" t="n">
        <v>0</v>
      </c>
      <c r="G402" s="26" t="n">
        <v>0</v>
      </c>
      <c r="H402" s="1" t="s">
        <v>523</v>
      </c>
    </row>
    <row r="403" customFormat="false" ht="15" hidden="false" customHeight="true" outlineLevel="0" collapsed="false">
      <c r="A403" s="1" t="s">
        <v>607</v>
      </c>
      <c r="B403" s="1" t="s">
        <v>517</v>
      </c>
      <c r="C403" s="1" t="s">
        <v>524</v>
      </c>
      <c r="D403" s="1" t="s">
        <v>277</v>
      </c>
      <c r="E403" s="73" t="n">
        <v>0</v>
      </c>
      <c r="F403" s="26" t="n">
        <v>0</v>
      </c>
      <c r="G403" s="26" t="n">
        <v>0</v>
      </c>
      <c r="H403" s="1" t="s">
        <v>525</v>
      </c>
    </row>
    <row r="404" customFormat="false" ht="15" hidden="false" customHeight="true" outlineLevel="0" collapsed="false">
      <c r="A404" s="1" t="s">
        <v>607</v>
      </c>
      <c r="B404" s="1" t="s">
        <v>517</v>
      </c>
      <c r="C404" s="1" t="s">
        <v>526</v>
      </c>
      <c r="D404" s="1" t="s">
        <v>279</v>
      </c>
      <c r="E404" s="73" t="n">
        <v>1</v>
      </c>
      <c r="F404" s="26" t="n">
        <v>315.66</v>
      </c>
      <c r="G404" s="26" t="n">
        <v>315.66</v>
      </c>
      <c r="H404" s="1" t="s">
        <v>527</v>
      </c>
    </row>
    <row r="405" customFormat="false" ht="15" hidden="false" customHeight="true" outlineLevel="0" collapsed="false">
      <c r="A405" s="1" t="s">
        <v>607</v>
      </c>
      <c r="B405" s="1" t="s">
        <v>517</v>
      </c>
      <c r="C405" s="1" t="s">
        <v>528</v>
      </c>
      <c r="D405" s="1" t="s">
        <v>279</v>
      </c>
      <c r="E405" s="73" t="n">
        <v>1</v>
      </c>
      <c r="F405" s="26" t="n">
        <v>345.94</v>
      </c>
      <c r="G405" s="26" t="n">
        <v>345.94</v>
      </c>
      <c r="H405" s="1" t="s">
        <v>529</v>
      </c>
    </row>
    <row r="406" customFormat="false" ht="15" hidden="false" customHeight="true" outlineLevel="0" collapsed="false">
      <c r="A406" s="1" t="s">
        <v>607</v>
      </c>
      <c r="B406" s="1" t="s">
        <v>517</v>
      </c>
      <c r="C406" s="1" t="s">
        <v>530</v>
      </c>
      <c r="D406" s="1" t="s">
        <v>283</v>
      </c>
      <c r="E406" s="73" t="n">
        <v>0</v>
      </c>
      <c r="F406" s="26" t="n">
        <v>0</v>
      </c>
      <c r="G406" s="26" t="n">
        <v>0</v>
      </c>
      <c r="H406" s="1" t="s">
        <v>531</v>
      </c>
    </row>
    <row r="407" customFormat="false" ht="15" hidden="false" customHeight="true" outlineLevel="0" collapsed="false">
      <c r="A407" s="1" t="s">
        <v>607</v>
      </c>
      <c r="B407" s="1" t="s">
        <v>517</v>
      </c>
      <c r="C407" s="1" t="s">
        <v>532</v>
      </c>
      <c r="D407" s="1" t="s">
        <v>283</v>
      </c>
      <c r="E407" s="73" t="n">
        <v>0</v>
      </c>
      <c r="F407" s="26" t="n">
        <v>0</v>
      </c>
      <c r="G407" s="26" t="n">
        <v>0</v>
      </c>
      <c r="H407" s="1" t="s">
        <v>533</v>
      </c>
    </row>
    <row r="408" customFormat="false" ht="15" hidden="false" customHeight="true" outlineLevel="0" collapsed="false">
      <c r="A408" s="1" t="s">
        <v>607</v>
      </c>
      <c r="B408" s="1" t="s">
        <v>517</v>
      </c>
      <c r="C408" s="1" t="s">
        <v>534</v>
      </c>
      <c r="D408" s="1" t="s">
        <v>283</v>
      </c>
      <c r="E408" s="73" t="n">
        <v>0</v>
      </c>
      <c r="F408" s="26" t="n">
        <v>0</v>
      </c>
      <c r="G408" s="26" t="n">
        <v>0</v>
      </c>
      <c r="H408" s="1" t="s">
        <v>527</v>
      </c>
    </row>
    <row r="409" customFormat="false" ht="15" hidden="false" customHeight="true" outlineLevel="0" collapsed="false">
      <c r="A409" s="1" t="s">
        <v>607</v>
      </c>
      <c r="B409" s="1" t="s">
        <v>517</v>
      </c>
      <c r="C409" s="1" t="s">
        <v>535</v>
      </c>
      <c r="D409" s="1" t="s">
        <v>283</v>
      </c>
      <c r="E409" s="73" t="n">
        <v>0</v>
      </c>
      <c r="F409" s="26" t="n">
        <v>0</v>
      </c>
      <c r="G409" s="26" t="n">
        <v>0</v>
      </c>
      <c r="H409" s="1" t="s">
        <v>536</v>
      </c>
    </row>
    <row r="410" customFormat="false" ht="15" hidden="false" customHeight="true" outlineLevel="0" collapsed="false">
      <c r="A410" s="1" t="s">
        <v>607</v>
      </c>
      <c r="B410" s="1" t="s">
        <v>517</v>
      </c>
      <c r="C410" s="1" t="s">
        <v>537</v>
      </c>
      <c r="D410" s="1" t="s">
        <v>283</v>
      </c>
      <c r="E410" s="73" t="n">
        <v>0</v>
      </c>
      <c r="F410" s="26" t="n">
        <v>0</v>
      </c>
      <c r="G410" s="26" t="n">
        <v>0</v>
      </c>
      <c r="H410" s="1" t="s">
        <v>536</v>
      </c>
    </row>
    <row r="411" customFormat="false" ht="15" hidden="false" customHeight="true" outlineLevel="0" collapsed="false">
      <c r="A411" s="1" t="s">
        <v>607</v>
      </c>
      <c r="B411" s="1" t="s">
        <v>517</v>
      </c>
      <c r="C411" s="1" t="s">
        <v>538</v>
      </c>
      <c r="D411" s="1" t="s">
        <v>283</v>
      </c>
      <c r="E411" s="73" t="n">
        <v>1</v>
      </c>
      <c r="F411" s="26" t="n">
        <v>2438.04</v>
      </c>
      <c r="G411" s="26" t="n">
        <v>2438.04</v>
      </c>
      <c r="H411" s="1" t="s">
        <v>539</v>
      </c>
    </row>
    <row r="412" customFormat="false" ht="15" hidden="false" customHeight="true" outlineLevel="0" collapsed="false">
      <c r="A412" s="1" t="s">
        <v>607</v>
      </c>
      <c r="B412" s="1" t="s">
        <v>517</v>
      </c>
      <c r="C412" s="1" t="s">
        <v>540</v>
      </c>
      <c r="D412" s="1" t="s">
        <v>280</v>
      </c>
      <c r="E412" s="73" t="n">
        <v>0</v>
      </c>
      <c r="F412" s="26" t="n">
        <v>0</v>
      </c>
      <c r="G412" s="26" t="n">
        <v>0</v>
      </c>
      <c r="H412" s="1" t="s">
        <v>527</v>
      </c>
    </row>
    <row r="413" customFormat="false" ht="15" hidden="false" customHeight="true" outlineLevel="0" collapsed="false">
      <c r="A413" s="1" t="s">
        <v>607</v>
      </c>
      <c r="B413" s="1" t="s">
        <v>517</v>
      </c>
      <c r="C413" s="1" t="s">
        <v>541</v>
      </c>
      <c r="D413" s="1" t="s">
        <v>280</v>
      </c>
      <c r="E413" s="73" t="n">
        <v>0</v>
      </c>
      <c r="F413" s="26" t="n">
        <v>0</v>
      </c>
      <c r="G413" s="26" t="n">
        <v>0</v>
      </c>
      <c r="H413" s="1" t="s">
        <v>542</v>
      </c>
    </row>
    <row r="414" customFormat="false" ht="15" hidden="false" customHeight="true" outlineLevel="0" collapsed="false">
      <c r="A414" s="1" t="s">
        <v>607</v>
      </c>
      <c r="B414" s="1" t="s">
        <v>517</v>
      </c>
      <c r="C414" s="1" t="s">
        <v>543</v>
      </c>
      <c r="D414" s="1" t="s">
        <v>274</v>
      </c>
      <c r="E414" s="73" t="n">
        <v>0</v>
      </c>
      <c r="F414" s="26" t="n">
        <v>0</v>
      </c>
      <c r="G414" s="26" t="n">
        <v>0</v>
      </c>
      <c r="H414" s="1" t="s">
        <v>544</v>
      </c>
    </row>
    <row r="415" customFormat="false" ht="15" hidden="false" customHeight="true" outlineLevel="0" collapsed="false">
      <c r="A415" s="1" t="s">
        <v>607</v>
      </c>
      <c r="B415" s="1" t="s">
        <v>517</v>
      </c>
      <c r="C415" s="1" t="s">
        <v>545</v>
      </c>
      <c r="D415" s="1" t="s">
        <v>274</v>
      </c>
      <c r="E415" s="73" t="n">
        <v>0</v>
      </c>
      <c r="F415" s="26" t="n">
        <v>0</v>
      </c>
      <c r="G415" s="26" t="n">
        <v>0</v>
      </c>
      <c r="H415" s="1" t="s">
        <v>519</v>
      </c>
    </row>
    <row r="416" customFormat="false" ht="15" hidden="false" customHeight="true" outlineLevel="0" collapsed="false">
      <c r="A416" s="1" t="s">
        <v>607</v>
      </c>
      <c r="B416" s="1" t="s">
        <v>517</v>
      </c>
      <c r="C416" s="1" t="s">
        <v>546</v>
      </c>
      <c r="D416" s="1" t="s">
        <v>274</v>
      </c>
      <c r="E416" s="73" t="n">
        <v>0</v>
      </c>
      <c r="F416" s="26" t="n">
        <v>0</v>
      </c>
      <c r="G416" s="26" t="n">
        <v>0</v>
      </c>
      <c r="H416" s="1" t="s">
        <v>523</v>
      </c>
    </row>
    <row r="417" customFormat="false" ht="15" hidden="false" customHeight="true" outlineLevel="0" collapsed="false">
      <c r="A417" s="1" t="s">
        <v>607</v>
      </c>
      <c r="B417" s="1" t="s">
        <v>517</v>
      </c>
      <c r="C417" s="1" t="s">
        <v>547</v>
      </c>
      <c r="D417" s="1" t="s">
        <v>274</v>
      </c>
      <c r="E417" s="73" t="n">
        <v>0</v>
      </c>
      <c r="F417" s="26" t="n">
        <v>0</v>
      </c>
      <c r="G417" s="26" t="n">
        <v>0</v>
      </c>
      <c r="H417" s="1" t="s">
        <v>529</v>
      </c>
    </row>
    <row r="418" customFormat="false" ht="15" hidden="false" customHeight="true" outlineLevel="0" collapsed="false">
      <c r="A418" s="1" t="s">
        <v>607</v>
      </c>
      <c r="B418" s="1" t="s">
        <v>517</v>
      </c>
      <c r="C418" s="1" t="s">
        <v>543</v>
      </c>
      <c r="D418" s="1" t="s">
        <v>275</v>
      </c>
      <c r="E418" s="73" t="n">
        <v>0</v>
      </c>
      <c r="F418" s="26" t="n">
        <v>0</v>
      </c>
      <c r="G418" s="26" t="n">
        <v>0</v>
      </c>
      <c r="H418" s="1" t="s">
        <v>527</v>
      </c>
    </row>
    <row r="419" customFormat="false" ht="15" hidden="false" customHeight="true" outlineLevel="0" collapsed="false">
      <c r="A419" s="1" t="s">
        <v>607</v>
      </c>
      <c r="B419" s="1" t="s">
        <v>517</v>
      </c>
      <c r="C419" s="1" t="s">
        <v>548</v>
      </c>
      <c r="D419" s="1" t="s">
        <v>275</v>
      </c>
      <c r="E419" s="73" t="n">
        <v>0</v>
      </c>
      <c r="F419" s="26" t="n">
        <v>0</v>
      </c>
      <c r="G419" s="26" t="n">
        <v>0</v>
      </c>
      <c r="H419" s="1" t="s">
        <v>527</v>
      </c>
    </row>
    <row r="420" customFormat="false" ht="15" hidden="false" customHeight="true" outlineLevel="0" collapsed="false">
      <c r="A420" s="1" t="s">
        <v>607</v>
      </c>
      <c r="B420" s="1" t="s">
        <v>517</v>
      </c>
      <c r="C420" s="1" t="s">
        <v>549</v>
      </c>
      <c r="D420" s="1" t="s">
        <v>275</v>
      </c>
      <c r="E420" s="73" t="n">
        <v>0</v>
      </c>
      <c r="F420" s="26" t="n">
        <v>0</v>
      </c>
      <c r="G420" s="26" t="n">
        <v>0</v>
      </c>
      <c r="H420" s="1" t="s">
        <v>542</v>
      </c>
    </row>
    <row r="421" customFormat="false" ht="15" hidden="false" customHeight="true" outlineLevel="0" collapsed="false">
      <c r="A421" s="1" t="s">
        <v>607</v>
      </c>
      <c r="B421" s="1" t="s">
        <v>517</v>
      </c>
      <c r="C421" s="1" t="s">
        <v>547</v>
      </c>
      <c r="D421" s="1" t="s">
        <v>275</v>
      </c>
      <c r="E421" s="73" t="n">
        <v>0</v>
      </c>
      <c r="F421" s="26" t="n">
        <v>0</v>
      </c>
      <c r="G421" s="26" t="n">
        <v>0</v>
      </c>
      <c r="H421" s="1" t="s">
        <v>550</v>
      </c>
    </row>
    <row r="422" customFormat="false" ht="15" hidden="false" customHeight="true" outlineLevel="0" collapsed="false">
      <c r="A422" s="1" t="s">
        <v>607</v>
      </c>
      <c r="B422" s="1" t="s">
        <v>517</v>
      </c>
      <c r="C422" s="1" t="s">
        <v>551</v>
      </c>
      <c r="D422" s="1" t="s">
        <v>272</v>
      </c>
      <c r="E422" s="73" t="n">
        <v>4782</v>
      </c>
      <c r="F422" s="26" t="n">
        <v>1.01</v>
      </c>
      <c r="G422" s="26" t="n">
        <v>4829.82</v>
      </c>
      <c r="H422" s="1" t="s">
        <v>410</v>
      </c>
    </row>
    <row r="423" customFormat="false" ht="15" hidden="false" customHeight="true" outlineLevel="0" collapsed="false">
      <c r="A423" s="1" t="s">
        <v>607</v>
      </c>
      <c r="B423" s="1" t="s">
        <v>517</v>
      </c>
      <c r="C423" s="1" t="s">
        <v>552</v>
      </c>
      <c r="D423" s="1" t="s">
        <v>272</v>
      </c>
      <c r="E423" s="73" t="n">
        <v>1</v>
      </c>
      <c r="F423" s="26" t="n">
        <v>2480.38</v>
      </c>
      <c r="G423" s="26" t="n">
        <v>2480.38</v>
      </c>
      <c r="H423" s="1" t="s">
        <v>527</v>
      </c>
    </row>
    <row r="424" customFormat="false" ht="15" hidden="false" customHeight="true" outlineLevel="0" collapsed="false">
      <c r="A424" s="1" t="s">
        <v>607</v>
      </c>
      <c r="B424" s="1" t="s">
        <v>517</v>
      </c>
      <c r="C424" s="1" t="s">
        <v>553</v>
      </c>
      <c r="D424" s="1" t="s">
        <v>272</v>
      </c>
      <c r="E424" s="73" t="n">
        <v>0</v>
      </c>
      <c r="F424" s="26" t="n">
        <v>0</v>
      </c>
      <c r="G424" s="26" t="n">
        <v>0</v>
      </c>
      <c r="H424" s="1" t="s">
        <v>527</v>
      </c>
    </row>
    <row r="425" customFormat="false" ht="15" hidden="false" customHeight="true" outlineLevel="0" collapsed="false">
      <c r="A425" s="1" t="s">
        <v>607</v>
      </c>
      <c r="B425" s="1" t="s">
        <v>517</v>
      </c>
      <c r="C425" s="1" t="s">
        <v>554</v>
      </c>
      <c r="D425" s="1" t="s">
        <v>272</v>
      </c>
      <c r="E425" s="73" t="n">
        <v>1</v>
      </c>
      <c r="F425" s="26" t="n">
        <v>13877.08</v>
      </c>
      <c r="G425" s="26" t="n">
        <v>13877.08</v>
      </c>
      <c r="H425" s="1" t="s">
        <v>550</v>
      </c>
    </row>
    <row r="426" customFormat="false" ht="15" hidden="false" customHeight="true" outlineLevel="0" collapsed="false">
      <c r="A426" s="1" t="s">
        <v>607</v>
      </c>
      <c r="B426" s="1" t="s">
        <v>517</v>
      </c>
      <c r="C426" s="1" t="s">
        <v>555</v>
      </c>
      <c r="D426" s="1" t="s">
        <v>272</v>
      </c>
      <c r="E426" s="73" t="n">
        <v>0</v>
      </c>
      <c r="F426" s="26" t="n">
        <v>0</v>
      </c>
      <c r="G426" s="26" t="n">
        <v>0</v>
      </c>
      <c r="H426" s="1" t="s">
        <v>542</v>
      </c>
    </row>
    <row r="427" customFormat="false" ht="15" hidden="false" customHeight="true" outlineLevel="0" collapsed="false">
      <c r="A427" s="1" t="s">
        <v>607</v>
      </c>
      <c r="B427" s="1" t="s">
        <v>556</v>
      </c>
      <c r="C427" s="1" t="s">
        <v>557</v>
      </c>
      <c r="D427" s="1" t="s">
        <v>279</v>
      </c>
      <c r="E427" s="73" t="n">
        <v>1</v>
      </c>
      <c r="F427" s="26" t="n">
        <v>238.88</v>
      </c>
      <c r="G427" s="26" t="n">
        <v>238.88</v>
      </c>
      <c r="H427" s="1" t="s">
        <v>562</v>
      </c>
    </row>
    <row r="428" customFormat="false" ht="15" hidden="false" customHeight="true" outlineLevel="0" collapsed="false">
      <c r="A428" s="1" t="s">
        <v>607</v>
      </c>
      <c r="B428" s="1" t="s">
        <v>556</v>
      </c>
      <c r="C428" s="1" t="s">
        <v>559</v>
      </c>
      <c r="D428" s="1" t="s">
        <v>279</v>
      </c>
      <c r="E428" s="73" t="n">
        <v>1</v>
      </c>
      <c r="F428" s="26" t="n">
        <v>609.17</v>
      </c>
      <c r="G428" s="26" t="n">
        <v>609.17</v>
      </c>
      <c r="H428" s="1" t="s">
        <v>562</v>
      </c>
    </row>
    <row r="429" customFormat="false" ht="15" hidden="false" customHeight="true" outlineLevel="0" collapsed="false">
      <c r="A429" s="1" t="s">
        <v>607</v>
      </c>
      <c r="B429" s="1" t="s">
        <v>556</v>
      </c>
      <c r="C429" s="1" t="s">
        <v>560</v>
      </c>
      <c r="D429" s="1" t="s">
        <v>279</v>
      </c>
      <c r="E429" s="73" t="n">
        <v>1</v>
      </c>
      <c r="F429" s="26" t="n">
        <v>510</v>
      </c>
      <c r="G429" s="26" t="n">
        <v>510</v>
      </c>
      <c r="H429" s="1" t="s">
        <v>562</v>
      </c>
    </row>
    <row r="430" customFormat="false" ht="15" hidden="false" customHeight="true" outlineLevel="0" collapsed="false">
      <c r="A430" s="1" t="s">
        <v>607</v>
      </c>
      <c r="B430" s="1" t="s">
        <v>556</v>
      </c>
      <c r="C430" s="1" t="s">
        <v>561</v>
      </c>
      <c r="D430" s="1" t="s">
        <v>279</v>
      </c>
      <c r="E430" s="73" t="n">
        <v>1</v>
      </c>
      <c r="F430" s="26" t="n">
        <v>333.1</v>
      </c>
      <c r="G430" s="26" t="n">
        <v>333.1</v>
      </c>
      <c r="H430" s="1" t="s">
        <v>611</v>
      </c>
    </row>
    <row r="431" customFormat="false" ht="15" hidden="false" customHeight="true" outlineLevel="0" collapsed="false">
      <c r="A431" s="1" t="s">
        <v>607</v>
      </c>
      <c r="B431" s="1" t="s">
        <v>556</v>
      </c>
      <c r="C431" s="1" t="s">
        <v>563</v>
      </c>
      <c r="D431" s="1" t="s">
        <v>279</v>
      </c>
      <c r="E431" s="73" t="n">
        <v>1</v>
      </c>
      <c r="F431" s="26" t="n">
        <v>1833.24</v>
      </c>
      <c r="G431" s="26" t="n">
        <v>1833.24</v>
      </c>
      <c r="H431" s="1" t="s">
        <v>562</v>
      </c>
    </row>
    <row r="432" customFormat="false" ht="15" hidden="false" customHeight="true" outlineLevel="0" collapsed="false">
      <c r="A432" s="1" t="s">
        <v>607</v>
      </c>
      <c r="B432" s="1" t="s">
        <v>556</v>
      </c>
      <c r="C432" s="1" t="s">
        <v>564</v>
      </c>
      <c r="D432" s="1" t="s">
        <v>279</v>
      </c>
      <c r="E432" s="73" t="n">
        <v>1</v>
      </c>
      <c r="F432" s="26" t="n">
        <v>2973.2</v>
      </c>
      <c r="G432" s="26" t="n">
        <v>2973.2</v>
      </c>
      <c r="H432" s="1" t="s">
        <v>562</v>
      </c>
    </row>
    <row r="433" customFormat="false" ht="15" hidden="false" customHeight="true" outlineLevel="0" collapsed="false">
      <c r="A433" s="1" t="s">
        <v>607</v>
      </c>
      <c r="B433" s="1" t="s">
        <v>556</v>
      </c>
      <c r="C433" s="1" t="s">
        <v>565</v>
      </c>
      <c r="D433" s="1" t="s">
        <v>279</v>
      </c>
      <c r="E433" s="73" t="n">
        <v>1</v>
      </c>
      <c r="F433" s="26" t="n">
        <v>7615.46</v>
      </c>
      <c r="G433" s="26" t="n">
        <v>7615.46</v>
      </c>
      <c r="H433" s="1" t="s">
        <v>562</v>
      </c>
    </row>
    <row r="434" customFormat="false" ht="15" hidden="false" customHeight="true" outlineLevel="0" collapsed="false">
      <c r="A434" s="1" t="s">
        <v>607</v>
      </c>
      <c r="B434" s="1" t="s">
        <v>556</v>
      </c>
      <c r="C434" s="1" t="s">
        <v>566</v>
      </c>
      <c r="D434" s="1" t="s">
        <v>280</v>
      </c>
      <c r="E434" s="73" t="n">
        <v>-1</v>
      </c>
      <c r="F434" s="26" t="n">
        <v>837.25</v>
      </c>
      <c r="G434" s="26" t="n">
        <v>-837.25</v>
      </c>
      <c r="H434" s="1" t="s">
        <v>567</v>
      </c>
    </row>
    <row r="435" customFormat="false" ht="15" hidden="false" customHeight="true" outlineLevel="0" collapsed="false">
      <c r="A435" s="1" t="s">
        <v>607</v>
      </c>
      <c r="B435" s="1" t="s">
        <v>556</v>
      </c>
      <c r="C435" s="1" t="s">
        <v>557</v>
      </c>
      <c r="D435" s="1" t="s">
        <v>280</v>
      </c>
      <c r="E435" s="73" t="n">
        <v>-1</v>
      </c>
      <c r="F435" s="26" t="n">
        <v>238.88</v>
      </c>
      <c r="G435" s="26" t="n">
        <v>-238.88</v>
      </c>
      <c r="H435" s="1" t="s">
        <v>568</v>
      </c>
    </row>
    <row r="436" customFormat="false" ht="15" hidden="false" customHeight="true" outlineLevel="0" collapsed="false">
      <c r="A436" s="1" t="s">
        <v>607</v>
      </c>
      <c r="B436" s="1" t="s">
        <v>556</v>
      </c>
      <c r="C436" s="1" t="s">
        <v>557</v>
      </c>
      <c r="D436" s="1" t="s">
        <v>280</v>
      </c>
      <c r="E436" s="73" t="n">
        <v>-1</v>
      </c>
      <c r="F436" s="26" t="n">
        <v>238.88</v>
      </c>
      <c r="G436" s="26" t="n">
        <v>-238.88</v>
      </c>
      <c r="H436" s="1" t="s">
        <v>562</v>
      </c>
    </row>
    <row r="437" customFormat="false" ht="15" hidden="false" customHeight="true" outlineLevel="0" collapsed="false">
      <c r="A437" s="1" t="s">
        <v>607</v>
      </c>
      <c r="B437" s="1" t="s">
        <v>556</v>
      </c>
      <c r="C437" s="1" t="s">
        <v>560</v>
      </c>
      <c r="D437" s="1" t="s">
        <v>272</v>
      </c>
      <c r="E437" s="73" t="n">
        <v>1</v>
      </c>
      <c r="F437" s="26" t="n">
        <v>67.33</v>
      </c>
      <c r="G437" s="26" t="n">
        <v>67.33</v>
      </c>
      <c r="H437" s="1" t="s">
        <v>570</v>
      </c>
    </row>
    <row r="438" customFormat="false" ht="15" hidden="false" customHeight="true" outlineLevel="0" collapsed="false">
      <c r="A438" s="1" t="s">
        <v>607</v>
      </c>
      <c r="B438" s="1" t="s">
        <v>556</v>
      </c>
      <c r="C438" s="1" t="s">
        <v>560</v>
      </c>
      <c r="D438" s="1" t="s">
        <v>272</v>
      </c>
      <c r="E438" s="73" t="n">
        <v>-1</v>
      </c>
      <c r="F438" s="26" t="n">
        <v>510</v>
      </c>
      <c r="G438" s="26" t="n">
        <v>-510</v>
      </c>
      <c r="H438" s="1" t="s">
        <v>562</v>
      </c>
    </row>
    <row r="439" customFormat="false" ht="15" hidden="false" customHeight="true" outlineLevel="0" collapsed="false">
      <c r="A439" s="1" t="s">
        <v>607</v>
      </c>
      <c r="B439" s="1" t="s">
        <v>47</v>
      </c>
      <c r="C439" s="1" t="s">
        <v>571</v>
      </c>
      <c r="D439" s="1" t="s">
        <v>277</v>
      </c>
      <c r="E439" s="73" t="n">
        <v>1</v>
      </c>
      <c r="F439" s="26" t="n">
        <v>1583.45</v>
      </c>
      <c r="G439" s="26" t="n">
        <v>1583.45</v>
      </c>
      <c r="H439" s="1" t="s">
        <v>612</v>
      </c>
    </row>
    <row r="440" customFormat="false" ht="15" hidden="false" customHeight="true" outlineLevel="0" collapsed="false">
      <c r="A440" s="1" t="s">
        <v>607</v>
      </c>
      <c r="B440" s="1" t="s">
        <v>47</v>
      </c>
      <c r="C440" s="1" t="s">
        <v>571</v>
      </c>
      <c r="D440" s="1" t="s">
        <v>279</v>
      </c>
      <c r="E440" s="73" t="n">
        <v>1</v>
      </c>
      <c r="F440" s="26" t="n">
        <v>1138.52</v>
      </c>
      <c r="G440" s="26" t="n">
        <v>1138.52</v>
      </c>
      <c r="H440" s="1" t="s">
        <v>613</v>
      </c>
    </row>
    <row r="441" customFormat="false" ht="15" hidden="false" customHeight="true" outlineLevel="0" collapsed="false">
      <c r="A441" s="1" t="s">
        <v>607</v>
      </c>
      <c r="B441" s="1" t="s">
        <v>47</v>
      </c>
      <c r="C441" s="1" t="s">
        <v>571</v>
      </c>
      <c r="D441" s="1" t="s">
        <v>283</v>
      </c>
      <c r="E441" s="73" t="n">
        <v>0</v>
      </c>
      <c r="F441" s="26" t="n">
        <v>0</v>
      </c>
      <c r="G441" s="26" t="n">
        <v>0</v>
      </c>
      <c r="H441" s="1" t="s">
        <v>574</v>
      </c>
    </row>
    <row r="442" customFormat="false" ht="15" hidden="false" customHeight="true" outlineLevel="0" collapsed="false">
      <c r="A442" s="1" t="s">
        <v>607</v>
      </c>
      <c r="B442" s="1" t="s">
        <v>47</v>
      </c>
      <c r="C442" s="1" t="s">
        <v>571</v>
      </c>
      <c r="D442" s="1" t="s">
        <v>280</v>
      </c>
      <c r="E442" s="73" t="n">
        <v>1</v>
      </c>
      <c r="F442" s="26" t="n">
        <v>1989.74</v>
      </c>
      <c r="G442" s="26" t="n">
        <v>1989.74</v>
      </c>
      <c r="H442" s="1" t="s">
        <v>614</v>
      </c>
    </row>
    <row r="443" customFormat="false" ht="15" hidden="false" customHeight="true" outlineLevel="0" collapsed="false">
      <c r="A443" s="1" t="s">
        <v>607</v>
      </c>
      <c r="B443" s="1" t="s">
        <v>47</v>
      </c>
      <c r="C443" s="1" t="s">
        <v>571</v>
      </c>
      <c r="D443" s="1" t="s">
        <v>274</v>
      </c>
      <c r="E443" s="73" t="n">
        <v>0</v>
      </c>
      <c r="F443" s="26" t="n">
        <v>0</v>
      </c>
      <c r="G443" s="26" t="n">
        <v>0</v>
      </c>
      <c r="H443" s="1" t="s">
        <v>576</v>
      </c>
    </row>
    <row r="444" customFormat="false" ht="15" hidden="false" customHeight="true" outlineLevel="0" collapsed="false">
      <c r="A444" s="1" t="s">
        <v>607</v>
      </c>
      <c r="B444" s="1" t="s">
        <v>47</v>
      </c>
      <c r="C444" s="1" t="s">
        <v>571</v>
      </c>
      <c r="D444" s="1" t="s">
        <v>275</v>
      </c>
      <c r="E444" s="73" t="n">
        <v>0</v>
      </c>
      <c r="F444" s="26" t="n">
        <v>0</v>
      </c>
      <c r="G444" s="26" t="n">
        <v>0</v>
      </c>
      <c r="H444" s="1" t="s">
        <v>574</v>
      </c>
    </row>
    <row r="445" customFormat="false" ht="15" hidden="false" customHeight="true" outlineLevel="0" collapsed="false">
      <c r="A445" s="1" t="s">
        <v>607</v>
      </c>
      <c r="B445" s="1" t="s">
        <v>85</v>
      </c>
      <c r="C445" s="1" t="s">
        <v>578</v>
      </c>
      <c r="D445" s="1" t="s">
        <v>265</v>
      </c>
      <c r="E445" s="73" t="n">
        <v>119</v>
      </c>
      <c r="F445" s="26" t="n">
        <v>122.31</v>
      </c>
      <c r="G445" s="26" t="n">
        <v>14554.89</v>
      </c>
      <c r="H445" s="1" t="s">
        <v>579</v>
      </c>
    </row>
    <row r="446" customFormat="false" ht="15" hidden="false" customHeight="true" outlineLevel="0" collapsed="false">
      <c r="A446" s="1" t="s">
        <v>607</v>
      </c>
      <c r="B446" s="1" t="s">
        <v>85</v>
      </c>
      <c r="C446" s="1" t="s">
        <v>578</v>
      </c>
      <c r="D446" s="1" t="s">
        <v>265</v>
      </c>
      <c r="E446" s="73" t="n">
        <v>119</v>
      </c>
      <c r="F446" s="26" t="n">
        <v>122.31</v>
      </c>
      <c r="G446" s="26" t="n">
        <v>14554.89</v>
      </c>
      <c r="H446" s="1" t="s">
        <v>579</v>
      </c>
    </row>
    <row r="447" customFormat="false" ht="15" hidden="false" customHeight="true" outlineLevel="0" collapsed="false">
      <c r="A447" s="1" t="s">
        <v>607</v>
      </c>
      <c r="B447" s="1" t="s">
        <v>85</v>
      </c>
      <c r="C447" s="1" t="s">
        <v>578</v>
      </c>
      <c r="D447" s="1" t="s">
        <v>277</v>
      </c>
      <c r="E447" s="73" t="n">
        <v>4</v>
      </c>
      <c r="F447" s="26" t="n">
        <v>127.35</v>
      </c>
      <c r="G447" s="26" t="n">
        <v>509.4</v>
      </c>
      <c r="H447" s="1" t="s">
        <v>579</v>
      </c>
    </row>
    <row r="448" customFormat="false" ht="15" hidden="false" customHeight="true" outlineLevel="0" collapsed="false">
      <c r="A448" s="1" t="s">
        <v>607</v>
      </c>
      <c r="B448" s="1" t="s">
        <v>85</v>
      </c>
      <c r="C448" s="1" t="s">
        <v>578</v>
      </c>
      <c r="D448" s="1" t="s">
        <v>277</v>
      </c>
      <c r="E448" s="73" t="n">
        <v>4</v>
      </c>
      <c r="F448" s="26" t="n">
        <v>127.35</v>
      </c>
      <c r="G448" s="26" t="n">
        <v>509.4</v>
      </c>
      <c r="H448" s="1" t="s">
        <v>579</v>
      </c>
    </row>
    <row r="449" customFormat="false" ht="15" hidden="false" customHeight="true" outlineLevel="0" collapsed="false">
      <c r="A449" s="1" t="s">
        <v>607</v>
      </c>
      <c r="B449" s="1" t="s">
        <v>85</v>
      </c>
      <c r="C449" s="1" t="s">
        <v>578</v>
      </c>
      <c r="D449" s="1" t="s">
        <v>279</v>
      </c>
      <c r="E449" s="73" t="n">
        <v>18</v>
      </c>
      <c r="F449" s="26" t="n">
        <v>128.18</v>
      </c>
      <c r="G449" s="26" t="n">
        <v>2307.24</v>
      </c>
      <c r="H449" s="1" t="s">
        <v>579</v>
      </c>
    </row>
    <row r="450" customFormat="false" ht="15" hidden="false" customHeight="true" outlineLevel="0" collapsed="false">
      <c r="A450" s="1" t="s">
        <v>607</v>
      </c>
      <c r="B450" s="1" t="s">
        <v>85</v>
      </c>
      <c r="C450" s="1" t="s">
        <v>578</v>
      </c>
      <c r="D450" s="1" t="s">
        <v>279</v>
      </c>
      <c r="E450" s="73" t="n">
        <v>18</v>
      </c>
      <c r="F450" s="26" t="n">
        <v>128.18</v>
      </c>
      <c r="G450" s="26" t="n">
        <v>2307.24</v>
      </c>
      <c r="H450" s="1" t="s">
        <v>579</v>
      </c>
    </row>
    <row r="451" customFormat="false" ht="15" hidden="false" customHeight="true" outlineLevel="0" collapsed="false">
      <c r="A451" s="1" t="s">
        <v>607</v>
      </c>
      <c r="B451" s="1" t="s">
        <v>85</v>
      </c>
      <c r="C451" s="1" t="s">
        <v>578</v>
      </c>
      <c r="D451" s="1" t="s">
        <v>283</v>
      </c>
      <c r="E451" s="73" t="n">
        <v>11</v>
      </c>
      <c r="F451" s="26" t="n">
        <v>122.58</v>
      </c>
      <c r="G451" s="26" t="n">
        <v>1348.38</v>
      </c>
      <c r="H451" s="1" t="s">
        <v>579</v>
      </c>
    </row>
    <row r="452" customFormat="false" ht="15" hidden="false" customHeight="true" outlineLevel="0" collapsed="false">
      <c r="A452" s="1" t="s">
        <v>607</v>
      </c>
      <c r="B452" s="1" t="s">
        <v>85</v>
      </c>
      <c r="C452" s="1" t="s">
        <v>578</v>
      </c>
      <c r="D452" s="1" t="s">
        <v>283</v>
      </c>
      <c r="E452" s="73" t="n">
        <v>11</v>
      </c>
      <c r="F452" s="26" t="n">
        <v>122.58</v>
      </c>
      <c r="G452" s="26" t="n">
        <v>1348.38</v>
      </c>
      <c r="H452" s="1" t="s">
        <v>579</v>
      </c>
    </row>
    <row r="453" customFormat="false" ht="15" hidden="false" customHeight="true" outlineLevel="0" collapsed="false">
      <c r="A453" s="1" t="s">
        <v>607</v>
      </c>
      <c r="B453" s="1" t="s">
        <v>85</v>
      </c>
      <c r="C453" s="1" t="s">
        <v>578</v>
      </c>
      <c r="D453" s="1" t="s">
        <v>280</v>
      </c>
      <c r="E453" s="73" t="n">
        <v>20</v>
      </c>
      <c r="F453" s="26" t="n">
        <v>134.1</v>
      </c>
      <c r="G453" s="26" t="n">
        <v>2682</v>
      </c>
      <c r="H453" s="1" t="s">
        <v>579</v>
      </c>
    </row>
    <row r="454" customFormat="false" ht="15" hidden="false" customHeight="true" outlineLevel="0" collapsed="false">
      <c r="A454" s="1" t="s">
        <v>607</v>
      </c>
      <c r="B454" s="1" t="s">
        <v>85</v>
      </c>
      <c r="C454" s="1" t="s">
        <v>578</v>
      </c>
      <c r="D454" s="1" t="s">
        <v>280</v>
      </c>
      <c r="E454" s="73" t="n">
        <v>1</v>
      </c>
      <c r="F454" s="26" t="n">
        <v>119.85</v>
      </c>
      <c r="G454" s="26" t="n">
        <v>119.85</v>
      </c>
      <c r="H454" s="1" t="s">
        <v>615</v>
      </c>
    </row>
    <row r="455" customFormat="false" ht="15" hidden="false" customHeight="true" outlineLevel="0" collapsed="false">
      <c r="A455" s="1" t="s">
        <v>607</v>
      </c>
      <c r="B455" s="1" t="s">
        <v>85</v>
      </c>
      <c r="C455" s="1" t="s">
        <v>578</v>
      </c>
      <c r="D455" s="1" t="s">
        <v>274</v>
      </c>
      <c r="E455" s="73" t="n">
        <v>4</v>
      </c>
      <c r="F455" s="26" t="n">
        <v>119.85</v>
      </c>
      <c r="G455" s="26" t="n">
        <v>479.4</v>
      </c>
      <c r="H455" s="1" t="s">
        <v>579</v>
      </c>
    </row>
    <row r="456" customFormat="false" ht="15" hidden="false" customHeight="true" outlineLevel="0" collapsed="false">
      <c r="A456" s="1" t="s">
        <v>607</v>
      </c>
      <c r="B456" s="1" t="s">
        <v>85</v>
      </c>
      <c r="C456" s="1" t="s">
        <v>578</v>
      </c>
      <c r="D456" s="1" t="s">
        <v>274</v>
      </c>
      <c r="E456" s="73" t="n">
        <v>4</v>
      </c>
      <c r="F456" s="26" t="n">
        <v>119.85</v>
      </c>
      <c r="G456" s="26" t="n">
        <v>479.4</v>
      </c>
      <c r="H456" s="1" t="s">
        <v>579</v>
      </c>
    </row>
    <row r="457" customFormat="false" ht="15" hidden="false" customHeight="true" outlineLevel="0" collapsed="false">
      <c r="A457" s="1" t="s">
        <v>607</v>
      </c>
      <c r="B457" s="1" t="s">
        <v>85</v>
      </c>
      <c r="C457" s="1" t="s">
        <v>578</v>
      </c>
      <c r="D457" s="1" t="s">
        <v>275</v>
      </c>
      <c r="E457" s="73" t="n">
        <v>0</v>
      </c>
      <c r="F457" s="26" t="n">
        <v>0</v>
      </c>
      <c r="G457" s="26" t="n">
        <v>0</v>
      </c>
      <c r="H457" s="1" t="s">
        <v>580</v>
      </c>
    </row>
    <row r="458" customFormat="false" ht="15" hidden="false" customHeight="true" outlineLevel="0" collapsed="false">
      <c r="A458" s="1" t="s">
        <v>607</v>
      </c>
      <c r="B458" s="1" t="s">
        <v>85</v>
      </c>
      <c r="C458" s="1" t="s">
        <v>578</v>
      </c>
      <c r="D458" s="1" t="s">
        <v>272</v>
      </c>
      <c r="E458" s="73" t="n">
        <v>8</v>
      </c>
      <c r="F458" s="26" t="n">
        <v>123.6</v>
      </c>
      <c r="G458" s="26" t="n">
        <v>988.8</v>
      </c>
      <c r="H458" s="1" t="s">
        <v>579</v>
      </c>
    </row>
    <row r="459" customFormat="false" ht="15" hidden="false" customHeight="true" outlineLevel="0" collapsed="false">
      <c r="A459" s="1" t="s">
        <v>607</v>
      </c>
      <c r="B459" s="1" t="s">
        <v>85</v>
      </c>
      <c r="C459" s="1" t="s">
        <v>578</v>
      </c>
      <c r="D459" s="1" t="s">
        <v>272</v>
      </c>
      <c r="E459" s="73" t="n">
        <v>1</v>
      </c>
      <c r="F459" s="26" t="n">
        <v>988.8</v>
      </c>
      <c r="G459" s="26" t="n">
        <v>988.8</v>
      </c>
      <c r="H459" s="1" t="s">
        <v>580</v>
      </c>
    </row>
    <row r="460" customFormat="false" ht="15" hidden="false" customHeight="true" outlineLevel="0" collapsed="false">
      <c r="A460" s="1" t="s">
        <v>607</v>
      </c>
      <c r="B460" s="1" t="s">
        <v>32</v>
      </c>
      <c r="C460" s="1" t="s">
        <v>581</v>
      </c>
      <c r="D460" s="1" t="s">
        <v>277</v>
      </c>
      <c r="E460" s="73" t="n">
        <v>0</v>
      </c>
      <c r="F460" s="26" t="n">
        <v>0</v>
      </c>
      <c r="G460" s="26" t="n">
        <v>0</v>
      </c>
      <c r="H460" s="1" t="s">
        <v>582</v>
      </c>
    </row>
    <row r="461" customFormat="false" ht="15" hidden="false" customHeight="true" outlineLevel="0" collapsed="false">
      <c r="A461" s="1" t="s">
        <v>607</v>
      </c>
      <c r="B461" s="1" t="s">
        <v>32</v>
      </c>
      <c r="C461" s="1" t="s">
        <v>583</v>
      </c>
      <c r="D461" s="1" t="s">
        <v>277</v>
      </c>
      <c r="E461" s="73" t="n">
        <v>0</v>
      </c>
      <c r="F461" s="26" t="n">
        <v>0</v>
      </c>
      <c r="G461" s="26" t="n">
        <v>0</v>
      </c>
      <c r="H461" s="1" t="s">
        <v>584</v>
      </c>
    </row>
    <row r="462" customFormat="false" ht="15" hidden="false" customHeight="true" outlineLevel="0" collapsed="false">
      <c r="A462" s="1" t="s">
        <v>607</v>
      </c>
      <c r="B462" s="1" t="s">
        <v>32</v>
      </c>
      <c r="C462" s="1" t="s">
        <v>581</v>
      </c>
      <c r="D462" s="1" t="s">
        <v>279</v>
      </c>
      <c r="E462" s="73" t="n">
        <v>0</v>
      </c>
      <c r="F462" s="26" t="n">
        <v>0</v>
      </c>
      <c r="G462" s="26" t="n">
        <v>0</v>
      </c>
      <c r="H462" s="1" t="s">
        <v>582</v>
      </c>
    </row>
    <row r="463" customFormat="false" ht="15" hidden="false" customHeight="true" outlineLevel="0" collapsed="false">
      <c r="A463" s="1" t="s">
        <v>607</v>
      </c>
      <c r="B463" s="1" t="s">
        <v>32</v>
      </c>
      <c r="C463" s="1" t="s">
        <v>581</v>
      </c>
      <c r="D463" s="1" t="s">
        <v>279</v>
      </c>
      <c r="E463" s="73" t="n">
        <v>0</v>
      </c>
      <c r="F463" s="26" t="n">
        <v>0</v>
      </c>
      <c r="G463" s="26" t="n">
        <v>0</v>
      </c>
      <c r="H463" s="1" t="s">
        <v>582</v>
      </c>
    </row>
    <row r="464" customFormat="false" ht="15" hidden="false" customHeight="true" outlineLevel="0" collapsed="false">
      <c r="A464" s="1" t="s">
        <v>607</v>
      </c>
      <c r="B464" s="1" t="s">
        <v>32</v>
      </c>
      <c r="C464" s="1" t="s">
        <v>583</v>
      </c>
      <c r="D464" s="1" t="s">
        <v>279</v>
      </c>
      <c r="E464" s="73" t="n">
        <v>0</v>
      </c>
      <c r="F464" s="26" t="n">
        <v>0</v>
      </c>
      <c r="G464" s="26" t="n">
        <v>0</v>
      </c>
      <c r="H464" s="1" t="s">
        <v>584</v>
      </c>
    </row>
    <row r="465" customFormat="false" ht="15" hidden="false" customHeight="true" outlineLevel="0" collapsed="false">
      <c r="A465" s="1" t="s">
        <v>607</v>
      </c>
      <c r="B465" s="1" t="s">
        <v>32</v>
      </c>
      <c r="C465" s="1" t="s">
        <v>581</v>
      </c>
      <c r="D465" s="1" t="s">
        <v>283</v>
      </c>
      <c r="E465" s="73" t="n">
        <v>0</v>
      </c>
      <c r="F465" s="26" t="n">
        <v>0</v>
      </c>
      <c r="G465" s="26" t="n">
        <v>0</v>
      </c>
      <c r="H465" s="1" t="s">
        <v>582</v>
      </c>
    </row>
    <row r="466" customFormat="false" ht="15" hidden="false" customHeight="true" outlineLevel="0" collapsed="false">
      <c r="A466" s="1" t="s">
        <v>607</v>
      </c>
      <c r="B466" s="1" t="s">
        <v>32</v>
      </c>
      <c r="C466" s="1" t="s">
        <v>583</v>
      </c>
      <c r="D466" s="1" t="s">
        <v>283</v>
      </c>
      <c r="E466" s="73" t="n">
        <v>0</v>
      </c>
      <c r="F466" s="26" t="n">
        <v>0</v>
      </c>
      <c r="G466" s="26" t="n">
        <v>0</v>
      </c>
      <c r="H466" s="1" t="s">
        <v>585</v>
      </c>
    </row>
    <row r="467" customFormat="false" ht="15" hidden="false" customHeight="true" outlineLevel="0" collapsed="false">
      <c r="A467" s="1" t="s">
        <v>607</v>
      </c>
      <c r="B467" s="1" t="s">
        <v>32</v>
      </c>
      <c r="C467" s="1" t="s">
        <v>581</v>
      </c>
      <c r="D467" s="1" t="s">
        <v>280</v>
      </c>
      <c r="E467" s="73" t="n">
        <v>0</v>
      </c>
      <c r="F467" s="26" t="n">
        <v>0</v>
      </c>
      <c r="G467" s="26" t="n">
        <v>0</v>
      </c>
      <c r="H467" s="1" t="s">
        <v>582</v>
      </c>
    </row>
    <row r="468" customFormat="false" ht="15" hidden="false" customHeight="true" outlineLevel="0" collapsed="false">
      <c r="A468" s="1" t="s">
        <v>607</v>
      </c>
      <c r="B468" s="1" t="s">
        <v>32</v>
      </c>
      <c r="C468" s="1" t="s">
        <v>581</v>
      </c>
      <c r="D468" s="1" t="s">
        <v>280</v>
      </c>
      <c r="E468" s="73" t="n">
        <v>0</v>
      </c>
      <c r="F468" s="26" t="n">
        <v>0</v>
      </c>
      <c r="G468" s="26" t="n">
        <v>0</v>
      </c>
      <c r="H468" s="1" t="s">
        <v>582</v>
      </c>
    </row>
    <row r="469" customFormat="false" ht="15" hidden="false" customHeight="true" outlineLevel="0" collapsed="false">
      <c r="A469" s="1" t="s">
        <v>607</v>
      </c>
      <c r="B469" s="1" t="s">
        <v>32</v>
      </c>
      <c r="C469" s="1" t="s">
        <v>581</v>
      </c>
      <c r="D469" s="1" t="s">
        <v>274</v>
      </c>
      <c r="E469" s="73" t="n">
        <v>0</v>
      </c>
      <c r="F469" s="26" t="n">
        <v>0</v>
      </c>
      <c r="G469" s="26" t="n">
        <v>0</v>
      </c>
      <c r="H469" s="1" t="s">
        <v>582</v>
      </c>
    </row>
    <row r="470" customFormat="false" ht="15" hidden="false" customHeight="true" outlineLevel="0" collapsed="false">
      <c r="A470" s="1" t="s">
        <v>607</v>
      </c>
      <c r="B470" s="1" t="s">
        <v>32</v>
      </c>
      <c r="C470" s="1" t="s">
        <v>583</v>
      </c>
      <c r="D470" s="1" t="s">
        <v>274</v>
      </c>
      <c r="E470" s="73" t="n">
        <v>0</v>
      </c>
      <c r="F470" s="26" t="n">
        <v>0</v>
      </c>
      <c r="G470" s="26" t="n">
        <v>0</v>
      </c>
      <c r="H470" s="1" t="s">
        <v>584</v>
      </c>
    </row>
    <row r="471" customFormat="false" ht="15" hidden="false" customHeight="true" outlineLevel="0" collapsed="false">
      <c r="A471" s="1" t="s">
        <v>607</v>
      </c>
      <c r="B471" s="1" t="s">
        <v>32</v>
      </c>
      <c r="C471" s="1" t="s">
        <v>581</v>
      </c>
      <c r="D471" s="1" t="s">
        <v>275</v>
      </c>
      <c r="E471" s="73" t="n">
        <v>0</v>
      </c>
      <c r="F471" s="26" t="n">
        <v>0</v>
      </c>
      <c r="G471" s="26" t="n">
        <v>0</v>
      </c>
      <c r="H471" s="1" t="s">
        <v>582</v>
      </c>
    </row>
    <row r="472" customFormat="false" ht="15" hidden="false" customHeight="true" outlineLevel="0" collapsed="false">
      <c r="A472" s="1" t="s">
        <v>607</v>
      </c>
      <c r="B472" s="1" t="s">
        <v>32</v>
      </c>
      <c r="C472" s="1" t="s">
        <v>581</v>
      </c>
      <c r="D472" s="1" t="s">
        <v>272</v>
      </c>
      <c r="E472" s="73" t="n">
        <v>0</v>
      </c>
      <c r="F472" s="26" t="n">
        <v>0</v>
      </c>
      <c r="G472" s="26" t="n">
        <v>0</v>
      </c>
      <c r="H472" s="1" t="s">
        <v>582</v>
      </c>
    </row>
    <row r="473" customFormat="false" ht="15" hidden="false" customHeight="true" outlineLevel="0" collapsed="false">
      <c r="A473" s="1" t="s">
        <v>607</v>
      </c>
      <c r="B473" s="1" t="s">
        <v>32</v>
      </c>
      <c r="C473" s="1" t="s">
        <v>583</v>
      </c>
      <c r="D473" s="1" t="s">
        <v>272</v>
      </c>
      <c r="E473" s="73" t="n">
        <v>0</v>
      </c>
      <c r="F473" s="26" t="n">
        <v>0</v>
      </c>
      <c r="G473" s="26" t="n">
        <v>0</v>
      </c>
      <c r="H473" s="1" t="s">
        <v>586</v>
      </c>
    </row>
    <row r="474" customFormat="false" ht="15" hidden="false" customHeight="true" outlineLevel="0" collapsed="false">
      <c r="A474" s="1" t="s">
        <v>607</v>
      </c>
      <c r="B474" s="1" t="s">
        <v>587</v>
      </c>
      <c r="C474" s="1" t="s">
        <v>588</v>
      </c>
      <c r="D474" s="1" t="s">
        <v>279</v>
      </c>
      <c r="E474" s="73" t="n">
        <v>13402</v>
      </c>
      <c r="F474" s="26" t="n">
        <v>2.35573300476439</v>
      </c>
      <c r="G474" s="26" t="n">
        <v>31571.53373</v>
      </c>
      <c r="H474" s="1" t="s">
        <v>410</v>
      </c>
    </row>
    <row r="475" customFormat="false" ht="15" hidden="false" customHeight="true" outlineLevel="0" collapsed="false">
      <c r="A475" s="1" t="s">
        <v>607</v>
      </c>
      <c r="B475" s="1" t="s">
        <v>44</v>
      </c>
      <c r="C475" s="1" t="s">
        <v>589</v>
      </c>
      <c r="D475" s="1" t="s">
        <v>277</v>
      </c>
      <c r="E475" s="73" t="n">
        <v>1</v>
      </c>
      <c r="F475" s="26" t="n">
        <v>4343.82</v>
      </c>
      <c r="G475" s="26" t="n">
        <v>4343.82</v>
      </c>
      <c r="H475" s="1" t="s">
        <v>616</v>
      </c>
    </row>
    <row r="476" customFormat="false" ht="15" hidden="false" customHeight="true" outlineLevel="0" collapsed="false">
      <c r="A476" s="1" t="s">
        <v>607</v>
      </c>
      <c r="B476" s="1" t="s">
        <v>44</v>
      </c>
      <c r="C476" s="1" t="s">
        <v>589</v>
      </c>
      <c r="D476" s="1" t="s">
        <v>279</v>
      </c>
      <c r="E476" s="73" t="n">
        <v>1</v>
      </c>
      <c r="F476" s="26" t="n">
        <v>4773.1</v>
      </c>
      <c r="G476" s="26" t="n">
        <v>4773.1</v>
      </c>
      <c r="H476" s="1" t="s">
        <v>616</v>
      </c>
    </row>
    <row r="477" customFormat="false" ht="15" hidden="false" customHeight="true" outlineLevel="0" collapsed="false">
      <c r="A477" s="1" t="s">
        <v>607</v>
      </c>
      <c r="B477" s="1" t="s">
        <v>44</v>
      </c>
      <c r="C477" s="1" t="s">
        <v>592</v>
      </c>
      <c r="D477" s="1" t="s">
        <v>279</v>
      </c>
      <c r="E477" s="73" t="n">
        <v>0</v>
      </c>
      <c r="F477" s="26" t="n">
        <v>0</v>
      </c>
      <c r="G477" s="26" t="n">
        <v>0</v>
      </c>
      <c r="H477" s="1" t="s">
        <v>593</v>
      </c>
    </row>
    <row r="478" customFormat="false" ht="15" hidden="false" customHeight="true" outlineLevel="0" collapsed="false">
      <c r="A478" s="1" t="s">
        <v>607</v>
      </c>
      <c r="B478" s="1" t="s">
        <v>44</v>
      </c>
      <c r="C478" s="1" t="s">
        <v>594</v>
      </c>
      <c r="D478" s="1" t="s">
        <v>279</v>
      </c>
      <c r="E478" s="73" t="n">
        <v>0</v>
      </c>
      <c r="F478" s="26" t="n">
        <v>0</v>
      </c>
      <c r="G478" s="26" t="n">
        <v>0</v>
      </c>
      <c r="H478" s="1" t="s">
        <v>595</v>
      </c>
    </row>
    <row r="479" customFormat="false" ht="15" hidden="false" customHeight="true" outlineLevel="0" collapsed="false">
      <c r="A479" s="1" t="s">
        <v>607</v>
      </c>
      <c r="B479" s="1" t="s">
        <v>44</v>
      </c>
      <c r="C479" s="1" t="s">
        <v>596</v>
      </c>
      <c r="D479" s="1" t="s">
        <v>279</v>
      </c>
      <c r="E479" s="73" t="n">
        <v>0</v>
      </c>
      <c r="F479" s="26" t="n">
        <v>0</v>
      </c>
      <c r="G479" s="26" t="n">
        <v>0</v>
      </c>
      <c r="H479" s="1" t="s">
        <v>597</v>
      </c>
    </row>
    <row r="480" customFormat="false" ht="15" hidden="false" customHeight="true" outlineLevel="0" collapsed="false">
      <c r="A480" s="1" t="s">
        <v>607</v>
      </c>
      <c r="B480" s="1" t="s">
        <v>44</v>
      </c>
      <c r="C480" s="1" t="s">
        <v>589</v>
      </c>
      <c r="D480" s="1" t="s">
        <v>283</v>
      </c>
      <c r="E480" s="73" t="n">
        <v>1</v>
      </c>
      <c r="F480" s="26" t="n">
        <v>1019.8</v>
      </c>
      <c r="G480" s="26" t="n">
        <v>1019.8</v>
      </c>
      <c r="H480" s="1" t="s">
        <v>616</v>
      </c>
    </row>
    <row r="481" customFormat="false" ht="15" hidden="false" customHeight="true" outlineLevel="0" collapsed="false">
      <c r="A481" s="1" t="s">
        <v>607</v>
      </c>
      <c r="B481" s="1" t="s">
        <v>44</v>
      </c>
      <c r="C481" s="1" t="s">
        <v>589</v>
      </c>
      <c r="D481" s="1" t="s">
        <v>283</v>
      </c>
      <c r="E481" s="73" t="n">
        <v>0</v>
      </c>
      <c r="F481" s="26" t="n">
        <v>0</v>
      </c>
      <c r="G481" s="26" t="n">
        <v>0</v>
      </c>
      <c r="H481" s="1" t="s">
        <v>591</v>
      </c>
    </row>
    <row r="482" customFormat="false" ht="15" hidden="false" customHeight="true" outlineLevel="0" collapsed="false">
      <c r="A482" s="1" t="s">
        <v>607</v>
      </c>
      <c r="B482" s="1" t="s">
        <v>44</v>
      </c>
      <c r="C482" s="1" t="s">
        <v>598</v>
      </c>
      <c r="D482" s="1" t="s">
        <v>283</v>
      </c>
      <c r="E482" s="73" t="n">
        <v>0</v>
      </c>
      <c r="F482" s="26" t="n">
        <v>0</v>
      </c>
      <c r="G482" s="26" t="n">
        <v>0</v>
      </c>
      <c r="H482" s="1" t="s">
        <v>593</v>
      </c>
    </row>
    <row r="483" customFormat="false" ht="15" hidden="false" customHeight="true" outlineLevel="0" collapsed="false">
      <c r="A483" s="1" t="s">
        <v>607</v>
      </c>
      <c r="B483" s="1" t="s">
        <v>44</v>
      </c>
      <c r="C483" s="1" t="s">
        <v>599</v>
      </c>
      <c r="D483" s="1" t="s">
        <v>283</v>
      </c>
      <c r="E483" s="73" t="n">
        <v>0</v>
      </c>
      <c r="F483" s="26" t="n">
        <v>0</v>
      </c>
      <c r="G483" s="26" t="n">
        <v>0</v>
      </c>
      <c r="H483" s="1" t="s">
        <v>597</v>
      </c>
    </row>
    <row r="484" customFormat="false" ht="15" hidden="false" customHeight="true" outlineLevel="0" collapsed="false">
      <c r="A484" s="1" t="s">
        <v>607</v>
      </c>
      <c r="B484" s="1" t="s">
        <v>44</v>
      </c>
      <c r="C484" s="1" t="s">
        <v>589</v>
      </c>
      <c r="D484" s="1" t="s">
        <v>280</v>
      </c>
      <c r="E484" s="73" t="n">
        <v>1</v>
      </c>
      <c r="F484" s="26" t="n">
        <v>2399.73</v>
      </c>
      <c r="G484" s="26" t="n">
        <v>2399.73</v>
      </c>
      <c r="H484" s="1" t="s">
        <v>616</v>
      </c>
    </row>
    <row r="485" customFormat="false" ht="15" hidden="false" customHeight="true" outlineLevel="0" collapsed="false">
      <c r="A485" s="1" t="s">
        <v>607</v>
      </c>
      <c r="B485" s="1" t="s">
        <v>44</v>
      </c>
      <c r="C485" s="1" t="s">
        <v>600</v>
      </c>
      <c r="D485" s="1" t="s">
        <v>280</v>
      </c>
      <c r="E485" s="73" t="n">
        <v>0</v>
      </c>
      <c r="F485" s="26" t="n">
        <v>0</v>
      </c>
      <c r="G485" s="26" t="n">
        <v>0</v>
      </c>
      <c r="H485" s="1" t="s">
        <v>593</v>
      </c>
    </row>
    <row r="486" customFormat="false" ht="15" hidden="false" customHeight="true" outlineLevel="0" collapsed="false">
      <c r="A486" s="1" t="s">
        <v>607</v>
      </c>
      <c r="B486" s="1" t="s">
        <v>44</v>
      </c>
      <c r="C486" s="1" t="s">
        <v>601</v>
      </c>
      <c r="D486" s="1" t="s">
        <v>280</v>
      </c>
      <c r="E486" s="73" t="n">
        <v>0</v>
      </c>
      <c r="F486" s="26" t="n">
        <v>0</v>
      </c>
      <c r="G486" s="26" t="n">
        <v>0</v>
      </c>
      <c r="H486" s="1" t="s">
        <v>593</v>
      </c>
    </row>
    <row r="487" customFormat="false" ht="15" hidden="false" customHeight="true" outlineLevel="0" collapsed="false">
      <c r="A487" s="1" t="s">
        <v>607</v>
      </c>
      <c r="B487" s="1" t="s">
        <v>44</v>
      </c>
      <c r="C487" s="1" t="s">
        <v>602</v>
      </c>
      <c r="D487" s="1" t="s">
        <v>280</v>
      </c>
      <c r="E487" s="73" t="n">
        <v>0</v>
      </c>
      <c r="F487" s="26" t="n">
        <v>0</v>
      </c>
      <c r="G487" s="26" t="n">
        <v>0</v>
      </c>
      <c r="H487" s="1" t="s">
        <v>597</v>
      </c>
    </row>
    <row r="488" customFormat="false" ht="15" hidden="false" customHeight="true" outlineLevel="0" collapsed="false">
      <c r="A488" s="1" t="s">
        <v>607</v>
      </c>
      <c r="B488" s="1" t="s">
        <v>44</v>
      </c>
      <c r="C488" s="1" t="s">
        <v>603</v>
      </c>
      <c r="D488" s="1" t="s">
        <v>280</v>
      </c>
      <c r="E488" s="73" t="n">
        <v>0</v>
      </c>
      <c r="F488" s="26" t="n">
        <v>0</v>
      </c>
      <c r="G488" s="26" t="n">
        <v>0</v>
      </c>
      <c r="H488" s="1" t="s">
        <v>597</v>
      </c>
    </row>
    <row r="489" customFormat="false" ht="15" hidden="false" customHeight="true" outlineLevel="0" collapsed="false">
      <c r="A489" s="1" t="s">
        <v>607</v>
      </c>
      <c r="B489" s="1" t="s">
        <v>44</v>
      </c>
      <c r="C489" s="1" t="s">
        <v>589</v>
      </c>
      <c r="D489" s="1" t="s">
        <v>274</v>
      </c>
      <c r="E489" s="73" t="n">
        <v>0</v>
      </c>
      <c r="F489" s="26" t="n">
        <v>0</v>
      </c>
      <c r="G489" s="26" t="n">
        <v>0</v>
      </c>
      <c r="H489" s="1" t="s">
        <v>590</v>
      </c>
    </row>
    <row r="490" customFormat="false" ht="15" hidden="false" customHeight="true" outlineLevel="0" collapsed="false">
      <c r="A490" s="1" t="s">
        <v>607</v>
      </c>
      <c r="B490" s="1" t="s">
        <v>44</v>
      </c>
      <c r="C490" s="1" t="s">
        <v>589</v>
      </c>
      <c r="D490" s="1" t="s">
        <v>274</v>
      </c>
      <c r="E490" s="73" t="n">
        <v>1</v>
      </c>
      <c r="F490" s="26" t="n">
        <v>4808.82</v>
      </c>
      <c r="G490" s="26" t="n">
        <v>4808.82</v>
      </c>
      <c r="H490" s="1" t="s">
        <v>591</v>
      </c>
    </row>
    <row r="491" customFormat="false" ht="15" hidden="false" customHeight="true" outlineLevel="0" collapsed="false">
      <c r="A491" s="1" t="s">
        <v>607</v>
      </c>
      <c r="B491" s="1" t="s">
        <v>44</v>
      </c>
      <c r="C491" s="1" t="s">
        <v>601</v>
      </c>
      <c r="D491" s="1" t="s">
        <v>274</v>
      </c>
      <c r="E491" s="73" t="n">
        <v>0</v>
      </c>
      <c r="F491" s="26" t="n">
        <v>0</v>
      </c>
      <c r="G491" s="26" t="n">
        <v>0</v>
      </c>
      <c r="H491" s="1" t="s">
        <v>597</v>
      </c>
    </row>
    <row r="492" customFormat="false" ht="15" hidden="false" customHeight="true" outlineLevel="0" collapsed="false">
      <c r="A492" s="1" t="s">
        <v>607</v>
      </c>
      <c r="B492" s="1" t="s">
        <v>44</v>
      </c>
      <c r="C492" s="1" t="s">
        <v>602</v>
      </c>
      <c r="D492" s="1" t="s">
        <v>274</v>
      </c>
      <c r="E492" s="73" t="n">
        <v>0</v>
      </c>
      <c r="F492" s="26" t="n">
        <v>0</v>
      </c>
      <c r="G492" s="26" t="n">
        <v>0</v>
      </c>
      <c r="H492" s="1" t="s">
        <v>597</v>
      </c>
    </row>
    <row r="493" customFormat="false" ht="15" hidden="false" customHeight="true" outlineLevel="0" collapsed="false">
      <c r="A493" s="1" t="s">
        <v>607</v>
      </c>
      <c r="B493" s="1" t="s">
        <v>44</v>
      </c>
      <c r="C493" s="1" t="s">
        <v>589</v>
      </c>
      <c r="D493" s="1" t="s">
        <v>275</v>
      </c>
      <c r="E493" s="73" t="n">
        <v>1</v>
      </c>
      <c r="F493" s="26" t="n">
        <v>111.44</v>
      </c>
      <c r="G493" s="26" t="n">
        <v>111.44</v>
      </c>
      <c r="H493" s="1" t="s">
        <v>616</v>
      </c>
    </row>
    <row r="494" customFormat="false" ht="15" hidden="false" customHeight="true" outlineLevel="0" collapsed="false">
      <c r="A494" s="1" t="s">
        <v>607</v>
      </c>
      <c r="B494" s="1" t="s">
        <v>44</v>
      </c>
      <c r="C494" s="1" t="s">
        <v>589</v>
      </c>
      <c r="D494" s="1" t="s">
        <v>275</v>
      </c>
      <c r="E494" s="73" t="n">
        <v>0</v>
      </c>
      <c r="F494" s="26" t="n">
        <v>0</v>
      </c>
      <c r="G494" s="26" t="n">
        <v>0</v>
      </c>
      <c r="H494" s="1" t="s">
        <v>590</v>
      </c>
    </row>
    <row r="495" customFormat="false" ht="15" hidden="false" customHeight="true" outlineLevel="0" collapsed="false">
      <c r="A495" s="1" t="s">
        <v>607</v>
      </c>
      <c r="B495" s="1" t="s">
        <v>44</v>
      </c>
      <c r="C495" s="1" t="s">
        <v>589</v>
      </c>
      <c r="D495" s="1" t="s">
        <v>272</v>
      </c>
      <c r="E495" s="73" t="n">
        <v>1</v>
      </c>
      <c r="F495" s="26" t="n">
        <v>4028.26</v>
      </c>
      <c r="G495" s="26" t="n">
        <v>4028.26</v>
      </c>
      <c r="H495" s="1" t="s">
        <v>616</v>
      </c>
    </row>
    <row r="496" customFormat="false" ht="15" hidden="false" customHeight="true" outlineLevel="0" collapsed="false">
      <c r="A496" s="1" t="s">
        <v>607</v>
      </c>
      <c r="B496" s="1" t="s">
        <v>44</v>
      </c>
      <c r="C496" s="1" t="s">
        <v>589</v>
      </c>
      <c r="D496" s="1" t="s">
        <v>272</v>
      </c>
      <c r="E496" s="73" t="n">
        <v>0</v>
      </c>
      <c r="F496" s="26" t="n">
        <v>0</v>
      </c>
      <c r="G496" s="26" t="n">
        <v>0</v>
      </c>
      <c r="H496" s="1" t="s">
        <v>590</v>
      </c>
    </row>
    <row r="497" customFormat="false" ht="15" hidden="false" customHeight="true" outlineLevel="0" collapsed="false">
      <c r="A497" s="1" t="s">
        <v>607</v>
      </c>
      <c r="B497" s="1" t="s">
        <v>44</v>
      </c>
      <c r="C497" s="1" t="s">
        <v>604</v>
      </c>
      <c r="D497" s="1" t="s">
        <v>272</v>
      </c>
      <c r="E497" s="73" t="n">
        <v>0</v>
      </c>
      <c r="F497" s="26" t="n">
        <v>0</v>
      </c>
      <c r="G497" s="26" t="n">
        <v>0</v>
      </c>
      <c r="H497" s="1" t="s">
        <v>593</v>
      </c>
    </row>
    <row r="498" customFormat="false" ht="15" hidden="false" customHeight="true" outlineLevel="0" collapsed="false">
      <c r="A498" s="1" t="s">
        <v>607</v>
      </c>
      <c r="B498" s="1" t="s">
        <v>44</v>
      </c>
      <c r="C498" s="1" t="s">
        <v>599</v>
      </c>
      <c r="D498" s="1" t="s">
        <v>272</v>
      </c>
      <c r="E498" s="73" t="n">
        <v>0</v>
      </c>
      <c r="F498" s="26" t="n">
        <v>0</v>
      </c>
      <c r="G498" s="26" t="n">
        <v>0</v>
      </c>
      <c r="H498" s="1" t="s">
        <v>597</v>
      </c>
    </row>
    <row r="499" customFormat="false" ht="15" hidden="false" customHeight="true" outlineLevel="0" collapsed="false">
      <c r="A499" s="1" t="s">
        <v>607</v>
      </c>
      <c r="B499" s="1" t="s">
        <v>87</v>
      </c>
      <c r="C499" s="1" t="s">
        <v>605</v>
      </c>
      <c r="D499" s="1" t="s">
        <v>277</v>
      </c>
      <c r="E499" s="73" t="n">
        <v>2</v>
      </c>
      <c r="F499" s="26" t="n">
        <v>50</v>
      </c>
      <c r="G499" s="26" t="n">
        <v>100</v>
      </c>
      <c r="H499" s="1" t="s">
        <v>606</v>
      </c>
    </row>
    <row r="500" customFormat="false" ht="15" hidden="false" customHeight="true" outlineLevel="0" collapsed="false">
      <c r="A500" s="1" t="s">
        <v>607</v>
      </c>
      <c r="B500" s="1" t="s">
        <v>87</v>
      </c>
      <c r="C500" s="1" t="s">
        <v>605</v>
      </c>
      <c r="D500" s="1" t="s">
        <v>279</v>
      </c>
      <c r="E500" s="73" t="n">
        <v>2</v>
      </c>
      <c r="F500" s="26" t="n">
        <v>50</v>
      </c>
      <c r="G500" s="26" t="n">
        <v>100</v>
      </c>
      <c r="H500" s="1" t="s">
        <v>606</v>
      </c>
    </row>
    <row r="501" customFormat="false" ht="15" hidden="false" customHeight="true" outlineLevel="0" collapsed="false">
      <c r="A501" s="1" t="s">
        <v>607</v>
      </c>
      <c r="B501" s="1" t="s">
        <v>87</v>
      </c>
      <c r="C501" s="1" t="s">
        <v>605</v>
      </c>
      <c r="D501" s="1" t="s">
        <v>283</v>
      </c>
      <c r="E501" s="73" t="n">
        <v>1</v>
      </c>
      <c r="F501" s="26" t="n">
        <v>10</v>
      </c>
      <c r="G501" s="26" t="n">
        <v>10</v>
      </c>
      <c r="H501" s="1" t="s">
        <v>606</v>
      </c>
    </row>
    <row r="502" customFormat="false" ht="15" hidden="false" customHeight="true" outlineLevel="0" collapsed="false">
      <c r="A502" s="1" t="s">
        <v>607</v>
      </c>
      <c r="B502" s="1" t="s">
        <v>87</v>
      </c>
      <c r="C502" s="1" t="s">
        <v>605</v>
      </c>
      <c r="D502" s="1" t="s">
        <v>280</v>
      </c>
      <c r="E502" s="73" t="n">
        <v>1</v>
      </c>
      <c r="F502" s="26" t="n">
        <v>10</v>
      </c>
      <c r="G502" s="26" t="n">
        <v>10</v>
      </c>
      <c r="H502" s="1" t="s">
        <v>606</v>
      </c>
    </row>
    <row r="503" customFormat="false" ht="15" hidden="false" customHeight="true" outlineLevel="0" collapsed="false">
      <c r="A503" s="1" t="s">
        <v>607</v>
      </c>
      <c r="B503" s="1" t="s">
        <v>87</v>
      </c>
      <c r="C503" s="1" t="s">
        <v>605</v>
      </c>
      <c r="D503" s="1" t="s">
        <v>280</v>
      </c>
      <c r="E503" s="73" t="n">
        <v>5</v>
      </c>
      <c r="F503" s="26" t="n">
        <v>50</v>
      </c>
      <c r="G503" s="26" t="n">
        <v>250</v>
      </c>
      <c r="H503" s="1" t="s">
        <v>606</v>
      </c>
    </row>
    <row r="504" customFormat="false" ht="15" hidden="false" customHeight="true" outlineLevel="0" collapsed="false">
      <c r="A504" s="1" t="s">
        <v>607</v>
      </c>
      <c r="B504" s="1" t="s">
        <v>87</v>
      </c>
      <c r="C504" s="1" t="s">
        <v>605</v>
      </c>
      <c r="D504" s="1" t="s">
        <v>274</v>
      </c>
      <c r="E504" s="73" t="n">
        <v>2</v>
      </c>
      <c r="F504" s="26" t="n">
        <v>50</v>
      </c>
      <c r="G504" s="26" t="n">
        <v>100</v>
      </c>
      <c r="H504" s="1" t="s">
        <v>606</v>
      </c>
    </row>
    <row r="505" customFormat="false" ht="15" hidden="false" customHeight="true" outlineLevel="0" collapsed="false">
      <c r="A505" s="1" t="s">
        <v>607</v>
      </c>
      <c r="B505" s="1" t="s">
        <v>87</v>
      </c>
      <c r="C505" s="1" t="s">
        <v>605</v>
      </c>
      <c r="D505" s="1" t="s">
        <v>275</v>
      </c>
      <c r="E505" s="73" t="n">
        <v>1</v>
      </c>
      <c r="F505" s="26" t="n">
        <v>50</v>
      </c>
      <c r="G505" s="26" t="n">
        <v>50</v>
      </c>
      <c r="H505" s="1" t="s">
        <v>606</v>
      </c>
    </row>
    <row r="506" customFormat="false" ht="15" hidden="false" customHeight="true" outlineLevel="0" collapsed="false">
      <c r="A506" s="1" t="s">
        <v>607</v>
      </c>
      <c r="B506" s="1" t="s">
        <v>87</v>
      </c>
      <c r="C506" s="1" t="s">
        <v>605</v>
      </c>
      <c r="D506" s="1" t="s">
        <v>272</v>
      </c>
      <c r="E506" s="73" t="n">
        <v>1</v>
      </c>
      <c r="F506" s="26" t="n">
        <v>90</v>
      </c>
      <c r="G506" s="26" t="n">
        <v>90</v>
      </c>
      <c r="H506" s="1" t="s">
        <v>606</v>
      </c>
    </row>
    <row r="507" customFormat="false" ht="15" hidden="false" customHeight="true" outlineLevel="0" collapsed="false">
      <c r="A507" s="1" t="s">
        <v>607</v>
      </c>
      <c r="B507" s="1" t="s">
        <v>87</v>
      </c>
      <c r="C507" s="1" t="s">
        <v>605</v>
      </c>
      <c r="D507" s="1" t="s">
        <v>272</v>
      </c>
      <c r="E507" s="73" t="n">
        <v>2</v>
      </c>
      <c r="F507" s="26" t="n">
        <v>10</v>
      </c>
      <c r="G507" s="26" t="n">
        <v>20</v>
      </c>
      <c r="H507" s="1" t="s">
        <v>606</v>
      </c>
    </row>
    <row r="508" customFormat="false" ht="15" hidden="false" customHeight="true" outlineLevel="0" collapsed="false">
      <c r="A508" s="1" t="s">
        <v>607</v>
      </c>
      <c r="B508" s="1" t="s">
        <v>87</v>
      </c>
      <c r="C508" s="1" t="s">
        <v>605</v>
      </c>
      <c r="D508" s="1" t="s">
        <v>272</v>
      </c>
      <c r="E508" s="73" t="n">
        <v>3</v>
      </c>
      <c r="F508" s="26" t="n">
        <v>50</v>
      </c>
      <c r="G508" s="26" t="n">
        <v>150</v>
      </c>
      <c r="H508" s="1" t="s">
        <v>606</v>
      </c>
    </row>
    <row r="509" customFormat="false" ht="15" hidden="false" customHeight="true" outlineLevel="0" collapsed="false">
      <c r="A509" s="1" t="s">
        <v>617</v>
      </c>
      <c r="B509" s="1" t="s">
        <v>408</v>
      </c>
      <c r="C509" s="1" t="s">
        <v>409</v>
      </c>
      <c r="D509" s="1" t="s">
        <v>279</v>
      </c>
      <c r="E509" s="73" t="n">
        <v>13418</v>
      </c>
      <c r="F509" s="26" t="n">
        <v>0.427453957585064</v>
      </c>
      <c r="G509" s="26" t="n">
        <v>5735.57720287639</v>
      </c>
      <c r="H509" s="1" t="s">
        <v>410</v>
      </c>
    </row>
    <row r="510" customFormat="false" ht="15" hidden="false" customHeight="true" outlineLevel="0" collapsed="false">
      <c r="A510" s="1" t="s">
        <v>617</v>
      </c>
      <c r="B510" s="1" t="s">
        <v>411</v>
      </c>
      <c r="C510" s="1" t="s">
        <v>86</v>
      </c>
      <c r="D510" s="1" t="s">
        <v>279</v>
      </c>
      <c r="E510" s="73" t="n">
        <v>13418</v>
      </c>
      <c r="F510" s="26" t="n">
        <v>0.266574828615826</v>
      </c>
      <c r="G510" s="26" t="n">
        <v>3576.90105036715</v>
      </c>
      <c r="H510" s="1" t="s">
        <v>410</v>
      </c>
    </row>
    <row r="511" customFormat="false" ht="15" hidden="false" customHeight="true" outlineLevel="0" collapsed="false">
      <c r="A511" s="1" t="s">
        <v>617</v>
      </c>
      <c r="B511" s="1" t="s">
        <v>412</v>
      </c>
      <c r="C511" s="1" t="s">
        <v>413</v>
      </c>
      <c r="D511" s="1" t="s">
        <v>265</v>
      </c>
      <c r="E511" s="73" t="n">
        <v>1</v>
      </c>
      <c r="F511" s="26" t="n">
        <v>1222.09</v>
      </c>
      <c r="G511" s="26" t="n">
        <v>1222.09</v>
      </c>
      <c r="H511" s="1" t="s">
        <v>618</v>
      </c>
    </row>
    <row r="512" customFormat="false" ht="15" hidden="false" customHeight="true" outlineLevel="0" collapsed="false">
      <c r="A512" s="1" t="s">
        <v>617</v>
      </c>
      <c r="B512" s="1" t="s">
        <v>412</v>
      </c>
      <c r="C512" s="1" t="s">
        <v>415</v>
      </c>
      <c r="D512" s="1" t="s">
        <v>265</v>
      </c>
      <c r="E512" s="73" t="n">
        <v>0</v>
      </c>
      <c r="F512" s="26" t="n">
        <v>0</v>
      </c>
      <c r="G512" s="26" t="n">
        <v>0</v>
      </c>
      <c r="H512" s="1" t="s">
        <v>608</v>
      </c>
    </row>
    <row r="513" customFormat="false" ht="15" hidden="false" customHeight="true" outlineLevel="0" collapsed="false">
      <c r="A513" s="1" t="s">
        <v>617</v>
      </c>
      <c r="B513" s="1" t="s">
        <v>412</v>
      </c>
      <c r="C513" s="1" t="s">
        <v>413</v>
      </c>
      <c r="D513" s="1" t="s">
        <v>277</v>
      </c>
      <c r="E513" s="73" t="n">
        <v>0</v>
      </c>
      <c r="F513" s="26" t="n">
        <v>0</v>
      </c>
      <c r="G513" s="26" t="n">
        <v>0</v>
      </c>
      <c r="H513" s="1" t="s">
        <v>414</v>
      </c>
    </row>
    <row r="514" customFormat="false" ht="15" hidden="false" customHeight="true" outlineLevel="0" collapsed="false">
      <c r="A514" s="1" t="s">
        <v>617</v>
      </c>
      <c r="B514" s="1" t="s">
        <v>412</v>
      </c>
      <c r="C514" s="1" t="s">
        <v>415</v>
      </c>
      <c r="D514" s="1" t="s">
        <v>277</v>
      </c>
      <c r="E514" s="73" t="n">
        <v>0</v>
      </c>
      <c r="F514" s="26" t="n">
        <v>0</v>
      </c>
      <c r="G514" s="26" t="n">
        <v>0</v>
      </c>
      <c r="H514" s="1" t="s">
        <v>608</v>
      </c>
    </row>
    <row r="515" customFormat="false" ht="15" hidden="false" customHeight="true" outlineLevel="0" collapsed="false">
      <c r="A515" s="1" t="s">
        <v>617</v>
      </c>
      <c r="B515" s="1" t="s">
        <v>412</v>
      </c>
      <c r="C515" s="1" t="s">
        <v>413</v>
      </c>
      <c r="D515" s="1" t="s">
        <v>279</v>
      </c>
      <c r="E515" s="73" t="n">
        <v>0</v>
      </c>
      <c r="F515" s="26" t="n">
        <v>0</v>
      </c>
      <c r="G515" s="26" t="n">
        <v>0</v>
      </c>
      <c r="H515" s="1" t="s">
        <v>417</v>
      </c>
    </row>
    <row r="516" customFormat="false" ht="15" hidden="false" customHeight="true" outlineLevel="0" collapsed="false">
      <c r="A516" s="1" t="s">
        <v>617</v>
      </c>
      <c r="B516" s="1" t="s">
        <v>412</v>
      </c>
      <c r="C516" s="1" t="s">
        <v>418</v>
      </c>
      <c r="D516" s="1" t="s">
        <v>279</v>
      </c>
      <c r="E516" s="73" t="n">
        <v>0</v>
      </c>
      <c r="F516" s="26" t="n">
        <v>0</v>
      </c>
      <c r="G516" s="26" t="n">
        <v>0</v>
      </c>
      <c r="H516" s="1" t="s">
        <v>419</v>
      </c>
    </row>
    <row r="517" customFormat="false" ht="15" hidden="false" customHeight="true" outlineLevel="0" collapsed="false">
      <c r="A517" s="1" t="s">
        <v>617</v>
      </c>
      <c r="B517" s="1" t="s">
        <v>412</v>
      </c>
      <c r="C517" s="1" t="s">
        <v>413</v>
      </c>
      <c r="D517" s="1" t="s">
        <v>283</v>
      </c>
      <c r="E517" s="73" t="n">
        <v>0</v>
      </c>
      <c r="F517" s="26" t="n">
        <v>0</v>
      </c>
      <c r="G517" s="26" t="n">
        <v>0</v>
      </c>
      <c r="H517" s="1" t="s">
        <v>417</v>
      </c>
    </row>
    <row r="518" customFormat="false" ht="15" hidden="false" customHeight="true" outlineLevel="0" collapsed="false">
      <c r="A518" s="1" t="s">
        <v>617</v>
      </c>
      <c r="B518" s="1" t="s">
        <v>412</v>
      </c>
      <c r="C518" s="1" t="s">
        <v>415</v>
      </c>
      <c r="D518" s="1" t="s">
        <v>283</v>
      </c>
      <c r="E518" s="73" t="n">
        <v>0</v>
      </c>
      <c r="F518" s="26" t="n">
        <v>0</v>
      </c>
      <c r="G518" s="26" t="n">
        <v>0</v>
      </c>
      <c r="H518" s="1" t="s">
        <v>608</v>
      </c>
    </row>
    <row r="519" customFormat="false" ht="15" hidden="false" customHeight="true" outlineLevel="0" collapsed="false">
      <c r="A519" s="1" t="s">
        <v>617</v>
      </c>
      <c r="B519" s="1" t="s">
        <v>412</v>
      </c>
      <c r="C519" s="1" t="s">
        <v>413</v>
      </c>
      <c r="D519" s="1" t="s">
        <v>280</v>
      </c>
      <c r="E519" s="73" t="n">
        <v>0</v>
      </c>
      <c r="F519" s="26" t="n">
        <v>0</v>
      </c>
      <c r="G519" s="26" t="n">
        <v>0</v>
      </c>
      <c r="H519" s="1" t="s">
        <v>414</v>
      </c>
    </row>
    <row r="520" customFormat="false" ht="15" hidden="false" customHeight="true" outlineLevel="0" collapsed="false">
      <c r="A520" s="1" t="s">
        <v>617</v>
      </c>
      <c r="B520" s="1" t="s">
        <v>412</v>
      </c>
      <c r="C520" s="1" t="s">
        <v>415</v>
      </c>
      <c r="D520" s="1" t="s">
        <v>280</v>
      </c>
      <c r="E520" s="73" t="n">
        <v>0</v>
      </c>
      <c r="F520" s="26" t="n">
        <v>0</v>
      </c>
      <c r="G520" s="26" t="n">
        <v>0</v>
      </c>
      <c r="H520" s="1" t="s">
        <v>416</v>
      </c>
    </row>
    <row r="521" customFormat="false" ht="15" hidden="false" customHeight="true" outlineLevel="0" collapsed="false">
      <c r="A521" s="1" t="s">
        <v>617</v>
      </c>
      <c r="B521" s="1" t="s">
        <v>412</v>
      </c>
      <c r="C521" s="1" t="s">
        <v>413</v>
      </c>
      <c r="D521" s="1" t="s">
        <v>274</v>
      </c>
      <c r="E521" s="73" t="n">
        <v>0</v>
      </c>
      <c r="F521" s="26" t="n">
        <v>0</v>
      </c>
      <c r="G521" s="26" t="n">
        <v>0</v>
      </c>
      <c r="H521" s="1" t="s">
        <v>421</v>
      </c>
    </row>
    <row r="522" customFormat="false" ht="15" hidden="false" customHeight="true" outlineLevel="0" collapsed="false">
      <c r="A522" s="1" t="s">
        <v>617</v>
      </c>
      <c r="B522" s="1" t="s">
        <v>412</v>
      </c>
      <c r="C522" s="1" t="s">
        <v>415</v>
      </c>
      <c r="D522" s="1" t="s">
        <v>274</v>
      </c>
      <c r="E522" s="73" t="n">
        <v>0</v>
      </c>
      <c r="F522" s="26" t="n">
        <v>0</v>
      </c>
      <c r="G522" s="26" t="n">
        <v>0</v>
      </c>
      <c r="H522" s="1" t="s">
        <v>608</v>
      </c>
    </row>
    <row r="523" customFormat="false" ht="15" hidden="false" customHeight="true" outlineLevel="0" collapsed="false">
      <c r="A523" s="1" t="s">
        <v>617</v>
      </c>
      <c r="B523" s="1" t="s">
        <v>412</v>
      </c>
      <c r="C523" s="1" t="s">
        <v>415</v>
      </c>
      <c r="D523" s="1" t="s">
        <v>274</v>
      </c>
      <c r="E523" s="73" t="n">
        <v>0</v>
      </c>
      <c r="F523" s="26" t="n">
        <v>0</v>
      </c>
      <c r="G523" s="26" t="n">
        <v>0</v>
      </c>
      <c r="H523" s="1" t="s">
        <v>416</v>
      </c>
    </row>
    <row r="524" customFormat="false" ht="15" hidden="false" customHeight="true" outlineLevel="0" collapsed="false">
      <c r="A524" s="1" t="s">
        <v>617</v>
      </c>
      <c r="B524" s="1" t="s">
        <v>412</v>
      </c>
      <c r="C524" s="1" t="s">
        <v>413</v>
      </c>
      <c r="D524" s="1" t="s">
        <v>275</v>
      </c>
      <c r="E524" s="73" t="n">
        <v>0</v>
      </c>
      <c r="F524" s="26" t="n">
        <v>0</v>
      </c>
      <c r="G524" s="26" t="n">
        <v>0</v>
      </c>
      <c r="H524" s="1" t="s">
        <v>417</v>
      </c>
    </row>
    <row r="525" customFormat="false" ht="15" hidden="false" customHeight="true" outlineLevel="0" collapsed="false">
      <c r="A525" s="1" t="s">
        <v>617</v>
      </c>
      <c r="B525" s="1" t="s">
        <v>412</v>
      </c>
      <c r="C525" s="1" t="s">
        <v>413</v>
      </c>
      <c r="D525" s="1" t="s">
        <v>275</v>
      </c>
      <c r="E525" s="73" t="n">
        <v>0</v>
      </c>
      <c r="F525" s="26" t="n">
        <v>0</v>
      </c>
      <c r="G525" s="26" t="n">
        <v>0</v>
      </c>
      <c r="H525" s="1" t="s">
        <v>422</v>
      </c>
    </row>
    <row r="526" customFormat="false" ht="15" hidden="false" customHeight="true" outlineLevel="0" collapsed="false">
      <c r="A526" s="1" t="s">
        <v>617</v>
      </c>
      <c r="B526" s="1" t="s">
        <v>78</v>
      </c>
      <c r="C526" s="1" t="s">
        <v>423</v>
      </c>
      <c r="D526" s="1" t="s">
        <v>283</v>
      </c>
      <c r="E526" s="73" t="n">
        <v>3704</v>
      </c>
      <c r="F526" s="26" t="n">
        <v>0.486320943015659</v>
      </c>
      <c r="G526" s="26" t="n">
        <v>1801.332773</v>
      </c>
      <c r="H526" s="1" t="s">
        <v>410</v>
      </c>
    </row>
    <row r="527" customFormat="false" ht="15" hidden="false" customHeight="true" outlineLevel="0" collapsed="false">
      <c r="A527" s="1" t="s">
        <v>617</v>
      </c>
      <c r="B527" s="1" t="s">
        <v>78</v>
      </c>
      <c r="C527" s="1" t="s">
        <v>423</v>
      </c>
      <c r="D527" s="1" t="s">
        <v>280</v>
      </c>
      <c r="E527" s="73" t="n">
        <v>6434</v>
      </c>
      <c r="F527" s="26" t="n">
        <v>0.486320943015659</v>
      </c>
      <c r="G527" s="26" t="n">
        <v>3128.988947</v>
      </c>
      <c r="H527" s="1" t="s">
        <v>410</v>
      </c>
    </row>
    <row r="528" customFormat="false" ht="15" hidden="false" customHeight="true" outlineLevel="0" collapsed="false">
      <c r="A528" s="1" t="s">
        <v>617</v>
      </c>
      <c r="B528" s="1" t="s">
        <v>78</v>
      </c>
      <c r="C528" s="1" t="s">
        <v>423</v>
      </c>
      <c r="D528" s="1" t="s">
        <v>274</v>
      </c>
      <c r="E528" s="73" t="n">
        <v>14441</v>
      </c>
      <c r="F528" s="26" t="n">
        <v>0.486320943015659</v>
      </c>
      <c r="G528" s="26" t="n">
        <v>7022.960738</v>
      </c>
      <c r="H528" s="1" t="s">
        <v>410</v>
      </c>
    </row>
    <row r="529" customFormat="false" ht="15" hidden="false" customHeight="true" outlineLevel="0" collapsed="false">
      <c r="A529" s="1" t="s">
        <v>617</v>
      </c>
      <c r="B529" s="1" t="s">
        <v>78</v>
      </c>
      <c r="C529" s="1" t="s">
        <v>423</v>
      </c>
      <c r="D529" s="1" t="s">
        <v>272</v>
      </c>
      <c r="E529" s="73" t="n">
        <v>4795</v>
      </c>
      <c r="F529" s="26" t="n">
        <v>0.486320943015659</v>
      </c>
      <c r="G529" s="26" t="n">
        <v>2331.908922</v>
      </c>
      <c r="H529" s="1" t="s">
        <v>410</v>
      </c>
    </row>
    <row r="530" customFormat="false" ht="15" hidden="false" customHeight="true" outlineLevel="0" collapsed="false">
      <c r="A530" s="1" t="s">
        <v>617</v>
      </c>
      <c r="B530" s="1" t="s">
        <v>424</v>
      </c>
      <c r="C530" s="1" t="s">
        <v>425</v>
      </c>
      <c r="D530" s="1" t="s">
        <v>265</v>
      </c>
      <c r="E530" s="73" t="n">
        <v>5160</v>
      </c>
      <c r="F530" s="26" t="n">
        <v>1.86</v>
      </c>
      <c r="G530" s="26" t="n">
        <v>9597.6</v>
      </c>
      <c r="H530" s="1" t="s">
        <v>619</v>
      </c>
    </row>
    <row r="531" customFormat="false" ht="15" hidden="false" customHeight="true" outlineLevel="0" collapsed="false">
      <c r="A531" s="1" t="s">
        <v>617</v>
      </c>
      <c r="B531" s="1" t="s">
        <v>424</v>
      </c>
      <c r="C531" s="1" t="s">
        <v>425</v>
      </c>
      <c r="D531" s="1" t="s">
        <v>277</v>
      </c>
      <c r="E531" s="73" t="n">
        <v>333</v>
      </c>
      <c r="F531" s="26" t="n">
        <v>1.86</v>
      </c>
      <c r="G531" s="26" t="n">
        <v>619.38</v>
      </c>
      <c r="H531" s="1" t="s">
        <v>619</v>
      </c>
    </row>
    <row r="532" customFormat="false" ht="15" hidden="false" customHeight="true" outlineLevel="0" collapsed="false">
      <c r="A532" s="1" t="s">
        <v>617</v>
      </c>
      <c r="B532" s="1" t="s">
        <v>424</v>
      </c>
      <c r="C532" s="1" t="s">
        <v>620</v>
      </c>
      <c r="D532" s="1" t="s">
        <v>277</v>
      </c>
      <c r="E532" s="73" t="n">
        <v>-1</v>
      </c>
      <c r="F532" s="26" t="n">
        <v>350</v>
      </c>
      <c r="G532" s="26" t="n">
        <v>-350</v>
      </c>
      <c r="H532" s="1" t="s">
        <v>621</v>
      </c>
    </row>
    <row r="533" customFormat="false" ht="15" hidden="false" customHeight="true" outlineLevel="0" collapsed="false">
      <c r="A533" s="1" t="s">
        <v>617</v>
      </c>
      <c r="B533" s="1" t="s">
        <v>424</v>
      </c>
      <c r="C533" s="1" t="s">
        <v>622</v>
      </c>
      <c r="D533" s="1" t="s">
        <v>277</v>
      </c>
      <c r="E533" s="73" t="n">
        <v>-1</v>
      </c>
      <c r="F533" s="26" t="n">
        <v>206.78</v>
      </c>
      <c r="G533" s="26" t="n">
        <v>-206.78</v>
      </c>
      <c r="H533" s="1" t="s">
        <v>623</v>
      </c>
    </row>
    <row r="534" customFormat="false" ht="15" hidden="false" customHeight="true" outlineLevel="0" collapsed="false">
      <c r="A534" s="1" t="s">
        <v>617</v>
      </c>
      <c r="B534" s="1" t="s">
        <v>424</v>
      </c>
      <c r="C534" s="1" t="s">
        <v>427</v>
      </c>
      <c r="D534" s="1" t="s">
        <v>277</v>
      </c>
      <c r="E534" s="73" t="n">
        <v>0</v>
      </c>
      <c r="F534" s="26" t="n">
        <v>0</v>
      </c>
      <c r="G534" s="26" t="n">
        <v>0</v>
      </c>
      <c r="H534" s="1" t="s">
        <v>428</v>
      </c>
    </row>
    <row r="535" customFormat="false" ht="15" hidden="false" customHeight="true" outlineLevel="0" collapsed="false">
      <c r="A535" s="1" t="s">
        <v>617</v>
      </c>
      <c r="B535" s="1" t="s">
        <v>424</v>
      </c>
      <c r="C535" s="1" t="s">
        <v>429</v>
      </c>
      <c r="D535" s="1" t="s">
        <v>277</v>
      </c>
      <c r="E535" s="73" t="n">
        <v>1</v>
      </c>
      <c r="F535" s="26" t="n">
        <v>439.28</v>
      </c>
      <c r="G535" s="26" t="n">
        <v>439.28</v>
      </c>
      <c r="H535" s="1" t="s">
        <v>430</v>
      </c>
    </row>
    <row r="536" customFormat="false" ht="15" hidden="false" customHeight="true" outlineLevel="0" collapsed="false">
      <c r="A536" s="1" t="s">
        <v>617</v>
      </c>
      <c r="B536" s="1" t="s">
        <v>424</v>
      </c>
      <c r="C536" s="1" t="s">
        <v>431</v>
      </c>
      <c r="D536" s="1" t="s">
        <v>277</v>
      </c>
      <c r="E536" s="73" t="n">
        <v>0</v>
      </c>
      <c r="F536" s="26" t="n">
        <v>0</v>
      </c>
      <c r="G536" s="26" t="n">
        <v>0</v>
      </c>
      <c r="H536" s="1" t="s">
        <v>430</v>
      </c>
    </row>
    <row r="537" customFormat="false" ht="15" hidden="false" customHeight="true" outlineLevel="0" collapsed="false">
      <c r="A537" s="1" t="s">
        <v>617</v>
      </c>
      <c r="B537" s="1" t="s">
        <v>424</v>
      </c>
      <c r="C537" s="1" t="s">
        <v>433</v>
      </c>
      <c r="D537" s="1" t="s">
        <v>277</v>
      </c>
      <c r="E537" s="73" t="n">
        <v>-1</v>
      </c>
      <c r="F537" s="26" t="n">
        <v>756.56</v>
      </c>
      <c r="G537" s="26" t="n">
        <v>-756.56</v>
      </c>
      <c r="H537" s="1" t="s">
        <v>434</v>
      </c>
    </row>
    <row r="538" customFormat="false" ht="15" hidden="false" customHeight="true" outlineLevel="0" collapsed="false">
      <c r="A538" s="1" t="s">
        <v>617</v>
      </c>
      <c r="B538" s="1" t="s">
        <v>424</v>
      </c>
      <c r="C538" s="1" t="s">
        <v>433</v>
      </c>
      <c r="D538" s="1" t="s">
        <v>277</v>
      </c>
      <c r="E538" s="73" t="n">
        <v>-1</v>
      </c>
      <c r="F538" s="26" t="n">
        <v>4211.32</v>
      </c>
      <c r="G538" s="26" t="n">
        <v>-4211.32</v>
      </c>
      <c r="H538" s="1" t="s">
        <v>435</v>
      </c>
    </row>
    <row r="539" customFormat="false" ht="15" hidden="false" customHeight="true" outlineLevel="0" collapsed="false">
      <c r="A539" s="1" t="s">
        <v>617</v>
      </c>
      <c r="B539" s="1" t="s">
        <v>424</v>
      </c>
      <c r="C539" s="1" t="s">
        <v>436</v>
      </c>
      <c r="D539" s="1" t="s">
        <v>277</v>
      </c>
      <c r="E539" s="73" t="n">
        <v>-5</v>
      </c>
      <c r="F539" s="26" t="n">
        <v>410.699645390071</v>
      </c>
      <c r="G539" s="26" t="n">
        <v>-2053.49822695035</v>
      </c>
      <c r="H539" s="1" t="s">
        <v>624</v>
      </c>
    </row>
    <row r="540" customFormat="false" ht="15" hidden="false" customHeight="true" outlineLevel="0" collapsed="false">
      <c r="A540" s="1" t="s">
        <v>617</v>
      </c>
      <c r="B540" s="1" t="s">
        <v>424</v>
      </c>
      <c r="C540" s="1" t="s">
        <v>438</v>
      </c>
      <c r="D540" s="1" t="s">
        <v>277</v>
      </c>
      <c r="E540" s="73" t="n">
        <v>0</v>
      </c>
      <c r="F540" s="26" t="n">
        <v>0</v>
      </c>
      <c r="G540" s="26" t="n">
        <v>0</v>
      </c>
      <c r="H540" s="1" t="s">
        <v>437</v>
      </c>
    </row>
    <row r="541" customFormat="false" ht="15" hidden="false" customHeight="true" outlineLevel="0" collapsed="false">
      <c r="A541" s="1" t="s">
        <v>617</v>
      </c>
      <c r="B541" s="1" t="s">
        <v>424</v>
      </c>
      <c r="C541" s="1" t="s">
        <v>439</v>
      </c>
      <c r="D541" s="1" t="s">
        <v>277</v>
      </c>
      <c r="E541" s="73" t="n">
        <v>0</v>
      </c>
      <c r="F541" s="26" t="n">
        <v>0</v>
      </c>
      <c r="G541" s="26" t="n">
        <v>0</v>
      </c>
      <c r="H541" s="1" t="s">
        <v>437</v>
      </c>
    </row>
    <row r="542" customFormat="false" ht="15" hidden="false" customHeight="true" outlineLevel="0" collapsed="false">
      <c r="A542" s="1" t="s">
        <v>617</v>
      </c>
      <c r="B542" s="1" t="s">
        <v>424</v>
      </c>
      <c r="C542" s="1" t="s">
        <v>440</v>
      </c>
      <c r="D542" s="1" t="s">
        <v>277</v>
      </c>
      <c r="E542" s="73" t="n">
        <v>3</v>
      </c>
      <c r="F542" s="26" t="n">
        <v>278.600873702422</v>
      </c>
      <c r="G542" s="26" t="n">
        <v>835.802621107267</v>
      </c>
      <c r="H542" s="1" t="s">
        <v>624</v>
      </c>
    </row>
    <row r="543" customFormat="false" ht="15" hidden="false" customHeight="true" outlineLevel="0" collapsed="false">
      <c r="A543" s="1" t="s">
        <v>617</v>
      </c>
      <c r="B543" s="1" t="s">
        <v>424</v>
      </c>
      <c r="C543" s="1" t="s">
        <v>441</v>
      </c>
      <c r="D543" s="1" t="s">
        <v>277</v>
      </c>
      <c r="E543" s="73" t="n">
        <v>0</v>
      </c>
      <c r="F543" s="26" t="n">
        <v>0</v>
      </c>
      <c r="G543" s="26" t="n">
        <v>0</v>
      </c>
      <c r="H543" s="1" t="s">
        <v>437</v>
      </c>
    </row>
    <row r="544" customFormat="false" ht="15" hidden="false" customHeight="true" outlineLevel="0" collapsed="false">
      <c r="A544" s="1" t="s">
        <v>617</v>
      </c>
      <c r="B544" s="1" t="s">
        <v>424</v>
      </c>
      <c r="C544" s="1" t="s">
        <v>442</v>
      </c>
      <c r="D544" s="1" t="s">
        <v>279</v>
      </c>
      <c r="E544" s="73" t="n">
        <v>1</v>
      </c>
      <c r="F544" s="26" t="n">
        <v>33.5</v>
      </c>
      <c r="G544" s="26" t="n">
        <v>33.5</v>
      </c>
      <c r="H544" s="1" t="s">
        <v>443</v>
      </c>
    </row>
    <row r="545" customFormat="false" ht="15" hidden="false" customHeight="true" outlineLevel="0" collapsed="false">
      <c r="A545" s="1" t="s">
        <v>617</v>
      </c>
      <c r="B545" s="1" t="s">
        <v>424</v>
      </c>
      <c r="C545" s="1" t="s">
        <v>442</v>
      </c>
      <c r="D545" s="1" t="s">
        <v>279</v>
      </c>
      <c r="E545" s="73" t="n">
        <v>1</v>
      </c>
      <c r="F545" s="26" t="n">
        <v>22</v>
      </c>
      <c r="G545" s="26" t="n">
        <v>22</v>
      </c>
      <c r="H545" s="1" t="s">
        <v>444</v>
      </c>
    </row>
    <row r="546" customFormat="false" ht="15" hidden="false" customHeight="true" outlineLevel="0" collapsed="false">
      <c r="A546" s="1" t="s">
        <v>617</v>
      </c>
      <c r="B546" s="1" t="s">
        <v>424</v>
      </c>
      <c r="C546" s="1" t="s">
        <v>425</v>
      </c>
      <c r="D546" s="1" t="s">
        <v>279</v>
      </c>
      <c r="E546" s="73" t="n">
        <v>258</v>
      </c>
      <c r="F546" s="26" t="n">
        <v>1.86</v>
      </c>
      <c r="G546" s="26" t="n">
        <v>479.88</v>
      </c>
      <c r="H546" s="1" t="s">
        <v>619</v>
      </c>
    </row>
    <row r="547" customFormat="false" ht="15" hidden="false" customHeight="true" outlineLevel="0" collapsed="false">
      <c r="A547" s="1" t="s">
        <v>617</v>
      </c>
      <c r="B547" s="1" t="s">
        <v>424</v>
      </c>
      <c r="C547" s="1" t="s">
        <v>620</v>
      </c>
      <c r="D547" s="1" t="s">
        <v>279</v>
      </c>
      <c r="E547" s="73" t="n">
        <v>1</v>
      </c>
      <c r="F547" s="26" t="n">
        <v>350</v>
      </c>
      <c r="G547" s="26" t="n">
        <v>350</v>
      </c>
      <c r="H547" s="1" t="s">
        <v>625</v>
      </c>
    </row>
    <row r="548" customFormat="false" ht="15" hidden="false" customHeight="true" outlineLevel="0" collapsed="false">
      <c r="A548" s="1" t="s">
        <v>617</v>
      </c>
      <c r="B548" s="1" t="s">
        <v>424</v>
      </c>
      <c r="C548" s="1" t="s">
        <v>427</v>
      </c>
      <c r="D548" s="1" t="s">
        <v>279</v>
      </c>
      <c r="E548" s="73" t="n">
        <v>2</v>
      </c>
      <c r="F548" s="26" t="n">
        <v>393.04</v>
      </c>
      <c r="G548" s="26" t="n">
        <v>786.08</v>
      </c>
      <c r="H548" s="1" t="s">
        <v>430</v>
      </c>
    </row>
    <row r="549" customFormat="false" ht="15" hidden="false" customHeight="true" outlineLevel="0" collapsed="false">
      <c r="A549" s="1" t="s">
        <v>617</v>
      </c>
      <c r="B549" s="1" t="s">
        <v>424</v>
      </c>
      <c r="C549" s="1" t="s">
        <v>429</v>
      </c>
      <c r="D549" s="1" t="s">
        <v>279</v>
      </c>
      <c r="E549" s="73" t="n">
        <v>2</v>
      </c>
      <c r="F549" s="26" t="n">
        <v>439.28</v>
      </c>
      <c r="G549" s="26" t="n">
        <v>878.56</v>
      </c>
      <c r="H549" s="1" t="s">
        <v>430</v>
      </c>
    </row>
    <row r="550" customFormat="false" ht="15" hidden="false" customHeight="true" outlineLevel="0" collapsed="false">
      <c r="A550" s="1" t="s">
        <v>617</v>
      </c>
      <c r="B550" s="1" t="s">
        <v>424</v>
      </c>
      <c r="C550" s="1" t="s">
        <v>431</v>
      </c>
      <c r="D550" s="1" t="s">
        <v>279</v>
      </c>
      <c r="E550" s="73" t="n">
        <v>1</v>
      </c>
      <c r="F550" s="26" t="n">
        <v>407.27</v>
      </c>
      <c r="G550" s="26" t="n">
        <v>407.27</v>
      </c>
      <c r="H550" s="1" t="s">
        <v>430</v>
      </c>
    </row>
    <row r="551" customFormat="false" ht="15" hidden="false" customHeight="true" outlineLevel="0" collapsed="false">
      <c r="A551" s="1" t="s">
        <v>617</v>
      </c>
      <c r="B551" s="1" t="s">
        <v>424</v>
      </c>
      <c r="C551" s="1" t="s">
        <v>433</v>
      </c>
      <c r="D551" s="1" t="s">
        <v>279</v>
      </c>
      <c r="E551" s="73" t="n">
        <v>1</v>
      </c>
      <c r="F551" s="26" t="n">
        <v>206.78</v>
      </c>
      <c r="G551" s="26" t="n">
        <v>206.78</v>
      </c>
      <c r="H551" s="1" t="s">
        <v>626</v>
      </c>
    </row>
    <row r="552" customFormat="false" ht="15" hidden="false" customHeight="true" outlineLevel="0" collapsed="false">
      <c r="A552" s="1" t="s">
        <v>617</v>
      </c>
      <c r="B552" s="1" t="s">
        <v>424</v>
      </c>
      <c r="C552" s="1" t="s">
        <v>433</v>
      </c>
      <c r="D552" s="1" t="s">
        <v>279</v>
      </c>
      <c r="E552" s="73" t="n">
        <v>1</v>
      </c>
      <c r="F552" s="26" t="n">
        <v>317.52</v>
      </c>
      <c r="G552" s="26" t="n">
        <v>317.52</v>
      </c>
      <c r="H552" s="1" t="s">
        <v>448</v>
      </c>
    </row>
    <row r="553" customFormat="false" ht="15" hidden="false" customHeight="true" outlineLevel="0" collapsed="false">
      <c r="A553" s="1" t="s">
        <v>617</v>
      </c>
      <c r="B553" s="1" t="s">
        <v>424</v>
      </c>
      <c r="C553" s="1" t="s">
        <v>433</v>
      </c>
      <c r="D553" s="1" t="s">
        <v>279</v>
      </c>
      <c r="E553" s="73" t="n">
        <v>49</v>
      </c>
      <c r="F553" s="26" t="n">
        <v>33.16</v>
      </c>
      <c r="G553" s="26" t="n">
        <v>1624.84</v>
      </c>
      <c r="H553" s="1" t="s">
        <v>449</v>
      </c>
    </row>
    <row r="554" customFormat="false" ht="15" hidden="false" customHeight="true" outlineLevel="0" collapsed="false">
      <c r="A554" s="1" t="s">
        <v>617</v>
      </c>
      <c r="B554" s="1" t="s">
        <v>424</v>
      </c>
      <c r="C554" s="1" t="s">
        <v>450</v>
      </c>
      <c r="D554" s="1" t="s">
        <v>279</v>
      </c>
      <c r="E554" s="73" t="n">
        <v>5</v>
      </c>
      <c r="F554" s="26" t="n">
        <v>410.699645390071</v>
      </c>
      <c r="G554" s="26" t="n">
        <v>2053.49822695035</v>
      </c>
      <c r="H554" s="1" t="s">
        <v>624</v>
      </c>
    </row>
    <row r="555" customFormat="false" ht="15" hidden="false" customHeight="true" outlineLevel="0" collapsed="false">
      <c r="A555" s="1" t="s">
        <v>617</v>
      </c>
      <c r="B555" s="1" t="s">
        <v>424</v>
      </c>
      <c r="C555" s="1" t="s">
        <v>438</v>
      </c>
      <c r="D555" s="1" t="s">
        <v>279</v>
      </c>
      <c r="E555" s="73" t="n">
        <v>2</v>
      </c>
      <c r="F555" s="26" t="n">
        <v>278.600873702422</v>
      </c>
      <c r="G555" s="26" t="n">
        <v>557.201747404844</v>
      </c>
      <c r="H555" s="1" t="s">
        <v>624</v>
      </c>
    </row>
    <row r="556" customFormat="false" ht="15" hidden="false" customHeight="true" outlineLevel="0" collapsed="false">
      <c r="A556" s="1" t="s">
        <v>617</v>
      </c>
      <c r="B556" s="1" t="s">
        <v>424</v>
      </c>
      <c r="C556" s="1" t="s">
        <v>451</v>
      </c>
      <c r="D556" s="1" t="s">
        <v>279</v>
      </c>
      <c r="E556" s="73" t="n">
        <v>0</v>
      </c>
      <c r="F556" s="26" t="n">
        <v>0</v>
      </c>
      <c r="G556" s="26" t="n">
        <v>0</v>
      </c>
      <c r="H556" s="1" t="s">
        <v>437</v>
      </c>
    </row>
    <row r="557" customFormat="false" ht="15" hidden="false" customHeight="true" outlineLevel="0" collapsed="false">
      <c r="A557" s="1" t="s">
        <v>617</v>
      </c>
      <c r="B557" s="1" t="s">
        <v>424</v>
      </c>
      <c r="C557" s="1" t="s">
        <v>452</v>
      </c>
      <c r="D557" s="1" t="s">
        <v>279</v>
      </c>
      <c r="E557" s="73" t="n">
        <v>-2</v>
      </c>
      <c r="F557" s="26" t="n">
        <v>278.600873702422</v>
      </c>
      <c r="G557" s="26" t="n">
        <v>-557.201747404844</v>
      </c>
      <c r="H557" s="1" t="s">
        <v>624</v>
      </c>
    </row>
    <row r="558" customFormat="false" ht="15" hidden="false" customHeight="true" outlineLevel="0" collapsed="false">
      <c r="A558" s="1" t="s">
        <v>617</v>
      </c>
      <c r="B558" s="1" t="s">
        <v>424</v>
      </c>
      <c r="C558" s="1" t="s">
        <v>453</v>
      </c>
      <c r="D558" s="1" t="s">
        <v>279</v>
      </c>
      <c r="E558" s="73" t="n">
        <v>-3</v>
      </c>
      <c r="F558" s="26" t="n">
        <v>278.600873702422</v>
      </c>
      <c r="G558" s="26" t="n">
        <v>-835.802621107267</v>
      </c>
      <c r="H558" s="1" t="s">
        <v>624</v>
      </c>
    </row>
    <row r="559" customFormat="false" ht="15" hidden="false" customHeight="true" outlineLevel="0" collapsed="false">
      <c r="A559" s="1" t="s">
        <v>617</v>
      </c>
      <c r="B559" s="1" t="s">
        <v>424</v>
      </c>
      <c r="C559" s="1" t="s">
        <v>454</v>
      </c>
      <c r="D559" s="1" t="s">
        <v>279</v>
      </c>
      <c r="E559" s="73" t="n">
        <v>-1</v>
      </c>
      <c r="F559" s="26" t="n">
        <v>278.600873702422</v>
      </c>
      <c r="G559" s="26" t="n">
        <v>-278.600873702422</v>
      </c>
      <c r="H559" s="1" t="s">
        <v>624</v>
      </c>
    </row>
    <row r="560" customFormat="false" ht="15" hidden="false" customHeight="true" outlineLevel="0" collapsed="false">
      <c r="A560" s="1" t="s">
        <v>617</v>
      </c>
      <c r="B560" s="1" t="s">
        <v>424</v>
      </c>
      <c r="C560" s="1" t="s">
        <v>425</v>
      </c>
      <c r="D560" s="1" t="s">
        <v>283</v>
      </c>
      <c r="E560" s="73" t="n">
        <v>266</v>
      </c>
      <c r="F560" s="26" t="n">
        <v>1.86</v>
      </c>
      <c r="G560" s="26" t="n">
        <v>494.76</v>
      </c>
      <c r="H560" s="1" t="s">
        <v>619</v>
      </c>
    </row>
    <row r="561" customFormat="false" ht="15" hidden="false" customHeight="true" outlineLevel="0" collapsed="false">
      <c r="A561" s="1" t="s">
        <v>617</v>
      </c>
      <c r="B561" s="1" t="s">
        <v>424</v>
      </c>
      <c r="C561" s="1" t="s">
        <v>427</v>
      </c>
      <c r="D561" s="1" t="s">
        <v>283</v>
      </c>
      <c r="E561" s="73" t="n">
        <v>1</v>
      </c>
      <c r="F561" s="26" t="n">
        <v>393.04</v>
      </c>
      <c r="G561" s="26" t="n">
        <v>393.04</v>
      </c>
      <c r="H561" s="1" t="s">
        <v>428</v>
      </c>
    </row>
    <row r="562" customFormat="false" ht="15" hidden="false" customHeight="true" outlineLevel="0" collapsed="false">
      <c r="A562" s="1" t="s">
        <v>617</v>
      </c>
      <c r="B562" s="1" t="s">
        <v>424</v>
      </c>
      <c r="C562" s="1" t="s">
        <v>429</v>
      </c>
      <c r="D562" s="1" t="s">
        <v>283</v>
      </c>
      <c r="E562" s="73" t="n">
        <v>1</v>
      </c>
      <c r="F562" s="26" t="n">
        <v>439.28</v>
      </c>
      <c r="G562" s="26" t="n">
        <v>439.28</v>
      </c>
      <c r="H562" s="1" t="s">
        <v>428</v>
      </c>
    </row>
    <row r="563" customFormat="false" ht="15" hidden="false" customHeight="true" outlineLevel="0" collapsed="false">
      <c r="A563" s="1" t="s">
        <v>617</v>
      </c>
      <c r="B563" s="1" t="s">
        <v>424</v>
      </c>
      <c r="C563" s="1" t="s">
        <v>431</v>
      </c>
      <c r="D563" s="1" t="s">
        <v>283</v>
      </c>
      <c r="E563" s="73" t="n">
        <v>0</v>
      </c>
      <c r="F563" s="26" t="n">
        <v>0</v>
      </c>
      <c r="G563" s="26" t="n">
        <v>0</v>
      </c>
      <c r="H563" s="1" t="s">
        <v>430</v>
      </c>
    </row>
    <row r="564" customFormat="false" ht="15" hidden="false" customHeight="true" outlineLevel="0" collapsed="false">
      <c r="A564" s="1" t="s">
        <v>617</v>
      </c>
      <c r="B564" s="1" t="s">
        <v>424</v>
      </c>
      <c r="C564" s="1" t="s">
        <v>438</v>
      </c>
      <c r="D564" s="1" t="s">
        <v>283</v>
      </c>
      <c r="E564" s="73" t="n">
        <v>3</v>
      </c>
      <c r="F564" s="26" t="n">
        <v>278.600873702422</v>
      </c>
      <c r="G564" s="26" t="n">
        <v>835.802621107267</v>
      </c>
      <c r="H564" s="1" t="s">
        <v>624</v>
      </c>
    </row>
    <row r="565" customFormat="false" ht="15" hidden="false" customHeight="true" outlineLevel="0" collapsed="false">
      <c r="A565" s="1" t="s">
        <v>617</v>
      </c>
      <c r="B565" s="1" t="s">
        <v>424</v>
      </c>
      <c r="C565" s="1" t="s">
        <v>456</v>
      </c>
      <c r="D565" s="1" t="s">
        <v>283</v>
      </c>
      <c r="E565" s="73" t="n">
        <v>-1</v>
      </c>
      <c r="F565" s="26" t="n">
        <v>7.02923076923077</v>
      </c>
      <c r="G565" s="26" t="n">
        <v>-7.02923076923077</v>
      </c>
      <c r="H565" s="1" t="s">
        <v>624</v>
      </c>
    </row>
    <row r="566" customFormat="false" ht="15" hidden="false" customHeight="true" outlineLevel="0" collapsed="false">
      <c r="A566" s="1" t="s">
        <v>617</v>
      </c>
      <c r="B566" s="1" t="s">
        <v>424</v>
      </c>
      <c r="C566" s="1" t="s">
        <v>457</v>
      </c>
      <c r="D566" s="1" t="s">
        <v>283</v>
      </c>
      <c r="E566" s="73" t="n">
        <v>0</v>
      </c>
      <c r="F566" s="26" t="n">
        <v>0</v>
      </c>
      <c r="G566" s="26" t="n">
        <v>0</v>
      </c>
    </row>
    <row r="567" customFormat="false" ht="15" hidden="false" customHeight="true" outlineLevel="0" collapsed="false">
      <c r="A567" s="1" t="s">
        <v>617</v>
      </c>
      <c r="B567" s="1" t="s">
        <v>424</v>
      </c>
      <c r="C567" s="1" t="s">
        <v>458</v>
      </c>
      <c r="D567" s="1" t="s">
        <v>283</v>
      </c>
      <c r="E567" s="73" t="n">
        <v>0</v>
      </c>
      <c r="F567" s="26" t="n">
        <v>0</v>
      </c>
      <c r="G567" s="26" t="n">
        <v>0</v>
      </c>
      <c r="H567" s="1" t="s">
        <v>437</v>
      </c>
    </row>
    <row r="568" customFormat="false" ht="15" hidden="false" customHeight="true" outlineLevel="0" collapsed="false">
      <c r="A568" s="1" t="s">
        <v>617</v>
      </c>
      <c r="B568" s="1" t="s">
        <v>424</v>
      </c>
      <c r="C568" s="1" t="s">
        <v>425</v>
      </c>
      <c r="D568" s="1" t="s">
        <v>280</v>
      </c>
      <c r="E568" s="73" t="n">
        <v>601</v>
      </c>
      <c r="F568" s="26" t="n">
        <v>1.86</v>
      </c>
      <c r="G568" s="26" t="n">
        <v>1117.86</v>
      </c>
      <c r="H568" s="1" t="s">
        <v>619</v>
      </c>
    </row>
    <row r="569" customFormat="false" ht="15" hidden="false" customHeight="true" outlineLevel="0" collapsed="false">
      <c r="A569" s="1" t="s">
        <v>617</v>
      </c>
      <c r="B569" s="1" t="s">
        <v>424</v>
      </c>
      <c r="C569" s="1" t="s">
        <v>427</v>
      </c>
      <c r="D569" s="1" t="s">
        <v>280</v>
      </c>
      <c r="E569" s="73" t="n">
        <v>3</v>
      </c>
      <c r="F569" s="26" t="n">
        <v>393.04</v>
      </c>
      <c r="G569" s="26" t="n">
        <v>1179.12</v>
      </c>
      <c r="H569" s="1" t="s">
        <v>627</v>
      </c>
    </row>
    <row r="570" customFormat="false" ht="15" hidden="false" customHeight="true" outlineLevel="0" collapsed="false">
      <c r="A570" s="1" t="s">
        <v>617</v>
      </c>
      <c r="B570" s="1" t="s">
        <v>424</v>
      </c>
      <c r="C570" s="1" t="s">
        <v>429</v>
      </c>
      <c r="D570" s="1" t="s">
        <v>280</v>
      </c>
      <c r="E570" s="73" t="n">
        <v>1</v>
      </c>
      <c r="F570" s="26" t="n">
        <v>439.28</v>
      </c>
      <c r="G570" s="26" t="n">
        <v>439.28</v>
      </c>
      <c r="H570" s="1" t="s">
        <v>628</v>
      </c>
    </row>
    <row r="571" customFormat="false" ht="15" hidden="false" customHeight="true" outlineLevel="0" collapsed="false">
      <c r="A571" s="1" t="s">
        <v>617</v>
      </c>
      <c r="B571" s="1" t="s">
        <v>424</v>
      </c>
      <c r="C571" s="1" t="s">
        <v>431</v>
      </c>
      <c r="D571" s="1" t="s">
        <v>280</v>
      </c>
      <c r="E571" s="73" t="n">
        <v>4</v>
      </c>
      <c r="F571" s="26" t="n">
        <v>407.27</v>
      </c>
      <c r="G571" s="26" t="n">
        <v>1629.08</v>
      </c>
      <c r="H571" s="1" t="s">
        <v>628</v>
      </c>
    </row>
    <row r="572" customFormat="false" ht="15" hidden="false" customHeight="true" outlineLevel="0" collapsed="false">
      <c r="A572" s="1" t="s">
        <v>617</v>
      </c>
      <c r="B572" s="1" t="s">
        <v>424</v>
      </c>
      <c r="C572" s="1" t="s">
        <v>433</v>
      </c>
      <c r="D572" s="1" t="s">
        <v>280</v>
      </c>
      <c r="E572" s="73" t="n">
        <v>1</v>
      </c>
      <c r="F572" s="26" t="n">
        <v>439.04</v>
      </c>
      <c r="G572" s="26" t="n">
        <v>439.04</v>
      </c>
      <c r="H572" s="1" t="s">
        <v>462</v>
      </c>
    </row>
    <row r="573" customFormat="false" ht="15" hidden="false" customHeight="true" outlineLevel="0" collapsed="false">
      <c r="A573" s="1" t="s">
        <v>617</v>
      </c>
      <c r="B573" s="1" t="s">
        <v>424</v>
      </c>
      <c r="C573" s="1" t="s">
        <v>433</v>
      </c>
      <c r="D573" s="1" t="s">
        <v>280</v>
      </c>
      <c r="E573" s="73" t="n">
        <v>78</v>
      </c>
      <c r="F573" s="26" t="n">
        <v>33.16</v>
      </c>
      <c r="G573" s="26" t="n">
        <v>2586.48</v>
      </c>
      <c r="H573" s="1" t="s">
        <v>463</v>
      </c>
    </row>
    <row r="574" customFormat="false" ht="15" hidden="false" customHeight="true" outlineLevel="0" collapsed="false">
      <c r="A574" s="1" t="s">
        <v>617</v>
      </c>
      <c r="B574" s="1" t="s">
        <v>424</v>
      </c>
      <c r="C574" s="1" t="s">
        <v>464</v>
      </c>
      <c r="D574" s="1" t="s">
        <v>280</v>
      </c>
      <c r="E574" s="73" t="n">
        <v>0</v>
      </c>
      <c r="F574" s="26" t="n">
        <v>0</v>
      </c>
      <c r="G574" s="26" t="n">
        <v>0</v>
      </c>
    </row>
    <row r="575" customFormat="false" ht="15" hidden="false" customHeight="true" outlineLevel="0" collapsed="false">
      <c r="A575" s="1" t="s">
        <v>617</v>
      </c>
      <c r="B575" s="1" t="s">
        <v>424</v>
      </c>
      <c r="C575" s="1" t="s">
        <v>465</v>
      </c>
      <c r="D575" s="1" t="s">
        <v>280</v>
      </c>
      <c r="E575" s="73" t="n">
        <v>1</v>
      </c>
      <c r="F575" s="26" t="n">
        <v>278.600873702422</v>
      </c>
      <c r="G575" s="26" t="n">
        <v>278.600873702422</v>
      </c>
      <c r="H575" s="1" t="s">
        <v>624</v>
      </c>
    </row>
    <row r="576" customFormat="false" ht="15" hidden="false" customHeight="true" outlineLevel="0" collapsed="false">
      <c r="A576" s="1" t="s">
        <v>617</v>
      </c>
      <c r="B576" s="1" t="s">
        <v>424</v>
      </c>
      <c r="C576" s="1" t="s">
        <v>466</v>
      </c>
      <c r="D576" s="1" t="s">
        <v>280</v>
      </c>
      <c r="E576" s="73" t="n">
        <v>0</v>
      </c>
      <c r="F576" s="26" t="n">
        <v>0</v>
      </c>
      <c r="G576" s="26" t="n">
        <v>0</v>
      </c>
    </row>
    <row r="577" customFormat="false" ht="15" hidden="false" customHeight="true" outlineLevel="0" collapsed="false">
      <c r="A577" s="1" t="s">
        <v>617</v>
      </c>
      <c r="B577" s="1" t="s">
        <v>424</v>
      </c>
      <c r="C577" s="1" t="s">
        <v>629</v>
      </c>
      <c r="D577" s="1" t="s">
        <v>280</v>
      </c>
      <c r="E577" s="73" t="n">
        <v>1</v>
      </c>
      <c r="F577" s="26" t="n">
        <v>26.326</v>
      </c>
      <c r="G577" s="26" t="n">
        <v>26.326</v>
      </c>
      <c r="H577" s="1" t="s">
        <v>437</v>
      </c>
    </row>
    <row r="578" customFormat="false" ht="15" hidden="false" customHeight="true" outlineLevel="0" collapsed="false">
      <c r="A578" s="1" t="s">
        <v>617</v>
      </c>
      <c r="B578" s="1" t="s">
        <v>424</v>
      </c>
      <c r="C578" s="1" t="s">
        <v>425</v>
      </c>
      <c r="D578" s="1" t="s">
        <v>274</v>
      </c>
      <c r="E578" s="73" t="n">
        <v>461</v>
      </c>
      <c r="F578" s="26" t="n">
        <v>1.86</v>
      </c>
      <c r="G578" s="26" t="n">
        <v>857.46</v>
      </c>
      <c r="H578" s="1" t="s">
        <v>619</v>
      </c>
    </row>
    <row r="579" customFormat="false" ht="15" hidden="false" customHeight="true" outlineLevel="0" collapsed="false">
      <c r="A579" s="1" t="s">
        <v>617</v>
      </c>
      <c r="B579" s="1" t="s">
        <v>424</v>
      </c>
      <c r="C579" s="1" t="s">
        <v>427</v>
      </c>
      <c r="D579" s="1" t="s">
        <v>274</v>
      </c>
      <c r="E579" s="73" t="n">
        <v>4</v>
      </c>
      <c r="F579" s="26" t="n">
        <v>393.04</v>
      </c>
      <c r="G579" s="26" t="n">
        <v>1572.16</v>
      </c>
      <c r="H579" s="1" t="s">
        <v>430</v>
      </c>
    </row>
    <row r="580" customFormat="false" ht="15" hidden="false" customHeight="true" outlineLevel="0" collapsed="false">
      <c r="A580" s="1" t="s">
        <v>617</v>
      </c>
      <c r="B580" s="1" t="s">
        <v>424</v>
      </c>
      <c r="C580" s="1" t="s">
        <v>429</v>
      </c>
      <c r="D580" s="1" t="s">
        <v>274</v>
      </c>
      <c r="E580" s="73" t="n">
        <v>4</v>
      </c>
      <c r="F580" s="26" t="n">
        <v>439.28</v>
      </c>
      <c r="G580" s="26" t="n">
        <v>1757.12</v>
      </c>
      <c r="H580" s="1" t="s">
        <v>630</v>
      </c>
    </row>
    <row r="581" customFormat="false" ht="15" hidden="false" customHeight="true" outlineLevel="0" collapsed="false">
      <c r="A581" s="1" t="s">
        <v>617</v>
      </c>
      <c r="B581" s="1" t="s">
        <v>424</v>
      </c>
      <c r="C581" s="1" t="s">
        <v>431</v>
      </c>
      <c r="D581" s="1" t="s">
        <v>274</v>
      </c>
      <c r="E581" s="73" t="n">
        <v>6</v>
      </c>
      <c r="F581" s="26" t="n">
        <v>407.27</v>
      </c>
      <c r="G581" s="26" t="n">
        <v>2443.62</v>
      </c>
      <c r="H581" s="1" t="s">
        <v>630</v>
      </c>
    </row>
    <row r="582" customFormat="false" ht="15" hidden="false" customHeight="true" outlineLevel="0" collapsed="false">
      <c r="A582" s="1" t="s">
        <v>617</v>
      </c>
      <c r="B582" s="1" t="s">
        <v>424</v>
      </c>
      <c r="C582" s="1" t="s">
        <v>471</v>
      </c>
      <c r="D582" s="1" t="s">
        <v>274</v>
      </c>
      <c r="E582" s="73" t="n">
        <v>1</v>
      </c>
      <c r="F582" s="26" t="n">
        <v>738.92</v>
      </c>
      <c r="G582" s="26" t="n">
        <v>738.92</v>
      </c>
      <c r="H582" s="1" t="s">
        <v>472</v>
      </c>
    </row>
    <row r="583" customFormat="false" ht="15" hidden="false" customHeight="true" outlineLevel="0" collapsed="false">
      <c r="A583" s="1" t="s">
        <v>617</v>
      </c>
      <c r="B583" s="1" t="s">
        <v>424</v>
      </c>
      <c r="C583" s="1" t="s">
        <v>471</v>
      </c>
      <c r="D583" s="1" t="s">
        <v>274</v>
      </c>
      <c r="E583" s="73" t="n">
        <v>25</v>
      </c>
      <c r="F583" s="26" t="n">
        <v>19.53</v>
      </c>
      <c r="G583" s="26" t="n">
        <v>488.25</v>
      </c>
      <c r="H583" s="1" t="s">
        <v>449</v>
      </c>
    </row>
    <row r="584" customFormat="false" ht="15" hidden="false" customHeight="true" outlineLevel="0" collapsed="false">
      <c r="A584" s="1" t="s">
        <v>617</v>
      </c>
      <c r="B584" s="1" t="s">
        <v>424</v>
      </c>
      <c r="C584" s="1" t="s">
        <v>438</v>
      </c>
      <c r="D584" s="1" t="s">
        <v>274</v>
      </c>
      <c r="E584" s="73" t="n">
        <v>21</v>
      </c>
      <c r="F584" s="26" t="n">
        <v>278.600873702422</v>
      </c>
      <c r="G584" s="26" t="n">
        <v>5850.61834775087</v>
      </c>
      <c r="H584" s="1" t="s">
        <v>624</v>
      </c>
    </row>
    <row r="585" customFormat="false" ht="15" hidden="false" customHeight="true" outlineLevel="0" collapsed="false">
      <c r="A585" s="1" t="s">
        <v>617</v>
      </c>
      <c r="B585" s="1" t="s">
        <v>424</v>
      </c>
      <c r="C585" s="1" t="s">
        <v>473</v>
      </c>
      <c r="D585" s="1" t="s">
        <v>274</v>
      </c>
      <c r="E585" s="73" t="n">
        <v>0</v>
      </c>
      <c r="F585" s="26" t="n">
        <v>0</v>
      </c>
      <c r="G585" s="26" t="n">
        <v>0</v>
      </c>
      <c r="H585" s="1" t="s">
        <v>437</v>
      </c>
    </row>
    <row r="586" customFormat="false" ht="15" hidden="false" customHeight="true" outlineLevel="0" collapsed="false">
      <c r="A586" s="1" t="s">
        <v>617</v>
      </c>
      <c r="B586" s="1" t="s">
        <v>424</v>
      </c>
      <c r="C586" s="1" t="s">
        <v>474</v>
      </c>
      <c r="D586" s="1" t="s">
        <v>274</v>
      </c>
      <c r="E586" s="73" t="n">
        <v>0</v>
      </c>
      <c r="F586" s="26" t="n">
        <v>0</v>
      </c>
      <c r="G586" s="26" t="n">
        <v>0</v>
      </c>
      <c r="H586" s="1" t="s">
        <v>437</v>
      </c>
    </row>
    <row r="587" customFormat="false" ht="15" hidden="false" customHeight="true" outlineLevel="0" collapsed="false">
      <c r="A587" s="1" t="s">
        <v>617</v>
      </c>
      <c r="B587" s="1" t="s">
        <v>424</v>
      </c>
      <c r="C587" s="1" t="s">
        <v>475</v>
      </c>
      <c r="D587" s="1" t="s">
        <v>274</v>
      </c>
      <c r="E587" s="73" t="n">
        <v>0</v>
      </c>
      <c r="F587" s="26" t="n">
        <v>0</v>
      </c>
      <c r="G587" s="26" t="n">
        <v>0</v>
      </c>
      <c r="H587" s="1" t="s">
        <v>437</v>
      </c>
    </row>
    <row r="588" customFormat="false" ht="15" hidden="false" customHeight="true" outlineLevel="0" collapsed="false">
      <c r="A588" s="1" t="s">
        <v>617</v>
      </c>
      <c r="B588" s="1" t="s">
        <v>424</v>
      </c>
      <c r="C588" s="1" t="s">
        <v>425</v>
      </c>
      <c r="D588" s="1" t="s">
        <v>275</v>
      </c>
      <c r="E588" s="73" t="n">
        <v>112</v>
      </c>
      <c r="F588" s="26" t="n">
        <v>1.86</v>
      </c>
      <c r="G588" s="26" t="n">
        <v>208.32</v>
      </c>
      <c r="H588" s="1" t="s">
        <v>619</v>
      </c>
    </row>
    <row r="589" customFormat="false" ht="15" hidden="false" customHeight="true" outlineLevel="0" collapsed="false">
      <c r="A589" s="1" t="s">
        <v>617</v>
      </c>
      <c r="B589" s="1" t="s">
        <v>424</v>
      </c>
      <c r="C589" s="1" t="s">
        <v>427</v>
      </c>
      <c r="D589" s="1" t="s">
        <v>275</v>
      </c>
      <c r="E589" s="73" t="n">
        <v>1</v>
      </c>
      <c r="F589" s="26" t="n">
        <v>393.04</v>
      </c>
      <c r="G589" s="26" t="n">
        <v>393.04</v>
      </c>
      <c r="H589" s="1" t="s">
        <v>430</v>
      </c>
    </row>
    <row r="590" customFormat="false" ht="15" hidden="false" customHeight="true" outlineLevel="0" collapsed="false">
      <c r="A590" s="1" t="s">
        <v>617</v>
      </c>
      <c r="B590" s="1" t="s">
        <v>424</v>
      </c>
      <c r="C590" s="1" t="s">
        <v>429</v>
      </c>
      <c r="D590" s="1" t="s">
        <v>275</v>
      </c>
      <c r="E590" s="73" t="n">
        <v>0</v>
      </c>
      <c r="F590" s="26" t="n">
        <v>0</v>
      </c>
      <c r="G590" s="26" t="n">
        <v>0</v>
      </c>
      <c r="H590" s="1" t="s">
        <v>477</v>
      </c>
    </row>
    <row r="591" customFormat="false" ht="15" hidden="false" customHeight="true" outlineLevel="0" collapsed="false">
      <c r="A591" s="1" t="s">
        <v>617</v>
      </c>
      <c r="B591" s="1" t="s">
        <v>424</v>
      </c>
      <c r="C591" s="1" t="s">
        <v>431</v>
      </c>
      <c r="D591" s="1" t="s">
        <v>275</v>
      </c>
      <c r="E591" s="73" t="n">
        <v>0</v>
      </c>
      <c r="F591" s="26" t="n">
        <v>0</v>
      </c>
      <c r="G591" s="26" t="n">
        <v>0</v>
      </c>
      <c r="H591" s="1" t="s">
        <v>428</v>
      </c>
    </row>
    <row r="592" customFormat="false" ht="15" hidden="false" customHeight="true" outlineLevel="0" collapsed="false">
      <c r="A592" s="1" t="s">
        <v>617</v>
      </c>
      <c r="B592" s="1" t="s">
        <v>424</v>
      </c>
      <c r="C592" s="1" t="s">
        <v>471</v>
      </c>
      <c r="D592" s="1" t="s">
        <v>275</v>
      </c>
      <c r="E592" s="73" t="n">
        <v>1</v>
      </c>
      <c r="F592" s="26" t="n">
        <v>607.6</v>
      </c>
      <c r="G592" s="26" t="n">
        <v>607.6</v>
      </c>
      <c r="H592" s="1" t="s">
        <v>478</v>
      </c>
    </row>
    <row r="593" customFormat="false" ht="15" hidden="false" customHeight="true" outlineLevel="0" collapsed="false">
      <c r="A593" s="1" t="s">
        <v>617</v>
      </c>
      <c r="B593" s="1" t="s">
        <v>424</v>
      </c>
      <c r="C593" s="1" t="s">
        <v>471</v>
      </c>
      <c r="D593" s="1" t="s">
        <v>275</v>
      </c>
      <c r="E593" s="73" t="n">
        <v>42</v>
      </c>
      <c r="F593" s="26" t="n">
        <v>19.53</v>
      </c>
      <c r="G593" s="26" t="n">
        <v>820.26</v>
      </c>
      <c r="H593" s="1" t="s">
        <v>449</v>
      </c>
    </row>
    <row r="594" customFormat="false" ht="15" hidden="false" customHeight="true" outlineLevel="0" collapsed="false">
      <c r="A594" s="1" t="s">
        <v>617</v>
      </c>
      <c r="B594" s="1" t="s">
        <v>424</v>
      </c>
      <c r="C594" s="1" t="s">
        <v>438</v>
      </c>
      <c r="D594" s="1" t="s">
        <v>275</v>
      </c>
      <c r="E594" s="73" t="n">
        <v>2</v>
      </c>
      <c r="F594" s="26" t="n">
        <v>278.600873702422</v>
      </c>
      <c r="G594" s="26" t="n">
        <v>557.201747404844</v>
      </c>
      <c r="H594" s="1" t="s">
        <v>624</v>
      </c>
    </row>
    <row r="595" customFormat="false" ht="15" hidden="false" customHeight="true" outlineLevel="0" collapsed="false">
      <c r="A595" s="1" t="s">
        <v>617</v>
      </c>
      <c r="B595" s="1" t="s">
        <v>424</v>
      </c>
      <c r="C595" s="1" t="s">
        <v>479</v>
      </c>
      <c r="D595" s="1" t="s">
        <v>275</v>
      </c>
      <c r="E595" s="73" t="n">
        <v>-1</v>
      </c>
      <c r="F595" s="26" t="n">
        <v>370.462380952381</v>
      </c>
      <c r="G595" s="26" t="n">
        <v>-370.462380952381</v>
      </c>
      <c r="H595" s="1" t="s">
        <v>624</v>
      </c>
    </row>
    <row r="596" customFormat="false" ht="15" hidden="false" customHeight="true" outlineLevel="0" collapsed="false">
      <c r="A596" s="1" t="s">
        <v>617</v>
      </c>
      <c r="B596" s="1" t="s">
        <v>424</v>
      </c>
      <c r="C596" s="1" t="s">
        <v>442</v>
      </c>
      <c r="D596" s="1" t="s">
        <v>272</v>
      </c>
      <c r="E596" s="73" t="n">
        <v>1</v>
      </c>
      <c r="F596" s="26" t="n">
        <v>25.5</v>
      </c>
      <c r="G596" s="26" t="n">
        <v>25.5</v>
      </c>
      <c r="H596" s="1" t="s">
        <v>569</v>
      </c>
    </row>
    <row r="597" customFormat="false" ht="15" hidden="false" customHeight="true" outlineLevel="0" collapsed="false">
      <c r="A597" s="1" t="s">
        <v>617</v>
      </c>
      <c r="B597" s="1" t="s">
        <v>424</v>
      </c>
      <c r="C597" s="1" t="s">
        <v>425</v>
      </c>
      <c r="D597" s="1" t="s">
        <v>272</v>
      </c>
      <c r="E597" s="73" t="n">
        <v>0</v>
      </c>
      <c r="F597" s="26" t="n">
        <v>0</v>
      </c>
      <c r="G597" s="26" t="n">
        <v>0</v>
      </c>
      <c r="H597" s="1" t="s">
        <v>426</v>
      </c>
    </row>
    <row r="598" customFormat="false" ht="15" hidden="false" customHeight="true" outlineLevel="0" collapsed="false">
      <c r="A598" s="1" t="s">
        <v>617</v>
      </c>
      <c r="B598" s="1" t="s">
        <v>424</v>
      </c>
      <c r="C598" s="1" t="s">
        <v>425</v>
      </c>
      <c r="D598" s="1" t="s">
        <v>272</v>
      </c>
      <c r="E598" s="73" t="n">
        <v>261</v>
      </c>
      <c r="F598" s="26" t="n">
        <v>1.86</v>
      </c>
      <c r="G598" s="26" t="n">
        <v>485.46</v>
      </c>
      <c r="H598" s="1" t="s">
        <v>619</v>
      </c>
    </row>
    <row r="599" customFormat="false" ht="15" hidden="false" customHeight="true" outlineLevel="0" collapsed="false">
      <c r="A599" s="1" t="s">
        <v>617</v>
      </c>
      <c r="B599" s="1" t="s">
        <v>424</v>
      </c>
      <c r="C599" s="1" t="s">
        <v>427</v>
      </c>
      <c r="D599" s="1" t="s">
        <v>272</v>
      </c>
      <c r="E599" s="73" t="n">
        <v>3</v>
      </c>
      <c r="F599" s="26" t="n">
        <v>393.04</v>
      </c>
      <c r="G599" s="26" t="n">
        <v>1179.12</v>
      </c>
      <c r="H599" s="1" t="s">
        <v>477</v>
      </c>
    </row>
    <row r="600" customFormat="false" ht="15" hidden="false" customHeight="true" outlineLevel="0" collapsed="false">
      <c r="A600" s="1" t="s">
        <v>617</v>
      </c>
      <c r="B600" s="1" t="s">
        <v>424</v>
      </c>
      <c r="C600" s="1" t="s">
        <v>429</v>
      </c>
      <c r="D600" s="1" t="s">
        <v>272</v>
      </c>
      <c r="E600" s="73" t="n">
        <v>2</v>
      </c>
      <c r="F600" s="26" t="n">
        <v>439.28</v>
      </c>
      <c r="G600" s="26" t="n">
        <v>878.56</v>
      </c>
      <c r="H600" s="1" t="s">
        <v>428</v>
      </c>
    </row>
    <row r="601" customFormat="false" ht="15" hidden="false" customHeight="true" outlineLevel="0" collapsed="false">
      <c r="A601" s="1" t="s">
        <v>617</v>
      </c>
      <c r="B601" s="1" t="s">
        <v>424</v>
      </c>
      <c r="C601" s="1" t="s">
        <v>431</v>
      </c>
      <c r="D601" s="1" t="s">
        <v>272</v>
      </c>
      <c r="E601" s="73" t="n">
        <v>3</v>
      </c>
      <c r="F601" s="26" t="n">
        <v>407.27</v>
      </c>
      <c r="G601" s="26" t="n">
        <v>1221.81</v>
      </c>
      <c r="H601" s="1" t="s">
        <v>477</v>
      </c>
    </row>
    <row r="602" customFormat="false" ht="15" hidden="false" customHeight="true" outlineLevel="0" collapsed="false">
      <c r="A602" s="1" t="s">
        <v>617</v>
      </c>
      <c r="B602" s="1" t="s">
        <v>424</v>
      </c>
      <c r="C602" s="1" t="s">
        <v>438</v>
      </c>
      <c r="D602" s="1" t="s">
        <v>272</v>
      </c>
      <c r="E602" s="73" t="n">
        <v>4</v>
      </c>
      <c r="F602" s="26" t="n">
        <v>278.600873702422</v>
      </c>
      <c r="G602" s="26" t="n">
        <v>1114.40349480969</v>
      </c>
      <c r="H602" s="1" t="s">
        <v>624</v>
      </c>
    </row>
    <row r="603" customFormat="false" ht="15" hidden="false" customHeight="true" outlineLevel="0" collapsed="false">
      <c r="A603" s="1" t="s">
        <v>617</v>
      </c>
      <c r="B603" s="1" t="s">
        <v>424</v>
      </c>
      <c r="C603" s="1" t="s">
        <v>483</v>
      </c>
      <c r="D603" s="1" t="s">
        <v>272</v>
      </c>
      <c r="E603" s="73" t="n">
        <v>0</v>
      </c>
      <c r="F603" s="26" t="n">
        <v>0</v>
      </c>
      <c r="G603" s="26" t="n">
        <v>0</v>
      </c>
    </row>
    <row r="604" customFormat="false" ht="15" hidden="false" customHeight="true" outlineLevel="0" collapsed="false">
      <c r="A604" s="1" t="s">
        <v>617</v>
      </c>
      <c r="B604" s="1" t="s">
        <v>424</v>
      </c>
      <c r="C604" s="1" t="s">
        <v>484</v>
      </c>
      <c r="D604" s="1" t="s">
        <v>272</v>
      </c>
      <c r="E604" s="73" t="n">
        <v>-12</v>
      </c>
      <c r="F604" s="26" t="n">
        <v>26.326</v>
      </c>
      <c r="G604" s="26" t="n">
        <v>-315.912</v>
      </c>
      <c r="H604" s="1" t="s">
        <v>624</v>
      </c>
    </row>
    <row r="605" customFormat="false" ht="15" hidden="false" customHeight="true" outlineLevel="0" collapsed="false">
      <c r="A605" s="1" t="s">
        <v>617</v>
      </c>
      <c r="B605" s="1" t="s">
        <v>424</v>
      </c>
      <c r="C605" s="1" t="s">
        <v>631</v>
      </c>
      <c r="D605" s="1" t="s">
        <v>272</v>
      </c>
      <c r="E605" s="73" t="n">
        <v>-1</v>
      </c>
      <c r="F605" s="26" t="n">
        <v>26.326</v>
      </c>
      <c r="G605" s="26" t="n">
        <v>-26.326</v>
      </c>
      <c r="H605" s="1" t="s">
        <v>437</v>
      </c>
    </row>
    <row r="606" customFormat="false" ht="15" hidden="false" customHeight="true" outlineLevel="0" collapsed="false">
      <c r="A606" s="1" t="s">
        <v>617</v>
      </c>
      <c r="B606" s="1" t="s">
        <v>424</v>
      </c>
      <c r="C606" s="1" t="s">
        <v>486</v>
      </c>
      <c r="D606" s="1" t="s">
        <v>272</v>
      </c>
      <c r="E606" s="73" t="n">
        <v>0</v>
      </c>
      <c r="F606" s="26" t="n">
        <v>0</v>
      </c>
      <c r="G606" s="26" t="n">
        <v>0</v>
      </c>
    </row>
    <row r="607" customFormat="false" ht="15" hidden="false" customHeight="true" outlineLevel="0" collapsed="false">
      <c r="A607" s="1" t="s">
        <v>617</v>
      </c>
      <c r="B607" s="1" t="s">
        <v>487</v>
      </c>
      <c r="C607" s="1" t="s">
        <v>488</v>
      </c>
      <c r="D607" s="1" t="s">
        <v>277</v>
      </c>
      <c r="E607" s="73" t="n">
        <v>6445</v>
      </c>
      <c r="F607" s="26" t="n">
        <v>0.253754640366083</v>
      </c>
      <c r="G607" s="26" t="n">
        <v>1635.4486571594</v>
      </c>
      <c r="H607" s="1" t="s">
        <v>410</v>
      </c>
    </row>
    <row r="608" customFormat="false" ht="15" hidden="false" customHeight="true" outlineLevel="0" collapsed="false">
      <c r="A608" s="1" t="s">
        <v>617</v>
      </c>
      <c r="B608" s="1" t="s">
        <v>487</v>
      </c>
      <c r="C608" s="1" t="s">
        <v>488</v>
      </c>
      <c r="D608" s="1" t="s">
        <v>279</v>
      </c>
      <c r="E608" s="73" t="n">
        <v>13418</v>
      </c>
      <c r="F608" s="26" t="n">
        <v>0.253754640366083</v>
      </c>
      <c r="G608" s="26" t="n">
        <v>3404.8797644321</v>
      </c>
      <c r="H608" s="1" t="s">
        <v>410</v>
      </c>
    </row>
    <row r="609" customFormat="false" ht="15" hidden="false" customHeight="true" outlineLevel="0" collapsed="false">
      <c r="A609" s="1" t="s">
        <v>617</v>
      </c>
      <c r="B609" s="1" t="s">
        <v>487</v>
      </c>
      <c r="C609" s="1" t="s">
        <v>488</v>
      </c>
      <c r="D609" s="1" t="s">
        <v>283</v>
      </c>
      <c r="E609" s="73" t="n">
        <v>3704</v>
      </c>
      <c r="F609" s="26" t="n">
        <v>0.253754640366083</v>
      </c>
      <c r="G609" s="26" t="n">
        <v>939.90718791597</v>
      </c>
      <c r="H609" s="1" t="s">
        <v>410</v>
      </c>
    </row>
    <row r="610" customFormat="false" ht="15" hidden="false" customHeight="true" outlineLevel="0" collapsed="false">
      <c r="A610" s="1" t="s">
        <v>617</v>
      </c>
      <c r="B610" s="1" t="s">
        <v>487</v>
      </c>
      <c r="C610" s="1" t="s">
        <v>488</v>
      </c>
      <c r="D610" s="1" t="s">
        <v>280</v>
      </c>
      <c r="E610" s="73" t="n">
        <v>6434</v>
      </c>
      <c r="F610" s="26" t="n">
        <v>0.253754640366083</v>
      </c>
      <c r="G610" s="26" t="n">
        <v>1632.65735611538</v>
      </c>
      <c r="H610" s="1" t="s">
        <v>410</v>
      </c>
    </row>
    <row r="611" customFormat="false" ht="15" hidden="false" customHeight="true" outlineLevel="0" collapsed="false">
      <c r="A611" s="1" t="s">
        <v>617</v>
      </c>
      <c r="B611" s="1" t="s">
        <v>487</v>
      </c>
      <c r="C611" s="1" t="s">
        <v>488</v>
      </c>
      <c r="D611" s="1" t="s">
        <v>274</v>
      </c>
      <c r="E611" s="73" t="n">
        <v>14441</v>
      </c>
      <c r="F611" s="26" t="n">
        <v>0.253754640366083</v>
      </c>
      <c r="G611" s="26" t="n">
        <v>3664.4707615266</v>
      </c>
      <c r="H611" s="1" t="s">
        <v>410</v>
      </c>
    </row>
    <row r="612" customFormat="false" ht="15" hidden="false" customHeight="true" outlineLevel="0" collapsed="false">
      <c r="A612" s="1" t="s">
        <v>617</v>
      </c>
      <c r="B612" s="1" t="s">
        <v>487</v>
      </c>
      <c r="C612" s="1" t="s">
        <v>488</v>
      </c>
      <c r="D612" s="1" t="s">
        <v>275</v>
      </c>
      <c r="E612" s="73" t="n">
        <v>4749</v>
      </c>
      <c r="F612" s="26" t="n">
        <v>0.253754640366083</v>
      </c>
      <c r="G612" s="26" t="n">
        <v>1205.08078709853</v>
      </c>
      <c r="H612" s="1" t="s">
        <v>410</v>
      </c>
    </row>
    <row r="613" customFormat="false" ht="15" hidden="false" customHeight="true" outlineLevel="0" collapsed="false">
      <c r="A613" s="1" t="s">
        <v>617</v>
      </c>
      <c r="B613" s="1" t="s">
        <v>487</v>
      </c>
      <c r="C613" s="1" t="s">
        <v>488</v>
      </c>
      <c r="D613" s="1" t="s">
        <v>272</v>
      </c>
      <c r="E613" s="73" t="n">
        <v>4795</v>
      </c>
      <c r="F613" s="26" t="n">
        <v>0.253754640366083</v>
      </c>
      <c r="G613" s="26" t="n">
        <v>1216.75350055537</v>
      </c>
      <c r="H613" s="1" t="s">
        <v>410</v>
      </c>
    </row>
    <row r="614" customFormat="false" ht="15" hidden="false" customHeight="true" outlineLevel="0" collapsed="false">
      <c r="A614" s="1" t="s">
        <v>617</v>
      </c>
      <c r="B614" s="1" t="s">
        <v>139</v>
      </c>
      <c r="C614" s="1" t="s">
        <v>491</v>
      </c>
      <c r="D614" s="1" t="s">
        <v>279</v>
      </c>
      <c r="E614" s="73" t="n">
        <v>13418</v>
      </c>
      <c r="F614" s="26" t="n">
        <v>0.105895207936646</v>
      </c>
      <c r="G614" s="26" t="n">
        <v>1420.9019</v>
      </c>
      <c r="H614" s="1" t="s">
        <v>410</v>
      </c>
    </row>
    <row r="615" customFormat="false" ht="15" hidden="false" customHeight="true" outlineLevel="0" collapsed="false">
      <c r="A615" s="1" t="s">
        <v>617</v>
      </c>
      <c r="B615" s="1" t="s">
        <v>45</v>
      </c>
      <c r="C615" s="1" t="s">
        <v>492</v>
      </c>
      <c r="D615" s="1" t="s">
        <v>277</v>
      </c>
      <c r="E615" s="73" t="n">
        <v>1</v>
      </c>
      <c r="F615" s="26" t="n">
        <v>9145.68</v>
      </c>
      <c r="G615" s="26" t="n">
        <v>9145.68</v>
      </c>
      <c r="H615" s="1" t="s">
        <v>493</v>
      </c>
    </row>
    <row r="616" customFormat="false" ht="15" hidden="false" customHeight="true" outlineLevel="0" collapsed="false">
      <c r="A616" s="1" t="s">
        <v>617</v>
      </c>
      <c r="B616" s="1" t="s">
        <v>45</v>
      </c>
      <c r="C616" s="1" t="s">
        <v>492</v>
      </c>
      <c r="D616" s="1" t="s">
        <v>283</v>
      </c>
      <c r="E616" s="73" t="n">
        <v>1</v>
      </c>
      <c r="F616" s="26" t="n">
        <v>3372.11</v>
      </c>
      <c r="G616" s="26" t="n">
        <v>3372.11</v>
      </c>
      <c r="H616" s="1" t="s">
        <v>493</v>
      </c>
    </row>
    <row r="617" customFormat="false" ht="15" hidden="false" customHeight="true" outlineLevel="0" collapsed="false">
      <c r="A617" s="1" t="s">
        <v>617</v>
      </c>
      <c r="B617" s="1" t="s">
        <v>45</v>
      </c>
      <c r="C617" s="1" t="s">
        <v>492</v>
      </c>
      <c r="D617" s="1" t="s">
        <v>275</v>
      </c>
      <c r="E617" s="73" t="n">
        <v>1</v>
      </c>
      <c r="F617" s="26" t="n">
        <v>15695.77</v>
      </c>
      <c r="G617" s="26" t="n">
        <v>15695.77</v>
      </c>
      <c r="H617" s="1" t="s">
        <v>493</v>
      </c>
    </row>
    <row r="618" customFormat="false" ht="15" hidden="false" customHeight="true" outlineLevel="0" collapsed="false">
      <c r="A618" s="1" t="s">
        <v>617</v>
      </c>
      <c r="B618" s="1" t="s">
        <v>45</v>
      </c>
      <c r="C618" s="1" t="s">
        <v>494</v>
      </c>
      <c r="D618" s="1" t="s">
        <v>272</v>
      </c>
      <c r="E618" s="73" t="n">
        <v>0</v>
      </c>
      <c r="F618" s="26" t="n">
        <v>0</v>
      </c>
      <c r="G618" s="26" t="n">
        <v>0</v>
      </c>
      <c r="H618" s="1" t="s">
        <v>495</v>
      </c>
    </row>
    <row r="619" customFormat="false" ht="15" hidden="false" customHeight="true" outlineLevel="0" collapsed="false">
      <c r="A619" s="1" t="s">
        <v>617</v>
      </c>
      <c r="B619" s="1" t="s">
        <v>50</v>
      </c>
      <c r="C619" s="1" t="s">
        <v>496</v>
      </c>
      <c r="D619" s="1" t="s">
        <v>277</v>
      </c>
      <c r="E619" s="73" t="n">
        <v>0</v>
      </c>
      <c r="F619" s="26" t="n">
        <v>0</v>
      </c>
      <c r="G619" s="26" t="n">
        <v>0</v>
      </c>
      <c r="H619" s="1" t="s">
        <v>497</v>
      </c>
    </row>
    <row r="620" customFormat="false" ht="15" hidden="false" customHeight="true" outlineLevel="0" collapsed="false">
      <c r="A620" s="1" t="s">
        <v>617</v>
      </c>
      <c r="B620" s="1" t="s">
        <v>50</v>
      </c>
      <c r="C620" s="1" t="s">
        <v>496</v>
      </c>
      <c r="D620" s="1" t="s">
        <v>279</v>
      </c>
      <c r="E620" s="73" t="n">
        <v>0</v>
      </c>
      <c r="F620" s="26" t="n">
        <v>0</v>
      </c>
      <c r="G620" s="26" t="n">
        <v>0</v>
      </c>
      <c r="H620" s="1" t="s">
        <v>497</v>
      </c>
    </row>
    <row r="621" customFormat="false" ht="15" hidden="false" customHeight="true" outlineLevel="0" collapsed="false">
      <c r="A621" s="1" t="s">
        <v>617</v>
      </c>
      <c r="B621" s="1" t="s">
        <v>50</v>
      </c>
      <c r="C621" s="1" t="s">
        <v>496</v>
      </c>
      <c r="D621" s="1" t="s">
        <v>283</v>
      </c>
      <c r="E621" s="73" t="n">
        <v>0</v>
      </c>
      <c r="F621" s="26" t="n">
        <v>0</v>
      </c>
      <c r="G621" s="26" t="n">
        <v>0</v>
      </c>
      <c r="H621" s="1" t="s">
        <v>497</v>
      </c>
    </row>
    <row r="622" customFormat="false" ht="15" hidden="false" customHeight="true" outlineLevel="0" collapsed="false">
      <c r="A622" s="1" t="s">
        <v>617</v>
      </c>
      <c r="B622" s="1" t="s">
        <v>50</v>
      </c>
      <c r="C622" s="1" t="s">
        <v>496</v>
      </c>
      <c r="D622" s="1" t="s">
        <v>280</v>
      </c>
      <c r="E622" s="73" t="n">
        <v>0</v>
      </c>
      <c r="F622" s="26" t="n">
        <v>0</v>
      </c>
      <c r="G622" s="26" t="n">
        <v>0</v>
      </c>
      <c r="H622" s="1" t="s">
        <v>498</v>
      </c>
    </row>
    <row r="623" customFormat="false" ht="15" hidden="false" customHeight="true" outlineLevel="0" collapsed="false">
      <c r="A623" s="1" t="s">
        <v>617</v>
      </c>
      <c r="B623" s="1" t="s">
        <v>50</v>
      </c>
      <c r="C623" s="1" t="s">
        <v>496</v>
      </c>
      <c r="D623" s="1" t="s">
        <v>280</v>
      </c>
      <c r="E623" s="73" t="n">
        <v>0</v>
      </c>
      <c r="F623" s="26" t="n">
        <v>0</v>
      </c>
      <c r="G623" s="26" t="n">
        <v>0</v>
      </c>
      <c r="H623" s="1" t="s">
        <v>497</v>
      </c>
    </row>
    <row r="624" customFormat="false" ht="15" hidden="false" customHeight="true" outlineLevel="0" collapsed="false">
      <c r="A624" s="1" t="s">
        <v>617</v>
      </c>
      <c r="B624" s="1" t="s">
        <v>50</v>
      </c>
      <c r="C624" s="1" t="s">
        <v>496</v>
      </c>
      <c r="D624" s="1" t="s">
        <v>274</v>
      </c>
      <c r="E624" s="73" t="n">
        <v>0</v>
      </c>
      <c r="F624" s="26" t="n">
        <v>0</v>
      </c>
      <c r="G624" s="26" t="n">
        <v>0</v>
      </c>
      <c r="H624" s="1" t="s">
        <v>499</v>
      </c>
    </row>
    <row r="625" customFormat="false" ht="15" hidden="false" customHeight="true" outlineLevel="0" collapsed="false">
      <c r="A625" s="1" t="s">
        <v>617</v>
      </c>
      <c r="B625" s="1" t="s">
        <v>50</v>
      </c>
      <c r="C625" s="1" t="s">
        <v>496</v>
      </c>
      <c r="D625" s="1" t="s">
        <v>274</v>
      </c>
      <c r="E625" s="73" t="n">
        <v>0</v>
      </c>
      <c r="F625" s="26" t="n">
        <v>0</v>
      </c>
      <c r="G625" s="26" t="n">
        <v>0</v>
      </c>
      <c r="H625" s="1" t="s">
        <v>497</v>
      </c>
    </row>
    <row r="626" customFormat="false" ht="15" hidden="false" customHeight="true" outlineLevel="0" collapsed="false">
      <c r="A626" s="1" t="s">
        <v>617</v>
      </c>
      <c r="B626" s="1" t="s">
        <v>50</v>
      </c>
      <c r="C626" s="1" t="s">
        <v>496</v>
      </c>
      <c r="D626" s="1" t="s">
        <v>275</v>
      </c>
      <c r="E626" s="73" t="n">
        <v>0</v>
      </c>
      <c r="F626" s="26" t="n">
        <v>0</v>
      </c>
      <c r="G626" s="26" t="n">
        <v>0</v>
      </c>
      <c r="H626" s="1" t="s">
        <v>497</v>
      </c>
    </row>
    <row r="627" customFormat="false" ht="15" hidden="false" customHeight="true" outlineLevel="0" collapsed="false">
      <c r="A627" s="1" t="s">
        <v>617</v>
      </c>
      <c r="B627" s="1" t="s">
        <v>50</v>
      </c>
      <c r="C627" s="1" t="s">
        <v>496</v>
      </c>
      <c r="D627" s="1" t="s">
        <v>272</v>
      </c>
      <c r="E627" s="73" t="n">
        <v>0</v>
      </c>
      <c r="F627" s="26" t="n">
        <v>0</v>
      </c>
      <c r="G627" s="26" t="n">
        <v>0</v>
      </c>
      <c r="H627" s="1" t="s">
        <v>497</v>
      </c>
    </row>
    <row r="628" customFormat="false" ht="15" hidden="false" customHeight="true" outlineLevel="0" collapsed="false">
      <c r="A628" s="1" t="s">
        <v>617</v>
      </c>
      <c r="B628" s="1" t="s">
        <v>500</v>
      </c>
      <c r="C628" s="1" t="s">
        <v>501</v>
      </c>
      <c r="D628" s="1" t="s">
        <v>277</v>
      </c>
      <c r="E628" s="73" t="n">
        <v>0</v>
      </c>
      <c r="F628" s="26" t="n">
        <v>0</v>
      </c>
      <c r="G628" s="26" t="n">
        <v>0</v>
      </c>
      <c r="H628" s="1" t="s">
        <v>502</v>
      </c>
    </row>
    <row r="629" customFormat="false" ht="15" hidden="false" customHeight="true" outlineLevel="0" collapsed="false">
      <c r="A629" s="1" t="s">
        <v>617</v>
      </c>
      <c r="B629" s="1" t="s">
        <v>500</v>
      </c>
      <c r="C629" s="1" t="s">
        <v>503</v>
      </c>
      <c r="D629" s="1" t="s">
        <v>277</v>
      </c>
      <c r="E629" s="73" t="n">
        <v>0</v>
      </c>
      <c r="F629" s="26" t="n">
        <v>0</v>
      </c>
      <c r="G629" s="26" t="n">
        <v>0</v>
      </c>
      <c r="H629" s="1" t="s">
        <v>504</v>
      </c>
    </row>
    <row r="630" customFormat="false" ht="15" hidden="false" customHeight="true" outlineLevel="0" collapsed="false">
      <c r="A630" s="1" t="s">
        <v>617</v>
      </c>
      <c r="B630" s="1" t="s">
        <v>500</v>
      </c>
      <c r="C630" s="1" t="s">
        <v>632</v>
      </c>
      <c r="D630" s="1" t="s">
        <v>277</v>
      </c>
      <c r="E630" s="73" t="n">
        <v>1</v>
      </c>
      <c r="F630" s="26" t="n">
        <v>96</v>
      </c>
      <c r="G630" s="26" t="n">
        <v>96</v>
      </c>
      <c r="H630" s="1" t="s">
        <v>633</v>
      </c>
    </row>
    <row r="631" customFormat="false" ht="15" hidden="false" customHeight="true" outlineLevel="0" collapsed="false">
      <c r="A631" s="1" t="s">
        <v>617</v>
      </c>
      <c r="B631" s="1" t="s">
        <v>500</v>
      </c>
      <c r="C631" s="1" t="s">
        <v>505</v>
      </c>
      <c r="D631" s="1" t="s">
        <v>277</v>
      </c>
      <c r="E631" s="73" t="n">
        <v>10</v>
      </c>
      <c r="F631" s="26" t="n">
        <v>20</v>
      </c>
      <c r="G631" s="26" t="n">
        <v>200</v>
      </c>
      <c r="H631" s="1" t="s">
        <v>506</v>
      </c>
    </row>
    <row r="632" customFormat="false" ht="15" hidden="false" customHeight="true" outlineLevel="0" collapsed="false">
      <c r="A632" s="1" t="s">
        <v>617</v>
      </c>
      <c r="B632" s="1" t="s">
        <v>500</v>
      </c>
      <c r="C632" s="1" t="s">
        <v>507</v>
      </c>
      <c r="D632" s="1" t="s">
        <v>277</v>
      </c>
      <c r="E632" s="73" t="n">
        <v>1</v>
      </c>
      <c r="F632" s="26" t="n">
        <v>682.73</v>
      </c>
      <c r="G632" s="26" t="n">
        <v>682.73</v>
      </c>
      <c r="H632" s="1" t="s">
        <v>634</v>
      </c>
    </row>
    <row r="633" customFormat="false" ht="15" hidden="false" customHeight="true" outlineLevel="0" collapsed="false">
      <c r="A633" s="1" t="s">
        <v>617</v>
      </c>
      <c r="B633" s="1" t="s">
        <v>500</v>
      </c>
      <c r="C633" s="1" t="s">
        <v>507</v>
      </c>
      <c r="D633" s="1" t="s">
        <v>277</v>
      </c>
      <c r="E633" s="73" t="n">
        <v>1</v>
      </c>
      <c r="F633" s="26" t="n">
        <v>894.25</v>
      </c>
      <c r="G633" s="26" t="n">
        <v>894.25</v>
      </c>
      <c r="H633" s="1" t="s">
        <v>635</v>
      </c>
    </row>
    <row r="634" customFormat="false" ht="15" hidden="false" customHeight="true" outlineLevel="0" collapsed="false">
      <c r="A634" s="1" t="s">
        <v>617</v>
      </c>
      <c r="B634" s="1" t="s">
        <v>500</v>
      </c>
      <c r="C634" s="1" t="s">
        <v>509</v>
      </c>
      <c r="D634" s="1" t="s">
        <v>277</v>
      </c>
      <c r="E634" s="73" t="n">
        <v>0</v>
      </c>
      <c r="F634" s="26" t="n">
        <v>0</v>
      </c>
      <c r="G634" s="26" t="n">
        <v>0</v>
      </c>
      <c r="H634" s="1" t="s">
        <v>633</v>
      </c>
    </row>
    <row r="635" customFormat="false" ht="15" hidden="false" customHeight="true" outlineLevel="0" collapsed="false">
      <c r="A635" s="1" t="s">
        <v>617</v>
      </c>
      <c r="B635" s="1" t="s">
        <v>500</v>
      </c>
      <c r="C635" s="1" t="s">
        <v>509</v>
      </c>
      <c r="D635" s="1" t="s">
        <v>277</v>
      </c>
      <c r="E635" s="73" t="n">
        <v>1</v>
      </c>
      <c r="F635" s="26" t="n">
        <v>86</v>
      </c>
      <c r="G635" s="26" t="n">
        <v>86</v>
      </c>
      <c r="H635" s="1" t="s">
        <v>635</v>
      </c>
    </row>
    <row r="636" customFormat="false" ht="15" hidden="false" customHeight="true" outlineLevel="0" collapsed="false">
      <c r="A636" s="1" t="s">
        <v>617</v>
      </c>
      <c r="B636" s="1" t="s">
        <v>500</v>
      </c>
      <c r="C636" s="1" t="s">
        <v>507</v>
      </c>
      <c r="D636" s="1" t="s">
        <v>279</v>
      </c>
      <c r="E636" s="73" t="n">
        <v>0</v>
      </c>
      <c r="F636" s="26" t="n">
        <v>0</v>
      </c>
      <c r="G636" s="26" t="n">
        <v>0</v>
      </c>
      <c r="H636" s="1" t="s">
        <v>508</v>
      </c>
    </row>
    <row r="637" customFormat="false" ht="15" hidden="false" customHeight="true" outlineLevel="0" collapsed="false">
      <c r="A637" s="1" t="s">
        <v>617</v>
      </c>
      <c r="B637" s="1" t="s">
        <v>500</v>
      </c>
      <c r="C637" s="1" t="s">
        <v>505</v>
      </c>
      <c r="D637" s="1" t="s">
        <v>283</v>
      </c>
      <c r="E637" s="73" t="n">
        <v>3</v>
      </c>
      <c r="F637" s="26" t="n">
        <v>20</v>
      </c>
      <c r="G637" s="26" t="n">
        <v>60</v>
      </c>
      <c r="H637" s="1" t="s">
        <v>506</v>
      </c>
    </row>
    <row r="638" customFormat="false" ht="15" hidden="false" customHeight="true" outlineLevel="0" collapsed="false">
      <c r="A638" s="1" t="s">
        <v>617</v>
      </c>
      <c r="B638" s="1" t="s">
        <v>500</v>
      </c>
      <c r="C638" s="1" t="s">
        <v>507</v>
      </c>
      <c r="D638" s="1" t="s">
        <v>283</v>
      </c>
      <c r="E638" s="73" t="n">
        <v>1</v>
      </c>
      <c r="F638" s="26" t="n">
        <v>556.03</v>
      </c>
      <c r="G638" s="26" t="n">
        <v>556.03</v>
      </c>
      <c r="H638" s="1" t="s">
        <v>633</v>
      </c>
    </row>
    <row r="639" customFormat="false" ht="15" hidden="false" customHeight="true" outlineLevel="0" collapsed="false">
      <c r="A639" s="1" t="s">
        <v>617</v>
      </c>
      <c r="B639" s="1" t="s">
        <v>500</v>
      </c>
      <c r="C639" s="1" t="s">
        <v>507</v>
      </c>
      <c r="D639" s="1" t="s">
        <v>283</v>
      </c>
      <c r="E639" s="73" t="n">
        <v>1</v>
      </c>
      <c r="F639" s="26" t="n">
        <v>447.78</v>
      </c>
      <c r="G639" s="26" t="n">
        <v>447.78</v>
      </c>
      <c r="H639" s="1" t="s">
        <v>635</v>
      </c>
    </row>
    <row r="640" customFormat="false" ht="15" hidden="false" customHeight="true" outlineLevel="0" collapsed="false">
      <c r="A640" s="1" t="s">
        <v>617</v>
      </c>
      <c r="B640" s="1" t="s">
        <v>500</v>
      </c>
      <c r="C640" s="1" t="s">
        <v>509</v>
      </c>
      <c r="D640" s="1" t="s">
        <v>283</v>
      </c>
      <c r="E640" s="73" t="n">
        <v>0</v>
      </c>
      <c r="F640" s="26" t="n">
        <v>0</v>
      </c>
      <c r="G640" s="26" t="n">
        <v>0</v>
      </c>
      <c r="H640" s="1" t="s">
        <v>510</v>
      </c>
    </row>
    <row r="641" customFormat="false" ht="15" hidden="false" customHeight="true" outlineLevel="0" collapsed="false">
      <c r="A641" s="1" t="s">
        <v>617</v>
      </c>
      <c r="B641" s="1" t="s">
        <v>500</v>
      </c>
      <c r="C641" s="1" t="s">
        <v>501</v>
      </c>
      <c r="D641" s="1" t="s">
        <v>280</v>
      </c>
      <c r="E641" s="73" t="n">
        <v>0</v>
      </c>
      <c r="F641" s="26" t="n">
        <v>0</v>
      </c>
      <c r="G641" s="26" t="n">
        <v>0</v>
      </c>
      <c r="H641" s="1" t="s">
        <v>511</v>
      </c>
    </row>
    <row r="642" customFormat="false" ht="15" hidden="false" customHeight="true" outlineLevel="0" collapsed="false">
      <c r="A642" s="1" t="s">
        <v>617</v>
      </c>
      <c r="B642" s="1" t="s">
        <v>500</v>
      </c>
      <c r="C642" s="1" t="s">
        <v>503</v>
      </c>
      <c r="D642" s="1" t="s">
        <v>280</v>
      </c>
      <c r="E642" s="73" t="n">
        <v>0</v>
      </c>
      <c r="F642" s="26" t="n">
        <v>0</v>
      </c>
      <c r="G642" s="26" t="n">
        <v>0</v>
      </c>
      <c r="H642" s="1" t="s">
        <v>512</v>
      </c>
    </row>
    <row r="643" customFormat="false" ht="15" hidden="false" customHeight="true" outlineLevel="0" collapsed="false">
      <c r="A643" s="1" t="s">
        <v>617</v>
      </c>
      <c r="B643" s="1" t="s">
        <v>500</v>
      </c>
      <c r="C643" s="1" t="s">
        <v>513</v>
      </c>
      <c r="D643" s="1" t="s">
        <v>280</v>
      </c>
      <c r="E643" s="73" t="n">
        <v>0</v>
      </c>
      <c r="F643" s="26" t="n">
        <v>0</v>
      </c>
      <c r="G643" s="26" t="n">
        <v>0</v>
      </c>
      <c r="H643" s="1" t="s">
        <v>633</v>
      </c>
    </row>
    <row r="644" customFormat="false" ht="15" hidden="false" customHeight="true" outlineLevel="0" collapsed="false">
      <c r="A644" s="1" t="s">
        <v>617</v>
      </c>
      <c r="B644" s="1" t="s">
        <v>500</v>
      </c>
      <c r="C644" s="1" t="s">
        <v>513</v>
      </c>
      <c r="D644" s="1" t="s">
        <v>280</v>
      </c>
      <c r="E644" s="73" t="n">
        <v>1</v>
      </c>
      <c r="F644" s="26" t="n">
        <v>1150</v>
      </c>
      <c r="G644" s="26" t="n">
        <v>1150</v>
      </c>
      <c r="H644" s="1" t="s">
        <v>635</v>
      </c>
    </row>
    <row r="645" customFormat="false" ht="15" hidden="false" customHeight="true" outlineLevel="0" collapsed="false">
      <c r="A645" s="1" t="s">
        <v>617</v>
      </c>
      <c r="B645" s="1" t="s">
        <v>500</v>
      </c>
      <c r="C645" s="1" t="s">
        <v>505</v>
      </c>
      <c r="D645" s="1" t="s">
        <v>280</v>
      </c>
      <c r="E645" s="73" t="n">
        <v>13</v>
      </c>
      <c r="F645" s="26" t="n">
        <v>20</v>
      </c>
      <c r="G645" s="26" t="n">
        <v>260</v>
      </c>
      <c r="H645" s="1" t="s">
        <v>506</v>
      </c>
    </row>
    <row r="646" customFormat="false" ht="15" hidden="false" customHeight="true" outlineLevel="0" collapsed="false">
      <c r="A646" s="1" t="s">
        <v>617</v>
      </c>
      <c r="B646" s="1" t="s">
        <v>500</v>
      </c>
      <c r="C646" s="1" t="s">
        <v>507</v>
      </c>
      <c r="D646" s="1" t="s">
        <v>280</v>
      </c>
      <c r="E646" s="73" t="n">
        <v>0</v>
      </c>
      <c r="F646" s="26" t="n">
        <v>0</v>
      </c>
      <c r="G646" s="26" t="n">
        <v>0</v>
      </c>
      <c r="H646" s="1" t="s">
        <v>508</v>
      </c>
    </row>
    <row r="647" customFormat="false" ht="15" hidden="false" customHeight="true" outlineLevel="0" collapsed="false">
      <c r="A647" s="1" t="s">
        <v>617</v>
      </c>
      <c r="B647" s="1" t="s">
        <v>500</v>
      </c>
      <c r="C647" s="1" t="s">
        <v>509</v>
      </c>
      <c r="D647" s="1" t="s">
        <v>280</v>
      </c>
      <c r="E647" s="73" t="n">
        <v>0</v>
      </c>
      <c r="F647" s="26" t="n">
        <v>0</v>
      </c>
      <c r="G647" s="26" t="n">
        <v>0</v>
      </c>
      <c r="H647" s="1" t="s">
        <v>633</v>
      </c>
    </row>
    <row r="648" customFormat="false" ht="15" hidden="false" customHeight="true" outlineLevel="0" collapsed="false">
      <c r="A648" s="1" t="s">
        <v>617</v>
      </c>
      <c r="B648" s="1" t="s">
        <v>500</v>
      </c>
      <c r="C648" s="1" t="s">
        <v>509</v>
      </c>
      <c r="D648" s="1" t="s">
        <v>280</v>
      </c>
      <c r="E648" s="73" t="n">
        <v>1</v>
      </c>
      <c r="F648" s="26" t="n">
        <v>475.21</v>
      </c>
      <c r="G648" s="26" t="n">
        <v>475.21</v>
      </c>
      <c r="H648" s="1" t="s">
        <v>635</v>
      </c>
    </row>
    <row r="649" customFormat="false" ht="15" hidden="false" customHeight="true" outlineLevel="0" collapsed="false">
      <c r="A649" s="1" t="s">
        <v>617</v>
      </c>
      <c r="B649" s="1" t="s">
        <v>500</v>
      </c>
      <c r="C649" s="1" t="s">
        <v>632</v>
      </c>
      <c r="D649" s="1" t="s">
        <v>274</v>
      </c>
      <c r="E649" s="73" t="n">
        <v>1</v>
      </c>
      <c r="F649" s="26" t="n">
        <v>132</v>
      </c>
      <c r="G649" s="26" t="n">
        <v>132</v>
      </c>
      <c r="H649" s="1" t="s">
        <v>633</v>
      </c>
    </row>
    <row r="650" customFormat="false" ht="15" hidden="false" customHeight="true" outlineLevel="0" collapsed="false">
      <c r="A650" s="1" t="s">
        <v>617</v>
      </c>
      <c r="B650" s="1" t="s">
        <v>500</v>
      </c>
      <c r="C650" s="1" t="s">
        <v>505</v>
      </c>
      <c r="D650" s="1" t="s">
        <v>274</v>
      </c>
      <c r="E650" s="73" t="n">
        <v>19</v>
      </c>
      <c r="F650" s="26" t="n">
        <v>20</v>
      </c>
      <c r="G650" s="26" t="n">
        <v>380</v>
      </c>
      <c r="H650" s="1" t="s">
        <v>506</v>
      </c>
    </row>
    <row r="651" customFormat="false" ht="15" hidden="false" customHeight="true" outlineLevel="0" collapsed="false">
      <c r="A651" s="1" t="s">
        <v>617</v>
      </c>
      <c r="B651" s="1" t="s">
        <v>500</v>
      </c>
      <c r="C651" s="1" t="s">
        <v>507</v>
      </c>
      <c r="D651" s="1" t="s">
        <v>274</v>
      </c>
      <c r="E651" s="73" t="n">
        <v>1</v>
      </c>
      <c r="F651" s="26" t="n">
        <v>1035.78</v>
      </c>
      <c r="G651" s="26" t="n">
        <v>1035.78</v>
      </c>
      <c r="H651" s="1" t="s">
        <v>633</v>
      </c>
    </row>
    <row r="652" customFormat="false" ht="15" hidden="false" customHeight="true" outlineLevel="0" collapsed="false">
      <c r="A652" s="1" t="s">
        <v>617</v>
      </c>
      <c r="B652" s="1" t="s">
        <v>500</v>
      </c>
      <c r="C652" s="1" t="s">
        <v>507</v>
      </c>
      <c r="D652" s="1" t="s">
        <v>274</v>
      </c>
      <c r="E652" s="73" t="n">
        <v>1</v>
      </c>
      <c r="F652" s="26" t="n">
        <v>1381.14</v>
      </c>
      <c r="G652" s="26" t="n">
        <v>1381.14</v>
      </c>
      <c r="H652" s="1" t="s">
        <v>635</v>
      </c>
    </row>
    <row r="653" customFormat="false" ht="15" hidden="false" customHeight="true" outlineLevel="0" collapsed="false">
      <c r="A653" s="1" t="s">
        <v>617</v>
      </c>
      <c r="B653" s="1" t="s">
        <v>500</v>
      </c>
      <c r="C653" s="1" t="s">
        <v>514</v>
      </c>
      <c r="D653" s="1" t="s">
        <v>274</v>
      </c>
      <c r="E653" s="73" t="n">
        <v>0</v>
      </c>
      <c r="F653" s="26" t="n">
        <v>0</v>
      </c>
      <c r="G653" s="26" t="n">
        <v>0</v>
      </c>
      <c r="H653" s="1" t="s">
        <v>633</v>
      </c>
    </row>
    <row r="654" customFormat="false" ht="15" hidden="false" customHeight="true" outlineLevel="0" collapsed="false">
      <c r="A654" s="1" t="s">
        <v>617</v>
      </c>
      <c r="B654" s="1" t="s">
        <v>500</v>
      </c>
      <c r="C654" s="1" t="s">
        <v>514</v>
      </c>
      <c r="D654" s="1" t="s">
        <v>274</v>
      </c>
      <c r="E654" s="73" t="n">
        <v>1</v>
      </c>
      <c r="F654" s="26" t="n">
        <v>264</v>
      </c>
      <c r="G654" s="26" t="n">
        <v>264</v>
      </c>
      <c r="H654" s="1" t="s">
        <v>635</v>
      </c>
    </row>
    <row r="655" customFormat="false" ht="15" hidden="false" customHeight="true" outlineLevel="0" collapsed="false">
      <c r="A655" s="1" t="s">
        <v>617</v>
      </c>
      <c r="B655" s="1" t="s">
        <v>500</v>
      </c>
      <c r="C655" s="1" t="s">
        <v>513</v>
      </c>
      <c r="D655" s="1" t="s">
        <v>275</v>
      </c>
      <c r="E655" s="73" t="n">
        <v>0</v>
      </c>
      <c r="F655" s="26" t="n">
        <v>0</v>
      </c>
      <c r="G655" s="26" t="n">
        <v>0</v>
      </c>
      <c r="H655" s="1" t="s">
        <v>515</v>
      </c>
    </row>
    <row r="656" customFormat="false" ht="15" hidden="false" customHeight="true" outlineLevel="0" collapsed="false">
      <c r="A656" s="1" t="s">
        <v>617</v>
      </c>
      <c r="B656" s="1" t="s">
        <v>500</v>
      </c>
      <c r="C656" s="1" t="s">
        <v>505</v>
      </c>
      <c r="D656" s="1" t="s">
        <v>275</v>
      </c>
      <c r="E656" s="73" t="n">
        <v>4</v>
      </c>
      <c r="F656" s="26" t="n">
        <v>20</v>
      </c>
      <c r="G656" s="26" t="n">
        <v>80</v>
      </c>
      <c r="H656" s="1" t="s">
        <v>506</v>
      </c>
    </row>
    <row r="657" customFormat="false" ht="15" hidden="false" customHeight="true" outlineLevel="0" collapsed="false">
      <c r="A657" s="1" t="s">
        <v>617</v>
      </c>
      <c r="B657" s="1" t="s">
        <v>500</v>
      </c>
      <c r="C657" s="1" t="s">
        <v>507</v>
      </c>
      <c r="D657" s="1" t="s">
        <v>275</v>
      </c>
      <c r="E657" s="73" t="n">
        <v>0</v>
      </c>
      <c r="F657" s="26" t="n">
        <v>0</v>
      </c>
      <c r="G657" s="26" t="n">
        <v>0</v>
      </c>
      <c r="H657" s="1" t="s">
        <v>508</v>
      </c>
    </row>
    <row r="658" customFormat="false" ht="15" hidden="false" customHeight="true" outlineLevel="0" collapsed="false">
      <c r="A658" s="1" t="s">
        <v>617</v>
      </c>
      <c r="B658" s="1" t="s">
        <v>500</v>
      </c>
      <c r="C658" s="1" t="s">
        <v>514</v>
      </c>
      <c r="D658" s="1" t="s">
        <v>275</v>
      </c>
      <c r="E658" s="73" t="n">
        <v>0</v>
      </c>
      <c r="F658" s="26" t="n">
        <v>0</v>
      </c>
      <c r="G658" s="26" t="n">
        <v>0</v>
      </c>
      <c r="H658" s="1" t="s">
        <v>510</v>
      </c>
    </row>
    <row r="659" customFormat="false" ht="15" hidden="false" customHeight="true" outlineLevel="0" collapsed="false">
      <c r="A659" s="1" t="s">
        <v>617</v>
      </c>
      <c r="B659" s="1" t="s">
        <v>500</v>
      </c>
      <c r="C659" s="1" t="s">
        <v>501</v>
      </c>
      <c r="D659" s="1" t="s">
        <v>272</v>
      </c>
      <c r="E659" s="73" t="n">
        <v>0</v>
      </c>
      <c r="F659" s="26" t="n">
        <v>0</v>
      </c>
      <c r="G659" s="26" t="n">
        <v>0</v>
      </c>
      <c r="H659" s="1" t="s">
        <v>516</v>
      </c>
    </row>
    <row r="660" customFormat="false" ht="15" hidden="false" customHeight="true" outlineLevel="0" collapsed="false">
      <c r="A660" s="1" t="s">
        <v>617</v>
      </c>
      <c r="B660" s="1" t="s">
        <v>500</v>
      </c>
      <c r="C660" s="1" t="s">
        <v>505</v>
      </c>
      <c r="D660" s="1" t="s">
        <v>272</v>
      </c>
      <c r="E660" s="73" t="n">
        <v>8</v>
      </c>
      <c r="F660" s="26" t="n">
        <v>20</v>
      </c>
      <c r="G660" s="26" t="n">
        <v>160</v>
      </c>
      <c r="H660" s="1" t="s">
        <v>506</v>
      </c>
    </row>
    <row r="661" customFormat="false" ht="15" hidden="false" customHeight="true" outlineLevel="0" collapsed="false">
      <c r="A661" s="1" t="s">
        <v>617</v>
      </c>
      <c r="B661" s="1" t="s">
        <v>500</v>
      </c>
      <c r="C661" s="1" t="s">
        <v>507</v>
      </c>
      <c r="D661" s="1" t="s">
        <v>272</v>
      </c>
      <c r="E661" s="73" t="n">
        <v>1</v>
      </c>
      <c r="F661" s="26" t="n">
        <v>1209.07</v>
      </c>
      <c r="G661" s="26" t="n">
        <v>1209.07</v>
      </c>
      <c r="H661" s="1" t="s">
        <v>633</v>
      </c>
    </row>
    <row r="662" customFormat="false" ht="15" hidden="false" customHeight="true" outlineLevel="0" collapsed="false">
      <c r="A662" s="1" t="s">
        <v>617</v>
      </c>
      <c r="B662" s="1" t="s">
        <v>500</v>
      </c>
      <c r="C662" s="1" t="s">
        <v>507</v>
      </c>
      <c r="D662" s="1" t="s">
        <v>272</v>
      </c>
      <c r="E662" s="73" t="n">
        <v>1</v>
      </c>
      <c r="F662" s="26" t="n">
        <v>497.22</v>
      </c>
      <c r="G662" s="26" t="n">
        <v>497.22</v>
      </c>
      <c r="H662" s="1" t="s">
        <v>635</v>
      </c>
    </row>
    <row r="663" customFormat="false" ht="15" hidden="false" customHeight="true" outlineLevel="0" collapsed="false">
      <c r="A663" s="1" t="s">
        <v>617</v>
      </c>
      <c r="B663" s="1" t="s">
        <v>500</v>
      </c>
      <c r="C663" s="1" t="s">
        <v>509</v>
      </c>
      <c r="D663" s="1" t="s">
        <v>272</v>
      </c>
      <c r="E663" s="73" t="n">
        <v>1</v>
      </c>
      <c r="F663" s="26" t="n">
        <v>230.72</v>
      </c>
      <c r="G663" s="26" t="n">
        <v>230.72</v>
      </c>
      <c r="H663" s="1" t="s">
        <v>633</v>
      </c>
    </row>
    <row r="664" customFormat="false" ht="15" hidden="false" customHeight="true" outlineLevel="0" collapsed="false">
      <c r="A664" s="1" t="s">
        <v>617</v>
      </c>
      <c r="B664" s="1" t="s">
        <v>500</v>
      </c>
      <c r="C664" s="1" t="s">
        <v>509</v>
      </c>
      <c r="D664" s="1" t="s">
        <v>272</v>
      </c>
      <c r="E664" s="73" t="n">
        <v>1</v>
      </c>
      <c r="F664" s="26" t="n">
        <v>381.6</v>
      </c>
      <c r="G664" s="26" t="n">
        <v>381.6</v>
      </c>
      <c r="H664" s="1" t="s">
        <v>635</v>
      </c>
    </row>
    <row r="665" customFormat="false" ht="15" hidden="false" customHeight="true" outlineLevel="0" collapsed="false">
      <c r="A665" s="1" t="s">
        <v>617</v>
      </c>
      <c r="B665" s="1" t="s">
        <v>517</v>
      </c>
      <c r="C665" s="1" t="s">
        <v>636</v>
      </c>
      <c r="D665" s="1" t="s">
        <v>277</v>
      </c>
      <c r="E665" s="73" t="n">
        <v>0</v>
      </c>
      <c r="F665" s="26" t="n">
        <v>0</v>
      </c>
      <c r="G665" s="26" t="n">
        <v>0</v>
      </c>
      <c r="H665" s="1" t="s">
        <v>521</v>
      </c>
    </row>
    <row r="666" customFormat="false" ht="15" hidden="false" customHeight="true" outlineLevel="0" collapsed="false">
      <c r="A666" s="1" t="s">
        <v>617</v>
      </c>
      <c r="B666" s="1" t="s">
        <v>517</v>
      </c>
      <c r="C666" s="1" t="s">
        <v>518</v>
      </c>
      <c r="D666" s="1" t="s">
        <v>277</v>
      </c>
      <c r="E666" s="73" t="n">
        <v>0</v>
      </c>
      <c r="F666" s="26" t="n">
        <v>0</v>
      </c>
      <c r="G666" s="26" t="n">
        <v>0</v>
      </c>
      <c r="H666" s="1" t="s">
        <v>519</v>
      </c>
    </row>
    <row r="667" customFormat="false" ht="15" hidden="false" customHeight="true" outlineLevel="0" collapsed="false">
      <c r="A667" s="1" t="s">
        <v>617</v>
      </c>
      <c r="B667" s="1" t="s">
        <v>517</v>
      </c>
      <c r="C667" s="1" t="s">
        <v>522</v>
      </c>
      <c r="D667" s="1" t="s">
        <v>277</v>
      </c>
      <c r="E667" s="73" t="n">
        <v>0</v>
      </c>
      <c r="F667" s="26" t="n">
        <v>0</v>
      </c>
      <c r="G667" s="26" t="n">
        <v>0</v>
      </c>
      <c r="H667" s="1" t="s">
        <v>523</v>
      </c>
    </row>
    <row r="668" customFormat="false" ht="15" hidden="false" customHeight="true" outlineLevel="0" collapsed="false">
      <c r="A668" s="1" t="s">
        <v>617</v>
      </c>
      <c r="B668" s="1" t="s">
        <v>517</v>
      </c>
      <c r="C668" s="1" t="s">
        <v>637</v>
      </c>
      <c r="D668" s="1" t="s">
        <v>277</v>
      </c>
      <c r="E668" s="73" t="n">
        <v>0</v>
      </c>
      <c r="F668" s="26" t="n">
        <v>0</v>
      </c>
      <c r="G668" s="26" t="n">
        <v>0</v>
      </c>
      <c r="H668" s="1" t="s">
        <v>525</v>
      </c>
    </row>
    <row r="669" customFormat="false" ht="15" hidden="false" customHeight="true" outlineLevel="0" collapsed="false">
      <c r="A669" s="1" t="s">
        <v>617</v>
      </c>
      <c r="B669" s="1" t="s">
        <v>517</v>
      </c>
      <c r="C669" s="1" t="s">
        <v>526</v>
      </c>
      <c r="D669" s="1" t="s">
        <v>279</v>
      </c>
      <c r="E669" s="73" t="n">
        <v>0</v>
      </c>
      <c r="F669" s="26" t="n">
        <v>0</v>
      </c>
      <c r="G669" s="26" t="n">
        <v>0</v>
      </c>
      <c r="H669" s="1" t="s">
        <v>527</v>
      </c>
    </row>
    <row r="670" customFormat="false" ht="15" hidden="false" customHeight="true" outlineLevel="0" collapsed="false">
      <c r="A670" s="1" t="s">
        <v>617</v>
      </c>
      <c r="B670" s="1" t="s">
        <v>517</v>
      </c>
      <c r="C670" s="1" t="s">
        <v>528</v>
      </c>
      <c r="D670" s="1" t="s">
        <v>279</v>
      </c>
      <c r="E670" s="73" t="n">
        <v>0</v>
      </c>
      <c r="F670" s="26" t="n">
        <v>0</v>
      </c>
      <c r="G670" s="26" t="n">
        <v>0</v>
      </c>
      <c r="H670" s="1" t="s">
        <v>529</v>
      </c>
    </row>
    <row r="671" customFormat="false" ht="15" hidden="false" customHeight="true" outlineLevel="0" collapsed="false">
      <c r="A671" s="1" t="s">
        <v>617</v>
      </c>
      <c r="B671" s="1" t="s">
        <v>517</v>
      </c>
      <c r="C671" s="1" t="s">
        <v>530</v>
      </c>
      <c r="D671" s="1" t="s">
        <v>283</v>
      </c>
      <c r="E671" s="73" t="n">
        <v>0</v>
      </c>
      <c r="F671" s="26" t="n">
        <v>0</v>
      </c>
      <c r="G671" s="26" t="n">
        <v>0</v>
      </c>
      <c r="H671" s="1" t="s">
        <v>531</v>
      </c>
    </row>
    <row r="672" customFormat="false" ht="15" hidden="false" customHeight="true" outlineLevel="0" collapsed="false">
      <c r="A672" s="1" t="s">
        <v>617</v>
      </c>
      <c r="B672" s="1" t="s">
        <v>517</v>
      </c>
      <c r="C672" s="1" t="s">
        <v>532</v>
      </c>
      <c r="D672" s="1" t="s">
        <v>283</v>
      </c>
      <c r="E672" s="73" t="n">
        <v>0</v>
      </c>
      <c r="F672" s="26" t="n">
        <v>0</v>
      </c>
      <c r="G672" s="26" t="n">
        <v>0</v>
      </c>
      <c r="H672" s="1" t="s">
        <v>533</v>
      </c>
    </row>
    <row r="673" customFormat="false" ht="15" hidden="false" customHeight="true" outlineLevel="0" collapsed="false">
      <c r="A673" s="1" t="s">
        <v>617</v>
      </c>
      <c r="B673" s="1" t="s">
        <v>517</v>
      </c>
      <c r="C673" s="1" t="s">
        <v>534</v>
      </c>
      <c r="D673" s="1" t="s">
        <v>283</v>
      </c>
      <c r="E673" s="73" t="n">
        <v>0</v>
      </c>
      <c r="F673" s="26" t="n">
        <v>0</v>
      </c>
      <c r="G673" s="26" t="n">
        <v>0</v>
      </c>
      <c r="H673" s="1" t="s">
        <v>527</v>
      </c>
    </row>
    <row r="674" customFormat="false" ht="15" hidden="false" customHeight="true" outlineLevel="0" collapsed="false">
      <c r="A674" s="1" t="s">
        <v>617</v>
      </c>
      <c r="B674" s="1" t="s">
        <v>517</v>
      </c>
      <c r="C674" s="1" t="s">
        <v>535</v>
      </c>
      <c r="D674" s="1" t="s">
        <v>283</v>
      </c>
      <c r="E674" s="73" t="n">
        <v>0</v>
      </c>
      <c r="F674" s="26" t="n">
        <v>0</v>
      </c>
      <c r="G674" s="26" t="n">
        <v>0</v>
      </c>
      <c r="H674" s="1" t="s">
        <v>536</v>
      </c>
    </row>
    <row r="675" customFormat="false" ht="15" hidden="false" customHeight="true" outlineLevel="0" collapsed="false">
      <c r="A675" s="1" t="s">
        <v>617</v>
      </c>
      <c r="B675" s="1" t="s">
        <v>517</v>
      </c>
      <c r="C675" s="1" t="s">
        <v>537</v>
      </c>
      <c r="D675" s="1" t="s">
        <v>283</v>
      </c>
      <c r="E675" s="73" t="n">
        <v>0</v>
      </c>
      <c r="F675" s="26" t="n">
        <v>0</v>
      </c>
      <c r="G675" s="26" t="n">
        <v>0</v>
      </c>
      <c r="H675" s="1" t="s">
        <v>536</v>
      </c>
    </row>
    <row r="676" customFormat="false" ht="15" hidden="false" customHeight="true" outlineLevel="0" collapsed="false">
      <c r="A676" s="1" t="s">
        <v>617</v>
      </c>
      <c r="B676" s="1" t="s">
        <v>517</v>
      </c>
      <c r="C676" s="1" t="s">
        <v>538</v>
      </c>
      <c r="D676" s="1" t="s">
        <v>283</v>
      </c>
      <c r="E676" s="73" t="n">
        <v>1</v>
      </c>
      <c r="F676" s="26" t="n">
        <v>3430.14</v>
      </c>
      <c r="G676" s="26" t="n">
        <v>3430.14</v>
      </c>
      <c r="H676" s="1" t="s">
        <v>539</v>
      </c>
    </row>
    <row r="677" customFormat="false" ht="15" hidden="false" customHeight="true" outlineLevel="0" collapsed="false">
      <c r="A677" s="1" t="s">
        <v>617</v>
      </c>
      <c r="B677" s="1" t="s">
        <v>517</v>
      </c>
      <c r="C677" s="1" t="s">
        <v>540</v>
      </c>
      <c r="D677" s="1" t="s">
        <v>280</v>
      </c>
      <c r="E677" s="73" t="n">
        <v>0</v>
      </c>
      <c r="F677" s="26" t="n">
        <v>0</v>
      </c>
      <c r="G677" s="26" t="n">
        <v>0</v>
      </c>
      <c r="H677" s="1" t="s">
        <v>527</v>
      </c>
    </row>
    <row r="678" customFormat="false" ht="15" hidden="false" customHeight="true" outlineLevel="0" collapsed="false">
      <c r="A678" s="1" t="s">
        <v>617</v>
      </c>
      <c r="B678" s="1" t="s">
        <v>517</v>
      </c>
      <c r="C678" s="1" t="s">
        <v>541</v>
      </c>
      <c r="D678" s="1" t="s">
        <v>280</v>
      </c>
      <c r="E678" s="73" t="n">
        <v>0</v>
      </c>
      <c r="F678" s="26" t="n">
        <v>0</v>
      </c>
      <c r="G678" s="26" t="n">
        <v>0</v>
      </c>
      <c r="H678" s="1" t="s">
        <v>542</v>
      </c>
    </row>
    <row r="679" customFormat="false" ht="15" hidden="false" customHeight="true" outlineLevel="0" collapsed="false">
      <c r="A679" s="1" t="s">
        <v>617</v>
      </c>
      <c r="B679" s="1" t="s">
        <v>517</v>
      </c>
      <c r="C679" s="1" t="s">
        <v>543</v>
      </c>
      <c r="D679" s="1" t="s">
        <v>274</v>
      </c>
      <c r="E679" s="73" t="n">
        <v>0</v>
      </c>
      <c r="F679" s="26" t="n">
        <v>0</v>
      </c>
      <c r="G679" s="26" t="n">
        <v>0</v>
      </c>
      <c r="H679" s="1" t="s">
        <v>544</v>
      </c>
    </row>
    <row r="680" customFormat="false" ht="15" hidden="false" customHeight="true" outlineLevel="0" collapsed="false">
      <c r="A680" s="1" t="s">
        <v>617</v>
      </c>
      <c r="B680" s="1" t="s">
        <v>517</v>
      </c>
      <c r="C680" s="1" t="s">
        <v>545</v>
      </c>
      <c r="D680" s="1" t="s">
        <v>274</v>
      </c>
      <c r="E680" s="73" t="n">
        <v>0</v>
      </c>
      <c r="F680" s="26" t="n">
        <v>0</v>
      </c>
      <c r="G680" s="26" t="n">
        <v>0</v>
      </c>
      <c r="H680" s="1" t="s">
        <v>519</v>
      </c>
    </row>
    <row r="681" customFormat="false" ht="15" hidden="false" customHeight="true" outlineLevel="0" collapsed="false">
      <c r="A681" s="1" t="s">
        <v>617</v>
      </c>
      <c r="B681" s="1" t="s">
        <v>517</v>
      </c>
      <c r="C681" s="1" t="s">
        <v>546</v>
      </c>
      <c r="D681" s="1" t="s">
        <v>274</v>
      </c>
      <c r="E681" s="73" t="n">
        <v>0</v>
      </c>
      <c r="F681" s="26" t="n">
        <v>0</v>
      </c>
      <c r="G681" s="26" t="n">
        <v>0</v>
      </c>
      <c r="H681" s="1" t="s">
        <v>523</v>
      </c>
    </row>
    <row r="682" customFormat="false" ht="15" hidden="false" customHeight="true" outlineLevel="0" collapsed="false">
      <c r="A682" s="1" t="s">
        <v>617</v>
      </c>
      <c r="B682" s="1" t="s">
        <v>517</v>
      </c>
      <c r="C682" s="1" t="s">
        <v>547</v>
      </c>
      <c r="D682" s="1" t="s">
        <v>274</v>
      </c>
      <c r="E682" s="73" t="n">
        <v>0</v>
      </c>
      <c r="F682" s="26" t="n">
        <v>0</v>
      </c>
      <c r="G682" s="26" t="n">
        <v>0</v>
      </c>
      <c r="H682" s="1" t="s">
        <v>529</v>
      </c>
    </row>
    <row r="683" customFormat="false" ht="15" hidden="false" customHeight="true" outlineLevel="0" collapsed="false">
      <c r="A683" s="1" t="s">
        <v>617</v>
      </c>
      <c r="B683" s="1" t="s">
        <v>517</v>
      </c>
      <c r="C683" s="1" t="s">
        <v>543</v>
      </c>
      <c r="D683" s="1" t="s">
        <v>275</v>
      </c>
      <c r="E683" s="73" t="n">
        <v>0</v>
      </c>
      <c r="F683" s="26" t="n">
        <v>0</v>
      </c>
      <c r="G683" s="26" t="n">
        <v>0</v>
      </c>
      <c r="H683" s="1" t="s">
        <v>527</v>
      </c>
    </row>
    <row r="684" customFormat="false" ht="15" hidden="false" customHeight="true" outlineLevel="0" collapsed="false">
      <c r="A684" s="1" t="s">
        <v>617</v>
      </c>
      <c r="B684" s="1" t="s">
        <v>517</v>
      </c>
      <c r="C684" s="1" t="s">
        <v>548</v>
      </c>
      <c r="D684" s="1" t="s">
        <v>275</v>
      </c>
      <c r="E684" s="73" t="n">
        <v>0</v>
      </c>
      <c r="F684" s="26" t="n">
        <v>0</v>
      </c>
      <c r="G684" s="26" t="n">
        <v>0</v>
      </c>
      <c r="H684" s="1" t="s">
        <v>527</v>
      </c>
    </row>
    <row r="685" customFormat="false" ht="15" hidden="false" customHeight="true" outlineLevel="0" collapsed="false">
      <c r="A685" s="1" t="s">
        <v>617</v>
      </c>
      <c r="B685" s="1" t="s">
        <v>517</v>
      </c>
      <c r="C685" s="1" t="s">
        <v>549</v>
      </c>
      <c r="D685" s="1" t="s">
        <v>275</v>
      </c>
      <c r="E685" s="73" t="n">
        <v>0</v>
      </c>
      <c r="F685" s="26" t="n">
        <v>0</v>
      </c>
      <c r="G685" s="26" t="n">
        <v>0</v>
      </c>
      <c r="H685" s="1" t="s">
        <v>542</v>
      </c>
    </row>
    <row r="686" customFormat="false" ht="15" hidden="false" customHeight="true" outlineLevel="0" collapsed="false">
      <c r="A686" s="1" t="s">
        <v>617</v>
      </c>
      <c r="B686" s="1" t="s">
        <v>517</v>
      </c>
      <c r="C686" s="1" t="s">
        <v>547</v>
      </c>
      <c r="D686" s="1" t="s">
        <v>275</v>
      </c>
      <c r="E686" s="73" t="n">
        <v>0</v>
      </c>
      <c r="F686" s="26" t="n">
        <v>0</v>
      </c>
      <c r="G686" s="26" t="n">
        <v>0</v>
      </c>
      <c r="H686" s="1" t="s">
        <v>550</v>
      </c>
    </row>
    <row r="687" customFormat="false" ht="15" hidden="false" customHeight="true" outlineLevel="0" collapsed="false">
      <c r="A687" s="1" t="s">
        <v>617</v>
      </c>
      <c r="B687" s="1" t="s">
        <v>517</v>
      </c>
      <c r="C687" s="1" t="s">
        <v>551</v>
      </c>
      <c r="D687" s="1" t="s">
        <v>272</v>
      </c>
      <c r="E687" s="73" t="n">
        <v>4795</v>
      </c>
      <c r="F687" s="26" t="n">
        <v>0.66</v>
      </c>
      <c r="G687" s="26" t="n">
        <v>3164.7</v>
      </c>
      <c r="H687" s="1" t="s">
        <v>410</v>
      </c>
    </row>
    <row r="688" customFormat="false" ht="15" hidden="false" customHeight="true" outlineLevel="0" collapsed="false">
      <c r="A688" s="1" t="s">
        <v>617</v>
      </c>
      <c r="B688" s="1" t="s">
        <v>517</v>
      </c>
      <c r="C688" s="1" t="s">
        <v>552</v>
      </c>
      <c r="D688" s="1" t="s">
        <v>272</v>
      </c>
      <c r="E688" s="73" t="n">
        <v>1</v>
      </c>
      <c r="F688" s="26" t="n">
        <v>2736.16</v>
      </c>
      <c r="G688" s="26" t="n">
        <v>2736.16</v>
      </c>
      <c r="H688" s="1" t="s">
        <v>527</v>
      </c>
    </row>
    <row r="689" customFormat="false" ht="15" hidden="false" customHeight="true" outlineLevel="0" collapsed="false">
      <c r="A689" s="1" t="s">
        <v>617</v>
      </c>
      <c r="B689" s="1" t="s">
        <v>517</v>
      </c>
      <c r="C689" s="1" t="s">
        <v>553</v>
      </c>
      <c r="D689" s="1" t="s">
        <v>272</v>
      </c>
      <c r="E689" s="73" t="n">
        <v>0</v>
      </c>
      <c r="F689" s="26" t="n">
        <v>0</v>
      </c>
      <c r="G689" s="26" t="n">
        <v>0</v>
      </c>
      <c r="H689" s="1" t="s">
        <v>527</v>
      </c>
    </row>
    <row r="690" customFormat="false" ht="15" hidden="false" customHeight="true" outlineLevel="0" collapsed="false">
      <c r="A690" s="1" t="s">
        <v>617</v>
      </c>
      <c r="B690" s="1" t="s">
        <v>517</v>
      </c>
      <c r="C690" s="1" t="s">
        <v>554</v>
      </c>
      <c r="D690" s="1" t="s">
        <v>272</v>
      </c>
      <c r="E690" s="73" t="n">
        <v>1</v>
      </c>
      <c r="F690" s="26" t="n">
        <v>13845.81</v>
      </c>
      <c r="G690" s="26" t="n">
        <v>13845.81</v>
      </c>
      <c r="H690" s="1" t="s">
        <v>550</v>
      </c>
    </row>
    <row r="691" customFormat="false" ht="15" hidden="false" customHeight="true" outlineLevel="0" collapsed="false">
      <c r="A691" s="1" t="s">
        <v>617</v>
      </c>
      <c r="B691" s="1" t="s">
        <v>517</v>
      </c>
      <c r="C691" s="1" t="s">
        <v>555</v>
      </c>
      <c r="D691" s="1" t="s">
        <v>272</v>
      </c>
      <c r="E691" s="73" t="n">
        <v>0</v>
      </c>
      <c r="F691" s="26" t="n">
        <v>0</v>
      </c>
      <c r="G691" s="26" t="n">
        <v>0</v>
      </c>
      <c r="H691" s="1" t="s">
        <v>542</v>
      </c>
    </row>
    <row r="692" customFormat="false" ht="15" hidden="false" customHeight="true" outlineLevel="0" collapsed="false">
      <c r="A692" s="1" t="s">
        <v>617</v>
      </c>
      <c r="B692" s="1" t="s">
        <v>556</v>
      </c>
      <c r="C692" s="1" t="s">
        <v>557</v>
      </c>
      <c r="D692" s="1" t="s">
        <v>279</v>
      </c>
      <c r="E692" s="73" t="n">
        <v>1</v>
      </c>
      <c r="F692" s="26" t="n">
        <v>238.88</v>
      </c>
      <c r="G692" s="26" t="n">
        <v>238.88</v>
      </c>
      <c r="H692" s="1" t="s">
        <v>611</v>
      </c>
    </row>
    <row r="693" customFormat="false" ht="15" hidden="false" customHeight="true" outlineLevel="0" collapsed="false">
      <c r="A693" s="1" t="s">
        <v>617</v>
      </c>
      <c r="B693" s="1" t="s">
        <v>556</v>
      </c>
      <c r="C693" s="1" t="s">
        <v>559</v>
      </c>
      <c r="D693" s="1" t="s">
        <v>279</v>
      </c>
      <c r="E693" s="73" t="n">
        <v>1</v>
      </c>
      <c r="F693" s="26" t="n">
        <v>609.17</v>
      </c>
      <c r="G693" s="26" t="n">
        <v>609.17</v>
      </c>
      <c r="H693" s="1" t="s">
        <v>611</v>
      </c>
    </row>
    <row r="694" customFormat="false" ht="15" hidden="false" customHeight="true" outlineLevel="0" collapsed="false">
      <c r="A694" s="1" t="s">
        <v>617</v>
      </c>
      <c r="B694" s="1" t="s">
        <v>556</v>
      </c>
      <c r="C694" s="1" t="s">
        <v>560</v>
      </c>
      <c r="D694" s="1" t="s">
        <v>279</v>
      </c>
      <c r="E694" s="73" t="n">
        <v>1</v>
      </c>
      <c r="F694" s="26" t="n">
        <v>510</v>
      </c>
      <c r="G694" s="26" t="n">
        <v>510</v>
      </c>
      <c r="H694" s="1" t="s">
        <v>611</v>
      </c>
    </row>
    <row r="695" customFormat="false" ht="15" hidden="false" customHeight="true" outlineLevel="0" collapsed="false">
      <c r="A695" s="1" t="s">
        <v>617</v>
      </c>
      <c r="B695" s="1" t="s">
        <v>556</v>
      </c>
      <c r="C695" s="1" t="s">
        <v>561</v>
      </c>
      <c r="D695" s="1" t="s">
        <v>279</v>
      </c>
      <c r="E695" s="73" t="n">
        <v>1</v>
      </c>
      <c r="F695" s="26" t="n">
        <v>333.1</v>
      </c>
      <c r="G695" s="26" t="n">
        <v>333.1</v>
      </c>
      <c r="H695" s="1" t="s">
        <v>611</v>
      </c>
    </row>
    <row r="696" customFormat="false" ht="15" hidden="false" customHeight="true" outlineLevel="0" collapsed="false">
      <c r="A696" s="1" t="s">
        <v>617</v>
      </c>
      <c r="B696" s="1" t="s">
        <v>556</v>
      </c>
      <c r="C696" s="1" t="s">
        <v>564</v>
      </c>
      <c r="D696" s="1" t="s">
        <v>279</v>
      </c>
      <c r="E696" s="73" t="n">
        <v>1</v>
      </c>
      <c r="F696" s="26" t="n">
        <v>2973.2</v>
      </c>
      <c r="G696" s="26" t="n">
        <v>2973.2</v>
      </c>
      <c r="H696" s="1" t="s">
        <v>611</v>
      </c>
    </row>
    <row r="697" customFormat="false" ht="15" hidden="false" customHeight="true" outlineLevel="0" collapsed="false">
      <c r="A697" s="1" t="s">
        <v>617</v>
      </c>
      <c r="B697" s="1" t="s">
        <v>556</v>
      </c>
      <c r="C697" s="1" t="s">
        <v>638</v>
      </c>
      <c r="D697" s="1" t="s">
        <v>279</v>
      </c>
      <c r="E697" s="73" t="n">
        <v>1</v>
      </c>
      <c r="F697" s="26" t="n">
        <v>1833.24</v>
      </c>
      <c r="G697" s="26" t="n">
        <v>1833.24</v>
      </c>
      <c r="H697" s="1" t="s">
        <v>611</v>
      </c>
    </row>
    <row r="698" customFormat="false" ht="15" hidden="false" customHeight="true" outlineLevel="0" collapsed="false">
      <c r="A698" s="1" t="s">
        <v>617</v>
      </c>
      <c r="B698" s="1" t="s">
        <v>556</v>
      </c>
      <c r="C698" s="1" t="s">
        <v>565</v>
      </c>
      <c r="D698" s="1" t="s">
        <v>279</v>
      </c>
      <c r="E698" s="73" t="n">
        <v>1</v>
      </c>
      <c r="F698" s="26" t="n">
        <v>7615.46</v>
      </c>
      <c r="G698" s="26" t="n">
        <v>7615.46</v>
      </c>
      <c r="H698" s="1" t="s">
        <v>611</v>
      </c>
    </row>
    <row r="699" customFormat="false" ht="15" hidden="false" customHeight="true" outlineLevel="0" collapsed="false">
      <c r="A699" s="1" t="s">
        <v>617</v>
      </c>
      <c r="B699" s="1" t="s">
        <v>556</v>
      </c>
      <c r="C699" s="1" t="s">
        <v>639</v>
      </c>
      <c r="D699" s="1" t="s">
        <v>280</v>
      </c>
      <c r="E699" s="73" t="n">
        <v>-1</v>
      </c>
      <c r="F699" s="26" t="n">
        <v>1046.56</v>
      </c>
      <c r="G699" s="26" t="n">
        <v>-1046.56</v>
      </c>
      <c r="H699" s="1" t="s">
        <v>640</v>
      </c>
    </row>
    <row r="700" customFormat="false" ht="15" hidden="false" customHeight="true" outlineLevel="0" collapsed="false">
      <c r="A700" s="1" t="s">
        <v>617</v>
      </c>
      <c r="B700" s="1" t="s">
        <v>556</v>
      </c>
      <c r="C700" s="1" t="s">
        <v>557</v>
      </c>
      <c r="D700" s="1" t="s">
        <v>280</v>
      </c>
      <c r="E700" s="73" t="n">
        <v>-1</v>
      </c>
      <c r="F700" s="26" t="n">
        <v>238.88</v>
      </c>
      <c r="G700" s="26" t="n">
        <v>-238.88</v>
      </c>
      <c r="H700" s="1" t="s">
        <v>568</v>
      </c>
    </row>
    <row r="701" customFormat="false" ht="15" hidden="false" customHeight="true" outlineLevel="0" collapsed="false">
      <c r="A701" s="1" t="s">
        <v>617</v>
      </c>
      <c r="B701" s="1" t="s">
        <v>556</v>
      </c>
      <c r="C701" s="1" t="s">
        <v>557</v>
      </c>
      <c r="D701" s="1" t="s">
        <v>280</v>
      </c>
      <c r="E701" s="73" t="n">
        <v>-1</v>
      </c>
      <c r="F701" s="26" t="n">
        <v>238.88</v>
      </c>
      <c r="G701" s="26" t="n">
        <v>-238.88</v>
      </c>
      <c r="H701" s="1" t="s">
        <v>611</v>
      </c>
    </row>
    <row r="702" customFormat="false" ht="15" hidden="false" customHeight="true" outlineLevel="0" collapsed="false">
      <c r="A702" s="1" t="s">
        <v>617</v>
      </c>
      <c r="B702" s="1" t="s">
        <v>556</v>
      </c>
      <c r="C702" s="1" t="s">
        <v>560</v>
      </c>
      <c r="D702" s="1" t="s">
        <v>272</v>
      </c>
      <c r="E702" s="73" t="n">
        <v>1</v>
      </c>
      <c r="F702" s="26" t="n">
        <v>67.33</v>
      </c>
      <c r="G702" s="26" t="n">
        <v>67.33</v>
      </c>
      <c r="H702" s="1" t="s">
        <v>570</v>
      </c>
    </row>
    <row r="703" customFormat="false" ht="15" hidden="false" customHeight="true" outlineLevel="0" collapsed="false">
      <c r="A703" s="1" t="s">
        <v>617</v>
      </c>
      <c r="B703" s="1" t="s">
        <v>556</v>
      </c>
      <c r="C703" s="1" t="s">
        <v>560</v>
      </c>
      <c r="D703" s="1" t="s">
        <v>272</v>
      </c>
      <c r="E703" s="73" t="n">
        <v>-1</v>
      </c>
      <c r="F703" s="26" t="n">
        <v>510</v>
      </c>
      <c r="G703" s="26" t="n">
        <v>-510</v>
      </c>
      <c r="H703" s="1" t="s">
        <v>611</v>
      </c>
    </row>
    <row r="704" customFormat="false" ht="15" hidden="false" customHeight="true" outlineLevel="0" collapsed="false">
      <c r="A704" s="1" t="s">
        <v>617</v>
      </c>
      <c r="B704" s="1" t="s">
        <v>47</v>
      </c>
      <c r="C704" s="1" t="s">
        <v>571</v>
      </c>
      <c r="D704" s="1" t="s">
        <v>277</v>
      </c>
      <c r="E704" s="73" t="n">
        <v>0</v>
      </c>
      <c r="F704" s="26" t="n">
        <v>0</v>
      </c>
      <c r="G704" s="26" t="n">
        <v>0</v>
      </c>
      <c r="H704" s="1" t="s">
        <v>572</v>
      </c>
    </row>
    <row r="705" customFormat="false" ht="15" hidden="false" customHeight="true" outlineLevel="0" collapsed="false">
      <c r="A705" s="1" t="s">
        <v>617</v>
      </c>
      <c r="B705" s="1" t="s">
        <v>47</v>
      </c>
      <c r="C705" s="1" t="s">
        <v>571</v>
      </c>
      <c r="D705" s="1" t="s">
        <v>279</v>
      </c>
      <c r="E705" s="73" t="n">
        <v>0</v>
      </c>
      <c r="F705" s="26" t="n">
        <v>0</v>
      </c>
      <c r="G705" s="26" t="n">
        <v>0</v>
      </c>
      <c r="H705" s="1" t="s">
        <v>573</v>
      </c>
    </row>
    <row r="706" customFormat="false" ht="15" hidden="false" customHeight="true" outlineLevel="0" collapsed="false">
      <c r="A706" s="1" t="s">
        <v>617</v>
      </c>
      <c r="B706" s="1" t="s">
        <v>47</v>
      </c>
      <c r="C706" s="1" t="s">
        <v>571</v>
      </c>
      <c r="D706" s="1" t="s">
        <v>283</v>
      </c>
      <c r="E706" s="73" t="n">
        <v>0</v>
      </c>
      <c r="F706" s="26" t="n">
        <v>0</v>
      </c>
      <c r="G706" s="26" t="n">
        <v>0</v>
      </c>
      <c r="H706" s="1" t="s">
        <v>574</v>
      </c>
    </row>
    <row r="707" customFormat="false" ht="15" hidden="false" customHeight="true" outlineLevel="0" collapsed="false">
      <c r="A707" s="1" t="s">
        <v>617</v>
      </c>
      <c r="B707" s="1" t="s">
        <v>47</v>
      </c>
      <c r="C707" s="1" t="s">
        <v>571</v>
      </c>
      <c r="D707" s="1" t="s">
        <v>280</v>
      </c>
      <c r="E707" s="73" t="n">
        <v>0</v>
      </c>
      <c r="F707" s="26" t="n">
        <v>0</v>
      </c>
      <c r="G707" s="26" t="n">
        <v>0</v>
      </c>
      <c r="H707" s="1" t="s">
        <v>575</v>
      </c>
    </row>
    <row r="708" customFormat="false" ht="15" hidden="false" customHeight="true" outlineLevel="0" collapsed="false">
      <c r="A708" s="1" t="s">
        <v>617</v>
      </c>
      <c r="B708" s="1" t="s">
        <v>47</v>
      </c>
      <c r="C708" s="1" t="s">
        <v>571</v>
      </c>
      <c r="D708" s="1" t="s">
        <v>274</v>
      </c>
      <c r="E708" s="73" t="n">
        <v>0</v>
      </c>
      <c r="F708" s="26" t="n">
        <v>0</v>
      </c>
      <c r="G708" s="26" t="n">
        <v>0</v>
      </c>
      <c r="H708" s="1" t="s">
        <v>576</v>
      </c>
    </row>
    <row r="709" customFormat="false" ht="15" hidden="false" customHeight="true" outlineLevel="0" collapsed="false">
      <c r="A709" s="1" t="s">
        <v>617</v>
      </c>
      <c r="B709" s="1" t="s">
        <v>47</v>
      </c>
      <c r="C709" s="1" t="s">
        <v>571</v>
      </c>
      <c r="D709" s="1" t="s">
        <v>275</v>
      </c>
      <c r="E709" s="73" t="n">
        <v>0</v>
      </c>
      <c r="F709" s="26" t="n">
        <v>0</v>
      </c>
      <c r="G709" s="26" t="n">
        <v>0</v>
      </c>
      <c r="H709" s="1" t="s">
        <v>574</v>
      </c>
    </row>
    <row r="710" customFormat="false" ht="15" hidden="false" customHeight="true" outlineLevel="0" collapsed="false">
      <c r="A710" s="1" t="s">
        <v>617</v>
      </c>
      <c r="B710" s="1" t="s">
        <v>47</v>
      </c>
      <c r="C710" s="1" t="s">
        <v>571</v>
      </c>
      <c r="D710" s="1" t="s">
        <v>272</v>
      </c>
      <c r="E710" s="73" t="n">
        <v>0</v>
      </c>
      <c r="F710" s="26" t="n">
        <v>0</v>
      </c>
      <c r="G710" s="26" t="n">
        <v>0</v>
      </c>
      <c r="H710" s="1" t="s">
        <v>577</v>
      </c>
    </row>
    <row r="711" customFormat="false" ht="15" hidden="false" customHeight="true" outlineLevel="0" collapsed="false">
      <c r="A711" s="1" t="s">
        <v>617</v>
      </c>
      <c r="B711" s="1" t="s">
        <v>85</v>
      </c>
      <c r="C711" s="1" t="s">
        <v>578</v>
      </c>
      <c r="D711" s="1" t="s">
        <v>265</v>
      </c>
      <c r="E711" s="73" t="n">
        <v>144</v>
      </c>
      <c r="F711" s="26" t="n">
        <v>123.13</v>
      </c>
      <c r="G711" s="26" t="n">
        <v>17730.72</v>
      </c>
      <c r="H711" s="1" t="s">
        <v>615</v>
      </c>
    </row>
    <row r="712" customFormat="false" ht="15" hidden="false" customHeight="true" outlineLevel="0" collapsed="false">
      <c r="A712" s="1" t="s">
        <v>617</v>
      </c>
      <c r="B712" s="1" t="s">
        <v>85</v>
      </c>
      <c r="C712" s="1" t="s">
        <v>578</v>
      </c>
      <c r="D712" s="1" t="s">
        <v>277</v>
      </c>
      <c r="E712" s="73" t="n">
        <v>3</v>
      </c>
      <c r="F712" s="26" t="n">
        <v>155.82</v>
      </c>
      <c r="G712" s="26" t="n">
        <v>467.46</v>
      </c>
      <c r="H712" s="1" t="s">
        <v>615</v>
      </c>
    </row>
    <row r="713" customFormat="false" ht="15" hidden="false" customHeight="true" outlineLevel="0" collapsed="false">
      <c r="A713" s="1" t="s">
        <v>617</v>
      </c>
      <c r="B713" s="1" t="s">
        <v>85</v>
      </c>
      <c r="C713" s="1" t="s">
        <v>578</v>
      </c>
      <c r="D713" s="1" t="s">
        <v>279</v>
      </c>
      <c r="E713" s="73" t="n">
        <v>18</v>
      </c>
      <c r="F713" s="26" t="n">
        <v>139.33</v>
      </c>
      <c r="G713" s="26" t="n">
        <v>2507.94</v>
      </c>
      <c r="H713" s="1" t="s">
        <v>580</v>
      </c>
    </row>
    <row r="714" customFormat="false" ht="15" hidden="false" customHeight="true" outlineLevel="0" collapsed="false">
      <c r="A714" s="1" t="s">
        <v>617</v>
      </c>
      <c r="B714" s="1" t="s">
        <v>85</v>
      </c>
      <c r="C714" s="1" t="s">
        <v>578</v>
      </c>
      <c r="D714" s="1" t="s">
        <v>283</v>
      </c>
      <c r="E714" s="73" t="n">
        <v>15</v>
      </c>
      <c r="F714" s="26" t="n">
        <v>158.22</v>
      </c>
      <c r="G714" s="26" t="n">
        <v>2373.3</v>
      </c>
      <c r="H714" s="1" t="s">
        <v>580</v>
      </c>
    </row>
    <row r="715" customFormat="false" ht="15" hidden="false" customHeight="true" outlineLevel="0" collapsed="false">
      <c r="A715" s="1" t="s">
        <v>617</v>
      </c>
      <c r="B715" s="1" t="s">
        <v>85</v>
      </c>
      <c r="C715" s="1" t="s">
        <v>578</v>
      </c>
      <c r="D715" s="1" t="s">
        <v>280</v>
      </c>
      <c r="E715" s="73" t="n">
        <v>26</v>
      </c>
      <c r="F715" s="26" t="n">
        <v>155.59</v>
      </c>
      <c r="G715" s="26" t="n">
        <v>4045.34</v>
      </c>
      <c r="H715" s="1" t="s">
        <v>580</v>
      </c>
    </row>
    <row r="716" customFormat="false" ht="15" hidden="false" customHeight="true" outlineLevel="0" collapsed="false">
      <c r="A716" s="1" t="s">
        <v>617</v>
      </c>
      <c r="B716" s="1" t="s">
        <v>85</v>
      </c>
      <c r="C716" s="1" t="s">
        <v>578</v>
      </c>
      <c r="D716" s="1" t="s">
        <v>274</v>
      </c>
      <c r="E716" s="73" t="n">
        <v>11</v>
      </c>
      <c r="F716" s="26" t="n">
        <v>106.24</v>
      </c>
      <c r="G716" s="26" t="n">
        <v>1168.64</v>
      </c>
      <c r="H716" s="1" t="s">
        <v>580</v>
      </c>
    </row>
    <row r="717" customFormat="false" ht="15" hidden="false" customHeight="true" outlineLevel="0" collapsed="false">
      <c r="A717" s="1" t="s">
        <v>617</v>
      </c>
      <c r="B717" s="1" t="s">
        <v>85</v>
      </c>
      <c r="C717" s="1" t="s">
        <v>578</v>
      </c>
      <c r="D717" s="1" t="s">
        <v>275</v>
      </c>
      <c r="E717" s="73" t="n">
        <v>2</v>
      </c>
      <c r="F717" s="26" t="n">
        <v>143.82</v>
      </c>
      <c r="G717" s="26" t="n">
        <v>287.64</v>
      </c>
      <c r="H717" s="1" t="s">
        <v>580</v>
      </c>
    </row>
    <row r="718" customFormat="false" ht="15" hidden="false" customHeight="true" outlineLevel="0" collapsed="false">
      <c r="A718" s="1" t="s">
        <v>617</v>
      </c>
      <c r="B718" s="1" t="s">
        <v>85</v>
      </c>
      <c r="C718" s="1" t="s">
        <v>578</v>
      </c>
      <c r="D718" s="1" t="s">
        <v>272</v>
      </c>
      <c r="E718" s="73" t="n">
        <v>10</v>
      </c>
      <c r="F718" s="26" t="n">
        <v>146.53</v>
      </c>
      <c r="G718" s="26" t="n">
        <v>1465.3</v>
      </c>
      <c r="H718" s="1" t="s">
        <v>580</v>
      </c>
    </row>
    <row r="719" customFormat="false" ht="15" hidden="false" customHeight="true" outlineLevel="0" collapsed="false">
      <c r="A719" s="1" t="s">
        <v>617</v>
      </c>
      <c r="B719" s="1" t="s">
        <v>85</v>
      </c>
      <c r="C719" s="1" t="s">
        <v>578</v>
      </c>
      <c r="D719" s="1" t="s">
        <v>272</v>
      </c>
      <c r="E719" s="73" t="n">
        <v>10</v>
      </c>
      <c r="F719" s="26" t="n">
        <v>122.11</v>
      </c>
      <c r="G719" s="26" t="n">
        <v>1221.1</v>
      </c>
      <c r="H719" s="1" t="s">
        <v>615</v>
      </c>
    </row>
    <row r="720" customFormat="false" ht="15" hidden="false" customHeight="true" outlineLevel="0" collapsed="false">
      <c r="A720" s="1" t="s">
        <v>617</v>
      </c>
      <c r="B720" s="1" t="s">
        <v>32</v>
      </c>
      <c r="C720" s="1" t="s">
        <v>581</v>
      </c>
      <c r="D720" s="1" t="s">
        <v>277</v>
      </c>
      <c r="E720" s="73" t="n">
        <v>0</v>
      </c>
      <c r="F720" s="26" t="n">
        <v>0</v>
      </c>
      <c r="G720" s="26" t="n">
        <v>0</v>
      </c>
      <c r="H720" s="1" t="s">
        <v>582</v>
      </c>
    </row>
    <row r="721" customFormat="false" ht="15" hidden="false" customHeight="true" outlineLevel="0" collapsed="false">
      <c r="A721" s="1" t="s">
        <v>617</v>
      </c>
      <c r="B721" s="1" t="s">
        <v>32</v>
      </c>
      <c r="C721" s="1" t="s">
        <v>583</v>
      </c>
      <c r="D721" s="1" t="s">
        <v>277</v>
      </c>
      <c r="E721" s="73" t="n">
        <v>0</v>
      </c>
      <c r="F721" s="26" t="n">
        <v>0</v>
      </c>
      <c r="G721" s="26" t="n">
        <v>0</v>
      </c>
      <c r="H721" s="1" t="s">
        <v>584</v>
      </c>
    </row>
    <row r="722" customFormat="false" ht="15" hidden="false" customHeight="true" outlineLevel="0" collapsed="false">
      <c r="A722" s="1" t="s">
        <v>617</v>
      </c>
      <c r="B722" s="1" t="s">
        <v>32</v>
      </c>
      <c r="C722" s="1" t="s">
        <v>581</v>
      </c>
      <c r="D722" s="1" t="s">
        <v>279</v>
      </c>
      <c r="E722" s="73" t="n">
        <v>0</v>
      </c>
      <c r="F722" s="26" t="n">
        <v>0</v>
      </c>
      <c r="G722" s="26" t="n">
        <v>0</v>
      </c>
      <c r="H722" s="1" t="s">
        <v>582</v>
      </c>
    </row>
    <row r="723" customFormat="false" ht="15" hidden="false" customHeight="true" outlineLevel="0" collapsed="false">
      <c r="A723" s="1" t="s">
        <v>617</v>
      </c>
      <c r="B723" s="1" t="s">
        <v>32</v>
      </c>
      <c r="C723" s="1" t="s">
        <v>581</v>
      </c>
      <c r="D723" s="1" t="s">
        <v>279</v>
      </c>
      <c r="E723" s="73" t="n">
        <v>0</v>
      </c>
      <c r="F723" s="26" t="n">
        <v>0</v>
      </c>
      <c r="G723" s="26" t="n">
        <v>0</v>
      </c>
      <c r="H723" s="1" t="s">
        <v>582</v>
      </c>
    </row>
    <row r="724" customFormat="false" ht="15" hidden="false" customHeight="true" outlineLevel="0" collapsed="false">
      <c r="A724" s="1" t="s">
        <v>617</v>
      </c>
      <c r="B724" s="1" t="s">
        <v>32</v>
      </c>
      <c r="C724" s="1" t="s">
        <v>583</v>
      </c>
      <c r="D724" s="1" t="s">
        <v>279</v>
      </c>
      <c r="E724" s="73" t="n">
        <v>0</v>
      </c>
      <c r="F724" s="26" t="n">
        <v>0</v>
      </c>
      <c r="G724" s="26" t="n">
        <v>0</v>
      </c>
      <c r="H724" s="1" t="s">
        <v>584</v>
      </c>
    </row>
    <row r="725" customFormat="false" ht="15" hidden="false" customHeight="true" outlineLevel="0" collapsed="false">
      <c r="A725" s="1" t="s">
        <v>617</v>
      </c>
      <c r="B725" s="1" t="s">
        <v>32</v>
      </c>
      <c r="C725" s="1" t="s">
        <v>581</v>
      </c>
      <c r="D725" s="1" t="s">
        <v>283</v>
      </c>
      <c r="E725" s="73" t="n">
        <v>0</v>
      </c>
      <c r="F725" s="26" t="n">
        <v>0</v>
      </c>
      <c r="G725" s="26" t="n">
        <v>0</v>
      </c>
      <c r="H725" s="1" t="s">
        <v>582</v>
      </c>
    </row>
    <row r="726" customFormat="false" ht="15" hidden="false" customHeight="true" outlineLevel="0" collapsed="false">
      <c r="A726" s="1" t="s">
        <v>617</v>
      </c>
      <c r="B726" s="1" t="s">
        <v>32</v>
      </c>
      <c r="C726" s="1" t="s">
        <v>583</v>
      </c>
      <c r="D726" s="1" t="s">
        <v>283</v>
      </c>
      <c r="E726" s="73" t="n">
        <v>0</v>
      </c>
      <c r="F726" s="26" t="n">
        <v>0</v>
      </c>
      <c r="G726" s="26" t="n">
        <v>0</v>
      </c>
      <c r="H726" s="1" t="s">
        <v>585</v>
      </c>
    </row>
    <row r="727" customFormat="false" ht="15" hidden="false" customHeight="true" outlineLevel="0" collapsed="false">
      <c r="A727" s="1" t="s">
        <v>617</v>
      </c>
      <c r="B727" s="1" t="s">
        <v>32</v>
      </c>
      <c r="C727" s="1" t="s">
        <v>581</v>
      </c>
      <c r="D727" s="1" t="s">
        <v>280</v>
      </c>
      <c r="E727" s="73" t="n">
        <v>0</v>
      </c>
      <c r="F727" s="26" t="n">
        <v>0</v>
      </c>
      <c r="G727" s="26" t="n">
        <v>0</v>
      </c>
      <c r="H727" s="1" t="s">
        <v>582</v>
      </c>
    </row>
    <row r="728" customFormat="false" ht="15" hidden="false" customHeight="true" outlineLevel="0" collapsed="false">
      <c r="A728" s="1" t="s">
        <v>617</v>
      </c>
      <c r="B728" s="1" t="s">
        <v>32</v>
      </c>
      <c r="C728" s="1" t="s">
        <v>581</v>
      </c>
      <c r="D728" s="1" t="s">
        <v>280</v>
      </c>
      <c r="E728" s="73" t="n">
        <v>0</v>
      </c>
      <c r="F728" s="26" t="n">
        <v>0</v>
      </c>
      <c r="G728" s="26" t="n">
        <v>0</v>
      </c>
      <c r="H728" s="1" t="s">
        <v>582</v>
      </c>
    </row>
    <row r="729" customFormat="false" ht="15" hidden="false" customHeight="true" outlineLevel="0" collapsed="false">
      <c r="A729" s="1" t="s">
        <v>617</v>
      </c>
      <c r="B729" s="1" t="s">
        <v>32</v>
      </c>
      <c r="C729" s="1" t="s">
        <v>581</v>
      </c>
      <c r="D729" s="1" t="s">
        <v>274</v>
      </c>
      <c r="E729" s="73" t="n">
        <v>0</v>
      </c>
      <c r="F729" s="26" t="n">
        <v>0</v>
      </c>
      <c r="G729" s="26" t="n">
        <v>0</v>
      </c>
      <c r="H729" s="1" t="s">
        <v>582</v>
      </c>
    </row>
    <row r="730" customFormat="false" ht="15" hidden="false" customHeight="true" outlineLevel="0" collapsed="false">
      <c r="A730" s="1" t="s">
        <v>617</v>
      </c>
      <c r="B730" s="1" t="s">
        <v>32</v>
      </c>
      <c r="C730" s="1" t="s">
        <v>583</v>
      </c>
      <c r="D730" s="1" t="s">
        <v>274</v>
      </c>
      <c r="E730" s="73" t="n">
        <v>0</v>
      </c>
      <c r="F730" s="26" t="n">
        <v>0</v>
      </c>
      <c r="G730" s="26" t="n">
        <v>0</v>
      </c>
      <c r="H730" s="1" t="s">
        <v>584</v>
      </c>
    </row>
    <row r="731" customFormat="false" ht="15" hidden="false" customHeight="true" outlineLevel="0" collapsed="false">
      <c r="A731" s="1" t="s">
        <v>617</v>
      </c>
      <c r="B731" s="1" t="s">
        <v>32</v>
      </c>
      <c r="C731" s="1" t="s">
        <v>581</v>
      </c>
      <c r="D731" s="1" t="s">
        <v>275</v>
      </c>
      <c r="E731" s="73" t="n">
        <v>0</v>
      </c>
      <c r="F731" s="26" t="n">
        <v>0</v>
      </c>
      <c r="G731" s="26" t="n">
        <v>0</v>
      </c>
      <c r="H731" s="1" t="s">
        <v>582</v>
      </c>
    </row>
    <row r="732" customFormat="false" ht="15" hidden="false" customHeight="true" outlineLevel="0" collapsed="false">
      <c r="A732" s="1" t="s">
        <v>617</v>
      </c>
      <c r="B732" s="1" t="s">
        <v>32</v>
      </c>
      <c r="C732" s="1" t="s">
        <v>581</v>
      </c>
      <c r="D732" s="1" t="s">
        <v>272</v>
      </c>
      <c r="E732" s="73" t="n">
        <v>0</v>
      </c>
      <c r="F732" s="26" t="n">
        <v>0</v>
      </c>
      <c r="G732" s="26" t="n">
        <v>0</v>
      </c>
      <c r="H732" s="1" t="s">
        <v>582</v>
      </c>
    </row>
    <row r="733" customFormat="false" ht="15" hidden="false" customHeight="true" outlineLevel="0" collapsed="false">
      <c r="A733" s="1" t="s">
        <v>617</v>
      </c>
      <c r="B733" s="1" t="s">
        <v>32</v>
      </c>
      <c r="C733" s="1" t="s">
        <v>583</v>
      </c>
      <c r="D733" s="1" t="s">
        <v>272</v>
      </c>
      <c r="E733" s="73" t="n">
        <v>0</v>
      </c>
      <c r="F733" s="26" t="n">
        <v>0</v>
      </c>
      <c r="G733" s="26" t="n">
        <v>0</v>
      </c>
      <c r="H733" s="1" t="s">
        <v>586</v>
      </c>
    </row>
    <row r="734" customFormat="false" ht="15" hidden="false" customHeight="true" outlineLevel="0" collapsed="false">
      <c r="A734" s="1" t="s">
        <v>617</v>
      </c>
      <c r="B734" s="1" t="s">
        <v>587</v>
      </c>
      <c r="C734" s="1" t="s">
        <v>588</v>
      </c>
      <c r="D734" s="1" t="s">
        <v>279</v>
      </c>
      <c r="E734" s="73" t="n">
        <v>13418</v>
      </c>
      <c r="F734" s="26" t="n">
        <v>2.99991610765306</v>
      </c>
      <c r="G734" s="26" t="n">
        <v>40252.874332</v>
      </c>
      <c r="H734" s="1" t="s">
        <v>410</v>
      </c>
    </row>
    <row r="735" customFormat="false" ht="15" hidden="false" customHeight="true" outlineLevel="0" collapsed="false">
      <c r="A735" s="1" t="s">
        <v>617</v>
      </c>
      <c r="B735" s="1" t="s">
        <v>44</v>
      </c>
      <c r="C735" s="1" t="s">
        <v>589</v>
      </c>
      <c r="D735" s="1" t="s">
        <v>277</v>
      </c>
      <c r="E735" s="73" t="n">
        <v>-1</v>
      </c>
      <c r="F735" s="26" t="n">
        <v>514.86</v>
      </c>
      <c r="G735" s="26" t="n">
        <v>-514.86</v>
      </c>
      <c r="H735" s="1" t="s">
        <v>641</v>
      </c>
    </row>
    <row r="736" customFormat="false" ht="15" hidden="false" customHeight="true" outlineLevel="0" collapsed="false">
      <c r="A736" s="1" t="s">
        <v>617</v>
      </c>
      <c r="B736" s="1" t="s">
        <v>44</v>
      </c>
      <c r="C736" s="1" t="s">
        <v>589</v>
      </c>
      <c r="D736" s="1" t="s">
        <v>279</v>
      </c>
      <c r="E736" s="73" t="n">
        <v>0</v>
      </c>
      <c r="F736" s="26" t="n">
        <v>0</v>
      </c>
      <c r="G736" s="26" t="n">
        <v>0</v>
      </c>
      <c r="H736" s="1" t="s">
        <v>642</v>
      </c>
    </row>
    <row r="737" customFormat="false" ht="15" hidden="false" customHeight="true" outlineLevel="0" collapsed="false">
      <c r="A737" s="1" t="s">
        <v>617</v>
      </c>
      <c r="B737" s="1" t="s">
        <v>44</v>
      </c>
      <c r="C737" s="1" t="s">
        <v>592</v>
      </c>
      <c r="D737" s="1" t="s">
        <v>279</v>
      </c>
      <c r="E737" s="73" t="n">
        <v>0</v>
      </c>
      <c r="F737" s="26" t="n">
        <v>0</v>
      </c>
      <c r="G737" s="26" t="n">
        <v>0</v>
      </c>
      <c r="H737" s="1" t="s">
        <v>593</v>
      </c>
    </row>
    <row r="738" customFormat="false" ht="15" hidden="false" customHeight="true" outlineLevel="0" collapsed="false">
      <c r="A738" s="1" t="s">
        <v>617</v>
      </c>
      <c r="B738" s="1" t="s">
        <v>44</v>
      </c>
      <c r="C738" s="1" t="s">
        <v>594</v>
      </c>
      <c r="D738" s="1" t="s">
        <v>279</v>
      </c>
      <c r="E738" s="73" t="n">
        <v>0</v>
      </c>
      <c r="F738" s="26" t="n">
        <v>0</v>
      </c>
      <c r="G738" s="26" t="n">
        <v>0</v>
      </c>
      <c r="H738" s="1" t="s">
        <v>595</v>
      </c>
    </row>
    <row r="739" customFormat="false" ht="15" hidden="false" customHeight="true" outlineLevel="0" collapsed="false">
      <c r="A739" s="1" t="s">
        <v>617</v>
      </c>
      <c r="B739" s="1" t="s">
        <v>44</v>
      </c>
      <c r="C739" s="1" t="s">
        <v>596</v>
      </c>
      <c r="D739" s="1" t="s">
        <v>279</v>
      </c>
      <c r="E739" s="73" t="n">
        <v>0</v>
      </c>
      <c r="F739" s="26" t="n">
        <v>0</v>
      </c>
      <c r="G739" s="26" t="n">
        <v>0</v>
      </c>
      <c r="H739" s="1" t="s">
        <v>597</v>
      </c>
    </row>
    <row r="740" customFormat="false" ht="15" hidden="false" customHeight="true" outlineLevel="0" collapsed="false">
      <c r="A740" s="1" t="s">
        <v>617</v>
      </c>
      <c r="B740" s="1" t="s">
        <v>44</v>
      </c>
      <c r="C740" s="1" t="s">
        <v>589</v>
      </c>
      <c r="D740" s="1" t="s">
        <v>283</v>
      </c>
      <c r="E740" s="73" t="n">
        <v>1</v>
      </c>
      <c r="F740" s="26" t="n">
        <v>987.11</v>
      </c>
      <c r="G740" s="26" t="n">
        <v>987.11</v>
      </c>
      <c r="H740" s="1" t="s">
        <v>642</v>
      </c>
    </row>
    <row r="741" customFormat="false" ht="15" hidden="false" customHeight="true" outlineLevel="0" collapsed="false">
      <c r="A741" s="1" t="s">
        <v>617</v>
      </c>
      <c r="B741" s="1" t="s">
        <v>44</v>
      </c>
      <c r="C741" s="1" t="s">
        <v>589</v>
      </c>
      <c r="D741" s="1" t="s">
        <v>283</v>
      </c>
      <c r="E741" s="73" t="n">
        <v>0</v>
      </c>
      <c r="F741" s="26" t="n">
        <v>0</v>
      </c>
      <c r="G741" s="26" t="n">
        <v>0</v>
      </c>
      <c r="H741" s="1" t="s">
        <v>591</v>
      </c>
    </row>
    <row r="742" customFormat="false" ht="15" hidden="false" customHeight="true" outlineLevel="0" collapsed="false">
      <c r="A742" s="1" t="s">
        <v>617</v>
      </c>
      <c r="B742" s="1" t="s">
        <v>44</v>
      </c>
      <c r="C742" s="1" t="s">
        <v>598</v>
      </c>
      <c r="D742" s="1" t="s">
        <v>283</v>
      </c>
      <c r="E742" s="73" t="n">
        <v>0</v>
      </c>
      <c r="F742" s="26" t="n">
        <v>0</v>
      </c>
      <c r="G742" s="26" t="n">
        <v>0</v>
      </c>
      <c r="H742" s="1" t="s">
        <v>593</v>
      </c>
    </row>
    <row r="743" customFormat="false" ht="15" hidden="false" customHeight="true" outlineLevel="0" collapsed="false">
      <c r="A743" s="1" t="s">
        <v>617</v>
      </c>
      <c r="B743" s="1" t="s">
        <v>44</v>
      </c>
      <c r="C743" s="1" t="s">
        <v>599</v>
      </c>
      <c r="D743" s="1" t="s">
        <v>283</v>
      </c>
      <c r="E743" s="73" t="n">
        <v>0</v>
      </c>
      <c r="F743" s="26" t="n">
        <v>0</v>
      </c>
      <c r="G743" s="26" t="n">
        <v>0</v>
      </c>
      <c r="H743" s="1" t="s">
        <v>597</v>
      </c>
    </row>
    <row r="744" customFormat="false" ht="15" hidden="false" customHeight="true" outlineLevel="0" collapsed="false">
      <c r="A744" s="1" t="s">
        <v>617</v>
      </c>
      <c r="B744" s="1" t="s">
        <v>44</v>
      </c>
      <c r="C744" s="1" t="s">
        <v>589</v>
      </c>
      <c r="D744" s="1" t="s">
        <v>280</v>
      </c>
      <c r="E744" s="73" t="n">
        <v>1</v>
      </c>
      <c r="F744" s="26" t="n">
        <v>3707.87</v>
      </c>
      <c r="G744" s="26" t="n">
        <v>3707.87</v>
      </c>
      <c r="H744" s="1" t="s">
        <v>642</v>
      </c>
    </row>
    <row r="745" customFormat="false" ht="15" hidden="false" customHeight="true" outlineLevel="0" collapsed="false">
      <c r="A745" s="1" t="s">
        <v>617</v>
      </c>
      <c r="B745" s="1" t="s">
        <v>44</v>
      </c>
      <c r="C745" s="1" t="s">
        <v>600</v>
      </c>
      <c r="D745" s="1" t="s">
        <v>280</v>
      </c>
      <c r="E745" s="73" t="n">
        <v>-1</v>
      </c>
      <c r="F745" s="26" t="n">
        <v>245.98</v>
      </c>
      <c r="G745" s="26" t="n">
        <v>-245.98</v>
      </c>
      <c r="H745" s="1" t="s">
        <v>593</v>
      </c>
    </row>
    <row r="746" customFormat="false" ht="15" hidden="false" customHeight="true" outlineLevel="0" collapsed="false">
      <c r="A746" s="1" t="s">
        <v>617</v>
      </c>
      <c r="B746" s="1" t="s">
        <v>44</v>
      </c>
      <c r="C746" s="1" t="s">
        <v>601</v>
      </c>
      <c r="D746" s="1" t="s">
        <v>280</v>
      </c>
      <c r="E746" s="73" t="n">
        <v>-1</v>
      </c>
      <c r="F746" s="26" t="n">
        <v>451.06</v>
      </c>
      <c r="G746" s="26" t="n">
        <v>-451.06</v>
      </c>
      <c r="H746" s="1" t="s">
        <v>593</v>
      </c>
    </row>
    <row r="747" customFormat="false" ht="15" hidden="false" customHeight="true" outlineLevel="0" collapsed="false">
      <c r="A747" s="1" t="s">
        <v>617</v>
      </c>
      <c r="B747" s="1" t="s">
        <v>44</v>
      </c>
      <c r="C747" s="1" t="s">
        <v>603</v>
      </c>
      <c r="D747" s="1" t="s">
        <v>280</v>
      </c>
      <c r="E747" s="73" t="n">
        <v>-1</v>
      </c>
      <c r="F747" s="26" t="n">
        <v>589.14</v>
      </c>
      <c r="G747" s="26" t="n">
        <v>-589.14</v>
      </c>
      <c r="H747" s="1" t="s">
        <v>597</v>
      </c>
    </row>
    <row r="748" customFormat="false" ht="15" hidden="false" customHeight="true" outlineLevel="0" collapsed="false">
      <c r="A748" s="1" t="s">
        <v>617</v>
      </c>
      <c r="B748" s="1" t="s">
        <v>44</v>
      </c>
      <c r="C748" s="1" t="s">
        <v>603</v>
      </c>
      <c r="D748" s="1" t="s">
        <v>280</v>
      </c>
      <c r="E748" s="73" t="n">
        <v>-1</v>
      </c>
      <c r="F748" s="26" t="n">
        <v>171.62</v>
      </c>
      <c r="G748" s="26" t="n">
        <v>-171.62</v>
      </c>
      <c r="H748" s="1" t="s">
        <v>590</v>
      </c>
    </row>
    <row r="749" customFormat="false" ht="15" hidden="false" customHeight="true" outlineLevel="0" collapsed="false">
      <c r="A749" s="1" t="s">
        <v>617</v>
      </c>
      <c r="B749" s="1" t="s">
        <v>44</v>
      </c>
      <c r="C749" s="1" t="s">
        <v>643</v>
      </c>
      <c r="D749" s="1" t="s">
        <v>280</v>
      </c>
      <c r="E749" s="73" t="n">
        <v>-1</v>
      </c>
      <c r="F749" s="26" t="n">
        <v>158.76</v>
      </c>
      <c r="G749" s="26" t="n">
        <v>-158.76</v>
      </c>
      <c r="H749" s="1" t="s">
        <v>597</v>
      </c>
    </row>
    <row r="750" customFormat="false" ht="15" hidden="false" customHeight="true" outlineLevel="0" collapsed="false">
      <c r="A750" s="1" t="s">
        <v>617</v>
      </c>
      <c r="B750" s="1" t="s">
        <v>44</v>
      </c>
      <c r="C750" s="1" t="s">
        <v>589</v>
      </c>
      <c r="D750" s="1" t="s">
        <v>274</v>
      </c>
      <c r="E750" s="73" t="n">
        <v>1</v>
      </c>
      <c r="F750" s="26" t="n">
        <v>4497.36</v>
      </c>
      <c r="G750" s="26" t="n">
        <v>4497.36</v>
      </c>
      <c r="H750" s="1" t="s">
        <v>591</v>
      </c>
    </row>
    <row r="751" customFormat="false" ht="15" hidden="false" customHeight="true" outlineLevel="0" collapsed="false">
      <c r="A751" s="1" t="s">
        <v>617</v>
      </c>
      <c r="B751" s="1" t="s">
        <v>44</v>
      </c>
      <c r="C751" s="1" t="s">
        <v>589</v>
      </c>
      <c r="D751" s="1" t="s">
        <v>274</v>
      </c>
      <c r="E751" s="73" t="n">
        <v>0</v>
      </c>
      <c r="F751" s="26" t="n">
        <v>0</v>
      </c>
      <c r="G751" s="26" t="n">
        <v>0</v>
      </c>
      <c r="H751" s="1" t="s">
        <v>591</v>
      </c>
    </row>
    <row r="752" customFormat="false" ht="15" hidden="false" customHeight="true" outlineLevel="0" collapsed="false">
      <c r="A752" s="1" t="s">
        <v>617</v>
      </c>
      <c r="B752" s="1" t="s">
        <v>44</v>
      </c>
      <c r="C752" s="1" t="s">
        <v>601</v>
      </c>
      <c r="D752" s="1" t="s">
        <v>274</v>
      </c>
      <c r="E752" s="73" t="n">
        <v>1</v>
      </c>
      <c r="F752" s="26" t="n">
        <v>158.76</v>
      </c>
      <c r="G752" s="26" t="n">
        <v>158.76</v>
      </c>
      <c r="H752" s="1" t="s">
        <v>597</v>
      </c>
    </row>
    <row r="753" customFormat="false" ht="15" hidden="false" customHeight="true" outlineLevel="0" collapsed="false">
      <c r="A753" s="1" t="s">
        <v>617</v>
      </c>
      <c r="B753" s="1" t="s">
        <v>44</v>
      </c>
      <c r="C753" s="1" t="s">
        <v>602</v>
      </c>
      <c r="D753" s="1" t="s">
        <v>274</v>
      </c>
      <c r="E753" s="73" t="n">
        <v>1</v>
      </c>
      <c r="F753" s="26" t="n">
        <v>451.06</v>
      </c>
      <c r="G753" s="26" t="n">
        <v>451.06</v>
      </c>
      <c r="H753" s="1" t="s">
        <v>597</v>
      </c>
    </row>
    <row r="754" customFormat="false" ht="15" hidden="false" customHeight="true" outlineLevel="0" collapsed="false">
      <c r="A754" s="1" t="s">
        <v>617</v>
      </c>
      <c r="B754" s="1" t="s">
        <v>44</v>
      </c>
      <c r="C754" s="1" t="s">
        <v>589</v>
      </c>
      <c r="D754" s="1" t="s">
        <v>275</v>
      </c>
      <c r="E754" s="73" t="n">
        <v>1</v>
      </c>
      <c r="F754" s="26" t="n">
        <v>368.28</v>
      </c>
      <c r="G754" s="26" t="n">
        <v>368.28</v>
      </c>
      <c r="H754" s="1" t="s">
        <v>642</v>
      </c>
    </row>
    <row r="755" customFormat="false" ht="15" hidden="false" customHeight="true" outlineLevel="0" collapsed="false">
      <c r="A755" s="1" t="s">
        <v>617</v>
      </c>
      <c r="B755" s="1" t="s">
        <v>44</v>
      </c>
      <c r="C755" s="1" t="s">
        <v>589</v>
      </c>
      <c r="D755" s="1" t="s">
        <v>275</v>
      </c>
      <c r="E755" s="73" t="n">
        <v>0</v>
      </c>
      <c r="F755" s="26" t="n">
        <v>0</v>
      </c>
      <c r="G755" s="26" t="n">
        <v>0</v>
      </c>
      <c r="H755" s="1" t="s">
        <v>590</v>
      </c>
    </row>
    <row r="756" customFormat="false" ht="15" hidden="false" customHeight="true" outlineLevel="0" collapsed="false">
      <c r="A756" s="1" t="s">
        <v>617</v>
      </c>
      <c r="B756" s="1" t="s">
        <v>44</v>
      </c>
      <c r="C756" s="1" t="s">
        <v>589</v>
      </c>
      <c r="D756" s="1" t="s">
        <v>272</v>
      </c>
      <c r="E756" s="73" t="n">
        <v>1</v>
      </c>
      <c r="F756" s="26" t="n">
        <v>1043.05</v>
      </c>
      <c r="G756" s="26" t="n">
        <v>1043.05</v>
      </c>
      <c r="H756" s="1" t="s">
        <v>642</v>
      </c>
    </row>
    <row r="757" customFormat="false" ht="15" hidden="false" customHeight="true" outlineLevel="0" collapsed="false">
      <c r="A757" s="1" t="s">
        <v>617</v>
      </c>
      <c r="B757" s="1" t="s">
        <v>44</v>
      </c>
      <c r="C757" s="1" t="s">
        <v>589</v>
      </c>
      <c r="D757" s="1" t="s">
        <v>272</v>
      </c>
      <c r="E757" s="73" t="n">
        <v>-1</v>
      </c>
      <c r="F757" s="26" t="n">
        <v>4096.89</v>
      </c>
      <c r="G757" s="26" t="n">
        <v>-4096.89</v>
      </c>
      <c r="H757" s="1" t="s">
        <v>590</v>
      </c>
    </row>
    <row r="758" customFormat="false" ht="15" hidden="false" customHeight="true" outlineLevel="0" collapsed="false">
      <c r="A758" s="1" t="s">
        <v>617</v>
      </c>
      <c r="B758" s="1" t="s">
        <v>44</v>
      </c>
      <c r="C758" s="1" t="s">
        <v>604</v>
      </c>
      <c r="D758" s="1" t="s">
        <v>272</v>
      </c>
      <c r="E758" s="73" t="n">
        <v>0</v>
      </c>
      <c r="F758" s="26" t="n">
        <v>0</v>
      </c>
      <c r="G758" s="26" t="n">
        <v>0</v>
      </c>
      <c r="H758" s="1" t="s">
        <v>593</v>
      </c>
    </row>
    <row r="759" customFormat="false" ht="15" hidden="false" customHeight="true" outlineLevel="0" collapsed="false">
      <c r="A759" s="1" t="s">
        <v>617</v>
      </c>
      <c r="B759" s="1" t="s">
        <v>44</v>
      </c>
      <c r="C759" s="1" t="s">
        <v>599</v>
      </c>
      <c r="D759" s="1" t="s">
        <v>272</v>
      </c>
      <c r="E759" s="73" t="n">
        <v>0</v>
      </c>
      <c r="F759" s="26" t="n">
        <v>0</v>
      </c>
      <c r="G759" s="26" t="n">
        <v>0</v>
      </c>
      <c r="H759" s="1" t="s">
        <v>597</v>
      </c>
    </row>
    <row r="760" customFormat="false" ht="15" hidden="false" customHeight="true" outlineLevel="0" collapsed="false">
      <c r="A760" s="1" t="s">
        <v>617</v>
      </c>
      <c r="B760" s="1" t="s">
        <v>87</v>
      </c>
      <c r="C760" s="1" t="s">
        <v>605</v>
      </c>
      <c r="D760" s="1" t="s">
        <v>277</v>
      </c>
      <c r="E760" s="73" t="n">
        <v>2</v>
      </c>
      <c r="F760" s="26" t="n">
        <v>50</v>
      </c>
      <c r="G760" s="26" t="n">
        <v>100</v>
      </c>
      <c r="H760" s="1" t="s">
        <v>606</v>
      </c>
    </row>
    <row r="761" customFormat="false" ht="15" hidden="false" customHeight="true" outlineLevel="0" collapsed="false">
      <c r="A761" s="1" t="s">
        <v>617</v>
      </c>
      <c r="B761" s="1" t="s">
        <v>87</v>
      </c>
      <c r="C761" s="1" t="s">
        <v>605</v>
      </c>
      <c r="D761" s="1" t="s">
        <v>279</v>
      </c>
      <c r="E761" s="73" t="n">
        <v>2</v>
      </c>
      <c r="F761" s="26" t="n">
        <v>50</v>
      </c>
      <c r="G761" s="26" t="n">
        <v>100</v>
      </c>
      <c r="H761" s="1" t="s">
        <v>606</v>
      </c>
    </row>
    <row r="762" customFormat="false" ht="15" hidden="false" customHeight="true" outlineLevel="0" collapsed="false">
      <c r="A762" s="1" t="s">
        <v>617</v>
      </c>
      <c r="B762" s="1" t="s">
        <v>87</v>
      </c>
      <c r="C762" s="1" t="s">
        <v>605</v>
      </c>
      <c r="D762" s="1" t="s">
        <v>283</v>
      </c>
      <c r="E762" s="73" t="n">
        <v>1</v>
      </c>
      <c r="F762" s="26" t="n">
        <v>10</v>
      </c>
      <c r="G762" s="26" t="n">
        <v>10</v>
      </c>
      <c r="H762" s="1" t="s">
        <v>606</v>
      </c>
    </row>
    <row r="763" customFormat="false" ht="15" hidden="false" customHeight="true" outlineLevel="0" collapsed="false">
      <c r="A763" s="1" t="s">
        <v>617</v>
      </c>
      <c r="B763" s="1" t="s">
        <v>87</v>
      </c>
      <c r="C763" s="1" t="s">
        <v>605</v>
      </c>
      <c r="D763" s="1" t="s">
        <v>280</v>
      </c>
      <c r="E763" s="73" t="n">
        <v>1</v>
      </c>
      <c r="F763" s="26" t="n">
        <v>10</v>
      </c>
      <c r="G763" s="26" t="n">
        <v>10</v>
      </c>
      <c r="H763" s="1" t="s">
        <v>606</v>
      </c>
    </row>
    <row r="764" customFormat="false" ht="15" hidden="false" customHeight="true" outlineLevel="0" collapsed="false">
      <c r="A764" s="1" t="s">
        <v>617</v>
      </c>
      <c r="B764" s="1" t="s">
        <v>87</v>
      </c>
      <c r="C764" s="1" t="s">
        <v>605</v>
      </c>
      <c r="D764" s="1" t="s">
        <v>280</v>
      </c>
      <c r="E764" s="73" t="n">
        <v>5</v>
      </c>
      <c r="F764" s="26" t="n">
        <v>50</v>
      </c>
      <c r="G764" s="26" t="n">
        <v>250</v>
      </c>
      <c r="H764" s="1" t="s">
        <v>606</v>
      </c>
    </row>
    <row r="765" customFormat="false" ht="15" hidden="false" customHeight="true" outlineLevel="0" collapsed="false">
      <c r="A765" s="1" t="s">
        <v>617</v>
      </c>
      <c r="B765" s="1" t="s">
        <v>87</v>
      </c>
      <c r="C765" s="1" t="s">
        <v>605</v>
      </c>
      <c r="D765" s="1" t="s">
        <v>274</v>
      </c>
      <c r="E765" s="73" t="n">
        <v>2</v>
      </c>
      <c r="F765" s="26" t="n">
        <v>50</v>
      </c>
      <c r="G765" s="26" t="n">
        <v>100</v>
      </c>
      <c r="H765" s="1" t="s">
        <v>606</v>
      </c>
    </row>
    <row r="766" customFormat="false" ht="15" hidden="false" customHeight="true" outlineLevel="0" collapsed="false">
      <c r="A766" s="1" t="s">
        <v>617</v>
      </c>
      <c r="B766" s="1" t="s">
        <v>87</v>
      </c>
      <c r="C766" s="1" t="s">
        <v>605</v>
      </c>
      <c r="D766" s="1" t="s">
        <v>275</v>
      </c>
      <c r="E766" s="73" t="n">
        <v>1</v>
      </c>
      <c r="F766" s="26" t="n">
        <v>50</v>
      </c>
      <c r="G766" s="26" t="n">
        <v>50</v>
      </c>
      <c r="H766" s="1" t="s">
        <v>606</v>
      </c>
    </row>
    <row r="767" customFormat="false" ht="15" hidden="false" customHeight="true" outlineLevel="0" collapsed="false">
      <c r="A767" s="1" t="s">
        <v>617</v>
      </c>
      <c r="B767" s="1" t="s">
        <v>87</v>
      </c>
      <c r="C767" s="1" t="s">
        <v>605</v>
      </c>
      <c r="D767" s="1" t="s">
        <v>272</v>
      </c>
      <c r="E767" s="73" t="n">
        <v>1</v>
      </c>
      <c r="F767" s="26" t="n">
        <v>90</v>
      </c>
      <c r="G767" s="26" t="n">
        <v>90</v>
      </c>
      <c r="H767" s="1" t="s">
        <v>606</v>
      </c>
    </row>
    <row r="768" customFormat="false" ht="15" hidden="false" customHeight="true" outlineLevel="0" collapsed="false">
      <c r="A768" s="1" t="s">
        <v>617</v>
      </c>
      <c r="B768" s="1" t="s">
        <v>87</v>
      </c>
      <c r="C768" s="1" t="s">
        <v>605</v>
      </c>
      <c r="D768" s="1" t="s">
        <v>272</v>
      </c>
      <c r="E768" s="73" t="n">
        <v>2</v>
      </c>
      <c r="F768" s="26" t="n">
        <v>10</v>
      </c>
      <c r="G768" s="26" t="n">
        <v>20</v>
      </c>
      <c r="H768" s="1" t="s">
        <v>606</v>
      </c>
    </row>
    <row r="769" customFormat="false" ht="15" hidden="false" customHeight="true" outlineLevel="0" collapsed="false">
      <c r="A769" s="1" t="s">
        <v>617</v>
      </c>
      <c r="B769" s="1" t="s">
        <v>87</v>
      </c>
      <c r="C769" s="1" t="s">
        <v>605</v>
      </c>
      <c r="D769" s="1" t="s">
        <v>272</v>
      </c>
      <c r="E769" s="73" t="n">
        <v>3</v>
      </c>
      <c r="F769" s="26" t="n">
        <v>50</v>
      </c>
      <c r="G769" s="26" t="n">
        <v>150</v>
      </c>
      <c r="H769" s="1" t="s">
        <v>606</v>
      </c>
    </row>
    <row r="770" customFormat="false" ht="15" hidden="false" customHeight="true" outlineLevel="0" collapsed="false">
      <c r="A770" s="1" t="s">
        <v>644</v>
      </c>
      <c r="B770" s="1" t="s">
        <v>411</v>
      </c>
      <c r="C770" s="1" t="s">
        <v>86</v>
      </c>
      <c r="D770" s="1" t="s">
        <v>279</v>
      </c>
      <c r="E770" s="73" t="n">
        <v>13530</v>
      </c>
      <c r="F770" s="26" t="n">
        <v>0.23</v>
      </c>
      <c r="G770" s="26" t="n">
        <v>3111.9</v>
      </c>
      <c r="H770" s="1" t="s">
        <v>410</v>
      </c>
    </row>
    <row r="771" customFormat="false" ht="15" hidden="false" customHeight="true" outlineLevel="0" collapsed="false">
      <c r="A771" s="1" t="s">
        <v>644</v>
      </c>
      <c r="B771" s="1" t="s">
        <v>412</v>
      </c>
      <c r="C771" s="1" t="s">
        <v>413</v>
      </c>
      <c r="D771" s="1" t="s">
        <v>265</v>
      </c>
      <c r="E771" s="73" t="n">
        <v>0</v>
      </c>
      <c r="F771" s="26" t="n">
        <v>0</v>
      </c>
      <c r="G771" s="26" t="n">
        <v>0</v>
      </c>
      <c r="H771" s="1" t="s">
        <v>618</v>
      </c>
    </row>
    <row r="772" customFormat="false" ht="15" hidden="false" customHeight="true" outlineLevel="0" collapsed="false">
      <c r="A772" s="1" t="s">
        <v>644</v>
      </c>
      <c r="B772" s="1" t="s">
        <v>412</v>
      </c>
      <c r="C772" s="1" t="s">
        <v>415</v>
      </c>
      <c r="D772" s="1" t="s">
        <v>265</v>
      </c>
      <c r="E772" s="73" t="n">
        <v>0</v>
      </c>
      <c r="F772" s="26" t="n">
        <v>0</v>
      </c>
      <c r="G772" s="26" t="n">
        <v>0</v>
      </c>
      <c r="H772" s="1" t="s">
        <v>608</v>
      </c>
    </row>
    <row r="773" customFormat="false" ht="15" hidden="false" customHeight="true" outlineLevel="0" collapsed="false">
      <c r="A773" s="1" t="s">
        <v>644</v>
      </c>
      <c r="B773" s="1" t="s">
        <v>412</v>
      </c>
      <c r="C773" s="1" t="s">
        <v>413</v>
      </c>
      <c r="D773" s="1" t="s">
        <v>277</v>
      </c>
      <c r="E773" s="73" t="n">
        <v>0</v>
      </c>
      <c r="F773" s="26" t="n">
        <v>0</v>
      </c>
      <c r="G773" s="26" t="n">
        <v>0</v>
      </c>
      <c r="H773" s="1" t="s">
        <v>414</v>
      </c>
    </row>
    <row r="774" customFormat="false" ht="15" hidden="false" customHeight="true" outlineLevel="0" collapsed="false">
      <c r="A774" s="1" t="s">
        <v>644</v>
      </c>
      <c r="B774" s="1" t="s">
        <v>412</v>
      </c>
      <c r="C774" s="1" t="s">
        <v>415</v>
      </c>
      <c r="D774" s="1" t="s">
        <v>277</v>
      </c>
      <c r="E774" s="73" t="n">
        <v>0</v>
      </c>
      <c r="F774" s="26" t="n">
        <v>0</v>
      </c>
      <c r="G774" s="26" t="n">
        <v>0</v>
      </c>
      <c r="H774" s="1" t="s">
        <v>608</v>
      </c>
    </row>
    <row r="775" customFormat="false" ht="15" hidden="false" customHeight="true" outlineLevel="0" collapsed="false">
      <c r="A775" s="1" t="s">
        <v>644</v>
      </c>
      <c r="B775" s="1" t="s">
        <v>412</v>
      </c>
      <c r="C775" s="1" t="s">
        <v>413</v>
      </c>
      <c r="D775" s="1" t="s">
        <v>279</v>
      </c>
      <c r="E775" s="73" t="n">
        <v>0</v>
      </c>
      <c r="F775" s="26" t="n">
        <v>0</v>
      </c>
      <c r="G775" s="26" t="n">
        <v>0</v>
      </c>
      <c r="H775" s="1" t="s">
        <v>417</v>
      </c>
    </row>
    <row r="776" customFormat="false" ht="15" hidden="false" customHeight="true" outlineLevel="0" collapsed="false">
      <c r="A776" s="1" t="s">
        <v>644</v>
      </c>
      <c r="B776" s="1" t="s">
        <v>412</v>
      </c>
      <c r="C776" s="1" t="s">
        <v>418</v>
      </c>
      <c r="D776" s="1" t="s">
        <v>279</v>
      </c>
      <c r="E776" s="73" t="n">
        <v>0</v>
      </c>
      <c r="F776" s="26" t="n">
        <v>0</v>
      </c>
      <c r="G776" s="26" t="n">
        <v>0</v>
      </c>
      <c r="H776" s="1" t="s">
        <v>419</v>
      </c>
    </row>
    <row r="777" customFormat="false" ht="15" hidden="false" customHeight="true" outlineLevel="0" collapsed="false">
      <c r="A777" s="1" t="s">
        <v>644</v>
      </c>
      <c r="B777" s="1" t="s">
        <v>412</v>
      </c>
      <c r="C777" s="1" t="s">
        <v>413</v>
      </c>
      <c r="D777" s="1" t="s">
        <v>283</v>
      </c>
      <c r="E777" s="73" t="n">
        <v>0</v>
      </c>
      <c r="F777" s="26" t="n">
        <v>0</v>
      </c>
      <c r="G777" s="26" t="n">
        <v>0</v>
      </c>
      <c r="H777" s="1" t="s">
        <v>417</v>
      </c>
    </row>
    <row r="778" customFormat="false" ht="15" hidden="false" customHeight="true" outlineLevel="0" collapsed="false">
      <c r="A778" s="1" t="s">
        <v>644</v>
      </c>
      <c r="B778" s="1" t="s">
        <v>412</v>
      </c>
      <c r="C778" s="1" t="s">
        <v>415</v>
      </c>
      <c r="D778" s="1" t="s">
        <v>283</v>
      </c>
      <c r="E778" s="73" t="n">
        <v>0</v>
      </c>
      <c r="F778" s="26" t="n">
        <v>0</v>
      </c>
      <c r="G778" s="26" t="n">
        <v>0</v>
      </c>
      <c r="H778" s="1" t="s">
        <v>608</v>
      </c>
    </row>
    <row r="779" customFormat="false" ht="15" hidden="false" customHeight="true" outlineLevel="0" collapsed="false">
      <c r="A779" s="1" t="s">
        <v>644</v>
      </c>
      <c r="B779" s="1" t="s">
        <v>412</v>
      </c>
      <c r="C779" s="1" t="s">
        <v>413</v>
      </c>
      <c r="D779" s="1" t="s">
        <v>280</v>
      </c>
      <c r="E779" s="73" t="n">
        <v>0</v>
      </c>
      <c r="F779" s="26" t="n">
        <v>0</v>
      </c>
      <c r="G779" s="26" t="n">
        <v>0</v>
      </c>
      <c r="H779" s="1" t="s">
        <v>414</v>
      </c>
    </row>
    <row r="780" customFormat="false" ht="15" hidden="false" customHeight="true" outlineLevel="0" collapsed="false">
      <c r="A780" s="1" t="s">
        <v>644</v>
      </c>
      <c r="B780" s="1" t="s">
        <v>412</v>
      </c>
      <c r="C780" s="1" t="s">
        <v>415</v>
      </c>
      <c r="D780" s="1" t="s">
        <v>280</v>
      </c>
      <c r="E780" s="73" t="n">
        <v>0</v>
      </c>
      <c r="F780" s="26" t="n">
        <v>0</v>
      </c>
      <c r="G780" s="26" t="n">
        <v>0</v>
      </c>
      <c r="H780" s="1" t="s">
        <v>416</v>
      </c>
    </row>
    <row r="781" customFormat="false" ht="15" hidden="false" customHeight="true" outlineLevel="0" collapsed="false">
      <c r="A781" s="1" t="s">
        <v>644</v>
      </c>
      <c r="B781" s="1" t="s">
        <v>412</v>
      </c>
      <c r="C781" s="1" t="s">
        <v>413</v>
      </c>
      <c r="D781" s="1" t="s">
        <v>274</v>
      </c>
      <c r="E781" s="73" t="n">
        <v>0</v>
      </c>
      <c r="F781" s="26" t="n">
        <v>0</v>
      </c>
      <c r="G781" s="26" t="n">
        <v>0</v>
      </c>
      <c r="H781" s="1" t="s">
        <v>421</v>
      </c>
    </row>
    <row r="782" customFormat="false" ht="15" hidden="false" customHeight="true" outlineLevel="0" collapsed="false">
      <c r="A782" s="1" t="s">
        <v>644</v>
      </c>
      <c r="B782" s="1" t="s">
        <v>412</v>
      </c>
      <c r="C782" s="1" t="s">
        <v>415</v>
      </c>
      <c r="D782" s="1" t="s">
        <v>274</v>
      </c>
      <c r="E782" s="73" t="n">
        <v>0</v>
      </c>
      <c r="F782" s="26" t="n">
        <v>0</v>
      </c>
      <c r="G782" s="26" t="n">
        <v>0</v>
      </c>
      <c r="H782" s="1" t="s">
        <v>608</v>
      </c>
    </row>
    <row r="783" customFormat="false" ht="15" hidden="false" customHeight="true" outlineLevel="0" collapsed="false">
      <c r="A783" s="1" t="s">
        <v>644</v>
      </c>
      <c r="B783" s="1" t="s">
        <v>412</v>
      </c>
      <c r="C783" s="1" t="s">
        <v>415</v>
      </c>
      <c r="D783" s="1" t="s">
        <v>274</v>
      </c>
      <c r="E783" s="73" t="n">
        <v>0</v>
      </c>
      <c r="F783" s="26" t="n">
        <v>0</v>
      </c>
      <c r="G783" s="26" t="n">
        <v>0</v>
      </c>
      <c r="H783" s="1" t="s">
        <v>416</v>
      </c>
    </row>
    <row r="784" customFormat="false" ht="15" hidden="false" customHeight="true" outlineLevel="0" collapsed="false">
      <c r="A784" s="1" t="s">
        <v>644</v>
      </c>
      <c r="B784" s="1" t="s">
        <v>412</v>
      </c>
      <c r="C784" s="1" t="s">
        <v>413</v>
      </c>
      <c r="D784" s="1" t="s">
        <v>275</v>
      </c>
      <c r="E784" s="73" t="n">
        <v>0</v>
      </c>
      <c r="F784" s="26" t="n">
        <v>0</v>
      </c>
      <c r="G784" s="26" t="n">
        <v>0</v>
      </c>
      <c r="H784" s="1" t="s">
        <v>417</v>
      </c>
    </row>
    <row r="785" customFormat="false" ht="15" hidden="false" customHeight="true" outlineLevel="0" collapsed="false">
      <c r="A785" s="1" t="s">
        <v>644</v>
      </c>
      <c r="B785" s="1" t="s">
        <v>412</v>
      </c>
      <c r="C785" s="1" t="s">
        <v>413</v>
      </c>
      <c r="D785" s="1" t="s">
        <v>275</v>
      </c>
      <c r="E785" s="73" t="n">
        <v>0</v>
      </c>
      <c r="F785" s="26" t="n">
        <v>0</v>
      </c>
      <c r="G785" s="26" t="n">
        <v>0</v>
      </c>
      <c r="H785" s="1" t="s">
        <v>422</v>
      </c>
    </row>
    <row r="786" customFormat="false" ht="15" hidden="false" customHeight="true" outlineLevel="0" collapsed="false">
      <c r="A786" s="1" t="s">
        <v>644</v>
      </c>
      <c r="B786" s="1" t="s">
        <v>78</v>
      </c>
      <c r="C786" s="1" t="s">
        <v>423</v>
      </c>
      <c r="D786" s="1" t="s">
        <v>283</v>
      </c>
      <c r="E786" s="73" t="n">
        <v>3765</v>
      </c>
      <c r="F786" s="26" t="n">
        <v>0.39039808527428</v>
      </c>
      <c r="G786" s="26" t="n">
        <v>1469.848791</v>
      </c>
      <c r="H786" s="1" t="s">
        <v>410</v>
      </c>
    </row>
    <row r="787" customFormat="false" ht="15" hidden="false" customHeight="true" outlineLevel="0" collapsed="false">
      <c r="A787" s="1" t="s">
        <v>644</v>
      </c>
      <c r="B787" s="1" t="s">
        <v>78</v>
      </c>
      <c r="C787" s="1" t="s">
        <v>423</v>
      </c>
      <c r="D787" s="1" t="s">
        <v>274</v>
      </c>
      <c r="E787" s="73" t="n">
        <v>14689</v>
      </c>
      <c r="F787" s="26" t="n">
        <v>0.39039808527428</v>
      </c>
      <c r="G787" s="26" t="n">
        <v>5734.557475</v>
      </c>
      <c r="H787" s="1" t="s">
        <v>410</v>
      </c>
    </row>
    <row r="788" customFormat="false" ht="15" hidden="false" customHeight="true" outlineLevel="0" collapsed="false">
      <c r="A788" s="1" t="s">
        <v>644</v>
      </c>
      <c r="B788" s="1" t="s">
        <v>78</v>
      </c>
      <c r="C788" s="1" t="s">
        <v>423</v>
      </c>
      <c r="D788" s="1" t="s">
        <v>272</v>
      </c>
      <c r="E788" s="73" t="n">
        <v>4806</v>
      </c>
      <c r="F788" s="26" t="n">
        <v>0.39039808527428</v>
      </c>
      <c r="G788" s="26" t="n">
        <v>1876.253198</v>
      </c>
      <c r="H788" s="1" t="s">
        <v>410</v>
      </c>
    </row>
    <row r="789" customFormat="false" ht="15" hidden="false" customHeight="true" outlineLevel="0" collapsed="false">
      <c r="A789" s="1" t="s">
        <v>644</v>
      </c>
      <c r="B789" s="1" t="s">
        <v>424</v>
      </c>
      <c r="C789" s="1" t="s">
        <v>425</v>
      </c>
      <c r="D789" s="1" t="s">
        <v>265</v>
      </c>
      <c r="E789" s="73" t="n">
        <v>6438</v>
      </c>
      <c r="F789" s="26" t="n">
        <v>1.86</v>
      </c>
      <c r="G789" s="26" t="n">
        <v>11974.68</v>
      </c>
      <c r="H789" s="1" t="s">
        <v>645</v>
      </c>
    </row>
    <row r="790" customFormat="false" ht="15" hidden="false" customHeight="true" outlineLevel="0" collapsed="false">
      <c r="A790" s="1" t="s">
        <v>644</v>
      </c>
      <c r="B790" s="1" t="s">
        <v>424</v>
      </c>
      <c r="C790" s="1" t="s">
        <v>425</v>
      </c>
      <c r="D790" s="1" t="s">
        <v>277</v>
      </c>
      <c r="E790" s="73" t="n">
        <v>341</v>
      </c>
      <c r="F790" s="26" t="n">
        <v>1.86</v>
      </c>
      <c r="G790" s="26" t="n">
        <v>634.26</v>
      </c>
      <c r="H790" s="1" t="s">
        <v>645</v>
      </c>
    </row>
    <row r="791" customFormat="false" ht="15" hidden="false" customHeight="true" outlineLevel="0" collapsed="false">
      <c r="A791" s="1" t="s">
        <v>644</v>
      </c>
      <c r="B791" s="1" t="s">
        <v>424</v>
      </c>
      <c r="C791" s="1" t="s">
        <v>646</v>
      </c>
      <c r="D791" s="1" t="s">
        <v>277</v>
      </c>
      <c r="E791" s="73" t="n">
        <v>1</v>
      </c>
      <c r="F791" s="26" t="n">
        <v>1366.75</v>
      </c>
      <c r="G791" s="26" t="n">
        <v>1366.75</v>
      </c>
      <c r="H791" s="1" t="s">
        <v>647</v>
      </c>
    </row>
    <row r="792" customFormat="false" ht="15" hidden="false" customHeight="true" outlineLevel="0" collapsed="false">
      <c r="A792" s="1" t="s">
        <v>644</v>
      </c>
      <c r="B792" s="1" t="s">
        <v>424</v>
      </c>
      <c r="C792" s="1" t="s">
        <v>620</v>
      </c>
      <c r="D792" s="1" t="s">
        <v>277</v>
      </c>
      <c r="E792" s="73" t="n">
        <v>0</v>
      </c>
      <c r="F792" s="26" t="n">
        <v>0</v>
      </c>
      <c r="G792" s="26" t="n">
        <v>0</v>
      </c>
      <c r="H792" s="1" t="s">
        <v>621</v>
      </c>
    </row>
    <row r="793" customFormat="false" ht="15" hidden="false" customHeight="true" outlineLevel="0" collapsed="false">
      <c r="A793" s="1" t="s">
        <v>644</v>
      </c>
      <c r="B793" s="1" t="s">
        <v>424</v>
      </c>
      <c r="C793" s="1" t="s">
        <v>622</v>
      </c>
      <c r="D793" s="1" t="s">
        <v>277</v>
      </c>
      <c r="E793" s="73" t="n">
        <v>0</v>
      </c>
      <c r="F793" s="26" t="n">
        <v>0</v>
      </c>
      <c r="G793" s="26" t="n">
        <v>0</v>
      </c>
      <c r="H793" s="1" t="s">
        <v>623</v>
      </c>
    </row>
    <row r="794" customFormat="false" ht="15" hidden="false" customHeight="true" outlineLevel="0" collapsed="false">
      <c r="A794" s="1" t="s">
        <v>644</v>
      </c>
      <c r="B794" s="1" t="s">
        <v>424</v>
      </c>
      <c r="C794" s="1" t="s">
        <v>433</v>
      </c>
      <c r="D794" s="1" t="s">
        <v>277</v>
      </c>
      <c r="E794" s="73" t="n">
        <v>-1</v>
      </c>
      <c r="F794" s="26" t="n">
        <v>620.34</v>
      </c>
      <c r="G794" s="26" t="n">
        <v>-620.34</v>
      </c>
      <c r="H794" s="1" t="s">
        <v>434</v>
      </c>
    </row>
    <row r="795" customFormat="false" ht="15" hidden="false" customHeight="true" outlineLevel="0" collapsed="false">
      <c r="A795" s="1" t="s">
        <v>644</v>
      </c>
      <c r="B795" s="1" t="s">
        <v>424</v>
      </c>
      <c r="C795" s="1" t="s">
        <v>433</v>
      </c>
      <c r="D795" s="1" t="s">
        <v>277</v>
      </c>
      <c r="E795" s="73" t="n">
        <v>-1</v>
      </c>
      <c r="F795" s="26" t="n">
        <v>2216.95</v>
      </c>
      <c r="G795" s="26" t="n">
        <v>-2216.95</v>
      </c>
      <c r="H795" s="1" t="s">
        <v>435</v>
      </c>
    </row>
    <row r="796" customFormat="false" ht="15" hidden="false" customHeight="true" outlineLevel="0" collapsed="false">
      <c r="A796" s="1" t="s">
        <v>644</v>
      </c>
      <c r="B796" s="1" t="s">
        <v>424</v>
      </c>
      <c r="C796" s="1" t="s">
        <v>436</v>
      </c>
      <c r="D796" s="1" t="s">
        <v>277</v>
      </c>
      <c r="E796" s="73" t="n">
        <v>-1</v>
      </c>
      <c r="F796" s="26" t="n">
        <v>260.108024691358</v>
      </c>
      <c r="G796" s="26" t="n">
        <v>-260.108024691358</v>
      </c>
      <c r="H796" s="1" t="s">
        <v>648</v>
      </c>
    </row>
    <row r="797" customFormat="false" ht="15" hidden="false" customHeight="true" outlineLevel="0" collapsed="false">
      <c r="A797" s="1" t="s">
        <v>644</v>
      </c>
      <c r="B797" s="1" t="s">
        <v>424</v>
      </c>
      <c r="C797" s="1" t="s">
        <v>438</v>
      </c>
      <c r="D797" s="1" t="s">
        <v>277</v>
      </c>
      <c r="E797" s="73" t="n">
        <v>0</v>
      </c>
      <c r="F797" s="26" t="n">
        <v>0</v>
      </c>
      <c r="G797" s="26" t="n">
        <v>0</v>
      </c>
      <c r="H797" s="1" t="s">
        <v>437</v>
      </c>
    </row>
    <row r="798" customFormat="false" ht="15" hidden="false" customHeight="true" outlineLevel="0" collapsed="false">
      <c r="A798" s="1" t="s">
        <v>644</v>
      </c>
      <c r="B798" s="1" t="s">
        <v>424</v>
      </c>
      <c r="C798" s="1" t="s">
        <v>439</v>
      </c>
      <c r="D798" s="1" t="s">
        <v>277</v>
      </c>
      <c r="E798" s="73" t="n">
        <v>0</v>
      </c>
      <c r="F798" s="26" t="n">
        <v>0</v>
      </c>
      <c r="G798" s="26" t="n">
        <v>0</v>
      </c>
      <c r="H798" s="1" t="s">
        <v>437</v>
      </c>
    </row>
    <row r="799" customFormat="false" ht="15" hidden="false" customHeight="true" outlineLevel="0" collapsed="false">
      <c r="A799" s="1" t="s">
        <v>644</v>
      </c>
      <c r="B799" s="1" t="s">
        <v>424</v>
      </c>
      <c r="C799" s="1" t="s">
        <v>440</v>
      </c>
      <c r="D799" s="1" t="s">
        <v>277</v>
      </c>
      <c r="E799" s="73" t="n">
        <v>3</v>
      </c>
      <c r="F799" s="26" t="n">
        <v>221.785743509048</v>
      </c>
      <c r="G799" s="26" t="n">
        <v>665.357230527144</v>
      </c>
      <c r="H799" s="1" t="s">
        <v>648</v>
      </c>
    </row>
    <row r="800" customFormat="false" ht="15" hidden="false" customHeight="true" outlineLevel="0" collapsed="false">
      <c r="A800" s="1" t="s">
        <v>644</v>
      </c>
      <c r="B800" s="1" t="s">
        <v>424</v>
      </c>
      <c r="C800" s="1" t="s">
        <v>441</v>
      </c>
      <c r="D800" s="1" t="s">
        <v>277</v>
      </c>
      <c r="E800" s="73" t="n">
        <v>0</v>
      </c>
      <c r="F800" s="26" t="n">
        <v>0</v>
      </c>
      <c r="G800" s="26" t="n">
        <v>0</v>
      </c>
      <c r="H800" s="1" t="s">
        <v>437</v>
      </c>
    </row>
    <row r="801" customFormat="false" ht="15" hidden="false" customHeight="true" outlineLevel="0" collapsed="false">
      <c r="A801" s="1" t="s">
        <v>644</v>
      </c>
      <c r="B801" s="1" t="s">
        <v>424</v>
      </c>
      <c r="C801" s="1" t="s">
        <v>442</v>
      </c>
      <c r="D801" s="1" t="s">
        <v>279</v>
      </c>
      <c r="E801" s="73" t="n">
        <v>1</v>
      </c>
      <c r="F801" s="26" t="n">
        <v>33.5</v>
      </c>
      <c r="G801" s="26" t="n">
        <v>33.5</v>
      </c>
      <c r="H801" s="1" t="s">
        <v>443</v>
      </c>
    </row>
    <row r="802" customFormat="false" ht="15" hidden="false" customHeight="true" outlineLevel="0" collapsed="false">
      <c r="A802" s="1" t="s">
        <v>644</v>
      </c>
      <c r="B802" s="1" t="s">
        <v>424</v>
      </c>
      <c r="C802" s="1" t="s">
        <v>442</v>
      </c>
      <c r="D802" s="1" t="s">
        <v>279</v>
      </c>
      <c r="E802" s="73" t="n">
        <v>1</v>
      </c>
      <c r="F802" s="26" t="n">
        <v>22</v>
      </c>
      <c r="G802" s="26" t="n">
        <v>22</v>
      </c>
      <c r="H802" s="1" t="s">
        <v>444</v>
      </c>
    </row>
    <row r="803" customFormat="false" ht="15" hidden="false" customHeight="true" outlineLevel="0" collapsed="false">
      <c r="A803" s="1" t="s">
        <v>644</v>
      </c>
      <c r="B803" s="1" t="s">
        <v>424</v>
      </c>
      <c r="C803" s="1" t="s">
        <v>425</v>
      </c>
      <c r="D803" s="1" t="s">
        <v>279</v>
      </c>
      <c r="E803" s="73" t="n">
        <v>312</v>
      </c>
      <c r="F803" s="26" t="n">
        <v>1.86</v>
      </c>
      <c r="G803" s="26" t="n">
        <v>580.32</v>
      </c>
      <c r="H803" s="1" t="s">
        <v>426</v>
      </c>
    </row>
    <row r="804" customFormat="false" ht="15" hidden="false" customHeight="true" outlineLevel="0" collapsed="false">
      <c r="A804" s="1" t="s">
        <v>644</v>
      </c>
      <c r="B804" s="1" t="s">
        <v>424</v>
      </c>
      <c r="C804" s="1" t="s">
        <v>646</v>
      </c>
      <c r="D804" s="1" t="s">
        <v>279</v>
      </c>
      <c r="E804" s="73" t="n">
        <v>1</v>
      </c>
      <c r="F804" s="26" t="n">
        <v>1366.75</v>
      </c>
      <c r="G804" s="26" t="n">
        <v>1366.75</v>
      </c>
      <c r="H804" s="1" t="s">
        <v>647</v>
      </c>
    </row>
    <row r="805" customFormat="false" ht="15" hidden="false" customHeight="true" outlineLevel="0" collapsed="false">
      <c r="A805" s="1" t="s">
        <v>644</v>
      </c>
      <c r="B805" s="1" t="s">
        <v>424</v>
      </c>
      <c r="C805" s="1" t="s">
        <v>620</v>
      </c>
      <c r="D805" s="1" t="s">
        <v>279</v>
      </c>
      <c r="E805" s="73" t="n">
        <v>0</v>
      </c>
      <c r="F805" s="26" t="n">
        <v>0</v>
      </c>
      <c r="G805" s="26" t="n">
        <v>0</v>
      </c>
      <c r="H805" s="1" t="s">
        <v>625</v>
      </c>
    </row>
    <row r="806" customFormat="false" ht="15" hidden="false" customHeight="true" outlineLevel="0" collapsed="false">
      <c r="A806" s="1" t="s">
        <v>644</v>
      </c>
      <c r="B806" s="1" t="s">
        <v>424</v>
      </c>
      <c r="C806" s="1" t="s">
        <v>433</v>
      </c>
      <c r="D806" s="1" t="s">
        <v>279</v>
      </c>
      <c r="E806" s="73" t="n">
        <v>0</v>
      </c>
      <c r="F806" s="26" t="n">
        <v>0</v>
      </c>
      <c r="G806" s="26" t="n">
        <v>0</v>
      </c>
      <c r="H806" s="1" t="s">
        <v>626</v>
      </c>
    </row>
    <row r="807" customFormat="false" ht="15" hidden="false" customHeight="true" outlineLevel="0" collapsed="false">
      <c r="A807" s="1" t="s">
        <v>644</v>
      </c>
      <c r="B807" s="1" t="s">
        <v>424</v>
      </c>
      <c r="C807" s="1" t="s">
        <v>433</v>
      </c>
      <c r="D807" s="1" t="s">
        <v>279</v>
      </c>
      <c r="E807" s="73" t="n">
        <v>1</v>
      </c>
      <c r="F807" s="26" t="n">
        <v>446.88</v>
      </c>
      <c r="G807" s="26" t="n">
        <v>446.88</v>
      </c>
      <c r="H807" s="1" t="s">
        <v>448</v>
      </c>
    </row>
    <row r="808" customFormat="false" ht="15" hidden="false" customHeight="true" outlineLevel="0" collapsed="false">
      <c r="A808" s="1" t="s">
        <v>644</v>
      </c>
      <c r="B808" s="1" t="s">
        <v>424</v>
      </c>
      <c r="C808" s="1" t="s">
        <v>433</v>
      </c>
      <c r="D808" s="1" t="s">
        <v>279</v>
      </c>
      <c r="E808" s="73" t="n">
        <v>36</v>
      </c>
      <c r="F808" s="26" t="n">
        <v>21.95</v>
      </c>
      <c r="G808" s="26" t="n">
        <v>790.2</v>
      </c>
      <c r="H808" s="1" t="s">
        <v>449</v>
      </c>
    </row>
    <row r="809" customFormat="false" ht="15" hidden="false" customHeight="true" outlineLevel="0" collapsed="false">
      <c r="A809" s="1" t="s">
        <v>644</v>
      </c>
      <c r="B809" s="1" t="s">
        <v>424</v>
      </c>
      <c r="C809" s="1" t="s">
        <v>450</v>
      </c>
      <c r="D809" s="1" t="s">
        <v>279</v>
      </c>
      <c r="E809" s="73" t="n">
        <v>1</v>
      </c>
      <c r="F809" s="26" t="n">
        <v>260.108024691358</v>
      </c>
      <c r="G809" s="26" t="n">
        <v>260.108024691358</v>
      </c>
      <c r="H809" s="1" t="s">
        <v>648</v>
      </c>
    </row>
    <row r="810" customFormat="false" ht="15" hidden="false" customHeight="true" outlineLevel="0" collapsed="false">
      <c r="A810" s="1" t="s">
        <v>644</v>
      </c>
      <c r="B810" s="1" t="s">
        <v>424</v>
      </c>
      <c r="C810" s="1" t="s">
        <v>438</v>
      </c>
      <c r="D810" s="1" t="s">
        <v>279</v>
      </c>
      <c r="E810" s="73" t="n">
        <v>2</v>
      </c>
      <c r="F810" s="26" t="n">
        <v>221.785743509048</v>
      </c>
      <c r="G810" s="26" t="n">
        <v>443.571487018096</v>
      </c>
      <c r="H810" s="1" t="s">
        <v>648</v>
      </c>
    </row>
    <row r="811" customFormat="false" ht="15" hidden="false" customHeight="true" outlineLevel="0" collapsed="false">
      <c r="A811" s="1" t="s">
        <v>644</v>
      </c>
      <c r="B811" s="1" t="s">
        <v>424</v>
      </c>
      <c r="C811" s="1" t="s">
        <v>451</v>
      </c>
      <c r="D811" s="1" t="s">
        <v>279</v>
      </c>
      <c r="E811" s="73" t="n">
        <v>0</v>
      </c>
      <c r="F811" s="26" t="n">
        <v>0</v>
      </c>
      <c r="G811" s="26" t="n">
        <v>0</v>
      </c>
      <c r="H811" s="1" t="s">
        <v>437</v>
      </c>
    </row>
    <row r="812" customFormat="false" ht="15" hidden="false" customHeight="true" outlineLevel="0" collapsed="false">
      <c r="A812" s="1" t="s">
        <v>644</v>
      </c>
      <c r="B812" s="1" t="s">
        <v>424</v>
      </c>
      <c r="C812" s="1" t="s">
        <v>452</v>
      </c>
      <c r="D812" s="1" t="s">
        <v>279</v>
      </c>
      <c r="E812" s="73" t="n">
        <v>-6</v>
      </c>
      <c r="F812" s="26" t="n">
        <v>221.785743509048</v>
      </c>
      <c r="G812" s="26" t="n">
        <v>-1330.71446105429</v>
      </c>
      <c r="H812" s="1" t="s">
        <v>648</v>
      </c>
    </row>
    <row r="813" customFormat="false" ht="15" hidden="false" customHeight="true" outlineLevel="0" collapsed="false">
      <c r="A813" s="1" t="s">
        <v>644</v>
      </c>
      <c r="B813" s="1" t="s">
        <v>424</v>
      </c>
      <c r="C813" s="1" t="s">
        <v>453</v>
      </c>
      <c r="D813" s="1" t="s">
        <v>279</v>
      </c>
      <c r="E813" s="73" t="n">
        <v>-3</v>
      </c>
      <c r="F813" s="26" t="n">
        <v>221.785743509048</v>
      </c>
      <c r="G813" s="26" t="n">
        <v>-665.357230527144</v>
      </c>
      <c r="H813" s="1" t="s">
        <v>648</v>
      </c>
    </row>
    <row r="814" customFormat="false" ht="15" hidden="false" customHeight="true" outlineLevel="0" collapsed="false">
      <c r="A814" s="1" t="s">
        <v>644</v>
      </c>
      <c r="B814" s="1" t="s">
        <v>424</v>
      </c>
      <c r="C814" s="1" t="s">
        <v>454</v>
      </c>
      <c r="D814" s="1" t="s">
        <v>279</v>
      </c>
      <c r="E814" s="73" t="n">
        <v>-2</v>
      </c>
      <c r="F814" s="26" t="n">
        <v>221.785743509048</v>
      </c>
      <c r="G814" s="26" t="n">
        <v>-443.571487018096</v>
      </c>
      <c r="H814" s="1" t="s">
        <v>648</v>
      </c>
    </row>
    <row r="815" customFormat="false" ht="15" hidden="false" customHeight="true" outlineLevel="0" collapsed="false">
      <c r="A815" s="1" t="s">
        <v>644</v>
      </c>
      <c r="B815" s="1" t="s">
        <v>424</v>
      </c>
      <c r="C815" s="1" t="s">
        <v>425</v>
      </c>
      <c r="D815" s="1" t="s">
        <v>283</v>
      </c>
      <c r="E815" s="73" t="n">
        <v>222</v>
      </c>
      <c r="F815" s="26" t="n">
        <v>1.86</v>
      </c>
      <c r="G815" s="26" t="n">
        <v>412.92</v>
      </c>
      <c r="H815" s="1" t="s">
        <v>426</v>
      </c>
    </row>
    <row r="816" customFormat="false" ht="15" hidden="false" customHeight="true" outlineLevel="0" collapsed="false">
      <c r="A816" s="1" t="s">
        <v>644</v>
      </c>
      <c r="B816" s="1" t="s">
        <v>424</v>
      </c>
      <c r="C816" s="1" t="s">
        <v>646</v>
      </c>
      <c r="D816" s="1" t="s">
        <v>283</v>
      </c>
      <c r="E816" s="73" t="n">
        <v>1</v>
      </c>
      <c r="F816" s="26" t="n">
        <v>1366.75</v>
      </c>
      <c r="G816" s="26" t="n">
        <v>1366.75</v>
      </c>
      <c r="H816" s="1" t="s">
        <v>647</v>
      </c>
    </row>
    <row r="817" customFormat="false" ht="15" hidden="false" customHeight="true" outlineLevel="0" collapsed="false">
      <c r="A817" s="1" t="s">
        <v>644</v>
      </c>
      <c r="B817" s="1" t="s">
        <v>424</v>
      </c>
      <c r="C817" s="1" t="s">
        <v>438</v>
      </c>
      <c r="D817" s="1" t="s">
        <v>283</v>
      </c>
      <c r="E817" s="73" t="n">
        <v>1</v>
      </c>
      <c r="F817" s="26" t="n">
        <v>221.785743509048</v>
      </c>
      <c r="G817" s="26" t="n">
        <v>221.785743509048</v>
      </c>
      <c r="H817" s="1" t="s">
        <v>648</v>
      </c>
    </row>
    <row r="818" customFormat="false" ht="15" hidden="false" customHeight="true" outlineLevel="0" collapsed="false">
      <c r="A818" s="1" t="s">
        <v>644</v>
      </c>
      <c r="B818" s="1" t="s">
        <v>424</v>
      </c>
      <c r="C818" s="1" t="s">
        <v>456</v>
      </c>
      <c r="D818" s="1" t="s">
        <v>283</v>
      </c>
      <c r="E818" s="73" t="n">
        <v>0</v>
      </c>
      <c r="F818" s="26" t="n">
        <v>0</v>
      </c>
      <c r="G818" s="26" t="n">
        <v>0</v>
      </c>
      <c r="H818" s="1" t="s">
        <v>648</v>
      </c>
    </row>
    <row r="819" customFormat="false" ht="15" hidden="false" customHeight="true" outlineLevel="0" collapsed="false">
      <c r="A819" s="1" t="s">
        <v>644</v>
      </c>
      <c r="B819" s="1" t="s">
        <v>424</v>
      </c>
      <c r="C819" s="1" t="s">
        <v>457</v>
      </c>
      <c r="D819" s="1" t="s">
        <v>283</v>
      </c>
      <c r="E819" s="73" t="n">
        <v>0</v>
      </c>
      <c r="F819" s="26" t="n">
        <v>0</v>
      </c>
      <c r="G819" s="26" t="n">
        <v>0</v>
      </c>
    </row>
    <row r="820" customFormat="false" ht="15" hidden="false" customHeight="true" outlineLevel="0" collapsed="false">
      <c r="A820" s="1" t="s">
        <v>644</v>
      </c>
      <c r="B820" s="1" t="s">
        <v>424</v>
      </c>
      <c r="C820" s="1" t="s">
        <v>458</v>
      </c>
      <c r="D820" s="1" t="s">
        <v>283</v>
      </c>
      <c r="E820" s="73" t="n">
        <v>0</v>
      </c>
      <c r="F820" s="26" t="n">
        <v>0</v>
      </c>
      <c r="G820" s="26" t="n">
        <v>0</v>
      </c>
      <c r="H820" s="1" t="s">
        <v>437</v>
      </c>
    </row>
    <row r="821" customFormat="false" ht="15" hidden="false" customHeight="true" outlineLevel="0" collapsed="false">
      <c r="A821" s="1" t="s">
        <v>644</v>
      </c>
      <c r="B821" s="1" t="s">
        <v>424</v>
      </c>
      <c r="C821" s="1" t="s">
        <v>425</v>
      </c>
      <c r="D821" s="1" t="s">
        <v>280</v>
      </c>
      <c r="E821" s="73" t="n">
        <v>669</v>
      </c>
      <c r="F821" s="26" t="n">
        <v>1.86</v>
      </c>
      <c r="G821" s="26" t="n">
        <v>1244.34</v>
      </c>
      <c r="H821" s="1" t="s">
        <v>426</v>
      </c>
    </row>
    <row r="822" customFormat="false" ht="15" hidden="false" customHeight="true" outlineLevel="0" collapsed="false">
      <c r="A822" s="1" t="s">
        <v>644</v>
      </c>
      <c r="B822" s="1" t="s">
        <v>424</v>
      </c>
      <c r="C822" s="1" t="s">
        <v>646</v>
      </c>
      <c r="D822" s="1" t="s">
        <v>280</v>
      </c>
      <c r="E822" s="73" t="n">
        <v>1</v>
      </c>
      <c r="F822" s="26" t="n">
        <v>1366.75</v>
      </c>
      <c r="G822" s="26" t="n">
        <v>1366.75</v>
      </c>
      <c r="H822" s="1" t="s">
        <v>647</v>
      </c>
    </row>
    <row r="823" customFormat="false" ht="15" hidden="false" customHeight="true" outlineLevel="0" collapsed="false">
      <c r="A823" s="1" t="s">
        <v>644</v>
      </c>
      <c r="B823" s="1" t="s">
        <v>424</v>
      </c>
      <c r="C823" s="1" t="s">
        <v>433</v>
      </c>
      <c r="D823" s="1" t="s">
        <v>280</v>
      </c>
      <c r="E823" s="73" t="n">
        <v>1</v>
      </c>
      <c r="F823" s="26" t="n">
        <v>173.46</v>
      </c>
      <c r="G823" s="26" t="n">
        <v>173.46</v>
      </c>
      <c r="H823" s="1" t="s">
        <v>462</v>
      </c>
    </row>
    <row r="824" customFormat="false" ht="15" hidden="false" customHeight="true" outlineLevel="0" collapsed="false">
      <c r="A824" s="1" t="s">
        <v>644</v>
      </c>
      <c r="B824" s="1" t="s">
        <v>424</v>
      </c>
      <c r="C824" s="1" t="s">
        <v>433</v>
      </c>
      <c r="D824" s="1" t="s">
        <v>280</v>
      </c>
      <c r="E824" s="73" t="n">
        <v>65</v>
      </c>
      <c r="F824" s="26" t="n">
        <v>21.95</v>
      </c>
      <c r="G824" s="26" t="n">
        <v>1426.75</v>
      </c>
      <c r="H824" s="1" t="s">
        <v>463</v>
      </c>
    </row>
    <row r="825" customFormat="false" ht="15" hidden="false" customHeight="true" outlineLevel="0" collapsed="false">
      <c r="A825" s="1" t="s">
        <v>644</v>
      </c>
      <c r="B825" s="1" t="s">
        <v>424</v>
      </c>
      <c r="C825" s="1" t="s">
        <v>464</v>
      </c>
      <c r="D825" s="1" t="s">
        <v>280</v>
      </c>
      <c r="E825" s="73" t="n">
        <v>1</v>
      </c>
      <c r="F825" s="26" t="n">
        <v>221.785743509048</v>
      </c>
      <c r="G825" s="26" t="n">
        <v>221.785743509048</v>
      </c>
      <c r="H825" s="1" t="s">
        <v>648</v>
      </c>
    </row>
    <row r="826" customFormat="false" ht="15" hidden="false" customHeight="true" outlineLevel="0" collapsed="false">
      <c r="A826" s="1" t="s">
        <v>644</v>
      </c>
      <c r="B826" s="1" t="s">
        <v>424</v>
      </c>
      <c r="C826" s="1" t="s">
        <v>465</v>
      </c>
      <c r="D826" s="1" t="s">
        <v>280</v>
      </c>
      <c r="E826" s="73" t="n">
        <v>2</v>
      </c>
      <c r="F826" s="26" t="n">
        <v>221.785743509048</v>
      </c>
      <c r="G826" s="26" t="n">
        <v>443.571487018096</v>
      </c>
      <c r="H826" s="1" t="s">
        <v>648</v>
      </c>
    </row>
    <row r="827" customFormat="false" ht="15" hidden="false" customHeight="true" outlineLevel="0" collapsed="false">
      <c r="A827" s="1" t="s">
        <v>644</v>
      </c>
      <c r="B827" s="1" t="s">
        <v>424</v>
      </c>
      <c r="C827" s="1" t="s">
        <v>466</v>
      </c>
      <c r="D827" s="1" t="s">
        <v>280</v>
      </c>
      <c r="E827" s="73" t="n">
        <v>0</v>
      </c>
      <c r="F827" s="26" t="n">
        <v>0</v>
      </c>
      <c r="G827" s="26" t="n">
        <v>0</v>
      </c>
    </row>
    <row r="828" customFormat="false" ht="15" hidden="false" customHeight="true" outlineLevel="0" collapsed="false">
      <c r="A828" s="1" t="s">
        <v>644</v>
      </c>
      <c r="B828" s="1" t="s">
        <v>424</v>
      </c>
      <c r="C828" s="1" t="s">
        <v>629</v>
      </c>
      <c r="D828" s="1" t="s">
        <v>280</v>
      </c>
      <c r="E828" s="73" t="n">
        <v>0</v>
      </c>
      <c r="F828" s="26" t="n">
        <v>0</v>
      </c>
      <c r="G828" s="26" t="n">
        <v>0</v>
      </c>
      <c r="H828" s="1" t="s">
        <v>648</v>
      </c>
    </row>
    <row r="829" customFormat="false" ht="15" hidden="false" customHeight="true" outlineLevel="0" collapsed="false">
      <c r="A829" s="1" t="s">
        <v>644</v>
      </c>
      <c r="B829" s="1" t="s">
        <v>424</v>
      </c>
      <c r="C829" s="1" t="s">
        <v>425</v>
      </c>
      <c r="D829" s="1" t="s">
        <v>274</v>
      </c>
      <c r="E829" s="73" t="n">
        <v>510</v>
      </c>
      <c r="F829" s="26" t="n">
        <v>1.86</v>
      </c>
      <c r="G829" s="26" t="n">
        <v>948.6</v>
      </c>
      <c r="H829" s="1" t="s">
        <v>426</v>
      </c>
    </row>
    <row r="830" customFormat="false" ht="15" hidden="false" customHeight="true" outlineLevel="0" collapsed="false">
      <c r="A830" s="1" t="s">
        <v>644</v>
      </c>
      <c r="B830" s="1" t="s">
        <v>424</v>
      </c>
      <c r="C830" s="1" t="s">
        <v>646</v>
      </c>
      <c r="D830" s="1" t="s">
        <v>274</v>
      </c>
      <c r="E830" s="73" t="n">
        <v>1</v>
      </c>
      <c r="F830" s="26" t="n">
        <v>1366.75</v>
      </c>
      <c r="G830" s="26" t="n">
        <v>1366.75</v>
      </c>
      <c r="H830" s="1" t="s">
        <v>647</v>
      </c>
    </row>
    <row r="831" customFormat="false" ht="15" hidden="false" customHeight="true" outlineLevel="0" collapsed="false">
      <c r="A831" s="1" t="s">
        <v>644</v>
      </c>
      <c r="B831" s="1" t="s">
        <v>424</v>
      </c>
      <c r="C831" s="1" t="s">
        <v>471</v>
      </c>
      <c r="D831" s="1" t="s">
        <v>274</v>
      </c>
      <c r="E831" s="73" t="n">
        <v>1</v>
      </c>
      <c r="F831" s="26" t="n">
        <v>542</v>
      </c>
      <c r="G831" s="26" t="n">
        <v>542</v>
      </c>
      <c r="H831" s="1" t="s">
        <v>472</v>
      </c>
    </row>
    <row r="832" customFormat="false" ht="15" hidden="false" customHeight="true" outlineLevel="0" collapsed="false">
      <c r="A832" s="1" t="s">
        <v>644</v>
      </c>
      <c r="B832" s="1" t="s">
        <v>424</v>
      </c>
      <c r="C832" s="1" t="s">
        <v>471</v>
      </c>
      <c r="D832" s="1" t="s">
        <v>274</v>
      </c>
      <c r="E832" s="73" t="n">
        <v>0</v>
      </c>
      <c r="F832" s="26" t="n">
        <v>0</v>
      </c>
      <c r="G832" s="26" t="n">
        <v>0</v>
      </c>
      <c r="H832" s="1" t="s">
        <v>449</v>
      </c>
    </row>
    <row r="833" customFormat="false" ht="15" hidden="false" customHeight="true" outlineLevel="0" collapsed="false">
      <c r="A833" s="1" t="s">
        <v>644</v>
      </c>
      <c r="B833" s="1" t="s">
        <v>424</v>
      </c>
      <c r="C833" s="1" t="s">
        <v>438</v>
      </c>
      <c r="D833" s="1" t="s">
        <v>274</v>
      </c>
      <c r="E833" s="73" t="n">
        <v>6</v>
      </c>
      <c r="F833" s="26" t="n">
        <v>221.785743509048</v>
      </c>
      <c r="G833" s="26" t="n">
        <v>1330.71446105429</v>
      </c>
      <c r="H833" s="1" t="s">
        <v>648</v>
      </c>
    </row>
    <row r="834" customFormat="false" ht="15" hidden="false" customHeight="true" outlineLevel="0" collapsed="false">
      <c r="A834" s="1" t="s">
        <v>644</v>
      </c>
      <c r="B834" s="1" t="s">
        <v>424</v>
      </c>
      <c r="C834" s="1" t="s">
        <v>474</v>
      </c>
      <c r="D834" s="1" t="s">
        <v>274</v>
      </c>
      <c r="E834" s="73" t="n">
        <v>0</v>
      </c>
      <c r="F834" s="26" t="n">
        <v>0</v>
      </c>
      <c r="G834" s="26" t="n">
        <v>0</v>
      </c>
      <c r="H834" s="1" t="s">
        <v>437</v>
      </c>
    </row>
    <row r="835" customFormat="false" ht="15" hidden="false" customHeight="true" outlineLevel="0" collapsed="false">
      <c r="A835" s="1" t="s">
        <v>644</v>
      </c>
      <c r="B835" s="1" t="s">
        <v>424</v>
      </c>
      <c r="C835" s="1" t="s">
        <v>475</v>
      </c>
      <c r="D835" s="1" t="s">
        <v>274</v>
      </c>
      <c r="E835" s="73" t="n">
        <v>0</v>
      </c>
      <c r="F835" s="26" t="n">
        <v>0</v>
      </c>
      <c r="G835" s="26" t="n">
        <v>0</v>
      </c>
      <c r="H835" s="1" t="s">
        <v>437</v>
      </c>
    </row>
    <row r="836" customFormat="false" ht="15" hidden="false" customHeight="true" outlineLevel="0" collapsed="false">
      <c r="A836" s="1" t="s">
        <v>644</v>
      </c>
      <c r="B836" s="1" t="s">
        <v>424</v>
      </c>
      <c r="C836" s="1" t="s">
        <v>649</v>
      </c>
      <c r="D836" s="1" t="s">
        <v>274</v>
      </c>
      <c r="E836" s="73" t="n">
        <v>0</v>
      </c>
      <c r="F836" s="26" t="n">
        <v>0</v>
      </c>
      <c r="G836" s="26" t="n">
        <v>0</v>
      </c>
      <c r="H836" s="1" t="s">
        <v>437</v>
      </c>
    </row>
    <row r="837" customFormat="false" ht="15" hidden="false" customHeight="true" outlineLevel="0" collapsed="false">
      <c r="A837" s="1" t="s">
        <v>644</v>
      </c>
      <c r="B837" s="1" t="s">
        <v>424</v>
      </c>
      <c r="C837" s="1" t="s">
        <v>425</v>
      </c>
      <c r="D837" s="1" t="s">
        <v>275</v>
      </c>
      <c r="E837" s="73" t="n">
        <v>154</v>
      </c>
      <c r="F837" s="26" t="n">
        <v>1.86</v>
      </c>
      <c r="G837" s="26" t="n">
        <v>286.44</v>
      </c>
      <c r="H837" s="1" t="s">
        <v>426</v>
      </c>
    </row>
    <row r="838" customFormat="false" ht="15" hidden="false" customHeight="true" outlineLevel="0" collapsed="false">
      <c r="A838" s="1" t="s">
        <v>644</v>
      </c>
      <c r="B838" s="1" t="s">
        <v>424</v>
      </c>
      <c r="C838" s="1" t="s">
        <v>646</v>
      </c>
      <c r="D838" s="1" t="s">
        <v>275</v>
      </c>
      <c r="E838" s="73" t="n">
        <v>1</v>
      </c>
      <c r="F838" s="26" t="n">
        <v>1366.75</v>
      </c>
      <c r="G838" s="26" t="n">
        <v>1366.75</v>
      </c>
      <c r="H838" s="1" t="s">
        <v>647</v>
      </c>
    </row>
    <row r="839" customFormat="false" ht="15" hidden="false" customHeight="true" outlineLevel="0" collapsed="false">
      <c r="A839" s="1" t="s">
        <v>644</v>
      </c>
      <c r="B839" s="1" t="s">
        <v>424</v>
      </c>
      <c r="C839" s="1" t="s">
        <v>471</v>
      </c>
      <c r="D839" s="1" t="s">
        <v>275</v>
      </c>
      <c r="E839" s="73" t="n">
        <v>1</v>
      </c>
      <c r="F839" s="26" t="n">
        <v>729</v>
      </c>
      <c r="G839" s="26" t="n">
        <v>729</v>
      </c>
      <c r="H839" s="1" t="s">
        <v>478</v>
      </c>
    </row>
    <row r="840" customFormat="false" ht="15" hidden="false" customHeight="true" outlineLevel="0" collapsed="false">
      <c r="A840" s="1" t="s">
        <v>644</v>
      </c>
      <c r="B840" s="1" t="s">
        <v>424</v>
      </c>
      <c r="C840" s="1" t="s">
        <v>471</v>
      </c>
      <c r="D840" s="1" t="s">
        <v>275</v>
      </c>
      <c r="E840" s="73" t="n">
        <v>35</v>
      </c>
      <c r="F840" s="26" t="n">
        <v>18.52</v>
      </c>
      <c r="G840" s="26" t="n">
        <v>648.2</v>
      </c>
      <c r="H840" s="1" t="s">
        <v>449</v>
      </c>
    </row>
    <row r="841" customFormat="false" ht="15" hidden="false" customHeight="true" outlineLevel="0" collapsed="false">
      <c r="A841" s="1" t="s">
        <v>644</v>
      </c>
      <c r="B841" s="1" t="s">
        <v>424</v>
      </c>
      <c r="C841" s="1" t="s">
        <v>438</v>
      </c>
      <c r="D841" s="1" t="s">
        <v>275</v>
      </c>
      <c r="E841" s="73" t="n">
        <v>0</v>
      </c>
      <c r="F841" s="26" t="n">
        <v>0</v>
      </c>
      <c r="G841" s="26" t="n">
        <v>0</v>
      </c>
      <c r="H841" s="1" t="s">
        <v>437</v>
      </c>
    </row>
    <row r="842" customFormat="false" ht="15" hidden="false" customHeight="true" outlineLevel="0" collapsed="false">
      <c r="A842" s="1" t="s">
        <v>644</v>
      </c>
      <c r="B842" s="1" t="s">
        <v>424</v>
      </c>
      <c r="C842" s="1" t="s">
        <v>479</v>
      </c>
      <c r="D842" s="1" t="s">
        <v>275</v>
      </c>
      <c r="E842" s="73" t="n">
        <v>-1</v>
      </c>
      <c r="F842" s="26" t="n">
        <v>519.806923076923</v>
      </c>
      <c r="G842" s="26" t="n">
        <v>-519.806923076923</v>
      </c>
      <c r="H842" s="1" t="s">
        <v>648</v>
      </c>
    </row>
    <row r="843" customFormat="false" ht="15" hidden="false" customHeight="true" outlineLevel="0" collapsed="false">
      <c r="A843" s="1" t="s">
        <v>644</v>
      </c>
      <c r="B843" s="1" t="s">
        <v>424</v>
      </c>
      <c r="C843" s="1" t="s">
        <v>442</v>
      </c>
      <c r="D843" s="1" t="s">
        <v>272</v>
      </c>
      <c r="E843" s="73" t="n">
        <v>1</v>
      </c>
      <c r="F843" s="26" t="n">
        <v>25.5</v>
      </c>
      <c r="G843" s="26" t="n">
        <v>25.5</v>
      </c>
      <c r="H843" s="1" t="s">
        <v>569</v>
      </c>
    </row>
    <row r="844" customFormat="false" ht="15" hidden="false" customHeight="true" outlineLevel="0" collapsed="false">
      <c r="A844" s="1" t="s">
        <v>644</v>
      </c>
      <c r="B844" s="1" t="s">
        <v>424</v>
      </c>
      <c r="C844" s="1" t="s">
        <v>425</v>
      </c>
      <c r="D844" s="1" t="s">
        <v>272</v>
      </c>
      <c r="E844" s="73" t="n">
        <v>268</v>
      </c>
      <c r="F844" s="26" t="n">
        <v>1.86</v>
      </c>
      <c r="G844" s="26" t="n">
        <v>498.48</v>
      </c>
      <c r="H844" s="1" t="s">
        <v>426</v>
      </c>
    </row>
    <row r="845" customFormat="false" ht="15" hidden="false" customHeight="true" outlineLevel="0" collapsed="false">
      <c r="A845" s="1" t="s">
        <v>644</v>
      </c>
      <c r="B845" s="1" t="s">
        <v>424</v>
      </c>
      <c r="C845" s="1" t="s">
        <v>646</v>
      </c>
      <c r="D845" s="1" t="s">
        <v>272</v>
      </c>
      <c r="E845" s="73" t="n">
        <v>1</v>
      </c>
      <c r="F845" s="26" t="n">
        <v>1366.75</v>
      </c>
      <c r="G845" s="26" t="n">
        <v>1366.75</v>
      </c>
      <c r="H845" s="1" t="s">
        <v>647</v>
      </c>
    </row>
    <row r="846" customFormat="false" ht="15" hidden="false" customHeight="true" outlineLevel="0" collapsed="false">
      <c r="A846" s="1" t="s">
        <v>644</v>
      </c>
      <c r="B846" s="1" t="s">
        <v>424</v>
      </c>
      <c r="C846" s="1" t="s">
        <v>438</v>
      </c>
      <c r="D846" s="1" t="s">
        <v>272</v>
      </c>
      <c r="E846" s="73" t="n">
        <v>5</v>
      </c>
      <c r="F846" s="26" t="n">
        <v>221.785743509048</v>
      </c>
      <c r="G846" s="26" t="n">
        <v>1108.92871754524</v>
      </c>
      <c r="H846" s="1" t="s">
        <v>650</v>
      </c>
    </row>
    <row r="847" customFormat="false" ht="15" hidden="false" customHeight="true" outlineLevel="0" collapsed="false">
      <c r="A847" s="1" t="s">
        <v>644</v>
      </c>
      <c r="B847" s="1" t="s">
        <v>424</v>
      </c>
      <c r="C847" s="1" t="s">
        <v>483</v>
      </c>
      <c r="D847" s="1" t="s">
        <v>272</v>
      </c>
      <c r="E847" s="73" t="n">
        <v>0</v>
      </c>
      <c r="F847" s="26" t="n">
        <v>0</v>
      </c>
      <c r="G847" s="26" t="n">
        <v>0</v>
      </c>
    </row>
    <row r="848" customFormat="false" ht="15" hidden="false" customHeight="true" outlineLevel="0" collapsed="false">
      <c r="A848" s="1" t="s">
        <v>644</v>
      </c>
      <c r="B848" s="1" t="s">
        <v>424</v>
      </c>
      <c r="C848" s="1" t="s">
        <v>484</v>
      </c>
      <c r="D848" s="1" t="s">
        <v>272</v>
      </c>
      <c r="E848" s="73" t="n">
        <v>-8</v>
      </c>
      <c r="F848" s="26" t="n">
        <v>289.27</v>
      </c>
      <c r="G848" s="26" t="n">
        <v>-2314.16</v>
      </c>
      <c r="H848" s="1" t="s">
        <v>648</v>
      </c>
    </row>
    <row r="849" customFormat="false" ht="15" hidden="false" customHeight="true" outlineLevel="0" collapsed="false">
      <c r="A849" s="1" t="s">
        <v>644</v>
      </c>
      <c r="B849" s="1" t="s">
        <v>424</v>
      </c>
      <c r="C849" s="1" t="s">
        <v>631</v>
      </c>
      <c r="D849" s="1" t="s">
        <v>272</v>
      </c>
      <c r="E849" s="73" t="n">
        <v>0</v>
      </c>
      <c r="F849" s="26" t="n">
        <v>0</v>
      </c>
      <c r="G849" s="26" t="n">
        <v>0</v>
      </c>
      <c r="H849" s="1" t="s">
        <v>437</v>
      </c>
    </row>
    <row r="850" customFormat="false" ht="15" hidden="false" customHeight="true" outlineLevel="0" collapsed="false">
      <c r="A850" s="1" t="s">
        <v>644</v>
      </c>
      <c r="B850" s="1" t="s">
        <v>424</v>
      </c>
      <c r="C850" s="1" t="s">
        <v>486</v>
      </c>
      <c r="D850" s="1" t="s">
        <v>272</v>
      </c>
      <c r="E850" s="73" t="n">
        <v>0</v>
      </c>
      <c r="F850" s="26" t="n">
        <v>0</v>
      </c>
      <c r="G850" s="26" t="n">
        <v>0</v>
      </c>
    </row>
    <row r="851" customFormat="false" ht="15" hidden="false" customHeight="true" outlineLevel="0" collapsed="false">
      <c r="A851" s="1" t="s">
        <v>644</v>
      </c>
      <c r="B851" s="1" t="s">
        <v>487</v>
      </c>
      <c r="C851" s="1" t="s">
        <v>488</v>
      </c>
      <c r="D851" s="1" t="s">
        <v>277</v>
      </c>
      <c r="E851" s="73" t="n">
        <v>6588</v>
      </c>
      <c r="F851" s="26" t="n">
        <v>0.2</v>
      </c>
      <c r="G851" s="26" t="n">
        <v>1317.6</v>
      </c>
      <c r="H851" s="1" t="s">
        <v>410</v>
      </c>
    </row>
    <row r="852" customFormat="false" ht="15" hidden="false" customHeight="true" outlineLevel="0" collapsed="false">
      <c r="A852" s="1" t="s">
        <v>644</v>
      </c>
      <c r="B852" s="1" t="s">
        <v>487</v>
      </c>
      <c r="C852" s="1" t="s">
        <v>488</v>
      </c>
      <c r="D852" s="1" t="s">
        <v>279</v>
      </c>
      <c r="E852" s="73" t="n">
        <v>13530</v>
      </c>
      <c r="F852" s="26" t="n">
        <v>0.2</v>
      </c>
      <c r="G852" s="26" t="n">
        <v>2706</v>
      </c>
      <c r="H852" s="1" t="s">
        <v>410</v>
      </c>
    </row>
    <row r="853" customFormat="false" ht="15" hidden="false" customHeight="true" outlineLevel="0" collapsed="false">
      <c r="A853" s="1" t="s">
        <v>644</v>
      </c>
      <c r="B853" s="1" t="s">
        <v>487</v>
      </c>
      <c r="C853" s="1" t="s">
        <v>488</v>
      </c>
      <c r="D853" s="1" t="s">
        <v>283</v>
      </c>
      <c r="E853" s="73" t="n">
        <v>3765</v>
      </c>
      <c r="F853" s="26" t="n">
        <v>0.2</v>
      </c>
      <c r="G853" s="26" t="n">
        <v>753</v>
      </c>
      <c r="H853" s="1" t="s">
        <v>410</v>
      </c>
    </row>
    <row r="854" customFormat="false" ht="15" hidden="false" customHeight="true" outlineLevel="0" collapsed="false">
      <c r="A854" s="1" t="s">
        <v>644</v>
      </c>
      <c r="B854" s="1" t="s">
        <v>487</v>
      </c>
      <c r="C854" s="1" t="s">
        <v>488</v>
      </c>
      <c r="D854" s="1" t="s">
        <v>280</v>
      </c>
      <c r="E854" s="73" t="n">
        <v>6568</v>
      </c>
      <c r="F854" s="26" t="n">
        <v>0.2</v>
      </c>
      <c r="G854" s="26" t="n">
        <v>1313.6</v>
      </c>
      <c r="H854" s="1" t="s">
        <v>410</v>
      </c>
    </row>
    <row r="855" customFormat="false" ht="15" hidden="false" customHeight="true" outlineLevel="0" collapsed="false">
      <c r="A855" s="1" t="s">
        <v>644</v>
      </c>
      <c r="B855" s="1" t="s">
        <v>487</v>
      </c>
      <c r="C855" s="1" t="s">
        <v>488</v>
      </c>
      <c r="D855" s="1" t="s">
        <v>274</v>
      </c>
      <c r="E855" s="73" t="n">
        <v>14689</v>
      </c>
      <c r="F855" s="26" t="n">
        <v>0.2</v>
      </c>
      <c r="G855" s="26" t="n">
        <v>2937.8</v>
      </c>
      <c r="H855" s="1" t="s">
        <v>410</v>
      </c>
    </row>
    <row r="856" customFormat="false" ht="15" hidden="false" customHeight="true" outlineLevel="0" collapsed="false">
      <c r="A856" s="1" t="s">
        <v>644</v>
      </c>
      <c r="B856" s="1" t="s">
        <v>487</v>
      </c>
      <c r="C856" s="1" t="s">
        <v>488</v>
      </c>
      <c r="D856" s="1" t="s">
        <v>275</v>
      </c>
      <c r="E856" s="73" t="n">
        <v>4805</v>
      </c>
      <c r="F856" s="26" t="n">
        <v>0.2</v>
      </c>
      <c r="G856" s="26" t="n">
        <v>961</v>
      </c>
      <c r="H856" s="1" t="s">
        <v>410</v>
      </c>
    </row>
    <row r="857" customFormat="false" ht="15" hidden="false" customHeight="true" outlineLevel="0" collapsed="false">
      <c r="A857" s="1" t="s">
        <v>644</v>
      </c>
      <c r="B857" s="1" t="s">
        <v>487</v>
      </c>
      <c r="C857" s="1" t="s">
        <v>488</v>
      </c>
      <c r="D857" s="1" t="s">
        <v>272</v>
      </c>
      <c r="E857" s="73" t="n">
        <v>4806</v>
      </c>
      <c r="F857" s="26" t="n">
        <v>0.2</v>
      </c>
      <c r="G857" s="26" t="n">
        <v>961.2</v>
      </c>
      <c r="H857" s="1" t="s">
        <v>410</v>
      </c>
    </row>
    <row r="858" customFormat="false" ht="15" hidden="false" customHeight="true" outlineLevel="0" collapsed="false">
      <c r="A858" s="1" t="s">
        <v>644</v>
      </c>
      <c r="B858" s="1" t="s">
        <v>139</v>
      </c>
      <c r="C858" s="1" t="s">
        <v>491</v>
      </c>
      <c r="D858" s="1" t="s">
        <v>279</v>
      </c>
      <c r="E858" s="73" t="n">
        <v>13530</v>
      </c>
      <c r="F858" s="26" t="n">
        <v>0.101057218436555</v>
      </c>
      <c r="G858" s="26" t="n">
        <v>1367.304165</v>
      </c>
      <c r="H858" s="1" t="s">
        <v>410</v>
      </c>
    </row>
    <row r="859" customFormat="false" ht="15" hidden="false" customHeight="true" outlineLevel="0" collapsed="false">
      <c r="A859" s="1" t="s">
        <v>644</v>
      </c>
      <c r="B859" s="1" t="s">
        <v>45</v>
      </c>
      <c r="C859" s="1" t="s">
        <v>492</v>
      </c>
      <c r="D859" s="1" t="s">
        <v>277</v>
      </c>
      <c r="E859" s="73" t="n">
        <v>1579</v>
      </c>
      <c r="F859" s="26" t="n">
        <v>7.19</v>
      </c>
      <c r="G859" s="26" t="n">
        <v>11353.01</v>
      </c>
      <c r="H859" s="1" t="s">
        <v>493</v>
      </c>
    </row>
    <row r="860" customFormat="false" ht="15" hidden="false" customHeight="true" outlineLevel="0" collapsed="false">
      <c r="A860" s="1" t="s">
        <v>644</v>
      </c>
      <c r="B860" s="1" t="s">
        <v>45</v>
      </c>
      <c r="C860" s="1" t="s">
        <v>492</v>
      </c>
      <c r="D860" s="1" t="s">
        <v>283</v>
      </c>
      <c r="E860" s="73" t="n">
        <v>469</v>
      </c>
      <c r="F860" s="26" t="n">
        <v>7.19</v>
      </c>
      <c r="G860" s="26" t="n">
        <v>3372.11</v>
      </c>
      <c r="H860" s="1" t="s">
        <v>493</v>
      </c>
    </row>
    <row r="861" customFormat="false" ht="15" hidden="false" customHeight="true" outlineLevel="0" collapsed="false">
      <c r="A861" s="1" t="s">
        <v>644</v>
      </c>
      <c r="B861" s="1" t="s">
        <v>45</v>
      </c>
      <c r="C861" s="1" t="s">
        <v>492</v>
      </c>
      <c r="D861" s="1" t="s">
        <v>280</v>
      </c>
      <c r="E861" s="73" t="n">
        <v>727</v>
      </c>
      <c r="F861" s="26" t="n">
        <v>7.20444291609354</v>
      </c>
      <c r="G861" s="26" t="n">
        <v>5237.63</v>
      </c>
      <c r="H861" s="1" t="s">
        <v>493</v>
      </c>
    </row>
    <row r="862" customFormat="false" ht="15" hidden="false" customHeight="true" outlineLevel="0" collapsed="false">
      <c r="A862" s="1" t="s">
        <v>644</v>
      </c>
      <c r="B862" s="1" t="s">
        <v>45</v>
      </c>
      <c r="C862" s="1" t="s">
        <v>492</v>
      </c>
      <c r="D862" s="1" t="s">
        <v>274</v>
      </c>
      <c r="E862" s="73" t="n">
        <v>2981</v>
      </c>
      <c r="F862" s="26" t="n">
        <v>7.19</v>
      </c>
      <c r="G862" s="26" t="n">
        <v>21433.39</v>
      </c>
      <c r="H862" s="1" t="s">
        <v>493</v>
      </c>
    </row>
    <row r="863" customFormat="false" ht="15" hidden="false" customHeight="true" outlineLevel="0" collapsed="false">
      <c r="A863" s="1" t="s">
        <v>644</v>
      </c>
      <c r="B863" s="1" t="s">
        <v>45</v>
      </c>
      <c r="C863" s="1" t="s">
        <v>492</v>
      </c>
      <c r="D863" s="1" t="s">
        <v>275</v>
      </c>
      <c r="E863" s="73" t="n">
        <v>2548</v>
      </c>
      <c r="F863" s="26" t="n">
        <v>7.19859497645212</v>
      </c>
      <c r="G863" s="26" t="n">
        <v>18342.02</v>
      </c>
      <c r="H863" s="1" t="s">
        <v>493</v>
      </c>
    </row>
    <row r="864" customFormat="false" ht="15" hidden="false" customHeight="true" outlineLevel="0" collapsed="false">
      <c r="A864" s="1" t="s">
        <v>644</v>
      </c>
      <c r="B864" s="1" t="s">
        <v>45</v>
      </c>
      <c r="C864" s="1" t="s">
        <v>494</v>
      </c>
      <c r="D864" s="1" t="s">
        <v>272</v>
      </c>
      <c r="E864" s="73" t="n">
        <v>0</v>
      </c>
      <c r="F864" s="26" t="n">
        <v>0</v>
      </c>
      <c r="G864" s="26" t="n">
        <v>0</v>
      </c>
      <c r="H864" s="1" t="s">
        <v>495</v>
      </c>
    </row>
    <row r="865" customFormat="false" ht="15" hidden="false" customHeight="true" outlineLevel="0" collapsed="false">
      <c r="A865" s="1" t="s">
        <v>644</v>
      </c>
      <c r="B865" s="1" t="s">
        <v>45</v>
      </c>
      <c r="C865" s="1" t="s">
        <v>492</v>
      </c>
      <c r="D865" s="1" t="s">
        <v>272</v>
      </c>
      <c r="E865" s="73" t="n">
        <v>1</v>
      </c>
      <c r="F865" s="26" t="n">
        <v>800</v>
      </c>
      <c r="G865" s="26" t="n">
        <v>800</v>
      </c>
      <c r="H865" s="1" t="s">
        <v>493</v>
      </c>
    </row>
    <row r="866" customFormat="false" ht="15" hidden="false" customHeight="true" outlineLevel="0" collapsed="false">
      <c r="A866" s="1" t="s">
        <v>644</v>
      </c>
      <c r="B866" s="1" t="s">
        <v>50</v>
      </c>
      <c r="C866" s="1" t="s">
        <v>496</v>
      </c>
      <c r="D866" s="1" t="s">
        <v>277</v>
      </c>
      <c r="E866" s="73" t="n">
        <v>0</v>
      </c>
      <c r="F866" s="26" t="n">
        <v>0</v>
      </c>
      <c r="G866" s="26" t="n">
        <v>0</v>
      </c>
      <c r="H866" s="1" t="s">
        <v>497</v>
      </c>
    </row>
    <row r="867" customFormat="false" ht="15" hidden="false" customHeight="true" outlineLevel="0" collapsed="false">
      <c r="A867" s="1" t="s">
        <v>644</v>
      </c>
      <c r="B867" s="1" t="s">
        <v>50</v>
      </c>
      <c r="C867" s="1" t="s">
        <v>496</v>
      </c>
      <c r="D867" s="1" t="s">
        <v>279</v>
      </c>
      <c r="E867" s="73" t="n">
        <v>0</v>
      </c>
      <c r="F867" s="26" t="n">
        <v>0</v>
      </c>
      <c r="G867" s="26" t="n">
        <v>0</v>
      </c>
      <c r="H867" s="1" t="s">
        <v>497</v>
      </c>
    </row>
    <row r="868" customFormat="false" ht="15" hidden="false" customHeight="true" outlineLevel="0" collapsed="false">
      <c r="A868" s="1" t="s">
        <v>644</v>
      </c>
      <c r="B868" s="1" t="s">
        <v>50</v>
      </c>
      <c r="C868" s="1" t="s">
        <v>496</v>
      </c>
      <c r="D868" s="1" t="s">
        <v>283</v>
      </c>
      <c r="E868" s="73" t="n">
        <v>0</v>
      </c>
      <c r="F868" s="26" t="n">
        <v>0</v>
      </c>
      <c r="G868" s="26" t="n">
        <v>0</v>
      </c>
      <c r="H868" s="1" t="s">
        <v>497</v>
      </c>
    </row>
    <row r="869" customFormat="false" ht="15" hidden="false" customHeight="true" outlineLevel="0" collapsed="false">
      <c r="A869" s="1" t="s">
        <v>644</v>
      </c>
      <c r="B869" s="1" t="s">
        <v>50</v>
      </c>
      <c r="C869" s="1" t="s">
        <v>496</v>
      </c>
      <c r="D869" s="1" t="s">
        <v>280</v>
      </c>
      <c r="E869" s="73" t="n">
        <v>0</v>
      </c>
      <c r="F869" s="26" t="n">
        <v>0</v>
      </c>
      <c r="G869" s="26" t="n">
        <v>0</v>
      </c>
      <c r="H869" s="1" t="s">
        <v>498</v>
      </c>
    </row>
    <row r="870" customFormat="false" ht="15" hidden="false" customHeight="true" outlineLevel="0" collapsed="false">
      <c r="A870" s="1" t="s">
        <v>644</v>
      </c>
      <c r="B870" s="1" t="s">
        <v>50</v>
      </c>
      <c r="C870" s="1" t="s">
        <v>496</v>
      </c>
      <c r="D870" s="1" t="s">
        <v>280</v>
      </c>
      <c r="E870" s="73" t="n">
        <v>0</v>
      </c>
      <c r="F870" s="26" t="n">
        <v>0</v>
      </c>
      <c r="G870" s="26" t="n">
        <v>0</v>
      </c>
      <c r="H870" s="1" t="s">
        <v>497</v>
      </c>
    </row>
    <row r="871" customFormat="false" ht="15" hidden="false" customHeight="true" outlineLevel="0" collapsed="false">
      <c r="A871" s="1" t="s">
        <v>644</v>
      </c>
      <c r="B871" s="1" t="s">
        <v>50</v>
      </c>
      <c r="C871" s="1" t="s">
        <v>496</v>
      </c>
      <c r="D871" s="1" t="s">
        <v>274</v>
      </c>
      <c r="E871" s="73" t="n">
        <v>0</v>
      </c>
      <c r="F871" s="26" t="n">
        <v>0</v>
      </c>
      <c r="G871" s="26" t="n">
        <v>0</v>
      </c>
      <c r="H871" s="1" t="s">
        <v>499</v>
      </c>
    </row>
    <row r="872" customFormat="false" ht="15" hidden="false" customHeight="true" outlineLevel="0" collapsed="false">
      <c r="A872" s="1" t="s">
        <v>644</v>
      </c>
      <c r="B872" s="1" t="s">
        <v>50</v>
      </c>
      <c r="C872" s="1" t="s">
        <v>496</v>
      </c>
      <c r="D872" s="1" t="s">
        <v>274</v>
      </c>
      <c r="E872" s="73" t="n">
        <v>0</v>
      </c>
      <c r="F872" s="26" t="n">
        <v>0</v>
      </c>
      <c r="G872" s="26" t="n">
        <v>0</v>
      </c>
      <c r="H872" s="1" t="s">
        <v>497</v>
      </c>
    </row>
    <row r="873" customFormat="false" ht="15" hidden="false" customHeight="true" outlineLevel="0" collapsed="false">
      <c r="A873" s="1" t="s">
        <v>644</v>
      </c>
      <c r="B873" s="1" t="s">
        <v>50</v>
      </c>
      <c r="C873" s="1" t="s">
        <v>496</v>
      </c>
      <c r="D873" s="1" t="s">
        <v>275</v>
      </c>
      <c r="E873" s="73" t="n">
        <v>0</v>
      </c>
      <c r="F873" s="26" t="n">
        <v>0</v>
      </c>
      <c r="G873" s="26" t="n">
        <v>0</v>
      </c>
      <c r="H873" s="1" t="s">
        <v>497</v>
      </c>
    </row>
    <row r="874" customFormat="false" ht="15" hidden="false" customHeight="true" outlineLevel="0" collapsed="false">
      <c r="A874" s="1" t="s">
        <v>644</v>
      </c>
      <c r="B874" s="1" t="s">
        <v>50</v>
      </c>
      <c r="C874" s="1" t="s">
        <v>496</v>
      </c>
      <c r="D874" s="1" t="s">
        <v>272</v>
      </c>
      <c r="E874" s="73" t="n">
        <v>0</v>
      </c>
      <c r="F874" s="26" t="n">
        <v>0</v>
      </c>
      <c r="G874" s="26" t="n">
        <v>0</v>
      </c>
      <c r="H874" s="1" t="s">
        <v>497</v>
      </c>
    </row>
    <row r="875" customFormat="false" ht="15" hidden="false" customHeight="true" outlineLevel="0" collapsed="false">
      <c r="A875" s="1" t="s">
        <v>644</v>
      </c>
      <c r="B875" s="1" t="s">
        <v>500</v>
      </c>
      <c r="C875" s="1" t="s">
        <v>501</v>
      </c>
      <c r="D875" s="1" t="s">
        <v>277</v>
      </c>
      <c r="E875" s="73" t="n">
        <v>0</v>
      </c>
      <c r="F875" s="26" t="n">
        <v>0</v>
      </c>
      <c r="G875" s="26" t="n">
        <v>0</v>
      </c>
      <c r="H875" s="1" t="s">
        <v>502</v>
      </c>
    </row>
    <row r="876" customFormat="false" ht="15" hidden="false" customHeight="true" outlineLevel="0" collapsed="false">
      <c r="A876" s="1" t="s">
        <v>644</v>
      </c>
      <c r="B876" s="1" t="s">
        <v>500</v>
      </c>
      <c r="C876" s="1" t="s">
        <v>503</v>
      </c>
      <c r="D876" s="1" t="s">
        <v>277</v>
      </c>
      <c r="E876" s="73" t="n">
        <v>0</v>
      </c>
      <c r="F876" s="26" t="n">
        <v>0</v>
      </c>
      <c r="G876" s="26" t="n">
        <v>0</v>
      </c>
      <c r="H876" s="1" t="s">
        <v>504</v>
      </c>
    </row>
    <row r="877" customFormat="false" ht="15" hidden="false" customHeight="true" outlineLevel="0" collapsed="false">
      <c r="A877" s="1" t="s">
        <v>644</v>
      </c>
      <c r="B877" s="1" t="s">
        <v>500</v>
      </c>
      <c r="C877" s="1" t="s">
        <v>505</v>
      </c>
      <c r="D877" s="1" t="s">
        <v>277</v>
      </c>
      <c r="E877" s="73" t="n">
        <v>10</v>
      </c>
      <c r="F877" s="26" t="n">
        <v>20</v>
      </c>
      <c r="G877" s="26" t="n">
        <v>200</v>
      </c>
      <c r="H877" s="1" t="s">
        <v>506</v>
      </c>
    </row>
    <row r="878" customFormat="false" ht="15" hidden="false" customHeight="true" outlineLevel="0" collapsed="false">
      <c r="A878" s="1" t="s">
        <v>644</v>
      </c>
      <c r="B878" s="1" t="s">
        <v>500</v>
      </c>
      <c r="C878" s="1" t="s">
        <v>507</v>
      </c>
      <c r="D878" s="1" t="s">
        <v>277</v>
      </c>
      <c r="E878" s="73" t="n">
        <v>1</v>
      </c>
      <c r="F878" s="26" t="n">
        <v>927.69</v>
      </c>
      <c r="G878" s="26" t="n">
        <v>927.69</v>
      </c>
      <c r="H878" s="1" t="s">
        <v>651</v>
      </c>
    </row>
    <row r="879" customFormat="false" ht="15" hidden="false" customHeight="true" outlineLevel="0" collapsed="false">
      <c r="A879" s="1" t="s">
        <v>644</v>
      </c>
      <c r="B879" s="1" t="s">
        <v>500</v>
      </c>
      <c r="C879" s="1" t="s">
        <v>509</v>
      </c>
      <c r="D879" s="1" t="s">
        <v>277</v>
      </c>
      <c r="E879" s="73" t="n">
        <v>1</v>
      </c>
      <c r="F879" s="26" t="n">
        <v>480</v>
      </c>
      <c r="G879" s="26" t="n">
        <v>480</v>
      </c>
      <c r="H879" s="1" t="s">
        <v>510</v>
      </c>
    </row>
    <row r="880" customFormat="false" ht="15" hidden="false" customHeight="true" outlineLevel="0" collapsed="false">
      <c r="A880" s="1" t="s">
        <v>644</v>
      </c>
      <c r="B880" s="1" t="s">
        <v>500</v>
      </c>
      <c r="C880" s="1" t="s">
        <v>507</v>
      </c>
      <c r="D880" s="1" t="s">
        <v>279</v>
      </c>
      <c r="E880" s="73" t="n">
        <v>0</v>
      </c>
      <c r="F880" s="26" t="n">
        <v>0</v>
      </c>
      <c r="G880" s="26" t="n">
        <v>0</v>
      </c>
      <c r="H880" s="1" t="s">
        <v>508</v>
      </c>
    </row>
    <row r="881" customFormat="false" ht="15" hidden="false" customHeight="true" outlineLevel="0" collapsed="false">
      <c r="A881" s="1" t="s">
        <v>644</v>
      </c>
      <c r="B881" s="1" t="s">
        <v>500</v>
      </c>
      <c r="C881" s="1" t="s">
        <v>505</v>
      </c>
      <c r="D881" s="1" t="s">
        <v>283</v>
      </c>
      <c r="E881" s="73" t="n">
        <v>3</v>
      </c>
      <c r="F881" s="26" t="n">
        <v>20</v>
      </c>
      <c r="G881" s="26" t="n">
        <v>60</v>
      </c>
      <c r="H881" s="1" t="s">
        <v>506</v>
      </c>
    </row>
    <row r="882" customFormat="false" ht="15" hidden="false" customHeight="true" outlineLevel="0" collapsed="false">
      <c r="A882" s="1" t="s">
        <v>644</v>
      </c>
      <c r="B882" s="1" t="s">
        <v>500</v>
      </c>
      <c r="C882" s="1" t="s">
        <v>507</v>
      </c>
      <c r="D882" s="1" t="s">
        <v>283</v>
      </c>
      <c r="E882" s="73" t="n">
        <v>0</v>
      </c>
      <c r="F882" s="26" t="n">
        <v>0</v>
      </c>
      <c r="G882" s="26" t="n">
        <v>0</v>
      </c>
      <c r="H882" s="1" t="s">
        <v>651</v>
      </c>
    </row>
    <row r="883" customFormat="false" ht="15" hidden="false" customHeight="true" outlineLevel="0" collapsed="false">
      <c r="A883" s="1" t="s">
        <v>644</v>
      </c>
      <c r="B883" s="1" t="s">
        <v>500</v>
      </c>
      <c r="C883" s="1" t="s">
        <v>509</v>
      </c>
      <c r="D883" s="1" t="s">
        <v>283</v>
      </c>
      <c r="E883" s="73" t="n">
        <v>0</v>
      </c>
      <c r="F883" s="26" t="n">
        <v>0</v>
      </c>
      <c r="G883" s="26" t="n">
        <v>0</v>
      </c>
      <c r="H883" s="1" t="s">
        <v>510</v>
      </c>
    </row>
    <row r="884" customFormat="false" ht="15" hidden="false" customHeight="true" outlineLevel="0" collapsed="false">
      <c r="A884" s="1" t="s">
        <v>644</v>
      </c>
      <c r="B884" s="1" t="s">
        <v>500</v>
      </c>
      <c r="C884" s="1" t="s">
        <v>501</v>
      </c>
      <c r="D884" s="1" t="s">
        <v>280</v>
      </c>
      <c r="E884" s="73" t="n">
        <v>0</v>
      </c>
      <c r="F884" s="26" t="n">
        <v>0</v>
      </c>
      <c r="G884" s="26" t="n">
        <v>0</v>
      </c>
      <c r="H884" s="1" t="s">
        <v>511</v>
      </c>
    </row>
    <row r="885" customFormat="false" ht="15" hidden="false" customHeight="true" outlineLevel="0" collapsed="false">
      <c r="A885" s="1" t="s">
        <v>644</v>
      </c>
      <c r="B885" s="1" t="s">
        <v>500</v>
      </c>
      <c r="C885" s="1" t="s">
        <v>503</v>
      </c>
      <c r="D885" s="1" t="s">
        <v>280</v>
      </c>
      <c r="E885" s="73" t="n">
        <v>0</v>
      </c>
      <c r="F885" s="26" t="n">
        <v>0</v>
      </c>
      <c r="G885" s="26" t="n">
        <v>0</v>
      </c>
      <c r="H885" s="1" t="s">
        <v>512</v>
      </c>
    </row>
    <row r="886" customFormat="false" ht="15" hidden="false" customHeight="true" outlineLevel="0" collapsed="false">
      <c r="A886" s="1" t="s">
        <v>644</v>
      </c>
      <c r="B886" s="1" t="s">
        <v>500</v>
      </c>
      <c r="C886" s="1" t="s">
        <v>505</v>
      </c>
      <c r="D886" s="1" t="s">
        <v>280</v>
      </c>
      <c r="E886" s="73" t="n">
        <v>13</v>
      </c>
      <c r="F886" s="26" t="n">
        <v>20</v>
      </c>
      <c r="G886" s="26" t="n">
        <v>260</v>
      </c>
      <c r="H886" s="1" t="s">
        <v>506</v>
      </c>
    </row>
    <row r="887" customFormat="false" ht="15" hidden="false" customHeight="true" outlineLevel="0" collapsed="false">
      <c r="A887" s="1" t="s">
        <v>644</v>
      </c>
      <c r="B887" s="1" t="s">
        <v>500</v>
      </c>
      <c r="C887" s="1" t="s">
        <v>507</v>
      </c>
      <c r="D887" s="1" t="s">
        <v>280</v>
      </c>
      <c r="E887" s="73" t="n">
        <v>1</v>
      </c>
      <c r="F887" s="26" t="n">
        <v>1454.08</v>
      </c>
      <c r="G887" s="26" t="n">
        <v>1454.08</v>
      </c>
      <c r="H887" s="1" t="s">
        <v>651</v>
      </c>
    </row>
    <row r="888" customFormat="false" ht="15" hidden="false" customHeight="true" outlineLevel="0" collapsed="false">
      <c r="A888" s="1" t="s">
        <v>644</v>
      </c>
      <c r="B888" s="1" t="s">
        <v>500</v>
      </c>
      <c r="C888" s="1" t="s">
        <v>509</v>
      </c>
      <c r="D888" s="1" t="s">
        <v>280</v>
      </c>
      <c r="E888" s="73" t="n">
        <v>1</v>
      </c>
      <c r="F888" s="26" t="n">
        <v>456</v>
      </c>
      <c r="G888" s="26" t="n">
        <v>456</v>
      </c>
      <c r="H888" s="1" t="s">
        <v>510</v>
      </c>
    </row>
    <row r="889" customFormat="false" ht="15" hidden="false" customHeight="true" outlineLevel="0" collapsed="false">
      <c r="A889" s="1" t="s">
        <v>644</v>
      </c>
      <c r="B889" s="1" t="s">
        <v>500</v>
      </c>
      <c r="C889" s="1" t="s">
        <v>505</v>
      </c>
      <c r="D889" s="1" t="s">
        <v>274</v>
      </c>
      <c r="E889" s="73" t="n">
        <v>19</v>
      </c>
      <c r="F889" s="26" t="n">
        <v>20</v>
      </c>
      <c r="G889" s="26" t="n">
        <v>380</v>
      </c>
      <c r="H889" s="1" t="s">
        <v>506</v>
      </c>
    </row>
    <row r="890" customFormat="false" ht="15" hidden="false" customHeight="true" outlineLevel="0" collapsed="false">
      <c r="A890" s="1" t="s">
        <v>644</v>
      </c>
      <c r="B890" s="1" t="s">
        <v>500</v>
      </c>
      <c r="C890" s="1" t="s">
        <v>507</v>
      </c>
      <c r="D890" s="1" t="s">
        <v>274</v>
      </c>
      <c r="E890" s="73" t="n">
        <v>1</v>
      </c>
      <c r="F890" s="26" t="n">
        <v>1598.23</v>
      </c>
      <c r="G890" s="26" t="n">
        <v>1598.23</v>
      </c>
      <c r="H890" s="1" t="s">
        <v>651</v>
      </c>
    </row>
    <row r="891" customFormat="false" ht="15" hidden="false" customHeight="true" outlineLevel="0" collapsed="false">
      <c r="A891" s="1" t="s">
        <v>644</v>
      </c>
      <c r="B891" s="1" t="s">
        <v>500</v>
      </c>
      <c r="C891" s="1" t="s">
        <v>514</v>
      </c>
      <c r="D891" s="1" t="s">
        <v>274</v>
      </c>
      <c r="E891" s="73" t="n">
        <v>0</v>
      </c>
      <c r="F891" s="26" t="n">
        <v>0</v>
      </c>
      <c r="G891" s="26" t="n">
        <v>0</v>
      </c>
      <c r="H891" s="1" t="s">
        <v>651</v>
      </c>
    </row>
    <row r="892" customFormat="false" ht="15" hidden="false" customHeight="true" outlineLevel="0" collapsed="false">
      <c r="A892" s="1" t="s">
        <v>644</v>
      </c>
      <c r="B892" s="1" t="s">
        <v>500</v>
      </c>
      <c r="C892" s="1" t="s">
        <v>513</v>
      </c>
      <c r="D892" s="1" t="s">
        <v>275</v>
      </c>
      <c r="E892" s="73" t="n">
        <v>0</v>
      </c>
      <c r="F892" s="26" t="n">
        <v>0</v>
      </c>
      <c r="G892" s="26" t="n">
        <v>0</v>
      </c>
      <c r="H892" s="1" t="s">
        <v>515</v>
      </c>
    </row>
    <row r="893" customFormat="false" ht="15" hidden="false" customHeight="true" outlineLevel="0" collapsed="false">
      <c r="A893" s="1" t="s">
        <v>644</v>
      </c>
      <c r="B893" s="1" t="s">
        <v>500</v>
      </c>
      <c r="C893" s="1" t="s">
        <v>505</v>
      </c>
      <c r="D893" s="1" t="s">
        <v>275</v>
      </c>
      <c r="E893" s="73" t="n">
        <v>4</v>
      </c>
      <c r="F893" s="26" t="n">
        <v>20</v>
      </c>
      <c r="G893" s="26" t="n">
        <v>80</v>
      </c>
      <c r="H893" s="1" t="s">
        <v>506</v>
      </c>
    </row>
    <row r="894" customFormat="false" ht="15" hidden="false" customHeight="true" outlineLevel="0" collapsed="false">
      <c r="A894" s="1" t="s">
        <v>644</v>
      </c>
      <c r="B894" s="1" t="s">
        <v>500</v>
      </c>
      <c r="C894" s="1" t="s">
        <v>507</v>
      </c>
      <c r="D894" s="1" t="s">
        <v>275</v>
      </c>
      <c r="E894" s="73" t="n">
        <v>1</v>
      </c>
      <c r="F894" s="26" t="n">
        <v>415.62</v>
      </c>
      <c r="G894" s="26" t="n">
        <v>415.62</v>
      </c>
      <c r="H894" s="1" t="s">
        <v>651</v>
      </c>
    </row>
    <row r="895" customFormat="false" ht="15" hidden="false" customHeight="true" outlineLevel="0" collapsed="false">
      <c r="A895" s="1" t="s">
        <v>644</v>
      </c>
      <c r="B895" s="1" t="s">
        <v>500</v>
      </c>
      <c r="C895" s="1" t="s">
        <v>514</v>
      </c>
      <c r="D895" s="1" t="s">
        <v>275</v>
      </c>
      <c r="E895" s="73" t="n">
        <v>1</v>
      </c>
      <c r="F895" s="26" t="n">
        <v>108</v>
      </c>
      <c r="G895" s="26" t="n">
        <v>108</v>
      </c>
      <c r="H895" s="1" t="s">
        <v>510</v>
      </c>
    </row>
    <row r="896" customFormat="false" ht="15" hidden="false" customHeight="true" outlineLevel="0" collapsed="false">
      <c r="A896" s="1" t="s">
        <v>644</v>
      </c>
      <c r="B896" s="1" t="s">
        <v>500</v>
      </c>
      <c r="C896" s="1" t="s">
        <v>501</v>
      </c>
      <c r="D896" s="1" t="s">
        <v>272</v>
      </c>
      <c r="E896" s="73" t="n">
        <v>0</v>
      </c>
      <c r="F896" s="26" t="n">
        <v>0</v>
      </c>
      <c r="G896" s="26" t="n">
        <v>0</v>
      </c>
      <c r="H896" s="1" t="s">
        <v>516</v>
      </c>
    </row>
    <row r="897" customFormat="false" ht="15" hidden="false" customHeight="true" outlineLevel="0" collapsed="false">
      <c r="A897" s="1" t="s">
        <v>644</v>
      </c>
      <c r="B897" s="1" t="s">
        <v>500</v>
      </c>
      <c r="C897" s="1" t="s">
        <v>505</v>
      </c>
      <c r="D897" s="1" t="s">
        <v>272</v>
      </c>
      <c r="E897" s="73" t="n">
        <v>8</v>
      </c>
      <c r="F897" s="26" t="n">
        <v>20</v>
      </c>
      <c r="G897" s="26" t="n">
        <v>160</v>
      </c>
      <c r="H897" s="1" t="s">
        <v>506</v>
      </c>
    </row>
    <row r="898" customFormat="false" ht="15" hidden="false" customHeight="true" outlineLevel="0" collapsed="false">
      <c r="A898" s="1" t="s">
        <v>644</v>
      </c>
      <c r="B898" s="1" t="s">
        <v>500</v>
      </c>
      <c r="C898" s="1" t="s">
        <v>507</v>
      </c>
      <c r="D898" s="1" t="s">
        <v>272</v>
      </c>
      <c r="E898" s="73" t="n">
        <v>1</v>
      </c>
      <c r="F898" s="26" t="n">
        <v>468.01</v>
      </c>
      <c r="G898" s="26" t="n">
        <v>468.01</v>
      </c>
      <c r="H898" s="1" t="s">
        <v>507</v>
      </c>
    </row>
    <row r="899" customFormat="false" ht="15" hidden="false" customHeight="true" outlineLevel="0" collapsed="false">
      <c r="A899" s="1" t="s">
        <v>644</v>
      </c>
      <c r="B899" s="1" t="s">
        <v>500</v>
      </c>
      <c r="C899" s="1" t="s">
        <v>509</v>
      </c>
      <c r="D899" s="1" t="s">
        <v>272</v>
      </c>
      <c r="E899" s="73" t="n">
        <v>1</v>
      </c>
      <c r="F899" s="26" t="n">
        <v>72</v>
      </c>
      <c r="G899" s="26" t="n">
        <v>72</v>
      </c>
      <c r="H899" s="1" t="s">
        <v>510</v>
      </c>
    </row>
    <row r="900" customFormat="false" ht="15" hidden="false" customHeight="true" outlineLevel="0" collapsed="false">
      <c r="A900" s="1" t="s">
        <v>644</v>
      </c>
      <c r="B900" s="1" t="s">
        <v>517</v>
      </c>
      <c r="C900" s="1" t="s">
        <v>636</v>
      </c>
      <c r="D900" s="1" t="s">
        <v>277</v>
      </c>
      <c r="E900" s="73" t="n">
        <v>0</v>
      </c>
      <c r="F900" s="26" t="n">
        <v>0</v>
      </c>
      <c r="G900" s="26" t="n">
        <v>0</v>
      </c>
      <c r="H900" s="1" t="s">
        <v>521</v>
      </c>
    </row>
    <row r="901" customFormat="false" ht="15" hidden="false" customHeight="true" outlineLevel="0" collapsed="false">
      <c r="A901" s="1" t="s">
        <v>644</v>
      </c>
      <c r="B901" s="1" t="s">
        <v>517</v>
      </c>
      <c r="C901" s="1" t="s">
        <v>518</v>
      </c>
      <c r="D901" s="1" t="s">
        <v>277</v>
      </c>
      <c r="E901" s="73" t="n">
        <v>0</v>
      </c>
      <c r="F901" s="26" t="n">
        <v>0</v>
      </c>
      <c r="G901" s="26" t="n">
        <v>0</v>
      </c>
      <c r="H901" s="1" t="s">
        <v>519</v>
      </c>
    </row>
    <row r="902" customFormat="false" ht="15" hidden="false" customHeight="true" outlineLevel="0" collapsed="false">
      <c r="A902" s="1" t="s">
        <v>644</v>
      </c>
      <c r="B902" s="1" t="s">
        <v>517</v>
      </c>
      <c r="C902" s="1" t="s">
        <v>522</v>
      </c>
      <c r="D902" s="1" t="s">
        <v>277</v>
      </c>
      <c r="E902" s="73" t="n">
        <v>0</v>
      </c>
      <c r="F902" s="26" t="n">
        <v>0</v>
      </c>
      <c r="G902" s="26" t="n">
        <v>0</v>
      </c>
      <c r="H902" s="1" t="s">
        <v>523</v>
      </c>
    </row>
    <row r="903" customFormat="false" ht="15" hidden="false" customHeight="true" outlineLevel="0" collapsed="false">
      <c r="A903" s="1" t="s">
        <v>644</v>
      </c>
      <c r="B903" s="1" t="s">
        <v>517</v>
      </c>
      <c r="C903" s="1" t="s">
        <v>637</v>
      </c>
      <c r="D903" s="1" t="s">
        <v>277</v>
      </c>
      <c r="E903" s="73" t="n">
        <v>0</v>
      </c>
      <c r="F903" s="26" t="n">
        <v>0</v>
      </c>
      <c r="G903" s="26" t="n">
        <v>0</v>
      </c>
      <c r="H903" s="1" t="s">
        <v>525</v>
      </c>
    </row>
    <row r="904" customFormat="false" ht="15" hidden="false" customHeight="true" outlineLevel="0" collapsed="false">
      <c r="A904" s="1" t="s">
        <v>644</v>
      </c>
      <c r="B904" s="1" t="s">
        <v>517</v>
      </c>
      <c r="C904" s="1" t="s">
        <v>526</v>
      </c>
      <c r="D904" s="1" t="s">
        <v>279</v>
      </c>
      <c r="E904" s="73" t="n">
        <v>0</v>
      </c>
      <c r="F904" s="26" t="n">
        <v>0</v>
      </c>
      <c r="G904" s="26" t="n">
        <v>0</v>
      </c>
      <c r="H904" s="1" t="s">
        <v>527</v>
      </c>
    </row>
    <row r="905" customFormat="false" ht="15" hidden="false" customHeight="true" outlineLevel="0" collapsed="false">
      <c r="A905" s="1" t="s">
        <v>644</v>
      </c>
      <c r="B905" s="1" t="s">
        <v>517</v>
      </c>
      <c r="C905" s="1" t="s">
        <v>528</v>
      </c>
      <c r="D905" s="1" t="s">
        <v>279</v>
      </c>
      <c r="E905" s="73" t="n">
        <v>0</v>
      </c>
      <c r="F905" s="26" t="n">
        <v>0</v>
      </c>
      <c r="G905" s="26" t="n">
        <v>0</v>
      </c>
      <c r="H905" s="1" t="s">
        <v>529</v>
      </c>
    </row>
    <row r="906" customFormat="false" ht="15" hidden="false" customHeight="true" outlineLevel="0" collapsed="false">
      <c r="A906" s="1" t="s">
        <v>644</v>
      </c>
      <c r="B906" s="1" t="s">
        <v>517</v>
      </c>
      <c r="C906" s="1" t="s">
        <v>530</v>
      </c>
      <c r="D906" s="1" t="s">
        <v>283</v>
      </c>
      <c r="E906" s="73" t="n">
        <v>0</v>
      </c>
      <c r="F906" s="26" t="n">
        <v>0</v>
      </c>
      <c r="G906" s="26" t="n">
        <v>0</v>
      </c>
      <c r="H906" s="1" t="s">
        <v>531</v>
      </c>
    </row>
    <row r="907" customFormat="false" ht="15" hidden="false" customHeight="true" outlineLevel="0" collapsed="false">
      <c r="A907" s="1" t="s">
        <v>644</v>
      </c>
      <c r="B907" s="1" t="s">
        <v>517</v>
      </c>
      <c r="C907" s="1" t="s">
        <v>532</v>
      </c>
      <c r="D907" s="1" t="s">
        <v>283</v>
      </c>
      <c r="E907" s="73" t="n">
        <v>0</v>
      </c>
      <c r="F907" s="26" t="n">
        <v>0</v>
      </c>
      <c r="G907" s="26" t="n">
        <v>0</v>
      </c>
      <c r="H907" s="1" t="s">
        <v>533</v>
      </c>
    </row>
    <row r="908" customFormat="false" ht="15" hidden="false" customHeight="true" outlineLevel="0" collapsed="false">
      <c r="A908" s="1" t="s">
        <v>644</v>
      </c>
      <c r="B908" s="1" t="s">
        <v>517</v>
      </c>
      <c r="C908" s="1" t="s">
        <v>534</v>
      </c>
      <c r="D908" s="1" t="s">
        <v>283</v>
      </c>
      <c r="E908" s="73" t="n">
        <v>0</v>
      </c>
      <c r="F908" s="26" t="n">
        <v>0</v>
      </c>
      <c r="G908" s="26" t="n">
        <v>0</v>
      </c>
      <c r="H908" s="1" t="s">
        <v>527</v>
      </c>
    </row>
    <row r="909" customFormat="false" ht="15" hidden="false" customHeight="true" outlineLevel="0" collapsed="false">
      <c r="A909" s="1" t="s">
        <v>644</v>
      </c>
      <c r="B909" s="1" t="s">
        <v>517</v>
      </c>
      <c r="C909" s="1" t="s">
        <v>535</v>
      </c>
      <c r="D909" s="1" t="s">
        <v>283</v>
      </c>
      <c r="E909" s="73" t="n">
        <v>0</v>
      </c>
      <c r="F909" s="26" t="n">
        <v>0</v>
      </c>
      <c r="G909" s="26" t="n">
        <v>0</v>
      </c>
      <c r="H909" s="1" t="s">
        <v>536</v>
      </c>
    </row>
    <row r="910" customFormat="false" ht="15" hidden="false" customHeight="true" outlineLevel="0" collapsed="false">
      <c r="A910" s="1" t="s">
        <v>644</v>
      </c>
      <c r="B910" s="1" t="s">
        <v>517</v>
      </c>
      <c r="C910" s="1" t="s">
        <v>537</v>
      </c>
      <c r="D910" s="1" t="s">
        <v>283</v>
      </c>
      <c r="E910" s="73" t="n">
        <v>0</v>
      </c>
      <c r="F910" s="26" t="n">
        <v>0</v>
      </c>
      <c r="G910" s="26" t="n">
        <v>0</v>
      </c>
      <c r="H910" s="1" t="s">
        <v>536</v>
      </c>
    </row>
    <row r="911" customFormat="false" ht="15" hidden="false" customHeight="true" outlineLevel="0" collapsed="false">
      <c r="A911" s="1" t="s">
        <v>644</v>
      </c>
      <c r="B911" s="1" t="s">
        <v>517</v>
      </c>
      <c r="C911" s="1" t="s">
        <v>538</v>
      </c>
      <c r="D911" s="1" t="s">
        <v>283</v>
      </c>
      <c r="E911" s="73" t="n">
        <v>1</v>
      </c>
      <c r="F911" s="26" t="n">
        <v>3548.72</v>
      </c>
      <c r="G911" s="26" t="n">
        <v>3548.72</v>
      </c>
      <c r="H911" s="1" t="s">
        <v>539</v>
      </c>
    </row>
    <row r="912" customFormat="false" ht="15" hidden="false" customHeight="true" outlineLevel="0" collapsed="false">
      <c r="A912" s="1" t="s">
        <v>644</v>
      </c>
      <c r="B912" s="1" t="s">
        <v>517</v>
      </c>
      <c r="C912" s="1" t="s">
        <v>540</v>
      </c>
      <c r="D912" s="1" t="s">
        <v>280</v>
      </c>
      <c r="E912" s="73" t="n">
        <v>0</v>
      </c>
      <c r="F912" s="26" t="n">
        <v>0</v>
      </c>
      <c r="G912" s="26" t="n">
        <v>0</v>
      </c>
      <c r="H912" s="1" t="s">
        <v>527</v>
      </c>
    </row>
    <row r="913" customFormat="false" ht="15" hidden="false" customHeight="true" outlineLevel="0" collapsed="false">
      <c r="A913" s="1" t="s">
        <v>644</v>
      </c>
      <c r="B913" s="1" t="s">
        <v>517</v>
      </c>
      <c r="C913" s="1" t="s">
        <v>541</v>
      </c>
      <c r="D913" s="1" t="s">
        <v>280</v>
      </c>
      <c r="E913" s="73" t="n">
        <v>0</v>
      </c>
      <c r="F913" s="26" t="n">
        <v>0</v>
      </c>
      <c r="G913" s="26" t="n">
        <v>0</v>
      </c>
      <c r="H913" s="1" t="s">
        <v>542</v>
      </c>
    </row>
    <row r="914" customFormat="false" ht="15" hidden="false" customHeight="true" outlineLevel="0" collapsed="false">
      <c r="A914" s="1" t="s">
        <v>644</v>
      </c>
      <c r="B914" s="1" t="s">
        <v>517</v>
      </c>
      <c r="C914" s="1" t="s">
        <v>543</v>
      </c>
      <c r="D914" s="1" t="s">
        <v>274</v>
      </c>
      <c r="E914" s="73" t="n">
        <v>0</v>
      </c>
      <c r="F914" s="26" t="n">
        <v>0</v>
      </c>
      <c r="G914" s="26" t="n">
        <v>0</v>
      </c>
      <c r="H914" s="1" t="s">
        <v>544</v>
      </c>
    </row>
    <row r="915" customFormat="false" ht="15" hidden="false" customHeight="true" outlineLevel="0" collapsed="false">
      <c r="A915" s="1" t="s">
        <v>644</v>
      </c>
      <c r="B915" s="1" t="s">
        <v>517</v>
      </c>
      <c r="C915" s="1" t="s">
        <v>545</v>
      </c>
      <c r="D915" s="1" t="s">
        <v>274</v>
      </c>
      <c r="E915" s="73" t="n">
        <v>0</v>
      </c>
      <c r="F915" s="26" t="n">
        <v>0</v>
      </c>
      <c r="G915" s="26" t="n">
        <v>0</v>
      </c>
      <c r="H915" s="1" t="s">
        <v>519</v>
      </c>
    </row>
    <row r="916" customFormat="false" ht="15" hidden="false" customHeight="true" outlineLevel="0" collapsed="false">
      <c r="A916" s="1" t="s">
        <v>644</v>
      </c>
      <c r="B916" s="1" t="s">
        <v>517</v>
      </c>
      <c r="C916" s="1" t="s">
        <v>546</v>
      </c>
      <c r="D916" s="1" t="s">
        <v>274</v>
      </c>
      <c r="E916" s="73" t="n">
        <v>0</v>
      </c>
      <c r="F916" s="26" t="n">
        <v>0</v>
      </c>
      <c r="G916" s="26" t="n">
        <v>0</v>
      </c>
      <c r="H916" s="1" t="s">
        <v>523</v>
      </c>
    </row>
    <row r="917" customFormat="false" ht="15" hidden="false" customHeight="true" outlineLevel="0" collapsed="false">
      <c r="A917" s="1" t="s">
        <v>644</v>
      </c>
      <c r="B917" s="1" t="s">
        <v>517</v>
      </c>
      <c r="C917" s="1" t="s">
        <v>547</v>
      </c>
      <c r="D917" s="1" t="s">
        <v>274</v>
      </c>
      <c r="E917" s="73" t="n">
        <v>0</v>
      </c>
      <c r="F917" s="26" t="n">
        <v>0</v>
      </c>
      <c r="G917" s="26" t="n">
        <v>0</v>
      </c>
      <c r="H917" s="1" t="s">
        <v>529</v>
      </c>
    </row>
    <row r="918" customFormat="false" ht="15" hidden="false" customHeight="true" outlineLevel="0" collapsed="false">
      <c r="A918" s="1" t="s">
        <v>644</v>
      </c>
      <c r="B918" s="1" t="s">
        <v>517</v>
      </c>
      <c r="C918" s="1" t="s">
        <v>543</v>
      </c>
      <c r="D918" s="1" t="s">
        <v>275</v>
      </c>
      <c r="E918" s="73" t="n">
        <v>0</v>
      </c>
      <c r="F918" s="26" t="n">
        <v>0</v>
      </c>
      <c r="G918" s="26" t="n">
        <v>0</v>
      </c>
      <c r="H918" s="1" t="s">
        <v>527</v>
      </c>
    </row>
    <row r="919" customFormat="false" ht="15" hidden="false" customHeight="true" outlineLevel="0" collapsed="false">
      <c r="A919" s="1" t="s">
        <v>644</v>
      </c>
      <c r="B919" s="1" t="s">
        <v>517</v>
      </c>
      <c r="C919" s="1" t="s">
        <v>548</v>
      </c>
      <c r="D919" s="1" t="s">
        <v>275</v>
      </c>
      <c r="E919" s="73" t="n">
        <v>0</v>
      </c>
      <c r="F919" s="26" t="n">
        <v>0</v>
      </c>
      <c r="G919" s="26" t="n">
        <v>0</v>
      </c>
      <c r="H919" s="1" t="s">
        <v>527</v>
      </c>
    </row>
    <row r="920" customFormat="false" ht="15" hidden="false" customHeight="true" outlineLevel="0" collapsed="false">
      <c r="A920" s="1" t="s">
        <v>644</v>
      </c>
      <c r="B920" s="1" t="s">
        <v>517</v>
      </c>
      <c r="C920" s="1" t="s">
        <v>549</v>
      </c>
      <c r="D920" s="1" t="s">
        <v>275</v>
      </c>
      <c r="E920" s="73" t="n">
        <v>0</v>
      </c>
      <c r="F920" s="26" t="n">
        <v>0</v>
      </c>
      <c r="G920" s="26" t="n">
        <v>0</v>
      </c>
      <c r="H920" s="1" t="s">
        <v>542</v>
      </c>
    </row>
    <row r="921" customFormat="false" ht="15" hidden="false" customHeight="true" outlineLevel="0" collapsed="false">
      <c r="A921" s="1" t="s">
        <v>644</v>
      </c>
      <c r="B921" s="1" t="s">
        <v>517</v>
      </c>
      <c r="C921" s="1" t="s">
        <v>547</v>
      </c>
      <c r="D921" s="1" t="s">
        <v>275</v>
      </c>
      <c r="E921" s="73" t="n">
        <v>0</v>
      </c>
      <c r="F921" s="26" t="n">
        <v>0</v>
      </c>
      <c r="G921" s="26" t="n">
        <v>0</v>
      </c>
      <c r="H921" s="1" t="s">
        <v>550</v>
      </c>
    </row>
    <row r="922" customFormat="false" ht="15" hidden="false" customHeight="true" outlineLevel="0" collapsed="false">
      <c r="A922" s="1" t="s">
        <v>644</v>
      </c>
      <c r="B922" s="1" t="s">
        <v>517</v>
      </c>
      <c r="C922" s="1" t="s">
        <v>551</v>
      </c>
      <c r="D922" s="1" t="s">
        <v>272</v>
      </c>
      <c r="E922" s="73" t="n">
        <v>4806</v>
      </c>
      <c r="F922" s="26" t="n">
        <v>0.62</v>
      </c>
      <c r="G922" s="26" t="n">
        <v>2979.72</v>
      </c>
      <c r="H922" s="1" t="s">
        <v>410</v>
      </c>
    </row>
    <row r="923" customFormat="false" ht="15" hidden="false" customHeight="true" outlineLevel="0" collapsed="false">
      <c r="A923" s="1" t="s">
        <v>644</v>
      </c>
      <c r="B923" s="1" t="s">
        <v>517</v>
      </c>
      <c r="C923" s="1" t="s">
        <v>552</v>
      </c>
      <c r="D923" s="1" t="s">
        <v>272</v>
      </c>
      <c r="E923" s="73" t="n">
        <v>1</v>
      </c>
      <c r="F923" s="26" t="n">
        <v>561.64</v>
      </c>
      <c r="G923" s="26" t="n">
        <v>561.64</v>
      </c>
      <c r="H923" s="1" t="s">
        <v>527</v>
      </c>
    </row>
    <row r="924" customFormat="false" ht="15" hidden="false" customHeight="true" outlineLevel="0" collapsed="false">
      <c r="A924" s="1" t="s">
        <v>644</v>
      </c>
      <c r="B924" s="1" t="s">
        <v>517</v>
      </c>
      <c r="C924" s="1" t="s">
        <v>553</v>
      </c>
      <c r="D924" s="1" t="s">
        <v>272</v>
      </c>
      <c r="E924" s="73" t="n">
        <v>0</v>
      </c>
      <c r="F924" s="26" t="n">
        <v>0</v>
      </c>
      <c r="G924" s="26" t="n">
        <v>0</v>
      </c>
      <c r="H924" s="1" t="s">
        <v>527</v>
      </c>
    </row>
    <row r="925" customFormat="false" ht="15" hidden="false" customHeight="true" outlineLevel="0" collapsed="false">
      <c r="A925" s="1" t="s">
        <v>644</v>
      </c>
      <c r="B925" s="1" t="s">
        <v>517</v>
      </c>
      <c r="C925" s="1" t="s">
        <v>652</v>
      </c>
      <c r="D925" s="1" t="s">
        <v>272</v>
      </c>
      <c r="E925" s="73" t="n">
        <v>1</v>
      </c>
      <c r="F925" s="26" t="n">
        <v>2033.5</v>
      </c>
      <c r="G925" s="26" t="n">
        <v>2033.5</v>
      </c>
      <c r="H925" s="1" t="s">
        <v>550</v>
      </c>
    </row>
    <row r="926" customFormat="false" ht="15" hidden="false" customHeight="true" outlineLevel="0" collapsed="false">
      <c r="A926" s="1" t="s">
        <v>644</v>
      </c>
      <c r="B926" s="1" t="s">
        <v>517</v>
      </c>
      <c r="C926" s="1" t="s">
        <v>555</v>
      </c>
      <c r="D926" s="1" t="s">
        <v>272</v>
      </c>
      <c r="E926" s="73" t="n">
        <v>0</v>
      </c>
      <c r="F926" s="26" t="n">
        <v>0</v>
      </c>
      <c r="G926" s="26" t="n">
        <v>0</v>
      </c>
      <c r="H926" s="1" t="s">
        <v>542</v>
      </c>
    </row>
    <row r="927" customFormat="false" ht="15" hidden="false" customHeight="true" outlineLevel="0" collapsed="false">
      <c r="A927" s="1" t="s">
        <v>644</v>
      </c>
      <c r="B927" s="1" t="s">
        <v>556</v>
      </c>
      <c r="C927" s="1" t="s">
        <v>557</v>
      </c>
      <c r="D927" s="1" t="s">
        <v>279</v>
      </c>
      <c r="E927" s="73" t="n">
        <v>1</v>
      </c>
      <c r="F927" s="26" t="n">
        <v>238.88</v>
      </c>
      <c r="G927" s="26" t="n">
        <v>238.88</v>
      </c>
      <c r="H927" s="1" t="s">
        <v>653</v>
      </c>
    </row>
    <row r="928" customFormat="false" ht="15" hidden="false" customHeight="true" outlineLevel="0" collapsed="false">
      <c r="A928" s="1" t="s">
        <v>644</v>
      </c>
      <c r="B928" s="1" t="s">
        <v>556</v>
      </c>
      <c r="C928" s="1" t="s">
        <v>559</v>
      </c>
      <c r="D928" s="1" t="s">
        <v>279</v>
      </c>
      <c r="E928" s="73" t="n">
        <v>1</v>
      </c>
      <c r="F928" s="26" t="n">
        <v>624.79</v>
      </c>
      <c r="G928" s="26" t="n">
        <v>624.79</v>
      </c>
      <c r="H928" s="1" t="s">
        <v>653</v>
      </c>
    </row>
    <row r="929" customFormat="false" ht="15" hidden="false" customHeight="true" outlineLevel="0" collapsed="false">
      <c r="A929" s="1" t="s">
        <v>644</v>
      </c>
      <c r="B929" s="1" t="s">
        <v>556</v>
      </c>
      <c r="C929" s="1" t="s">
        <v>560</v>
      </c>
      <c r="D929" s="1" t="s">
        <v>279</v>
      </c>
      <c r="E929" s="73" t="n">
        <v>1</v>
      </c>
      <c r="F929" s="26" t="n">
        <v>510</v>
      </c>
      <c r="G929" s="26" t="n">
        <v>510</v>
      </c>
      <c r="H929" s="1" t="s">
        <v>653</v>
      </c>
    </row>
    <row r="930" customFormat="false" ht="15" hidden="false" customHeight="true" outlineLevel="0" collapsed="false">
      <c r="A930" s="1" t="s">
        <v>644</v>
      </c>
      <c r="B930" s="1" t="s">
        <v>556</v>
      </c>
      <c r="C930" s="1" t="s">
        <v>561</v>
      </c>
      <c r="D930" s="1" t="s">
        <v>279</v>
      </c>
      <c r="E930" s="73" t="n">
        <v>1</v>
      </c>
      <c r="F930" s="26" t="n">
        <v>333.1</v>
      </c>
      <c r="G930" s="26" t="n">
        <v>333.1</v>
      </c>
      <c r="H930" s="1" t="s">
        <v>653</v>
      </c>
    </row>
    <row r="931" customFormat="false" ht="15" hidden="false" customHeight="true" outlineLevel="0" collapsed="false">
      <c r="A931" s="1" t="s">
        <v>644</v>
      </c>
      <c r="B931" s="1" t="s">
        <v>556</v>
      </c>
      <c r="C931" s="1" t="s">
        <v>564</v>
      </c>
      <c r="D931" s="1" t="s">
        <v>279</v>
      </c>
      <c r="E931" s="73" t="n">
        <v>1</v>
      </c>
      <c r="F931" s="26" t="n">
        <v>2973.2</v>
      </c>
      <c r="G931" s="26" t="n">
        <v>2973.2</v>
      </c>
      <c r="H931" s="1" t="s">
        <v>653</v>
      </c>
    </row>
    <row r="932" customFormat="false" ht="15" hidden="false" customHeight="true" outlineLevel="0" collapsed="false">
      <c r="A932" s="1" t="s">
        <v>644</v>
      </c>
      <c r="B932" s="1" t="s">
        <v>556</v>
      </c>
      <c r="C932" s="1" t="s">
        <v>638</v>
      </c>
      <c r="D932" s="1" t="s">
        <v>279</v>
      </c>
      <c r="E932" s="73" t="n">
        <v>1</v>
      </c>
      <c r="F932" s="26" t="n">
        <v>1833.24</v>
      </c>
      <c r="G932" s="26" t="n">
        <v>1833.24</v>
      </c>
      <c r="H932" s="1" t="s">
        <v>653</v>
      </c>
    </row>
    <row r="933" customFormat="false" ht="15" hidden="false" customHeight="true" outlineLevel="0" collapsed="false">
      <c r="A933" s="1" t="s">
        <v>644</v>
      </c>
      <c r="B933" s="1" t="s">
        <v>556</v>
      </c>
      <c r="C933" s="1" t="s">
        <v>565</v>
      </c>
      <c r="D933" s="1" t="s">
        <v>279</v>
      </c>
      <c r="E933" s="73" t="n">
        <v>1</v>
      </c>
      <c r="F933" s="26" t="n">
        <v>7615.46</v>
      </c>
      <c r="G933" s="26" t="n">
        <v>7615.46</v>
      </c>
      <c r="H933" s="1" t="s">
        <v>653</v>
      </c>
    </row>
    <row r="934" customFormat="false" ht="15" hidden="false" customHeight="true" outlineLevel="0" collapsed="false">
      <c r="A934" s="1" t="s">
        <v>644</v>
      </c>
      <c r="B934" s="1" t="s">
        <v>556</v>
      </c>
      <c r="C934" s="1" t="s">
        <v>639</v>
      </c>
      <c r="D934" s="1" t="s">
        <v>280</v>
      </c>
      <c r="E934" s="73" t="n">
        <v>-1</v>
      </c>
      <c r="F934" s="26" t="n">
        <v>1046.56</v>
      </c>
      <c r="G934" s="26" t="n">
        <v>-1046.56</v>
      </c>
      <c r="H934" s="1" t="s">
        <v>640</v>
      </c>
    </row>
    <row r="935" customFormat="false" ht="15" hidden="false" customHeight="true" outlineLevel="0" collapsed="false">
      <c r="A935" s="1" t="s">
        <v>644</v>
      </c>
      <c r="B935" s="1" t="s">
        <v>556</v>
      </c>
      <c r="C935" s="1" t="s">
        <v>557</v>
      </c>
      <c r="D935" s="1" t="s">
        <v>280</v>
      </c>
      <c r="E935" s="73" t="n">
        <v>0</v>
      </c>
      <c r="F935" s="26" t="n">
        <v>0</v>
      </c>
      <c r="G935" s="26" t="n">
        <v>0</v>
      </c>
      <c r="H935" s="1" t="s">
        <v>568</v>
      </c>
    </row>
    <row r="936" customFormat="false" ht="15" hidden="false" customHeight="true" outlineLevel="0" collapsed="false">
      <c r="A936" s="1" t="s">
        <v>644</v>
      </c>
      <c r="B936" s="1" t="s">
        <v>556</v>
      </c>
      <c r="C936" s="1" t="s">
        <v>557</v>
      </c>
      <c r="D936" s="1" t="s">
        <v>280</v>
      </c>
      <c r="E936" s="73" t="n">
        <v>-1</v>
      </c>
      <c r="F936" s="26" t="n">
        <v>238.88</v>
      </c>
      <c r="G936" s="26" t="n">
        <v>-238.88</v>
      </c>
      <c r="H936" s="1" t="s">
        <v>611</v>
      </c>
    </row>
    <row r="937" customFormat="false" ht="15" hidden="false" customHeight="true" outlineLevel="0" collapsed="false">
      <c r="A937" s="1" t="s">
        <v>644</v>
      </c>
      <c r="B937" s="1" t="s">
        <v>556</v>
      </c>
      <c r="C937" s="1" t="s">
        <v>560</v>
      </c>
      <c r="D937" s="1" t="s">
        <v>272</v>
      </c>
      <c r="E937" s="73" t="n">
        <v>1</v>
      </c>
      <c r="F937" s="26" t="n">
        <v>67.33</v>
      </c>
      <c r="G937" s="26" t="n">
        <v>67.33</v>
      </c>
      <c r="H937" s="1" t="s">
        <v>570</v>
      </c>
    </row>
    <row r="938" customFormat="false" ht="15" hidden="false" customHeight="true" outlineLevel="0" collapsed="false">
      <c r="A938" s="1" t="s">
        <v>644</v>
      </c>
      <c r="B938" s="1" t="s">
        <v>556</v>
      </c>
      <c r="C938" s="1" t="s">
        <v>560</v>
      </c>
      <c r="D938" s="1" t="s">
        <v>272</v>
      </c>
      <c r="E938" s="73" t="n">
        <v>-1</v>
      </c>
      <c r="F938" s="26" t="n">
        <v>510</v>
      </c>
      <c r="G938" s="26" t="n">
        <v>-510</v>
      </c>
      <c r="H938" s="1" t="s">
        <v>611</v>
      </c>
    </row>
    <row r="939" customFormat="false" ht="15" hidden="false" customHeight="true" outlineLevel="0" collapsed="false">
      <c r="A939" s="1" t="s">
        <v>644</v>
      </c>
      <c r="B939" s="1" t="s">
        <v>47</v>
      </c>
      <c r="C939" s="1" t="s">
        <v>571</v>
      </c>
      <c r="D939" s="1" t="s">
        <v>277</v>
      </c>
      <c r="E939" s="73" t="n">
        <v>1</v>
      </c>
      <c r="F939" s="26" t="n">
        <v>1027.18</v>
      </c>
      <c r="G939" s="26" t="n">
        <v>1027.18</v>
      </c>
      <c r="H939" s="1" t="s">
        <v>654</v>
      </c>
    </row>
    <row r="940" customFormat="false" ht="15" hidden="false" customHeight="true" outlineLevel="0" collapsed="false">
      <c r="A940" s="1" t="s">
        <v>644</v>
      </c>
      <c r="B940" s="1" t="s">
        <v>47</v>
      </c>
      <c r="C940" s="1" t="s">
        <v>571</v>
      </c>
      <c r="D940" s="1" t="s">
        <v>279</v>
      </c>
      <c r="E940" s="73" t="n">
        <v>0</v>
      </c>
      <c r="F940" s="26" t="n">
        <v>0</v>
      </c>
      <c r="G940" s="26" t="n">
        <v>0</v>
      </c>
      <c r="H940" s="1" t="s">
        <v>573</v>
      </c>
    </row>
    <row r="941" customFormat="false" ht="15" hidden="false" customHeight="true" outlineLevel="0" collapsed="false">
      <c r="A941" s="1" t="s">
        <v>644</v>
      </c>
      <c r="B941" s="1" t="s">
        <v>47</v>
      </c>
      <c r="C941" s="1" t="s">
        <v>571</v>
      </c>
      <c r="D941" s="1" t="s">
        <v>283</v>
      </c>
      <c r="E941" s="73" t="n">
        <v>0</v>
      </c>
      <c r="F941" s="26" t="n">
        <v>0</v>
      </c>
      <c r="G941" s="26" t="n">
        <v>0</v>
      </c>
      <c r="H941" s="1" t="s">
        <v>574</v>
      </c>
    </row>
    <row r="942" customFormat="false" ht="15" hidden="false" customHeight="true" outlineLevel="0" collapsed="false">
      <c r="A942" s="1" t="s">
        <v>644</v>
      </c>
      <c r="B942" s="1" t="s">
        <v>47</v>
      </c>
      <c r="C942" s="1" t="s">
        <v>571</v>
      </c>
      <c r="D942" s="1" t="s">
        <v>280</v>
      </c>
      <c r="E942" s="73" t="n">
        <v>1</v>
      </c>
      <c r="F942" s="26" t="n">
        <v>9586.03</v>
      </c>
      <c r="G942" s="26" t="n">
        <v>9586.03</v>
      </c>
      <c r="H942" s="1" t="s">
        <v>655</v>
      </c>
    </row>
    <row r="943" customFormat="false" ht="15" hidden="false" customHeight="true" outlineLevel="0" collapsed="false">
      <c r="A943" s="1" t="s">
        <v>644</v>
      </c>
      <c r="B943" s="1" t="s">
        <v>47</v>
      </c>
      <c r="C943" s="1" t="s">
        <v>571</v>
      </c>
      <c r="D943" s="1" t="s">
        <v>274</v>
      </c>
      <c r="E943" s="73" t="n">
        <v>0</v>
      </c>
      <c r="F943" s="26" t="n">
        <v>0</v>
      </c>
      <c r="G943" s="26" t="n">
        <v>0</v>
      </c>
      <c r="H943" s="1" t="s">
        <v>576</v>
      </c>
    </row>
    <row r="944" customFormat="false" ht="15" hidden="false" customHeight="true" outlineLevel="0" collapsed="false">
      <c r="A944" s="1" t="s">
        <v>644</v>
      </c>
      <c r="B944" s="1" t="s">
        <v>47</v>
      </c>
      <c r="C944" s="1" t="s">
        <v>571</v>
      </c>
      <c r="D944" s="1" t="s">
        <v>275</v>
      </c>
      <c r="E944" s="73" t="n">
        <v>0</v>
      </c>
      <c r="F944" s="26" t="n">
        <v>0</v>
      </c>
      <c r="G944" s="26" t="n">
        <v>0</v>
      </c>
      <c r="H944" s="1" t="s">
        <v>574</v>
      </c>
    </row>
    <row r="945" customFormat="false" ht="15" hidden="false" customHeight="true" outlineLevel="0" collapsed="false">
      <c r="A945" s="1" t="s">
        <v>644</v>
      </c>
      <c r="B945" s="1" t="s">
        <v>47</v>
      </c>
      <c r="C945" s="1" t="s">
        <v>571</v>
      </c>
      <c r="D945" s="1" t="s">
        <v>272</v>
      </c>
      <c r="E945" s="73" t="n">
        <v>1</v>
      </c>
      <c r="F945" s="26" t="n">
        <v>371.45</v>
      </c>
      <c r="G945" s="26" t="n">
        <v>371.45</v>
      </c>
      <c r="H945" s="1" t="s">
        <v>656</v>
      </c>
    </row>
    <row r="946" customFormat="false" ht="15" hidden="false" customHeight="true" outlineLevel="0" collapsed="false">
      <c r="A946" s="1" t="s">
        <v>644</v>
      </c>
      <c r="B946" s="1" t="s">
        <v>85</v>
      </c>
      <c r="C946" s="1" t="s">
        <v>578</v>
      </c>
      <c r="D946" s="1" t="s">
        <v>265</v>
      </c>
      <c r="E946" s="73" t="n">
        <v>149</v>
      </c>
      <c r="F946" s="26" t="n">
        <v>125.29</v>
      </c>
      <c r="G946" s="26" t="n">
        <v>18668.21</v>
      </c>
      <c r="H946" s="1" t="s">
        <v>657</v>
      </c>
    </row>
    <row r="947" customFormat="false" ht="15" hidden="false" customHeight="true" outlineLevel="0" collapsed="false">
      <c r="A947" s="1" t="s">
        <v>644</v>
      </c>
      <c r="B947" s="1" t="s">
        <v>85</v>
      </c>
      <c r="C947" s="1" t="s">
        <v>578</v>
      </c>
      <c r="D947" s="1" t="s">
        <v>277</v>
      </c>
      <c r="E947" s="73" t="n">
        <v>2</v>
      </c>
      <c r="F947" s="26" t="n">
        <v>161.82</v>
      </c>
      <c r="G947" s="26" t="n">
        <v>323.64</v>
      </c>
      <c r="H947" s="1" t="s">
        <v>657</v>
      </c>
    </row>
    <row r="948" customFormat="false" ht="15" hidden="false" customHeight="true" outlineLevel="0" collapsed="false">
      <c r="A948" s="1" t="s">
        <v>644</v>
      </c>
      <c r="B948" s="1" t="s">
        <v>85</v>
      </c>
      <c r="C948" s="1" t="s">
        <v>578</v>
      </c>
      <c r="D948" s="1" t="s">
        <v>279</v>
      </c>
      <c r="E948" s="73" t="n">
        <v>22</v>
      </c>
      <c r="F948" s="26" t="n">
        <v>156.91</v>
      </c>
      <c r="G948" s="26" t="n">
        <v>3452.02</v>
      </c>
      <c r="H948" s="1" t="s">
        <v>580</v>
      </c>
    </row>
    <row r="949" customFormat="false" ht="15" hidden="false" customHeight="true" outlineLevel="0" collapsed="false">
      <c r="A949" s="1" t="s">
        <v>644</v>
      </c>
      <c r="B949" s="1" t="s">
        <v>85</v>
      </c>
      <c r="C949" s="1" t="s">
        <v>578</v>
      </c>
      <c r="D949" s="1" t="s">
        <v>283</v>
      </c>
      <c r="E949" s="73" t="n">
        <v>11</v>
      </c>
      <c r="F949" s="26" t="n">
        <v>164.27</v>
      </c>
      <c r="G949" s="26" t="n">
        <v>1806.97</v>
      </c>
      <c r="H949" s="1" t="s">
        <v>580</v>
      </c>
    </row>
    <row r="950" customFormat="false" ht="15" hidden="false" customHeight="true" outlineLevel="0" collapsed="false">
      <c r="A950" s="1" t="s">
        <v>644</v>
      </c>
      <c r="B950" s="1" t="s">
        <v>85</v>
      </c>
      <c r="C950" s="1" t="s">
        <v>578</v>
      </c>
      <c r="D950" s="1" t="s">
        <v>280</v>
      </c>
      <c r="E950" s="73" t="n">
        <v>24</v>
      </c>
      <c r="F950" s="26" t="n">
        <v>152.82</v>
      </c>
      <c r="G950" s="26" t="n">
        <v>3667.68</v>
      </c>
      <c r="H950" s="1" t="s">
        <v>580</v>
      </c>
    </row>
    <row r="951" customFormat="false" ht="15" hidden="false" customHeight="true" outlineLevel="0" collapsed="false">
      <c r="A951" s="1" t="s">
        <v>644</v>
      </c>
      <c r="B951" s="1" t="s">
        <v>85</v>
      </c>
      <c r="C951" s="1" t="s">
        <v>578</v>
      </c>
      <c r="D951" s="1" t="s">
        <v>274</v>
      </c>
      <c r="E951" s="73" t="n">
        <v>10</v>
      </c>
      <c r="F951" s="26" t="n">
        <v>151.02</v>
      </c>
      <c r="G951" s="26" t="n">
        <v>1510.2</v>
      </c>
      <c r="H951" s="1" t="s">
        <v>580</v>
      </c>
    </row>
    <row r="952" customFormat="false" ht="15" hidden="false" customHeight="true" outlineLevel="0" collapsed="false">
      <c r="A952" s="1" t="s">
        <v>644</v>
      </c>
      <c r="B952" s="1" t="s">
        <v>85</v>
      </c>
      <c r="C952" s="1" t="s">
        <v>578</v>
      </c>
      <c r="D952" s="1" t="s">
        <v>275</v>
      </c>
      <c r="E952" s="73" t="n">
        <v>0</v>
      </c>
      <c r="F952" s="26" t="n">
        <v>0</v>
      </c>
      <c r="G952" s="26" t="n">
        <v>0</v>
      </c>
      <c r="H952" s="1" t="s">
        <v>580</v>
      </c>
    </row>
    <row r="953" customFormat="false" ht="15" hidden="false" customHeight="true" outlineLevel="0" collapsed="false">
      <c r="A953" s="1" t="s">
        <v>644</v>
      </c>
      <c r="B953" s="1" t="s">
        <v>85</v>
      </c>
      <c r="C953" s="1" t="s">
        <v>578</v>
      </c>
      <c r="D953" s="1" t="s">
        <v>272</v>
      </c>
      <c r="E953" s="73" t="n">
        <v>12</v>
      </c>
      <c r="F953" s="26" t="n">
        <v>157.32</v>
      </c>
      <c r="G953" s="26" t="n">
        <v>1887.84</v>
      </c>
      <c r="H953" s="1" t="s">
        <v>580</v>
      </c>
    </row>
    <row r="954" customFormat="false" ht="15" hidden="false" customHeight="true" outlineLevel="0" collapsed="false">
      <c r="A954" s="1" t="s">
        <v>644</v>
      </c>
      <c r="B954" s="1" t="s">
        <v>32</v>
      </c>
      <c r="C954" s="1" t="s">
        <v>581</v>
      </c>
      <c r="D954" s="1" t="s">
        <v>277</v>
      </c>
      <c r="E954" s="73" t="n">
        <v>1</v>
      </c>
      <c r="F954" s="26" t="n">
        <v>91.2</v>
      </c>
      <c r="G954" s="26" t="n">
        <v>91.2</v>
      </c>
      <c r="H954" s="1" t="s">
        <v>582</v>
      </c>
    </row>
    <row r="955" customFormat="false" ht="15" hidden="false" customHeight="true" outlineLevel="0" collapsed="false">
      <c r="A955" s="1" t="s">
        <v>644</v>
      </c>
      <c r="B955" s="1" t="s">
        <v>32</v>
      </c>
      <c r="C955" s="1" t="s">
        <v>583</v>
      </c>
      <c r="D955" s="1" t="s">
        <v>277</v>
      </c>
      <c r="E955" s="73" t="n">
        <v>0</v>
      </c>
      <c r="F955" s="26" t="n">
        <v>0</v>
      </c>
      <c r="G955" s="26" t="n">
        <v>0</v>
      </c>
      <c r="H955" s="1" t="s">
        <v>584</v>
      </c>
    </row>
    <row r="956" customFormat="false" ht="15" hidden="false" customHeight="true" outlineLevel="0" collapsed="false">
      <c r="A956" s="1" t="s">
        <v>644</v>
      </c>
      <c r="B956" s="1" t="s">
        <v>32</v>
      </c>
      <c r="C956" s="1" t="s">
        <v>581</v>
      </c>
      <c r="D956" s="1" t="s">
        <v>279</v>
      </c>
      <c r="E956" s="73" t="n">
        <v>0</v>
      </c>
      <c r="F956" s="26" t="n">
        <v>0</v>
      </c>
      <c r="G956" s="26" t="n">
        <v>0</v>
      </c>
      <c r="H956" s="1" t="s">
        <v>582</v>
      </c>
    </row>
    <row r="957" customFormat="false" ht="15" hidden="false" customHeight="true" outlineLevel="0" collapsed="false">
      <c r="A957" s="1" t="s">
        <v>644</v>
      </c>
      <c r="B957" s="1" t="s">
        <v>32</v>
      </c>
      <c r="C957" s="1" t="s">
        <v>581</v>
      </c>
      <c r="D957" s="1" t="s">
        <v>279</v>
      </c>
      <c r="E957" s="73" t="n">
        <v>0</v>
      </c>
      <c r="F957" s="26" t="n">
        <v>0</v>
      </c>
      <c r="G957" s="26" t="n">
        <v>0</v>
      </c>
      <c r="H957" s="1" t="s">
        <v>582</v>
      </c>
    </row>
    <row r="958" customFormat="false" ht="15" hidden="false" customHeight="true" outlineLevel="0" collapsed="false">
      <c r="A958" s="1" t="s">
        <v>644</v>
      </c>
      <c r="B958" s="1" t="s">
        <v>32</v>
      </c>
      <c r="C958" s="1" t="s">
        <v>583</v>
      </c>
      <c r="D958" s="1" t="s">
        <v>279</v>
      </c>
      <c r="E958" s="73" t="n">
        <v>0</v>
      </c>
      <c r="F958" s="26" t="n">
        <v>0</v>
      </c>
      <c r="G958" s="26" t="n">
        <v>0</v>
      </c>
      <c r="H958" s="1" t="s">
        <v>584</v>
      </c>
    </row>
    <row r="959" customFormat="false" ht="15" hidden="false" customHeight="true" outlineLevel="0" collapsed="false">
      <c r="A959" s="1" t="s">
        <v>644</v>
      </c>
      <c r="B959" s="1" t="s">
        <v>32</v>
      </c>
      <c r="C959" s="1" t="s">
        <v>581</v>
      </c>
      <c r="D959" s="1" t="s">
        <v>283</v>
      </c>
      <c r="E959" s="73" t="n">
        <v>0</v>
      </c>
      <c r="F959" s="26" t="n">
        <v>0</v>
      </c>
      <c r="G959" s="26" t="n">
        <v>0</v>
      </c>
      <c r="H959" s="1" t="s">
        <v>582</v>
      </c>
    </row>
    <row r="960" customFormat="false" ht="15" hidden="false" customHeight="true" outlineLevel="0" collapsed="false">
      <c r="A960" s="1" t="s">
        <v>644</v>
      </c>
      <c r="B960" s="1" t="s">
        <v>32</v>
      </c>
      <c r="C960" s="1" t="s">
        <v>583</v>
      </c>
      <c r="D960" s="1" t="s">
        <v>283</v>
      </c>
      <c r="E960" s="73" t="n">
        <v>0</v>
      </c>
      <c r="F960" s="26" t="n">
        <v>0</v>
      </c>
      <c r="G960" s="26" t="n">
        <v>0</v>
      </c>
      <c r="H960" s="1" t="s">
        <v>585</v>
      </c>
    </row>
    <row r="961" customFormat="false" ht="15" hidden="false" customHeight="true" outlineLevel="0" collapsed="false">
      <c r="A961" s="1" t="s">
        <v>644</v>
      </c>
      <c r="B961" s="1" t="s">
        <v>32</v>
      </c>
      <c r="C961" s="1" t="s">
        <v>581</v>
      </c>
      <c r="D961" s="1" t="s">
        <v>280</v>
      </c>
      <c r="E961" s="73" t="n">
        <v>1</v>
      </c>
      <c r="F961" s="26" t="n">
        <v>696</v>
      </c>
      <c r="G961" s="26" t="n">
        <v>696</v>
      </c>
      <c r="H961" s="1" t="s">
        <v>582</v>
      </c>
    </row>
    <row r="962" customFormat="false" ht="15" hidden="false" customHeight="true" outlineLevel="0" collapsed="false">
      <c r="A962" s="1" t="s">
        <v>644</v>
      </c>
      <c r="B962" s="1" t="s">
        <v>32</v>
      </c>
      <c r="C962" s="1" t="s">
        <v>581</v>
      </c>
      <c r="D962" s="1" t="s">
        <v>280</v>
      </c>
      <c r="E962" s="73" t="n">
        <v>0</v>
      </c>
      <c r="F962" s="26" t="n">
        <v>0</v>
      </c>
      <c r="G962" s="26" t="n">
        <v>0</v>
      </c>
      <c r="H962" s="1" t="s">
        <v>582</v>
      </c>
    </row>
    <row r="963" customFormat="false" ht="15" hidden="false" customHeight="true" outlineLevel="0" collapsed="false">
      <c r="A963" s="1" t="s">
        <v>644</v>
      </c>
      <c r="B963" s="1" t="s">
        <v>32</v>
      </c>
      <c r="C963" s="1" t="s">
        <v>581</v>
      </c>
      <c r="D963" s="1" t="s">
        <v>274</v>
      </c>
      <c r="E963" s="73" t="n">
        <v>1</v>
      </c>
      <c r="F963" s="26" t="n">
        <v>980.4</v>
      </c>
      <c r="G963" s="26" t="n">
        <v>980.4</v>
      </c>
      <c r="H963" s="1" t="s">
        <v>582</v>
      </c>
    </row>
    <row r="964" customFormat="false" ht="15" hidden="false" customHeight="true" outlineLevel="0" collapsed="false">
      <c r="A964" s="1" t="s">
        <v>644</v>
      </c>
      <c r="B964" s="1" t="s">
        <v>32</v>
      </c>
      <c r="C964" s="1" t="s">
        <v>583</v>
      </c>
      <c r="D964" s="1" t="s">
        <v>274</v>
      </c>
      <c r="E964" s="73" t="n">
        <v>0</v>
      </c>
      <c r="F964" s="26" t="n">
        <v>0</v>
      </c>
      <c r="G964" s="26" t="n">
        <v>0</v>
      </c>
      <c r="H964" s="1" t="s">
        <v>584</v>
      </c>
    </row>
    <row r="965" customFormat="false" ht="15" hidden="false" customHeight="true" outlineLevel="0" collapsed="false">
      <c r="A965" s="1" t="s">
        <v>644</v>
      </c>
      <c r="B965" s="1" t="s">
        <v>32</v>
      </c>
      <c r="C965" s="1" t="s">
        <v>581</v>
      </c>
      <c r="D965" s="1" t="s">
        <v>275</v>
      </c>
      <c r="E965" s="73" t="n">
        <v>0</v>
      </c>
      <c r="F965" s="26" t="n">
        <v>0</v>
      </c>
      <c r="G965" s="26" t="n">
        <v>0</v>
      </c>
      <c r="H965" s="1" t="s">
        <v>582</v>
      </c>
    </row>
    <row r="966" customFormat="false" ht="15" hidden="false" customHeight="true" outlineLevel="0" collapsed="false">
      <c r="A966" s="1" t="s">
        <v>644</v>
      </c>
      <c r="B966" s="1" t="s">
        <v>32</v>
      </c>
      <c r="C966" s="1" t="s">
        <v>581</v>
      </c>
      <c r="D966" s="1" t="s">
        <v>272</v>
      </c>
      <c r="E966" s="73" t="n">
        <v>1</v>
      </c>
      <c r="F966" s="26" t="n">
        <v>314.6</v>
      </c>
      <c r="G966" s="26" t="n">
        <v>314.6</v>
      </c>
      <c r="H966" s="1" t="s">
        <v>582</v>
      </c>
    </row>
    <row r="967" customFormat="false" ht="15" hidden="false" customHeight="true" outlineLevel="0" collapsed="false">
      <c r="A967" s="1" t="s">
        <v>644</v>
      </c>
      <c r="B967" s="1" t="s">
        <v>32</v>
      </c>
      <c r="C967" s="1" t="s">
        <v>583</v>
      </c>
      <c r="D967" s="1" t="s">
        <v>272</v>
      </c>
      <c r="E967" s="73" t="n">
        <v>0</v>
      </c>
      <c r="F967" s="26" t="n">
        <v>0</v>
      </c>
      <c r="G967" s="26" t="n">
        <v>0</v>
      </c>
      <c r="H967" s="1" t="s">
        <v>586</v>
      </c>
    </row>
    <row r="968" customFormat="false" ht="15" hidden="false" customHeight="true" outlineLevel="0" collapsed="false">
      <c r="A968" s="1" t="s">
        <v>644</v>
      </c>
      <c r="B968" s="1" t="s">
        <v>587</v>
      </c>
      <c r="C968" s="1" t="s">
        <v>588</v>
      </c>
      <c r="D968" s="1" t="s">
        <v>279</v>
      </c>
      <c r="E968" s="73" t="n">
        <v>13530</v>
      </c>
      <c r="F968" s="26" t="n">
        <v>3.18253026831306</v>
      </c>
      <c r="G968" s="26" t="n">
        <v>43059.63453</v>
      </c>
      <c r="H968" s="1" t="s">
        <v>410</v>
      </c>
    </row>
    <row r="969" customFormat="false" ht="15" hidden="false" customHeight="true" outlineLevel="0" collapsed="false">
      <c r="A969" s="1" t="s">
        <v>644</v>
      </c>
      <c r="B969" s="1" t="s">
        <v>44</v>
      </c>
      <c r="C969" s="1" t="s">
        <v>589</v>
      </c>
      <c r="D969" s="1" t="s">
        <v>277</v>
      </c>
      <c r="E969" s="73" t="n">
        <v>-1</v>
      </c>
      <c r="F969" s="26" t="n">
        <v>847.7</v>
      </c>
      <c r="G969" s="26" t="n">
        <v>-847.7</v>
      </c>
      <c r="H969" s="1" t="s">
        <v>590</v>
      </c>
    </row>
    <row r="970" customFormat="false" ht="15" hidden="false" customHeight="true" outlineLevel="0" collapsed="false">
      <c r="A970" s="1" t="s">
        <v>644</v>
      </c>
      <c r="B970" s="1" t="s">
        <v>44</v>
      </c>
      <c r="C970" s="1" t="s">
        <v>589</v>
      </c>
      <c r="D970" s="1" t="s">
        <v>277</v>
      </c>
      <c r="E970" s="73" t="n">
        <v>1</v>
      </c>
      <c r="F970" s="26" t="n">
        <v>2959.45</v>
      </c>
      <c r="G970" s="26" t="n">
        <v>2959.45</v>
      </c>
      <c r="H970" s="1" t="s">
        <v>658</v>
      </c>
    </row>
    <row r="971" customFormat="false" ht="15" hidden="false" customHeight="true" outlineLevel="0" collapsed="false">
      <c r="A971" s="1" t="s">
        <v>644</v>
      </c>
      <c r="B971" s="1" t="s">
        <v>44</v>
      </c>
      <c r="C971" s="1" t="s">
        <v>589</v>
      </c>
      <c r="D971" s="1" t="s">
        <v>279</v>
      </c>
      <c r="E971" s="73" t="n">
        <v>1</v>
      </c>
      <c r="F971" s="26" t="n">
        <v>863</v>
      </c>
      <c r="G971" s="26" t="n">
        <v>863</v>
      </c>
      <c r="H971" s="1" t="s">
        <v>642</v>
      </c>
    </row>
    <row r="972" customFormat="false" ht="15" hidden="false" customHeight="true" outlineLevel="0" collapsed="false">
      <c r="A972" s="1" t="s">
        <v>644</v>
      </c>
      <c r="B972" s="1" t="s">
        <v>44</v>
      </c>
      <c r="C972" s="1" t="s">
        <v>592</v>
      </c>
      <c r="D972" s="1" t="s">
        <v>279</v>
      </c>
      <c r="E972" s="73" t="n">
        <v>0</v>
      </c>
      <c r="F972" s="26" t="n">
        <v>0</v>
      </c>
      <c r="G972" s="26" t="n">
        <v>0</v>
      </c>
      <c r="H972" s="1" t="s">
        <v>593</v>
      </c>
    </row>
    <row r="973" customFormat="false" ht="15" hidden="false" customHeight="true" outlineLevel="0" collapsed="false">
      <c r="A973" s="1" t="s">
        <v>644</v>
      </c>
      <c r="B973" s="1" t="s">
        <v>44</v>
      </c>
      <c r="C973" s="1" t="s">
        <v>594</v>
      </c>
      <c r="D973" s="1" t="s">
        <v>279</v>
      </c>
      <c r="E973" s="73" t="n">
        <v>0</v>
      </c>
      <c r="F973" s="26" t="n">
        <v>0</v>
      </c>
      <c r="G973" s="26" t="n">
        <v>0</v>
      </c>
      <c r="H973" s="1" t="s">
        <v>595</v>
      </c>
    </row>
    <row r="974" customFormat="false" ht="15" hidden="false" customHeight="true" outlineLevel="0" collapsed="false">
      <c r="A974" s="1" t="s">
        <v>644</v>
      </c>
      <c r="B974" s="1" t="s">
        <v>44</v>
      </c>
      <c r="C974" s="1" t="s">
        <v>596</v>
      </c>
      <c r="D974" s="1" t="s">
        <v>279</v>
      </c>
      <c r="E974" s="73" t="n">
        <v>1</v>
      </c>
      <c r="F974" s="26" t="n">
        <v>6471.5</v>
      </c>
      <c r="G974" s="26" t="n">
        <v>6471.5</v>
      </c>
      <c r="H974" s="1" t="s">
        <v>597</v>
      </c>
    </row>
    <row r="975" customFormat="false" ht="15" hidden="false" customHeight="true" outlineLevel="0" collapsed="false">
      <c r="A975" s="1" t="s">
        <v>644</v>
      </c>
      <c r="B975" s="1" t="s">
        <v>44</v>
      </c>
      <c r="C975" s="1" t="s">
        <v>589</v>
      </c>
      <c r="D975" s="1" t="s">
        <v>283</v>
      </c>
      <c r="E975" s="73" t="n">
        <v>1</v>
      </c>
      <c r="F975" s="26" t="n">
        <v>1119.06</v>
      </c>
      <c r="G975" s="26" t="n">
        <v>1119.06</v>
      </c>
      <c r="H975" s="1" t="s">
        <v>642</v>
      </c>
    </row>
    <row r="976" customFormat="false" ht="15" hidden="false" customHeight="true" outlineLevel="0" collapsed="false">
      <c r="A976" s="1" t="s">
        <v>644</v>
      </c>
      <c r="B976" s="1" t="s">
        <v>44</v>
      </c>
      <c r="C976" s="1" t="s">
        <v>589</v>
      </c>
      <c r="D976" s="1" t="s">
        <v>283</v>
      </c>
      <c r="E976" s="73" t="n">
        <v>-1</v>
      </c>
      <c r="F976" s="26" t="n">
        <v>155.9</v>
      </c>
      <c r="G976" s="26" t="n">
        <v>-155.9</v>
      </c>
      <c r="H976" s="1" t="s">
        <v>590</v>
      </c>
    </row>
    <row r="977" customFormat="false" ht="15" hidden="false" customHeight="true" outlineLevel="0" collapsed="false">
      <c r="A977" s="1" t="s">
        <v>644</v>
      </c>
      <c r="B977" s="1" t="s">
        <v>44</v>
      </c>
      <c r="C977" s="1" t="s">
        <v>598</v>
      </c>
      <c r="D977" s="1" t="s">
        <v>283</v>
      </c>
      <c r="E977" s="73" t="n">
        <v>0</v>
      </c>
      <c r="F977" s="26" t="n">
        <v>0</v>
      </c>
      <c r="G977" s="26" t="n">
        <v>0</v>
      </c>
      <c r="H977" s="1" t="s">
        <v>593</v>
      </c>
    </row>
    <row r="978" customFormat="false" ht="15" hidden="false" customHeight="true" outlineLevel="0" collapsed="false">
      <c r="A978" s="1" t="s">
        <v>644</v>
      </c>
      <c r="B978" s="1" t="s">
        <v>44</v>
      </c>
      <c r="C978" s="1" t="s">
        <v>599</v>
      </c>
      <c r="D978" s="1" t="s">
        <v>283</v>
      </c>
      <c r="E978" s="73" t="n">
        <v>0</v>
      </c>
      <c r="F978" s="26" t="n">
        <v>0</v>
      </c>
      <c r="G978" s="26" t="n">
        <v>0</v>
      </c>
      <c r="H978" s="1" t="s">
        <v>597</v>
      </c>
    </row>
    <row r="979" customFormat="false" ht="15" hidden="false" customHeight="true" outlineLevel="0" collapsed="false">
      <c r="A979" s="1" t="s">
        <v>644</v>
      </c>
      <c r="B979" s="1" t="s">
        <v>44</v>
      </c>
      <c r="C979" s="1" t="s">
        <v>589</v>
      </c>
      <c r="D979" s="1" t="s">
        <v>280</v>
      </c>
      <c r="E979" s="73" t="n">
        <v>1</v>
      </c>
      <c r="F979" s="26" t="n">
        <v>8439.17</v>
      </c>
      <c r="G979" s="26" t="n">
        <v>8439.17</v>
      </c>
      <c r="H979" s="1" t="s">
        <v>642</v>
      </c>
    </row>
    <row r="980" customFormat="false" ht="15" hidden="false" customHeight="true" outlineLevel="0" collapsed="false">
      <c r="A980" s="1" t="s">
        <v>644</v>
      </c>
      <c r="B980" s="1" t="s">
        <v>44</v>
      </c>
      <c r="C980" s="1" t="s">
        <v>600</v>
      </c>
      <c r="D980" s="1" t="s">
        <v>280</v>
      </c>
      <c r="E980" s="73" t="n">
        <v>0</v>
      </c>
      <c r="F980" s="26" t="n">
        <v>0</v>
      </c>
      <c r="G980" s="26" t="n">
        <v>0</v>
      </c>
      <c r="H980" s="1" t="s">
        <v>593</v>
      </c>
    </row>
    <row r="981" customFormat="false" ht="15" hidden="false" customHeight="true" outlineLevel="0" collapsed="false">
      <c r="A981" s="1" t="s">
        <v>644</v>
      </c>
      <c r="B981" s="1" t="s">
        <v>44</v>
      </c>
      <c r="C981" s="1" t="s">
        <v>601</v>
      </c>
      <c r="D981" s="1" t="s">
        <v>280</v>
      </c>
      <c r="E981" s="73" t="n">
        <v>0</v>
      </c>
      <c r="F981" s="26" t="n">
        <v>0</v>
      </c>
      <c r="G981" s="26" t="n">
        <v>0</v>
      </c>
      <c r="H981" s="1" t="s">
        <v>593</v>
      </c>
    </row>
    <row r="982" customFormat="false" ht="15" hidden="false" customHeight="true" outlineLevel="0" collapsed="false">
      <c r="A982" s="1" t="s">
        <v>644</v>
      </c>
      <c r="B982" s="1" t="s">
        <v>44</v>
      </c>
      <c r="C982" s="1" t="s">
        <v>659</v>
      </c>
      <c r="D982" s="1" t="s">
        <v>280</v>
      </c>
      <c r="E982" s="73" t="n">
        <v>-1</v>
      </c>
      <c r="F982" s="26" t="n">
        <v>358.78</v>
      </c>
      <c r="G982" s="26" t="n">
        <v>-358.78</v>
      </c>
      <c r="H982" s="1" t="s">
        <v>590</v>
      </c>
    </row>
    <row r="983" customFormat="false" ht="15" hidden="false" customHeight="true" outlineLevel="0" collapsed="false">
      <c r="A983" s="1" t="s">
        <v>644</v>
      </c>
      <c r="B983" s="1" t="s">
        <v>44</v>
      </c>
      <c r="C983" s="1" t="s">
        <v>603</v>
      </c>
      <c r="D983" s="1" t="s">
        <v>280</v>
      </c>
      <c r="E983" s="73" t="n">
        <v>0</v>
      </c>
      <c r="F983" s="26" t="n">
        <v>0</v>
      </c>
      <c r="G983" s="26" t="n">
        <v>0</v>
      </c>
      <c r="H983" s="1" t="s">
        <v>597</v>
      </c>
    </row>
    <row r="984" customFormat="false" ht="15" hidden="false" customHeight="true" outlineLevel="0" collapsed="false">
      <c r="A984" s="1" t="s">
        <v>644</v>
      </c>
      <c r="B984" s="1" t="s">
        <v>44</v>
      </c>
      <c r="C984" s="1" t="s">
        <v>643</v>
      </c>
      <c r="D984" s="1" t="s">
        <v>280</v>
      </c>
      <c r="E984" s="73" t="n">
        <v>0</v>
      </c>
      <c r="F984" s="26" t="n">
        <v>0</v>
      </c>
      <c r="G984" s="26" t="n">
        <v>0</v>
      </c>
      <c r="H984" s="1" t="s">
        <v>597</v>
      </c>
    </row>
    <row r="985" customFormat="false" ht="15" hidden="false" customHeight="true" outlineLevel="0" collapsed="false">
      <c r="A985" s="1" t="s">
        <v>644</v>
      </c>
      <c r="B985" s="1" t="s">
        <v>44</v>
      </c>
      <c r="C985" s="1" t="s">
        <v>589</v>
      </c>
      <c r="D985" s="1" t="s">
        <v>274</v>
      </c>
      <c r="E985" s="73" t="n">
        <v>1</v>
      </c>
      <c r="F985" s="26" t="n">
        <v>3957</v>
      </c>
      <c r="G985" s="26" t="n">
        <v>3957</v>
      </c>
      <c r="H985" s="1" t="s">
        <v>591</v>
      </c>
    </row>
    <row r="986" customFormat="false" ht="15" hidden="false" customHeight="true" outlineLevel="0" collapsed="false">
      <c r="A986" s="1" t="s">
        <v>644</v>
      </c>
      <c r="B986" s="1" t="s">
        <v>44</v>
      </c>
      <c r="C986" s="1" t="s">
        <v>589</v>
      </c>
      <c r="D986" s="1" t="s">
        <v>274</v>
      </c>
      <c r="E986" s="73" t="n">
        <v>0</v>
      </c>
      <c r="F986" s="26" t="n">
        <v>0</v>
      </c>
      <c r="G986" s="26" t="n">
        <v>0</v>
      </c>
      <c r="H986" s="1" t="s">
        <v>591</v>
      </c>
    </row>
    <row r="987" customFormat="false" ht="15" hidden="false" customHeight="true" outlineLevel="0" collapsed="false">
      <c r="A987" s="1" t="s">
        <v>644</v>
      </c>
      <c r="B987" s="1" t="s">
        <v>44</v>
      </c>
      <c r="C987" s="1" t="s">
        <v>601</v>
      </c>
      <c r="D987" s="1" t="s">
        <v>274</v>
      </c>
      <c r="E987" s="73" t="n">
        <v>0</v>
      </c>
      <c r="F987" s="26" t="n">
        <v>0</v>
      </c>
      <c r="G987" s="26" t="n">
        <v>0</v>
      </c>
      <c r="H987" s="1" t="s">
        <v>597</v>
      </c>
    </row>
    <row r="988" customFormat="false" ht="15" hidden="false" customHeight="true" outlineLevel="0" collapsed="false">
      <c r="A988" s="1" t="s">
        <v>644</v>
      </c>
      <c r="B988" s="1" t="s">
        <v>44</v>
      </c>
      <c r="C988" s="1" t="s">
        <v>602</v>
      </c>
      <c r="D988" s="1" t="s">
        <v>274</v>
      </c>
      <c r="E988" s="73" t="n">
        <v>0</v>
      </c>
      <c r="F988" s="26" t="n">
        <v>0</v>
      </c>
      <c r="G988" s="26" t="n">
        <v>0</v>
      </c>
      <c r="H988" s="1" t="s">
        <v>597</v>
      </c>
    </row>
    <row r="989" customFormat="false" ht="15" hidden="false" customHeight="true" outlineLevel="0" collapsed="false">
      <c r="A989" s="1" t="s">
        <v>644</v>
      </c>
      <c r="B989" s="1" t="s">
        <v>44</v>
      </c>
      <c r="C989" s="1" t="s">
        <v>589</v>
      </c>
      <c r="D989" s="1" t="s">
        <v>275</v>
      </c>
      <c r="E989" s="73" t="n">
        <v>1</v>
      </c>
      <c r="F989" s="26" t="n">
        <v>1010.04</v>
      </c>
      <c r="G989" s="26" t="n">
        <v>1010.04</v>
      </c>
      <c r="H989" s="1" t="s">
        <v>642</v>
      </c>
    </row>
    <row r="990" customFormat="false" ht="15" hidden="false" customHeight="true" outlineLevel="0" collapsed="false">
      <c r="A990" s="1" t="s">
        <v>644</v>
      </c>
      <c r="B990" s="1" t="s">
        <v>44</v>
      </c>
      <c r="C990" s="1" t="s">
        <v>589</v>
      </c>
      <c r="D990" s="1" t="s">
        <v>275</v>
      </c>
      <c r="E990" s="73" t="n">
        <v>0</v>
      </c>
      <c r="F990" s="26" t="n">
        <v>0</v>
      </c>
      <c r="G990" s="26" t="n">
        <v>0</v>
      </c>
      <c r="H990" s="1" t="s">
        <v>590</v>
      </c>
    </row>
    <row r="991" customFormat="false" ht="15" hidden="false" customHeight="true" outlineLevel="0" collapsed="false">
      <c r="A991" s="1" t="s">
        <v>644</v>
      </c>
      <c r="B991" s="1" t="s">
        <v>44</v>
      </c>
      <c r="C991" s="1" t="s">
        <v>589</v>
      </c>
      <c r="D991" s="1" t="s">
        <v>272</v>
      </c>
      <c r="E991" s="73" t="n">
        <v>1</v>
      </c>
      <c r="F991" s="26" t="n">
        <v>6035.94</v>
      </c>
      <c r="G991" s="26" t="n">
        <v>6035.94</v>
      </c>
      <c r="H991" s="1" t="s">
        <v>642</v>
      </c>
    </row>
    <row r="992" customFormat="false" ht="15" hidden="false" customHeight="true" outlineLevel="0" collapsed="false">
      <c r="A992" s="1" t="s">
        <v>644</v>
      </c>
      <c r="B992" s="1" t="s">
        <v>44</v>
      </c>
      <c r="C992" s="1" t="s">
        <v>589</v>
      </c>
      <c r="D992" s="1" t="s">
        <v>272</v>
      </c>
      <c r="E992" s="73" t="n">
        <v>-1</v>
      </c>
      <c r="F992" s="26" t="n">
        <v>1333.53</v>
      </c>
      <c r="G992" s="26" t="n">
        <v>-1333.53</v>
      </c>
      <c r="H992" s="1" t="s">
        <v>590</v>
      </c>
    </row>
    <row r="993" customFormat="false" ht="15" hidden="false" customHeight="true" outlineLevel="0" collapsed="false">
      <c r="A993" s="1" t="s">
        <v>644</v>
      </c>
      <c r="B993" s="1" t="s">
        <v>44</v>
      </c>
      <c r="C993" s="1" t="s">
        <v>604</v>
      </c>
      <c r="D993" s="1" t="s">
        <v>272</v>
      </c>
      <c r="E993" s="73" t="n">
        <v>0</v>
      </c>
      <c r="F993" s="26" t="n">
        <v>0</v>
      </c>
      <c r="G993" s="26" t="n">
        <v>0</v>
      </c>
      <c r="H993" s="1" t="s">
        <v>593</v>
      </c>
    </row>
    <row r="994" customFormat="false" ht="15" hidden="false" customHeight="true" outlineLevel="0" collapsed="false">
      <c r="A994" s="1" t="s">
        <v>644</v>
      </c>
      <c r="B994" s="1" t="s">
        <v>44</v>
      </c>
      <c r="C994" s="1" t="s">
        <v>599</v>
      </c>
      <c r="D994" s="1" t="s">
        <v>272</v>
      </c>
      <c r="E994" s="73" t="n">
        <v>0</v>
      </c>
      <c r="F994" s="26" t="n">
        <v>0</v>
      </c>
      <c r="G994" s="26" t="n">
        <v>0</v>
      </c>
      <c r="H994" s="1" t="s">
        <v>597</v>
      </c>
    </row>
    <row r="995" customFormat="false" ht="15" hidden="false" customHeight="true" outlineLevel="0" collapsed="false">
      <c r="A995" s="1" t="s">
        <v>644</v>
      </c>
      <c r="B995" s="1" t="s">
        <v>87</v>
      </c>
      <c r="C995" s="1" t="s">
        <v>605</v>
      </c>
      <c r="D995" s="1" t="s">
        <v>277</v>
      </c>
      <c r="E995" s="73" t="n">
        <v>2</v>
      </c>
      <c r="F995" s="26" t="n">
        <v>50</v>
      </c>
      <c r="G995" s="26" t="n">
        <v>100</v>
      </c>
      <c r="H995" s="1" t="s">
        <v>606</v>
      </c>
    </row>
    <row r="996" customFormat="false" ht="15" hidden="false" customHeight="true" outlineLevel="0" collapsed="false">
      <c r="A996" s="1" t="s">
        <v>644</v>
      </c>
      <c r="B996" s="1" t="s">
        <v>87</v>
      </c>
      <c r="C996" s="1" t="s">
        <v>605</v>
      </c>
      <c r="D996" s="1" t="s">
        <v>279</v>
      </c>
      <c r="E996" s="73" t="n">
        <v>2</v>
      </c>
      <c r="F996" s="26" t="n">
        <v>50</v>
      </c>
      <c r="G996" s="26" t="n">
        <v>100</v>
      </c>
      <c r="H996" s="1" t="s">
        <v>606</v>
      </c>
    </row>
    <row r="997" customFormat="false" ht="15" hidden="false" customHeight="true" outlineLevel="0" collapsed="false">
      <c r="A997" s="1" t="s">
        <v>644</v>
      </c>
      <c r="B997" s="1" t="s">
        <v>87</v>
      </c>
      <c r="C997" s="1" t="s">
        <v>605</v>
      </c>
      <c r="D997" s="1" t="s">
        <v>283</v>
      </c>
      <c r="E997" s="73" t="n">
        <v>1</v>
      </c>
      <c r="F997" s="26" t="n">
        <v>10</v>
      </c>
      <c r="G997" s="26" t="n">
        <v>10</v>
      </c>
      <c r="H997" s="1" t="s">
        <v>606</v>
      </c>
    </row>
    <row r="998" customFormat="false" ht="15" hidden="false" customHeight="true" outlineLevel="0" collapsed="false">
      <c r="A998" s="1" t="s">
        <v>644</v>
      </c>
      <c r="B998" s="1" t="s">
        <v>87</v>
      </c>
      <c r="C998" s="1" t="s">
        <v>605</v>
      </c>
      <c r="D998" s="1" t="s">
        <v>280</v>
      </c>
      <c r="E998" s="73" t="n">
        <v>1</v>
      </c>
      <c r="F998" s="26" t="n">
        <v>10</v>
      </c>
      <c r="G998" s="26" t="n">
        <v>10</v>
      </c>
      <c r="H998" s="1" t="s">
        <v>606</v>
      </c>
    </row>
    <row r="999" customFormat="false" ht="15" hidden="false" customHeight="true" outlineLevel="0" collapsed="false">
      <c r="A999" s="1" t="s">
        <v>644</v>
      </c>
      <c r="B999" s="1" t="s">
        <v>87</v>
      </c>
      <c r="C999" s="1" t="s">
        <v>605</v>
      </c>
      <c r="D999" s="1" t="s">
        <v>280</v>
      </c>
      <c r="E999" s="73" t="n">
        <v>5</v>
      </c>
      <c r="F999" s="26" t="n">
        <v>50</v>
      </c>
      <c r="G999" s="26" t="n">
        <v>250</v>
      </c>
      <c r="H999" s="1" t="s">
        <v>606</v>
      </c>
    </row>
    <row r="1000" customFormat="false" ht="15" hidden="false" customHeight="true" outlineLevel="0" collapsed="false">
      <c r="A1000" s="1" t="s">
        <v>644</v>
      </c>
      <c r="B1000" s="1" t="s">
        <v>87</v>
      </c>
      <c r="C1000" s="1" t="s">
        <v>605</v>
      </c>
      <c r="D1000" s="1" t="s">
        <v>274</v>
      </c>
      <c r="E1000" s="73" t="n">
        <v>1</v>
      </c>
      <c r="F1000" s="26" t="n">
        <v>10</v>
      </c>
      <c r="G1000" s="26" t="n">
        <v>10</v>
      </c>
      <c r="H1000" s="1" t="s">
        <v>606</v>
      </c>
    </row>
    <row r="1001" customFormat="false" ht="15" hidden="false" customHeight="true" outlineLevel="0" collapsed="false">
      <c r="A1001" s="1" t="s">
        <v>644</v>
      </c>
      <c r="B1001" s="1" t="s">
        <v>87</v>
      </c>
      <c r="C1001" s="1" t="s">
        <v>605</v>
      </c>
      <c r="D1001" s="1" t="s">
        <v>274</v>
      </c>
      <c r="E1001" s="73" t="n">
        <v>2</v>
      </c>
      <c r="F1001" s="26" t="n">
        <v>50</v>
      </c>
      <c r="G1001" s="26" t="n">
        <v>100</v>
      </c>
      <c r="H1001" s="1" t="s">
        <v>606</v>
      </c>
    </row>
    <row r="1002" customFormat="false" ht="15" hidden="false" customHeight="true" outlineLevel="0" collapsed="false">
      <c r="A1002" s="1" t="s">
        <v>644</v>
      </c>
      <c r="B1002" s="1" t="s">
        <v>87</v>
      </c>
      <c r="C1002" s="1" t="s">
        <v>605</v>
      </c>
      <c r="D1002" s="1" t="s">
        <v>275</v>
      </c>
      <c r="E1002" s="73" t="n">
        <v>1</v>
      </c>
      <c r="F1002" s="26" t="n">
        <v>50</v>
      </c>
      <c r="G1002" s="26" t="n">
        <v>50</v>
      </c>
      <c r="H1002" s="1" t="s">
        <v>606</v>
      </c>
    </row>
    <row r="1003" customFormat="false" ht="15" hidden="false" customHeight="true" outlineLevel="0" collapsed="false">
      <c r="A1003" s="1" t="s">
        <v>644</v>
      </c>
      <c r="B1003" s="1" t="s">
        <v>87</v>
      </c>
      <c r="C1003" s="1" t="s">
        <v>605</v>
      </c>
      <c r="D1003" s="1" t="s">
        <v>272</v>
      </c>
      <c r="E1003" s="73" t="n">
        <v>1</v>
      </c>
      <c r="F1003" s="26" t="n">
        <v>90</v>
      </c>
      <c r="G1003" s="26" t="n">
        <v>90</v>
      </c>
      <c r="H1003" s="1" t="s">
        <v>606</v>
      </c>
    </row>
    <row r="1004" customFormat="false" ht="15" hidden="false" customHeight="true" outlineLevel="0" collapsed="false">
      <c r="A1004" s="1" t="s">
        <v>644</v>
      </c>
      <c r="B1004" s="1" t="s">
        <v>87</v>
      </c>
      <c r="C1004" s="1" t="s">
        <v>605</v>
      </c>
      <c r="D1004" s="1" t="s">
        <v>272</v>
      </c>
      <c r="E1004" s="73" t="n">
        <v>2</v>
      </c>
      <c r="F1004" s="26" t="n">
        <v>10</v>
      </c>
      <c r="G1004" s="26" t="n">
        <v>20</v>
      </c>
      <c r="H1004" s="1" t="s">
        <v>606</v>
      </c>
    </row>
    <row r="1005" customFormat="false" ht="15" hidden="false" customHeight="true" outlineLevel="0" collapsed="false">
      <c r="A1005" s="1" t="s">
        <v>644</v>
      </c>
      <c r="B1005" s="1" t="s">
        <v>87</v>
      </c>
      <c r="C1005" s="1" t="s">
        <v>605</v>
      </c>
      <c r="D1005" s="1" t="s">
        <v>272</v>
      </c>
      <c r="E1005" s="73" t="n">
        <v>3</v>
      </c>
      <c r="F1005" s="26" t="n">
        <v>50</v>
      </c>
      <c r="G1005" s="26" t="n">
        <v>150</v>
      </c>
      <c r="H1005" s="1" t="s">
        <v>606</v>
      </c>
    </row>
    <row r="1006" customFormat="false" ht="15" hidden="false" customHeight="true" outlineLevel="0" collapsed="false">
      <c r="A1006" s="1" t="s">
        <v>644</v>
      </c>
      <c r="B1006" s="1" t="s">
        <v>43</v>
      </c>
      <c r="C1006" s="1" t="s">
        <v>43</v>
      </c>
      <c r="D1006" s="1" t="s">
        <v>277</v>
      </c>
      <c r="E1006" s="73" t="n">
        <v>6588</v>
      </c>
      <c r="F1006" s="26" t="n">
        <v>0.138633956355371</v>
      </c>
      <c r="G1006" s="26" t="n">
        <v>913.320504</v>
      </c>
      <c r="H1006" s="1" t="s">
        <v>410</v>
      </c>
    </row>
    <row r="1007" customFormat="false" ht="15" hidden="false" customHeight="true" outlineLevel="0" collapsed="false">
      <c r="A1007" s="1" t="s">
        <v>644</v>
      </c>
      <c r="B1007" s="1" t="s">
        <v>43</v>
      </c>
      <c r="C1007" s="1" t="s">
        <v>43</v>
      </c>
      <c r="D1007" s="1" t="s">
        <v>283</v>
      </c>
      <c r="E1007" s="73" t="n">
        <v>3765</v>
      </c>
      <c r="F1007" s="26" t="n">
        <v>0.138633956355371</v>
      </c>
      <c r="G1007" s="26" t="n">
        <v>521.956846</v>
      </c>
      <c r="H1007" s="1" t="s">
        <v>410</v>
      </c>
    </row>
    <row r="1008" customFormat="false" ht="15" hidden="false" customHeight="true" outlineLevel="0" collapsed="false">
      <c r="A1008" s="1" t="s">
        <v>644</v>
      </c>
      <c r="B1008" s="1" t="s">
        <v>43</v>
      </c>
      <c r="C1008" s="1" t="s">
        <v>43</v>
      </c>
      <c r="D1008" s="1" t="s">
        <v>280</v>
      </c>
      <c r="E1008" s="73" t="n">
        <v>6568</v>
      </c>
      <c r="F1008" s="26" t="n">
        <v>0.138633956355371</v>
      </c>
      <c r="G1008" s="26" t="n">
        <v>910.547825</v>
      </c>
      <c r="H1008" s="1" t="s">
        <v>410</v>
      </c>
    </row>
    <row r="1009" customFormat="false" ht="15" hidden="false" customHeight="true" outlineLevel="0" collapsed="false">
      <c r="A1009" s="1" t="s">
        <v>644</v>
      </c>
      <c r="B1009" s="1" t="s">
        <v>43</v>
      </c>
      <c r="C1009" s="1" t="s">
        <v>43</v>
      </c>
      <c r="D1009" s="1" t="s">
        <v>274</v>
      </c>
      <c r="E1009" s="73" t="n">
        <v>14689</v>
      </c>
      <c r="F1009" s="26" t="n">
        <v>0.138633956355371</v>
      </c>
      <c r="G1009" s="26" t="n">
        <v>2036.394185</v>
      </c>
      <c r="H1009" s="1" t="s">
        <v>410</v>
      </c>
    </row>
    <row r="1010" customFormat="false" ht="15" hidden="false" customHeight="true" outlineLevel="0" collapsed="false">
      <c r="A1010" s="1" t="s">
        <v>644</v>
      </c>
      <c r="B1010" s="1" t="s">
        <v>43</v>
      </c>
      <c r="C1010" s="1" t="s">
        <v>43</v>
      </c>
      <c r="D1010" s="1" t="s">
        <v>275</v>
      </c>
      <c r="E1010" s="73" t="n">
        <v>4805</v>
      </c>
      <c r="F1010" s="26" t="n">
        <v>0.138633956355371</v>
      </c>
      <c r="G1010" s="26" t="n">
        <v>666.13616</v>
      </c>
      <c r="H1010" s="1" t="s">
        <v>410</v>
      </c>
    </row>
    <row r="1011" customFormat="false" ht="15" hidden="false" customHeight="true" outlineLevel="0" collapsed="false">
      <c r="A1011" s="1" t="s">
        <v>644</v>
      </c>
      <c r="B1011" s="1" t="s">
        <v>43</v>
      </c>
      <c r="C1011" s="1" t="s">
        <v>43</v>
      </c>
      <c r="D1011" s="1" t="s">
        <v>272</v>
      </c>
      <c r="E1011" s="73" t="n">
        <v>4806</v>
      </c>
      <c r="F1011" s="26" t="n">
        <v>0.138633956355371</v>
      </c>
      <c r="G1011" s="26" t="n">
        <v>666.274794</v>
      </c>
      <c r="H1011" s="1" t="s">
        <v>410</v>
      </c>
    </row>
    <row r="1012" customFormat="false" ht="15" hidden="false" customHeight="true" outlineLevel="0" collapsed="false">
      <c r="A1012" s="1" t="s">
        <v>644</v>
      </c>
      <c r="B1012" s="1" t="s">
        <v>43</v>
      </c>
      <c r="C1012" s="1" t="s">
        <v>43</v>
      </c>
      <c r="D1012" s="1" t="s">
        <v>279</v>
      </c>
      <c r="E1012" s="73" t="n">
        <v>13530</v>
      </c>
      <c r="F1012" s="26" t="n">
        <v>0.138633956355371</v>
      </c>
      <c r="G1012" s="26" t="n">
        <v>1875.717429</v>
      </c>
      <c r="H1012" s="1" t="s">
        <v>410</v>
      </c>
    </row>
    <row r="1013" customFormat="false" ht="15" hidden="false" customHeight="true" outlineLevel="0" collapsed="false">
      <c r="A1013" s="1" t="s">
        <v>644</v>
      </c>
      <c r="B1013" s="1" t="s">
        <v>411</v>
      </c>
      <c r="C1013" s="1" t="s">
        <v>86</v>
      </c>
      <c r="D1013" s="1" t="s">
        <v>277</v>
      </c>
      <c r="E1013" s="73" t="n">
        <v>6588</v>
      </c>
      <c r="F1013" s="26" t="n">
        <v>0.190684</v>
      </c>
      <c r="G1013" s="26" t="n">
        <v>1256.226192</v>
      </c>
      <c r="H1013" s="1" t="s">
        <v>410</v>
      </c>
    </row>
    <row r="1014" customFormat="false" ht="15" hidden="false" customHeight="true" outlineLevel="0" collapsed="false">
      <c r="A1014" s="1" t="s">
        <v>644</v>
      </c>
      <c r="B1014" s="1" t="s">
        <v>411</v>
      </c>
      <c r="C1014" s="1" t="s">
        <v>86</v>
      </c>
      <c r="D1014" s="1" t="s">
        <v>283</v>
      </c>
      <c r="E1014" s="73" t="n">
        <v>3765</v>
      </c>
      <c r="F1014" s="26" t="n">
        <v>0.190684</v>
      </c>
      <c r="G1014" s="26" t="n">
        <v>717.92526</v>
      </c>
      <c r="H1014" s="1" t="s">
        <v>410</v>
      </c>
    </row>
    <row r="1015" customFormat="false" ht="15" hidden="false" customHeight="true" outlineLevel="0" collapsed="false">
      <c r="A1015" s="1" t="s">
        <v>644</v>
      </c>
      <c r="B1015" s="1" t="s">
        <v>411</v>
      </c>
      <c r="C1015" s="1" t="s">
        <v>86</v>
      </c>
      <c r="D1015" s="1" t="s">
        <v>280</v>
      </c>
      <c r="E1015" s="73" t="n">
        <v>6568</v>
      </c>
      <c r="F1015" s="26" t="n">
        <v>0.190684</v>
      </c>
      <c r="G1015" s="26" t="n">
        <v>1252.412512</v>
      </c>
      <c r="H1015" s="1" t="s">
        <v>410</v>
      </c>
    </row>
    <row r="1016" customFormat="false" ht="15" hidden="false" customHeight="true" outlineLevel="0" collapsed="false">
      <c r="A1016" s="1" t="s">
        <v>644</v>
      </c>
      <c r="B1016" s="1" t="s">
        <v>411</v>
      </c>
      <c r="C1016" s="1" t="s">
        <v>86</v>
      </c>
      <c r="D1016" s="1" t="s">
        <v>274</v>
      </c>
      <c r="E1016" s="73" t="n">
        <v>14689</v>
      </c>
      <c r="F1016" s="26" t="n">
        <v>0.190684</v>
      </c>
      <c r="G1016" s="26" t="n">
        <v>2800.957276</v>
      </c>
      <c r="H1016" s="1" t="s">
        <v>410</v>
      </c>
    </row>
    <row r="1017" customFormat="false" ht="15" hidden="false" customHeight="true" outlineLevel="0" collapsed="false">
      <c r="A1017" s="1" t="s">
        <v>644</v>
      </c>
      <c r="B1017" s="1" t="s">
        <v>411</v>
      </c>
      <c r="C1017" s="1" t="s">
        <v>86</v>
      </c>
      <c r="D1017" s="1" t="s">
        <v>275</v>
      </c>
      <c r="E1017" s="73" t="n">
        <v>4805</v>
      </c>
      <c r="F1017" s="26" t="n">
        <v>0.190684</v>
      </c>
      <c r="G1017" s="26" t="n">
        <v>916.23662</v>
      </c>
      <c r="H1017" s="1" t="s">
        <v>410</v>
      </c>
    </row>
    <row r="1018" customFormat="false" ht="15" hidden="false" customHeight="true" outlineLevel="0" collapsed="false">
      <c r="A1018" s="1" t="s">
        <v>644</v>
      </c>
      <c r="B1018" s="1" t="s">
        <v>411</v>
      </c>
      <c r="C1018" s="1" t="s">
        <v>86</v>
      </c>
      <c r="D1018" s="1" t="s">
        <v>272</v>
      </c>
      <c r="E1018" s="73" t="n">
        <v>4806</v>
      </c>
      <c r="F1018" s="26" t="n">
        <v>0.190684</v>
      </c>
      <c r="G1018" s="26" t="n">
        <v>916.427304</v>
      </c>
      <c r="H1018" s="1" t="s">
        <v>410</v>
      </c>
    </row>
    <row r="1019" customFormat="false" ht="15" hidden="false" customHeight="true" outlineLevel="0" collapsed="false">
      <c r="A1019" s="1" t="s">
        <v>644</v>
      </c>
      <c r="B1019" s="1" t="s">
        <v>81</v>
      </c>
      <c r="C1019" s="1" t="s">
        <v>81</v>
      </c>
      <c r="D1019" s="1" t="s">
        <v>277</v>
      </c>
      <c r="E1019" s="73" t="n">
        <v>6588</v>
      </c>
      <c r="F1019" s="26" t="n">
        <v>0.071167700671494</v>
      </c>
      <c r="G1019" s="26" t="n">
        <v>468.852812</v>
      </c>
      <c r="H1019" s="1" t="s">
        <v>410</v>
      </c>
    </row>
    <row r="1020" customFormat="false" ht="15" hidden="false" customHeight="true" outlineLevel="0" collapsed="false">
      <c r="A1020" s="1" t="s">
        <v>644</v>
      </c>
      <c r="B1020" s="1" t="s">
        <v>81</v>
      </c>
      <c r="C1020" s="1" t="s">
        <v>81</v>
      </c>
      <c r="D1020" s="1" t="s">
        <v>279</v>
      </c>
      <c r="E1020" s="73" t="n">
        <v>13530</v>
      </c>
      <c r="F1020" s="26" t="n">
        <v>0.071167700671494</v>
      </c>
      <c r="G1020" s="26" t="n">
        <v>962.89899</v>
      </c>
      <c r="H1020" s="1" t="s">
        <v>410</v>
      </c>
    </row>
    <row r="1021" customFormat="false" ht="15" hidden="false" customHeight="true" outlineLevel="0" collapsed="false">
      <c r="A1021" s="1" t="s">
        <v>644</v>
      </c>
      <c r="B1021" s="1" t="s">
        <v>81</v>
      </c>
      <c r="C1021" s="1" t="s">
        <v>81</v>
      </c>
      <c r="D1021" s="1" t="s">
        <v>283</v>
      </c>
      <c r="E1021" s="73" t="n">
        <v>3765</v>
      </c>
      <c r="F1021" s="26" t="n">
        <v>0.071167700671494</v>
      </c>
      <c r="G1021" s="26" t="n">
        <v>267.946393</v>
      </c>
      <c r="H1021" s="1" t="s">
        <v>410</v>
      </c>
    </row>
    <row r="1022" customFormat="false" ht="15" hidden="false" customHeight="true" outlineLevel="0" collapsed="false">
      <c r="A1022" s="1" t="s">
        <v>644</v>
      </c>
      <c r="B1022" s="1" t="s">
        <v>81</v>
      </c>
      <c r="C1022" s="1" t="s">
        <v>81</v>
      </c>
      <c r="D1022" s="1" t="s">
        <v>280</v>
      </c>
      <c r="E1022" s="73" t="n">
        <v>6568</v>
      </c>
      <c r="F1022" s="26" t="n">
        <v>0.071167700671494</v>
      </c>
      <c r="G1022" s="26" t="n">
        <v>467.429458</v>
      </c>
      <c r="H1022" s="1" t="s">
        <v>410</v>
      </c>
    </row>
    <row r="1023" customFormat="false" ht="15" hidden="false" customHeight="true" outlineLevel="0" collapsed="false">
      <c r="A1023" s="1" t="s">
        <v>644</v>
      </c>
      <c r="B1023" s="1" t="s">
        <v>81</v>
      </c>
      <c r="C1023" s="1" t="s">
        <v>81</v>
      </c>
      <c r="D1023" s="1" t="s">
        <v>274</v>
      </c>
      <c r="E1023" s="73" t="n">
        <v>14689</v>
      </c>
      <c r="F1023" s="26" t="n">
        <v>0.071167700671494</v>
      </c>
      <c r="G1023" s="26" t="n">
        <v>1045.382355</v>
      </c>
      <c r="H1023" s="1" t="s">
        <v>410</v>
      </c>
    </row>
    <row r="1024" customFormat="false" ht="15" hidden="false" customHeight="true" outlineLevel="0" collapsed="false">
      <c r="A1024" s="1" t="s">
        <v>644</v>
      </c>
      <c r="B1024" s="1" t="s">
        <v>81</v>
      </c>
      <c r="C1024" s="1" t="s">
        <v>81</v>
      </c>
      <c r="D1024" s="1" t="s">
        <v>275</v>
      </c>
      <c r="E1024" s="73" t="n">
        <v>4805</v>
      </c>
      <c r="F1024" s="26" t="n">
        <v>0.071167700671494</v>
      </c>
      <c r="G1024" s="26" t="n">
        <v>341.960802</v>
      </c>
      <c r="H1024" s="1" t="s">
        <v>410</v>
      </c>
    </row>
    <row r="1025" customFormat="false" ht="15" hidden="false" customHeight="true" outlineLevel="0" collapsed="false">
      <c r="A1025" s="1" t="s">
        <v>644</v>
      </c>
      <c r="B1025" s="1" t="s">
        <v>81</v>
      </c>
      <c r="C1025" s="1" t="s">
        <v>81</v>
      </c>
      <c r="D1025" s="1" t="s">
        <v>272</v>
      </c>
      <c r="E1025" s="73" t="n">
        <v>4806</v>
      </c>
      <c r="F1025" s="26" t="n">
        <v>0.071167700671494</v>
      </c>
      <c r="G1025" s="26" t="n">
        <v>342.031969</v>
      </c>
      <c r="H1025" s="1" t="s">
        <v>410</v>
      </c>
    </row>
    <row r="1026" customFormat="false" ht="15" hidden="false" customHeight="true" outlineLevel="0" collapsed="false">
      <c r="A1026" s="1" t="s">
        <v>644</v>
      </c>
      <c r="B1026" s="1" t="s">
        <v>36</v>
      </c>
      <c r="C1026" s="1" t="s">
        <v>36</v>
      </c>
      <c r="D1026" s="1" t="s">
        <v>277</v>
      </c>
      <c r="E1026" s="73" t="n">
        <v>6588</v>
      </c>
      <c r="F1026" s="26" t="n">
        <v>0.364789684899077</v>
      </c>
      <c r="G1026" s="26" t="n">
        <v>2403.234444</v>
      </c>
      <c r="H1026" s="1" t="s">
        <v>410</v>
      </c>
    </row>
    <row r="1027" customFormat="false" ht="15" hidden="false" customHeight="true" outlineLevel="0" collapsed="false">
      <c r="A1027" s="1" t="s">
        <v>644</v>
      </c>
      <c r="B1027" s="1" t="s">
        <v>36</v>
      </c>
      <c r="C1027" s="1" t="s">
        <v>36</v>
      </c>
      <c r="D1027" s="1" t="s">
        <v>283</v>
      </c>
      <c r="E1027" s="73" t="n">
        <v>3765</v>
      </c>
      <c r="F1027" s="26" t="n">
        <v>0.364789684899077</v>
      </c>
      <c r="G1027" s="26" t="n">
        <v>1373.433164</v>
      </c>
      <c r="H1027" s="1" t="s">
        <v>410</v>
      </c>
    </row>
    <row r="1028" customFormat="false" ht="15" hidden="false" customHeight="true" outlineLevel="0" collapsed="false">
      <c r="A1028" s="1" t="s">
        <v>644</v>
      </c>
      <c r="B1028" s="1" t="s">
        <v>36</v>
      </c>
      <c r="C1028" s="1" t="s">
        <v>36</v>
      </c>
      <c r="D1028" s="1" t="s">
        <v>280</v>
      </c>
      <c r="E1028" s="73" t="n">
        <v>6568</v>
      </c>
      <c r="F1028" s="26" t="n">
        <v>0.364789684899077</v>
      </c>
      <c r="G1028" s="26" t="n">
        <v>2395.93865</v>
      </c>
      <c r="H1028" s="1" t="s">
        <v>410</v>
      </c>
    </row>
    <row r="1029" customFormat="false" ht="15" hidden="false" customHeight="true" outlineLevel="0" collapsed="false">
      <c r="A1029" s="1" t="s">
        <v>644</v>
      </c>
      <c r="B1029" s="1" t="s">
        <v>36</v>
      </c>
      <c r="C1029" s="1" t="s">
        <v>36</v>
      </c>
      <c r="D1029" s="1" t="s">
        <v>274</v>
      </c>
      <c r="E1029" s="73" t="n">
        <v>14689</v>
      </c>
      <c r="F1029" s="26" t="n">
        <v>0.364789684899077</v>
      </c>
      <c r="G1029" s="26" t="n">
        <v>5358.395681</v>
      </c>
      <c r="H1029" s="1" t="s">
        <v>410</v>
      </c>
    </row>
    <row r="1030" customFormat="false" ht="15" hidden="false" customHeight="true" outlineLevel="0" collapsed="false">
      <c r="A1030" s="1" t="s">
        <v>644</v>
      </c>
      <c r="B1030" s="1" t="s">
        <v>36</v>
      </c>
      <c r="C1030" s="1" t="s">
        <v>36</v>
      </c>
      <c r="D1030" s="1" t="s">
        <v>275</v>
      </c>
      <c r="E1030" s="73" t="n">
        <v>4805</v>
      </c>
      <c r="F1030" s="26" t="n">
        <v>0.364789684899077</v>
      </c>
      <c r="G1030" s="26" t="n">
        <v>1752.814436</v>
      </c>
      <c r="H1030" s="1" t="s">
        <v>410</v>
      </c>
    </row>
    <row r="1031" customFormat="false" ht="15" hidden="false" customHeight="true" outlineLevel="0" collapsed="false">
      <c r="A1031" s="1" t="s">
        <v>644</v>
      </c>
      <c r="B1031" s="1" t="s">
        <v>36</v>
      </c>
      <c r="C1031" s="1" t="s">
        <v>36</v>
      </c>
      <c r="D1031" s="1" t="s">
        <v>272</v>
      </c>
      <c r="E1031" s="73" t="n">
        <v>4806</v>
      </c>
      <c r="F1031" s="26" t="n">
        <v>0.364789684899077</v>
      </c>
      <c r="G1031" s="26" t="n">
        <v>1753.179226</v>
      </c>
      <c r="H1031" s="1" t="s">
        <v>410</v>
      </c>
    </row>
    <row r="1032" customFormat="false" ht="15" hidden="false" customHeight="true" outlineLevel="0" collapsed="false">
      <c r="A1032" s="1" t="s">
        <v>644</v>
      </c>
      <c r="B1032" s="1" t="s">
        <v>36</v>
      </c>
      <c r="C1032" s="1" t="s">
        <v>36</v>
      </c>
      <c r="D1032" s="1" t="s">
        <v>279</v>
      </c>
      <c r="E1032" s="73" t="n">
        <v>13530</v>
      </c>
      <c r="F1032" s="26" t="n">
        <v>0.364789684899077</v>
      </c>
      <c r="G1032" s="26" t="n">
        <v>4935.604437</v>
      </c>
      <c r="H1032" s="1" t="s">
        <v>410</v>
      </c>
    </row>
    <row r="1033" customFormat="false" ht="15" hidden="false" customHeight="true" outlineLevel="0" collapsed="false">
      <c r="A1033" s="1" t="s">
        <v>644</v>
      </c>
      <c r="B1033" s="1" t="s">
        <v>83</v>
      </c>
      <c r="C1033" s="1" t="s">
        <v>83</v>
      </c>
      <c r="D1033" s="1" t="s">
        <v>277</v>
      </c>
      <c r="E1033" s="73" t="n">
        <v>6588</v>
      </c>
      <c r="F1033" s="26" t="n">
        <v>0.0793753070856763</v>
      </c>
      <c r="G1033" s="26" t="n">
        <v>522.924523</v>
      </c>
      <c r="H1033" s="1" t="s">
        <v>410</v>
      </c>
    </row>
    <row r="1034" customFormat="false" ht="15" hidden="false" customHeight="true" outlineLevel="0" collapsed="false">
      <c r="A1034" s="1" t="s">
        <v>644</v>
      </c>
      <c r="B1034" s="1" t="s">
        <v>83</v>
      </c>
      <c r="C1034" s="1" t="s">
        <v>83</v>
      </c>
      <c r="D1034" s="1" t="s">
        <v>279</v>
      </c>
      <c r="E1034" s="73" t="n">
        <v>13530</v>
      </c>
      <c r="F1034" s="26" t="n">
        <v>0.0793753070856763</v>
      </c>
      <c r="G1034" s="26" t="n">
        <v>1073.947905</v>
      </c>
      <c r="H1034" s="1" t="s">
        <v>410</v>
      </c>
    </row>
    <row r="1035" customFormat="false" ht="15" hidden="false" customHeight="true" outlineLevel="0" collapsed="false">
      <c r="A1035" s="1" t="s">
        <v>644</v>
      </c>
      <c r="B1035" s="1" t="s">
        <v>83</v>
      </c>
      <c r="C1035" s="1" t="s">
        <v>83</v>
      </c>
      <c r="D1035" s="1" t="s">
        <v>283</v>
      </c>
      <c r="E1035" s="73" t="n">
        <v>3765</v>
      </c>
      <c r="F1035" s="26" t="n">
        <v>0.0793753070856763</v>
      </c>
      <c r="G1035" s="26" t="n">
        <v>298.848031</v>
      </c>
      <c r="H1035" s="1" t="s">
        <v>410</v>
      </c>
    </row>
    <row r="1036" customFormat="false" ht="15" hidden="false" customHeight="true" outlineLevel="0" collapsed="false">
      <c r="A1036" s="1" t="s">
        <v>644</v>
      </c>
      <c r="B1036" s="1" t="s">
        <v>83</v>
      </c>
      <c r="C1036" s="1" t="s">
        <v>83</v>
      </c>
      <c r="D1036" s="1" t="s">
        <v>280</v>
      </c>
      <c r="E1036" s="73" t="n">
        <v>6568</v>
      </c>
      <c r="F1036" s="26" t="n">
        <v>0.0793753070856763</v>
      </c>
      <c r="G1036" s="26" t="n">
        <v>521.337017</v>
      </c>
      <c r="H1036" s="1" t="s">
        <v>410</v>
      </c>
    </row>
    <row r="1037" customFormat="false" ht="15" hidden="false" customHeight="true" outlineLevel="0" collapsed="false">
      <c r="A1037" s="1" t="s">
        <v>644</v>
      </c>
      <c r="B1037" s="1" t="s">
        <v>83</v>
      </c>
      <c r="C1037" s="1" t="s">
        <v>83</v>
      </c>
      <c r="D1037" s="1" t="s">
        <v>274</v>
      </c>
      <c r="E1037" s="73" t="n">
        <v>14689</v>
      </c>
      <c r="F1037" s="26" t="n">
        <v>0.0793753070856763</v>
      </c>
      <c r="G1037" s="26" t="n">
        <v>1165.943886</v>
      </c>
      <c r="H1037" s="1" t="s">
        <v>410</v>
      </c>
    </row>
    <row r="1038" customFormat="false" ht="15" hidden="false" customHeight="true" outlineLevel="0" collapsed="false">
      <c r="A1038" s="1" t="s">
        <v>644</v>
      </c>
      <c r="B1038" s="1" t="s">
        <v>83</v>
      </c>
      <c r="C1038" s="1" t="s">
        <v>83</v>
      </c>
      <c r="D1038" s="1" t="s">
        <v>275</v>
      </c>
      <c r="E1038" s="73" t="n">
        <v>4805</v>
      </c>
      <c r="F1038" s="26" t="n">
        <v>0.0793753070856763</v>
      </c>
      <c r="G1038" s="26" t="n">
        <v>381.398351</v>
      </c>
      <c r="H1038" s="1" t="s">
        <v>410</v>
      </c>
    </row>
    <row r="1039" customFormat="false" ht="15" hidden="false" customHeight="true" outlineLevel="0" collapsed="false">
      <c r="A1039" s="1" t="s">
        <v>644</v>
      </c>
      <c r="B1039" s="1" t="s">
        <v>83</v>
      </c>
      <c r="C1039" s="1" t="s">
        <v>83</v>
      </c>
      <c r="D1039" s="1" t="s">
        <v>272</v>
      </c>
      <c r="E1039" s="73" t="n">
        <v>4806</v>
      </c>
      <c r="F1039" s="26" t="n">
        <v>0.0793753070856763</v>
      </c>
      <c r="G1039" s="26" t="n">
        <v>381.477726</v>
      </c>
      <c r="H1039" s="1" t="s">
        <v>410</v>
      </c>
    </row>
    <row r="1040" customFormat="false" ht="15" hidden="false" customHeight="true" outlineLevel="0" collapsed="false">
      <c r="A1040" s="1" t="s">
        <v>644</v>
      </c>
      <c r="B1040" s="1" t="s">
        <v>660</v>
      </c>
      <c r="C1040" s="1" t="s">
        <v>660</v>
      </c>
      <c r="D1040" s="1" t="s">
        <v>277</v>
      </c>
      <c r="E1040" s="73" t="n">
        <v>6588</v>
      </c>
      <c r="F1040" s="26" t="n">
        <v>0.484427</v>
      </c>
      <c r="G1040" s="26" t="n">
        <v>3191.405076</v>
      </c>
      <c r="H1040" s="1" t="s">
        <v>410</v>
      </c>
    </row>
    <row r="1041" customFormat="false" ht="15" hidden="false" customHeight="true" outlineLevel="0" collapsed="false">
      <c r="A1041" s="1" t="s">
        <v>644</v>
      </c>
      <c r="B1041" s="1" t="s">
        <v>660</v>
      </c>
      <c r="C1041" s="1" t="s">
        <v>660</v>
      </c>
      <c r="D1041" s="1" t="s">
        <v>283</v>
      </c>
      <c r="E1041" s="73" t="n">
        <v>3765</v>
      </c>
      <c r="F1041" s="26" t="n">
        <v>0.484427</v>
      </c>
      <c r="G1041" s="26" t="n">
        <v>1823.867655</v>
      </c>
      <c r="H1041" s="1" t="s">
        <v>410</v>
      </c>
    </row>
    <row r="1042" customFormat="false" ht="15" hidden="false" customHeight="true" outlineLevel="0" collapsed="false">
      <c r="A1042" s="1" t="s">
        <v>644</v>
      </c>
      <c r="B1042" s="1" t="s">
        <v>660</v>
      </c>
      <c r="C1042" s="1" t="s">
        <v>660</v>
      </c>
      <c r="D1042" s="1" t="s">
        <v>280</v>
      </c>
      <c r="E1042" s="73" t="n">
        <v>6568</v>
      </c>
      <c r="F1042" s="26" t="n">
        <v>0.484427</v>
      </c>
      <c r="G1042" s="26" t="n">
        <v>3181.716536</v>
      </c>
      <c r="H1042" s="1" t="s">
        <v>410</v>
      </c>
    </row>
    <row r="1043" customFormat="false" ht="15" hidden="false" customHeight="true" outlineLevel="0" collapsed="false">
      <c r="A1043" s="1" t="s">
        <v>644</v>
      </c>
      <c r="B1043" s="1" t="s">
        <v>660</v>
      </c>
      <c r="C1043" s="1" t="s">
        <v>660</v>
      </c>
      <c r="D1043" s="1" t="s">
        <v>274</v>
      </c>
      <c r="E1043" s="73" t="n">
        <v>14689</v>
      </c>
      <c r="F1043" s="26" t="n">
        <v>0.484427</v>
      </c>
      <c r="G1043" s="26" t="n">
        <v>7115.748203</v>
      </c>
      <c r="H1043" s="1" t="s">
        <v>410</v>
      </c>
    </row>
    <row r="1044" customFormat="false" ht="15" hidden="false" customHeight="true" outlineLevel="0" collapsed="false">
      <c r="A1044" s="1" t="s">
        <v>644</v>
      </c>
      <c r="B1044" s="1" t="s">
        <v>660</v>
      </c>
      <c r="C1044" s="1" t="s">
        <v>660</v>
      </c>
      <c r="D1044" s="1" t="s">
        <v>275</v>
      </c>
      <c r="E1044" s="73" t="n">
        <v>4805</v>
      </c>
      <c r="F1044" s="26" t="n">
        <v>0.484427</v>
      </c>
      <c r="G1044" s="26" t="n">
        <v>2327.671735</v>
      </c>
      <c r="H1044" s="1" t="s">
        <v>410</v>
      </c>
    </row>
    <row r="1045" customFormat="false" ht="15" hidden="false" customHeight="true" outlineLevel="0" collapsed="false">
      <c r="A1045" s="1" t="s">
        <v>644</v>
      </c>
      <c r="B1045" s="1" t="s">
        <v>660</v>
      </c>
      <c r="C1045" s="1" t="s">
        <v>660</v>
      </c>
      <c r="D1045" s="1" t="s">
        <v>272</v>
      </c>
      <c r="E1045" s="73" t="n">
        <v>4806</v>
      </c>
      <c r="F1045" s="26" t="n">
        <v>0.484427</v>
      </c>
      <c r="G1045" s="26" t="n">
        <v>2328.156162</v>
      </c>
      <c r="H1045" s="1" t="s">
        <v>410</v>
      </c>
    </row>
    <row r="1046" customFormat="false" ht="15" hidden="false" customHeight="true" outlineLevel="0" collapsed="false">
      <c r="A1046" s="1" t="s">
        <v>644</v>
      </c>
      <c r="B1046" s="1" t="s">
        <v>660</v>
      </c>
      <c r="C1046" s="1" t="s">
        <v>660</v>
      </c>
      <c r="D1046" s="1" t="s">
        <v>279</v>
      </c>
      <c r="E1046" s="73" t="n">
        <v>13530</v>
      </c>
      <c r="F1046" s="26" t="n">
        <v>0.484427</v>
      </c>
      <c r="G1046" s="26" t="n">
        <v>6554.29731</v>
      </c>
      <c r="H1046" s="1" t="s">
        <v>410</v>
      </c>
    </row>
    <row r="1047" customFormat="false" ht="15" hidden="false" customHeight="true" outlineLevel="0" collapsed="false">
      <c r="A1047" s="1" t="s">
        <v>644</v>
      </c>
      <c r="B1047" s="1" t="s">
        <v>31</v>
      </c>
      <c r="C1047" s="1" t="s">
        <v>31</v>
      </c>
      <c r="D1047" s="1" t="s">
        <v>277</v>
      </c>
      <c r="E1047" s="73" t="n">
        <v>6588</v>
      </c>
      <c r="F1047" s="26" t="n">
        <v>0.371854</v>
      </c>
      <c r="G1047" s="26" t="n">
        <v>2449.774152</v>
      </c>
      <c r="H1047" s="1" t="s">
        <v>410</v>
      </c>
    </row>
    <row r="1048" customFormat="false" ht="15" hidden="false" customHeight="true" outlineLevel="0" collapsed="false">
      <c r="A1048" s="1" t="s">
        <v>644</v>
      </c>
      <c r="B1048" s="1" t="s">
        <v>31</v>
      </c>
      <c r="C1048" s="1" t="s">
        <v>31</v>
      </c>
      <c r="D1048" s="1" t="s">
        <v>279</v>
      </c>
      <c r="E1048" s="73" t="n">
        <v>13530</v>
      </c>
      <c r="F1048" s="26" t="n">
        <v>0.371854</v>
      </c>
      <c r="G1048" s="26" t="n">
        <v>5031.18462</v>
      </c>
      <c r="H1048" s="1" t="s">
        <v>410</v>
      </c>
    </row>
    <row r="1049" customFormat="false" ht="15" hidden="false" customHeight="true" outlineLevel="0" collapsed="false">
      <c r="A1049" s="1" t="s">
        <v>644</v>
      </c>
      <c r="B1049" s="1" t="s">
        <v>31</v>
      </c>
      <c r="C1049" s="1" t="s">
        <v>31</v>
      </c>
      <c r="D1049" s="1" t="s">
        <v>283</v>
      </c>
      <c r="E1049" s="73" t="n">
        <v>3765</v>
      </c>
      <c r="F1049" s="26" t="n">
        <v>0.371854</v>
      </c>
      <c r="G1049" s="26" t="n">
        <v>1400.03031</v>
      </c>
      <c r="H1049" s="1" t="s">
        <v>410</v>
      </c>
    </row>
    <row r="1050" customFormat="false" ht="15" hidden="false" customHeight="true" outlineLevel="0" collapsed="false">
      <c r="A1050" s="1" t="s">
        <v>644</v>
      </c>
      <c r="B1050" s="1" t="s">
        <v>31</v>
      </c>
      <c r="C1050" s="1" t="s">
        <v>31</v>
      </c>
      <c r="D1050" s="1" t="s">
        <v>280</v>
      </c>
      <c r="E1050" s="73" t="n">
        <v>6568</v>
      </c>
      <c r="F1050" s="26" t="n">
        <v>0.371854</v>
      </c>
      <c r="G1050" s="26" t="n">
        <v>2442.337072</v>
      </c>
      <c r="H1050" s="1" t="s">
        <v>410</v>
      </c>
    </row>
    <row r="1051" customFormat="false" ht="15" hidden="false" customHeight="true" outlineLevel="0" collapsed="false">
      <c r="A1051" s="1" t="s">
        <v>644</v>
      </c>
      <c r="B1051" s="1" t="s">
        <v>31</v>
      </c>
      <c r="C1051" s="1" t="s">
        <v>31</v>
      </c>
      <c r="D1051" s="1" t="s">
        <v>274</v>
      </c>
      <c r="E1051" s="73" t="n">
        <v>14689</v>
      </c>
      <c r="F1051" s="26" t="n">
        <v>0.371854</v>
      </c>
      <c r="G1051" s="26" t="n">
        <v>5462.163406</v>
      </c>
      <c r="H1051" s="1" t="s">
        <v>410</v>
      </c>
    </row>
    <row r="1052" customFormat="false" ht="15" hidden="false" customHeight="true" outlineLevel="0" collapsed="false">
      <c r="A1052" s="1" t="s">
        <v>644</v>
      </c>
      <c r="B1052" s="1" t="s">
        <v>31</v>
      </c>
      <c r="C1052" s="1" t="s">
        <v>31</v>
      </c>
      <c r="D1052" s="1" t="s">
        <v>275</v>
      </c>
      <c r="E1052" s="73" t="n">
        <v>4805</v>
      </c>
      <c r="F1052" s="26" t="n">
        <v>0.371854</v>
      </c>
      <c r="G1052" s="26" t="n">
        <v>1786.75847</v>
      </c>
      <c r="H1052" s="1" t="s">
        <v>410</v>
      </c>
    </row>
    <row r="1053" customFormat="false" ht="15" hidden="false" customHeight="true" outlineLevel="0" collapsed="false">
      <c r="A1053" s="1" t="s">
        <v>644</v>
      </c>
      <c r="B1053" s="1" t="s">
        <v>31</v>
      </c>
      <c r="C1053" s="1" t="s">
        <v>31</v>
      </c>
      <c r="D1053" s="1" t="s">
        <v>272</v>
      </c>
      <c r="E1053" s="73" t="n">
        <v>4806</v>
      </c>
      <c r="F1053" s="26" t="n">
        <v>0.371854</v>
      </c>
      <c r="G1053" s="26" t="n">
        <v>1787.130324</v>
      </c>
      <c r="H1053" s="1" t="s">
        <v>410</v>
      </c>
    </row>
    <row r="1054" customFormat="false" ht="15" hidden="false" customHeight="true" outlineLevel="0" collapsed="false">
      <c r="A1054" s="1" t="s">
        <v>644</v>
      </c>
      <c r="B1054" s="1" t="s">
        <v>32</v>
      </c>
      <c r="C1054" s="1" t="s">
        <v>661</v>
      </c>
      <c r="D1054" s="1" t="s">
        <v>277</v>
      </c>
      <c r="E1054" s="73" t="n">
        <v>29</v>
      </c>
      <c r="F1054" s="26" t="n">
        <v>29.741876</v>
      </c>
      <c r="G1054" s="26" t="n">
        <v>862.514404</v>
      </c>
      <c r="H1054" s="1" t="s">
        <v>662</v>
      </c>
    </row>
    <row r="1055" customFormat="false" ht="15" hidden="false" customHeight="true" outlineLevel="0" collapsed="false">
      <c r="A1055" s="1" t="s">
        <v>644</v>
      </c>
      <c r="B1055" s="1" t="s">
        <v>32</v>
      </c>
      <c r="C1055" s="1" t="s">
        <v>661</v>
      </c>
      <c r="D1055" s="1" t="s">
        <v>279</v>
      </c>
      <c r="E1055" s="73"/>
      <c r="F1055" s="26"/>
      <c r="G1055" s="26"/>
      <c r="H1055" s="1" t="s">
        <v>663</v>
      </c>
    </row>
    <row r="1056" customFormat="false" ht="15" hidden="false" customHeight="true" outlineLevel="0" collapsed="false">
      <c r="A1056" s="1" t="s">
        <v>644</v>
      </c>
      <c r="B1056" s="1" t="s">
        <v>32</v>
      </c>
      <c r="C1056" s="1" t="s">
        <v>661</v>
      </c>
      <c r="D1056" s="1" t="s">
        <v>283</v>
      </c>
      <c r="E1056" s="73" t="n">
        <v>10</v>
      </c>
      <c r="F1056" s="26" t="n">
        <v>29.741876</v>
      </c>
      <c r="G1056" s="26" t="n">
        <v>297.41876</v>
      </c>
      <c r="H1056" s="1" t="s">
        <v>662</v>
      </c>
    </row>
    <row r="1057" customFormat="false" ht="15" hidden="false" customHeight="true" outlineLevel="0" collapsed="false">
      <c r="A1057" s="1" t="s">
        <v>644</v>
      </c>
      <c r="B1057" s="1" t="s">
        <v>32</v>
      </c>
      <c r="C1057" s="1" t="s">
        <v>661</v>
      </c>
      <c r="D1057" s="1" t="s">
        <v>280</v>
      </c>
      <c r="E1057" s="73" t="n">
        <v>43</v>
      </c>
      <c r="F1057" s="26" t="n">
        <v>29.741876</v>
      </c>
      <c r="G1057" s="26" t="n">
        <v>1278.900668</v>
      </c>
      <c r="H1057" s="1" t="s">
        <v>662</v>
      </c>
    </row>
    <row r="1058" customFormat="false" ht="15" hidden="false" customHeight="true" outlineLevel="0" collapsed="false">
      <c r="A1058" s="1" t="s">
        <v>644</v>
      </c>
      <c r="B1058" s="1" t="s">
        <v>32</v>
      </c>
      <c r="C1058" s="1" t="s">
        <v>661</v>
      </c>
      <c r="D1058" s="1" t="s">
        <v>274</v>
      </c>
      <c r="E1058" s="73" t="n">
        <v>45</v>
      </c>
      <c r="F1058" s="26" t="n">
        <v>29.741876</v>
      </c>
      <c r="G1058" s="26" t="n">
        <v>1338.38442</v>
      </c>
      <c r="H1058" s="1" t="s">
        <v>662</v>
      </c>
    </row>
    <row r="1059" customFormat="false" ht="15" hidden="false" customHeight="true" outlineLevel="0" collapsed="false">
      <c r="A1059" s="1" t="s">
        <v>644</v>
      </c>
      <c r="B1059" s="1" t="s">
        <v>32</v>
      </c>
      <c r="C1059" s="1" t="s">
        <v>661</v>
      </c>
      <c r="D1059" s="1" t="s">
        <v>275</v>
      </c>
      <c r="E1059" s="73" t="n">
        <v>18</v>
      </c>
      <c r="F1059" s="26" t="n">
        <v>29.741876</v>
      </c>
      <c r="G1059" s="26" t="n">
        <v>535.353768</v>
      </c>
      <c r="H1059" s="1" t="s">
        <v>662</v>
      </c>
    </row>
    <row r="1060" customFormat="false" ht="15" hidden="false" customHeight="true" outlineLevel="0" collapsed="false">
      <c r="A1060" s="1" t="s">
        <v>644</v>
      </c>
      <c r="B1060" s="1" t="s">
        <v>32</v>
      </c>
      <c r="C1060" s="1" t="s">
        <v>661</v>
      </c>
      <c r="D1060" s="1" t="s">
        <v>272</v>
      </c>
      <c r="E1060" s="73" t="n">
        <v>19</v>
      </c>
      <c r="F1060" s="26" t="n">
        <v>29.741876</v>
      </c>
      <c r="G1060" s="26" t="n">
        <v>565.095644</v>
      </c>
      <c r="H1060" s="1" t="s">
        <v>662</v>
      </c>
    </row>
    <row r="1061" customFormat="false" ht="15" hidden="false" customHeight="true" outlineLevel="0" collapsed="false">
      <c r="A1061" s="1" t="s">
        <v>644</v>
      </c>
      <c r="B1061" s="1" t="s">
        <v>33</v>
      </c>
      <c r="C1061" s="1" t="s">
        <v>664</v>
      </c>
      <c r="D1061" s="1" t="s">
        <v>277</v>
      </c>
      <c r="E1061" s="73" t="n">
        <v>29</v>
      </c>
      <c r="F1061" s="26" t="n">
        <v>43.540891</v>
      </c>
      <c r="G1061" s="26" t="n">
        <v>1262.685839</v>
      </c>
      <c r="H1061" s="1" t="s">
        <v>662</v>
      </c>
    </row>
    <row r="1062" customFormat="false" ht="15" hidden="false" customHeight="true" outlineLevel="0" collapsed="false">
      <c r="A1062" s="1" t="s">
        <v>644</v>
      </c>
      <c r="B1062" s="1" t="s">
        <v>33</v>
      </c>
      <c r="C1062" s="1" t="s">
        <v>664</v>
      </c>
      <c r="D1062" s="1" t="s">
        <v>279</v>
      </c>
      <c r="E1062" s="73"/>
      <c r="F1062" s="26"/>
      <c r="G1062" s="26"/>
      <c r="H1062" s="1" t="s">
        <v>663</v>
      </c>
    </row>
    <row r="1063" customFormat="false" ht="15" hidden="false" customHeight="true" outlineLevel="0" collapsed="false">
      <c r="A1063" s="1" t="s">
        <v>644</v>
      </c>
      <c r="B1063" s="1" t="s">
        <v>33</v>
      </c>
      <c r="C1063" s="1" t="s">
        <v>664</v>
      </c>
      <c r="D1063" s="1" t="s">
        <v>283</v>
      </c>
      <c r="E1063" s="73" t="n">
        <v>10</v>
      </c>
      <c r="F1063" s="26" t="n">
        <v>43.540891</v>
      </c>
      <c r="G1063" s="26" t="n">
        <v>435.40891</v>
      </c>
      <c r="H1063" s="1" t="s">
        <v>662</v>
      </c>
    </row>
    <row r="1064" customFormat="false" ht="15" hidden="false" customHeight="true" outlineLevel="0" collapsed="false">
      <c r="A1064" s="1" t="s">
        <v>644</v>
      </c>
      <c r="B1064" s="1" t="s">
        <v>33</v>
      </c>
      <c r="C1064" s="1" t="s">
        <v>664</v>
      </c>
      <c r="D1064" s="1" t="s">
        <v>280</v>
      </c>
      <c r="E1064" s="73" t="n">
        <v>43</v>
      </c>
      <c r="F1064" s="26" t="n">
        <v>43.540891</v>
      </c>
      <c r="G1064" s="26" t="n">
        <v>1872.258313</v>
      </c>
      <c r="H1064" s="1" t="s">
        <v>662</v>
      </c>
    </row>
    <row r="1065" customFormat="false" ht="15" hidden="false" customHeight="true" outlineLevel="0" collapsed="false">
      <c r="A1065" s="1" t="s">
        <v>644</v>
      </c>
      <c r="B1065" s="1" t="s">
        <v>33</v>
      </c>
      <c r="C1065" s="1" t="s">
        <v>664</v>
      </c>
      <c r="D1065" s="1" t="s">
        <v>274</v>
      </c>
      <c r="E1065" s="73" t="n">
        <v>45</v>
      </c>
      <c r="F1065" s="26" t="n">
        <v>43.540891</v>
      </c>
      <c r="G1065" s="26" t="n">
        <v>1959.340095</v>
      </c>
      <c r="H1065" s="1" t="s">
        <v>662</v>
      </c>
    </row>
    <row r="1066" customFormat="false" ht="15" hidden="false" customHeight="true" outlineLevel="0" collapsed="false">
      <c r="A1066" s="1" t="s">
        <v>644</v>
      </c>
      <c r="B1066" s="1" t="s">
        <v>33</v>
      </c>
      <c r="C1066" s="1" t="s">
        <v>664</v>
      </c>
      <c r="D1066" s="1" t="s">
        <v>275</v>
      </c>
      <c r="E1066" s="73" t="n">
        <v>18</v>
      </c>
      <c r="F1066" s="26" t="n">
        <v>43.540891</v>
      </c>
      <c r="G1066" s="26" t="n">
        <v>783.736038</v>
      </c>
      <c r="H1066" s="1" t="s">
        <v>662</v>
      </c>
    </row>
    <row r="1067" customFormat="false" ht="15" hidden="false" customHeight="true" outlineLevel="0" collapsed="false">
      <c r="A1067" s="1" t="s">
        <v>644</v>
      </c>
      <c r="B1067" s="1" t="s">
        <v>33</v>
      </c>
      <c r="C1067" s="1" t="s">
        <v>664</v>
      </c>
      <c r="D1067" s="1" t="s">
        <v>272</v>
      </c>
      <c r="E1067" s="73" t="n">
        <v>19</v>
      </c>
      <c r="F1067" s="26" t="n">
        <v>43.540891</v>
      </c>
      <c r="G1067" s="26" t="n">
        <v>827.276929</v>
      </c>
      <c r="H1067" s="1" t="s">
        <v>662</v>
      </c>
    </row>
    <row r="1068" customFormat="false" ht="15" hidden="false" customHeight="true" outlineLevel="0" collapsed="false">
      <c r="A1068" s="1" t="s">
        <v>644</v>
      </c>
      <c r="B1068" s="1" t="s">
        <v>44</v>
      </c>
      <c r="C1068" s="1" t="s">
        <v>665</v>
      </c>
      <c r="D1068" s="1" t="s">
        <v>277</v>
      </c>
      <c r="E1068" s="73" t="n">
        <v>29</v>
      </c>
      <c r="F1068" s="26" t="n">
        <v>47.658742</v>
      </c>
      <c r="G1068" s="26" t="n">
        <v>1382.103518</v>
      </c>
      <c r="H1068" s="1" t="s">
        <v>662</v>
      </c>
    </row>
    <row r="1069" customFormat="false" ht="15" hidden="false" customHeight="true" outlineLevel="0" collapsed="false">
      <c r="A1069" s="1" t="s">
        <v>644</v>
      </c>
      <c r="B1069" s="1" t="s">
        <v>44</v>
      </c>
      <c r="C1069" s="1" t="s">
        <v>665</v>
      </c>
      <c r="D1069" s="1" t="s">
        <v>279</v>
      </c>
      <c r="E1069" s="73"/>
      <c r="F1069" s="26"/>
      <c r="G1069" s="26"/>
      <c r="H1069" s="1" t="s">
        <v>663</v>
      </c>
    </row>
    <row r="1070" customFormat="false" ht="15" hidden="false" customHeight="true" outlineLevel="0" collapsed="false">
      <c r="A1070" s="1" t="s">
        <v>644</v>
      </c>
      <c r="B1070" s="1" t="s">
        <v>44</v>
      </c>
      <c r="C1070" s="1" t="s">
        <v>665</v>
      </c>
      <c r="D1070" s="1" t="s">
        <v>283</v>
      </c>
      <c r="E1070" s="73" t="n">
        <v>10</v>
      </c>
      <c r="F1070" s="26" t="n">
        <v>47.658742</v>
      </c>
      <c r="G1070" s="26" t="n">
        <v>476.58742</v>
      </c>
      <c r="H1070" s="1" t="s">
        <v>662</v>
      </c>
    </row>
    <row r="1071" customFormat="false" ht="15" hidden="false" customHeight="true" outlineLevel="0" collapsed="false">
      <c r="A1071" s="1" t="s">
        <v>644</v>
      </c>
      <c r="B1071" s="1" t="s">
        <v>44</v>
      </c>
      <c r="C1071" s="1" t="s">
        <v>665</v>
      </c>
      <c r="D1071" s="1" t="s">
        <v>280</v>
      </c>
      <c r="E1071" s="73" t="n">
        <v>43</v>
      </c>
      <c r="F1071" s="26" t="n">
        <v>47.658742</v>
      </c>
      <c r="G1071" s="26" t="n">
        <v>2049.325906</v>
      </c>
      <c r="H1071" s="1" t="s">
        <v>662</v>
      </c>
    </row>
    <row r="1072" customFormat="false" ht="15" hidden="false" customHeight="true" outlineLevel="0" collapsed="false">
      <c r="A1072" s="1" t="s">
        <v>644</v>
      </c>
      <c r="B1072" s="1" t="s">
        <v>44</v>
      </c>
      <c r="C1072" s="1" t="s">
        <v>665</v>
      </c>
      <c r="D1072" s="1" t="s">
        <v>274</v>
      </c>
      <c r="E1072" s="73" t="n">
        <v>45</v>
      </c>
      <c r="F1072" s="26" t="n">
        <v>47.658742</v>
      </c>
      <c r="G1072" s="26" t="n">
        <v>2144.64339</v>
      </c>
      <c r="H1072" s="1" t="s">
        <v>662</v>
      </c>
    </row>
    <row r="1073" customFormat="false" ht="15" hidden="false" customHeight="true" outlineLevel="0" collapsed="false">
      <c r="A1073" s="1" t="s">
        <v>644</v>
      </c>
      <c r="B1073" s="1" t="s">
        <v>44</v>
      </c>
      <c r="C1073" s="1" t="s">
        <v>665</v>
      </c>
      <c r="D1073" s="1" t="s">
        <v>275</v>
      </c>
      <c r="E1073" s="73" t="n">
        <v>18</v>
      </c>
      <c r="F1073" s="26" t="n">
        <v>47.658742</v>
      </c>
      <c r="G1073" s="26" t="n">
        <v>857.857356</v>
      </c>
      <c r="H1073" s="1" t="s">
        <v>662</v>
      </c>
    </row>
    <row r="1074" customFormat="false" ht="15" hidden="false" customHeight="true" outlineLevel="0" collapsed="false">
      <c r="A1074" s="1" t="s">
        <v>644</v>
      </c>
      <c r="B1074" s="1" t="s">
        <v>44</v>
      </c>
      <c r="C1074" s="1" t="s">
        <v>665</v>
      </c>
      <c r="D1074" s="1" t="s">
        <v>272</v>
      </c>
      <c r="E1074" s="73" t="n">
        <v>19</v>
      </c>
      <c r="F1074" s="26" t="n">
        <v>47.658742</v>
      </c>
      <c r="G1074" s="26" t="n">
        <v>905.516098</v>
      </c>
      <c r="H1074" s="1" t="s">
        <v>662</v>
      </c>
    </row>
    <row r="1075" customFormat="false" ht="15" hidden="false" customHeight="true" outlineLevel="0" collapsed="false">
      <c r="A1075" s="1" t="s">
        <v>607</v>
      </c>
      <c r="B1075" s="1" t="s">
        <v>80</v>
      </c>
      <c r="C1075" s="1" t="s">
        <v>80</v>
      </c>
      <c r="D1075" s="1" t="s">
        <v>277</v>
      </c>
      <c r="E1075" s="73" t="n">
        <v>6280</v>
      </c>
      <c r="F1075" s="26" t="n">
        <v>0.154543612417484</v>
      </c>
      <c r="G1075" s="26" t="n">
        <v>970.5338859818</v>
      </c>
      <c r="H1075" s="1" t="s">
        <v>410</v>
      </c>
    </row>
    <row r="1076" customFormat="false" ht="15" hidden="false" customHeight="true" outlineLevel="0" collapsed="false">
      <c r="A1076" s="1" t="s">
        <v>607</v>
      </c>
      <c r="B1076" s="1" t="s">
        <v>80</v>
      </c>
      <c r="C1076" s="1" t="s">
        <v>80</v>
      </c>
      <c r="D1076" s="1" t="s">
        <v>279</v>
      </c>
      <c r="E1076" s="73" t="n">
        <v>13402</v>
      </c>
      <c r="F1076" s="26" t="n">
        <v>0.154543612417484</v>
      </c>
      <c r="G1076" s="26" t="n">
        <v>2071.19349361912</v>
      </c>
      <c r="H1076" s="1" t="s">
        <v>410</v>
      </c>
    </row>
    <row r="1077" customFormat="false" ht="15" hidden="false" customHeight="true" outlineLevel="0" collapsed="false">
      <c r="A1077" s="1" t="s">
        <v>607</v>
      </c>
      <c r="B1077" s="1" t="s">
        <v>80</v>
      </c>
      <c r="C1077" s="1" t="s">
        <v>80</v>
      </c>
      <c r="D1077" s="1" t="s">
        <v>274</v>
      </c>
      <c r="E1077" s="73" t="n">
        <v>14331</v>
      </c>
      <c r="F1077" s="26" t="n">
        <v>0.154543612417484</v>
      </c>
      <c r="G1077" s="26" t="n">
        <v>2214.76450955496</v>
      </c>
      <c r="H1077" s="1" t="s">
        <v>410</v>
      </c>
    </row>
    <row r="1078" customFormat="false" ht="15" hidden="false" customHeight="true" outlineLevel="0" collapsed="false">
      <c r="A1078" s="1" t="s">
        <v>607</v>
      </c>
      <c r="B1078" s="1" t="s">
        <v>80</v>
      </c>
      <c r="C1078" s="1" t="s">
        <v>80</v>
      </c>
      <c r="D1078" s="1" t="s">
        <v>283</v>
      </c>
      <c r="E1078" s="73" t="n">
        <v>3650</v>
      </c>
      <c r="F1078" s="26" t="n">
        <v>0.154543612417484</v>
      </c>
      <c r="G1078" s="26" t="n">
        <v>564.084185323817</v>
      </c>
      <c r="H1078" s="1" t="s">
        <v>410</v>
      </c>
    </row>
    <row r="1079" customFormat="false" ht="15" hidden="false" customHeight="true" outlineLevel="0" collapsed="false">
      <c r="A1079" s="1" t="s">
        <v>607</v>
      </c>
      <c r="B1079" s="1" t="s">
        <v>80</v>
      </c>
      <c r="C1079" s="1" t="s">
        <v>80</v>
      </c>
      <c r="D1079" s="1" t="s">
        <v>280</v>
      </c>
      <c r="E1079" s="73" t="n">
        <v>6396</v>
      </c>
      <c r="F1079" s="26" t="n">
        <v>0.154543612417484</v>
      </c>
      <c r="G1079" s="26" t="n">
        <v>988.460945022228</v>
      </c>
      <c r="H1079" s="1" t="s">
        <v>410</v>
      </c>
    </row>
    <row r="1080" customFormat="false" ht="15" hidden="false" customHeight="true" outlineLevel="0" collapsed="false">
      <c r="A1080" s="1" t="s">
        <v>607</v>
      </c>
      <c r="B1080" s="1" t="s">
        <v>80</v>
      </c>
      <c r="C1080" s="1" t="s">
        <v>80</v>
      </c>
      <c r="D1080" s="1" t="s">
        <v>275</v>
      </c>
      <c r="E1080" s="73" t="n">
        <v>4730</v>
      </c>
      <c r="F1080" s="26" t="n">
        <v>0.154543612417484</v>
      </c>
      <c r="G1080" s="26" t="n">
        <v>730.991286734699</v>
      </c>
      <c r="H1080" s="1" t="s">
        <v>410</v>
      </c>
    </row>
    <row r="1081" customFormat="false" ht="15" hidden="false" customHeight="true" outlineLevel="0" collapsed="false">
      <c r="A1081" s="1" t="s">
        <v>607</v>
      </c>
      <c r="B1081" s="1" t="s">
        <v>80</v>
      </c>
      <c r="C1081" s="1" t="s">
        <v>80</v>
      </c>
      <c r="D1081" s="1" t="s">
        <v>272</v>
      </c>
      <c r="E1081" s="73" t="n">
        <v>4782</v>
      </c>
      <c r="F1081" s="26" t="n">
        <v>0.154543612417484</v>
      </c>
      <c r="G1081" s="26" t="n">
        <v>739.027554580408</v>
      </c>
      <c r="H1081" s="1" t="s">
        <v>410</v>
      </c>
    </row>
    <row r="1082" customFormat="false" ht="15" hidden="false" customHeight="true" outlineLevel="0" collapsed="false">
      <c r="A1082" s="1" t="s">
        <v>617</v>
      </c>
      <c r="B1082" s="1" t="s">
        <v>80</v>
      </c>
      <c r="C1082" s="1" t="s">
        <v>80</v>
      </c>
      <c r="D1082" s="1" t="s">
        <v>277</v>
      </c>
      <c r="E1082" s="73" t="n">
        <v>6445</v>
      </c>
      <c r="F1082" s="26" t="n">
        <v>0.150676625241861</v>
      </c>
      <c r="G1082" s="26" t="n">
        <v>971.110849683794</v>
      </c>
      <c r="H1082" s="1" t="s">
        <v>410</v>
      </c>
    </row>
    <row r="1083" customFormat="false" ht="15" hidden="false" customHeight="true" outlineLevel="0" collapsed="false">
      <c r="A1083" s="1" t="s">
        <v>617</v>
      </c>
      <c r="B1083" s="1" t="s">
        <v>80</v>
      </c>
      <c r="C1083" s="1" t="s">
        <v>80</v>
      </c>
      <c r="D1083" s="1" t="s">
        <v>279</v>
      </c>
      <c r="E1083" s="73" t="n">
        <v>13418</v>
      </c>
      <c r="F1083" s="26" t="n">
        <v>0.150676625241861</v>
      </c>
      <c r="G1083" s="26" t="n">
        <v>2021.77895749529</v>
      </c>
      <c r="H1083" s="1" t="s">
        <v>410</v>
      </c>
    </row>
    <row r="1084" customFormat="false" ht="15" hidden="false" customHeight="true" outlineLevel="0" collapsed="false">
      <c r="A1084" s="1" t="s">
        <v>617</v>
      </c>
      <c r="B1084" s="1" t="s">
        <v>80</v>
      </c>
      <c r="C1084" s="1" t="s">
        <v>80</v>
      </c>
      <c r="D1084" s="1" t="s">
        <v>274</v>
      </c>
      <c r="E1084" s="73" t="n">
        <v>14441</v>
      </c>
      <c r="F1084" s="26" t="n">
        <v>0.150676625241861</v>
      </c>
      <c r="G1084" s="26" t="n">
        <v>2175.92114511772</v>
      </c>
      <c r="H1084" s="1" t="s">
        <v>410</v>
      </c>
    </row>
    <row r="1085" customFormat="false" ht="15" hidden="false" customHeight="true" outlineLevel="0" collapsed="false">
      <c r="A1085" s="1" t="s">
        <v>617</v>
      </c>
      <c r="B1085" s="1" t="s">
        <v>80</v>
      </c>
      <c r="C1085" s="1" t="s">
        <v>80</v>
      </c>
      <c r="D1085" s="1" t="s">
        <v>283</v>
      </c>
      <c r="E1085" s="73" t="n">
        <v>3704</v>
      </c>
      <c r="F1085" s="26" t="n">
        <v>0.150676625241861</v>
      </c>
      <c r="G1085" s="26" t="n">
        <v>558.106219895853</v>
      </c>
      <c r="H1085" s="1" t="s">
        <v>410</v>
      </c>
    </row>
    <row r="1086" customFormat="false" ht="15" hidden="false" customHeight="true" outlineLevel="0" collapsed="false">
      <c r="A1086" s="1" t="s">
        <v>617</v>
      </c>
      <c r="B1086" s="1" t="s">
        <v>80</v>
      </c>
      <c r="C1086" s="1" t="s">
        <v>80</v>
      </c>
      <c r="D1086" s="1" t="s">
        <v>280</v>
      </c>
      <c r="E1086" s="73" t="n">
        <v>6434</v>
      </c>
      <c r="F1086" s="26" t="n">
        <v>0.150676625241861</v>
      </c>
      <c r="G1086" s="26" t="n">
        <v>969.453406806134</v>
      </c>
      <c r="H1086" s="1" t="s">
        <v>410</v>
      </c>
    </row>
    <row r="1087" customFormat="false" ht="15" hidden="false" customHeight="true" outlineLevel="0" collapsed="false">
      <c r="A1087" s="1" t="s">
        <v>617</v>
      </c>
      <c r="B1087" s="1" t="s">
        <v>80</v>
      </c>
      <c r="C1087" s="1" t="s">
        <v>80</v>
      </c>
      <c r="D1087" s="1" t="s">
        <v>275</v>
      </c>
      <c r="E1087" s="73" t="n">
        <v>4749</v>
      </c>
      <c r="F1087" s="26" t="n">
        <v>0.150676625241861</v>
      </c>
      <c r="G1087" s="26" t="n">
        <v>715.563293273598</v>
      </c>
      <c r="H1087" s="1" t="s">
        <v>410</v>
      </c>
    </row>
    <row r="1088" customFormat="false" ht="15" hidden="false" customHeight="true" outlineLevel="0" collapsed="false">
      <c r="A1088" s="1" t="s">
        <v>617</v>
      </c>
      <c r="B1088" s="1" t="s">
        <v>80</v>
      </c>
      <c r="C1088" s="1" t="s">
        <v>80</v>
      </c>
      <c r="D1088" s="1" t="s">
        <v>272</v>
      </c>
      <c r="E1088" s="73" t="n">
        <v>4795</v>
      </c>
      <c r="F1088" s="26" t="n">
        <v>0.150676625241861</v>
      </c>
      <c r="G1088" s="26" t="n">
        <v>722.494418034724</v>
      </c>
      <c r="H1088" s="1" t="s">
        <v>410</v>
      </c>
    </row>
    <row r="1089" customFormat="false" ht="15" hidden="false" customHeight="true" outlineLevel="0" collapsed="false">
      <c r="A1089" s="1" t="s">
        <v>644</v>
      </c>
      <c r="B1089" s="1" t="s">
        <v>80</v>
      </c>
      <c r="C1089" s="1" t="s">
        <v>80</v>
      </c>
      <c r="D1089" s="1" t="s">
        <v>277</v>
      </c>
      <c r="E1089" s="73" t="n">
        <v>6588</v>
      </c>
      <c r="F1089" s="26" t="n">
        <v>0.145289779573281</v>
      </c>
      <c r="G1089" s="26" t="n">
        <v>957.169067828775</v>
      </c>
      <c r="H1089" s="1" t="s">
        <v>410</v>
      </c>
    </row>
    <row r="1090" customFormat="false" ht="15" hidden="false" customHeight="true" outlineLevel="0" collapsed="false">
      <c r="A1090" s="1" t="s">
        <v>644</v>
      </c>
      <c r="B1090" s="1" t="s">
        <v>80</v>
      </c>
      <c r="C1090" s="1" t="s">
        <v>80</v>
      </c>
      <c r="D1090" s="1" t="s">
        <v>279</v>
      </c>
      <c r="E1090" s="73" t="n">
        <v>13530</v>
      </c>
      <c r="F1090" s="26" t="n">
        <v>0.145289779573281</v>
      </c>
      <c r="G1090" s="26" t="n">
        <v>1965.77071762649</v>
      </c>
      <c r="H1090" s="1" t="s">
        <v>410</v>
      </c>
    </row>
    <row r="1091" customFormat="false" ht="15" hidden="false" customHeight="true" outlineLevel="0" collapsed="false">
      <c r="A1091" s="1" t="s">
        <v>644</v>
      </c>
      <c r="B1091" s="1" t="s">
        <v>80</v>
      </c>
      <c r="C1091" s="1" t="s">
        <v>80</v>
      </c>
      <c r="D1091" s="1" t="s">
        <v>274</v>
      </c>
      <c r="E1091" s="73" t="n">
        <v>14689</v>
      </c>
      <c r="F1091" s="26" t="n">
        <v>0.145289779573281</v>
      </c>
      <c r="G1091" s="26" t="n">
        <v>2134.16157215193</v>
      </c>
      <c r="H1091" s="1" t="s">
        <v>410</v>
      </c>
    </row>
    <row r="1092" customFormat="false" ht="15" hidden="false" customHeight="true" outlineLevel="0" collapsed="false">
      <c r="A1092" s="1" t="s">
        <v>644</v>
      </c>
      <c r="B1092" s="1" t="s">
        <v>80</v>
      </c>
      <c r="C1092" s="1" t="s">
        <v>80</v>
      </c>
      <c r="D1092" s="1" t="s">
        <v>283</v>
      </c>
      <c r="E1092" s="73" t="n">
        <v>3765</v>
      </c>
      <c r="F1092" s="26" t="n">
        <v>0.145289779573281</v>
      </c>
      <c r="G1092" s="26" t="n">
        <v>547.016020093403</v>
      </c>
      <c r="H1092" s="1" t="s">
        <v>410</v>
      </c>
    </row>
    <row r="1093" customFormat="false" ht="15" hidden="false" customHeight="true" outlineLevel="0" collapsed="false">
      <c r="A1093" s="1" t="s">
        <v>644</v>
      </c>
      <c r="B1093" s="1" t="s">
        <v>80</v>
      </c>
      <c r="C1093" s="1" t="s">
        <v>80</v>
      </c>
      <c r="D1093" s="1" t="s">
        <v>280</v>
      </c>
      <c r="E1093" s="73" t="n">
        <v>6568</v>
      </c>
      <c r="F1093" s="26" t="n">
        <v>0.145289779573281</v>
      </c>
      <c r="G1093" s="26" t="n">
        <v>954.26327223731</v>
      </c>
      <c r="H1093" s="1" t="s">
        <v>410</v>
      </c>
    </row>
    <row r="1094" customFormat="false" ht="15" hidden="false" customHeight="true" outlineLevel="0" collapsed="false">
      <c r="A1094" s="1" t="s">
        <v>644</v>
      </c>
      <c r="B1094" s="1" t="s">
        <v>80</v>
      </c>
      <c r="C1094" s="1" t="s">
        <v>80</v>
      </c>
      <c r="D1094" s="1" t="s">
        <v>275</v>
      </c>
      <c r="E1094" s="73" t="n">
        <v>4805</v>
      </c>
      <c r="F1094" s="26" t="n">
        <v>0.145289779573281</v>
      </c>
      <c r="G1094" s="26" t="n">
        <v>698.117390849615</v>
      </c>
      <c r="H1094" s="1" t="s">
        <v>410</v>
      </c>
    </row>
    <row r="1095" customFormat="false" ht="15" hidden="false" customHeight="true" outlineLevel="0" collapsed="false">
      <c r="A1095" s="1" t="s">
        <v>644</v>
      </c>
      <c r="B1095" s="1" t="s">
        <v>80</v>
      </c>
      <c r="C1095" s="1" t="s">
        <v>80</v>
      </c>
      <c r="D1095" s="1" t="s">
        <v>272</v>
      </c>
      <c r="E1095" s="73" t="n">
        <v>4806</v>
      </c>
      <c r="F1095" s="26" t="n">
        <v>0.145289779573281</v>
      </c>
      <c r="G1095" s="26" t="n">
        <v>698.262680629189</v>
      </c>
      <c r="H1095" s="1" t="s">
        <v>410</v>
      </c>
    </row>
    <row r="1096" customFormat="false" ht="15" hidden="false" customHeight="true" outlineLevel="0" collapsed="false">
      <c r="A1096" s="1" t="s">
        <v>607</v>
      </c>
      <c r="B1096" s="1" t="s">
        <v>42</v>
      </c>
      <c r="C1096" s="1" t="s">
        <v>42</v>
      </c>
      <c r="D1096" s="1" t="s">
        <v>277</v>
      </c>
      <c r="E1096" s="73" t="n">
        <v>6280</v>
      </c>
      <c r="F1096" s="26" t="n">
        <v>0.145293801710045</v>
      </c>
      <c r="G1096" s="26" t="n">
        <v>912.445074739083</v>
      </c>
      <c r="H1096" s="1" t="s">
        <v>410</v>
      </c>
    </row>
    <row r="1097" customFormat="false" ht="15" hidden="false" customHeight="true" outlineLevel="0" collapsed="false">
      <c r="A1097" s="1" t="s">
        <v>607</v>
      </c>
      <c r="B1097" s="1" t="s">
        <v>42</v>
      </c>
      <c r="C1097" s="1" t="s">
        <v>42</v>
      </c>
      <c r="D1097" s="1" t="s">
        <v>279</v>
      </c>
      <c r="E1097" s="73" t="n">
        <v>13402</v>
      </c>
      <c r="F1097" s="26" t="n">
        <v>0.145293801710045</v>
      </c>
      <c r="G1097" s="26" t="n">
        <v>1947.22753051802</v>
      </c>
      <c r="H1097" s="1" t="s">
        <v>410</v>
      </c>
    </row>
    <row r="1098" customFormat="false" ht="15" hidden="false" customHeight="true" outlineLevel="0" collapsed="false">
      <c r="A1098" s="1" t="s">
        <v>607</v>
      </c>
      <c r="B1098" s="1" t="s">
        <v>42</v>
      </c>
      <c r="C1098" s="1" t="s">
        <v>42</v>
      </c>
      <c r="D1098" s="1" t="s">
        <v>274</v>
      </c>
      <c r="E1098" s="73" t="n">
        <v>14331</v>
      </c>
      <c r="F1098" s="26" t="n">
        <v>0.145293801710045</v>
      </c>
      <c r="G1098" s="26" t="n">
        <v>2082.20547230666</v>
      </c>
      <c r="H1098" s="1" t="s">
        <v>410</v>
      </c>
    </row>
    <row r="1099" customFormat="false" ht="15" hidden="false" customHeight="true" outlineLevel="0" collapsed="false">
      <c r="A1099" s="1" t="s">
        <v>607</v>
      </c>
      <c r="B1099" s="1" t="s">
        <v>42</v>
      </c>
      <c r="C1099" s="1" t="s">
        <v>42</v>
      </c>
      <c r="D1099" s="1" t="s">
        <v>283</v>
      </c>
      <c r="E1099" s="73" t="n">
        <v>3650</v>
      </c>
      <c r="F1099" s="26" t="n">
        <v>0.145293801710045</v>
      </c>
      <c r="G1099" s="26" t="n">
        <v>530.322376241664</v>
      </c>
      <c r="H1099" s="1" t="s">
        <v>410</v>
      </c>
    </row>
    <row r="1100" customFormat="false" ht="15" hidden="false" customHeight="true" outlineLevel="0" collapsed="false">
      <c r="A1100" s="1" t="s">
        <v>607</v>
      </c>
      <c r="B1100" s="1" t="s">
        <v>42</v>
      </c>
      <c r="C1100" s="1" t="s">
        <v>42</v>
      </c>
      <c r="D1100" s="1" t="s">
        <v>280</v>
      </c>
      <c r="E1100" s="73" t="n">
        <v>6396</v>
      </c>
      <c r="F1100" s="26" t="n">
        <v>0.145293801710045</v>
      </c>
      <c r="G1100" s="26" t="n">
        <v>929.299155737448</v>
      </c>
      <c r="H1100" s="1" t="s">
        <v>410</v>
      </c>
    </row>
    <row r="1101" customFormat="false" ht="15" hidden="false" customHeight="true" outlineLevel="0" collapsed="false">
      <c r="A1101" s="1" t="s">
        <v>607</v>
      </c>
      <c r="B1101" s="1" t="s">
        <v>42</v>
      </c>
      <c r="C1101" s="1" t="s">
        <v>42</v>
      </c>
      <c r="D1101" s="1" t="s">
        <v>275</v>
      </c>
      <c r="E1101" s="73" t="n">
        <v>4730</v>
      </c>
      <c r="F1101" s="26" t="n">
        <v>0.145293801710045</v>
      </c>
      <c r="G1101" s="26" t="n">
        <v>687.239682088513</v>
      </c>
      <c r="H1101" s="1" t="s">
        <v>410</v>
      </c>
    </row>
    <row r="1102" customFormat="false" ht="15" hidden="false" customHeight="true" outlineLevel="0" collapsed="false">
      <c r="A1102" s="1" t="s">
        <v>607</v>
      </c>
      <c r="B1102" s="1" t="s">
        <v>42</v>
      </c>
      <c r="C1102" s="1" t="s">
        <v>42</v>
      </c>
      <c r="D1102" s="1" t="s">
        <v>272</v>
      </c>
      <c r="E1102" s="73" t="n">
        <v>4782</v>
      </c>
      <c r="F1102" s="26" t="n">
        <v>0.145293801710045</v>
      </c>
      <c r="G1102" s="26" t="n">
        <v>694.794959777435</v>
      </c>
      <c r="H1102" s="1" t="s">
        <v>410</v>
      </c>
    </row>
    <row r="1103" customFormat="false" ht="15" hidden="false" customHeight="true" outlineLevel="0" collapsed="false">
      <c r="A1103" s="1" t="s">
        <v>617</v>
      </c>
      <c r="B1103" s="1" t="s">
        <v>42</v>
      </c>
      <c r="C1103" s="1" t="s">
        <v>42</v>
      </c>
      <c r="D1103" s="1" t="s">
        <v>277</v>
      </c>
      <c r="E1103" s="73" t="n">
        <v>6445</v>
      </c>
      <c r="F1103" s="26" t="n">
        <v>0.146782423739836</v>
      </c>
      <c r="G1103" s="26" t="n">
        <v>946.012721003243</v>
      </c>
      <c r="H1103" s="1" t="s">
        <v>410</v>
      </c>
    </row>
    <row r="1104" customFormat="false" ht="15" hidden="false" customHeight="true" outlineLevel="0" collapsed="false">
      <c r="A1104" s="1" t="s">
        <v>617</v>
      </c>
      <c r="B1104" s="1" t="s">
        <v>42</v>
      </c>
      <c r="C1104" s="1" t="s">
        <v>42</v>
      </c>
      <c r="D1104" s="1" t="s">
        <v>279</v>
      </c>
      <c r="E1104" s="73" t="n">
        <v>13418</v>
      </c>
      <c r="F1104" s="26" t="n">
        <v>0.146782423739836</v>
      </c>
      <c r="G1104" s="26" t="n">
        <v>1969.52656174112</v>
      </c>
      <c r="H1104" s="1" t="s">
        <v>410</v>
      </c>
    </row>
    <row r="1105" customFormat="false" ht="15" hidden="false" customHeight="true" outlineLevel="0" collapsed="false">
      <c r="A1105" s="1" t="s">
        <v>617</v>
      </c>
      <c r="B1105" s="1" t="s">
        <v>42</v>
      </c>
      <c r="C1105" s="1" t="s">
        <v>42</v>
      </c>
      <c r="D1105" s="1" t="s">
        <v>274</v>
      </c>
      <c r="E1105" s="73" t="n">
        <v>14441</v>
      </c>
      <c r="F1105" s="26" t="n">
        <v>0.146782423739836</v>
      </c>
      <c r="G1105" s="26" t="n">
        <v>2119.68498122697</v>
      </c>
      <c r="H1105" s="1" t="s">
        <v>410</v>
      </c>
    </row>
    <row r="1106" customFormat="false" ht="15" hidden="false" customHeight="true" outlineLevel="0" collapsed="false">
      <c r="A1106" s="1" t="s">
        <v>617</v>
      </c>
      <c r="B1106" s="1" t="s">
        <v>42</v>
      </c>
      <c r="C1106" s="1" t="s">
        <v>42</v>
      </c>
      <c r="D1106" s="1" t="s">
        <v>283</v>
      </c>
      <c r="E1106" s="73" t="n">
        <v>3704</v>
      </c>
      <c r="F1106" s="26" t="n">
        <v>0.146782423739836</v>
      </c>
      <c r="G1106" s="26" t="n">
        <v>543.682097532353</v>
      </c>
      <c r="H1106" s="1" t="s">
        <v>410</v>
      </c>
    </row>
    <row r="1107" customFormat="false" ht="15" hidden="false" customHeight="true" outlineLevel="0" collapsed="false">
      <c r="A1107" s="1" t="s">
        <v>617</v>
      </c>
      <c r="B1107" s="1" t="s">
        <v>42</v>
      </c>
      <c r="C1107" s="1" t="s">
        <v>42</v>
      </c>
      <c r="D1107" s="1" t="s">
        <v>280</v>
      </c>
      <c r="E1107" s="73" t="n">
        <v>6434</v>
      </c>
      <c r="F1107" s="26" t="n">
        <v>0.146782423739836</v>
      </c>
      <c r="G1107" s="26" t="n">
        <v>944.398114342105</v>
      </c>
      <c r="H1107" s="1" t="s">
        <v>410</v>
      </c>
    </row>
    <row r="1108" customFormat="false" ht="15" hidden="false" customHeight="true" outlineLevel="0" collapsed="false">
      <c r="A1108" s="1" t="s">
        <v>617</v>
      </c>
      <c r="B1108" s="1" t="s">
        <v>42</v>
      </c>
      <c r="C1108" s="1" t="s">
        <v>42</v>
      </c>
      <c r="D1108" s="1" t="s">
        <v>275</v>
      </c>
      <c r="E1108" s="73" t="n">
        <v>4749</v>
      </c>
      <c r="F1108" s="26" t="n">
        <v>0.146782423739836</v>
      </c>
      <c r="G1108" s="26" t="n">
        <v>697.069730340481</v>
      </c>
      <c r="H1108" s="1" t="s">
        <v>410</v>
      </c>
    </row>
    <row r="1109" customFormat="false" ht="15" hidden="false" customHeight="true" outlineLevel="0" collapsed="false">
      <c r="A1109" s="1" t="s">
        <v>617</v>
      </c>
      <c r="B1109" s="1" t="s">
        <v>42</v>
      </c>
      <c r="C1109" s="1" t="s">
        <v>42</v>
      </c>
      <c r="D1109" s="1" t="s">
        <v>272</v>
      </c>
      <c r="E1109" s="73" t="n">
        <v>4795</v>
      </c>
      <c r="F1109" s="26" t="n">
        <v>0.146782423739836</v>
      </c>
      <c r="G1109" s="26" t="n">
        <v>703.821721832514</v>
      </c>
      <c r="H1109" s="1" t="s">
        <v>410</v>
      </c>
    </row>
    <row r="1110" customFormat="false" ht="15" hidden="false" customHeight="true" outlineLevel="0" collapsed="false">
      <c r="A1110" s="1" t="s">
        <v>644</v>
      </c>
      <c r="B1110" s="1" t="s">
        <v>42</v>
      </c>
      <c r="C1110" s="1" t="s">
        <v>42</v>
      </c>
      <c r="D1110" s="1" t="s">
        <v>277</v>
      </c>
      <c r="E1110" s="73" t="n">
        <v>6588</v>
      </c>
      <c r="F1110" s="26" t="n">
        <v>0.136978220673766</v>
      </c>
      <c r="G1110" s="26" t="n">
        <v>902.41251779877</v>
      </c>
      <c r="H1110" s="1" t="s">
        <v>410</v>
      </c>
    </row>
    <row r="1111" customFormat="false" ht="15" hidden="false" customHeight="true" outlineLevel="0" collapsed="false">
      <c r="A1111" s="1" t="s">
        <v>644</v>
      </c>
      <c r="B1111" s="1" t="s">
        <v>42</v>
      </c>
      <c r="C1111" s="1" t="s">
        <v>42</v>
      </c>
      <c r="D1111" s="1" t="s">
        <v>279</v>
      </c>
      <c r="E1111" s="73" t="n">
        <v>13530</v>
      </c>
      <c r="F1111" s="26" t="n">
        <v>0.136978220673766</v>
      </c>
      <c r="G1111" s="26" t="n">
        <v>1853.31532571605</v>
      </c>
      <c r="H1111" s="1" t="s">
        <v>410</v>
      </c>
    </row>
    <row r="1112" customFormat="false" ht="15" hidden="false" customHeight="true" outlineLevel="0" collapsed="false">
      <c r="A1112" s="1" t="s">
        <v>644</v>
      </c>
      <c r="B1112" s="1" t="s">
        <v>42</v>
      </c>
      <c r="C1112" s="1" t="s">
        <v>42</v>
      </c>
      <c r="D1112" s="1" t="s">
        <v>274</v>
      </c>
      <c r="E1112" s="73" t="n">
        <v>14689</v>
      </c>
      <c r="F1112" s="26" t="n">
        <v>0.136978220673766</v>
      </c>
      <c r="G1112" s="26" t="n">
        <v>2012.07308347695</v>
      </c>
      <c r="H1112" s="1" t="s">
        <v>410</v>
      </c>
    </row>
    <row r="1113" customFormat="false" ht="15" hidden="false" customHeight="true" outlineLevel="0" collapsed="false">
      <c r="A1113" s="1" t="s">
        <v>644</v>
      </c>
      <c r="B1113" s="1" t="s">
        <v>42</v>
      </c>
      <c r="C1113" s="1" t="s">
        <v>42</v>
      </c>
      <c r="D1113" s="1" t="s">
        <v>283</v>
      </c>
      <c r="E1113" s="73" t="n">
        <v>3765</v>
      </c>
      <c r="F1113" s="26" t="n">
        <v>0.136978220673766</v>
      </c>
      <c r="G1113" s="26" t="n">
        <v>515.723000836729</v>
      </c>
      <c r="H1113" s="1" t="s">
        <v>410</v>
      </c>
    </row>
    <row r="1114" customFormat="false" ht="15" hidden="false" customHeight="true" outlineLevel="0" collapsed="false">
      <c r="A1114" s="1" t="s">
        <v>644</v>
      </c>
      <c r="B1114" s="1" t="s">
        <v>42</v>
      </c>
      <c r="C1114" s="1" t="s">
        <v>42</v>
      </c>
      <c r="D1114" s="1" t="s">
        <v>280</v>
      </c>
      <c r="E1114" s="73" t="n">
        <v>6568</v>
      </c>
      <c r="F1114" s="26" t="n">
        <v>0.136978220673766</v>
      </c>
      <c r="G1114" s="26" t="n">
        <v>899.672953385295</v>
      </c>
      <c r="H1114" s="1" t="s">
        <v>410</v>
      </c>
    </row>
    <row r="1115" customFormat="false" ht="15" hidden="false" customHeight="true" outlineLevel="0" collapsed="false">
      <c r="A1115" s="1" t="s">
        <v>644</v>
      </c>
      <c r="B1115" s="1" t="s">
        <v>42</v>
      </c>
      <c r="C1115" s="1" t="s">
        <v>42</v>
      </c>
      <c r="D1115" s="1" t="s">
        <v>275</v>
      </c>
      <c r="E1115" s="73" t="n">
        <v>4805</v>
      </c>
      <c r="F1115" s="26" t="n">
        <v>0.136978220673766</v>
      </c>
      <c r="G1115" s="26" t="n">
        <v>658.180350337446</v>
      </c>
      <c r="H1115" s="1" t="s">
        <v>410</v>
      </c>
    </row>
    <row r="1116" customFormat="false" ht="15" hidden="false" customHeight="true" outlineLevel="0" collapsed="false">
      <c r="A1116" s="1" t="s">
        <v>644</v>
      </c>
      <c r="B1116" s="1" t="s">
        <v>42</v>
      </c>
      <c r="C1116" s="1" t="s">
        <v>42</v>
      </c>
      <c r="D1116" s="1" t="s">
        <v>272</v>
      </c>
      <c r="E1116" s="73" t="n">
        <v>4806</v>
      </c>
      <c r="F1116" s="26" t="n">
        <v>0.136978220673766</v>
      </c>
      <c r="G1116" s="26" t="n">
        <v>658.317328558119</v>
      </c>
      <c r="H1116" s="1" t="s">
        <v>410</v>
      </c>
    </row>
    <row r="1117" customFormat="false" ht="15" hidden="false" customHeight="true" outlineLevel="0" collapsed="false">
      <c r="A1117" s="1" t="s">
        <v>607</v>
      </c>
      <c r="B1117" s="1" t="s">
        <v>34</v>
      </c>
      <c r="C1117" s="1" t="s">
        <v>34</v>
      </c>
      <c r="D1117" s="1" t="s">
        <v>277</v>
      </c>
      <c r="E1117" s="73" t="n">
        <v>6280</v>
      </c>
      <c r="F1117" s="26" t="n">
        <v>0.23174321635211</v>
      </c>
      <c r="G1117" s="26" t="n">
        <v>1455.347399</v>
      </c>
      <c r="H1117" s="1" t="s">
        <v>410</v>
      </c>
    </row>
    <row r="1118" customFormat="false" ht="15" hidden="false" customHeight="true" outlineLevel="0" collapsed="false">
      <c r="A1118" s="1" t="s">
        <v>607</v>
      </c>
      <c r="B1118" s="1" t="s">
        <v>34</v>
      </c>
      <c r="C1118" s="1" t="s">
        <v>34</v>
      </c>
      <c r="D1118" s="1" t="s">
        <v>279</v>
      </c>
      <c r="E1118" s="73" t="n">
        <v>13402</v>
      </c>
      <c r="F1118" s="26" t="n">
        <v>0.23174321635211</v>
      </c>
      <c r="G1118" s="26" t="n">
        <v>3105.822586</v>
      </c>
      <c r="H1118" s="1" t="s">
        <v>410</v>
      </c>
    </row>
    <row r="1119" customFormat="false" ht="15" hidden="false" customHeight="true" outlineLevel="0" collapsed="false">
      <c r="A1119" s="1" t="s">
        <v>607</v>
      </c>
      <c r="B1119" s="1" t="s">
        <v>34</v>
      </c>
      <c r="C1119" s="1" t="s">
        <v>34</v>
      </c>
      <c r="D1119" s="1" t="s">
        <v>274</v>
      </c>
      <c r="E1119" s="73" t="n">
        <v>14331</v>
      </c>
      <c r="F1119" s="26" t="n">
        <v>0.23174321635211</v>
      </c>
      <c r="G1119" s="26" t="n">
        <v>3321.112034</v>
      </c>
      <c r="H1119" s="1" t="s">
        <v>410</v>
      </c>
    </row>
    <row r="1120" customFormat="false" ht="15" hidden="false" customHeight="true" outlineLevel="0" collapsed="false">
      <c r="A1120" s="1" t="s">
        <v>607</v>
      </c>
      <c r="B1120" s="1" t="s">
        <v>34</v>
      </c>
      <c r="C1120" s="1" t="s">
        <v>34</v>
      </c>
      <c r="D1120" s="1" t="s">
        <v>283</v>
      </c>
      <c r="E1120" s="73" t="n">
        <v>3650</v>
      </c>
      <c r="F1120" s="26" t="n">
        <v>0.23174321635211</v>
      </c>
      <c r="G1120" s="26" t="n">
        <v>845.86274</v>
      </c>
      <c r="H1120" s="1" t="s">
        <v>410</v>
      </c>
    </row>
    <row r="1121" customFormat="false" ht="15" hidden="false" customHeight="true" outlineLevel="0" collapsed="false">
      <c r="A1121" s="1" t="s">
        <v>607</v>
      </c>
      <c r="B1121" s="1" t="s">
        <v>34</v>
      </c>
      <c r="C1121" s="1" t="s">
        <v>34</v>
      </c>
      <c r="D1121" s="1" t="s">
        <v>280</v>
      </c>
      <c r="E1121" s="73" t="n">
        <v>6396</v>
      </c>
      <c r="F1121" s="26" t="n">
        <v>0.23174321635211</v>
      </c>
      <c r="G1121" s="26" t="n">
        <v>1482.229612</v>
      </c>
      <c r="H1121" s="1" t="s">
        <v>410</v>
      </c>
    </row>
    <row r="1122" customFormat="false" ht="15" hidden="false" customHeight="true" outlineLevel="0" collapsed="false">
      <c r="A1122" s="1" t="s">
        <v>607</v>
      </c>
      <c r="B1122" s="1" t="s">
        <v>34</v>
      </c>
      <c r="C1122" s="1" t="s">
        <v>34</v>
      </c>
      <c r="D1122" s="1" t="s">
        <v>275</v>
      </c>
      <c r="E1122" s="73" t="n">
        <v>4730</v>
      </c>
      <c r="F1122" s="26" t="n">
        <v>0.23174321635211</v>
      </c>
      <c r="G1122" s="26" t="n">
        <v>1096.145413</v>
      </c>
      <c r="H1122" s="1" t="s">
        <v>410</v>
      </c>
    </row>
    <row r="1123" customFormat="false" ht="15" hidden="false" customHeight="true" outlineLevel="0" collapsed="false">
      <c r="A1123" s="1" t="s">
        <v>607</v>
      </c>
      <c r="B1123" s="1" t="s">
        <v>34</v>
      </c>
      <c r="C1123" s="1" t="s">
        <v>34</v>
      </c>
      <c r="D1123" s="1" t="s">
        <v>272</v>
      </c>
      <c r="E1123" s="73" t="n">
        <v>4782</v>
      </c>
      <c r="F1123" s="26" t="n">
        <v>0.23174321635211</v>
      </c>
      <c r="G1123" s="26" t="n">
        <v>1108.196061</v>
      </c>
      <c r="H1123" s="1" t="s">
        <v>410</v>
      </c>
    </row>
    <row r="1124" customFormat="false" ht="15" hidden="false" customHeight="true" outlineLevel="0" collapsed="false">
      <c r="A1124" s="1" t="s">
        <v>617</v>
      </c>
      <c r="B1124" s="1" t="s">
        <v>34</v>
      </c>
      <c r="C1124" s="1" t="s">
        <v>34</v>
      </c>
      <c r="D1124" s="1" t="s">
        <v>277</v>
      </c>
      <c r="E1124" s="73" t="n">
        <v>6445</v>
      </c>
      <c r="F1124" s="26" t="n">
        <v>0.251543736341568</v>
      </c>
      <c r="G1124" s="26" t="n">
        <v>1621.199381</v>
      </c>
      <c r="H1124" s="1" t="s">
        <v>410</v>
      </c>
    </row>
    <row r="1125" customFormat="false" ht="15" hidden="false" customHeight="true" outlineLevel="0" collapsed="false">
      <c r="A1125" s="1" t="s">
        <v>617</v>
      </c>
      <c r="B1125" s="1" t="s">
        <v>34</v>
      </c>
      <c r="C1125" s="1" t="s">
        <v>34</v>
      </c>
      <c r="D1125" s="1" t="s">
        <v>279</v>
      </c>
      <c r="E1125" s="73" t="n">
        <v>13418</v>
      </c>
      <c r="F1125" s="26" t="n">
        <v>0.251543736341568</v>
      </c>
      <c r="G1125" s="26" t="n">
        <v>3375.213854</v>
      </c>
      <c r="H1125" s="1" t="s">
        <v>410</v>
      </c>
    </row>
    <row r="1126" customFormat="false" ht="15" hidden="false" customHeight="true" outlineLevel="0" collapsed="false">
      <c r="A1126" s="1" t="s">
        <v>617</v>
      </c>
      <c r="B1126" s="1" t="s">
        <v>34</v>
      </c>
      <c r="C1126" s="1" t="s">
        <v>34</v>
      </c>
      <c r="D1126" s="1" t="s">
        <v>274</v>
      </c>
      <c r="E1126" s="73" t="n">
        <v>14441</v>
      </c>
      <c r="F1126" s="26" t="n">
        <v>0.251543736341568</v>
      </c>
      <c r="G1126" s="26" t="n">
        <v>3632.543097</v>
      </c>
      <c r="H1126" s="1" t="s">
        <v>410</v>
      </c>
    </row>
    <row r="1127" customFormat="false" ht="15" hidden="false" customHeight="true" outlineLevel="0" collapsed="false">
      <c r="A1127" s="1" t="s">
        <v>617</v>
      </c>
      <c r="B1127" s="1" t="s">
        <v>34</v>
      </c>
      <c r="C1127" s="1" t="s">
        <v>34</v>
      </c>
      <c r="D1127" s="1" t="s">
        <v>283</v>
      </c>
      <c r="E1127" s="73" t="n">
        <v>3704</v>
      </c>
      <c r="F1127" s="26" t="n">
        <v>0.251543736341568</v>
      </c>
      <c r="G1127" s="26" t="n">
        <v>931.717999</v>
      </c>
      <c r="H1127" s="1" t="s">
        <v>410</v>
      </c>
    </row>
    <row r="1128" customFormat="false" ht="15" hidden="false" customHeight="true" outlineLevel="0" collapsed="false">
      <c r="A1128" s="1" t="s">
        <v>617</v>
      </c>
      <c r="B1128" s="1" t="s">
        <v>34</v>
      </c>
      <c r="C1128" s="1" t="s">
        <v>34</v>
      </c>
      <c r="D1128" s="1" t="s">
        <v>280</v>
      </c>
      <c r="E1128" s="73" t="n">
        <v>6434</v>
      </c>
      <c r="F1128" s="26" t="n">
        <v>0.251543736341568</v>
      </c>
      <c r="G1128" s="26" t="n">
        <v>1618.4324</v>
      </c>
      <c r="H1128" s="1" t="s">
        <v>410</v>
      </c>
    </row>
    <row r="1129" customFormat="false" ht="15" hidden="false" customHeight="true" outlineLevel="0" collapsed="false">
      <c r="A1129" s="1" t="s">
        <v>617</v>
      </c>
      <c r="B1129" s="1" t="s">
        <v>34</v>
      </c>
      <c r="C1129" s="1" t="s">
        <v>34</v>
      </c>
      <c r="D1129" s="1" t="s">
        <v>275</v>
      </c>
      <c r="E1129" s="73" t="n">
        <v>4749</v>
      </c>
      <c r="F1129" s="26" t="n">
        <v>0.251543736341568</v>
      </c>
      <c r="G1129" s="26" t="n">
        <v>1194.581204</v>
      </c>
      <c r="H1129" s="1" t="s">
        <v>410</v>
      </c>
    </row>
    <row r="1130" customFormat="false" ht="15" hidden="false" customHeight="true" outlineLevel="0" collapsed="false">
      <c r="A1130" s="1" t="s">
        <v>617</v>
      </c>
      <c r="B1130" s="1" t="s">
        <v>34</v>
      </c>
      <c r="C1130" s="1" t="s">
        <v>34</v>
      </c>
      <c r="D1130" s="1" t="s">
        <v>272</v>
      </c>
      <c r="E1130" s="73" t="n">
        <v>4795</v>
      </c>
      <c r="F1130" s="26" t="n">
        <v>0.251543736341568</v>
      </c>
      <c r="G1130" s="26" t="n">
        <v>1206.152216</v>
      </c>
      <c r="H1130" s="1" t="s">
        <v>410</v>
      </c>
    </row>
    <row r="1131" customFormat="false" ht="15" hidden="false" customHeight="true" outlineLevel="0" collapsed="false">
      <c r="A1131" s="1" t="s">
        <v>644</v>
      </c>
      <c r="B1131" s="1" t="s">
        <v>34</v>
      </c>
      <c r="C1131" s="1" t="s">
        <v>34</v>
      </c>
      <c r="D1131" s="1" t="s">
        <v>277</v>
      </c>
      <c r="E1131" s="73" t="n">
        <v>6588</v>
      </c>
      <c r="F1131" s="26" t="n">
        <v>0.229782928031525</v>
      </c>
      <c r="G1131" s="26" t="n">
        <v>1513.80993</v>
      </c>
      <c r="H1131" s="1" t="s">
        <v>410</v>
      </c>
    </row>
    <row r="1132" customFormat="false" ht="15" hidden="false" customHeight="true" outlineLevel="0" collapsed="false">
      <c r="A1132" s="1" t="s">
        <v>644</v>
      </c>
      <c r="B1132" s="1" t="s">
        <v>34</v>
      </c>
      <c r="C1132" s="1" t="s">
        <v>34</v>
      </c>
      <c r="D1132" s="1" t="s">
        <v>279</v>
      </c>
      <c r="E1132" s="73" t="n">
        <v>13530</v>
      </c>
      <c r="F1132" s="26" t="n">
        <v>0.229782928031525</v>
      </c>
      <c r="G1132" s="26" t="n">
        <v>3108.963016</v>
      </c>
      <c r="H1132" s="1" t="s">
        <v>410</v>
      </c>
    </row>
    <row r="1133" customFormat="false" ht="15" hidden="false" customHeight="true" outlineLevel="0" collapsed="false">
      <c r="A1133" s="1" t="s">
        <v>644</v>
      </c>
      <c r="B1133" s="1" t="s">
        <v>34</v>
      </c>
      <c r="C1133" s="1" t="s">
        <v>34</v>
      </c>
      <c r="D1133" s="1" t="s">
        <v>274</v>
      </c>
      <c r="E1133" s="73" t="n">
        <v>14689</v>
      </c>
      <c r="F1133" s="26" t="n">
        <v>0.229782928031525</v>
      </c>
      <c r="G1133" s="26" t="n">
        <v>3375.28143</v>
      </c>
      <c r="H1133" s="1" t="s">
        <v>410</v>
      </c>
    </row>
    <row r="1134" customFormat="false" ht="15" hidden="false" customHeight="true" outlineLevel="0" collapsed="false">
      <c r="A1134" s="1" t="s">
        <v>644</v>
      </c>
      <c r="B1134" s="1" t="s">
        <v>34</v>
      </c>
      <c r="C1134" s="1" t="s">
        <v>34</v>
      </c>
      <c r="D1134" s="1" t="s">
        <v>283</v>
      </c>
      <c r="E1134" s="73" t="n">
        <v>3765</v>
      </c>
      <c r="F1134" s="26" t="n">
        <v>0.229782928031525</v>
      </c>
      <c r="G1134" s="26" t="n">
        <v>865.132724</v>
      </c>
      <c r="H1134" s="1" t="s">
        <v>410</v>
      </c>
    </row>
    <row r="1135" customFormat="false" ht="15" hidden="false" customHeight="true" outlineLevel="0" collapsed="false">
      <c r="A1135" s="1" t="s">
        <v>644</v>
      </c>
      <c r="B1135" s="1" t="s">
        <v>34</v>
      </c>
      <c r="C1135" s="1" t="s">
        <v>34</v>
      </c>
      <c r="D1135" s="1" t="s">
        <v>280</v>
      </c>
      <c r="E1135" s="73" t="n">
        <v>6568</v>
      </c>
      <c r="F1135" s="26" t="n">
        <v>0.229782928031525</v>
      </c>
      <c r="G1135" s="26" t="n">
        <v>1509.214271</v>
      </c>
      <c r="H1135" s="1" t="s">
        <v>410</v>
      </c>
    </row>
    <row r="1136" customFormat="false" ht="15" hidden="false" customHeight="true" outlineLevel="0" collapsed="false">
      <c r="A1136" s="1" t="s">
        <v>644</v>
      </c>
      <c r="B1136" s="1" t="s">
        <v>34</v>
      </c>
      <c r="C1136" s="1" t="s">
        <v>34</v>
      </c>
      <c r="D1136" s="1" t="s">
        <v>275</v>
      </c>
      <c r="E1136" s="73" t="n">
        <v>4805</v>
      </c>
      <c r="F1136" s="26" t="n">
        <v>0.229782928031525</v>
      </c>
      <c r="G1136" s="26" t="n">
        <v>1104.106969</v>
      </c>
      <c r="H1136" s="1" t="s">
        <v>410</v>
      </c>
    </row>
    <row r="1137" customFormat="false" ht="15" hidden="false" customHeight="true" outlineLevel="0" collapsed="false">
      <c r="A1137" s="1" t="s">
        <v>644</v>
      </c>
      <c r="B1137" s="1" t="s">
        <v>34</v>
      </c>
      <c r="C1137" s="1" t="s">
        <v>34</v>
      </c>
      <c r="D1137" s="1" t="s">
        <v>272</v>
      </c>
      <c r="E1137" s="73" t="n">
        <v>4806</v>
      </c>
      <c r="F1137" s="26" t="n">
        <v>0.229782928031525</v>
      </c>
      <c r="G1137" s="26" t="n">
        <v>1104.336752</v>
      </c>
      <c r="H1137" s="1" t="s">
        <v>410</v>
      </c>
    </row>
    <row r="1138" customFormat="false" ht="15" hidden="false" customHeight="true" outlineLevel="0" collapsed="false">
      <c r="A1138" s="1" t="s">
        <v>607</v>
      </c>
      <c r="B1138" s="1" t="s">
        <v>35</v>
      </c>
      <c r="C1138" s="1" t="s">
        <v>35</v>
      </c>
      <c r="D1138" s="1" t="s">
        <v>277</v>
      </c>
      <c r="E1138" s="73" t="n">
        <v>6280</v>
      </c>
      <c r="F1138" s="26" t="n">
        <v>0.0855440852571775</v>
      </c>
      <c r="G1138" s="26" t="n">
        <v>537.216855415075</v>
      </c>
      <c r="H1138" s="1" t="s">
        <v>410</v>
      </c>
    </row>
    <row r="1139" customFormat="false" ht="15" hidden="false" customHeight="true" outlineLevel="0" collapsed="false">
      <c r="A1139" s="1" t="s">
        <v>607</v>
      </c>
      <c r="B1139" s="1" t="s">
        <v>35</v>
      </c>
      <c r="C1139" s="1" t="s">
        <v>35</v>
      </c>
      <c r="D1139" s="1" t="s">
        <v>279</v>
      </c>
      <c r="E1139" s="73" t="n">
        <v>13402</v>
      </c>
      <c r="F1139" s="26" t="n">
        <v>0.0855440852571775</v>
      </c>
      <c r="G1139" s="26" t="n">
        <v>1146.46183061669</v>
      </c>
      <c r="H1139" s="1" t="s">
        <v>410</v>
      </c>
    </row>
    <row r="1140" customFormat="false" ht="15" hidden="false" customHeight="true" outlineLevel="0" collapsed="false">
      <c r="A1140" s="1" t="s">
        <v>607</v>
      </c>
      <c r="B1140" s="1" t="s">
        <v>35</v>
      </c>
      <c r="C1140" s="1" t="s">
        <v>35</v>
      </c>
      <c r="D1140" s="1" t="s">
        <v>274</v>
      </c>
      <c r="E1140" s="73" t="n">
        <v>14331</v>
      </c>
      <c r="F1140" s="26" t="n">
        <v>0.0855440852571775</v>
      </c>
      <c r="G1140" s="26" t="n">
        <v>1225.93228582061</v>
      </c>
      <c r="H1140" s="1" t="s">
        <v>410</v>
      </c>
    </row>
    <row r="1141" customFormat="false" ht="15" hidden="false" customHeight="true" outlineLevel="0" collapsed="false">
      <c r="A1141" s="1" t="s">
        <v>607</v>
      </c>
      <c r="B1141" s="1" t="s">
        <v>35</v>
      </c>
      <c r="C1141" s="1" t="s">
        <v>35</v>
      </c>
      <c r="D1141" s="1" t="s">
        <v>283</v>
      </c>
      <c r="E1141" s="73" t="n">
        <v>3650</v>
      </c>
      <c r="F1141" s="26" t="n">
        <v>0.0855440852571775</v>
      </c>
      <c r="G1141" s="26" t="n">
        <v>312.235911188698</v>
      </c>
      <c r="H1141" s="1" t="s">
        <v>410</v>
      </c>
    </row>
    <row r="1142" customFormat="false" ht="15" hidden="false" customHeight="true" outlineLevel="0" collapsed="false">
      <c r="A1142" s="1" t="s">
        <v>607</v>
      </c>
      <c r="B1142" s="1" t="s">
        <v>35</v>
      </c>
      <c r="C1142" s="1" t="s">
        <v>35</v>
      </c>
      <c r="D1142" s="1" t="s">
        <v>280</v>
      </c>
      <c r="E1142" s="73" t="n">
        <v>6396</v>
      </c>
      <c r="F1142" s="26" t="n">
        <v>0.0855440852571775</v>
      </c>
      <c r="G1142" s="26" t="n">
        <v>547.139969304907</v>
      </c>
      <c r="H1142" s="1" t="s">
        <v>410</v>
      </c>
    </row>
    <row r="1143" customFormat="false" ht="15" hidden="false" customHeight="true" outlineLevel="0" collapsed="false">
      <c r="A1143" s="1" t="s">
        <v>607</v>
      </c>
      <c r="B1143" s="1" t="s">
        <v>35</v>
      </c>
      <c r="C1143" s="1" t="s">
        <v>35</v>
      </c>
      <c r="D1143" s="1" t="s">
        <v>275</v>
      </c>
      <c r="E1143" s="73" t="n">
        <v>4730</v>
      </c>
      <c r="F1143" s="26" t="n">
        <v>0.0855440852571775</v>
      </c>
      <c r="G1143" s="26" t="n">
        <v>404.62352326645</v>
      </c>
      <c r="H1143" s="1" t="s">
        <v>410</v>
      </c>
    </row>
    <row r="1144" customFormat="false" ht="15" hidden="false" customHeight="true" outlineLevel="0" collapsed="false">
      <c r="A1144" s="1" t="s">
        <v>607</v>
      </c>
      <c r="B1144" s="1" t="s">
        <v>35</v>
      </c>
      <c r="C1144" s="1" t="s">
        <v>35</v>
      </c>
      <c r="D1144" s="1" t="s">
        <v>272</v>
      </c>
      <c r="E1144" s="73" t="n">
        <v>4782</v>
      </c>
      <c r="F1144" s="26" t="n">
        <v>0.0855440852571775</v>
      </c>
      <c r="G1144" s="26" t="n">
        <v>409.071815699823</v>
      </c>
      <c r="H1144" s="1" t="s">
        <v>410</v>
      </c>
    </row>
    <row r="1145" customFormat="false" ht="15" hidden="false" customHeight="true" outlineLevel="0" collapsed="false">
      <c r="A1145" s="1" t="s">
        <v>617</v>
      </c>
      <c r="B1145" s="1" t="s">
        <v>35</v>
      </c>
      <c r="C1145" s="1" t="s">
        <v>35</v>
      </c>
      <c r="D1145" s="1" t="s">
        <v>277</v>
      </c>
      <c r="E1145" s="73" t="n">
        <v>6445</v>
      </c>
      <c r="F1145" s="26" t="n">
        <v>0.0861250796795369</v>
      </c>
      <c r="G1145" s="26" t="n">
        <v>555.076138534615</v>
      </c>
      <c r="H1145" s="1" t="s">
        <v>410</v>
      </c>
    </row>
    <row r="1146" customFormat="false" ht="15" hidden="false" customHeight="true" outlineLevel="0" collapsed="false">
      <c r="A1146" s="1" t="s">
        <v>617</v>
      </c>
      <c r="B1146" s="1" t="s">
        <v>35</v>
      </c>
      <c r="C1146" s="1" t="s">
        <v>35</v>
      </c>
      <c r="D1146" s="1" t="s">
        <v>279</v>
      </c>
      <c r="E1146" s="73" t="n">
        <v>13418</v>
      </c>
      <c r="F1146" s="26" t="n">
        <v>0.0861250796795369</v>
      </c>
      <c r="G1146" s="26" t="n">
        <v>1155.62631914003</v>
      </c>
      <c r="H1146" s="1" t="s">
        <v>410</v>
      </c>
    </row>
    <row r="1147" customFormat="false" ht="15" hidden="false" customHeight="true" outlineLevel="0" collapsed="false">
      <c r="A1147" s="1" t="s">
        <v>617</v>
      </c>
      <c r="B1147" s="1" t="s">
        <v>35</v>
      </c>
      <c r="C1147" s="1" t="s">
        <v>35</v>
      </c>
      <c r="D1147" s="1" t="s">
        <v>274</v>
      </c>
      <c r="E1147" s="73" t="n">
        <v>14441</v>
      </c>
      <c r="F1147" s="26" t="n">
        <v>0.0861250796795369</v>
      </c>
      <c r="G1147" s="26" t="n">
        <v>1243.73227565219</v>
      </c>
      <c r="H1147" s="1" t="s">
        <v>410</v>
      </c>
    </row>
    <row r="1148" customFormat="false" ht="15" hidden="false" customHeight="true" outlineLevel="0" collapsed="false">
      <c r="A1148" s="1" t="s">
        <v>617</v>
      </c>
      <c r="B1148" s="1" t="s">
        <v>35</v>
      </c>
      <c r="C1148" s="1" t="s">
        <v>35</v>
      </c>
      <c r="D1148" s="1" t="s">
        <v>283</v>
      </c>
      <c r="E1148" s="73" t="n">
        <v>3704</v>
      </c>
      <c r="F1148" s="26" t="n">
        <v>0.0861250796795369</v>
      </c>
      <c r="G1148" s="26" t="n">
        <v>319.007295133005</v>
      </c>
      <c r="H1148" s="1" t="s">
        <v>410</v>
      </c>
    </row>
    <row r="1149" customFormat="false" ht="15" hidden="false" customHeight="true" outlineLevel="0" collapsed="false">
      <c r="A1149" s="1" t="s">
        <v>617</v>
      </c>
      <c r="B1149" s="1" t="s">
        <v>35</v>
      </c>
      <c r="C1149" s="1" t="s">
        <v>35</v>
      </c>
      <c r="D1149" s="1" t="s">
        <v>280</v>
      </c>
      <c r="E1149" s="73" t="n">
        <v>6434</v>
      </c>
      <c r="F1149" s="26" t="n">
        <v>0.0861250796795369</v>
      </c>
      <c r="G1149" s="26" t="n">
        <v>554.12876265814</v>
      </c>
      <c r="H1149" s="1" t="s">
        <v>410</v>
      </c>
    </row>
    <row r="1150" customFormat="false" ht="15" hidden="false" customHeight="true" outlineLevel="0" collapsed="false">
      <c r="A1150" s="1" t="s">
        <v>617</v>
      </c>
      <c r="B1150" s="1" t="s">
        <v>35</v>
      </c>
      <c r="C1150" s="1" t="s">
        <v>35</v>
      </c>
      <c r="D1150" s="1" t="s">
        <v>275</v>
      </c>
      <c r="E1150" s="73" t="n">
        <v>4749</v>
      </c>
      <c r="F1150" s="26" t="n">
        <v>0.0861250796795369</v>
      </c>
      <c r="G1150" s="26" t="n">
        <v>409.008003398121</v>
      </c>
      <c r="H1150" s="1" t="s">
        <v>410</v>
      </c>
    </row>
    <row r="1151" customFormat="false" ht="15" hidden="false" customHeight="true" outlineLevel="0" collapsed="false">
      <c r="A1151" s="1" t="s">
        <v>617</v>
      </c>
      <c r="B1151" s="1" t="s">
        <v>35</v>
      </c>
      <c r="C1151" s="1" t="s">
        <v>35</v>
      </c>
      <c r="D1151" s="1" t="s">
        <v>272</v>
      </c>
      <c r="E1151" s="73" t="n">
        <v>4795</v>
      </c>
      <c r="F1151" s="26" t="n">
        <v>0.0861250796795369</v>
      </c>
      <c r="G1151" s="26" t="n">
        <v>412.96975706338</v>
      </c>
      <c r="H1151" s="1" t="s">
        <v>410</v>
      </c>
    </row>
    <row r="1152" customFormat="false" ht="15" hidden="false" customHeight="true" outlineLevel="0" collapsed="false">
      <c r="A1152" s="1" t="s">
        <v>644</v>
      </c>
      <c r="B1152" s="1" t="s">
        <v>35</v>
      </c>
      <c r="C1152" s="1" t="s">
        <v>35</v>
      </c>
      <c r="D1152" s="1" t="s">
        <v>277</v>
      </c>
      <c r="E1152" s="73" t="n">
        <v>6588</v>
      </c>
      <c r="F1152" s="26" t="n">
        <v>0.055610036180276</v>
      </c>
      <c r="G1152" s="26" t="n">
        <v>366.358918355658</v>
      </c>
      <c r="H1152" s="1" t="s">
        <v>410</v>
      </c>
    </row>
    <row r="1153" customFormat="false" ht="15" hidden="false" customHeight="true" outlineLevel="0" collapsed="false">
      <c r="A1153" s="1" t="s">
        <v>644</v>
      </c>
      <c r="B1153" s="1" t="s">
        <v>35</v>
      </c>
      <c r="C1153" s="1" t="s">
        <v>35</v>
      </c>
      <c r="D1153" s="1" t="s">
        <v>279</v>
      </c>
      <c r="E1153" s="73" t="n">
        <v>13530</v>
      </c>
      <c r="F1153" s="26" t="n">
        <v>0.055610036180276</v>
      </c>
      <c r="G1153" s="26" t="n">
        <v>752.403789519134</v>
      </c>
      <c r="H1153" s="1" t="s">
        <v>410</v>
      </c>
    </row>
    <row r="1154" customFormat="false" ht="15" hidden="false" customHeight="true" outlineLevel="0" collapsed="false">
      <c r="A1154" s="1" t="s">
        <v>644</v>
      </c>
      <c r="B1154" s="1" t="s">
        <v>35</v>
      </c>
      <c r="C1154" s="1" t="s">
        <v>35</v>
      </c>
      <c r="D1154" s="1" t="s">
        <v>274</v>
      </c>
      <c r="E1154" s="73" t="n">
        <v>14689</v>
      </c>
      <c r="F1154" s="26" t="n">
        <v>0.055610036180276</v>
      </c>
      <c r="G1154" s="26" t="n">
        <v>816.855821452074</v>
      </c>
      <c r="H1154" s="1" t="s">
        <v>410</v>
      </c>
    </row>
    <row r="1155" customFormat="false" ht="15" hidden="false" customHeight="true" outlineLevel="0" collapsed="false">
      <c r="A1155" s="1" t="s">
        <v>644</v>
      </c>
      <c r="B1155" s="1" t="s">
        <v>35</v>
      </c>
      <c r="C1155" s="1" t="s">
        <v>35</v>
      </c>
      <c r="D1155" s="1" t="s">
        <v>283</v>
      </c>
      <c r="E1155" s="73" t="n">
        <v>3765</v>
      </c>
      <c r="F1155" s="26" t="n">
        <v>0.055610036180276</v>
      </c>
      <c r="G1155" s="26" t="n">
        <v>209.371786218739</v>
      </c>
      <c r="H1155" s="1" t="s">
        <v>410</v>
      </c>
    </row>
    <row r="1156" customFormat="false" ht="15" hidden="false" customHeight="true" outlineLevel="0" collapsed="false">
      <c r="A1156" s="1" t="s">
        <v>644</v>
      </c>
      <c r="B1156" s="1" t="s">
        <v>35</v>
      </c>
      <c r="C1156" s="1" t="s">
        <v>35</v>
      </c>
      <c r="D1156" s="1" t="s">
        <v>280</v>
      </c>
      <c r="E1156" s="73" t="n">
        <v>6568</v>
      </c>
      <c r="F1156" s="26" t="n">
        <v>0.055610036180276</v>
      </c>
      <c r="G1156" s="26" t="n">
        <v>365.246717632053</v>
      </c>
      <c r="H1156" s="1" t="s">
        <v>410</v>
      </c>
    </row>
    <row r="1157" customFormat="false" ht="15" hidden="false" customHeight="false" outlineLevel="0" collapsed="false">
      <c r="A1157" s="1" t="s">
        <v>644</v>
      </c>
      <c r="B1157" s="1" t="s">
        <v>35</v>
      </c>
      <c r="C1157" s="1" t="s">
        <v>35</v>
      </c>
      <c r="D1157" s="1" t="s">
        <v>275</v>
      </c>
      <c r="E1157" s="73" t="n">
        <v>4805</v>
      </c>
      <c r="F1157" s="26" t="n">
        <v>0.055610036180276</v>
      </c>
      <c r="G1157" s="26" t="n">
        <v>267.206223846226</v>
      </c>
      <c r="H1157" s="1" t="s">
        <v>410</v>
      </c>
    </row>
    <row r="1158" customFormat="false" ht="15" hidden="false" customHeight="false" outlineLevel="0" collapsed="false">
      <c r="A1158" s="1" t="s">
        <v>644</v>
      </c>
      <c r="B1158" s="1" t="s">
        <v>35</v>
      </c>
      <c r="C1158" s="1" t="s">
        <v>35</v>
      </c>
      <c r="D1158" s="1" t="s">
        <v>272</v>
      </c>
      <c r="E1158" s="73" t="n">
        <v>4806</v>
      </c>
      <c r="F1158" s="26" t="n">
        <v>0.055610036180276</v>
      </c>
      <c r="G1158" s="26" t="n">
        <v>267.261833882406</v>
      </c>
      <c r="H1158" s="1" t="s">
        <v>410</v>
      </c>
    </row>
    <row r="1159" customFormat="false" ht="15" hidden="false" customHeight="false" outlineLevel="0" collapsed="false">
      <c r="A1159" s="1" t="s">
        <v>607</v>
      </c>
      <c r="B1159" s="1" t="s">
        <v>587</v>
      </c>
      <c r="C1159" s="1" t="s">
        <v>588</v>
      </c>
      <c r="D1159" s="1" t="s">
        <v>277</v>
      </c>
      <c r="E1159" s="73" t="n">
        <v>6280</v>
      </c>
      <c r="F1159" s="26" t="n">
        <v>2.35573300476439</v>
      </c>
      <c r="G1159" s="26" t="n">
        <v>14794.00327</v>
      </c>
      <c r="H1159" s="1" t="s">
        <v>410</v>
      </c>
    </row>
    <row r="1160" customFormat="false" ht="15" hidden="false" customHeight="false" outlineLevel="0" collapsed="false">
      <c r="A1160" s="1" t="s">
        <v>607</v>
      </c>
      <c r="B1160" s="1" t="s">
        <v>587</v>
      </c>
      <c r="C1160" s="1" t="s">
        <v>588</v>
      </c>
      <c r="D1160" s="1" t="s">
        <v>274</v>
      </c>
      <c r="E1160" s="73" t="n">
        <v>14331</v>
      </c>
      <c r="F1160" s="26" t="n">
        <v>2.35573300476439</v>
      </c>
      <c r="G1160" s="26" t="n">
        <v>33760.009691</v>
      </c>
      <c r="H1160" s="1" t="s">
        <v>410</v>
      </c>
    </row>
    <row r="1161" customFormat="false" ht="15" hidden="false" customHeight="false" outlineLevel="0" collapsed="false">
      <c r="A1161" s="1" t="s">
        <v>607</v>
      </c>
      <c r="B1161" s="1" t="s">
        <v>587</v>
      </c>
      <c r="C1161" s="1" t="s">
        <v>588</v>
      </c>
      <c r="D1161" s="1" t="s">
        <v>283</v>
      </c>
      <c r="E1161" s="73" t="n">
        <v>3650</v>
      </c>
      <c r="F1161" s="26" t="n">
        <v>2.35573300476439</v>
      </c>
      <c r="G1161" s="26" t="n">
        <v>8598.425467</v>
      </c>
      <c r="H1161" s="1" t="s">
        <v>410</v>
      </c>
    </row>
    <row r="1162" customFormat="false" ht="15" hidden="false" customHeight="false" outlineLevel="0" collapsed="false">
      <c r="A1162" s="1" t="s">
        <v>607</v>
      </c>
      <c r="B1162" s="1" t="s">
        <v>587</v>
      </c>
      <c r="C1162" s="1" t="s">
        <v>588</v>
      </c>
      <c r="D1162" s="1" t="s">
        <v>280</v>
      </c>
      <c r="E1162" s="73" t="n">
        <v>6396</v>
      </c>
      <c r="F1162" s="26" t="n">
        <v>2.35573300476439</v>
      </c>
      <c r="G1162" s="26" t="n">
        <v>15067.268298</v>
      </c>
      <c r="H1162" s="1" t="s">
        <v>410</v>
      </c>
    </row>
    <row r="1163" customFormat="false" ht="15" hidden="false" customHeight="false" outlineLevel="0" collapsed="false">
      <c r="A1163" s="1" t="s">
        <v>607</v>
      </c>
      <c r="B1163" s="1" t="s">
        <v>587</v>
      </c>
      <c r="C1163" s="1" t="s">
        <v>588</v>
      </c>
      <c r="D1163" s="1" t="s">
        <v>275</v>
      </c>
      <c r="E1163" s="73" t="n">
        <v>4730</v>
      </c>
      <c r="F1163" s="26" t="n">
        <v>2.35573300476439</v>
      </c>
      <c r="G1163" s="26" t="n">
        <v>11142.617113</v>
      </c>
      <c r="H1163" s="1" t="s">
        <v>410</v>
      </c>
    </row>
    <row r="1164" customFormat="false" ht="15" hidden="false" customHeight="false" outlineLevel="0" collapsed="false">
      <c r="A1164" s="1" t="s">
        <v>607</v>
      </c>
      <c r="B1164" s="1" t="s">
        <v>587</v>
      </c>
      <c r="C1164" s="1" t="s">
        <v>588</v>
      </c>
      <c r="D1164" s="1" t="s">
        <v>272</v>
      </c>
      <c r="E1164" s="73" t="n">
        <v>4782</v>
      </c>
      <c r="F1164" s="26" t="n">
        <v>2.35573300476439</v>
      </c>
      <c r="G1164" s="26" t="n">
        <v>11265.115229</v>
      </c>
      <c r="H1164" s="1" t="s">
        <v>410</v>
      </c>
    </row>
    <row r="1165" customFormat="false" ht="15" hidden="false" customHeight="false" outlineLevel="0" collapsed="false">
      <c r="A1165" s="1" t="s">
        <v>617</v>
      </c>
      <c r="B1165" s="1" t="s">
        <v>587</v>
      </c>
      <c r="C1165" s="1" t="s">
        <v>588</v>
      </c>
      <c r="D1165" s="1" t="s">
        <v>277</v>
      </c>
      <c r="E1165" s="73" t="n">
        <v>6445</v>
      </c>
      <c r="F1165" s="26" t="n">
        <v>2.99991610765306</v>
      </c>
      <c r="G1165" s="26" t="n">
        <v>19334.459314</v>
      </c>
      <c r="H1165" s="1" t="s">
        <v>410</v>
      </c>
    </row>
    <row r="1166" customFormat="false" ht="15" hidden="false" customHeight="false" outlineLevel="0" collapsed="false">
      <c r="A1166" s="1" t="s">
        <v>617</v>
      </c>
      <c r="B1166" s="1" t="s">
        <v>587</v>
      </c>
      <c r="C1166" s="1" t="s">
        <v>588</v>
      </c>
      <c r="D1166" s="1" t="s">
        <v>274</v>
      </c>
      <c r="E1166" s="73" t="n">
        <v>14441</v>
      </c>
      <c r="F1166" s="26" t="n">
        <v>2.99991610765306</v>
      </c>
      <c r="G1166" s="26" t="n">
        <v>43321.788511</v>
      </c>
      <c r="H1166" s="1" t="s">
        <v>410</v>
      </c>
    </row>
    <row r="1167" customFormat="false" ht="15" hidden="false" customHeight="false" outlineLevel="0" collapsed="false">
      <c r="A1167" s="1" t="s">
        <v>617</v>
      </c>
      <c r="B1167" s="1" t="s">
        <v>587</v>
      </c>
      <c r="C1167" s="1" t="s">
        <v>588</v>
      </c>
      <c r="D1167" s="1" t="s">
        <v>283</v>
      </c>
      <c r="E1167" s="73" t="n">
        <v>3704</v>
      </c>
      <c r="F1167" s="26" t="n">
        <v>2.99991610765306</v>
      </c>
      <c r="G1167" s="26" t="n">
        <v>11111.689263</v>
      </c>
      <c r="H1167" s="1" t="s">
        <v>410</v>
      </c>
    </row>
    <row r="1168" customFormat="false" ht="15" hidden="false" customHeight="false" outlineLevel="0" collapsed="false">
      <c r="A1168" s="1" t="s">
        <v>617</v>
      </c>
      <c r="B1168" s="1" t="s">
        <v>587</v>
      </c>
      <c r="C1168" s="1" t="s">
        <v>588</v>
      </c>
      <c r="D1168" s="1" t="s">
        <v>280</v>
      </c>
      <c r="E1168" s="73" t="n">
        <v>6434</v>
      </c>
      <c r="F1168" s="26" t="n">
        <v>2.99991610765306</v>
      </c>
      <c r="G1168" s="26" t="n">
        <v>19301.460237</v>
      </c>
      <c r="H1168" s="1" t="s">
        <v>410</v>
      </c>
    </row>
    <row r="1169" customFormat="false" ht="15" hidden="false" customHeight="false" outlineLevel="0" collapsed="false">
      <c r="A1169" s="1" t="s">
        <v>617</v>
      </c>
      <c r="B1169" s="1" t="s">
        <v>587</v>
      </c>
      <c r="C1169" s="1" t="s">
        <v>588</v>
      </c>
      <c r="D1169" s="1" t="s">
        <v>275</v>
      </c>
      <c r="E1169" s="73" t="n">
        <v>4749</v>
      </c>
      <c r="F1169" s="26" t="n">
        <v>2.99991610765306</v>
      </c>
      <c r="G1169" s="26" t="n">
        <v>14246.601595</v>
      </c>
      <c r="H1169" s="1" t="s">
        <v>410</v>
      </c>
    </row>
    <row r="1170" customFormat="false" ht="15" hidden="false" customHeight="false" outlineLevel="0" collapsed="false">
      <c r="A1170" s="1" t="s">
        <v>617</v>
      </c>
      <c r="B1170" s="1" t="s">
        <v>587</v>
      </c>
      <c r="C1170" s="1" t="s">
        <v>588</v>
      </c>
      <c r="D1170" s="1" t="s">
        <v>272</v>
      </c>
      <c r="E1170" s="73" t="n">
        <v>4795</v>
      </c>
      <c r="F1170" s="26" t="n">
        <v>2.99991610765306</v>
      </c>
      <c r="G1170" s="26" t="n">
        <v>14384.597736</v>
      </c>
      <c r="H1170" s="1" t="s">
        <v>410</v>
      </c>
    </row>
    <row r="1171" customFormat="false" ht="15" hidden="false" customHeight="false" outlineLevel="0" collapsed="false">
      <c r="A1171" s="1" t="s">
        <v>644</v>
      </c>
      <c r="B1171" s="1" t="s">
        <v>587</v>
      </c>
      <c r="C1171" s="1" t="s">
        <v>588</v>
      </c>
      <c r="D1171" s="1" t="s">
        <v>277</v>
      </c>
      <c r="E1171" s="73" t="n">
        <v>6588</v>
      </c>
      <c r="F1171" s="26" t="n">
        <v>3.18253026831306</v>
      </c>
      <c r="G1171" s="26" t="n">
        <v>20966.509408</v>
      </c>
      <c r="H1171" s="1" t="s">
        <v>410</v>
      </c>
    </row>
    <row r="1172" customFormat="false" ht="15" hidden="false" customHeight="false" outlineLevel="0" collapsed="false">
      <c r="A1172" s="1" t="s">
        <v>644</v>
      </c>
      <c r="B1172" s="1" t="s">
        <v>587</v>
      </c>
      <c r="C1172" s="1" t="s">
        <v>588</v>
      </c>
      <c r="D1172" s="1" t="s">
        <v>274</v>
      </c>
      <c r="E1172" s="73" t="n">
        <v>14689</v>
      </c>
      <c r="F1172" s="26" t="n">
        <v>3.18253026831306</v>
      </c>
      <c r="G1172" s="26" t="n">
        <v>46748.187111</v>
      </c>
      <c r="H1172" s="1" t="s">
        <v>410</v>
      </c>
    </row>
    <row r="1173" customFormat="false" ht="15" hidden="false" customHeight="false" outlineLevel="0" collapsed="false">
      <c r="A1173" s="1" t="s">
        <v>644</v>
      </c>
      <c r="B1173" s="1" t="s">
        <v>587</v>
      </c>
      <c r="C1173" s="1" t="s">
        <v>588</v>
      </c>
      <c r="D1173" s="1" t="s">
        <v>283</v>
      </c>
      <c r="E1173" s="73" t="n">
        <v>3765</v>
      </c>
      <c r="F1173" s="26" t="n">
        <v>3.18253026831306</v>
      </c>
      <c r="G1173" s="26" t="n">
        <v>11982.22646</v>
      </c>
      <c r="H1173" s="1" t="s">
        <v>410</v>
      </c>
    </row>
    <row r="1174" customFormat="false" ht="15" hidden="false" customHeight="false" outlineLevel="0" collapsed="false">
      <c r="A1174" s="1" t="s">
        <v>644</v>
      </c>
      <c r="B1174" s="1" t="s">
        <v>587</v>
      </c>
      <c r="C1174" s="1" t="s">
        <v>588</v>
      </c>
      <c r="D1174" s="1" t="s">
        <v>280</v>
      </c>
      <c r="E1174" s="73" t="n">
        <v>6568</v>
      </c>
      <c r="F1174" s="26" t="n">
        <v>3.18253026831306</v>
      </c>
      <c r="G1174" s="26" t="n">
        <v>20902.858802</v>
      </c>
      <c r="H1174" s="1" t="s">
        <v>410</v>
      </c>
    </row>
    <row r="1175" customFormat="false" ht="15" hidden="false" customHeight="false" outlineLevel="0" collapsed="false">
      <c r="A1175" s="1" t="s">
        <v>644</v>
      </c>
      <c r="B1175" s="1" t="s">
        <v>587</v>
      </c>
      <c r="C1175" s="1" t="s">
        <v>588</v>
      </c>
      <c r="D1175" s="1" t="s">
        <v>275</v>
      </c>
      <c r="E1175" s="73" t="n">
        <v>4805</v>
      </c>
      <c r="F1175" s="26" t="n">
        <v>3.18253026831306</v>
      </c>
      <c r="G1175" s="26" t="n">
        <v>15292.057939</v>
      </c>
      <c r="H1175" s="1" t="s">
        <v>410</v>
      </c>
    </row>
    <row r="1176" customFormat="false" ht="15" hidden="false" customHeight="false" outlineLevel="0" collapsed="false">
      <c r="A1176" s="1" t="s">
        <v>644</v>
      </c>
      <c r="B1176" s="1" t="s">
        <v>587</v>
      </c>
      <c r="C1176" s="1" t="s">
        <v>588</v>
      </c>
      <c r="D1176" s="1" t="s">
        <v>272</v>
      </c>
      <c r="E1176" s="73" t="n">
        <v>4806</v>
      </c>
      <c r="F1176" s="26" t="n">
        <v>3.18253026831306</v>
      </c>
      <c r="G1176" s="26" t="n">
        <v>15295.24047</v>
      </c>
      <c r="H1176" s="1" t="s">
        <v>410</v>
      </c>
    </row>
    <row r="1177" customFormat="false" ht="15" hidden="false" customHeight="false" outlineLevel="0" collapsed="false">
      <c r="A1177" s="1" t="s">
        <v>607</v>
      </c>
      <c r="B1177" s="1" t="s">
        <v>139</v>
      </c>
      <c r="C1177" s="1" t="s">
        <v>491</v>
      </c>
      <c r="D1177" s="1" t="s">
        <v>277</v>
      </c>
      <c r="E1177" s="73" t="n">
        <v>6280</v>
      </c>
      <c r="F1177" s="26" t="n">
        <v>0.0959225828032635</v>
      </c>
      <c r="G1177" s="26" t="n">
        <v>602.39382</v>
      </c>
      <c r="H1177" s="1" t="s">
        <v>410</v>
      </c>
    </row>
    <row r="1178" customFormat="false" ht="15" hidden="false" customHeight="false" outlineLevel="0" collapsed="false">
      <c r="A1178" s="1" t="s">
        <v>607</v>
      </c>
      <c r="B1178" s="1" t="s">
        <v>139</v>
      </c>
      <c r="C1178" s="1" t="s">
        <v>491</v>
      </c>
      <c r="D1178" s="1" t="s">
        <v>274</v>
      </c>
      <c r="E1178" s="73" t="n">
        <v>14331</v>
      </c>
      <c r="F1178" s="26" t="n">
        <v>0.0959225828032635</v>
      </c>
      <c r="G1178" s="26" t="n">
        <v>1374.666534</v>
      </c>
      <c r="H1178" s="1" t="s">
        <v>410</v>
      </c>
    </row>
    <row r="1179" customFormat="false" ht="15" hidden="false" customHeight="false" outlineLevel="0" collapsed="false">
      <c r="A1179" s="1" t="s">
        <v>607</v>
      </c>
      <c r="B1179" s="1" t="s">
        <v>139</v>
      </c>
      <c r="C1179" s="1" t="s">
        <v>491</v>
      </c>
      <c r="D1179" s="1" t="s">
        <v>283</v>
      </c>
      <c r="E1179" s="73" t="n">
        <v>3650</v>
      </c>
      <c r="F1179" s="26" t="n">
        <v>0.0959225828032635</v>
      </c>
      <c r="G1179" s="26" t="n">
        <v>350.117427</v>
      </c>
      <c r="H1179" s="1" t="s">
        <v>410</v>
      </c>
    </row>
    <row r="1180" customFormat="false" ht="15" hidden="false" customHeight="false" outlineLevel="0" collapsed="false">
      <c r="A1180" s="1" t="s">
        <v>607</v>
      </c>
      <c r="B1180" s="1" t="s">
        <v>139</v>
      </c>
      <c r="C1180" s="1" t="s">
        <v>491</v>
      </c>
      <c r="D1180" s="1" t="s">
        <v>280</v>
      </c>
      <c r="E1180" s="73" t="n">
        <v>6396</v>
      </c>
      <c r="F1180" s="26" t="n">
        <v>0.0959225828032635</v>
      </c>
      <c r="G1180" s="26" t="n">
        <v>613.52084</v>
      </c>
      <c r="H1180" s="1" t="s">
        <v>410</v>
      </c>
    </row>
    <row r="1181" customFormat="false" ht="15" hidden="false" customHeight="false" outlineLevel="0" collapsed="false">
      <c r="A1181" s="1" t="s">
        <v>607</v>
      </c>
      <c r="B1181" s="1" t="s">
        <v>139</v>
      </c>
      <c r="C1181" s="1" t="s">
        <v>491</v>
      </c>
      <c r="D1181" s="1" t="s">
        <v>275</v>
      </c>
      <c r="E1181" s="73" t="n">
        <v>4730</v>
      </c>
      <c r="F1181" s="26" t="n">
        <v>0.0959225828032635</v>
      </c>
      <c r="G1181" s="26" t="n">
        <v>453.713817</v>
      </c>
      <c r="H1181" s="1" t="s">
        <v>410</v>
      </c>
    </row>
    <row r="1182" customFormat="false" ht="15" hidden="false" customHeight="false" outlineLevel="0" collapsed="false">
      <c r="A1182" s="1" t="s">
        <v>607</v>
      </c>
      <c r="B1182" s="1" t="s">
        <v>139</v>
      </c>
      <c r="C1182" s="1" t="s">
        <v>491</v>
      </c>
      <c r="D1182" s="1" t="s">
        <v>272</v>
      </c>
      <c r="E1182" s="73" t="n">
        <v>4782</v>
      </c>
      <c r="F1182" s="26" t="n">
        <v>0.0959225828032635</v>
      </c>
      <c r="G1182" s="26" t="n">
        <v>458.701791</v>
      </c>
      <c r="H1182" s="1" t="s">
        <v>410</v>
      </c>
    </row>
    <row r="1183" customFormat="false" ht="15" hidden="false" customHeight="false" outlineLevel="0" collapsed="false">
      <c r="A1183" s="1" t="s">
        <v>617</v>
      </c>
      <c r="B1183" s="1" t="s">
        <v>139</v>
      </c>
      <c r="C1183" s="1" t="s">
        <v>491</v>
      </c>
      <c r="D1183" s="1" t="s">
        <v>277</v>
      </c>
      <c r="E1183" s="73" t="n">
        <v>6445</v>
      </c>
      <c r="F1183" s="26" t="n">
        <v>0.105895207936646</v>
      </c>
      <c r="G1183" s="26" t="n">
        <v>682.494615</v>
      </c>
      <c r="H1183" s="1" t="s">
        <v>410</v>
      </c>
    </row>
    <row r="1184" customFormat="false" ht="15" hidden="false" customHeight="false" outlineLevel="0" collapsed="false">
      <c r="A1184" s="1" t="s">
        <v>617</v>
      </c>
      <c r="B1184" s="1" t="s">
        <v>139</v>
      </c>
      <c r="C1184" s="1" t="s">
        <v>491</v>
      </c>
      <c r="D1184" s="1" t="s">
        <v>274</v>
      </c>
      <c r="E1184" s="73" t="n">
        <v>14441</v>
      </c>
      <c r="F1184" s="26" t="n">
        <v>0.105895207936646</v>
      </c>
      <c r="G1184" s="26" t="n">
        <v>1529.232698</v>
      </c>
      <c r="H1184" s="1" t="s">
        <v>410</v>
      </c>
    </row>
    <row r="1185" customFormat="false" ht="15" hidden="false" customHeight="false" outlineLevel="0" collapsed="false">
      <c r="A1185" s="1" t="s">
        <v>617</v>
      </c>
      <c r="B1185" s="1" t="s">
        <v>139</v>
      </c>
      <c r="C1185" s="1" t="s">
        <v>491</v>
      </c>
      <c r="D1185" s="1" t="s">
        <v>283</v>
      </c>
      <c r="E1185" s="73" t="n">
        <v>3704</v>
      </c>
      <c r="F1185" s="26" t="n">
        <v>0.105895207936646</v>
      </c>
      <c r="G1185" s="26" t="n">
        <v>392.23585</v>
      </c>
      <c r="H1185" s="1" t="s">
        <v>410</v>
      </c>
    </row>
    <row r="1186" customFormat="false" ht="15" hidden="false" customHeight="false" outlineLevel="0" collapsed="false">
      <c r="A1186" s="1" t="s">
        <v>617</v>
      </c>
      <c r="B1186" s="1" t="s">
        <v>139</v>
      </c>
      <c r="C1186" s="1" t="s">
        <v>491</v>
      </c>
      <c r="D1186" s="1" t="s">
        <v>280</v>
      </c>
      <c r="E1186" s="73" t="n">
        <v>6434</v>
      </c>
      <c r="F1186" s="26" t="n">
        <v>0.105895207936646</v>
      </c>
      <c r="G1186" s="26" t="n">
        <v>681.329768</v>
      </c>
      <c r="H1186" s="1" t="s">
        <v>410</v>
      </c>
    </row>
    <row r="1187" customFormat="false" ht="15" hidden="false" customHeight="false" outlineLevel="0" collapsed="false">
      <c r="A1187" s="1" t="s">
        <v>617</v>
      </c>
      <c r="B1187" s="1" t="s">
        <v>139</v>
      </c>
      <c r="C1187" s="1" t="s">
        <v>491</v>
      </c>
      <c r="D1187" s="1" t="s">
        <v>275</v>
      </c>
      <c r="E1187" s="73" t="n">
        <v>4749</v>
      </c>
      <c r="F1187" s="26" t="n">
        <v>0.105895207936646</v>
      </c>
      <c r="G1187" s="26" t="n">
        <v>502.896342</v>
      </c>
      <c r="H1187" s="1" t="s">
        <v>410</v>
      </c>
    </row>
    <row r="1188" customFormat="false" ht="15" hidden="false" customHeight="false" outlineLevel="0" collapsed="false">
      <c r="A1188" s="1" t="s">
        <v>617</v>
      </c>
      <c r="B1188" s="1" t="s">
        <v>139</v>
      </c>
      <c r="C1188" s="1" t="s">
        <v>491</v>
      </c>
      <c r="D1188" s="1" t="s">
        <v>272</v>
      </c>
      <c r="E1188" s="73" t="n">
        <v>4795</v>
      </c>
      <c r="F1188" s="26" t="n">
        <v>0.105895207936646</v>
      </c>
      <c r="G1188" s="26" t="n">
        <v>507.767522</v>
      </c>
      <c r="H1188" s="1" t="s">
        <v>410</v>
      </c>
    </row>
    <row r="1189" customFormat="false" ht="15" hidden="false" customHeight="false" outlineLevel="0" collapsed="false">
      <c r="A1189" s="1" t="s">
        <v>644</v>
      </c>
      <c r="B1189" s="1" t="s">
        <v>139</v>
      </c>
      <c r="C1189" s="1" t="s">
        <v>491</v>
      </c>
      <c r="D1189" s="1" t="s">
        <v>277</v>
      </c>
      <c r="E1189" s="73" t="n">
        <v>6588</v>
      </c>
      <c r="F1189" s="26" t="n">
        <v>0.101057218436555</v>
      </c>
      <c r="G1189" s="26" t="n">
        <v>665.764955</v>
      </c>
      <c r="H1189" s="1" t="s">
        <v>410</v>
      </c>
    </row>
    <row r="1190" customFormat="false" ht="15" hidden="false" customHeight="false" outlineLevel="0" collapsed="false">
      <c r="A1190" s="1" t="s">
        <v>644</v>
      </c>
      <c r="B1190" s="1" t="s">
        <v>139</v>
      </c>
      <c r="C1190" s="1" t="s">
        <v>491</v>
      </c>
      <c r="D1190" s="1" t="s">
        <v>274</v>
      </c>
      <c r="E1190" s="73" t="n">
        <v>14689</v>
      </c>
      <c r="F1190" s="26" t="n">
        <v>0.101057218436555</v>
      </c>
      <c r="G1190" s="26" t="n">
        <v>1484.429482</v>
      </c>
      <c r="H1190" s="1" t="s">
        <v>410</v>
      </c>
    </row>
    <row r="1191" customFormat="false" ht="15" hidden="false" customHeight="false" outlineLevel="0" collapsed="false">
      <c r="A1191" s="1" t="s">
        <v>644</v>
      </c>
      <c r="B1191" s="1" t="s">
        <v>139</v>
      </c>
      <c r="C1191" s="1" t="s">
        <v>491</v>
      </c>
      <c r="D1191" s="1" t="s">
        <v>283</v>
      </c>
      <c r="E1191" s="73" t="n">
        <v>3765</v>
      </c>
      <c r="F1191" s="26" t="n">
        <v>0.101057218436555</v>
      </c>
      <c r="G1191" s="26" t="n">
        <v>380.480427</v>
      </c>
      <c r="H1191" s="1" t="s">
        <v>410</v>
      </c>
    </row>
    <row r="1192" customFormat="false" ht="15" hidden="false" customHeight="false" outlineLevel="0" collapsed="false">
      <c r="A1192" s="1" t="s">
        <v>644</v>
      </c>
      <c r="B1192" s="1" t="s">
        <v>139</v>
      </c>
      <c r="C1192" s="1" t="s">
        <v>491</v>
      </c>
      <c r="D1192" s="1" t="s">
        <v>280</v>
      </c>
      <c r="E1192" s="73" t="n">
        <v>6568</v>
      </c>
      <c r="F1192" s="26" t="n">
        <v>0.101057218436555</v>
      </c>
      <c r="G1192" s="26" t="n">
        <v>663.743811</v>
      </c>
      <c r="H1192" s="1" t="s">
        <v>410</v>
      </c>
    </row>
    <row r="1193" customFormat="false" ht="15" hidden="false" customHeight="false" outlineLevel="0" collapsed="false">
      <c r="A1193" s="1" t="s">
        <v>644</v>
      </c>
      <c r="B1193" s="1" t="s">
        <v>139</v>
      </c>
      <c r="C1193" s="1" t="s">
        <v>491</v>
      </c>
      <c r="D1193" s="1" t="s">
        <v>275</v>
      </c>
      <c r="E1193" s="73" t="n">
        <v>4805</v>
      </c>
      <c r="F1193" s="26" t="n">
        <v>0.101057218436555</v>
      </c>
      <c r="G1193" s="26" t="n">
        <v>485.579935</v>
      </c>
      <c r="H1193" s="1" t="s">
        <v>410</v>
      </c>
    </row>
    <row r="1194" customFormat="false" ht="15" hidden="false" customHeight="false" outlineLevel="0" collapsed="false">
      <c r="A1194" s="1" t="s">
        <v>644</v>
      </c>
      <c r="B1194" s="1" t="s">
        <v>139</v>
      </c>
      <c r="C1194" s="1" t="s">
        <v>491</v>
      </c>
      <c r="D1194" s="1" t="s">
        <v>272</v>
      </c>
      <c r="E1194" s="73" t="n">
        <v>4806</v>
      </c>
      <c r="F1194" s="26" t="n">
        <v>0.101057218436555</v>
      </c>
      <c r="G1194" s="26" t="n">
        <v>485.680992</v>
      </c>
      <c r="H1194" s="1" t="s">
        <v>410</v>
      </c>
    </row>
    <row r="1195" customFormat="false" ht="15" hidden="false" customHeight="false" outlineLevel="0" collapsed="false">
      <c r="A1195" s="1" t="s">
        <v>607</v>
      </c>
      <c r="B1195" s="1" t="s">
        <v>40</v>
      </c>
      <c r="C1195" s="1" t="s">
        <v>40</v>
      </c>
      <c r="D1195" s="1" t="s">
        <v>277</v>
      </c>
      <c r="E1195" s="73" t="n">
        <v>6280</v>
      </c>
      <c r="F1195" s="26" t="n">
        <v>0.129588764549698</v>
      </c>
      <c r="G1195" s="26" t="n">
        <v>813.817441</v>
      </c>
      <c r="H1195" s="1" t="s">
        <v>410</v>
      </c>
    </row>
    <row r="1196" customFormat="false" ht="15" hidden="false" customHeight="false" outlineLevel="0" collapsed="false">
      <c r="A1196" s="1" t="s">
        <v>607</v>
      </c>
      <c r="B1196" s="1" t="s">
        <v>40</v>
      </c>
      <c r="C1196" s="1" t="s">
        <v>40</v>
      </c>
      <c r="D1196" s="1" t="s">
        <v>274</v>
      </c>
      <c r="E1196" s="73" t="n">
        <v>14331</v>
      </c>
      <c r="F1196" s="26" t="n">
        <v>0.129588764549698</v>
      </c>
      <c r="G1196" s="26" t="n">
        <v>1857.136585</v>
      </c>
      <c r="H1196" s="1" t="s">
        <v>410</v>
      </c>
    </row>
    <row r="1197" customFormat="false" ht="15" hidden="false" customHeight="false" outlineLevel="0" collapsed="false">
      <c r="A1197" s="1" t="s">
        <v>607</v>
      </c>
      <c r="B1197" s="1" t="s">
        <v>40</v>
      </c>
      <c r="C1197" s="1" t="s">
        <v>40</v>
      </c>
      <c r="D1197" s="1" t="s">
        <v>283</v>
      </c>
      <c r="E1197" s="73" t="n">
        <v>3650</v>
      </c>
      <c r="F1197" s="26" t="n">
        <v>0.129588764549698</v>
      </c>
      <c r="G1197" s="26" t="n">
        <v>472.998991</v>
      </c>
      <c r="H1197" s="1" t="s">
        <v>410</v>
      </c>
    </row>
    <row r="1198" customFormat="false" ht="15" hidden="false" customHeight="false" outlineLevel="0" collapsed="false">
      <c r="A1198" s="1" t="s">
        <v>607</v>
      </c>
      <c r="B1198" s="1" t="s">
        <v>40</v>
      </c>
      <c r="C1198" s="1" t="s">
        <v>40</v>
      </c>
      <c r="D1198" s="1" t="s">
        <v>280</v>
      </c>
      <c r="E1198" s="73" t="n">
        <v>6396</v>
      </c>
      <c r="F1198" s="26" t="n">
        <v>0.129588764549698</v>
      </c>
      <c r="G1198" s="26" t="n">
        <v>828.849738</v>
      </c>
      <c r="H1198" s="1" t="s">
        <v>410</v>
      </c>
    </row>
    <row r="1199" customFormat="false" ht="15" hidden="false" customHeight="false" outlineLevel="0" collapsed="false">
      <c r="A1199" s="1" t="s">
        <v>607</v>
      </c>
      <c r="B1199" s="1" t="s">
        <v>40</v>
      </c>
      <c r="C1199" s="1" t="s">
        <v>40</v>
      </c>
      <c r="D1199" s="1" t="s">
        <v>275</v>
      </c>
      <c r="E1199" s="73" t="n">
        <v>4730</v>
      </c>
      <c r="F1199" s="26" t="n">
        <v>0.129588764549698</v>
      </c>
      <c r="G1199" s="26" t="n">
        <v>612.954856</v>
      </c>
      <c r="H1199" s="1" t="s">
        <v>410</v>
      </c>
    </row>
    <row r="1200" customFormat="false" ht="15" hidden="false" customHeight="false" outlineLevel="0" collapsed="false">
      <c r="A1200" s="1" t="s">
        <v>607</v>
      </c>
      <c r="B1200" s="1" t="s">
        <v>40</v>
      </c>
      <c r="C1200" s="1" t="s">
        <v>40</v>
      </c>
      <c r="D1200" s="1" t="s">
        <v>272</v>
      </c>
      <c r="E1200" s="73" t="n">
        <v>4782</v>
      </c>
      <c r="F1200" s="26" t="n">
        <v>0.129588764549698</v>
      </c>
      <c r="G1200" s="26" t="n">
        <v>619.693472</v>
      </c>
      <c r="H1200" s="1" t="s">
        <v>410</v>
      </c>
    </row>
    <row r="1201" customFormat="false" ht="15" hidden="false" customHeight="false" outlineLevel="0" collapsed="false">
      <c r="A1201" s="1" t="s">
        <v>617</v>
      </c>
      <c r="B1201" s="1" t="s">
        <v>40</v>
      </c>
      <c r="C1201" s="1" t="s">
        <v>40</v>
      </c>
      <c r="D1201" s="1" t="s">
        <v>277</v>
      </c>
      <c r="E1201" s="73" t="n">
        <v>6445</v>
      </c>
      <c r="F1201" s="26" t="n">
        <v>0.180505814199124</v>
      </c>
      <c r="G1201" s="26" t="n">
        <v>1163.359973</v>
      </c>
      <c r="H1201" s="1" t="s">
        <v>410</v>
      </c>
    </row>
    <row r="1202" customFormat="false" ht="15" hidden="false" customHeight="false" outlineLevel="0" collapsed="false">
      <c r="A1202" s="1" t="s">
        <v>617</v>
      </c>
      <c r="B1202" s="1" t="s">
        <v>40</v>
      </c>
      <c r="C1202" s="1" t="s">
        <v>40</v>
      </c>
      <c r="D1202" s="1" t="s">
        <v>274</v>
      </c>
      <c r="E1202" s="73" t="n">
        <v>14441</v>
      </c>
      <c r="F1202" s="26" t="n">
        <v>0.180505814199124</v>
      </c>
      <c r="G1202" s="26" t="n">
        <v>2606.684463</v>
      </c>
      <c r="H1202" s="1" t="s">
        <v>410</v>
      </c>
    </row>
    <row r="1203" customFormat="false" ht="15" hidden="false" customHeight="false" outlineLevel="0" collapsed="false">
      <c r="A1203" s="1" t="s">
        <v>617</v>
      </c>
      <c r="B1203" s="1" t="s">
        <v>40</v>
      </c>
      <c r="C1203" s="1" t="s">
        <v>40</v>
      </c>
      <c r="D1203" s="1" t="s">
        <v>283</v>
      </c>
      <c r="E1203" s="73" t="n">
        <v>3704</v>
      </c>
      <c r="F1203" s="26" t="n">
        <v>0.180505814199124</v>
      </c>
      <c r="G1203" s="26" t="n">
        <v>668.593536</v>
      </c>
      <c r="H1203" s="1" t="s">
        <v>410</v>
      </c>
    </row>
    <row r="1204" customFormat="false" ht="15" hidden="false" customHeight="false" outlineLevel="0" collapsed="false">
      <c r="A1204" s="1" t="s">
        <v>617</v>
      </c>
      <c r="B1204" s="1" t="s">
        <v>40</v>
      </c>
      <c r="C1204" s="1" t="s">
        <v>40</v>
      </c>
      <c r="D1204" s="1" t="s">
        <v>280</v>
      </c>
      <c r="E1204" s="73" t="n">
        <v>6434</v>
      </c>
      <c r="F1204" s="26" t="n">
        <v>0.180505814199124</v>
      </c>
      <c r="G1204" s="26" t="n">
        <v>1161.374409</v>
      </c>
      <c r="H1204" s="1" t="s">
        <v>410</v>
      </c>
    </row>
    <row r="1205" customFormat="false" ht="15" hidden="false" customHeight="false" outlineLevel="0" collapsed="false">
      <c r="A1205" s="1" t="s">
        <v>617</v>
      </c>
      <c r="B1205" s="1" t="s">
        <v>40</v>
      </c>
      <c r="C1205" s="1" t="s">
        <v>40</v>
      </c>
      <c r="D1205" s="1" t="s">
        <v>275</v>
      </c>
      <c r="E1205" s="73" t="n">
        <v>4749</v>
      </c>
      <c r="F1205" s="26" t="n">
        <v>0.180505814199124</v>
      </c>
      <c r="G1205" s="26" t="n">
        <v>857.222112</v>
      </c>
      <c r="H1205" s="1" t="s">
        <v>410</v>
      </c>
    </row>
    <row r="1206" customFormat="false" ht="15" hidden="false" customHeight="false" outlineLevel="0" collapsed="false">
      <c r="A1206" s="1" t="s">
        <v>617</v>
      </c>
      <c r="B1206" s="1" t="s">
        <v>40</v>
      </c>
      <c r="C1206" s="1" t="s">
        <v>40</v>
      </c>
      <c r="D1206" s="1" t="s">
        <v>272</v>
      </c>
      <c r="E1206" s="73" t="n">
        <v>4795</v>
      </c>
      <c r="F1206" s="26" t="n">
        <v>0.180505814199124</v>
      </c>
      <c r="G1206" s="26" t="n">
        <v>865.525379</v>
      </c>
      <c r="H1206" s="1" t="s">
        <v>410</v>
      </c>
    </row>
    <row r="1207" customFormat="false" ht="15" hidden="false" customHeight="false" outlineLevel="0" collapsed="false">
      <c r="A1207" s="1" t="s">
        <v>644</v>
      </c>
      <c r="B1207" s="1" t="s">
        <v>40</v>
      </c>
      <c r="C1207" s="1" t="s">
        <v>40</v>
      </c>
      <c r="D1207" s="1" t="s">
        <v>277</v>
      </c>
      <c r="E1207" s="73" t="n">
        <v>6588</v>
      </c>
      <c r="F1207" s="26" t="n">
        <v>0.169655906020616</v>
      </c>
      <c r="G1207" s="26" t="n">
        <v>1117.693109</v>
      </c>
      <c r="H1207" s="1" t="s">
        <v>410</v>
      </c>
    </row>
    <row r="1208" customFormat="false" ht="15" hidden="false" customHeight="false" outlineLevel="0" collapsed="false">
      <c r="A1208" s="1" t="s">
        <v>644</v>
      </c>
      <c r="B1208" s="1" t="s">
        <v>40</v>
      </c>
      <c r="C1208" s="1" t="s">
        <v>40</v>
      </c>
      <c r="D1208" s="1" t="s">
        <v>274</v>
      </c>
      <c r="E1208" s="73" t="n">
        <v>14689</v>
      </c>
      <c r="F1208" s="26" t="n">
        <v>0.169655906020616</v>
      </c>
      <c r="G1208" s="26" t="n">
        <v>2492.075604</v>
      </c>
      <c r="H1208" s="1" t="s">
        <v>410</v>
      </c>
    </row>
    <row r="1209" customFormat="false" ht="15" hidden="false" customHeight="false" outlineLevel="0" collapsed="false">
      <c r="A1209" s="1" t="s">
        <v>644</v>
      </c>
      <c r="B1209" s="1" t="s">
        <v>40</v>
      </c>
      <c r="C1209" s="1" t="s">
        <v>40</v>
      </c>
      <c r="D1209" s="1" t="s">
        <v>283</v>
      </c>
      <c r="E1209" s="73" t="n">
        <v>3765</v>
      </c>
      <c r="F1209" s="26" t="n">
        <v>0.169655906020616</v>
      </c>
      <c r="G1209" s="26" t="n">
        <v>638.754486</v>
      </c>
      <c r="H1209" s="1" t="s">
        <v>410</v>
      </c>
    </row>
    <row r="1210" customFormat="false" ht="15" hidden="false" customHeight="false" outlineLevel="0" collapsed="false">
      <c r="A1210" s="1" t="s">
        <v>644</v>
      </c>
      <c r="B1210" s="1" t="s">
        <v>40</v>
      </c>
      <c r="C1210" s="1" t="s">
        <v>40</v>
      </c>
      <c r="D1210" s="1" t="s">
        <v>280</v>
      </c>
      <c r="E1210" s="73" t="n">
        <v>6568</v>
      </c>
      <c r="F1210" s="26" t="n">
        <v>0.169655906020616</v>
      </c>
      <c r="G1210" s="26" t="n">
        <v>1114.299991</v>
      </c>
      <c r="H1210" s="1" t="s">
        <v>410</v>
      </c>
    </row>
    <row r="1211" customFormat="false" ht="15" hidden="false" customHeight="false" outlineLevel="0" collapsed="false">
      <c r="A1211" s="1" t="s">
        <v>644</v>
      </c>
      <c r="B1211" s="1" t="s">
        <v>40</v>
      </c>
      <c r="C1211" s="1" t="s">
        <v>40</v>
      </c>
      <c r="D1211" s="1" t="s">
        <v>275</v>
      </c>
      <c r="E1211" s="73" t="n">
        <v>4805</v>
      </c>
      <c r="F1211" s="26" t="n">
        <v>0.169655906020616</v>
      </c>
      <c r="G1211" s="26" t="n">
        <v>815.196628</v>
      </c>
      <c r="H1211" s="1" t="s">
        <v>410</v>
      </c>
    </row>
    <row r="1212" customFormat="false" ht="15" hidden="false" customHeight="false" outlineLevel="0" collapsed="false">
      <c r="A1212" s="1" t="s">
        <v>644</v>
      </c>
      <c r="B1212" s="1" t="s">
        <v>40</v>
      </c>
      <c r="C1212" s="1" t="s">
        <v>40</v>
      </c>
      <c r="D1212" s="1" t="s">
        <v>272</v>
      </c>
      <c r="E1212" s="73" t="n">
        <v>4806</v>
      </c>
      <c r="F1212" s="26" t="n">
        <v>0.169655906020616</v>
      </c>
      <c r="G1212" s="26" t="n">
        <v>815.366284</v>
      </c>
      <c r="H1212" s="1" t="s">
        <v>410</v>
      </c>
    </row>
    <row r="1213" customFormat="false" ht="15" hidden="false" customHeight="false" outlineLevel="0" collapsed="false">
      <c r="A1213" s="1" t="s">
        <v>607</v>
      </c>
      <c r="B1213" s="1" t="s">
        <v>87</v>
      </c>
      <c r="C1213" s="1" t="s">
        <v>666</v>
      </c>
      <c r="D1213" s="1" t="s">
        <v>277</v>
      </c>
      <c r="E1213" s="73" t="n">
        <v>6280</v>
      </c>
      <c r="F1213" s="26" t="n">
        <v>0.148830177998923</v>
      </c>
      <c r="G1213" s="26" t="n">
        <v>934.653518</v>
      </c>
      <c r="H1213" s="1" t="s">
        <v>410</v>
      </c>
    </row>
    <row r="1214" customFormat="false" ht="15" hidden="false" customHeight="false" outlineLevel="0" collapsed="false">
      <c r="A1214" s="1" t="s">
        <v>607</v>
      </c>
      <c r="B1214" s="1" t="s">
        <v>87</v>
      </c>
      <c r="C1214" s="1" t="s">
        <v>666</v>
      </c>
      <c r="D1214" s="1" t="s">
        <v>279</v>
      </c>
      <c r="E1214" s="73" t="n">
        <v>13402</v>
      </c>
      <c r="F1214" s="26" t="n">
        <v>0.148830177998923</v>
      </c>
      <c r="G1214" s="26" t="n">
        <v>1994.622046</v>
      </c>
      <c r="H1214" s="1" t="s">
        <v>410</v>
      </c>
    </row>
    <row r="1215" customFormat="false" ht="15" hidden="false" customHeight="false" outlineLevel="0" collapsed="false">
      <c r="A1215" s="1" t="s">
        <v>607</v>
      </c>
      <c r="B1215" s="1" t="s">
        <v>87</v>
      </c>
      <c r="C1215" s="1" t="s">
        <v>666</v>
      </c>
      <c r="D1215" s="1" t="s">
        <v>274</v>
      </c>
      <c r="E1215" s="73" t="n">
        <v>14331</v>
      </c>
      <c r="F1215" s="26" t="n">
        <v>0.148830177998923</v>
      </c>
      <c r="G1215" s="26" t="n">
        <v>2132.885281</v>
      </c>
      <c r="H1215" s="1" t="s">
        <v>410</v>
      </c>
    </row>
    <row r="1216" customFormat="false" ht="15" hidden="false" customHeight="false" outlineLevel="0" collapsed="false">
      <c r="A1216" s="1" t="s">
        <v>607</v>
      </c>
      <c r="B1216" s="1" t="s">
        <v>87</v>
      </c>
      <c r="C1216" s="1" t="s">
        <v>666</v>
      </c>
      <c r="D1216" s="1" t="s">
        <v>283</v>
      </c>
      <c r="E1216" s="73" t="n">
        <v>3650</v>
      </c>
      <c r="F1216" s="26" t="n">
        <v>0.148830177998923</v>
      </c>
      <c r="G1216" s="26" t="n">
        <v>543.23015</v>
      </c>
      <c r="H1216" s="1" t="s">
        <v>410</v>
      </c>
    </row>
    <row r="1217" customFormat="false" ht="15" hidden="false" customHeight="false" outlineLevel="0" collapsed="false">
      <c r="A1217" s="1" t="s">
        <v>607</v>
      </c>
      <c r="B1217" s="1" t="s">
        <v>87</v>
      </c>
      <c r="C1217" s="1" t="s">
        <v>666</v>
      </c>
      <c r="D1217" s="1" t="s">
        <v>280</v>
      </c>
      <c r="E1217" s="73" t="n">
        <v>6396</v>
      </c>
      <c r="F1217" s="26" t="n">
        <v>0.148830177998923</v>
      </c>
      <c r="G1217" s="26" t="n">
        <v>951.917818</v>
      </c>
      <c r="H1217" s="1" t="s">
        <v>410</v>
      </c>
    </row>
    <row r="1218" customFormat="false" ht="15" hidden="false" customHeight="false" outlineLevel="0" collapsed="false">
      <c r="A1218" s="1" t="s">
        <v>607</v>
      </c>
      <c r="B1218" s="1" t="s">
        <v>87</v>
      </c>
      <c r="C1218" s="1" t="s">
        <v>666</v>
      </c>
      <c r="D1218" s="1" t="s">
        <v>275</v>
      </c>
      <c r="E1218" s="73" t="n">
        <v>4730</v>
      </c>
      <c r="F1218" s="26" t="n">
        <v>0.148830177998923</v>
      </c>
      <c r="G1218" s="26" t="n">
        <v>703.966742</v>
      </c>
      <c r="H1218" s="1" t="s">
        <v>410</v>
      </c>
    </row>
    <row r="1219" customFormat="false" ht="15" hidden="false" customHeight="false" outlineLevel="0" collapsed="false">
      <c r="A1219" s="1" t="s">
        <v>607</v>
      </c>
      <c r="B1219" s="1" t="s">
        <v>87</v>
      </c>
      <c r="C1219" s="1" t="s">
        <v>666</v>
      </c>
      <c r="D1219" s="1" t="s">
        <v>272</v>
      </c>
      <c r="E1219" s="73" t="n">
        <v>4782</v>
      </c>
      <c r="F1219" s="26" t="n">
        <v>0.148830177998923</v>
      </c>
      <c r="G1219" s="26" t="n">
        <v>711.705911</v>
      </c>
      <c r="H1219" s="1" t="s">
        <v>410</v>
      </c>
    </row>
    <row r="1220" customFormat="false" ht="15" hidden="false" customHeight="false" outlineLevel="0" collapsed="false">
      <c r="A1220" s="1" t="s">
        <v>617</v>
      </c>
      <c r="B1220" s="1" t="s">
        <v>87</v>
      </c>
      <c r="C1220" s="1" t="s">
        <v>666</v>
      </c>
      <c r="D1220" s="1" t="s">
        <v>277</v>
      </c>
      <c r="E1220" s="73" t="n">
        <v>6445</v>
      </c>
      <c r="F1220" s="26" t="n">
        <v>0.165505113968682</v>
      </c>
      <c r="G1220" s="26" t="n">
        <v>1066.68046</v>
      </c>
      <c r="H1220" s="1" t="s">
        <v>410</v>
      </c>
    </row>
    <row r="1221" customFormat="false" ht="15" hidden="false" customHeight="false" outlineLevel="0" collapsed="false">
      <c r="A1221" s="1" t="s">
        <v>617</v>
      </c>
      <c r="B1221" s="1" t="s">
        <v>87</v>
      </c>
      <c r="C1221" s="1" t="s">
        <v>666</v>
      </c>
      <c r="D1221" s="1" t="s">
        <v>279</v>
      </c>
      <c r="E1221" s="73" t="n">
        <v>13418</v>
      </c>
      <c r="F1221" s="26" t="n">
        <v>0.165505113968682</v>
      </c>
      <c r="G1221" s="26" t="n">
        <v>2220.747619</v>
      </c>
      <c r="H1221" s="1" t="s">
        <v>410</v>
      </c>
    </row>
    <row r="1222" customFormat="false" ht="15" hidden="false" customHeight="false" outlineLevel="0" collapsed="false">
      <c r="A1222" s="1" t="s">
        <v>617</v>
      </c>
      <c r="B1222" s="1" t="s">
        <v>87</v>
      </c>
      <c r="C1222" s="1" t="s">
        <v>666</v>
      </c>
      <c r="D1222" s="1" t="s">
        <v>274</v>
      </c>
      <c r="E1222" s="73" t="n">
        <v>14441</v>
      </c>
      <c r="F1222" s="26" t="n">
        <v>0.165505113968682</v>
      </c>
      <c r="G1222" s="26" t="n">
        <v>2390.059351</v>
      </c>
      <c r="H1222" s="1" t="s">
        <v>410</v>
      </c>
    </row>
    <row r="1223" customFormat="false" ht="15" hidden="false" customHeight="false" outlineLevel="0" collapsed="false">
      <c r="A1223" s="1" t="s">
        <v>617</v>
      </c>
      <c r="B1223" s="1" t="s">
        <v>87</v>
      </c>
      <c r="C1223" s="1" t="s">
        <v>666</v>
      </c>
      <c r="D1223" s="1" t="s">
        <v>283</v>
      </c>
      <c r="E1223" s="73" t="n">
        <v>3704</v>
      </c>
      <c r="F1223" s="26" t="n">
        <v>0.165505113968682</v>
      </c>
      <c r="G1223" s="26" t="n">
        <v>613.030942</v>
      </c>
      <c r="H1223" s="1" t="s">
        <v>410</v>
      </c>
    </row>
    <row r="1224" customFormat="false" ht="15" hidden="false" customHeight="false" outlineLevel="0" collapsed="false">
      <c r="A1224" s="1" t="s">
        <v>617</v>
      </c>
      <c r="B1224" s="1" t="s">
        <v>87</v>
      </c>
      <c r="C1224" s="1" t="s">
        <v>666</v>
      </c>
      <c r="D1224" s="1" t="s">
        <v>280</v>
      </c>
      <c r="E1224" s="73" t="n">
        <v>6434</v>
      </c>
      <c r="F1224" s="26" t="n">
        <v>0.165505113968682</v>
      </c>
      <c r="G1224" s="26" t="n">
        <v>1064.859903</v>
      </c>
      <c r="H1224" s="1" t="s">
        <v>410</v>
      </c>
    </row>
    <row r="1225" customFormat="false" ht="15" hidden="false" customHeight="false" outlineLevel="0" collapsed="false">
      <c r="A1225" s="1" t="s">
        <v>617</v>
      </c>
      <c r="B1225" s="1" t="s">
        <v>87</v>
      </c>
      <c r="C1225" s="1" t="s">
        <v>666</v>
      </c>
      <c r="D1225" s="1" t="s">
        <v>275</v>
      </c>
      <c r="E1225" s="73" t="n">
        <v>4749</v>
      </c>
      <c r="F1225" s="26" t="n">
        <v>0.165505113968682</v>
      </c>
      <c r="G1225" s="26" t="n">
        <v>785.983786</v>
      </c>
      <c r="H1225" s="1" t="s">
        <v>410</v>
      </c>
    </row>
    <row r="1226" customFormat="false" ht="15" hidden="false" customHeight="false" outlineLevel="0" collapsed="false">
      <c r="A1226" s="1" t="s">
        <v>617</v>
      </c>
      <c r="B1226" s="1" t="s">
        <v>87</v>
      </c>
      <c r="C1226" s="1" t="s">
        <v>666</v>
      </c>
      <c r="D1226" s="1" t="s">
        <v>272</v>
      </c>
      <c r="E1226" s="73" t="n">
        <v>4795</v>
      </c>
      <c r="F1226" s="26" t="n">
        <v>0.165505113968682</v>
      </c>
      <c r="G1226" s="26" t="n">
        <v>793.597021</v>
      </c>
      <c r="H1226" s="1" t="s">
        <v>410</v>
      </c>
    </row>
    <row r="1227" customFormat="false" ht="15" hidden="false" customHeight="false" outlineLevel="0" collapsed="false">
      <c r="A1227" s="1" t="s">
        <v>644</v>
      </c>
      <c r="B1227" s="1" t="s">
        <v>87</v>
      </c>
      <c r="C1227" s="1" t="s">
        <v>666</v>
      </c>
      <c r="D1227" s="1" t="s">
        <v>277</v>
      </c>
      <c r="E1227" s="73" t="n">
        <v>6588</v>
      </c>
      <c r="F1227" s="26" t="n">
        <v>0.170974700825347</v>
      </c>
      <c r="G1227" s="26" t="n">
        <v>1126.381329</v>
      </c>
      <c r="H1227" s="1" t="s">
        <v>410</v>
      </c>
    </row>
    <row r="1228" customFormat="false" ht="15" hidden="false" customHeight="false" outlineLevel="0" collapsed="false">
      <c r="A1228" s="1" t="s">
        <v>644</v>
      </c>
      <c r="B1228" s="1" t="s">
        <v>87</v>
      </c>
      <c r="C1228" s="1" t="s">
        <v>666</v>
      </c>
      <c r="D1228" s="1" t="s">
        <v>279</v>
      </c>
      <c r="E1228" s="73" t="n">
        <v>13530</v>
      </c>
      <c r="F1228" s="26" t="n">
        <v>0.170974700825347</v>
      </c>
      <c r="G1228" s="26" t="n">
        <v>2313.287702</v>
      </c>
      <c r="H1228" s="1" t="s">
        <v>410</v>
      </c>
    </row>
    <row r="1229" customFormat="false" ht="15" hidden="false" customHeight="false" outlineLevel="0" collapsed="false">
      <c r="A1229" s="1" t="s">
        <v>644</v>
      </c>
      <c r="B1229" s="1" t="s">
        <v>87</v>
      </c>
      <c r="C1229" s="1" t="s">
        <v>666</v>
      </c>
      <c r="D1229" s="1" t="s">
        <v>274</v>
      </c>
      <c r="E1229" s="73" t="n">
        <v>14689</v>
      </c>
      <c r="F1229" s="26" t="n">
        <v>0.170974700825347</v>
      </c>
      <c r="G1229" s="26" t="n">
        <v>2511.44738</v>
      </c>
      <c r="H1229" s="1" t="s">
        <v>410</v>
      </c>
    </row>
    <row r="1230" customFormat="false" ht="15" hidden="false" customHeight="false" outlineLevel="0" collapsed="false">
      <c r="A1230" s="1" t="s">
        <v>644</v>
      </c>
      <c r="B1230" s="1" t="s">
        <v>87</v>
      </c>
      <c r="C1230" s="1" t="s">
        <v>666</v>
      </c>
      <c r="D1230" s="1" t="s">
        <v>283</v>
      </c>
      <c r="E1230" s="73" t="n">
        <v>3765</v>
      </c>
      <c r="F1230" s="26" t="n">
        <v>0.170974700825347</v>
      </c>
      <c r="G1230" s="26" t="n">
        <v>643.719749</v>
      </c>
      <c r="H1230" s="1" t="s">
        <v>410</v>
      </c>
    </row>
    <row r="1231" customFormat="false" ht="15" hidden="false" customHeight="false" outlineLevel="0" collapsed="false">
      <c r="A1231" s="1" t="s">
        <v>644</v>
      </c>
      <c r="B1231" s="1" t="s">
        <v>87</v>
      </c>
      <c r="C1231" s="1" t="s">
        <v>666</v>
      </c>
      <c r="D1231" s="1" t="s">
        <v>280</v>
      </c>
      <c r="E1231" s="73" t="n">
        <v>6568</v>
      </c>
      <c r="F1231" s="26" t="n">
        <v>0.170974700825347</v>
      </c>
      <c r="G1231" s="26" t="n">
        <v>1122.961835</v>
      </c>
      <c r="H1231" s="1" t="s">
        <v>410</v>
      </c>
    </row>
    <row r="1232" customFormat="false" ht="15" hidden="false" customHeight="false" outlineLevel="0" collapsed="false">
      <c r="A1232" s="1" t="s">
        <v>644</v>
      </c>
      <c r="B1232" s="1" t="s">
        <v>87</v>
      </c>
      <c r="C1232" s="1" t="s">
        <v>666</v>
      </c>
      <c r="D1232" s="1" t="s">
        <v>275</v>
      </c>
      <c r="E1232" s="73" t="n">
        <v>4805</v>
      </c>
      <c r="F1232" s="26" t="n">
        <v>0.170974700825347</v>
      </c>
      <c r="G1232" s="26" t="n">
        <v>821.533437</v>
      </c>
      <c r="H1232" s="1" t="s">
        <v>410</v>
      </c>
    </row>
    <row r="1233" customFormat="false" ht="15" hidden="false" customHeight="false" outlineLevel="0" collapsed="false">
      <c r="A1233" s="1" t="s">
        <v>644</v>
      </c>
      <c r="B1233" s="1" t="s">
        <v>87</v>
      </c>
      <c r="C1233" s="1" t="s">
        <v>666</v>
      </c>
      <c r="D1233" s="1" t="s">
        <v>272</v>
      </c>
      <c r="E1233" s="73" t="n">
        <v>4806</v>
      </c>
      <c r="F1233" s="26" t="n">
        <v>0.170974700825347</v>
      </c>
      <c r="G1233" s="26" t="n">
        <v>821.704412</v>
      </c>
      <c r="H1233" s="1" t="s">
        <v>410</v>
      </c>
    </row>
    <row r="1234" customFormat="false" ht="15" hidden="false" customHeight="false" outlineLevel="0" collapsed="false">
      <c r="A1234" s="1" t="s">
        <v>607</v>
      </c>
      <c r="B1234" s="1" t="s">
        <v>85</v>
      </c>
      <c r="C1234" s="1" t="s">
        <v>667</v>
      </c>
      <c r="D1234" s="1" t="s">
        <v>277</v>
      </c>
      <c r="E1234" s="73" t="n">
        <v>6280</v>
      </c>
      <c r="F1234" s="26" t="n">
        <v>0.319464004034977</v>
      </c>
      <c r="G1234" s="26" t="n">
        <v>2006.233945</v>
      </c>
      <c r="H1234" s="1" t="s">
        <v>410</v>
      </c>
    </row>
    <row r="1235" customFormat="false" ht="15" hidden="false" customHeight="false" outlineLevel="0" collapsed="false">
      <c r="A1235" s="1" t="s">
        <v>607</v>
      </c>
      <c r="B1235" s="1" t="s">
        <v>85</v>
      </c>
      <c r="C1235" s="1" t="s">
        <v>667</v>
      </c>
      <c r="D1235" s="1" t="s">
        <v>279</v>
      </c>
      <c r="E1235" s="73" t="n">
        <v>13402</v>
      </c>
      <c r="F1235" s="26" t="n">
        <v>0.319464004034977</v>
      </c>
      <c r="G1235" s="26" t="n">
        <v>4281.456582</v>
      </c>
      <c r="H1235" s="1" t="s">
        <v>410</v>
      </c>
    </row>
    <row r="1236" customFormat="false" ht="15" hidden="false" customHeight="false" outlineLevel="0" collapsed="false">
      <c r="A1236" s="1" t="s">
        <v>607</v>
      </c>
      <c r="B1236" s="1" t="s">
        <v>85</v>
      </c>
      <c r="C1236" s="1" t="s">
        <v>667</v>
      </c>
      <c r="D1236" s="1" t="s">
        <v>274</v>
      </c>
      <c r="E1236" s="73" t="n">
        <v>14331</v>
      </c>
      <c r="F1236" s="26" t="n">
        <v>0.319464004034977</v>
      </c>
      <c r="G1236" s="26" t="n">
        <v>4578.238642</v>
      </c>
      <c r="H1236" s="1" t="s">
        <v>410</v>
      </c>
    </row>
    <row r="1237" customFormat="false" ht="15" hidden="false" customHeight="false" outlineLevel="0" collapsed="false">
      <c r="A1237" s="1" t="s">
        <v>607</v>
      </c>
      <c r="B1237" s="1" t="s">
        <v>85</v>
      </c>
      <c r="C1237" s="1" t="s">
        <v>667</v>
      </c>
      <c r="D1237" s="1" t="s">
        <v>283</v>
      </c>
      <c r="E1237" s="73" t="n">
        <v>3650</v>
      </c>
      <c r="F1237" s="26" t="n">
        <v>0.319464004034977</v>
      </c>
      <c r="G1237" s="26" t="n">
        <v>1166.043615</v>
      </c>
      <c r="H1237" s="1" t="s">
        <v>410</v>
      </c>
    </row>
    <row r="1238" customFormat="false" ht="15" hidden="false" customHeight="false" outlineLevel="0" collapsed="false">
      <c r="A1238" s="1" t="s">
        <v>607</v>
      </c>
      <c r="B1238" s="1" t="s">
        <v>85</v>
      </c>
      <c r="C1238" s="1" t="s">
        <v>667</v>
      </c>
      <c r="D1238" s="1" t="s">
        <v>280</v>
      </c>
      <c r="E1238" s="73" t="n">
        <v>6396</v>
      </c>
      <c r="F1238" s="26" t="n">
        <v>0.319464004034977</v>
      </c>
      <c r="G1238" s="26" t="n">
        <v>2043.29177</v>
      </c>
      <c r="H1238" s="1" t="s">
        <v>410</v>
      </c>
    </row>
    <row r="1239" customFormat="false" ht="15" hidden="false" customHeight="false" outlineLevel="0" collapsed="false">
      <c r="A1239" s="1" t="s">
        <v>607</v>
      </c>
      <c r="B1239" s="1" t="s">
        <v>85</v>
      </c>
      <c r="C1239" s="1" t="s">
        <v>667</v>
      </c>
      <c r="D1239" s="1" t="s">
        <v>275</v>
      </c>
      <c r="E1239" s="73" t="n">
        <v>4730</v>
      </c>
      <c r="F1239" s="26" t="n">
        <v>0.319464004034977</v>
      </c>
      <c r="G1239" s="26" t="n">
        <v>1511.064739</v>
      </c>
      <c r="H1239" s="1" t="s">
        <v>410</v>
      </c>
    </row>
    <row r="1240" customFormat="false" ht="15" hidden="false" customHeight="false" outlineLevel="0" collapsed="false">
      <c r="A1240" s="1" t="s">
        <v>607</v>
      </c>
      <c r="B1240" s="1" t="s">
        <v>85</v>
      </c>
      <c r="C1240" s="1" t="s">
        <v>667</v>
      </c>
      <c r="D1240" s="1" t="s">
        <v>272</v>
      </c>
      <c r="E1240" s="73" t="n">
        <v>4782</v>
      </c>
      <c r="F1240" s="26" t="n">
        <v>0.319464004034977</v>
      </c>
      <c r="G1240" s="26" t="n">
        <v>1527.676867</v>
      </c>
      <c r="H1240" s="1" t="s">
        <v>410</v>
      </c>
    </row>
    <row r="1241" customFormat="false" ht="15" hidden="false" customHeight="false" outlineLevel="0" collapsed="false">
      <c r="A1241" s="1" t="s">
        <v>617</v>
      </c>
      <c r="B1241" s="1" t="s">
        <v>85</v>
      </c>
      <c r="C1241" s="1" t="s">
        <v>667</v>
      </c>
      <c r="D1241" s="1" t="s">
        <v>277</v>
      </c>
      <c r="E1241" s="73" t="n">
        <v>6445</v>
      </c>
      <c r="F1241" s="26" t="n">
        <v>0.293099708996474</v>
      </c>
      <c r="G1241" s="26" t="n">
        <v>1889.027624</v>
      </c>
      <c r="H1241" s="1" t="s">
        <v>410</v>
      </c>
    </row>
    <row r="1242" customFormat="false" ht="15" hidden="false" customHeight="false" outlineLevel="0" collapsed="false">
      <c r="A1242" s="1" t="s">
        <v>617</v>
      </c>
      <c r="B1242" s="1" t="s">
        <v>85</v>
      </c>
      <c r="C1242" s="1" t="s">
        <v>667</v>
      </c>
      <c r="D1242" s="1" t="s">
        <v>279</v>
      </c>
      <c r="E1242" s="73" t="n">
        <v>13418</v>
      </c>
      <c r="F1242" s="26" t="n">
        <v>0.293099708996474</v>
      </c>
      <c r="G1242" s="26" t="n">
        <v>3932.811895</v>
      </c>
      <c r="H1242" s="1" t="s">
        <v>410</v>
      </c>
    </row>
    <row r="1243" customFormat="false" ht="15" hidden="false" customHeight="false" outlineLevel="0" collapsed="false">
      <c r="A1243" s="1" t="s">
        <v>617</v>
      </c>
      <c r="B1243" s="1" t="s">
        <v>85</v>
      </c>
      <c r="C1243" s="1" t="s">
        <v>667</v>
      </c>
      <c r="D1243" s="1" t="s">
        <v>274</v>
      </c>
      <c r="E1243" s="73" t="n">
        <v>14441</v>
      </c>
      <c r="F1243" s="26" t="n">
        <v>0.293099708996474</v>
      </c>
      <c r="G1243" s="26" t="n">
        <v>4232.652898</v>
      </c>
      <c r="H1243" s="1" t="s">
        <v>410</v>
      </c>
    </row>
    <row r="1244" customFormat="false" ht="15" hidden="false" customHeight="false" outlineLevel="0" collapsed="false">
      <c r="A1244" s="1" t="s">
        <v>617</v>
      </c>
      <c r="B1244" s="1" t="s">
        <v>85</v>
      </c>
      <c r="C1244" s="1" t="s">
        <v>667</v>
      </c>
      <c r="D1244" s="1" t="s">
        <v>283</v>
      </c>
      <c r="E1244" s="73" t="n">
        <v>3704</v>
      </c>
      <c r="F1244" s="26" t="n">
        <v>0.293099708996474</v>
      </c>
      <c r="G1244" s="26" t="n">
        <v>1085.641322</v>
      </c>
      <c r="H1244" s="1" t="s">
        <v>410</v>
      </c>
    </row>
    <row r="1245" customFormat="false" ht="15" hidden="false" customHeight="false" outlineLevel="0" collapsed="false">
      <c r="A1245" s="1" t="s">
        <v>617</v>
      </c>
      <c r="B1245" s="1" t="s">
        <v>85</v>
      </c>
      <c r="C1245" s="1" t="s">
        <v>667</v>
      </c>
      <c r="D1245" s="1" t="s">
        <v>280</v>
      </c>
      <c r="E1245" s="73" t="n">
        <v>6434</v>
      </c>
      <c r="F1245" s="26" t="n">
        <v>0.293099708996474</v>
      </c>
      <c r="G1245" s="26" t="n">
        <v>1885.803528</v>
      </c>
      <c r="H1245" s="1" t="s">
        <v>410</v>
      </c>
    </row>
    <row r="1246" customFormat="false" ht="15" hidden="false" customHeight="false" outlineLevel="0" collapsed="false">
      <c r="A1246" s="1" t="s">
        <v>617</v>
      </c>
      <c r="B1246" s="1" t="s">
        <v>85</v>
      </c>
      <c r="C1246" s="1" t="s">
        <v>667</v>
      </c>
      <c r="D1246" s="1" t="s">
        <v>275</v>
      </c>
      <c r="E1246" s="73" t="n">
        <v>4749</v>
      </c>
      <c r="F1246" s="26" t="n">
        <v>0.293099708996474</v>
      </c>
      <c r="G1246" s="26" t="n">
        <v>1391.930518</v>
      </c>
      <c r="H1246" s="1" t="s">
        <v>410</v>
      </c>
    </row>
    <row r="1247" customFormat="false" ht="15" hidden="false" customHeight="false" outlineLevel="0" collapsed="false">
      <c r="A1247" s="1" t="s">
        <v>617</v>
      </c>
      <c r="B1247" s="1" t="s">
        <v>85</v>
      </c>
      <c r="C1247" s="1" t="s">
        <v>667</v>
      </c>
      <c r="D1247" s="1" t="s">
        <v>272</v>
      </c>
      <c r="E1247" s="73" t="n">
        <v>4795</v>
      </c>
      <c r="F1247" s="26" t="n">
        <v>0.293099708996474</v>
      </c>
      <c r="G1247" s="26" t="n">
        <v>1405.413105</v>
      </c>
      <c r="H1247" s="1" t="s">
        <v>410</v>
      </c>
    </row>
    <row r="1248" customFormat="false" ht="15" hidden="false" customHeight="false" outlineLevel="0" collapsed="false">
      <c r="A1248" s="1" t="s">
        <v>644</v>
      </c>
      <c r="B1248" s="1" t="s">
        <v>85</v>
      </c>
      <c r="C1248" s="1" t="s">
        <v>667</v>
      </c>
      <c r="D1248" s="1" t="s">
        <v>277</v>
      </c>
      <c r="E1248" s="73" t="n">
        <v>6588</v>
      </c>
      <c r="F1248" s="26" t="n">
        <v>0.299382438917867</v>
      </c>
      <c r="G1248" s="26" t="n">
        <v>1972.331508</v>
      </c>
      <c r="H1248" s="1" t="s">
        <v>410</v>
      </c>
    </row>
    <row r="1249" customFormat="false" ht="15" hidden="false" customHeight="false" outlineLevel="0" collapsed="false">
      <c r="A1249" s="1" t="s">
        <v>644</v>
      </c>
      <c r="B1249" s="1" t="s">
        <v>85</v>
      </c>
      <c r="C1249" s="1" t="s">
        <v>667</v>
      </c>
      <c r="D1249" s="1" t="s">
        <v>279</v>
      </c>
      <c r="E1249" s="73" t="n">
        <v>13530</v>
      </c>
      <c r="F1249" s="26" t="n">
        <v>0.299382438917867</v>
      </c>
      <c r="G1249" s="26" t="n">
        <v>4050.644399</v>
      </c>
      <c r="H1249" s="1" t="s">
        <v>410</v>
      </c>
    </row>
    <row r="1250" customFormat="false" ht="15" hidden="false" customHeight="false" outlineLevel="0" collapsed="false">
      <c r="A1250" s="1" t="s">
        <v>644</v>
      </c>
      <c r="B1250" s="1" t="s">
        <v>85</v>
      </c>
      <c r="C1250" s="1" t="s">
        <v>667</v>
      </c>
      <c r="D1250" s="1" t="s">
        <v>274</v>
      </c>
      <c r="E1250" s="73" t="n">
        <v>14689</v>
      </c>
      <c r="F1250" s="26" t="n">
        <v>0.299382438917867</v>
      </c>
      <c r="G1250" s="26" t="n">
        <v>4397.628645</v>
      </c>
      <c r="H1250" s="1" t="s">
        <v>410</v>
      </c>
    </row>
    <row r="1251" customFormat="false" ht="15" hidden="false" customHeight="false" outlineLevel="0" collapsed="false">
      <c r="A1251" s="1" t="s">
        <v>644</v>
      </c>
      <c r="B1251" s="1" t="s">
        <v>85</v>
      </c>
      <c r="C1251" s="1" t="s">
        <v>667</v>
      </c>
      <c r="D1251" s="1" t="s">
        <v>283</v>
      </c>
      <c r="E1251" s="73" t="n">
        <v>3765</v>
      </c>
      <c r="F1251" s="26" t="n">
        <v>0.299382438917867</v>
      </c>
      <c r="G1251" s="26" t="n">
        <v>1127.174883</v>
      </c>
      <c r="H1251" s="1" t="s">
        <v>410</v>
      </c>
    </row>
    <row r="1252" customFormat="false" ht="15" hidden="false" customHeight="false" outlineLevel="0" collapsed="false">
      <c r="A1252" s="1" t="s">
        <v>644</v>
      </c>
      <c r="B1252" s="1" t="s">
        <v>85</v>
      </c>
      <c r="C1252" s="1" t="s">
        <v>667</v>
      </c>
      <c r="D1252" s="1" t="s">
        <v>280</v>
      </c>
      <c r="E1252" s="73" t="n">
        <v>6568</v>
      </c>
      <c r="F1252" s="26" t="n">
        <v>0.299382438917867</v>
      </c>
      <c r="G1252" s="26" t="n">
        <v>1966.343859</v>
      </c>
      <c r="H1252" s="1" t="s">
        <v>410</v>
      </c>
    </row>
    <row r="1253" customFormat="false" ht="15" hidden="false" customHeight="false" outlineLevel="0" collapsed="false">
      <c r="A1253" s="1" t="s">
        <v>644</v>
      </c>
      <c r="B1253" s="1" t="s">
        <v>85</v>
      </c>
      <c r="C1253" s="1" t="s">
        <v>667</v>
      </c>
      <c r="D1253" s="1" t="s">
        <v>275</v>
      </c>
      <c r="E1253" s="73" t="n">
        <v>4805</v>
      </c>
      <c r="F1253" s="26" t="n">
        <v>0.299382438917867</v>
      </c>
      <c r="G1253" s="26" t="n">
        <v>1438.532619</v>
      </c>
      <c r="H1253" s="1" t="s">
        <v>410</v>
      </c>
    </row>
    <row r="1254" customFormat="false" ht="15" hidden="false" customHeight="false" outlineLevel="0" collapsed="false">
      <c r="A1254" s="1" t="s">
        <v>644</v>
      </c>
      <c r="B1254" s="1" t="s">
        <v>85</v>
      </c>
      <c r="C1254" s="1" t="s">
        <v>667</v>
      </c>
      <c r="D1254" s="1" t="s">
        <v>272</v>
      </c>
      <c r="E1254" s="73" t="n">
        <v>4806</v>
      </c>
      <c r="F1254" s="26" t="n">
        <v>0.299382438917867</v>
      </c>
      <c r="G1254" s="26" t="n">
        <v>1438.832001</v>
      </c>
      <c r="H1254" s="1" t="s">
        <v>410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2026-09-01T20:07:41Z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