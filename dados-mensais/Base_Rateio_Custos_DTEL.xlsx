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<sst xmlns="http://schemas.openxmlformats.org/spreadsheetml/2006/main" count="12037" uniqueCount="353">
  <si>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</si>
  <si>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</si>
  <si>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</si>
  <si>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</si>
  <si>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</si>
  <si>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</si>
  <si>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</si>
  <si>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</si>
  <si>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</si>
  <si>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</si>
  <si>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</si>
  <si>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</si>
  <si>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</si>
  <si>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</si>
  <si>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</si>
  <si>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</si>
  <si>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</si>
  <si>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</si>
  <si>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</si>
  <si>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</si>
  <si>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</si>
  <si>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</si>
  <si>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</si>
  <si>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</si>
  <si>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</si>
  <si>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</si>
  <si>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</si>
  <si>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</si>
  <si>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</si>
  <si>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</si>
  <si>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</si>
  <si>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</si>
  <si>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</si>
  <si>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</si>
  <si>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</si>
  <si>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</si>
  <si>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</si>
  <si>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</si>
  <si>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</si>
  <si>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</si>
  <si>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</si>
  <si>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</si>
  <si>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</si>
  <si>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</si>
  <si>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</si>
  <si>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</si>
  <si>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</si>
  <si>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</si>
  <si>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</si>
  <si>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</si>
  <si>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</si>
  <si>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</si>
  <si>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</si>
  <si>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</si>
  <si>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</si>
  <si>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</si>
  <si>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</si>
  <si>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</si>
  <si>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</si>
  <si>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</si>
  <si>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</si>
  <si>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</si>
  <si>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</si>
  <si>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</si>
  <si>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</si>
  <si>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</si>
  <si>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</si>
  <si>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</si>
  <si>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</si>
  <si>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</si>
  <si>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</si>
  <si>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</si>
  <si>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</si>
  <si>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</si>
  <si>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</si>
  <si>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</si>
  <si>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</si>
  <si>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</si>
  <si>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</si>
  <si>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</si>
  <si>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</si>
  <si>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</si>
  <si>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</si>
  <si>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</si>
  <si>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</si>
  <si>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</si>
  <si>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</si>
  <si>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</si>
  <si>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</si>
  <si>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</si>
  <si>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</si>
  <si>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</si>
  <si>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</si>
  <si>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</si>
  <si>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</si>
  <si>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</si>
  <si>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</si>
  <si>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</si>
  <si>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</si>
  <si>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</si>
  <si>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</si>
  <si>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</si>
  <si>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</si>
  <si>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</si>
  <si>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</si>
  <si>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</si>
  <si>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</si>
  <si>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</si>
  <si>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</si>
  <si>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</si>
  <si>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</si>
  <si>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</si>
  <si>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</si>
  <si>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</si>
  <si>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</si>
  <si>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</si>
  <si>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</si>
  <si>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</si>
  <si>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</si>
  <si>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</si>
  <si>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</si>
  <si>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</si>
  <si>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</si>
  <si>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</si>
  <si>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</si>
  <si>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</si>
  <si>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</si>
  <si>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</si>
  <si>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</si>
  <si>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</si>
  <si>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</si>
  <si>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</si>
  <si>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</si>
  <si>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</si>
  <si>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</si>
  <si>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</si>
  <si>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</si>
  <si>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</si>
  <si>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</si>
  <si>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</si>
  <si>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</si>
  <si>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</si>
  <si>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</si>
  <si>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</si>
  <si>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</si>
  <si>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</si>
  <si>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</si>
  <si>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</si>
  <si>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</si>
  <si>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</si>
  <si>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</si>
  <si>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</si>
  <si>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</si>
  <si>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</si>
  <si>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</si>
  <si>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</si>
  <si>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</si>
  <si>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</si>
  <si>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</si>
  <si>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</si>
  <si>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</si>
  <si>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</si>
  <si>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</si>
  <si>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</si>
  <si>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</si>
  <si>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</si>
  <si>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</si>
  <si>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</si>
  <si>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</si>
  <si>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</si>
  <si>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</si>
  <si>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</si>
  <si>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</si>
  <si>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</si>
  <si>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</si>
  <si>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</si>
  <si>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</si>
  <si>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</si>
  <si>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</si>
  <si>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</si>
  <si>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</si>
  <si>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</si>
  <si>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</si>
  <si>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</si>
  <si>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</si>
  <si>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</si>
  <si>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</si>
  <si>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</si>
  <si>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</si>
  <si>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</si>
  <si>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</si>
  <si>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</si>
  <si>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</si>
  <si>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</si>
  <si>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</si>
  <si>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</si>
  <si>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</si>
  <si>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</si>
  <si>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</si>
  <si>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</si>
  <si>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</si>
  <si>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</si>
  <si>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</si>
  <si>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</si>
  <si>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</si>
  <si>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</si>
  <si>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</si>
  <si>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</si>
  <si>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</si>
  <si>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</si>
  <si>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</si>
  <si>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</si>
  <si>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</si>
  <si>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</si>
  <si>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</si>
  <si>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</si>
  <si>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Chip móvel corporativo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</si>
  <si>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</si>
  <si>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</si>
  <si>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</si>
  <si>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</si>
  <si>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</si>
  <si>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</si>
  <si>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</si>
  <si>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</si>
  <si>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</si>
  <si>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</si>
  <si>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</si>
  <si>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</si>
  <si>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</si>
  <si>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</si>
  <si>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</si>
  <si>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</si>
  <si>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</si>
  <si>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</si>
  <si>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</si>
  <si>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</si>
  <si>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</si>
  <si>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</si>
  <si>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</si>
  <si>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</si>
  <si>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</si>
  <si>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</si>
  <si>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</si>
  <si>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</si>
  <si>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</si>
  <si>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</si>
  <si>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</si>
  <si>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</si>
  <si>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</si>
  <si>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</si>
  <si>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</si>
  <si>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</si>
  <si>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</si>
  <si>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</si>
  <si>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</si>
  <si>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</si>
  <si>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</si>
  <si>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</si>
  <si>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</si>
  <si>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</si>
  <si>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</si>
  <si>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</si>
  <si>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TARCIZIO MEIRELES</t>
  </si>
  <si>
    <t xml:space="preserve">TIAGO</t>
  </si>
  <si>
    <t xml:space="preserve">LÍDER: 1</t>
  </si>
  <si>
    <t xml:space="preserve">SUPERVISOR: 1</t>
  </si>
  <si>
    <t xml:space="preserve">VITOR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</si>
  <si>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</si>
  <si>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</si>
  <si>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</si>
  <si>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</si>
  <si>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</si>
  <si>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</si>
  <si>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</si>
  <si>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</si>
  <si>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</si>
  <si>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</si>
  <si>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</si>
  <si>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</si>
  <si>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</si>
  <si>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</si>
  <si>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</t>
  </si>
  <si>
    <t xml:space="preserve">Real (cruzado por nome, 3/9 encontrados)</t>
  </si>
  <si>
    <t xml:space="preserve">Real (cruzado por nome, 7/7 encontrados)</t>
  </si>
  <si>
    <t xml:space="preserve">Real (cruzado por nome, 11/11 encontrados)</t>
  </si>
  <si>
    <t xml:space="preserve">Real (cruzado por nome, 1/2 encontrados)</t>
  </si>
  <si>
    <t xml:space="preserve">Real (cruzado por nome, 18/18 encontrados)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</si>
  <si>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</si>
  <si>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</si>
  <si>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</si>
  <si>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</si>
  <si>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</si>
  <si>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</si>
  <si>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</si>
  <si>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</si>
  <si>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</si>
  <si>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</si>
  <si>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</t>
  </si>
  <si>
    <t xml:space="preserve">Devolução fardamento</t>
  </si>
  <si>
    <t xml:space="preserve">E-mail do departamento (1)</t>
  </si>
  <si>
    <t xml:space="preserve">E-mail do departamento (4 email)</t>
  </si>
  <si>
    <t xml:space="preserve">Real (cruzado por nome, equipe Elthon Menezes - VENDAS PAP, 50 colaboradores)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</si>
  <si>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</si>
  <si>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</si>
  <si>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</si>
  <si>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</si>
  <si>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</si>
  <si>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</t>
  </si>
  <si>
    <t xml:space="preserve">Real (cruzado por nome, equipe Tarcizio Meireles - VENDAS PAP, 17 colaboradores)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</si>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</sst>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73093.93</v>
      </c>
      <c r="F39" s="21" t="n">
        <f aca="false">IFERROR(D39*E39,0)</f>
        <v>2417.79473139913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2417.79473139913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73093.93</v>
      </c>
      <c r="F40" s="22" t="n">
        <f aca="false">IFERROR(D40*E40,0)</f>
        <v>5033.66481084771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5033.66481084771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73093.93</v>
      </c>
      <c r="F41" s="21" t="n">
        <f aca="false">IFERROR(D41*E41,0)</f>
        <v>5417.43579769353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5417.43579769353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73093.93</v>
      </c>
      <c r="F42" s="22" t="n">
        <f aca="false">IFERROR(D42*E42,0)</f>
        <v>1389.5285779833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1389.5285779833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73093.93</v>
      </c>
      <c r="F43" s="21" t="n">
        <f aca="false">IFERROR(D43*E43,0)</f>
        <v>2413.6681616481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2413.6681616481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73093.93</v>
      </c>
      <c r="F44" s="22" t="n">
        <f aca="false">IFERROR(D44*E44,0)</f>
        <v>1781.55270433118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1781.55270433118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73093.93</v>
      </c>
      <c r="F45" s="21" t="n">
        <f aca="false">IFERROR(D45*E45,0)</f>
        <v>1798.80926874458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1798.80926874458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73093.93</v>
      </c>
      <c r="F46" s="22" t="n">
        <f aca="false">IFERROR(D46*E46,0)</f>
        <v>52841.4759473525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52841.4759473525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30824.02</v>
      </c>
      <c r="F47" s="21" t="n">
        <f aca="false">IFERROR(D47*E47,0)</f>
        <v>999.06261201144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999.06261201144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30824.02</v>
      </c>
      <c r="F48" s="22" t="n">
        <f aca="false">IFERROR(D48*E48,0)</f>
        <v>940.29422306959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940.29422306959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30824.02</v>
      </c>
      <c r="F49" s="21" t="n">
        <f aca="false">IFERROR(D49*E49,0)</f>
        <v>1234.13616777884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1234.13616777884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30824.02</v>
      </c>
      <c r="F50" s="22" t="n">
        <f aca="false">IFERROR(D50*E50,0)</f>
        <v>323.226139180172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323.226139180172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30824.02</v>
      </c>
      <c r="F51" s="21" t="n">
        <f aca="false">IFERROR(D51*E51,0)</f>
        <v>1234.13616777884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1234.13616777884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30824.02</v>
      </c>
      <c r="F52" s="22" t="n">
        <f aca="false">IFERROR(D52*E52,0)</f>
        <v>528.915500476644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528.915500476644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30824.02</v>
      </c>
      <c r="F53" s="21" t="n">
        <f aca="false">IFERROR(D53*E53,0)</f>
        <v>499.53130600572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499.53130600572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30824.02</v>
      </c>
      <c r="F54" s="22" t="n">
        <f aca="false">IFERROR(D54*E54,0)</f>
        <v>25064.7178836988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25064.7178836988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44818.62</v>
      </c>
      <c r="F55" s="21" t="n">
        <f aca="false">IFERROR(D55*E55,0)</f>
        <v>1452.65307912297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1452.65307912297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44818.62</v>
      </c>
      <c r="F56" s="22" t="n">
        <f aca="false">IFERROR(D56*E56,0)</f>
        <v>1367.20289799809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1367.20289799809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44818.62</v>
      </c>
      <c r="F57" s="21" t="n">
        <f aca="false">IFERROR(D57*E57,0)</f>
        <v>1794.4538036225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1794.4538036225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44818.62</v>
      </c>
      <c r="F58" s="22" t="n">
        <f aca="false">IFERROR(D58*E58,0)</f>
        <v>469.975996186845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469.975996186845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44818.62</v>
      </c>
      <c r="F59" s="21" t="n">
        <f aca="false">IFERROR(D59*E59,0)</f>
        <v>1794.4538036225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1794.4538036225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44818.62</v>
      </c>
      <c r="F60" s="22" t="n">
        <f aca="false">IFERROR(D60*E60,0)</f>
        <v>769.051630123928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769.051630123928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44818.62</v>
      </c>
      <c r="F61" s="21" t="n">
        <f aca="false">IFERROR(D61*E61,0)</f>
        <v>726.326539561487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726.326539561487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44818.62</v>
      </c>
      <c r="F62" s="22" t="n">
        <f aca="false">IFERROR(D62*E62,0)</f>
        <v>36444.5022497617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36444.5022497617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26206.6</v>
      </c>
      <c r="F63" s="21" t="n">
        <f aca="false">IFERROR(D63*E63,0)</f>
        <v>866.859661368384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866.859661368384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26206.6</v>
      </c>
      <c r="F64" s="22" t="n">
        <f aca="false">IFERROR(D64*E64,0)</f>
        <v>1804.73590942451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1804.73590942451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26206.6</v>
      </c>
      <c r="F65" s="21" t="n">
        <f aca="false">IFERROR(D65*E65,0)</f>
        <v>1942.33054613201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1942.33054613201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26206.6</v>
      </c>
      <c r="F66" s="22" t="n">
        <f aca="false">IFERROR(D66*E66,0)</f>
        <v>498.192115703413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498.192115703413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26206.6</v>
      </c>
      <c r="F67" s="21" t="n">
        <f aca="false">IFERROR(D67*E67,0)</f>
        <v>865.380149145722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865.380149145722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26206.6</v>
      </c>
      <c r="F68" s="22" t="n">
        <f aca="false">IFERROR(D68*E68,0)</f>
        <v>638.745776856238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638.745776856238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26206.6</v>
      </c>
      <c r="F69" s="21" t="n">
        <f aca="false">IFERROR(D69*E69,0)</f>
        <v>644.932827969185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644.932827969185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26206.6</v>
      </c>
      <c r="F70" s="22" t="n">
        <f aca="false">IFERROR(D70*E70,0)</f>
        <v>18945.4230134005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18945.4230134005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18479.54</v>
      </c>
      <c r="F71" s="21" t="n">
        <f aca="false">IFERROR(D71*E71,0)</f>
        <v>611.264635116478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611.264635116478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18479.54</v>
      </c>
      <c r="F72" s="22" t="n">
        <f aca="false">IFERROR(D72*E72,0)</f>
        <v>1272.60649712846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1272.60649712846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18479.54</v>
      </c>
      <c r="F73" s="21" t="n">
        <f aca="false">IFERROR(D73*E73,0)</f>
        <v>1369.63112423849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1369.63112423849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18479.54</v>
      </c>
      <c r="F74" s="22" t="n">
        <f aca="false">IFERROR(D74*E74,0)</f>
        <v>351.299334130556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351.299334130556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18479.54</v>
      </c>
      <c r="F75" s="21" t="n">
        <f aca="false">IFERROR(D75*E75,0)</f>
        <v>610.221359556155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610.221359556155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18479.54</v>
      </c>
      <c r="F76" s="22" t="n">
        <f aca="false">IFERROR(D76*E76,0)</f>
        <v>450.410512361234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450.410512361234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18479.54</v>
      </c>
      <c r="F77" s="21" t="n">
        <f aca="false">IFERROR(D77*E77,0)</f>
        <v>454.773301068039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454.773301068039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18479.54</v>
      </c>
      <c r="F78" s="22" t="n">
        <f aca="false">IFERROR(D78*E78,0)</f>
        <v>13359.3332364006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13359.3332364006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60278.08</v>
      </c>
      <c r="F79" s="21" t="n">
        <f aca="false">IFERROR(D79*E79,0)</f>
        <v>1993.87314709792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1993.87314709792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60278.08</v>
      </c>
      <c r="F80" s="22" t="n">
        <f aca="false">IFERROR(D80*E80,0)</f>
        <v>4151.09230221255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4151.09230221255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60278.08</v>
      </c>
      <c r="F81" s="21" t="n">
        <f aca="false">IFERROR(D81*E81,0)</f>
        <v>4467.57519274493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4467.57519274493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60278.08</v>
      </c>
      <c r="F82" s="22" t="n">
        <f aca="false">IFERROR(D82*E82,0)</f>
        <v>1145.89699563238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1145.89699563238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60278.08</v>
      </c>
      <c r="F83" s="21" t="n">
        <f aca="false">IFERROR(D83*E83,0)</f>
        <v>1990.47010526424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1990.47010526424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60278.08</v>
      </c>
      <c r="F84" s="22" t="n">
        <f aca="false">IFERROR(D84*E84,0)</f>
        <v>1469.18596983212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1469.18596983212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60278.08</v>
      </c>
      <c r="F85" s="21" t="n">
        <f aca="false">IFERROR(D85*E85,0)</f>
        <v>1483.4168720457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1483.4168720457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60278.08</v>
      </c>
      <c r="F86" s="22" t="n">
        <f aca="false">IFERROR(D86*E86,0)</f>
        <v>43576.5694151702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43576.5694151702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223903.679</v>
      </c>
      <c r="F87" s="21" t="n">
        <f aca="false">IFERROR(D87*E87,0)</f>
        <v>7406.26664111618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7406.26664111618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223903.679</v>
      </c>
      <c r="F88" s="22" t="n">
        <f aca="false">IFERROR(D88*E88,0)</f>
        <v>15419.2840636923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15419.2840636923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223903.679</v>
      </c>
      <c r="F89" s="21" t="n">
        <f aca="false">IFERROR(D89*E89,0)</f>
        <v>16594.863702771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16594.863702771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223903.679</v>
      </c>
      <c r="F90" s="22" t="n">
        <f aca="false">IFERROR(D90*E90,0)</f>
        <v>4256.4486638781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4256.4486638781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223903.679</v>
      </c>
      <c r="F91" s="21" t="n">
        <f aca="false">IFERROR(D91*E91,0)</f>
        <v>7393.62599983577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7393.62599983577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223903.679</v>
      </c>
      <c r="F92" s="22" t="n">
        <f aca="false">IFERROR(D92*E92,0)</f>
        <v>5457.30958551757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5457.30958551757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223903.679</v>
      </c>
      <c r="F93" s="21" t="n">
        <f aca="false">IFERROR(D93*E93,0)</f>
        <v>5510.17044905385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5510.17044905385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223903.679</v>
      </c>
      <c r="F94" s="22" t="n">
        <f aca="false">IFERROR(D94*E94,0)</f>
        <v>161865.709894135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161865.709894135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102750.479</v>
      </c>
      <c r="F95" s="21" t="n">
        <f aca="false">IFERROR(D95*E95,0)</f>
        <v>3398.77150913813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3398.77150913813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102750.479</v>
      </c>
      <c r="F96" s="22" t="n">
        <f aca="false">IFERROR(D96*E96,0)</f>
        <v>7075.98388046786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7075.98388046786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102750.479</v>
      </c>
      <c r="F97" s="21" t="n">
        <f aca="false">IFERROR(D97*E97,0)</f>
        <v>7615.46305096411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7615.46305096411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102750.479</v>
      </c>
      <c r="F98" s="22" t="n">
        <f aca="false">IFERROR(D98*E98,0)</f>
        <v>1953.30483628357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1953.30483628357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102750.479</v>
      </c>
      <c r="F99" s="21" t="n">
        <f aca="false">IFERROR(D99*E99,0)</f>
        <v>3392.97065784247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3392.97065784247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102750.479</v>
      </c>
      <c r="F100" s="22" t="n">
        <f aca="false">IFERROR(D100*E100,0)</f>
        <v>2504.38570937113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2504.38570937113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102750.479</v>
      </c>
      <c r="F101" s="21" t="n">
        <f aca="false">IFERROR(D101*E101,0)</f>
        <v>2528.64381478934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2528.64381478934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102750.479</v>
      </c>
      <c r="F102" s="22" t="n">
        <f aca="false">IFERROR(D102*E102,0)</f>
        <v>74280.9555411434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74280.9555411434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110236.029</v>
      </c>
      <c r="F103" s="21" t="n">
        <f aca="false">IFERROR(D103*E103,0)</f>
        <v>3646.3778883768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3646.3778883768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110236.029</v>
      </c>
      <c r="F104" s="22" t="n">
        <f aca="false">IFERROR(D104*E104,0)</f>
        <v>7591.48153704264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7591.48153704264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110236.029</v>
      </c>
      <c r="F105" s="21" t="n">
        <f aca="false">IFERROR(D105*E105,0)</f>
        <v>8170.26269760269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8170.26269760269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110236.029</v>
      </c>
      <c r="F106" s="22" t="n">
        <f aca="false">IFERROR(D106*E106,0)</f>
        <v>2095.60646990654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2095.60646990654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110236.029</v>
      </c>
      <c r="F107" s="21" t="n">
        <f aca="false">IFERROR(D107*E107,0)</f>
        <v>3640.15443503744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3640.15443503744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110236.029</v>
      </c>
      <c r="F108" s="22" t="n">
        <f aca="false">IFERROR(D108*E108,0)</f>
        <v>2686.83453714529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2686.83453714529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110236.029</v>
      </c>
      <c r="F109" s="21" t="n">
        <f aca="false">IFERROR(D109*E109,0)</f>
        <v>2712.8598874735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2712.8598874735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110236.029</v>
      </c>
      <c r="F110" s="22" t="n">
        <f aca="false">IFERROR(D110*E110,0)</f>
        <v>79692.4515474151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79692.4515474151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37230.22</v>
      </c>
      <c r="F111" s="21" t="n">
        <f aca="false">IFERROR(D111*E111,0)</f>
        <v>1231.49801583839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1231.49801583839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37230.22</v>
      </c>
      <c r="F112" s="22" t="n">
        <f aca="false">IFERROR(D112*E112,0)</f>
        <v>2563.88524073228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2563.88524073228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37230.22</v>
      </c>
      <c r="F113" s="21" t="n">
        <f aca="false">IFERROR(D113*E113,0)</f>
        <v>2759.35808327731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2759.35808327731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37230.22</v>
      </c>
      <c r="F114" s="22" t="n">
        <f aca="false">IFERROR(D114*E114,0)</f>
        <v>707.753087768101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707.753087768101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37230.22</v>
      </c>
      <c r="F115" s="21" t="n">
        <f aca="false">IFERROR(D115*E115,0)</f>
        <v>1229.3961573164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1229.3961573164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37230.22</v>
      </c>
      <c r="F116" s="22" t="n">
        <f aca="false">IFERROR(D116*E116,0)</f>
        <v>907.429647357103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907.429647357103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37230.22</v>
      </c>
      <c r="F117" s="21" t="n">
        <f aca="false">IFERROR(D117*E117,0)</f>
        <v>916.219237539968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916.219237539968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37230.22</v>
      </c>
      <c r="F118" s="22" t="n">
        <f aca="false">IFERROR(D118*E118,0)</f>
        <v>26914.6805301704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26914.6805301704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19795.69</v>
      </c>
      <c r="F119" s="21" t="n">
        <f aca="false">IFERROR(D119*E119,0)</f>
        <v>654.800131644452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654.800131644452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19795.69</v>
      </c>
      <c r="F120" s="22" t="n">
        <f aca="false">IFERROR(D120*E120,0)</f>
        <v>1363.24409098608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1363.24409098608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19795.69</v>
      </c>
      <c r="F121" s="21" t="n">
        <f aca="false">IFERROR(D121*E121,0)</f>
        <v>1467.17900714935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1467.17900714935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19795.69</v>
      </c>
      <c r="F122" s="22" t="n">
        <f aca="false">IFERROR(D122*E122,0)</f>
        <v>376.31957914834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376.31957914834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19795.69</v>
      </c>
      <c r="F123" s="21" t="n">
        <f aca="false">IFERROR(D123*E123,0)</f>
        <v>653.682551900761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653.682551900761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19795.69</v>
      </c>
      <c r="F124" s="22" t="n">
        <f aca="false">IFERROR(D124*E124,0)</f>
        <v>482.489654798992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482.489654798992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19795.69</v>
      </c>
      <c r="F125" s="21" t="n">
        <f aca="false">IFERROR(D125*E125,0)</f>
        <v>487.163170090791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487.163170090791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19795.69</v>
      </c>
      <c r="F126" s="22" t="n">
        <f aca="false">IFERROR(D126*E126,0)</f>
        <v>14310.8118142812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14310.8118142812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42641.29</v>
      </c>
      <c r="F127" s="21" t="n">
        <f aca="false">IFERROR(D127*E127,0)</f>
        <v>1410.48492401575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1410.48492401575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42641.29</v>
      </c>
      <c r="F128" s="22" t="n">
        <f aca="false">IFERROR(D128*E128,0)</f>
        <v>2936.52237555365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2936.52237555365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42641.29</v>
      </c>
      <c r="F129" s="21" t="n">
        <f aca="false">IFERROR(D129*E129,0)</f>
        <v>3160.40539762783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3160.40539762783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42641.29</v>
      </c>
      <c r="F130" s="22" t="n">
        <f aca="false">IFERROR(D130*E130,0)</f>
        <v>810.61848852666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810.61848852666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42641.29</v>
      </c>
      <c r="F131" s="21" t="n">
        <f aca="false">IFERROR(D131*E131,0)</f>
        <v>1408.07757969237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1408.07757969237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42641.29</v>
      </c>
      <c r="F132" s="22" t="n">
        <f aca="false">IFERROR(D132*E132,0)</f>
        <v>1039.3161992476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1039.3161992476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42641.29</v>
      </c>
      <c r="F133" s="21" t="n">
        <f aca="false">IFERROR(D133*E133,0)</f>
        <v>1049.383275509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1049.383275509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42641.29</v>
      </c>
      <c r="F134" s="22" t="n">
        <f aca="false">IFERROR(D134*E134,0)</f>
        <v>30826.4817598271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30826.4817598271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25972.08</v>
      </c>
      <c r="F135" s="21" t="n">
        <f aca="false">IFERROR(D135*E135,0)</f>
        <v>859.102228974097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859.102228974097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25972.08</v>
      </c>
      <c r="F136" s="22" t="n">
        <f aca="false">IFERROR(D136*E136,0)</f>
        <v>1788.58552496112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1788.58552496112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25972.08</v>
      </c>
      <c r="F137" s="21" t="n">
        <f aca="false">IFERROR(D137*E137,0)</f>
        <v>1924.94884229867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1924.94884229867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25972.08</v>
      </c>
      <c r="F138" s="22" t="n">
        <f aca="false">IFERROR(D138*E138,0)</f>
        <v>493.733848893725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493.733848893725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25972.08</v>
      </c>
      <c r="F139" s="21" t="n">
        <f aca="false">IFERROR(D139*E139,0)</f>
        <v>857.635956744661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857.635956744661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25972.08</v>
      </c>
      <c r="F140" s="22" t="n">
        <f aca="false">IFERROR(D140*E140,0)</f>
        <v>633.029710690145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633.029710690145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25972.08</v>
      </c>
      <c r="F141" s="21" t="n">
        <f aca="false">IFERROR(D141*E141,0)</f>
        <v>639.161394558696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639.161394558696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25972.08</v>
      </c>
      <c r="F142" s="22" t="n">
        <f aca="false">IFERROR(D142*E142,0)</f>
        <v>18775.8824928789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18775.8824928789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53437.15</v>
      </c>
      <c r="F143" s="21" t="n">
        <f aca="false">IFERROR(D143*E143,0)</f>
        <v>1731.99532888465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1731.99532888465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53437.15</v>
      </c>
      <c r="F144" s="22" t="n">
        <f aca="false">IFERROR(D144*E144,0)</f>
        <v>1630.11325071497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1630.11325071497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53437.15</v>
      </c>
      <c r="F145" s="21" t="n">
        <f aca="false">IFERROR(D145*E145,0)</f>
        <v>2139.52364156339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2139.52364156339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53437.15</v>
      </c>
      <c r="F146" s="22" t="n">
        <f aca="false">IFERROR(D146*E146,0)</f>
        <v>560.35142993327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560.35142993327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53437.15</v>
      </c>
      <c r="F147" s="21" t="n">
        <f aca="false">IFERROR(D147*E147,0)</f>
        <v>2139.52364156339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2139.52364156339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53437.15</v>
      </c>
      <c r="F148" s="22" t="n">
        <f aca="false">IFERROR(D148*E148,0)</f>
        <v>916.938703527169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916.938703527169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53437.15</v>
      </c>
      <c r="F149" s="21" t="n">
        <f aca="false">IFERROR(D149*E149,0)</f>
        <v>865.997664442326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865.997664442326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53437.15</v>
      </c>
      <c r="F150" s="22" t="n">
        <f aca="false">IFERROR(D150*E150,0)</f>
        <v>43452.7063393708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43452.7063393708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67075.4</v>
      </c>
      <c r="F151" s="21" t="n">
        <f aca="false">IFERROR(D151*E151,0)</f>
        <v>2218.71431357555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2218.71431357555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67075.4</v>
      </c>
      <c r="F152" s="22" t="n">
        <f aca="false">IFERROR(D152*E152,0)</f>
        <v>4619.19451661081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4619.19451661081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67075.4</v>
      </c>
      <c r="F153" s="21" t="n">
        <f aca="false">IFERROR(D153*E153,0)</f>
        <v>4971.36592743902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4971.36592743902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67075.4</v>
      </c>
      <c r="F154" s="22" t="n">
        <f aca="false">IFERROR(D154*E154,0)</f>
        <v>1275.11525484621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1275.11525484621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67075.4</v>
      </c>
      <c r="F155" s="21" t="n">
        <f aca="false">IFERROR(D155*E155,0)</f>
        <v>2214.9275242118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2214.9275242118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67075.4</v>
      </c>
      <c r="F156" s="22" t="n">
        <f aca="false">IFERROR(D156*E156,0)</f>
        <v>1634.8602444019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1634.8602444019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67075.4</v>
      </c>
      <c r="F157" s="21" t="n">
        <f aca="false">IFERROR(D157*E157,0)</f>
        <v>1650.69590901392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1650.69590901392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67075.4</v>
      </c>
      <c r="F158" s="22" t="n">
        <f aca="false">IFERROR(D158*E158,0)</f>
        <v>48490.5263099008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48490.5263099008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185396.9</v>
      </c>
      <c r="F159" s="21" t="n">
        <f aca="false">IFERROR(D159*E159,0)</f>
        <v>6132.5427164435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6132.5427164435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185396.9</v>
      </c>
      <c r="F160" s="22" t="n">
        <f aca="false">IFERROR(D160*E160,0)</f>
        <v>12767.4876911154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12767.4876911154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185396.9</v>
      </c>
      <c r="F161" s="21" t="n">
        <f aca="false">IFERROR(D161*E161,0)</f>
        <v>13740.892066433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13740.892066433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185396.9</v>
      </c>
      <c r="F162" s="22" t="n">
        <f aca="false">IFERROR(D162*E162,0)</f>
        <v>3524.42796302664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3524.42796302664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185396.9</v>
      </c>
      <c r="F163" s="21" t="n">
        <f aca="false">IFERROR(D163*E163,0)</f>
        <v>6122.0760027304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6122.0760027304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185396.9</v>
      </c>
      <c r="F164" s="22" t="n">
        <f aca="false">IFERROR(D164*E164,0)</f>
        <v>4518.76576577039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4518.76576577039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185396.9</v>
      </c>
      <c r="F165" s="21" t="n">
        <f aca="false">IFERROR(D165*E165,0)</f>
        <v>4562.53565947968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4562.53565947968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185396.9</v>
      </c>
      <c r="F166" s="22" t="n">
        <f aca="false">IFERROR(D166*E166,0)</f>
        <v>134028.172135001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134028.172135001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128128.96</v>
      </c>
      <c r="F167" s="21" t="n">
        <f aca="false">IFERROR(D167*E167,0)</f>
        <v>4238.23872143213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4238.23872143213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128128.96</v>
      </c>
      <c r="F168" s="22" t="n">
        <f aca="false">IFERROR(D168*E168,0)</f>
        <v>8823.69079351067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8823.69079351067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128128.96</v>
      </c>
      <c r="F169" s="21" t="n">
        <f aca="false">IFERROR(D169*E169,0)</f>
        <v>9496.41666038811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9496.41666038811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128128.96</v>
      </c>
      <c r="F170" s="22" t="n">
        <f aca="false">IFERROR(D170*E170,0)</f>
        <v>2435.75426286805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2435.75426286805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128128.96</v>
      </c>
      <c r="F171" s="21" t="n">
        <f aca="false">IFERROR(D171*E171,0)</f>
        <v>4231.00510996033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4231.00510996033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128128.96</v>
      </c>
      <c r="F172" s="22" t="n">
        <f aca="false">IFERROR(D172*E172,0)</f>
        <v>3122.94735268909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3122.94735268909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128128.96</v>
      </c>
      <c r="F173" s="21" t="n">
        <f aca="false">IFERROR(D173*E173,0)</f>
        <v>3153.19700066207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3153.19700066207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128128.96</v>
      </c>
      <c r="F174" s="22" t="n">
        <f aca="false">IFERROR(D174*E174,0)</f>
        <v>92627.7100984895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92627.7100984895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135206.01</v>
      </c>
      <c r="F175" s="21" t="n">
        <f aca="false">IFERROR(D175*E175,0)</f>
        <v>4472.33277279656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4472.33277279656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135206.01</v>
      </c>
      <c r="F176" s="22" t="n">
        <f aca="false">IFERROR(D176*E176,0)</f>
        <v>9311.05681076559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9311.05681076559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135206.01</v>
      </c>
      <c r="F177" s="21" t="n">
        <f aca="false">IFERROR(D177*E177,0)</f>
        <v>10020.9398870373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10020.9398870373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135206.01</v>
      </c>
      <c r="F178" s="22" t="n">
        <f aca="false">IFERROR(D178*E178,0)</f>
        <v>2570.29023901295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2570.29023901295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135206.01</v>
      </c>
      <c r="F179" s="21" t="n">
        <f aca="false">IFERROR(D179*E179,0)</f>
        <v>4464.6996214388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4464.6996214388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135206.01</v>
      </c>
      <c r="F180" s="22" t="n">
        <f aca="false">IFERROR(D180*E180,0)</f>
        <v>3295.43961800013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3295.43961800013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135206.01</v>
      </c>
      <c r="F181" s="21" t="n">
        <f aca="false">IFERROR(D181*E181,0)</f>
        <v>3327.36006913258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3327.36006913258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135206.01</v>
      </c>
      <c r="F182" s="22" t="n">
        <f aca="false">IFERROR(D182*E182,0)</f>
        <v>97743.8909818161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97743.8909818161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46363.3</v>
      </c>
      <c r="F183" s="21" t="n">
        <f aca="false">IFERROR(D183*E183,0)</f>
        <v>1533.6012507506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1533.6012507506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46363.3</v>
      </c>
      <c r="F184" s="22" t="n">
        <f aca="false">IFERROR(D184*E184,0)</f>
        <v>3192.84120753632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3192.84120753632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46363.3</v>
      </c>
      <c r="F185" s="21" t="n">
        <f aca="false">IFERROR(D185*E185,0)</f>
        <v>3436.26620047936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3436.26620047936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46363.3</v>
      </c>
      <c r="F186" s="22" t="n">
        <f aca="false">IFERROR(D186*E186,0)</f>
        <v>881.374559003916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881.374559003916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46363.3</v>
      </c>
      <c r="F187" s="21" t="n">
        <f aca="false">IFERROR(D187*E187,0)</f>
        <v>1530.98377770821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1530.98377770821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46363.3</v>
      </c>
      <c r="F188" s="22" t="n">
        <f aca="false">IFERROR(D188*E188,0)</f>
        <v>1130.03449803175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1130.03449803175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46363.3</v>
      </c>
      <c r="F189" s="21" t="n">
        <f aca="false">IFERROR(D189*E189,0)</f>
        <v>1140.98029439087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1140.98029439087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46363.3</v>
      </c>
      <c r="F190" s="22" t="n">
        <f aca="false">IFERROR(D190*E190,0)</f>
        <v>33517.218212099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33517.218212099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78181.14</v>
      </c>
      <c r="F191" s="21" t="n">
        <f aca="false">IFERROR(D191*E191,0)</f>
        <v>2586.06902634429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2586.06902634429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78181.14</v>
      </c>
      <c r="F192" s="22" t="n">
        <f aca="false">IFERROR(D192*E192,0)</f>
        <v>5383.99909937745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5383.99909937745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78181.14</v>
      </c>
      <c r="F193" s="21" t="n">
        <f aca="false">IFERROR(D193*E193,0)</f>
        <v>5794.47987733714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5794.47987733714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78181.14</v>
      </c>
      <c r="F194" s="22" t="n">
        <f aca="false">IFERROR(D194*E194,0)</f>
        <v>1486.23734268103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1486.23734268103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78181.14</v>
      </c>
      <c r="F195" s="21" t="n">
        <f aca="false">IFERROR(D195*E195,0)</f>
        <v>2581.65525453827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2581.65525453827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78181.14</v>
      </c>
      <c r="F196" s="22" t="n">
        <f aca="false">IFERROR(D196*E196,0)</f>
        <v>1905.54566425276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1905.54566425276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78181.14</v>
      </c>
      <c r="F197" s="21" t="n">
        <f aca="false">IFERROR(D197*E197,0)</f>
        <v>1924.00325544156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1924.00325544156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78181.14</v>
      </c>
      <c r="F198" s="22" t="n">
        <f aca="false">IFERROR(D198*E198,0)</f>
        <v>56519.1504800275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56519.1504800275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195800.17</v>
      </c>
      <c r="F199" s="21" t="n">
        <f aca="false">IFERROR(D199*E199,0)</f>
        <v>6476.66118695565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6476.66118695565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195800.17</v>
      </c>
      <c r="F200" s="22" t="n">
        <f aca="false">IFERROR(D200*E200,0)</f>
        <v>13483.9161841072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13483.9161841072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195800.17</v>
      </c>
      <c r="F201" s="21" t="n">
        <f aca="false">IFERROR(D201*E201,0)</f>
        <v>14511.9416913618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14511.9416913618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195800.17</v>
      </c>
      <c r="F202" s="22" t="n">
        <f aca="false">IFERROR(D202*E202,0)</f>
        <v>3722.19597152579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3722.19597152579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195800.17</v>
      </c>
      <c r="F203" s="21" t="n">
        <f aca="false">IFERROR(D203*E203,0)</f>
        <v>6465.60714924324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6465.60714924324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195800.17</v>
      </c>
      <c r="F204" s="22" t="n">
        <f aca="false">IFERROR(D204*E204,0)</f>
        <v>4772.32955420518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4772.32955420518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195800.17</v>
      </c>
      <c r="F205" s="21" t="n">
        <f aca="false">IFERROR(D205*E205,0)</f>
        <v>4818.55553009346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4818.55553009346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195800.17</v>
      </c>
      <c r="F206" s="22" t="n">
        <f aca="false">IFERROR(D206*E206,0)</f>
        <v>141548.962732508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141548.962732508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96020.32</v>
      </c>
      <c r="F207" s="21" t="n">
        <f aca="false">IFERROR(D207*E207,0)</f>
        <v>3176.15188844352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3176.15188844352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96020.32</v>
      </c>
      <c r="F208" s="22" t="n">
        <f aca="false">IFERROR(D208*E208,0)</f>
        <v>6612.50675549032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6612.50675549032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96020.32</v>
      </c>
      <c r="F209" s="21" t="n">
        <f aca="false">IFERROR(D209*E209,0)</f>
        <v>7116.65002653418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7116.65002653418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96020.32</v>
      </c>
      <c r="F210" s="22" t="n">
        <f aca="false">IFERROR(D210*E210,0)</f>
        <v>1825.36331959578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1825.36331959578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96020.32</v>
      </c>
      <c r="F211" s="21" t="n">
        <f aca="false">IFERROR(D211*E211,0)</f>
        <v>3170.73099305595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3170.73099305595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96020.32</v>
      </c>
      <c r="F212" s="22" t="n">
        <f aca="false">IFERROR(D212*E212,0)</f>
        <v>2340.34838141478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2340.34838141478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96020.32</v>
      </c>
      <c r="F213" s="21" t="n">
        <f aca="false">IFERROR(D213*E213,0)</f>
        <v>2363.01758030825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2363.01758030825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96020.32</v>
      </c>
      <c r="F214" s="22" t="n">
        <f aca="false">IFERROR(D214*E214,0)</f>
        <v>69415.5510551572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69415.5510551572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216455.78</v>
      </c>
      <c r="F215" s="21" t="n">
        <f aca="false">IFERROR(D215*E215,0)</f>
        <v>7159.90567841801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7159.90567841801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216455.78</v>
      </c>
      <c r="F216" s="22" t="n">
        <f aca="false">IFERROR(D216*E216,0)</f>
        <v>14906.3792696684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14906.3792696684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216455.78</v>
      </c>
      <c r="F217" s="21" t="n">
        <f aca="false">IFERROR(D217*E217,0)</f>
        <v>16042.8546007811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16042.8546007811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216455.78</v>
      </c>
      <c r="F218" s="22" t="n">
        <f aca="false">IFERROR(D218*E218,0)</f>
        <v>4114.86278244535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4114.86278244535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216455.78</v>
      </c>
      <c r="F219" s="21" t="n">
        <f aca="false">IFERROR(D219*E219,0)</f>
        <v>7147.68551356733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7147.68551356733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216455.78</v>
      </c>
      <c r="F220" s="22" t="n">
        <f aca="false">IFERROR(D220*E220,0)</f>
        <v>5275.77844325944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5275.77844325944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216455.78</v>
      </c>
      <c r="F221" s="21" t="n">
        <f aca="false">IFERROR(D221*E221,0)</f>
        <v>5326.88095081681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5326.88095081681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216455.78</v>
      </c>
      <c r="F222" s="22" t="n">
        <f aca="false">IFERROR(D222*E222,0)</f>
        <v>156481.432761043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156481.432761043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145636.49</v>
      </c>
      <c r="F223" s="21" t="n">
        <f aca="false">IFERROR(D223*E223,0)</f>
        <v>4817.35129334901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4817.35129334901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145636.49</v>
      </c>
      <c r="F224" s="22" t="n">
        <f aca="false">IFERROR(D224*E224,0)</f>
        <v>10029.3591395123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10029.3591395123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145636.49</v>
      </c>
      <c r="F225" s="21" t="n">
        <f aca="false">IFERROR(D225*E225,0)</f>
        <v>10794.0062105901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10794.0062105901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145636.49</v>
      </c>
      <c r="F226" s="22" t="n">
        <f aca="false">IFERROR(D226*E226,0)</f>
        <v>2768.57551443983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2768.57551443983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145636.49</v>
      </c>
      <c r="F227" s="21" t="n">
        <f aca="false">IFERROR(D227*E227,0)</f>
        <v>4809.12928183204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4809.12928183204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145636.49</v>
      </c>
      <c r="F228" s="22" t="n">
        <f aca="false">IFERROR(D228*E228,0)</f>
        <v>3549.6666085515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3549.6666085515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145636.49</v>
      </c>
      <c r="F229" s="21" t="n">
        <f aca="false">IFERROR(D229*E229,0)</f>
        <v>3584.04956580426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3584.04956580426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145636.49</v>
      </c>
      <c r="F230" s="22" t="n">
        <f aca="false">IFERROR(D230*E230,0)</f>
        <v>105284.352385921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105284.352385921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47779.6</v>
      </c>
      <c r="F231" s="21" t="n">
        <f aca="false">IFERROR(D231*E231,0)</f>
        <v>1548.62383222116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1548.62383222116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47779.6</v>
      </c>
      <c r="F232" s="22" t="n">
        <f aca="false">IFERROR(D232*E232,0)</f>
        <v>1457.52831267874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1457.52831267874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47779.6</v>
      </c>
      <c r="F233" s="21" t="n">
        <f aca="false">IFERROR(D233*E233,0)</f>
        <v>1913.00591039085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1913.00591039085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47779.6</v>
      </c>
      <c r="F234" s="22" t="n">
        <f aca="false">IFERROR(D234*E234,0)</f>
        <v>501.025357483317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501.025357483317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47779.6</v>
      </c>
      <c r="F235" s="21" t="n">
        <f aca="false">IFERROR(D235*E235,0)</f>
        <v>1913.00591039085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1913.00591039085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47779.6</v>
      </c>
      <c r="F236" s="22" t="n">
        <f aca="false">IFERROR(D236*E236,0)</f>
        <v>819.859675881792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819.859675881792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47779.6</v>
      </c>
      <c r="F237" s="21" t="n">
        <f aca="false">IFERROR(D237*E237,0)</f>
        <v>774.311916110582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774.311916110582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47779.6</v>
      </c>
      <c r="F238" s="22" t="n">
        <f aca="false">IFERROR(D238*E238,0)</f>
        <v>38852.2390848427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38852.2390848427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50253.64</v>
      </c>
      <c r="F239" s="21" t="n">
        <f aca="false">IFERROR(D239*E239,0)</f>
        <v>1649.49463065851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1649.49463065851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50253.64</v>
      </c>
      <c r="F240" s="22" t="n">
        <f aca="false">IFERROR(D240*E240,0)</f>
        <v>3520.14761784798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3520.14761784798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50253.64</v>
      </c>
      <c r="F241" s="21" t="n">
        <f aca="false">IFERROR(D241*E241,0)</f>
        <v>3764.15725349794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3764.15725349794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50253.64</v>
      </c>
      <c r="F242" s="22" t="n">
        <f aca="false">IFERROR(D242*E242,0)</f>
        <v>958.703089475087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958.703089475087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50253.64</v>
      </c>
      <c r="F243" s="21" t="n">
        <f aca="false">IFERROR(D243*E243,0)</f>
        <v>1679.96300281717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1679.96300281717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50253.64</v>
      </c>
      <c r="F244" s="22" t="n">
        <f aca="false">IFERROR(D244*E244,0)</f>
        <v>1242.37414060744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1242.37414060744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50253.64</v>
      </c>
      <c r="F245" s="21" t="n">
        <f aca="false">IFERROR(D245*E245,0)</f>
        <v>1256.0323764027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1256.0323764027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50253.64</v>
      </c>
      <c r="F246" s="22" t="n">
        <f aca="false">IFERROR(D246*E246,0)</f>
        <v>36182.7678886932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36182.7678886932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24538.77</v>
      </c>
      <c r="F247" s="21" t="n">
        <f aca="false">IFERROR(D247*E247,0)</f>
        <v>815.628632478633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815.628632478633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24538.77</v>
      </c>
      <c r="F248" s="22" t="n">
        <f aca="false">IFERROR(D248*E248,0)</f>
        <v>815.628632478633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815.628632478633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24538.77</v>
      </c>
      <c r="F249" s="21" t="n">
        <f aca="false">IFERROR(D249*E249,0)</f>
        <v>978.754358974359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978.754358974359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24538.77</v>
      </c>
      <c r="F250" s="22" t="n">
        <f aca="false">IFERROR(D250*E250,0)</f>
        <v>256.340427350427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256.340427350427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24538.77</v>
      </c>
      <c r="F251" s="21" t="n">
        <f aca="false">IFERROR(D251*E251,0)</f>
        <v>978.754358974359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978.754358974359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24538.77</v>
      </c>
      <c r="F252" s="22" t="n">
        <f aca="false">IFERROR(D252*E252,0)</f>
        <v>419.466153846154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419.466153846154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24538.77</v>
      </c>
      <c r="F253" s="21" t="n">
        <f aca="false">IFERROR(D253*E253,0)</f>
        <v>466.073504273504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466.073504273504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24538.77</v>
      </c>
      <c r="F254" s="22" t="n">
        <f aca="false">IFERROR(D254*E254,0)</f>
        <v>19808.1239316239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19808.1239316239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39682.19</v>
      </c>
      <c r="F255" s="21" t="n">
        <f aca="false">IFERROR(D255*E255,0)</f>
        <v>1318.97117758784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1318.97117758784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39682.19</v>
      </c>
      <c r="F256" s="22" t="n">
        <f aca="false">IFERROR(D256*E256,0)</f>
        <v>1318.97117758784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1318.97117758784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39682.19</v>
      </c>
      <c r="F257" s="21" t="n">
        <f aca="false">IFERROR(D257*E257,0)</f>
        <v>1582.76541310541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1582.76541310541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39682.19</v>
      </c>
      <c r="F258" s="22" t="n">
        <f aca="false">IFERROR(D258*E258,0)</f>
        <v>414.533798670465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414.533798670465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39682.19</v>
      </c>
      <c r="F259" s="21" t="n">
        <f aca="false">IFERROR(D259*E259,0)</f>
        <v>1582.76541310541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1582.76541310541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39682.19</v>
      </c>
      <c r="F260" s="22" t="n">
        <f aca="false">IFERROR(D260*E260,0)</f>
        <v>678.328034188034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678.328034188034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39682.19</v>
      </c>
      <c r="F261" s="21" t="n">
        <f aca="false">IFERROR(D261*E261,0)</f>
        <v>753.697815764483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753.697815764483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39682.19</v>
      </c>
      <c r="F262" s="22" t="n">
        <f aca="false">IFERROR(D262*E262,0)</f>
        <v>32032.1571699905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32032.1571699905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22281.91</v>
      </c>
      <c r="F263" s="21" t="n">
        <f aca="false">IFERROR(D263*E263,0)</f>
        <v>731.367735865821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731.367735865821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22281.91</v>
      </c>
      <c r="F264" s="22" t="n">
        <f aca="false">IFERROR(D264*E264,0)</f>
        <v>1560.79464905633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1560.79464905633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22281.91</v>
      </c>
      <c r="F265" s="21" t="n">
        <f aca="false">IFERROR(D265*E265,0)</f>
        <v>1668.98583163903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1668.98583163903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22281.91</v>
      </c>
      <c r="F266" s="22" t="n">
        <f aca="false">IFERROR(D266*E266,0)</f>
        <v>425.078381514371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425.078381514371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22281.91</v>
      </c>
      <c r="F267" s="21" t="n">
        <f aca="false">IFERROR(D267*E267,0)</f>
        <v>744.87707620984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744.87707620984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22281.91</v>
      </c>
      <c r="F268" s="22" t="n">
        <f aca="false">IFERROR(D268*E268,0)</f>
        <v>550.854998510404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550.854998510404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22281.91</v>
      </c>
      <c r="F269" s="21" t="n">
        <f aca="false">IFERROR(D269*E269,0)</f>
        <v>556.910909699102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556.910909699102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22281.91</v>
      </c>
      <c r="F270" s="22" t="n">
        <f aca="false">IFERROR(D270*E270,0)</f>
        <v>16043.0404175051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16043.0404175051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17777.69</v>
      </c>
      <c r="F271" s="21" t="n">
        <f aca="false">IFERROR(D271*E271,0)</f>
        <v>583.523983546494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583.523983546494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17777.69</v>
      </c>
      <c r="F272" s="22" t="n">
        <f aca="false">IFERROR(D272*E272,0)</f>
        <v>1245.28478144747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1245.28478144747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17777.69</v>
      </c>
      <c r="F273" s="21" t="n">
        <f aca="false">IFERROR(D273*E273,0)</f>
        <v>1331.60544716637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1331.60544716637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17777.69</v>
      </c>
      <c r="F274" s="22" t="n">
        <f aca="false">IFERROR(D274*E274,0)</f>
        <v>339.150085978456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339.150085978456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17777.69</v>
      </c>
      <c r="F275" s="21" t="n">
        <f aca="false">IFERROR(D275*E275,0)</f>
        <v>594.302452032384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594.302452032384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17777.69</v>
      </c>
      <c r="F276" s="22" t="n">
        <f aca="false">IFERROR(D276*E276,0)</f>
        <v>439.501344295369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439.501344295369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17777.69</v>
      </c>
      <c r="F277" s="21" t="n">
        <f aca="false">IFERROR(D277*E277,0)</f>
        <v>444.333071547665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444.333071547665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17777.69</v>
      </c>
      <c r="F278" s="22" t="n">
        <f aca="false">IFERROR(D278*E278,0)</f>
        <v>12799.9888339858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12799.9888339858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59799.02</v>
      </c>
      <c r="F279" s="21" t="n">
        <f aca="false">IFERROR(D279*E279,0)</f>
        <v>1962.80632425115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1962.80632425115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59799.02</v>
      </c>
      <c r="F280" s="22" t="n">
        <f aca="false">IFERROR(D280*E280,0)</f>
        <v>4188.77871936528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4188.77871936528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59799.02</v>
      </c>
      <c r="F281" s="21" t="n">
        <f aca="false">IFERROR(D281*E281,0)</f>
        <v>4479.13653389224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4479.13653389224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59799.02</v>
      </c>
      <c r="F282" s="22" t="n">
        <f aca="false">IFERROR(D282*E282,0)</f>
        <v>1140.80303877654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1140.80303877654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59799.02</v>
      </c>
      <c r="F283" s="21" t="n">
        <f aca="false">IFERROR(D283*E283,0)</f>
        <v>1999.0619824698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1999.0619824698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59799.02</v>
      </c>
      <c r="F284" s="22" t="n">
        <f aca="false">IFERROR(D284*E284,0)</f>
        <v>1478.3557187433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1478.3557187433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59799.02</v>
      </c>
      <c r="F285" s="21" t="n">
        <f aca="false">IFERROR(D285*E285,0)</f>
        <v>1494.60825518615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1494.60825518615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59799.02</v>
      </c>
      <c r="F286" s="22" t="n">
        <f aca="false">IFERROR(D286*E286,0)</f>
        <v>43055.4694273155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43055.4694273155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166742.609</v>
      </c>
      <c r="F287" s="21" t="n">
        <f aca="false">IFERROR(D287*E287,0)</f>
        <v>5473.05704119126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5473.05704119126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166742.609</v>
      </c>
      <c r="F288" s="22" t="n">
        <f aca="false">IFERROR(D288*E288,0)</f>
        <v>11679.9220487333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11679.9220487333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166742.609</v>
      </c>
      <c r="F289" s="21" t="n">
        <f aca="false">IFERROR(D289*E289,0)</f>
        <v>12489.5510282344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12489.5510282344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166742.609</v>
      </c>
      <c r="F290" s="22" t="n">
        <f aca="false">IFERROR(D290*E290,0)</f>
        <v>3180.99652871785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3180.99652871785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166742.609</v>
      </c>
      <c r="F291" s="21" t="n">
        <f aca="false">IFERROR(D291*E291,0)</f>
        <v>5574.15172539161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5574.15172539161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166742.609</v>
      </c>
      <c r="F292" s="22" t="n">
        <f aca="false">IFERROR(D292*E292,0)</f>
        <v>4122.22289885902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4122.22289885902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166742.609</v>
      </c>
      <c r="F293" s="21" t="n">
        <f aca="false">IFERROR(D293*E293,0)</f>
        <v>4167.54120556952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4167.54120556952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166742.609</v>
      </c>
      <c r="F294" s="22" t="n">
        <f aca="false">IFERROR(D294*E294,0)</f>
        <v>120055.166523303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120055.166523303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61966.349</v>
      </c>
      <c r="F295" s="21" t="n">
        <f aca="false">IFERROR(D295*E295,0)</f>
        <v>2033.94540091048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2033.94540091048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61966.349</v>
      </c>
      <c r="F296" s="22" t="n">
        <f aca="false">IFERROR(D296*E296,0)</f>
        <v>4340.59494633795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4340.59494633795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61966.349</v>
      </c>
      <c r="F297" s="21" t="n">
        <f aca="false">IFERROR(D297*E297,0)</f>
        <v>4641.47635994397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4641.47635994397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61966.349</v>
      </c>
      <c r="F298" s="22" t="n">
        <f aca="false">IFERROR(D298*E298,0)</f>
        <v>1182.14979511517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1182.14979511517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61966.349</v>
      </c>
      <c r="F299" s="21" t="n">
        <f aca="false">IFERROR(D299*E299,0)</f>
        <v>2071.51509302921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2071.51509302921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61966.349</v>
      </c>
      <c r="F300" s="22" t="n">
        <f aca="false">IFERROR(D300*E300,0)</f>
        <v>1531.93658380678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1531.93658380678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61966.349</v>
      </c>
      <c r="F301" s="21" t="n">
        <f aca="false">IFERROR(D301*E301,0)</f>
        <v>1548.77816992897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1548.77816992897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61966.349</v>
      </c>
      <c r="F302" s="22" t="n">
        <f aca="false">IFERROR(D302*E302,0)</f>
        <v>44615.9526509275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44615.9526509275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56707.149</v>
      </c>
      <c r="F303" s="21" t="n">
        <f aca="false">IFERROR(D303*E303,0)</f>
        <v>1861.32064852321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1861.32064852321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56707.149</v>
      </c>
      <c r="F304" s="22" t="n">
        <f aca="false">IFERROR(D304*E304,0)</f>
        <v>3972.20053049491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3972.20053049491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56707.149</v>
      </c>
      <c r="F305" s="21" t="n">
        <f aca="false">IFERROR(D305*E305,0)</f>
        <v>4247.5455754755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4247.5455754755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56707.149</v>
      </c>
      <c r="F306" s="22" t="n">
        <f aca="false">IFERROR(D306*E306,0)</f>
        <v>1081.81852979454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1081.81852979454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56707.149</v>
      </c>
      <c r="F307" s="21" t="n">
        <f aca="false">IFERROR(D307*E307,0)</f>
        <v>1895.70173056599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1895.70173056599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56707.149</v>
      </c>
      <c r="F308" s="22" t="n">
        <f aca="false">IFERROR(D308*E308,0)</f>
        <v>1401.9182591584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1401.9182591584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56707.149</v>
      </c>
      <c r="F309" s="21" t="n">
        <f aca="false">IFERROR(D309*E309,0)</f>
        <v>1417.33046835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1417.33046835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56707.149</v>
      </c>
      <c r="F310" s="22" t="n">
        <f aca="false">IFERROR(D310*E310,0)</f>
        <v>40829.3132576375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40829.3132576375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26235.99</v>
      </c>
      <c r="F311" s="21" t="n">
        <f aca="false">IFERROR(D311*E311,0)</f>
        <v>861.154030534112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861.154030534112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26235.99</v>
      </c>
      <c r="F312" s="22" t="n">
        <f aca="false">IFERROR(D312*E312,0)</f>
        <v>1837.76852185003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1837.76852185003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26235.99</v>
      </c>
      <c r="F313" s="21" t="n">
        <f aca="false">IFERROR(D313*E313,0)</f>
        <v>1965.15898273636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1965.15898273636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26235.99</v>
      </c>
      <c r="F314" s="22" t="n">
        <f aca="false">IFERROR(D314*E314,0)</f>
        <v>500.511498638457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500.511498638457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26235.99</v>
      </c>
      <c r="F315" s="21" t="n">
        <f aca="false">IFERROR(D315*E315,0)</f>
        <v>877.060697340156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877.060697340156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26235.99</v>
      </c>
      <c r="F316" s="22" t="n">
        <f aca="false">IFERROR(D316*E316,0)</f>
        <v>648.608051660247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648.608051660247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26235.99</v>
      </c>
      <c r="F317" s="21" t="n">
        <f aca="false">IFERROR(D317*E317,0)</f>
        <v>655.73862643537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655.73862643537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26235.99</v>
      </c>
      <c r="F318" s="22" t="n">
        <f aca="false">IFERROR(D318*E318,0)</f>
        <v>18889.9895908053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18889.9895908053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19841.34</v>
      </c>
      <c r="F319" s="21" t="n">
        <f aca="false">IFERROR(D319*E319,0)</f>
        <v>651.259964354221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651.259964354221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19841.34</v>
      </c>
      <c r="F320" s="22" t="n">
        <f aca="false">IFERROR(D320*E320,0)</f>
        <v>1389.83854176358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1389.83854176358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19841.34</v>
      </c>
      <c r="F321" s="21" t="n">
        <f aca="false">IFERROR(D321*E321,0)</f>
        <v>1486.17938680897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1486.17938680897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19841.34</v>
      </c>
      <c r="F322" s="22" t="n">
        <f aca="false">IFERROR(D322*E322,0)</f>
        <v>378.518928326896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378.518928326896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19841.34</v>
      </c>
      <c r="F323" s="21" t="n">
        <f aca="false">IFERROR(D323*E323,0)</f>
        <v>663.289607007897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663.289607007897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19841.34</v>
      </c>
      <c r="F324" s="22" t="n">
        <f aca="false">IFERROR(D324*E324,0)</f>
        <v>490.519049585265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490.519049585265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19841.34</v>
      </c>
      <c r="F325" s="21" t="n">
        <f aca="false">IFERROR(D325*E325,0)</f>
        <v>495.911648016224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495.911648016224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19841.34</v>
      </c>
      <c r="F326" s="22" t="n">
        <f aca="false">IFERROR(D326*E326,0)</f>
        <v>14285.822874137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14285.822874137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39381.16</v>
      </c>
      <c r="F327" s="21" t="n">
        <f aca="false">IFERROR(D327*E327,0)</f>
        <v>1292.62302131952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1292.62302131952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39381.16</v>
      </c>
      <c r="F328" s="22" t="n">
        <f aca="false">IFERROR(D328*E328,0)</f>
        <v>2758.55632670768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2758.55632670768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39381.16</v>
      </c>
      <c r="F329" s="21" t="n">
        <f aca="false">IFERROR(D329*E329,0)</f>
        <v>2949.7739679188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2949.7739679188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39381.16</v>
      </c>
      <c r="F330" s="22" t="n">
        <f aca="false">IFERROR(D330*E330,0)</f>
        <v>751.285673219148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751.285673219148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39381.16</v>
      </c>
      <c r="F331" s="21" t="n">
        <f aca="false">IFERROR(D331*E331,0)</f>
        <v>1316.4994975095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1316.4994975095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39381.16</v>
      </c>
      <c r="F332" s="22" t="n">
        <f aca="false">IFERROR(D332*E332,0)</f>
        <v>973.583899815499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973.583899815499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39381.16</v>
      </c>
      <c r="F333" s="21" t="n">
        <f aca="false">IFERROR(D333*E333,0)</f>
        <v>984.287147762731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984.287147762731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39381.16</v>
      </c>
      <c r="F334" s="22" t="n">
        <f aca="false">IFERROR(D334*E334,0)</f>
        <v>28354.5504657471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28354.5504657471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23864.66</v>
      </c>
      <c r="F335" s="21" t="n">
        <f aca="false">IFERROR(D335*E335,0)</f>
        <v>783.318950278842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783.318950278842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23864.66</v>
      </c>
      <c r="F336" s="22" t="n">
        <f aca="false">IFERROR(D336*E336,0)</f>
        <v>1671.66251140717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1671.66251140717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23864.66</v>
      </c>
      <c r="F337" s="21" t="n">
        <f aca="false">IFERROR(D337*E337,0)</f>
        <v>1787.53883382899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1787.53883382899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23864.66</v>
      </c>
      <c r="F338" s="22" t="n">
        <f aca="false">IFERROR(D338*E338,0)</f>
        <v>455.272956770346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455.272956770346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23864.66</v>
      </c>
      <c r="F339" s="21" t="n">
        <f aca="false">IFERROR(D339*E339,0)</f>
        <v>797.787899041954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797.787899041954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23864.66</v>
      </c>
      <c r="F340" s="22" t="n">
        <f aca="false">IFERROR(D340*E340,0)</f>
        <v>589.983859047599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589.983859047599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23864.66</v>
      </c>
      <c r="F341" s="21" t="n">
        <f aca="false">IFERROR(D341*E341,0)</f>
        <v>596.469939527615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596.469939527615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23864.66</v>
      </c>
      <c r="F342" s="22" t="n">
        <f aca="false">IFERROR(D342*E342,0)</f>
        <v>17182.6250500975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17182.6250500975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55087.64</v>
      </c>
      <c r="F343" s="21" t="n">
        <f aca="false">IFERROR(D343*E343,0)</f>
        <v>1831.02317188984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1831.02317188984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55087.64</v>
      </c>
      <c r="F344" s="22" t="n">
        <f aca="false">IFERROR(D344*E344,0)</f>
        <v>1831.02317188984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1831.02317188984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55087.64</v>
      </c>
      <c r="F345" s="21" t="n">
        <f aca="false">IFERROR(D345*E345,0)</f>
        <v>2197.22780626781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2197.22780626781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55087.64</v>
      </c>
      <c r="F346" s="22" t="n">
        <f aca="false">IFERROR(D346*E346,0)</f>
        <v>575.464425451092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575.464425451092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55087.64</v>
      </c>
      <c r="F347" s="21" t="n">
        <f aca="false">IFERROR(D347*E347,0)</f>
        <v>2197.22780626781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2197.22780626781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55087.64</v>
      </c>
      <c r="F348" s="22" t="n">
        <f aca="false">IFERROR(D348*E348,0)</f>
        <v>941.66905982906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941.66905982906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55087.64</v>
      </c>
      <c r="F349" s="21" t="n">
        <f aca="false">IFERROR(D349*E349,0)</f>
        <v>1046.29895536562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1046.29895536562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55087.64</v>
      </c>
      <c r="F350" s="22" t="n">
        <f aca="false">IFERROR(D350*E350,0)</f>
        <v>44467.7056030389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44467.7056030389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59605.01</v>
      </c>
      <c r="F351" s="21" t="n">
        <f aca="false">IFERROR(D351*E351,0)</f>
        <v>1956.43825910614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1956.43825910614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59605.01</v>
      </c>
      <c r="F352" s="22" t="n">
        <f aca="false">IFERROR(D352*E352,0)</f>
        <v>4175.18878161472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4175.18878161472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59605.01</v>
      </c>
      <c r="F353" s="21" t="n">
        <f aca="false">IFERROR(D353*E353,0)</f>
        <v>4464.60456867039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4464.60456867039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59605.01</v>
      </c>
      <c r="F354" s="22" t="n">
        <f aca="false">IFERROR(D354*E354,0)</f>
        <v>1137.10185441678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1137.10185441678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59605.01</v>
      </c>
      <c r="F355" s="21" t="n">
        <f aca="false">IFERROR(D355*E355,0)</f>
        <v>1992.57629064377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1992.57629064377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59605.01</v>
      </c>
      <c r="F356" s="22" t="n">
        <f aca="false">IFERROR(D356*E356,0)</f>
        <v>1473.5593894223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1473.5593894223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59605.01</v>
      </c>
      <c r="F357" s="21" t="n">
        <f aca="false">IFERROR(D357*E357,0)</f>
        <v>1489.7591966633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1489.7591966633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59605.01</v>
      </c>
      <c r="F358" s="22" t="n">
        <f aca="false">IFERROR(D358*E358,0)</f>
        <v>42915.7816594626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42915.7816594626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183839.01</v>
      </c>
      <c r="F359" s="21" t="n">
        <f aca="false">IFERROR(D359*E359,0)</f>
        <v>6034.21881281785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6034.21881281785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183839.01</v>
      </c>
      <c r="F360" s="22" t="n">
        <f aca="false">IFERROR(D360*E360,0)</f>
        <v>12877.4841607301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12877.4841607301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183839.01</v>
      </c>
      <c r="F361" s="21" t="n">
        <f aca="false">IFERROR(D361*E361,0)</f>
        <v>13770.1257653651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13770.1257653651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183839.01</v>
      </c>
      <c r="F362" s="22" t="n">
        <f aca="false">IFERROR(D362*E362,0)</f>
        <v>3507.1494692333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3507.1494692333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183839.01</v>
      </c>
      <c r="F363" s="21" t="n">
        <f aca="false">IFERROR(D363*E363,0)</f>
        <v>6145.67890553868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6145.67890553868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183839.01</v>
      </c>
      <c r="F364" s="22" t="n">
        <f aca="false">IFERROR(D364*E364,0)</f>
        <v>4544.88136697905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4544.88136697905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183839.01</v>
      </c>
      <c r="F365" s="21" t="n">
        <f aca="false">IFERROR(D365*E365,0)</f>
        <v>4594.84623612977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4594.84623612977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183839.01</v>
      </c>
      <c r="F366" s="22" t="n">
        <f aca="false">IFERROR(D366*E366,0)</f>
        <v>132364.625283206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132364.625283206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137110.97</v>
      </c>
      <c r="F367" s="21" t="n">
        <f aca="false">IFERROR(D367*E367,0)</f>
        <v>4500.44631233438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4500.44631233438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137110.97</v>
      </c>
      <c r="F368" s="22" t="n">
        <f aca="false">IFERROR(D368*E368,0)</f>
        <v>9604.2964136792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9604.2964136792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137110.97</v>
      </c>
      <c r="F369" s="21" t="n">
        <f aca="false">IFERROR(D369*E369,0)</f>
        <v>10270.0471500102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10270.0471500102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137110.97</v>
      </c>
      <c r="F370" s="22" t="n">
        <f aca="false">IFERROR(D370*E370,0)</f>
        <v>2615.70526114976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2615.70526114976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137110.97</v>
      </c>
      <c r="F371" s="21" t="n">
        <f aca="false">IFERROR(D371*E371,0)</f>
        <v>4583.57557542846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4583.57557542846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137110.97</v>
      </c>
      <c r="F372" s="22" t="n">
        <f aca="false">IFERROR(D372*E372,0)</f>
        <v>3389.66736581873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3389.66736581873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137110.97</v>
      </c>
      <c r="F373" s="21" t="n">
        <f aca="false">IFERROR(D373*E373,0)</f>
        <v>3426.93220789538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3426.93220789538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137110.97</v>
      </c>
      <c r="F374" s="22" t="n">
        <f aca="false">IFERROR(D374*E374,0)</f>
        <v>98720.2997136839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98720.2997136839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121121.88</v>
      </c>
      <c r="F375" s="21" t="n">
        <f aca="false">IFERROR(D375*E375,0)</f>
        <v>3975.63023723782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3975.63023723782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121121.88</v>
      </c>
      <c r="F376" s="22" t="n">
        <f aca="false">IFERROR(D376*E376,0)</f>
        <v>8484.29879609256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8484.29879609256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121121.88</v>
      </c>
      <c r="F377" s="21" t="n">
        <f aca="false">IFERROR(D377*E377,0)</f>
        <v>9072.41352386229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9072.41352386229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121121.88</v>
      </c>
      <c r="F378" s="22" t="n">
        <f aca="false">IFERROR(D378*E378,0)</f>
        <v>2310.67680985956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2310.67680985956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121121.88</v>
      </c>
      <c r="F379" s="21" t="n">
        <f aca="false">IFERROR(D379*E379,0)</f>
        <v>4049.06544544157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4049.06544544157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121121.88</v>
      </c>
      <c r="F380" s="22" t="n">
        <f aca="false">IFERROR(D380*E380,0)</f>
        <v>2994.38392072211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2994.38392072211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121121.88</v>
      </c>
      <c r="F381" s="21" t="n">
        <f aca="false">IFERROR(D381*E381,0)</f>
        <v>3027.30315198587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3027.30315198587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121121.88</v>
      </c>
      <c r="F382" s="22" t="n">
        <f aca="false">IFERROR(D382*E382,0)</f>
        <v>87208.1081147982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87208.1081147982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28356.7</v>
      </c>
      <c r="F383" s="21" t="n">
        <f aca="false">IFERROR(D383*E383,0)</f>
        <v>930.762913754985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930.762913754985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28356.7</v>
      </c>
      <c r="F384" s="22" t="n">
        <f aca="false">IFERROR(D384*E384,0)</f>
        <v>1986.31919906757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1986.31919906757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28356.7</v>
      </c>
      <c r="F385" s="21" t="n">
        <f aca="false">IFERROR(D385*E385,0)</f>
        <v>2124.00689761508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2124.00689761508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28356.7</v>
      </c>
      <c r="F386" s="22" t="n">
        <f aca="false">IFERROR(D386*E386,0)</f>
        <v>540.968890956321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540.968890956321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28356.7</v>
      </c>
      <c r="F387" s="21" t="n">
        <f aca="false">IFERROR(D387*E387,0)</f>
        <v>947.955349741542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947.955349741542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28356.7</v>
      </c>
      <c r="F388" s="22" t="n">
        <f aca="false">IFERROR(D388*E388,0)</f>
        <v>701.036398417369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701.036398417369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28356.7</v>
      </c>
      <c r="F389" s="21" t="n">
        <f aca="false">IFERROR(D389*E389,0)</f>
        <v>708.743352480309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708.743352480309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28356.7</v>
      </c>
      <c r="F390" s="22" t="n">
        <f aca="false">IFERROR(D390*E390,0)</f>
        <v>20416.9069979668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20416.9069979668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59591.25</v>
      </c>
      <c r="F391" s="21" t="n">
        <f aca="false">IFERROR(D391*E391,0)</f>
        <v>1955.98660931285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1955.98660931285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59591.25</v>
      </c>
      <c r="F392" s="22" t="n">
        <f aca="false">IFERROR(D392*E392,0)</f>
        <v>4174.22492643485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4174.22492643485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59591.25</v>
      </c>
      <c r="F393" s="21" t="n">
        <f aca="false">IFERROR(D393*E393,0)</f>
        <v>4463.57390096536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4463.57390096536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59591.25</v>
      </c>
      <c r="F394" s="22" t="n">
        <f aca="false">IFERROR(D394*E394,0)</f>
        <v>1136.83935095413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1136.83935095413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59591.25</v>
      </c>
      <c r="F395" s="21" t="n">
        <f aca="false">IFERROR(D395*E395,0)</f>
        <v>1992.11629827468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1992.11629827468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59591.25</v>
      </c>
      <c r="F396" s="22" t="n">
        <f aca="false">IFERROR(D396*E396,0)</f>
        <v>1473.2192137022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1473.2192137022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59591.25</v>
      </c>
      <c r="F397" s="21" t="n">
        <f aca="false">IFERROR(D397*E397,0)</f>
        <v>1489.41528116784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1489.41528116784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59591.25</v>
      </c>
      <c r="F398" s="22" t="n">
        <f aca="false">IFERROR(D398*E398,0)</f>
        <v>42905.8744191881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42905.8744191881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75103.57</v>
      </c>
      <c r="F399" s="21" t="n">
        <f aca="false">IFERROR(D399*E399,0)</f>
        <v>2465.15347859947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2465.15347859947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75103.57</v>
      </c>
      <c r="F400" s="22" t="n">
        <f aca="false">IFERROR(D400*E400,0)</f>
        <v>5260.82594270542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5260.82594270542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75103.57</v>
      </c>
      <c r="F401" s="21" t="n">
        <f aca="false">IFERROR(D401*E401,0)</f>
        <v>5625.4959397785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5625.4959397785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75103.57</v>
      </c>
      <c r="F402" s="22" t="n">
        <f aca="false">IFERROR(D402*E402,0)</f>
        <v>1432.77232434523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1432.77232434523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75103.57</v>
      </c>
      <c r="F403" s="21" t="n">
        <f aca="false">IFERROR(D403*E403,0)</f>
        <v>2510.68816068825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2510.68816068825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75103.57</v>
      </c>
      <c r="F404" s="22" t="n">
        <f aca="false">IFERROR(D404*E404,0)</f>
        <v>1856.71591620629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1856.71591620629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75103.57</v>
      </c>
      <c r="F405" s="21" t="n">
        <f aca="false">IFERROR(D405*E405,0)</f>
        <v>1877.12801507367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1877.12801507367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75103.57</v>
      </c>
      <c r="F406" s="22" t="n">
        <f aca="false">IFERROR(D406*E406,0)</f>
        <v>54074.7902226032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54074.7902226032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54551.33</v>
      </c>
      <c r="F407" s="21" t="n">
        <f aca="false">IFERROR(D407*E407,0)</f>
        <v>1790.55936903835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1790.55936903835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54551.33</v>
      </c>
      <c r="F408" s="22" t="n">
        <f aca="false">IFERROR(D408*E408,0)</f>
        <v>3821.19055156878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3821.19055156878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54551.33</v>
      </c>
      <c r="F409" s="21" t="n">
        <f aca="false">IFERROR(D409*E409,0)</f>
        <v>4086.06788498226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4086.06788498226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54551.33</v>
      </c>
      <c r="F410" s="22" t="n">
        <f aca="false">IFERROR(D410*E410,0)</f>
        <v>1040.69135302388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1040.69135302388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54551.33</v>
      </c>
      <c r="F411" s="21" t="n">
        <f aca="false">IFERROR(D411*E411,0)</f>
        <v>1823.6333956002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1823.6333956002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54551.33</v>
      </c>
      <c r="F412" s="22" t="n">
        <f aca="false">IFERROR(D412*E412,0)</f>
        <v>1348.62194515149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1348.62194515149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54551.33</v>
      </c>
      <c r="F413" s="21" t="n">
        <f aca="false">IFERROR(D413*E413,0)</f>
        <v>1363.4482329206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1363.4482329206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54551.33</v>
      </c>
      <c r="F414" s="22" t="n">
        <f aca="false">IFERROR(D414*E414,0)</f>
        <v>39277.1172677144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39277.1172677144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178697.05</v>
      </c>
      <c r="F415" s="21" t="n">
        <f aca="false">IFERROR(D415*E415,0)</f>
        <v>5865.44227422162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5865.44227422162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178697.05</v>
      </c>
      <c r="F416" s="22" t="n">
        <f aca="false">IFERROR(D416*E416,0)</f>
        <v>12517.3021272481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12517.3021272481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178697.05</v>
      </c>
      <c r="F417" s="21" t="n">
        <f aca="false">IFERROR(D417*E417,0)</f>
        <v>13384.9766292787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13384.9766292787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178697.05</v>
      </c>
      <c r="F418" s="22" t="n">
        <f aca="false">IFERROR(D418*E418,0)</f>
        <v>3409.0548249855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3409.0548249855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178697.05</v>
      </c>
      <c r="F419" s="21" t="n">
        <f aca="false">IFERROR(D419*E419,0)</f>
        <v>5973.78483852253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5973.78483852253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178697.05</v>
      </c>
      <c r="F420" s="22" t="n">
        <f aca="false">IFERROR(D420*E420,0)</f>
        <v>4417.76145813189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4417.76145813189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178697.05</v>
      </c>
      <c r="F421" s="21" t="n">
        <f aca="false">IFERROR(D421*E421,0)</f>
        <v>4466.32881454264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4466.32881454264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178697.05</v>
      </c>
      <c r="F422" s="22" t="n">
        <f aca="false">IFERROR(D422*E422,0)</f>
        <v>128662.399033069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128662.399033069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116837.06</v>
      </c>
      <c r="F423" s="21" t="n">
        <f aca="false">IFERROR(D423*E423,0)</f>
        <v>3834.9879358376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3834.9879358376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116837.06</v>
      </c>
      <c r="F424" s="22" t="n">
        <f aca="false">IFERROR(D424*E424,0)</f>
        <v>8184.15737517444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8184.15737517444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116837.06</v>
      </c>
      <c r="F425" s="21" t="n">
        <f aca="false">IFERROR(D425*E425,0)</f>
        <v>8751.46689625615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8751.46689625615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116837.06</v>
      </c>
      <c r="F426" s="22" t="n">
        <f aca="false">IFERROR(D426*E426,0)</f>
        <v>2228.93407098841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2228.93407098841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116837.06</v>
      </c>
      <c r="F427" s="21" t="n">
        <f aca="false">IFERROR(D427*E427,0)</f>
        <v>3905.82529261422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3905.82529261422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116837.06</v>
      </c>
      <c r="F428" s="22" t="n">
        <f aca="false">IFERROR(D428*E428,0)</f>
        <v>2888.45428925348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2888.45428925348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116837.06</v>
      </c>
      <c r="F429" s="21" t="n">
        <f aca="false">IFERROR(D429*E429,0)</f>
        <v>2920.2089664292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2920.2089664292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116837.06</v>
      </c>
      <c r="F430" s="22" t="n">
        <f aca="false">IFERROR(D430*E430,0)</f>
        <v>84123.0251734465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84123.0251734465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47847.26</v>
      </c>
      <c r="F431" s="21" t="n">
        <f aca="false">IFERROR(D431*E431,0)</f>
        <v>1590.36476733143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1590.36476733143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47847.26</v>
      </c>
      <c r="F432" s="22" t="n">
        <f aca="false">IFERROR(D432*E432,0)</f>
        <v>1590.36476733143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1590.36476733143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47847.26</v>
      </c>
      <c r="F433" s="21" t="n">
        <f aca="false">IFERROR(D433*E433,0)</f>
        <v>1908.43772079772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1908.43772079772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47847.26</v>
      </c>
      <c r="F434" s="22" t="n">
        <f aca="false">IFERROR(D434*E434,0)</f>
        <v>499.828926875594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499.828926875594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47847.26</v>
      </c>
      <c r="F435" s="21" t="n">
        <f aca="false">IFERROR(D435*E435,0)</f>
        <v>1908.43772079772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1908.43772079772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47847.26</v>
      </c>
      <c r="F436" s="22" t="n">
        <f aca="false">IFERROR(D436*E436,0)</f>
        <v>817.90188034188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817.90188034188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47847.26</v>
      </c>
      <c r="F437" s="21" t="n">
        <f aca="false">IFERROR(D437*E437,0)</f>
        <v>908.779867046534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908.779867046534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47847.26</v>
      </c>
      <c r="F438" s="22" t="n">
        <f aca="false">IFERROR(D438*E438,0)</f>
        <v>38623.1443494777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38623.1443494777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77723.24</v>
      </c>
      <c r="F439" s="21" t="n">
        <f aca="false">IFERROR(D439*E439,0)</f>
        <v>2541.25844390072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2541.25844390072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77723.24</v>
      </c>
      <c r="F440" s="22" t="n">
        <f aca="false">IFERROR(D440*E440,0)</f>
        <v>5219.06902640813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5219.06902640813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77723.24</v>
      </c>
      <c r="F441" s="21" t="n">
        <f aca="false">IFERROR(D441*E441,0)</f>
        <v>5666.14227116844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5666.14227116844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77723.24</v>
      </c>
      <c r="F442" s="22" t="n">
        <f aca="false">IFERROR(D442*E442,0)</f>
        <v>1452.31299958807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1452.31299958807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77723.24</v>
      </c>
      <c r="F443" s="21" t="n">
        <f aca="false">IFERROR(D443*E443,0)</f>
        <v>2533.54363380995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2533.54363380995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77723.24</v>
      </c>
      <c r="F444" s="22" t="n">
        <f aca="false">IFERROR(D444*E444,0)</f>
        <v>1853.48312430828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1853.48312430828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77723.24</v>
      </c>
      <c r="F445" s="21" t="n">
        <f aca="false">IFERROR(D445*E445,0)</f>
        <v>1853.86886481282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1853.86886481282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77723.24</v>
      </c>
      <c r="F446" s="22" t="n">
        <f aca="false">IFERROR(D446*E446,0)</f>
        <v>56603.5616360036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56603.5616360036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33249.39</v>
      </c>
      <c r="F447" s="21" t="n">
        <f aca="false">IFERROR(D447*E447,0)</f>
        <v>1037.13693577982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1037.13693577982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33249.39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33249.39</v>
      </c>
      <c r="F449" s="21" t="n">
        <f aca="false">IFERROR(D449*E449,0)</f>
        <v>1433.68929357798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1433.68929357798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33249.39</v>
      </c>
      <c r="F450" s="22" t="n">
        <f aca="false">IFERROR(D450*E450,0)</f>
        <v>335.544302752294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335.544302752294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33249.39</v>
      </c>
      <c r="F451" s="21" t="n">
        <f aca="false">IFERROR(D451*E451,0)</f>
        <v>1525.20137614679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1525.20137614679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33249.39</v>
      </c>
      <c r="F452" s="22" t="n">
        <f aca="false">IFERROR(D452*E452,0)</f>
        <v>549.072495412844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549.072495412844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33249.39</v>
      </c>
      <c r="F453" s="21" t="n">
        <f aca="false">IFERROR(D453*E453,0)</f>
        <v>732.096660550459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732.096660550459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33249.39</v>
      </c>
      <c r="F454" s="22" t="n">
        <f aca="false">IFERROR(D454*E454,0)</f>
        <v>27636.6489357798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27636.6489357798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47280.13</v>
      </c>
      <c r="F455" s="21" t="n">
        <f aca="false">IFERROR(D455*E455,0)</f>
        <v>1474.79304587156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1474.79304587156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47280.13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47280.13</v>
      </c>
      <c r="F457" s="21" t="n">
        <f aca="false">IFERROR(D457*E457,0)</f>
        <v>2038.68450458716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2038.68450458716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47280.13</v>
      </c>
      <c r="F458" s="22" t="n">
        <f aca="false">IFERROR(D458*E458,0)</f>
        <v>477.138926605505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477.138926605505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47280.13</v>
      </c>
      <c r="F459" s="21" t="n">
        <f aca="false">IFERROR(D459*E459,0)</f>
        <v>2168.81330275229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2168.81330275229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47280.13</v>
      </c>
      <c r="F460" s="22" t="n">
        <f aca="false">IFERROR(D460*E460,0)</f>
        <v>780.772788990826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780.772788990826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47280.13</v>
      </c>
      <c r="F461" s="21" t="n">
        <f aca="false">IFERROR(D461*E461,0)</f>
        <v>1041.0303853211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1041.0303853211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47280.13</v>
      </c>
      <c r="F462" s="22" t="n">
        <f aca="false">IFERROR(D462*E462,0)</f>
        <v>39298.8970458716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39298.8970458716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30015.4</v>
      </c>
      <c r="F463" s="21" t="n">
        <f aca="false">IFERROR(D463*E463,0)</f>
        <v>981.391006049898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981.391006049898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30015.4</v>
      </c>
      <c r="F464" s="22" t="n">
        <f aca="false">IFERROR(D464*E464,0)</f>
        <v>2015.5161371972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2015.5161371972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30015.4</v>
      </c>
      <c r="F465" s="21" t="n">
        <f aca="false">IFERROR(D465*E465,0)</f>
        <v>2188.1682586319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2188.1682586319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30015.4</v>
      </c>
      <c r="F466" s="22" t="n">
        <f aca="false">IFERROR(D466*E466,0)</f>
        <v>560.858703366404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560.858703366404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30015.4</v>
      </c>
      <c r="F467" s="21" t="n">
        <f aca="false">IFERROR(D467*E467,0)</f>
        <v>978.41167694835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978.41167694835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30015.4</v>
      </c>
      <c r="F468" s="22" t="n">
        <f aca="false">IFERROR(D468*E468,0)</f>
        <v>715.783816646897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715.783816646897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30015.4</v>
      </c>
      <c r="F469" s="21" t="n">
        <f aca="false">IFERROR(D469*E469,0)</f>
        <v>715.932783101975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715.932783101975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30015.4</v>
      </c>
      <c r="F470" s="22" t="n">
        <f aca="false">IFERROR(D470*E470,0)</f>
        <v>21859.3376180574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21859.3376180574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12869.48</v>
      </c>
      <c r="F471" s="21" t="n">
        <f aca="false">IFERROR(D471*E471,0)</f>
        <v>420.783728504003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420.783728504003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12869.48</v>
      </c>
      <c r="F472" s="22" t="n">
        <f aca="false">IFERROR(D472*E472,0)</f>
        <v>864.177875934905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864.177875934905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12869.48</v>
      </c>
      <c r="F473" s="21" t="n">
        <f aca="false">IFERROR(D473*E473,0)</f>
        <v>938.204642986536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938.204642986536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12869.48</v>
      </c>
      <c r="F474" s="22" t="n">
        <f aca="false">IFERROR(D474*E474,0)</f>
        <v>240.475218247962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240.475218247962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12869.48</v>
      </c>
      <c r="F475" s="21" t="n">
        <f aca="false">IFERROR(D475*E475,0)</f>
        <v>419.506303705873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419.506303705873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12869.48</v>
      </c>
      <c r="F476" s="22" t="n">
        <f aca="false">IFERROR(D476*E476,0)</f>
        <v>306.901307750718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306.901307750718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12869.48</v>
      </c>
      <c r="F477" s="21" t="n">
        <f aca="false">IFERROR(D477*E477,0)</f>
        <v>306.965178990625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306.965178990625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12869.48</v>
      </c>
      <c r="F478" s="22" t="n">
        <f aca="false">IFERROR(D478*E478,0)</f>
        <v>9372.46574387938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9372.46574387938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65126</v>
      </c>
      <c r="F479" s="21" t="n">
        <f aca="false">IFERROR(D479*E479,0)</f>
        <v>2129.37594234978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2129.37594234978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65126</v>
      </c>
      <c r="F480" s="22" t="n">
        <f aca="false">IFERROR(D480*E480,0)</f>
        <v>4373.17190345971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4373.17190345971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65126</v>
      </c>
      <c r="F481" s="21" t="n">
        <f aca="false">IFERROR(D481*E481,0)</f>
        <v>4747.78433776199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4747.78433776199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65126</v>
      </c>
      <c r="F482" s="22" t="n">
        <f aca="false">IFERROR(D482*E482,0)</f>
        <v>1216.92477579644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1216.92477579644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65126</v>
      </c>
      <c r="F483" s="21" t="n">
        <f aca="false">IFERROR(D483*E483,0)</f>
        <v>2122.91153451023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2122.91153451023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65126</v>
      </c>
      <c r="F484" s="22" t="n">
        <f aca="false">IFERROR(D484*E484,0)</f>
        <v>1553.07398345336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1553.07398345336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65126</v>
      </c>
      <c r="F485" s="21" t="n">
        <f aca="false">IFERROR(D485*E485,0)</f>
        <v>1553.39720384533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1553.39720384533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65126</v>
      </c>
      <c r="F486" s="22" t="n">
        <f aca="false">IFERROR(D486*E486,0)</f>
        <v>47429.3603188232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47429.3603188232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176924.069</v>
      </c>
      <c r="F487" s="21" t="n">
        <f aca="false">IFERROR(D487*E487,0)</f>
        <v>5784.75349555067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5784.75349555067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176924.069</v>
      </c>
      <c r="F488" s="22" t="n">
        <f aca="false">IFERROR(D488*E488,0)</f>
        <v>11880.3452936856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11880.3452936856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176924.069</v>
      </c>
      <c r="F489" s="21" t="n">
        <f aca="false">IFERROR(D489*E489,0)</f>
        <v>12898.0334086436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12898.0334086436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176924.069</v>
      </c>
      <c r="F490" s="22" t="n">
        <f aca="false">IFERROR(D490*E490,0)</f>
        <v>3305.94974358656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3305.94974358656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176924.069</v>
      </c>
      <c r="F491" s="21" t="n">
        <f aca="false">IFERROR(D491*E491,0)</f>
        <v>5767.19200952896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5767.19200952896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176924.069</v>
      </c>
      <c r="F492" s="22" t="n">
        <f aca="false">IFERROR(D492*E492,0)</f>
        <v>4219.14701671539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4219.14701671539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176924.069</v>
      </c>
      <c r="F493" s="21" t="n">
        <f aca="false">IFERROR(D493*E493,0)</f>
        <v>4220.02509101647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4220.02509101647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176924.069</v>
      </c>
      <c r="F494" s="22" t="n">
        <f aca="false">IFERROR(D494*E494,0)</f>
        <v>128848.622941273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128848.622941273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60073.379</v>
      </c>
      <c r="F495" s="21" t="n">
        <f aca="false">IFERROR(D495*E495,0)</f>
        <v>1964.17418570557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1964.17418570557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60073.379</v>
      </c>
      <c r="F496" s="22" t="n">
        <f aca="false">IFERROR(D496*E496,0)</f>
        <v>4033.89142874868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4033.89142874868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60073.379</v>
      </c>
      <c r="F497" s="21" t="n">
        <f aca="false">IFERROR(D497*E497,0)</f>
        <v>4379.44059104873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4379.44059104873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60073.379</v>
      </c>
      <c r="F498" s="22" t="n">
        <f aca="false">IFERROR(D498*E498,0)</f>
        <v>1122.51302507308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1122.51302507308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60073.379</v>
      </c>
      <c r="F499" s="21" t="n">
        <f aca="false">IFERROR(D499*E499,0)</f>
        <v>1958.21130111022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1958.21130111022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60073.379</v>
      </c>
      <c r="F500" s="22" t="n">
        <f aca="false">IFERROR(D500*E500,0)</f>
        <v>1432.58302403085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1432.58302403085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60073.379</v>
      </c>
      <c r="F501" s="21" t="n">
        <f aca="false">IFERROR(D501*E501,0)</f>
        <v>1432.88116826062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1432.88116826062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60073.379</v>
      </c>
      <c r="F502" s="22" t="n">
        <f aca="false">IFERROR(D502*E502,0)</f>
        <v>43749.6842760223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43749.6842760223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69670.089</v>
      </c>
      <c r="F503" s="21" t="n">
        <f aca="false">IFERROR(D503*E503,0)</f>
        <v>2277.95060986347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2277.95060986347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69670.089</v>
      </c>
      <c r="F504" s="22" t="n">
        <f aca="false">IFERROR(D504*E504,0)</f>
        <v>4678.30475887261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4678.30475887261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69670.089</v>
      </c>
      <c r="F505" s="21" t="n">
        <f aca="false">IFERROR(D505*E505,0)</f>
        <v>5079.05532912636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5079.05532912636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69670.089</v>
      </c>
      <c r="F506" s="22" t="n">
        <f aca="false">IFERROR(D506*E506,0)</f>
        <v>1301.83425108317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1301.83425108317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69670.089</v>
      </c>
      <c r="F507" s="21" t="n">
        <f aca="false">IFERROR(D507*E507,0)</f>
        <v>2271.03515567445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2271.03515567445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69670.089</v>
      </c>
      <c r="F508" s="22" t="n">
        <f aca="false">IFERROR(D508*E508,0)</f>
        <v>1661.43786891226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1661.43786891226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69670.089</v>
      </c>
      <c r="F509" s="21" t="n">
        <f aca="false">IFERROR(D509*E509,0)</f>
        <v>1661.78364162171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1661.78364162171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69670.089</v>
      </c>
      <c r="F510" s="22" t="n">
        <f aca="false">IFERROR(D510*E510,0)</f>
        <v>50738.687384846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50738.687384846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35666.14</v>
      </c>
      <c r="F511" s="21" t="n">
        <f aca="false">IFERROR(D511*E511,0)</f>
        <v>1166.14901072505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1166.14901072505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35666.14</v>
      </c>
      <c r="F512" s="22" t="n">
        <f aca="false">IFERROR(D512*E512,0)</f>
        <v>2394.95994461291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2394.95994461291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35666.14</v>
      </c>
      <c r="F513" s="21" t="n">
        <f aca="false">IFERROR(D513*E513,0)</f>
        <v>2600.11578909232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2600.11578909232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35666.14</v>
      </c>
      <c r="F514" s="22" t="n">
        <f aca="false">IFERROR(D514*E514,0)</f>
        <v>666.446725163903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666.446725163903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35666.14</v>
      </c>
      <c r="F515" s="21" t="n">
        <f aca="false">IFERROR(D515*E515,0)</f>
        <v>1162.60878907743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1162.60878907743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35666.14</v>
      </c>
      <c r="F516" s="22" t="n">
        <f aca="false">IFERROR(D516*E516,0)</f>
        <v>850.538250839988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850.538250839988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35666.14</v>
      </c>
      <c r="F517" s="21" t="n">
        <f aca="false">IFERROR(D517*E517,0)</f>
        <v>850.715261922369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850.715261922369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35666.14</v>
      </c>
      <c r="F518" s="22" t="n">
        <f aca="false">IFERROR(D518*E518,0)</f>
        <v>25974.606228566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25974.606228566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21871.89</v>
      </c>
      <c r="F519" s="21" t="n">
        <f aca="false">IFERROR(D519*E519,0)</f>
        <v>715.128771607665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715.128771607665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21871.89</v>
      </c>
      <c r="F520" s="22" t="n">
        <f aca="false">IFERROR(D520*E520,0)</f>
        <v>1468.68431691738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1468.68431691738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21871.89</v>
      </c>
      <c r="F521" s="21" t="n">
        <f aca="false">IFERROR(D521*E521,0)</f>
        <v>1594.49400821873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1594.49400821873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21871.89</v>
      </c>
      <c r="F522" s="22" t="n">
        <f aca="false">IFERROR(D522*E522,0)</f>
        <v>408.691533865036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408.691533865036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21871.89</v>
      </c>
      <c r="F523" s="21" t="n">
        <f aca="false">IFERROR(D523*E523,0)</f>
        <v>712.957767443707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712.957767443707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21871.89</v>
      </c>
      <c r="F524" s="22" t="n">
        <f aca="false">IFERROR(D524*E524,0)</f>
        <v>521.583750390836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521.583750390836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21871.89</v>
      </c>
      <c r="F525" s="21" t="n">
        <f aca="false">IFERROR(D525*E525,0)</f>
        <v>521.692300599034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521.692300599034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21871.89</v>
      </c>
      <c r="F526" s="22" t="n">
        <f aca="false">IFERROR(D526*E526,0)</f>
        <v>15928.6575509576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15928.6575509576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44219.72</v>
      </c>
      <c r="F527" s="21" t="n">
        <f aca="false">IFERROR(D527*E527,0)</f>
        <v>1445.81899618345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1445.81899618345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44219.72</v>
      </c>
      <c r="F528" s="22" t="n">
        <f aca="false">IFERROR(D528*E528,0)</f>
        <v>2969.32771984853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2969.32771984853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44219.72</v>
      </c>
      <c r="F529" s="21" t="n">
        <f aca="false">IFERROR(D529*E529,0)</f>
        <v>3223.6847654734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3223.6847654734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44219.72</v>
      </c>
      <c r="F530" s="22" t="n">
        <f aca="false">IFERROR(D530*E530,0)</f>
        <v>826.276338893549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826.276338893549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44219.72</v>
      </c>
      <c r="F531" s="21" t="n">
        <f aca="false">IFERROR(D531*E531,0)</f>
        <v>1441.42974604325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1441.42974604325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44219.72</v>
      </c>
      <c r="F532" s="22" t="n">
        <f aca="false">IFERROR(D532*E532,0)</f>
        <v>1054.5173461842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1054.5173461842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44219.72</v>
      </c>
      <c r="F533" s="21" t="n">
        <f aca="false">IFERROR(D533*E533,0)</f>
        <v>1054.73680869121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1054.73680869121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44219.72</v>
      </c>
      <c r="F534" s="22" t="n">
        <f aca="false">IFERROR(D534*E534,0)</f>
        <v>32203.9282786824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32203.9282786824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29976.31</v>
      </c>
      <c r="F535" s="21" t="n">
        <f aca="false">IFERROR(D535*E535,0)</f>
        <v>980.112909658496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980.112909658496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29976.31</v>
      </c>
      <c r="F536" s="22" t="n">
        <f aca="false">IFERROR(D536*E536,0)</f>
        <v>2012.89126710374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2012.89126710374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29976.31</v>
      </c>
      <c r="F537" s="21" t="n">
        <f aca="false">IFERROR(D537*E537,0)</f>
        <v>2185.31853824737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2185.31853824737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29976.31</v>
      </c>
      <c r="F538" s="22" t="n">
        <f aca="false">IFERROR(D538*E538,0)</f>
        <v>560.128279426873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560.128279426873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29976.31</v>
      </c>
      <c r="F539" s="21" t="n">
        <f aca="false">IFERROR(D539*E539,0)</f>
        <v>977.137460630996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977.137460630996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29976.31</v>
      </c>
      <c r="F540" s="22" t="n">
        <f aca="false">IFERROR(D540*E540,0)</f>
        <v>714.851628856872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714.851628856872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29976.31</v>
      </c>
      <c r="F541" s="21" t="n">
        <f aca="false">IFERROR(D541*E541,0)</f>
        <v>715.000401308247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715.000401308247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29976.31</v>
      </c>
      <c r="F542" s="22" t="n">
        <f aca="false">IFERROR(D542*E542,0)</f>
        <v>21830.8695147674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21830.8695147674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69442.63</v>
      </c>
      <c r="F543" s="21" t="n">
        <f aca="false">IFERROR(D543*E543,0)</f>
        <v>2166.1003853211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2166.1003853211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69442.63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69442.63</v>
      </c>
      <c r="F545" s="21" t="n">
        <f aca="false">IFERROR(D545*E545,0)</f>
        <v>2994.31523853211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2994.31523853211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69442.63</v>
      </c>
      <c r="F546" s="22" t="n">
        <f aca="false">IFERROR(D546*E546,0)</f>
        <v>700.797183486239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700.797183486239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69442.63</v>
      </c>
      <c r="F547" s="21" t="n">
        <f aca="false">IFERROR(D547*E547,0)</f>
        <v>3185.44174311927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3185.44174311927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69442.63</v>
      </c>
      <c r="F548" s="22" t="n">
        <f aca="false">IFERROR(D548*E548,0)</f>
        <v>1146.75902752294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1146.75902752294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69442.63</v>
      </c>
      <c r="F549" s="21" t="n">
        <f aca="false">IFERROR(D549*E549,0)</f>
        <v>1529.01203669725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1529.01203669725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69442.63</v>
      </c>
      <c r="F550" s="22" t="n">
        <f aca="false">IFERROR(D550*E550,0)</f>
        <v>57720.2043853211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57720.2043853211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88563.17</v>
      </c>
      <c r="F551" s="21" t="n">
        <f aca="false">IFERROR(D551*E551,0)</f>
        <v>2895.68349931262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2895.68349931262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88563.17</v>
      </c>
      <c r="F552" s="22" t="n">
        <f aca="false">IFERROR(D552*E552,0)</f>
        <v>5946.96383510926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5946.96383510926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88563.17</v>
      </c>
      <c r="F553" s="21" t="n">
        <f aca="false">IFERROR(D553*E553,0)</f>
        <v>6456.38963591426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6456.38963591426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88563.17</v>
      </c>
      <c r="F554" s="22" t="n">
        <f aca="false">IFERROR(D554*E554,0)</f>
        <v>1654.86465921555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1654.86465921555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88563.17</v>
      </c>
      <c r="F555" s="21" t="n">
        <f aca="false">IFERROR(D555*E555,0)</f>
        <v>2886.89271759036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2886.89271759036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88563.17</v>
      </c>
      <c r="F556" s="22" t="n">
        <f aca="false">IFERROR(D556*E556,0)</f>
        <v>2111.9853087731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2111.9853087731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88563.17</v>
      </c>
      <c r="F557" s="21" t="n">
        <f aca="false">IFERROR(D557*E557,0)</f>
        <v>2112.42484785921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2112.42484785921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88563.17</v>
      </c>
      <c r="F558" s="22" t="n">
        <f aca="false">IFERROR(D558*E558,0)</f>
        <v>64497.9654962256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64497.9654962256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182930.41</v>
      </c>
      <c r="F559" s="21" t="n">
        <f aca="false">IFERROR(D559*E559,0)</f>
        <v>5981.13831923014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5981.13831923014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182930.41</v>
      </c>
      <c r="F560" s="22" t="n">
        <f aca="false">IFERROR(D560*E560,0)</f>
        <v>12283.6674953224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12283.6674953224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182930.41</v>
      </c>
      <c r="F561" s="21" t="n">
        <f aca="false">IFERROR(D561*E561,0)</f>
        <v>13335.904792224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13335.904792224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182930.41</v>
      </c>
      <c r="F562" s="22" t="n">
        <f aca="false">IFERROR(D562*E562,0)</f>
        <v>3418.18241832141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3418.18241832141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182930.41</v>
      </c>
      <c r="F563" s="21" t="n">
        <f aca="false">IFERROR(D563*E563,0)</f>
        <v>5962.98064370121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5962.98064370121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182930.41</v>
      </c>
      <c r="F564" s="22" t="n">
        <f aca="false">IFERROR(D564*E564,0)</f>
        <v>4362.38154582587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4362.38154582587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182930.41</v>
      </c>
      <c r="F565" s="21" t="n">
        <f aca="false">IFERROR(D565*E565,0)</f>
        <v>4363.28942960232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4363.28942960232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182930.41</v>
      </c>
      <c r="F566" s="22" t="n">
        <f aca="false">IFERROR(D566*E566,0)</f>
        <v>133222.865355773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133222.865355773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120352.68</v>
      </c>
      <c r="F567" s="21" t="n">
        <f aca="false">IFERROR(D567*E567,0)</f>
        <v>3935.08124849249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3935.08124849249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120352.68</v>
      </c>
      <c r="F568" s="22" t="n">
        <f aca="false">IFERROR(D568*E568,0)</f>
        <v>8081.61039649414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8081.61039649414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120352.68</v>
      </c>
      <c r="F569" s="21" t="n">
        <f aca="false">IFERROR(D569*E569,0)</f>
        <v>8773.89320872893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8773.89320872893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120352.68</v>
      </c>
      <c r="F570" s="22" t="n">
        <f aca="false">IFERROR(D570*E570,0)</f>
        <v>2248.87384647453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2248.87384647453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120352.68</v>
      </c>
      <c r="F571" s="21" t="n">
        <f aca="false">IFERROR(D571*E571,0)</f>
        <v>3923.13503948067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3923.13503948067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120352.68</v>
      </c>
      <c r="F572" s="22" t="n">
        <f aca="false">IFERROR(D572*E572,0)</f>
        <v>2870.07671508901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2870.07671508901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120352.68</v>
      </c>
      <c r="F573" s="21" t="n">
        <f aca="false">IFERROR(D573*E573,0)</f>
        <v>2870.6740255396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2870.6740255396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120352.68</v>
      </c>
      <c r="F574" s="22" t="n">
        <f aca="false">IFERROR(D574*E574,0)</f>
        <v>87649.3355197006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87649.3355197006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124066.75</v>
      </c>
      <c r="F575" s="21" t="n">
        <f aca="false">IFERROR(D575*E575,0)</f>
        <v>4056.51740772541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4056.51740772541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124066.75</v>
      </c>
      <c r="F576" s="22" t="n">
        <f aca="false">IFERROR(D576*E576,0)</f>
        <v>8331.00797306083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8331.00797306083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124066.75</v>
      </c>
      <c r="F577" s="21" t="n">
        <f aca="false">IFERROR(D577*E577,0)</f>
        <v>9044.65455404956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9044.65455404956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124066.75</v>
      </c>
      <c r="F578" s="22" t="n">
        <f aca="false">IFERROR(D578*E578,0)</f>
        <v>2318.27383729298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2318.27383729298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124066.75</v>
      </c>
      <c r="F579" s="21" t="n">
        <f aca="false">IFERROR(D579*E579,0)</f>
        <v>4044.20254006382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4044.20254006382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124066.75</v>
      </c>
      <c r="F580" s="22" t="n">
        <f aca="false">IFERROR(D580*E580,0)</f>
        <v>2958.64695569529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2958.64695569529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124066.75</v>
      </c>
      <c r="F581" s="21" t="n">
        <f aca="false">IFERROR(D581*E581,0)</f>
        <v>2959.26269907837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2959.26269907837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124066.75</v>
      </c>
      <c r="F582" s="22" t="n">
        <f aca="false">IFERROR(D582*E582,0)</f>
        <v>90354.1840330337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90354.1840330337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28556.46</v>
      </c>
      <c r="F583" s="21" t="n">
        <f aca="false">IFERROR(D583*E583,0)</f>
        <v>933.689139862326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933.689139862326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28556.46</v>
      </c>
      <c r="F584" s="22" t="n">
        <f aca="false">IFERROR(D584*E584,0)</f>
        <v>1917.54918979011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1917.54918979011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28556.46</v>
      </c>
      <c r="F585" s="21" t="n">
        <f aca="false">IFERROR(D585*E585,0)</f>
        <v>2081.80931624738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2081.80931624738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28556.46</v>
      </c>
      <c r="F586" s="22" t="n">
        <f aca="false">IFERROR(D586*E586,0)</f>
        <v>533.597390950464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533.597390950464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28556.46</v>
      </c>
      <c r="F587" s="21" t="n">
        <f aca="false">IFERROR(D587*E587,0)</f>
        <v>930.854625169362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930.854625169362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28556.46</v>
      </c>
      <c r="F588" s="22" t="n">
        <f aca="false">IFERROR(D588*E588,0)</f>
        <v>680.99215498459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680.99215498459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28556.46</v>
      </c>
      <c r="F589" s="21" t="n">
        <f aca="false">IFERROR(D589*E589,0)</f>
        <v>681.133880719238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681.133880719238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28556.46</v>
      </c>
      <c r="F590" s="22" t="n">
        <f aca="false">IFERROR(D590*E590,0)</f>
        <v>20796.8343022765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20796.8343022765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628044</v>
      </c>
      <c r="F591" s="21" t="n">
        <f aca="false">IFERROR(D591*E591,0)</f>
        <v>20534.6832960281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20534.6832960281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628044</v>
      </c>
      <c r="F592" s="22" t="n">
        <f aca="false">IFERROR(D592*E592,0)</f>
        <v>42172.778536014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42172.778536014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628044</v>
      </c>
      <c r="F593" s="21" t="n">
        <f aca="false">IFERROR(D593*E593,0)</f>
        <v>45785.3617084634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45785.3617084634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628044</v>
      </c>
      <c r="F594" s="22" t="n">
        <f aca="false">IFERROR(D594*E594,0)</f>
        <v>11735.4405903986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11735.4405903986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628044</v>
      </c>
      <c r="F595" s="21" t="n">
        <f aca="false">IFERROR(D595*E595,0)</f>
        <v>20472.3436381774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20472.3436381774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628044</v>
      </c>
      <c r="F596" s="22" t="n">
        <f aca="false">IFERROR(D596*E596,0)</f>
        <v>14977.1027986362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14977.1027986362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628044</v>
      </c>
      <c r="F597" s="21" t="n">
        <f aca="false">IFERROR(D597*E597,0)</f>
        <v>14980.2197815287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14980.2197815287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628044</v>
      </c>
      <c r="F598" s="22" t="n">
        <f aca="false">IFERROR(D598*E598,0)</f>
        <v>457386.069650754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457386.069650754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118199.9</v>
      </c>
      <c r="F599" s="21" t="n">
        <f aca="false">IFERROR(D599*E599,0)</f>
        <v>3864.6934165794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3864.6934165794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118199.9</v>
      </c>
      <c r="F600" s="22" t="n">
        <f aca="false">IFERROR(D600*E600,0)</f>
        <v>7937.05250854877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7937.05250854877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118199.9</v>
      </c>
      <c r="F601" s="21" t="n">
        <f aca="false">IFERROR(D601*E601,0)</f>
        <v>8616.95227628033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8616.95227628033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118199.9</v>
      </c>
      <c r="F602" s="22" t="n">
        <f aca="false">IFERROR(D602*E602,0)</f>
        <v>2208.64764927466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2208.64764927466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118199.9</v>
      </c>
      <c r="F603" s="21" t="n">
        <f aca="false">IFERROR(D603*E603,0)</f>
        <v>3852.96089254607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3852.96089254607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118199.9</v>
      </c>
      <c r="F604" s="22" t="n">
        <f aca="false">IFERROR(D604*E604,0)</f>
        <v>2818.7388990079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2818.7388990079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118199.9</v>
      </c>
      <c r="F605" s="21" t="n">
        <f aca="false">IFERROR(D605*E605,0)</f>
        <v>2819.32552520956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2819.32552520956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118199.9</v>
      </c>
      <c r="F606" s="22" t="n">
        <f aca="false">IFERROR(D606*E606,0)</f>
        <v>86081.5288325533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86081.5288325533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47264.93</v>
      </c>
      <c r="F607" s="21" t="n">
        <f aca="false">IFERROR(D607*E607,0)</f>
        <v>1545.38594200237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1545.38594200237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47264.93</v>
      </c>
      <c r="F608" s="22" t="n">
        <f aca="false">IFERROR(D608*E608,0)</f>
        <v>3173.81174791926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3173.81174791926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47264.93</v>
      </c>
      <c r="F609" s="21" t="n">
        <f aca="false">IFERROR(D609*E609,0)</f>
        <v>3445.68520067894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3445.68520067894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47264.93</v>
      </c>
      <c r="F610" s="22" t="n">
        <f aca="false">IFERROR(D610*E610,0)</f>
        <v>883.178213667112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883.178213667112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47264.93</v>
      </c>
      <c r="F611" s="21" t="n">
        <f aca="false">IFERROR(D611*E611,0)</f>
        <v>1540.69442426709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1540.69442426709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47264.93</v>
      </c>
      <c r="F612" s="22" t="n">
        <f aca="false">IFERROR(D612*E612,0)</f>
        <v>1127.13713590185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1127.13713590185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47264.93</v>
      </c>
      <c r="F613" s="21" t="n">
        <f aca="false">IFERROR(D613*E613,0)</f>
        <v>1127.37171178862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1127.37171178862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47264.93</v>
      </c>
      <c r="F614" s="22" t="n">
        <f aca="false">IFERROR(D614*E614,0)</f>
        <v>34421.6656237748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34421.6656237748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142919.58</v>
      </c>
      <c r="F615" s="21" t="n">
        <f aca="false">IFERROR(D615*E615,0)</f>
        <v>4672.93424043754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4672.93424043754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142919.58</v>
      </c>
      <c r="F616" s="22" t="n">
        <f aca="false">IFERROR(D616*E616,0)</f>
        <v>9596.96421874923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9596.96421874923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142919.58</v>
      </c>
      <c r="F617" s="21" t="n">
        <f aca="false">IFERROR(D617*E617,0)</f>
        <v>10419.0545017892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10419.0545017892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142919.58</v>
      </c>
      <c r="F618" s="22" t="n">
        <f aca="false">IFERROR(D618*E618,0)</f>
        <v>2670.55212739031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2670.55212739031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142919.58</v>
      </c>
      <c r="F619" s="21" t="n">
        <f aca="false">IFERROR(D619*E619,0)</f>
        <v>4658.74804055764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4658.74804055764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142919.58</v>
      </c>
      <c r="F620" s="22" t="n">
        <f aca="false">IFERROR(D620*E620,0)</f>
        <v>3408.23452114487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3408.23452114487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142919.58</v>
      </c>
      <c r="F621" s="21" t="n">
        <f aca="false">IFERROR(D621*E621,0)</f>
        <v>3408.94383113886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3408.94383113886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142919.58</v>
      </c>
      <c r="F622" s="22" t="n">
        <f aca="false">IFERROR(D622*E622,0)</f>
        <v>104084.148518792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104084.148518792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127545.59</v>
      </c>
      <c r="F623" s="21" t="n">
        <f aca="false">IFERROR(D623*E623,0)</f>
        <v>4170.26242819779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4170.26242819779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127545.59</v>
      </c>
      <c r="F624" s="22" t="n">
        <f aca="false">IFERROR(D624*E624,0)</f>
        <v>8564.60999597997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8564.60999597997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127545.59</v>
      </c>
      <c r="F625" s="21" t="n">
        <f aca="false">IFERROR(D625*E625,0)</f>
        <v>9298.26727501477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9298.26727501477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127545.59</v>
      </c>
      <c r="F626" s="22" t="n">
        <f aca="false">IFERROR(D626*E626,0)</f>
        <v>2383.27839134254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2383.27839134254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127545.59</v>
      </c>
      <c r="F627" s="21" t="n">
        <f aca="false">IFERROR(D627*E627,0)</f>
        <v>4157.60225082014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4157.60225082014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127545.59</v>
      </c>
      <c r="F628" s="22" t="n">
        <f aca="false">IFERROR(D628*E628,0)</f>
        <v>3041.60761498032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3041.60761498032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127545.59</v>
      </c>
      <c r="F629" s="21" t="n">
        <f aca="false">IFERROR(D629*E629,0)</f>
        <v>3042.2406238492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3042.2406238492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127545.59</v>
      </c>
      <c r="F630" s="22" t="n">
        <f aca="false">IFERROR(D630*E630,0)</f>
        <v>92887.7214198153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92887.7214198153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83752.42</v>
      </c>
      <c r="F660" s="1" t="n">
        <f aca="false">IFERROR(D660*E660,0)</f>
        <v>2749.03802181605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2749.03802181605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83752.42</v>
      </c>
      <c r="F661" s="1" t="n">
        <f aca="false">IFERROR(D661*E661,0)</f>
        <v>5866.65725611127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5866.65725611127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83752.42</v>
      </c>
      <c r="F662" s="1" t="n">
        <f aca="false">IFERROR(D662*E662,0)</f>
        <v>6273.32227558055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6273.32227558055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83752.42</v>
      </c>
      <c r="F663" s="1" t="n">
        <f aca="false">IFERROR(D663*E663,0)</f>
        <v>1597.7689139536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1597.7689139536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83752.42</v>
      </c>
      <c r="F664" s="1" t="n">
        <f aca="false">IFERROR(D664*E664,0)</f>
        <v>2799.81643113622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2799.81643113622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83752.42</v>
      </c>
      <c r="F665" s="1" t="n">
        <f aca="false">IFERROR(D665*E665,0)</f>
        <v>2070.53341452069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2070.53341452069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83752.42</v>
      </c>
      <c r="F666" s="1" t="n">
        <f aca="false">IFERROR(D666*E666,0)</f>
        <v>2093.29614973318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2093.29614973318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83752.42</v>
      </c>
      <c r="F667" s="1" t="n">
        <f aca="false">IFERROR(D667*E667,0)</f>
        <v>60301.9875371484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60301.9875371484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95240.59</v>
      </c>
      <c r="F668" s="1" t="n">
        <f aca="false">IFERROR(D668*E668,0)</f>
        <v>3150.3600465503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3150.3600465503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95240.59</v>
      </c>
      <c r="F669" s="1" t="n">
        <f aca="false">IFERROR(D669*E669,0)</f>
        <v>6558.81010156896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6558.81010156896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95240.59</v>
      </c>
      <c r="F670" s="1" t="n">
        <f aca="false">IFERROR(D670*E670,0)</f>
        <v>7058.8594929764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7058.8594929764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95240.59</v>
      </c>
      <c r="F671" s="1" t="n">
        <f aca="false">IFERROR(D671*E671,0)</f>
        <v>1810.54051395226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1810.54051395226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95240.59</v>
      </c>
      <c r="F672" s="1" t="n">
        <f aca="false">IFERROR(D672*E672,0)</f>
        <v>3144.98317137388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3144.98317137388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95240.59</v>
      </c>
      <c r="F673" s="1" t="n">
        <f aca="false">IFERROR(D673*E673,0)</f>
        <v>2321.34365571255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2321.34365571255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95240.59</v>
      </c>
      <c r="F674" s="1" t="n">
        <f aca="false">IFERROR(D674*E674,0)</f>
        <v>2343.82877008669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2343.82877008669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95240.59</v>
      </c>
      <c r="F675" s="1" t="n">
        <f aca="false">IFERROR(D675*E675,0)</f>
        <v>68851.864247779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68851.864247779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79608.13</v>
      </c>
      <c r="F676" s="1" t="n">
        <f aca="false">IFERROR(D676*E676,0)</f>
        <v>2602.8872775459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2602.8872775459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79608.13</v>
      </c>
      <c r="F677" s="1" t="n">
        <f aca="false">IFERROR(D677*E677,0)</f>
        <v>5345.63826126229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5345.63826126229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79608.13</v>
      </c>
      <c r="F678" s="1" t="n">
        <f aca="false">IFERROR(D678*E678,0)</f>
        <v>5803.55361564536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5803.55361564536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79608.13</v>
      </c>
      <c r="F679" s="1" t="n">
        <f aca="false">IFERROR(D679*E679,0)</f>
        <v>1487.53348511844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1487.53348511844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79608.13</v>
      </c>
      <c r="F680" s="1" t="n">
        <f aca="false">IFERROR(D680*E680,0)</f>
        <v>2594.98537324248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2594.98537324248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79608.13</v>
      </c>
      <c r="F681" s="1" t="n">
        <f aca="false">IFERROR(D681*E681,0)</f>
        <v>1898.43250889618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1898.43250889618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79608.13</v>
      </c>
      <c r="F682" s="1" t="n">
        <f aca="false">IFERROR(D682*E682,0)</f>
        <v>1898.82760411135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1898.82760411135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79608.13</v>
      </c>
      <c r="F683" s="1" t="n">
        <f aca="false">IFERROR(D683*E683,0)</f>
        <v>57976.271874178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57976.271874178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24681.03</v>
      </c>
      <c r="F684" s="1" t="n">
        <f aca="false">IFERROR(D684*E684,0)</f>
        <v>820.357122507123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820.357122507123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24681.03</v>
      </c>
      <c r="F685" s="1" t="n">
        <f aca="false">IFERROR(D685*E685,0)</f>
        <v>820.357122507123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820.357122507123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24681.03</v>
      </c>
      <c r="F686" s="1" t="n">
        <f aca="false">IFERROR(D686*E686,0)</f>
        <v>984.428547008547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984.428547008547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24681.03</v>
      </c>
      <c r="F687" s="1" t="n">
        <f aca="false">IFERROR(D687*E687,0)</f>
        <v>257.826524216524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257.826524216524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24681.03</v>
      </c>
      <c r="F688" s="1" t="n">
        <f aca="false">IFERROR(D688*E688,0)</f>
        <v>984.428547008547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984.428547008547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24681.03</v>
      </c>
      <c r="F689" s="1" t="n">
        <f aca="false">IFERROR(D689*E689,0)</f>
        <v>421.897948717949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421.897948717949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24681.03</v>
      </c>
      <c r="F690" s="1" t="n">
        <f aca="false">IFERROR(D690*E690,0)</f>
        <v>468.775498575499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468.775498575499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24681.03</v>
      </c>
      <c r="F691" s="1" t="n">
        <f aca="false">IFERROR(D691*E691,0)</f>
        <v>19922.9586894587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19922.9586894587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34974.9</v>
      </c>
      <c r="F692" s="1" t="n">
        <f aca="false">IFERROR(D692*E692,0)</f>
        <v>1133.60019065777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1133.60019065777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34974.9</v>
      </c>
      <c r="F693" s="1" t="n">
        <f aca="false">IFERROR(D693*E693,0)</f>
        <v>1066.91782650143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1066.91782650143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34974.9</v>
      </c>
      <c r="F694" s="1" t="n">
        <f aca="false">IFERROR(D694*E694,0)</f>
        <v>1400.32964728313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1400.32964728313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34974.9</v>
      </c>
      <c r="F695" s="1" t="n">
        <f aca="false">IFERROR(D695*E695,0)</f>
        <v>366.753002859867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366.753002859867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34974.9</v>
      </c>
      <c r="F696" s="1" t="n">
        <f aca="false">IFERROR(D696*E696,0)</f>
        <v>1400.32964728313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1400.32964728313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34974.9</v>
      </c>
      <c r="F697" s="1" t="n">
        <f aca="false">IFERROR(D697*E697,0)</f>
        <v>600.141277407054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600.141277407054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34974.9</v>
      </c>
      <c r="F698" s="1" t="n">
        <f aca="false">IFERROR(D698*E698,0)</f>
        <v>566.800095328885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566.800095328885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34974.9</v>
      </c>
      <c r="F699" s="1" t="n">
        <f aca="false">IFERROR(D699*E699,0)</f>
        <v>28440.0283126787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28440.0283126787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25291.39</v>
      </c>
      <c r="F700" s="1" t="n">
        <f aca="false">IFERROR(D700*E700,0)</f>
        <v>788.905743119266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788.905743119266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25291.39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25291.39</v>
      </c>
      <c r="F702" s="1" t="n">
        <f aca="false">IFERROR(D702*E702,0)</f>
        <v>1090.54617431193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1090.54617431193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25291.39</v>
      </c>
      <c r="F703" s="1" t="n">
        <f aca="false">IFERROR(D703*E703,0)</f>
        <v>255.234211009174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255.234211009174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25291.39</v>
      </c>
      <c r="F704" s="1" t="n">
        <f aca="false">IFERROR(D704*E704,0)</f>
        <v>1160.15550458716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1160.15550458716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25291.39</v>
      </c>
      <c r="F705" s="1" t="n">
        <f aca="false">IFERROR(D705*E705,0)</f>
        <v>417.655981651376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417.655981651376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25291.39</v>
      </c>
      <c r="F706" s="1" t="n">
        <f aca="false">IFERROR(D706*E706,0)</f>
        <v>556.874642201835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556.874642201835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25291.39</v>
      </c>
      <c r="F707" s="1" t="n">
        <f aca="false">IFERROR(D707*E707,0)</f>
        <v>21022.0177431193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21022.0177431193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29589.5</v>
      </c>
      <c r="F708" s="1" t="n">
        <f aca="false">IFERROR(D708*E708,0)</f>
        <v>971.227584188327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971.227584188327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29589.5</v>
      </c>
      <c r="F709" s="1" t="n">
        <f aca="false">IFERROR(D709*E709,0)</f>
        <v>2072.67389861337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2072.67389861337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29589.5</v>
      </c>
      <c r="F710" s="1" t="n">
        <f aca="false">IFERROR(D710*E710,0)</f>
        <v>2216.34753328072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2216.34753328072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29589.5</v>
      </c>
      <c r="F711" s="1" t="n">
        <f aca="false">IFERROR(D711*E711,0)</f>
        <v>564.487369790986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564.487369790986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29589.5</v>
      </c>
      <c r="F712" s="1" t="n">
        <f aca="false">IFERROR(D712*E712,0)</f>
        <v>989.167456762506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989.167456762506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29589.5</v>
      </c>
      <c r="F713" s="1" t="n">
        <f aca="false">IFERROR(D713*E713,0)</f>
        <v>731.513769619552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731.513769619552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29589.5</v>
      </c>
      <c r="F714" s="1" t="n">
        <f aca="false">IFERROR(D714*E714,0)</f>
        <v>739.55578146315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739.55578146315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29589.5</v>
      </c>
      <c r="F715" s="1" t="n">
        <f aca="false">IFERROR(D715*E715,0)</f>
        <v>21304.5266062814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21304.5266062814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29517.88</v>
      </c>
      <c r="F716" s="1" t="n">
        <f aca="false">IFERROR(D716*E716,0)</f>
        <v>976.389896480756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976.389896480756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29517.88</v>
      </c>
      <c r="F717" s="1" t="n">
        <f aca="false">IFERROR(D717*E717,0)</f>
        <v>2032.76953157157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2032.76953157157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29517.88</v>
      </c>
      <c r="F718" s="1" t="n">
        <f aca="false">IFERROR(D718*E718,0)</f>
        <v>2187.74965012857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2187.74965012857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29517.88</v>
      </c>
      <c r="F719" s="1" t="n">
        <f aca="false">IFERROR(D719*E719,0)</f>
        <v>561.140136006939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561.140136006939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29517.88</v>
      </c>
      <c r="F720" s="1" t="n">
        <f aca="false">IFERROR(D720*E720,0)</f>
        <v>974.723443593047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974.723443593047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29517.88</v>
      </c>
      <c r="F721" s="1" t="n">
        <f aca="false">IFERROR(D721*E721,0)</f>
        <v>719.45316033935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719.45316033935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29517.88</v>
      </c>
      <c r="F722" s="1" t="n">
        <f aca="false">IFERROR(D722*E722,0)</f>
        <v>726.421963324318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726.421963324318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29517.88</v>
      </c>
      <c r="F723" s="1" t="n">
        <f aca="false">IFERROR(D723*E723,0)</f>
        <v>21339.2322185555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21339.2322185555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29362.3</v>
      </c>
      <c r="F724" s="1" t="n">
        <f aca="false">IFERROR(D724*E724,0)</f>
        <v>960.037085527394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960.037085527394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29362.3</v>
      </c>
      <c r="F725" s="1" t="n">
        <f aca="false">IFERROR(D725*E725,0)</f>
        <v>1971.66086326436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1971.66086326436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29362.3</v>
      </c>
      <c r="F726" s="1" t="n">
        <f aca="false">IFERROR(D726*E726,0)</f>
        <v>2140.556276459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2140.556276459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29362.3</v>
      </c>
      <c r="F727" s="1" t="n">
        <f aca="false">IFERROR(D727*E727,0)</f>
        <v>548.655073923898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548.655073923898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29362.3</v>
      </c>
      <c r="F728" s="1" t="n">
        <f aca="false">IFERROR(D728*E728,0)</f>
        <v>957.122583142672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957.122583142672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29362.3</v>
      </c>
      <c r="F729" s="1" t="n">
        <f aca="false">IFERROR(D729*E729,0)</f>
        <v>700.209197929436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700.209197929436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29362.3</v>
      </c>
      <c r="F730" s="1" t="n">
        <f aca="false">IFERROR(D730*E730,0)</f>
        <v>700.354923048672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700.354923048672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29362.3</v>
      </c>
      <c r="F731" s="1" t="n">
        <f aca="false">IFERROR(D731*E731,0)</f>
        <v>21383.7039967046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21383.7039967046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9900.32</v>
      </c>
      <c r="F732" s="1" t="n">
        <f aca="false">IFERROR(D732*E732,0)</f>
        <v>324.962026269162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324.962026269162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9900.32</v>
      </c>
      <c r="F733" s="1" t="n">
        <f aca="false">IFERROR(D733*E733,0)</f>
        <v>693.493801920273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693.493801920273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9900.32</v>
      </c>
      <c r="F734" s="1" t="n">
        <f aca="false">IFERROR(D734*E734,0)</f>
        <v>741.565413768052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741.565413768052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9900.32</v>
      </c>
      <c r="F735" s="1" t="n">
        <f aca="false">IFERROR(D735*E735,0)</f>
        <v>188.871241382554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188.871241382554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9900.32</v>
      </c>
      <c r="F736" s="1" t="n">
        <f aca="false">IFERROR(D736*E736,0)</f>
        <v>330.964509556937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330.964509556937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9900.32</v>
      </c>
      <c r="F737" s="1" t="n">
        <f aca="false">IFERROR(D737*E737,0)</f>
        <v>244.756430613557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244.756430613557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9900.32</v>
      </c>
      <c r="F738" s="1" t="n">
        <f aca="false">IFERROR(D738*E738,0)</f>
        <v>247.447198983939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247.447198983939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9900.32</v>
      </c>
      <c r="F739" s="1" t="n">
        <f aca="false">IFERROR(D739*E739,0)</f>
        <v>7128.25937750553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7128.25937750553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13648.4</v>
      </c>
      <c r="F740" s="1" t="n">
        <f aca="false">IFERROR(D740*E740,0)</f>
        <v>451.46060161258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451.46060161258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13648.4</v>
      </c>
      <c r="F741" s="1" t="n">
        <f aca="false">IFERROR(D741*E741,0)</f>
        <v>939.906648942995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939.906648942995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13648.4</v>
      </c>
      <c r="F742" s="1" t="n">
        <f aca="false">IFERROR(D742*E742,0)</f>
        <v>1011.5659500213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1011.5659500213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13648.4</v>
      </c>
      <c r="F743" s="1" t="n">
        <f aca="false">IFERROR(D743*E743,0)</f>
        <v>259.45850556602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259.45850556602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13648.4</v>
      </c>
      <c r="F744" s="1" t="n">
        <f aca="false">IFERROR(D744*E744,0)</f>
        <v>450.690071493459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450.690071493459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13648.4</v>
      </c>
      <c r="F745" s="1" t="n">
        <f aca="false">IFERROR(D745*E745,0)</f>
        <v>332.658866882567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332.658866882567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13648.4</v>
      </c>
      <c r="F746" s="1" t="n">
        <f aca="false">IFERROR(D746*E746,0)</f>
        <v>335.881083744348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335.881083744348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13648.4</v>
      </c>
      <c r="F747" s="1" t="n">
        <f aca="false">IFERROR(D747*E747,0)</f>
        <v>9866.77827173673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9866.77827173673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14471.07</v>
      </c>
      <c r="F748" s="1" t="n">
        <f aca="false">IFERROR(D748*E748,0)</f>
        <v>473.149714677082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473.149714677082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14471.07</v>
      </c>
      <c r="F749" s="1" t="n">
        <f aca="false">IFERROR(D749*E749,0)</f>
        <v>971.723685425156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971.723685425156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14471.07</v>
      </c>
      <c r="F750" s="1" t="n">
        <f aca="false">IFERROR(D750*E750,0)</f>
        <v>1054.96298708131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1054.96298708131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14471.07</v>
      </c>
      <c r="F751" s="1" t="n">
        <f aca="false">IFERROR(D751*E751,0)</f>
        <v>270.402045500792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270.402045500792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14471.07</v>
      </c>
      <c r="F752" s="1" t="n">
        <f aca="false">IFERROR(D752*E752,0)</f>
        <v>471.713316029004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471.713316029004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14471.07</v>
      </c>
      <c r="F753" s="1" t="n">
        <f aca="false">IFERROR(D753*E753,0)</f>
        <v>345.094775200877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345.094775200877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14471.07</v>
      </c>
      <c r="F754" s="1" t="n">
        <f aca="false">IFERROR(D754*E754,0)</f>
        <v>345.166595133281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345.166595133281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14471.07</v>
      </c>
      <c r="F755" s="1" t="n">
        <f aca="false">IFERROR(D755*E755,0)</f>
        <v>10538.8568809525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10538.8568809525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74023</v>
      </c>
      <c r="F756" s="1" t="n">
        <f aca="false">IFERROR(D756*E756,0)</f>
        <v>2429.68551223821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2429.68551223821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74023</v>
      </c>
      <c r="F757" s="1" t="n">
        <f aca="false">IFERROR(D757*E757,0)</f>
        <v>5185.13459156314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5185.13459156314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74023</v>
      </c>
      <c r="F758" s="1" t="n">
        <f aca="false">IFERROR(D758*E758,0)</f>
        <v>5544.5578146315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5544.5578146315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74023</v>
      </c>
      <c r="F759" s="1" t="n">
        <f aca="false">IFERROR(D759*E759,0)</f>
        <v>1412.15798083909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1412.15798083909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74023</v>
      </c>
      <c r="F760" s="1" t="n">
        <f aca="false">IFERROR(D760*E760,0)</f>
        <v>2474.56505354707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2474.56505354707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74023</v>
      </c>
      <c r="F761" s="1" t="n">
        <f aca="false">IFERROR(D761*E761,0)</f>
        <v>1830.00198612846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1830.00198612846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74023</v>
      </c>
      <c r="F762" s="1" t="n">
        <f aca="false">IFERROR(D762*E762,0)</f>
        <v>1850.12040119795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1850.12040119795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74023</v>
      </c>
      <c r="F763" s="1" t="n">
        <f aca="false">IFERROR(D763*E763,0)</f>
        <v>53296.7766598546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53296.7766598546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106791.2</v>
      </c>
      <c r="F764" s="1" t="n">
        <f aca="false">IFERROR(D764*E764,0)</f>
        <v>3532.43013092593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3532.43013092593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106791.2</v>
      </c>
      <c r="F765" s="1" t="n">
        <f aca="false">IFERROR(D765*E765,0)</f>
        <v>7354.2509692419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7354.2509692419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106791.2</v>
      </c>
      <c r="F766" s="1" t="n">
        <f aca="false">IFERROR(D766*E766,0)</f>
        <v>7914.94546481013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7914.94546481013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106791.2</v>
      </c>
      <c r="F767" s="1" t="n">
        <f aca="false">IFERROR(D767*E767,0)</f>
        <v>2030.1196594181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2030.1196594181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106791.2</v>
      </c>
      <c r="F768" s="1" t="n">
        <f aca="false">IFERROR(D768*E768,0)</f>
        <v>3526.4011578553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3526.4011578553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106791.2</v>
      </c>
      <c r="F769" s="1" t="n">
        <f aca="false">IFERROR(D769*E769,0)</f>
        <v>2602.87210112757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2602.87210112757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106791.2</v>
      </c>
      <c r="F770" s="1" t="n">
        <f aca="false">IFERROR(D770*E770,0)</f>
        <v>2628.08417033201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2628.08417033201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106791.2</v>
      </c>
      <c r="F771" s="1" t="n">
        <f aca="false">IFERROR(D771*E771,0)</f>
        <v>77202.0963462891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77202.0963462891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61019.96</v>
      </c>
      <c r="F828" s="1" t="n">
        <f aca="false">IFERROR(D828*E828,0)</f>
        <v>2002.88170932487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2002.88170932487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61019.96</v>
      </c>
      <c r="F829" s="1" t="n">
        <f aca="false">IFERROR(D829*E829,0)</f>
        <v>4274.30265419936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4274.30265419936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61019.96</v>
      </c>
      <c r="F830" s="1" t="n">
        <f aca="false">IFERROR(D830*E830,0)</f>
        <v>4570.5888178877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4570.5888178877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61019.96</v>
      </c>
      <c r="F831" s="1" t="n">
        <f aca="false">IFERROR(D831*E831,0)</f>
        <v>1164.09526099296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1164.09526099296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61019.96</v>
      </c>
      <c r="F832" s="1" t="n">
        <f aca="false">IFERROR(D832*E832,0)</f>
        <v>2039.87761350985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2039.87761350985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61019.96</v>
      </c>
      <c r="F833" s="1" t="n">
        <f aca="false">IFERROR(D833*E833,0)</f>
        <v>1508.53988616348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1508.53988616348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61019.96</v>
      </c>
      <c r="F834" s="1" t="n">
        <f aca="false">IFERROR(D834*E834,0)</f>
        <v>1525.12425700502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1525.12425700502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61019.96</v>
      </c>
      <c r="F835" s="1" t="n">
        <f aca="false">IFERROR(D835*E835,0)</f>
        <v>43934.5498009168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43934.5498009168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57668.04</v>
      </c>
      <c r="F836" s="1" t="n">
        <f aca="false">IFERROR(D836*E836,0)</f>
        <v>1907.5384684079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1907.5384684079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57668.04</v>
      </c>
      <c r="F837" s="1" t="n">
        <f aca="false">IFERROR(D837*E837,0)</f>
        <v>3971.35006502671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3971.35006502671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57668.04</v>
      </c>
      <c r="F838" s="1" t="n">
        <f aca="false">IFERROR(D838*E838,0)</f>
        <v>4274.12925093537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4274.12925093537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57668.04</v>
      </c>
      <c r="F839" s="1" t="n">
        <f aca="false">IFERROR(D839*E839,0)</f>
        <v>1096.27967214629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1096.27967214629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57668.04</v>
      </c>
      <c r="F840" s="1" t="n">
        <f aca="false">IFERROR(D840*E840,0)</f>
        <v>1904.28277823684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1904.28277823684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57668.04</v>
      </c>
      <c r="F841" s="1" t="n">
        <f aca="false">IFERROR(D841*E841,0)</f>
        <v>1405.57023839707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1405.57023839707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57668.04</v>
      </c>
      <c r="F842" s="1" t="n">
        <f aca="false">IFERROR(D842*E842,0)</f>
        <v>1419.18494274878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1419.18494274878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57668.04</v>
      </c>
      <c r="F843" s="1" t="n">
        <f aca="false">IFERROR(D843*E843,0)</f>
        <v>41689.7045841011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41689.7045841011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61027.21</v>
      </c>
      <c r="F844" s="1" t="n">
        <f aca="false">IFERROR(D844*E844,0)</f>
        <v>1995.36088202451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1995.36088202451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61027.21</v>
      </c>
      <c r="F845" s="1" t="n">
        <f aca="false">IFERROR(D845*E845,0)</f>
        <v>4097.94060925798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4097.94060925798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61027.21</v>
      </c>
      <c r="F846" s="1" t="n">
        <f aca="false">IFERROR(D846*E846,0)</f>
        <v>4448.97631998452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4448.97631998452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61027.21</v>
      </c>
      <c r="F847" s="1" t="n">
        <f aca="false">IFERROR(D847*E847,0)</f>
        <v>1140.33602319707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1140.33602319707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61027.21</v>
      </c>
      <c r="F848" s="1" t="n">
        <f aca="false">IFERROR(D848*E848,0)</f>
        <v>1989.30332014829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1989.30332014829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61027.21</v>
      </c>
      <c r="F849" s="1" t="n">
        <f aca="false">IFERROR(D849*E849,0)</f>
        <v>1455.32924076013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1455.32924076013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61027.21</v>
      </c>
      <c r="F850" s="1" t="n">
        <f aca="false">IFERROR(D850*E850,0)</f>
        <v>1455.63211885394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1455.63211885394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61027.21</v>
      </c>
      <c r="F851" s="1" t="n">
        <f aca="false">IFERROR(D851*E851,0)</f>
        <v>44444.3314857736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44444.3314857736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27264.75</v>
      </c>
      <c r="F852" s="1" t="n">
        <f aca="false">IFERROR(D852*E852,0)</f>
        <v>894.921417259456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894.921417259456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27264.75</v>
      </c>
      <c r="F853" s="1" t="n">
        <f aca="false">IFERROR(D853*E853,0)</f>
        <v>1909.83070606867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1909.83070606867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27264.75</v>
      </c>
      <c r="F854" s="1" t="n">
        <f aca="false">IFERROR(D854*E854,0)</f>
        <v>2042.21637432249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2042.21637432249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27264.75</v>
      </c>
      <c r="F855" s="1" t="n">
        <f aca="false">IFERROR(D855*E855,0)</f>
        <v>520.137447929461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520.137447929461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27264.75</v>
      </c>
      <c r="F856" s="1" t="n">
        <f aca="false">IFERROR(D856*E856,0)</f>
        <v>911.451812864886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911.451812864886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27264.75</v>
      </c>
      <c r="F857" s="1" t="n">
        <f aca="false">IFERROR(D857*E857,0)</f>
        <v>674.041131152425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674.041131152425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27264.75</v>
      </c>
      <c r="F858" s="1" t="n">
        <f aca="false">IFERROR(D858*E858,0)</f>
        <v>681.45130849279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681.45130849279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27264.75</v>
      </c>
      <c r="F859" s="1" t="n">
        <f aca="false">IFERROR(D859*E859,0)</f>
        <v>19630.6998019098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19630.6998019098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35641.07</v>
      </c>
      <c r="F860" s="1" t="n">
        <f aca="false">IFERROR(D860*E860,0)</f>
        <v>1178.93224878492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1178.93224878492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35641.07</v>
      </c>
      <c r="F861" s="1" t="n">
        <f aca="false">IFERROR(D861*E861,0)</f>
        <v>2454.44731019334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2454.44731019334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35641.07</v>
      </c>
      <c r="F862" s="1" t="n">
        <f aca="false">IFERROR(D862*E862,0)</f>
        <v>2641.57650965136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2641.57650965136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35641.07</v>
      </c>
      <c r="F863" s="1" t="n">
        <f aca="false">IFERROR(D863*E863,0)</f>
        <v>677.543064313319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677.543064313319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35641.07</v>
      </c>
      <c r="F864" s="1" t="n">
        <f aca="false">IFERROR(D864*E864,0)</f>
        <v>1176.92010685526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1176.92010685526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35641.07</v>
      </c>
      <c r="F865" s="1" t="n">
        <f aca="false">IFERROR(D865*E865,0)</f>
        <v>868.696547630657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868.696547630657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35641.07</v>
      </c>
      <c r="F866" s="1" t="n">
        <f aca="false">IFERROR(D866*E866,0)</f>
        <v>877.110959336491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877.110959336491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35641.07</v>
      </c>
      <c r="F867" s="1" t="n">
        <f aca="false">IFERROR(D867*E867,0)</f>
        <v>25765.8432532347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25765.8432532347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30773.62</v>
      </c>
      <c r="F868" s="1" t="n">
        <f aca="false">IFERROR(D868*E868,0)</f>
        <v>1006.18195631567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1006.18195631567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30773.62</v>
      </c>
      <c r="F869" s="1" t="n">
        <f aca="false">IFERROR(D869*E869,0)</f>
        <v>2066.43015618564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2066.43015618564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30773.62</v>
      </c>
      <c r="F870" s="1" t="n">
        <f aca="false">IFERROR(D870*E870,0)</f>
        <v>2243.44364850043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2243.44364850043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30773.62</v>
      </c>
      <c r="F871" s="1" t="n">
        <f aca="false">IFERROR(D871*E871,0)</f>
        <v>575.026573395338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575.026573395338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30773.62</v>
      </c>
      <c r="F872" s="1" t="n">
        <f aca="false">IFERROR(D872*E872,0)</f>
        <v>1003.12736628435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1003.12736628435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30773.62</v>
      </c>
      <c r="F873" s="1" t="n">
        <f aca="false">IFERROR(D873*E873,0)</f>
        <v>733.865255023798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733.865255023798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30773.62</v>
      </c>
      <c r="F874" s="1" t="n">
        <f aca="false">IFERROR(D874*E874,0)</f>
        <v>734.017984525363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734.017984525363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30773.62</v>
      </c>
      <c r="F875" s="1" t="n">
        <f aca="false">IFERROR(D875*E875,0)</f>
        <v>22411.5270597694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22411.5270597694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28467.5</v>
      </c>
      <c r="F876" s="1" t="n">
        <f aca="false">IFERROR(D876*E876,0)</f>
        <v>934.399744939293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934.399744939293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28467.5</v>
      </c>
      <c r="F877" s="1" t="n">
        <f aca="false">IFERROR(D877*E877,0)</f>
        <v>1994.08047478924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1994.08047478924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28467.5</v>
      </c>
      <c r="F878" s="1" t="n">
        <f aca="false">IFERROR(D878*E878,0)</f>
        <v>2132.3061695422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2132.3061695422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28467.5</v>
      </c>
      <c r="F879" s="1" t="n">
        <f aca="false">IFERROR(D879*E879,0)</f>
        <v>543.082654303888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543.082654303888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28467.5</v>
      </c>
      <c r="F880" s="1" t="n">
        <f aca="false">IFERROR(D880*E880,0)</f>
        <v>951.659358062375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951.659358062375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28467.5</v>
      </c>
      <c r="F881" s="1" t="n">
        <f aca="false">IFERROR(D881*E881,0)</f>
        <v>703.775604070518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703.775604070518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28467.5</v>
      </c>
      <c r="F882" s="1" t="n">
        <f aca="false">IFERROR(D882*E882,0)</f>
        <v>711.512672022245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711.512672022245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28467.5</v>
      </c>
      <c r="F883" s="1" t="n">
        <f aca="false">IFERROR(D883*E883,0)</f>
        <v>20496.6833222703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20496.6833222703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32698.100001</v>
      </c>
      <c r="F884" s="1" t="n">
        <f aca="false">IFERROR(D884*E884,0)</f>
        <v>1081.58494021569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1081.58494021569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32698.100001</v>
      </c>
      <c r="F885" s="1" t="n">
        <f aca="false">IFERROR(D885*E885,0)</f>
        <v>2251.77761486642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2251.77761486642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32698.100001</v>
      </c>
      <c r="F886" s="1" t="n">
        <f aca="false">IFERROR(D886*E886,0)</f>
        <v>2423.45510033433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2423.45510033433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32698.100001</v>
      </c>
      <c r="F887" s="1" t="n">
        <f aca="false">IFERROR(D887*E887,0)</f>
        <v>621.596682476168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621.596682476168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32698.100001</v>
      </c>
      <c r="F888" s="1" t="n">
        <f aca="false">IFERROR(D888*E888,0)</f>
        <v>1079.73894574829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1079.73894574829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32698.100001</v>
      </c>
      <c r="F889" s="1" t="n">
        <f aca="false">IFERROR(D889*E889,0)</f>
        <v>796.966156878867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796.966156878867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32698.100001</v>
      </c>
      <c r="F890" s="1" t="n">
        <f aca="false">IFERROR(D890*E890,0)</f>
        <v>804.685770106162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804.685770106162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32698.100001</v>
      </c>
      <c r="F891" s="1" t="n">
        <f aca="false">IFERROR(D891*E891,0)</f>
        <v>23638.2947903741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23638.2947903741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34400.02</v>
      </c>
      <c r="F892" s="1" t="n">
        <f aca="false">IFERROR(D892*E892,0)</f>
        <v>1124.7516353584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1124.7516353584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34400.02</v>
      </c>
      <c r="F893" s="1" t="n">
        <f aca="false">IFERROR(D893*E893,0)</f>
        <v>2309.9407447479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2309.9407447479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34400.02</v>
      </c>
      <c r="F894" s="1" t="n">
        <f aca="false">IFERROR(D894*E894,0)</f>
        <v>2507.81371763503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2507.81371763503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34400.02</v>
      </c>
      <c r="F895" s="1" t="n">
        <f aca="false">IFERROR(D895*E895,0)</f>
        <v>642.788389059561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642.788389059561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34400.02</v>
      </c>
      <c r="F896" s="1" t="n">
        <f aca="false">IFERROR(D896*E896,0)</f>
        <v>1121.33708880297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1121.33708880297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34400.02</v>
      </c>
      <c r="F897" s="1" t="n">
        <f aca="false">IFERROR(D897*E897,0)</f>
        <v>820.344809941883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820.344809941883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34400.02</v>
      </c>
      <c r="F898" s="1" t="n">
        <f aca="false">IFERROR(D898*E898,0)</f>
        <v>820.515537269655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820.515537269655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34400.02</v>
      </c>
      <c r="F899" s="1" t="n">
        <f aca="false">IFERROR(D899*E899,0)</f>
        <v>25052.5280771846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25052.5280771846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73093.93</v>
      </c>
      <c r="E5" s="21" t="n">
        <f aca="false">IFERROR(D5/IF(B5="Clientes",SUMIFS(PARÂMETROS!$B$8:$B$33,PARÂMETROS!$G$8:$G$33,F5),SUMIFS(PARÂMETROS!$C$8:$C$33,PARÂMETROS!$G$8:$G$33,F5)),0)</f>
        <v>0.37514270463912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30824.02</v>
      </c>
      <c r="E6" s="21" t="n">
        <f aca="false">IFERROR(D6/IF(B6="Clientes",SUMIFS(PARÂMETROS!$B$8:$B$33,PARÂMETROS!$G$8:$G$33,F6),SUMIFS(PARÂMETROS!$C$8:$C$33,PARÂMETROS!$G$8:$G$33,F6)),0)</f>
        <v>29.3841944709247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44818.62</v>
      </c>
      <c r="E7" s="21" t="n">
        <f aca="false">IFERROR(D7/IF(B7="Clientes",SUMIFS(PARÂMETROS!$B$8:$B$33,PARÂMETROS!$G$8:$G$33,F7),SUMIFS(PARÂMETROS!$C$8:$C$33,PARÂMETROS!$G$8:$G$33,F7)),0)</f>
        <v>42.7250905624404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26206.6</v>
      </c>
      <c r="E8" s="21" t="n">
        <f aca="false">IFERROR(D8/IF(B8="Clientes",SUMIFS(PARÂMETROS!$B$8:$B$33,PARÂMETROS!$G$8:$G$33,F8),SUMIFS(PARÂMETROS!$C$8:$C$33,PARÂMETROS!$G$8:$G$33,F8)),0)</f>
        <v>0.134501111151029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18479.54</v>
      </c>
      <c r="E9" s="21" t="n">
        <f aca="false">IFERROR(D9/IF(B9="Clientes",SUMIFS(PARÂMETROS!$B$8:$B$33,PARÂMETROS!$G$8:$G$33,F9),SUMIFS(PARÂMETROS!$C$8:$C$33,PARÂMETROS!$G$8:$G$33,F9)),0)</f>
        <v>0.0948432327566297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60278.08</v>
      </c>
      <c r="E10" s="21" t="n">
        <f aca="false">IFERROR(D10/IF(B10="Clientes",SUMIFS(PARÂMETROS!$B$8:$B$33,PARÂMETROS!$G$8:$G$33,F10),SUMIFS(PARÂMETROS!$C$8:$C$33,PARÂMETROS!$G$8:$G$33,F10)),0)</f>
        <v>0.309367439425589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223903.679</v>
      </c>
      <c r="E11" s="21" t="n">
        <f aca="false">IFERROR(D11/IF(B11="Clientes",SUMIFS(PARÂMETROS!$B$8:$B$33,PARÂMETROS!$G$8:$G$33,F11),SUMIFS(PARÂMETROS!$C$8:$C$33,PARÂMETROS!$G$8:$G$33,F11)),0)</f>
        <v>1.1491492073105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102750.479</v>
      </c>
      <c r="E12" s="21" t="n">
        <f aca="false">IFERROR(D12/IF(B12="Clientes",SUMIFS(PARÂMETROS!$B$8:$B$33,PARÂMETROS!$G$8:$G$33,F12),SUMIFS(PARÂMETROS!$C$8:$C$33,PARÂMETROS!$G$8:$G$33,F12)),0)</f>
        <v>0.527350117787141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110236.029</v>
      </c>
      <c r="E13" s="21" t="n">
        <f aca="false">IFERROR(D13/IF(B13="Clientes",SUMIFS(PARÂMETROS!$B$8:$B$33,PARÂMETROS!$G$8:$G$33,F13),SUMIFS(PARÂMETROS!$C$8:$C$33,PARÂMETROS!$G$8:$G$33,F13)),0)</f>
        <v>0.565768485395934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37230.22</v>
      </c>
      <c r="E14" s="21" t="n">
        <f aca="false">IFERROR(D14/IF(B14="Clientes",SUMIFS(PARÂMETROS!$B$8:$B$33,PARÂMETROS!$G$8:$G$33,F14),SUMIFS(PARÂMETROS!$C$8:$C$33,PARÂMETROS!$G$8:$G$33,F14)),0)</f>
        <v>0.191078047453591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19795.69</v>
      </c>
      <c r="E15" s="21" t="n">
        <f aca="false">IFERROR(D15/IF(B15="Clientes",SUMIFS(PARÂMETROS!$B$8:$B$33,PARÂMETROS!$G$8:$G$33,F15),SUMIFS(PARÂMETROS!$C$8:$C$33,PARÂMETROS!$G$8:$G$33,F15)),0)</f>
        <v>0.10159815851737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42641.29</v>
      </c>
      <c r="E16" s="21" t="n">
        <f aca="false">IFERROR(D16/IF(B16="Clientes",SUMIFS(PARÂMETROS!$B$8:$B$33,PARÂMETROS!$G$8:$G$33,F16),SUMIFS(PARÂMETROS!$C$8:$C$33,PARÂMETROS!$G$8:$G$33,F16)),0)</f>
        <v>0.218849483943483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25972.08</v>
      </c>
      <c r="E17" s="21" t="n">
        <f aca="false">IFERROR(D17/IF(B17="Clientes",SUMIFS(PARÂMETROS!$B$8:$B$33,PARÂMETROS!$G$8:$G$33,F17),SUMIFS(PARÂMETROS!$C$8:$C$33,PARÂMETROS!$G$8:$G$33,F17)),0)</f>
        <v>0.133297475403273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53437.15</v>
      </c>
      <c r="E18" s="21" t="n">
        <f aca="false">IFERROR(D18/IF(B18="Clientes",SUMIFS(PARÂMETROS!$B$8:$B$33,PARÂMETROS!$G$8:$G$33,F18),SUMIFS(PARÂMETROS!$C$8:$C$33,PARÂMETROS!$G$8:$G$33,F18)),0)</f>
        <v>50.9410390848427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67075.4</v>
      </c>
      <c r="E19" s="21" t="n">
        <f aca="false">IFERROR(D19/IF(B19="Clientes",SUMIFS(PARÂMETROS!$B$8:$B$33,PARÂMETROS!$G$8:$G$33,F19),SUMIFS(PARÂMETROS!$C$8:$C$33,PARÂMETROS!$G$8:$G$33,F19)),0)</f>
        <v>0.344253578522195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185396.9</v>
      </c>
      <c r="E20" s="21" t="n">
        <f aca="false">IFERROR(D20/IF(B20="Clientes",SUMIFS(PARÂMETROS!$B$8:$B$33,PARÂMETROS!$G$8:$G$33,F20),SUMIFS(PARÂMETROS!$C$8:$C$33,PARÂMETROS!$G$8:$G$33,F20)),0)</f>
        <v>0.951519428462916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128128.96</v>
      </c>
      <c r="E21" s="21" t="n">
        <f aca="false">IFERROR(D21/IF(B21="Clientes",SUMIFS(PARÂMETROS!$B$8:$B$33,PARÂMETROS!$G$8:$G$33,F21),SUMIFS(PARÂMETROS!$C$8:$C$33,PARÂMETROS!$G$8:$G$33,F21)),0)</f>
        <v>0.657601042890943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135206.01</v>
      </c>
      <c r="E22" s="21" t="n">
        <f aca="false">IFERROR(D22/IF(B22="Clientes",SUMIFS(PARÂMETROS!$B$8:$B$33,PARÂMETROS!$G$8:$G$33,F22),SUMIFS(PARÂMETROS!$C$8:$C$33,PARÂMETROS!$G$8:$G$33,F22)),0)</f>
        <v>0.69392285070544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46363.3</v>
      </c>
      <c r="E23" s="21" t="n">
        <f aca="false">IFERROR(D23/IF(B23="Clientes",SUMIFS(PARÂMETROS!$B$8:$B$33,PARÂMETROS!$G$8:$G$33,F23),SUMIFS(PARÂMETROS!$C$8:$C$33,PARÂMETROS!$G$8:$G$33,F23)),0)</f>
        <v>0.237952094763476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78181.14</v>
      </c>
      <c r="E24" s="21" t="n">
        <f aca="false">IFERROR(D24/IF(B24="Clientes",SUMIFS(PARÂMETROS!$B$8:$B$33,PARÂMETROS!$G$8:$G$33,F24),SUMIFS(PARÂMETROS!$C$8:$C$33,PARÂMETROS!$G$8:$G$33,F24)),0)</f>
        <v>0.401251982365289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195800.17</v>
      </c>
      <c r="E25" s="21" t="n">
        <f aca="false">IFERROR(D25/IF(B25="Clientes",SUMIFS(PARÂMETROS!$B$8:$B$33,PARÂMETROS!$G$8:$G$33,F25),SUMIFS(PARÂMETROS!$C$8:$C$33,PARÂMETROS!$G$8:$G$33,F25)),0)</f>
        <v>1.00491251931042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96020.32</v>
      </c>
      <c r="E26" s="21" t="n">
        <f aca="false">IFERROR(D26/IF(B26="Clientes",SUMIFS(PARÂMETROS!$B$8:$B$33,PARÂMETROS!$G$8:$G$33,F26),SUMIFS(PARÂMETROS!$C$8:$C$33,PARÂMETROS!$G$8:$G$33,F26)),0)</f>
        <v>0.492808671597132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216455.78</v>
      </c>
      <c r="E27" s="21" t="n">
        <f aca="false">IFERROR(D27/IF(B27="Clientes",SUMIFS(PARÂMETROS!$B$8:$B$33,PARÂMETROS!$G$8:$G$33,F27),SUMIFS(PARÂMETROS!$C$8:$C$33,PARÂMETROS!$G$8:$G$33,F27)),0)</f>
        <v>1.11092407733406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145636.49</v>
      </c>
      <c r="E28" s="21" t="n">
        <f aca="false">IFERROR(D28/IF(B28="Clientes",SUMIFS(PARÂMETROS!$B$8:$B$33,PARÂMETROS!$G$8:$G$33,F28),SUMIFS(PARÂMETROS!$C$8:$C$33,PARÂMETROS!$G$8:$G$33,F28)),0)</f>
        <v>0.747455592451358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47779.6</v>
      </c>
      <c r="E29" s="21" t="n">
        <f aca="false">IFERROR(D29/IF(B29="Clientes",SUMIFS(PARÂMETROS!$B$8:$B$33,PARÂMETROS!$G$8:$G$33,F29),SUMIFS(PARÂMETROS!$C$8:$C$33,PARÂMETROS!$G$8:$G$33,F29)),0)</f>
        <v>45.5477597712107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35641.07</v>
      </c>
      <c r="E30" s="21" t="n">
        <f aca="false">IFERROR(D30/IF(B30="Clientes",SUMIFS(PARÂMETROS!$B$8:$B$33,PARÂMETROS!$G$8:$G$33,F30),SUMIFS(PARÂMETROS!$C$8:$C$33,PARÂMETROS!$G$8:$G$33,F30)),0)</f>
        <v>0.182921993605108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57668.04</v>
      </c>
      <c r="E32" s="21" t="n">
        <f aca="false">IFERROR(D32/IF(B32="Clientes",SUMIFS(PARÂMETROS!$B$8:$B$33,PARÂMETROS!$G$8:$G$33,F32),SUMIFS(PARÂMETROS!$C$8:$C$33,PARÂMETROS!$G$8:$G$33,F32)),0)</f>
        <v>0.2959718337328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32698.100001</v>
      </c>
      <c r="E33" s="21" t="n">
        <f aca="false">IFERROR(D33/IF(B33="Clientes",SUMIFS(PARÂMETROS!$B$8:$B$33,PARÂMETROS!$G$8:$G$33,F33),SUMIFS(PARÂMETROS!$C$8:$C$33,PARÂMETROS!$G$8:$G$33,F33)),0)</f>
        <v>0.167817678854257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95240.59</v>
      </c>
      <c r="E34" s="21" t="n">
        <f aca="false">IFERROR(D34/IF(B34="Clientes",SUMIFS(PARÂMETROS!$B$8:$B$33,PARÂMETROS!$G$8:$G$33,F34),SUMIFS(PARÂMETROS!$C$8:$C$33,PARÂMETROS!$G$8:$G$33,F34)),0)</f>
        <v>0.488806834220372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13648.4</v>
      </c>
      <c r="E35" s="21" t="n">
        <f aca="false">IFERROR(D35/IF(B35="Clientes",SUMIFS(PARÂMETROS!$B$8:$B$33,PARÂMETROS!$G$8:$G$33,F35),SUMIFS(PARÂMETROS!$C$8:$C$33,PARÂMETROS!$G$8:$G$33,F35)),0)</f>
        <v>0.0700481926474136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106791.2</v>
      </c>
      <c r="E37" s="21" t="n">
        <f aca="false">IFERROR(D37/IF(B37="Clientes",SUMIFS(PARÂMETROS!$B$8:$B$33,PARÂMETROS!$G$8:$G$33,F37),SUMIFS(PARÂMETROS!$C$8:$C$33,PARÂMETROS!$G$8:$G$33,F37)),0)</f>
        <v>0.548088460966009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29517.88</v>
      </c>
      <c r="E38" s="21" t="n">
        <f aca="false">IFERROR(D38/IF(B38="Clientes",SUMIFS(PARÂMETROS!$B$8:$B$33,PARÂMETROS!$G$8:$G$33,F38),SUMIFS(PARÂMETROS!$C$8:$C$33,PARÂMETROS!$G$8:$G$33,F38)),0)</f>
        <v>0.151495717064508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34974.9</v>
      </c>
      <c r="E39" s="21" t="n">
        <f aca="false">IFERROR(D39/IF(B39="Clientes",SUMIFS(PARÂMETROS!$B$8:$B$33,PARÂMETROS!$G$8:$G$33,F39),SUMIFS(PARÂMETROS!$C$8:$C$33,PARÂMETROS!$G$8:$G$33,F39)),0)</f>
        <v>33.3411820781697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2840378.077001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50253.64</v>
      </c>
      <c r="E42" s="21" t="n">
        <f aca="false">IFERROR(D42/IF(B42="Clientes",SUMIFS(PARÂMETROS!$B$8:$B$33,PARÂMETROS!$G$8:$G$33,F42),SUMIFS(PARÂMETROS!$C$8:$C$33,PARÂMETROS!$G$8:$G$33,F42)),0)</f>
        <v>0.262658380678106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24538.77</v>
      </c>
      <c r="E43" s="21" t="n">
        <f aca="false">IFERROR(D43/IF(B43="Clientes",SUMIFS(PARÂMETROS!$B$8:$B$33,PARÂMETROS!$G$8:$G$33,F43),SUMIFS(PARÂMETROS!$C$8:$C$33,PARÂMETROS!$G$8:$G$33,F43)),0)</f>
        <v>23.3036752136752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39682.19</v>
      </c>
      <c r="E44" s="21" t="n">
        <f aca="false">IFERROR(D44/IF(B44="Clientes",SUMIFS(PARÂMETROS!$B$8:$B$33,PARÂMETROS!$G$8:$G$33,F44),SUMIFS(PARÂMETROS!$C$8:$C$33,PARÂMETROS!$G$8:$G$33,F44)),0)</f>
        <v>37.6848907882241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22281.91</v>
      </c>
      <c r="E45" s="21" t="n">
        <f aca="false">IFERROR(D45/IF(B45="Clientes",SUMIFS(PARÂMETROS!$B$8:$B$33,PARÂMETROS!$G$8:$G$33,F45),SUMIFS(PARÂMETROS!$C$8:$C$33,PARÂMETROS!$G$8:$G$33,F45)),0)</f>
        <v>0.116459830551882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17777.69</v>
      </c>
      <c r="E46" s="21" t="n">
        <f aca="false">IFERROR(D46/IF(B46="Clientes",SUMIFS(PARÂMETROS!$B$8:$B$33,PARÂMETROS!$G$8:$G$33,F46),SUMIFS(PARÂMETROS!$C$8:$C$33,PARÂMETROS!$G$8:$G$33,F46)),0)</f>
        <v>0.0929178317749194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59799.02</v>
      </c>
      <c r="E47" s="21" t="n">
        <f aca="false">IFERROR(D47/IF(B47="Clientes",SUMIFS(PARÂMETROS!$B$8:$B$33,PARÂMETROS!$G$8:$G$33,F47),SUMIFS(PARÂMETROS!$C$8:$C$33,PARÂMETROS!$G$8:$G$33,F47)),0)</f>
        <v>0.312548777746999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166742.609</v>
      </c>
      <c r="E48" s="21" t="n">
        <f aca="false">IFERROR(D48/IF(B48="Clientes",SUMIFS(PARÂMETROS!$B$8:$B$33,PARÂMETROS!$G$8:$G$33,F48),SUMIFS(PARÂMETROS!$C$8:$C$33,PARÂMETROS!$G$8:$G$33,F48)),0)</f>
        <v>0.871505898278863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61966.349</v>
      </c>
      <c r="E49" s="21" t="n">
        <f aca="false">IFERROR(D49/IF(B49="Clientes",SUMIFS(PARÂMETROS!$B$8:$B$33,PARÂMETROS!$G$8:$G$33,F49),SUMIFS(PARÂMETROS!$C$8:$C$33,PARÂMETROS!$G$8:$G$33,F49)),0)</f>
        <v>0.323876656195937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56707.149</v>
      </c>
      <c r="E50" s="21" t="n">
        <f aca="false">IFERROR(D50/IF(B50="Clientes",SUMIFS(PARÂMETROS!$B$8:$B$33,PARÂMETROS!$G$8:$G$33,F50),SUMIFS(PARÂMETROS!$C$8:$C$33,PARÂMETROS!$G$8:$G$33,F50)),0)</f>
        <v>0.296388638299874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26235.99</v>
      </c>
      <c r="E51" s="21" t="n">
        <f aca="false">IFERROR(D51/IF(B51="Clientes",SUMIFS(PARÂMETROS!$B$8:$B$33,PARÂMETROS!$G$8:$G$33,F51),SUMIFS(PARÂMETROS!$C$8:$C$33,PARÂMETROS!$G$8:$G$33,F51)),0)</f>
        <v>0.137126437983139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19841.34</v>
      </c>
      <c r="E52" s="21" t="n">
        <f aca="false">IFERROR(D52/IF(B52="Clientes",SUMIFS(PARÂMETROS!$B$8:$B$33,PARÂMETROS!$G$8:$G$33,F52),SUMIFS(PARÂMETROS!$C$8:$C$33,PARÂMETROS!$G$8:$G$33,F52)),0)</f>
        <v>0.103703815979971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39381.16</v>
      </c>
      <c r="E53" s="21" t="n">
        <f aca="false">IFERROR(D53/IF(B53="Clientes",SUMIFS(PARÂMETROS!$B$8:$B$33,PARÂMETROS!$G$8:$G$33,F53),SUMIFS(PARÂMETROS!$C$8:$C$33,PARÂMETROS!$G$8:$G$33,F53)),0)</f>
        <v>0.205831691292917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23864.66</v>
      </c>
      <c r="E54" s="21" t="n">
        <f aca="false">IFERROR(D54/IF(B54="Clientes",SUMIFS(PARÂMETROS!$B$8:$B$33,PARÂMETROS!$G$8:$G$33,F54),SUMIFS(PARÂMETROS!$C$8:$C$33,PARÂMETROS!$G$8:$G$33,F54)),0)</f>
        <v>0.124732316923382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55087.64</v>
      </c>
      <c r="E55" s="21" t="n">
        <f aca="false">IFERROR(D55/IF(B55="Clientes",SUMIFS(PARÂMETROS!$B$8:$B$33,PARÂMETROS!$G$8:$G$33,F55),SUMIFS(PARÂMETROS!$C$8:$C$33,PARÂMETROS!$G$8:$G$33,F55)),0)</f>
        <v>52.3149477682811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59605.01</v>
      </c>
      <c r="E56" s="21" t="n">
        <f aca="false">IFERROR(D56/IF(B56="Clientes",SUMIFS(PARÂMETROS!$B$8:$B$33,PARÂMETROS!$G$8:$G$33,F56),SUMIFS(PARÂMETROS!$C$8:$C$33,PARÂMETROS!$G$8:$G$33,F56)),0)</f>
        <v>0.311534754634735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183839.01</v>
      </c>
      <c r="E57" s="21" t="n">
        <f aca="false">IFERROR(D57/IF(B57="Clientes",SUMIFS(PARÂMETROS!$B$8:$B$33,PARÂMETROS!$G$8:$G$33,F57),SUMIFS(PARÂMETROS!$C$8:$C$33,PARÂMETROS!$G$8:$G$33,F57)),0)</f>
        <v>0.960862868283096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137110.97</v>
      </c>
      <c r="E58" s="21" t="n">
        <f aca="false">IFERROR(D58/IF(B58="Clientes",SUMIFS(PARÂMETROS!$B$8:$B$33,PARÂMETROS!$G$8:$G$33,F58),SUMIFS(PARÂMETROS!$C$8:$C$33,PARÂMETROS!$G$8:$G$33,F58)),0)</f>
        <v>0.716631578397194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121121.88</v>
      </c>
      <c r="E59" s="21" t="n">
        <f aca="false">IFERROR(D59/IF(B59="Clientes",SUMIFS(PARÂMETROS!$B$8:$B$33,PARÂMETROS!$G$8:$G$33,F59),SUMIFS(PARÂMETROS!$C$8:$C$33,PARÂMETROS!$G$8:$G$33,F59)),0)</f>
        <v>0.633062139687551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28356.7</v>
      </c>
      <c r="E60" s="21" t="n">
        <f aca="false">IFERROR(D60/IF(B60="Clientes",SUMIFS(PARÂMETROS!$B$8:$B$33,PARÂMETROS!$G$8:$G$33,F60),SUMIFS(PARÂMETROS!$C$8:$C$33,PARÂMETROS!$G$8:$G$33,F60)),0)</f>
        <v>0.148210655056526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59591.25</v>
      </c>
      <c r="E61" s="21" t="n">
        <f aca="false">IFERROR(D61/IF(B61="Clientes",SUMIFS(PARÂMETROS!$B$8:$B$33,PARÂMETROS!$G$8:$G$33,F61),SUMIFS(PARÂMETROS!$C$8:$C$33,PARÂMETROS!$G$8:$G$33,F61)),0)</f>
        <v>0.311462835877843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75103.57</v>
      </c>
      <c r="E62" s="21" t="n">
        <f aca="false">IFERROR(D62/IF(B62="Clientes",SUMIFS(PARÂMETROS!$B$8:$B$33,PARÂMETROS!$G$8:$G$33,F62),SUMIFS(PARÂMETROS!$C$8:$C$33,PARÂMETROS!$G$8:$G$33,F62)),0)</f>
        <v>0.39254036283431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54551.33</v>
      </c>
      <c r="E63" s="21" t="n">
        <f aca="false">IFERROR(D63/IF(B63="Clientes",SUMIFS(PARÂMETROS!$B$8:$B$33,PARÂMETROS!$G$8:$G$33,F63),SUMIFS(PARÂMETROS!$C$8:$C$33,PARÂMETROS!$G$8:$G$33,F63)),0)</f>
        <v>0.28512091863668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178697.05</v>
      </c>
      <c r="E64" s="21" t="n">
        <f aca="false">IFERROR(D64/IF(B64="Clientes",SUMIFS(PARÂMETROS!$B$8:$B$33,PARÂMETROS!$G$8:$G$33,F64),SUMIFS(PARÂMETROS!$C$8:$C$33,PARÂMETROS!$G$8:$G$33,F64)),0)</f>
        <v>0.933987623283698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116837.06</v>
      </c>
      <c r="E65" s="21" t="n">
        <f aca="false">IFERROR(D65/IF(B65="Clientes",SUMIFS(PARÂMETROS!$B$8:$B$33,PARÂMETROS!$G$8:$G$33,F65),SUMIFS(PARÂMETROS!$C$8:$C$33,PARÂMETROS!$G$8:$G$33,F65)),0)</f>
        <v>0.610666868763949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47847.26</v>
      </c>
      <c r="E66" s="21" t="n">
        <f aca="false">IFERROR(D66/IF(B66="Clientes",SUMIFS(PARÂMETROS!$B$8:$B$33,PARÂMETROS!$G$8:$G$33,F66),SUMIFS(PARÂMETROS!$C$8:$C$33,PARÂMETROS!$G$8:$G$33,F66)),0)</f>
        <v>45.4389933523267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27264.75</v>
      </c>
      <c r="E67" s="21" t="n">
        <f aca="false">IFERROR(D67/IF(B67="Clientes",SUMIFS(PARÂMETROS!$B$8:$B$33,PARÂMETROS!$G$8:$G$33,F67),SUMIFS(PARÂMETROS!$C$8:$C$33,PARÂMETROS!$G$8:$G$33,F67)),0)</f>
        <v>0.142503410391633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61019.96</v>
      </c>
      <c r="E69" s="21" t="n">
        <f aca="false">IFERROR(D69/IF(B69="Clientes",SUMIFS(PARÂMETROS!$B$8:$B$33,PARÂMETROS!$G$8:$G$33,F69),SUMIFS(PARÂMETROS!$C$8:$C$33,PARÂMETROS!$G$8:$G$33,F69)),0)</f>
        <v>0.318930208491222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28467.5</v>
      </c>
      <c r="E70" s="21" t="n">
        <f aca="false">IFERROR(D70/IF(B70="Clientes",SUMIFS(PARÂMETROS!$B$8:$B$33,PARÂMETROS!$G$8:$G$33,F70),SUMIFS(PARÂMETROS!$C$8:$C$33,PARÂMETROS!$G$8:$G$33,F70)),0)</f>
        <v>0.148789768302435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83752.42</v>
      </c>
      <c r="E71" s="21" t="n">
        <f aca="false">IFERROR(D71/IF(B71="Clientes",SUMIFS(PARÂMETROS!$B$8:$B$33,PARÂMETROS!$G$8:$G$33,F71),SUMIFS(PARÂMETROS!$C$8:$C$33,PARÂMETROS!$G$8:$G$33,F71)),0)</f>
        <v>0.437744907932493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9900.32</v>
      </c>
      <c r="E72" s="21" t="n">
        <f aca="false">IFERROR(D72/IF(B72="Clientes",SUMIFS(PARÂMETROS!$B$8:$B$33,PARÂMETROS!$G$8:$G$33,F72),SUMIFS(PARÂMETROS!$C$8:$C$33,PARÂMETROS!$G$8:$G$33,F72)),0)</f>
        <v>0.0517455455842615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74023</v>
      </c>
      <c r="E74" s="21" t="n">
        <f aca="false">IFERROR(D74/IF(B74="Clientes",SUMIFS(PARÂMETROS!$B$8:$B$33,PARÂMETROS!$G$8:$G$33,F74),SUMIFS(PARÂMETROS!$C$8:$C$33,PARÂMETROS!$G$8:$G$33,F74)),0)</f>
        <v>0.386892597490161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29589.5</v>
      </c>
      <c r="E75" s="21" t="n">
        <f aca="false">IFERROR(D75/IF(B75="Clientes",SUMIFS(PARÂMETROS!$B$8:$B$33,PARÂMETROS!$G$8:$G$33,F75),SUMIFS(PARÂMETROS!$C$8:$C$33,PARÂMETROS!$G$8:$G$33,F75)),0)</f>
        <v>0.154654073915339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24681.03</v>
      </c>
      <c r="E76" s="21" t="n">
        <f aca="false">IFERROR(D76/IF(B76="Clientes",SUMIFS(PARÂMETROS!$B$8:$B$33,PARÂMETROS!$G$8:$G$33,F76),SUMIFS(PARÂMETROS!$C$8:$C$33,PARÂMETROS!$G$8:$G$33,F76)),0)</f>
        <v>23.4387749287749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2249414.787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77723.24</v>
      </c>
      <c r="E78" s="21" t="n">
        <f aca="false">IFERROR(D78/IF(B78="Clientes",SUMIFS(PARÂMETROS!$B$8:$B$33,PARÂMETROS!$G$8:$G$33,F78),SUMIFS(PARÂMETROS!$C$8:$C$33,PARÂMETROS!$G$8:$G$33,F78)),0)</f>
        <v>0.385740504538664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33249.39</v>
      </c>
      <c r="E79" s="21" t="n">
        <f aca="false">IFERROR(D79/IF(B79="Clientes",SUMIFS(PARÂMETROS!$B$8:$B$33,PARÂMETROS!$G$8:$G$33,F79),SUMIFS(PARÂMETROS!$C$8:$C$33,PARÂMETROS!$G$8:$G$33,F79)),0)</f>
        <v>30.5040275229358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47280.13</v>
      </c>
      <c r="E80" s="21" t="n">
        <f aca="false">IFERROR(D80/IF(B80="Clientes",SUMIFS(PARÂMETROS!$B$8:$B$33,PARÂMETROS!$G$8:$G$33,F80),SUMIFS(PARÂMETROS!$C$8:$C$33,PARÂMETROS!$G$8:$G$33,F80)),0)</f>
        <v>43.3762660550459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30015.4</v>
      </c>
      <c r="E81" s="21" t="n">
        <f aca="false">IFERROR(D81/IF(B81="Clientes",SUMIFS(PARÂMETROS!$B$8:$B$33,PARÂMETROS!$G$8:$G$33,F81),SUMIFS(PARÂMETROS!$C$8:$C$33,PARÂMETROS!$G$8:$G$33,F81)),0)</f>
        <v>0.148966455077398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12869.48</v>
      </c>
      <c r="E82" s="21" t="n">
        <f aca="false">IFERROR(D82/IF(B82="Clientes",SUMIFS(PARÂMETROS!$B$8:$B$33,PARÂMETROS!$G$8:$G$33,F82),SUMIFS(PARÂMETROS!$C$8:$C$33,PARÂMETROS!$G$8:$G$33,F82)),0)</f>
        <v>0.0638712399064971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65126</v>
      </c>
      <c r="E83" s="21" t="n">
        <f aca="false">IFERROR(D83/IF(B83="Clientes",SUMIFS(PARÂMETROS!$B$8:$B$33,PARÂMETROS!$G$8:$G$33,F83),SUMIFS(PARÂMETROS!$C$8:$C$33,PARÂMETROS!$G$8:$G$33,F83)),0)</f>
        <v>0.323220391977805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176924.069</v>
      </c>
      <c r="E84" s="21" t="n">
        <f aca="false">IFERROR(D84/IF(B84="Clientes",SUMIFS(PARÂMETROS!$B$8:$B$33,PARÂMETROS!$G$8:$G$33,F84),SUMIFS(PARÂMETROS!$C$8:$C$33,PARÂMETROS!$G$8:$G$33,F84)),0)</f>
        <v>0.878074301085408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60073.379</v>
      </c>
      <c r="E85" s="21" t="n">
        <f aca="false">IFERROR(D85/IF(B85="Clientes",SUMIFS(PARÂMETROS!$B$8:$B$33,PARÂMETROS!$G$8:$G$33,F85),SUMIFS(PARÂMETROS!$C$8:$C$33,PARÂMETROS!$G$8:$G$33,F85)),0)</f>
        <v>0.298144229767086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69670.089</v>
      </c>
      <c r="E86" s="21" t="n">
        <f aca="false">IFERROR(D86/IF(B86="Clientes",SUMIFS(PARÂMETROS!$B$8:$B$33,PARÂMETROS!$G$8:$G$33,F86),SUMIFS(PARÂMETROS!$C$8:$C$33,PARÂMETROS!$G$8:$G$33,F86)),0)</f>
        <v>0.345772709451042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35666.14</v>
      </c>
      <c r="E87" s="21" t="n">
        <f aca="false">IFERROR(D87/IF(B87="Clientes",SUMIFS(PARÂMETROS!$B$8:$B$33,PARÂMETROS!$G$8:$G$33,F87),SUMIFS(PARÂMETROS!$C$8:$C$33,PARÂMETROS!$G$8:$G$33,F87)),0)</f>
        <v>0.177011082380851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21871.89</v>
      </c>
      <c r="E88" s="21" t="n">
        <f aca="false">IFERROR(D88/IF(B88="Clientes",SUMIFS(PARÂMETROS!$B$8:$B$33,PARÂMETROS!$G$8:$G$33,F88),SUMIFS(PARÂMETROS!$C$8:$C$33,PARÂMETROS!$G$8:$G$33,F88)),0)</f>
        <v>0.108550208197885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44219.72</v>
      </c>
      <c r="E89" s="21" t="n">
        <f aca="false">IFERROR(D89/IF(B89="Clientes",SUMIFS(PARÂMETROS!$B$8:$B$33,PARÂMETROS!$G$8:$G$33,F89),SUMIFS(PARÂMETROS!$C$8:$C$33,PARÂMETROS!$G$8:$G$33,F89)),0)</f>
        <v>0.219462507010239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29976.31</v>
      </c>
      <c r="E90" s="21" t="n">
        <f aca="false">IFERROR(D90/IF(B90="Clientes",SUMIFS(PARÂMETROS!$B$8:$B$33,PARÂMETROS!$G$8:$G$33,F90),SUMIFS(PARÂMETROS!$C$8:$C$33,PARÂMETROS!$G$8:$G$33,F90)),0)</f>
        <v>0.148772451374999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69442.63</v>
      </c>
      <c r="E91" s="21" t="n">
        <f aca="false">IFERROR(D91/IF(B91="Clientes",SUMIFS(PARÂMETROS!$B$8:$B$33,PARÂMETROS!$G$8:$G$33,F91),SUMIFS(PARÂMETROS!$C$8:$C$33,PARÂMETROS!$G$8:$G$33,F91)),0)</f>
        <v>63.7088348623853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88563.17</v>
      </c>
      <c r="E92" s="21" t="n">
        <f aca="false">IFERROR(D92/IF(B92="Clientes",SUMIFS(PARÂMETROS!$B$8:$B$33,PARÂMETROS!$G$8:$G$33,F92),SUMIFS(PARÂMETROS!$C$8:$C$33,PARÂMETROS!$G$8:$G$33,F92)),0)</f>
        <v>0.439539086113027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182930.41</v>
      </c>
      <c r="E93" s="21" t="n">
        <f aca="false">IFERROR(D93/IF(B93="Clientes",SUMIFS(PARÂMETROS!$B$8:$B$33,PARÂMETROS!$G$8:$G$33,F93),SUMIFS(PARÂMETROS!$C$8:$C$33,PARÂMETROS!$G$8:$G$33,F93)),0)</f>
        <v>0.907883776446591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120352.68</v>
      </c>
      <c r="E94" s="21" t="n">
        <f aca="false">IFERROR(D94/IF(B94="Clientes",SUMIFS(PARÂMETROS!$B$8:$B$33,PARÂMETROS!$G$8:$G$33,F94),SUMIFS(PARÂMETROS!$C$8:$C$33,PARÂMETROS!$G$8:$G$33,F94)),0)</f>
        <v>0.597310450590845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124066.75</v>
      </c>
      <c r="E95" s="21" t="n">
        <f aca="false">IFERROR(D95/IF(B95="Clientes",SUMIFS(PARÂMETROS!$B$8:$B$33,PARÂMETROS!$G$8:$G$33,F95),SUMIFS(PARÂMETROS!$C$8:$C$33,PARÂMETROS!$G$8:$G$33,F95)),0)</f>
        <v>0.615743383079145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28556.46</v>
      </c>
      <c r="E96" s="21" t="n">
        <f aca="false">IFERROR(D96/IF(B96="Clientes",SUMIFS(PARÂMETROS!$B$8:$B$33,PARÂMETROS!$G$8:$G$33,F96),SUMIFS(PARÂMETROS!$C$8:$C$33,PARÂMETROS!$G$8:$G$33,F96)),0)</f>
        <v>0.141725734648198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628044</v>
      </c>
      <c r="E97" s="21" t="n">
        <f aca="false">IFERROR(D97/IF(B97="Clientes",SUMIFS(PARÂMETROS!$B$8:$B$33,PARÂMETROS!$G$8:$G$33,F97),SUMIFS(PARÂMETROS!$C$8:$C$33,PARÂMETROS!$G$8:$G$33,F97)),0)</f>
        <v>3.11698289253614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118199.9</v>
      </c>
      <c r="E98" s="21" t="n">
        <f aca="false">IFERROR(D98/IF(B98="Clientes",SUMIFS(PARÂMETROS!$B$8:$B$33,PARÂMETROS!$G$8:$G$33,F98),SUMIFS(PARÂMETROS!$C$8:$C$33,PARÂMETROS!$G$8:$G$33,F98)),0)</f>
        <v>0.586626201666576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47264.93</v>
      </c>
      <c r="E99" s="21" t="n">
        <f aca="false">IFERROR(D99/IF(B99="Clientes",SUMIFS(PARÂMETROS!$B$8:$B$33,PARÂMETROS!$G$8:$G$33,F99),SUMIFS(PARÂMETROS!$C$8:$C$33,PARÂMETROS!$G$8:$G$33,F99)),0)</f>
        <v>0.234575886764173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142919.58</v>
      </c>
      <c r="E100" s="21" t="n">
        <f aca="false">IFERROR(D100/IF(B100="Clientes",SUMIFS(PARÂMETROS!$B$8:$B$33,PARÂMETROS!$G$8:$G$33,F100),SUMIFS(PARÂMETROS!$C$8:$C$33,PARÂMETROS!$G$8:$G$33,F100)),0)</f>
        <v>0.709309993994769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127545.59</v>
      </c>
      <c r="E101" s="21" t="n">
        <f aca="false">IFERROR(D101/IF(B101="Clientes",SUMIFS(PARÂMETROS!$B$8:$B$33,PARÂMETROS!$G$8:$G$33,F101),SUMIFS(PARÂMETROS!$C$8:$C$33,PARÂMETROS!$G$8:$G$33,F101)),0)</f>
        <v>0.633008868882481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30773.62</v>
      </c>
      <c r="E103" s="21" t="n">
        <f aca="false">IFERROR(D103/IF(B103="Clientes",SUMIFS(PARÂMETROS!$B$8:$B$33,PARÂMETROS!$G$8:$G$33,F103),SUMIFS(PARÂMETROS!$C$8:$C$33,PARÂMETROS!$G$8:$G$33,F103)),0)</f>
        <v>0.152729501565827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61027.21</v>
      </c>
      <c r="E105" s="21" t="n">
        <f aca="false">IFERROR(D105/IF(B105="Clientes",SUMIFS(PARÂMETROS!$B$8:$B$33,PARÂMETROS!$G$8:$G$33,F105),SUMIFS(PARÂMETROS!$C$8:$C$33,PARÂMETROS!$G$8:$G$33,F105)),0)</f>
        <v>0.302878093810642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34400.02</v>
      </c>
      <c r="E106" s="21" t="n">
        <f aca="false">IFERROR(D106/IF(B106="Clientes",SUMIFS(PARÂMETROS!$B$8:$B$33,PARÂMETROS!$G$8:$G$33,F106),SUMIFS(PARÂMETROS!$C$8:$C$33,PARÂMETROS!$G$8:$G$33,F106)),0)</f>
        <v>0.170727327771464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79608.13</v>
      </c>
      <c r="E107" s="21" t="n">
        <f aca="false">IFERROR(D107/IF(B107="Clientes",SUMIFS(PARÂMETROS!$B$8:$B$33,PARÂMETROS!$G$8:$G$33,F107),SUMIFS(PARÂMETROS!$C$8:$C$33,PARÂMETROS!$G$8:$G$33,F107)),0)</f>
        <v>0.395095215170901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14471.07</v>
      </c>
      <c r="E108" s="21" t="n">
        <f aca="false">IFERROR(D108/IF(B108="Clientes",SUMIFS(PARÂMETROS!$B$8:$B$33,PARÂMETROS!$G$8:$G$33,F108),SUMIFS(PARÂMETROS!$C$8:$C$33,PARÂMETROS!$G$8:$G$33,F108)),0)</f>
        <v>0.0718199324039287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29362.3</v>
      </c>
      <c r="E111" s="21" t="n">
        <f aca="false">IFERROR(D111/IF(B111="Clientes",SUMIFS(PARÂMETROS!$B$8:$B$33,PARÂMETROS!$G$8:$G$33,F111),SUMIFS(PARÂMETROS!$C$8:$C$33,PARÂMETROS!$G$8:$G$33,F111)),0)</f>
        <v>0.145725119236095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25291.39</v>
      </c>
      <c r="E112" s="21" t="n">
        <f aca="false">IFERROR(D112/IF(B112="Clientes",SUMIFS(PARÂMETROS!$B$8:$B$33,PARÂMETROS!$G$8:$G$33,F112),SUMIFS(PARÂMETROS!$C$8:$C$33,PARÂMETROS!$G$8:$G$33,F112)),0)</f>
        <v>23.2031100917431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3067800.507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8430.33</v>
      </c>
      <c r="E114" s="1" t="n">
        <f aca="false">IFERROR(D114/IF(B114="Clientes",SUMIFS(PARÂMETROS!$B$8:$B$33,PARÂMETROS!$G$8:$G$33,F114),SUMIFS(PARÂMETROS!$C$8:$C$33,PARÂMETROS!$G$8:$G$33,F114)),0)</f>
        <v>0.0432672972598451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7421.09</v>
      </c>
      <c r="E115" s="1" t="n">
        <f aca="false">IFERROR(D115/IF(B115="Clientes",SUMIFS(PARÂMETROS!$B$8:$B$33,PARÂMETROS!$G$8:$G$33,F115),SUMIFS(PARÂMETROS!$C$8:$C$33,PARÂMETROS!$G$8:$G$33,F115)),0)</f>
        <v>0.0387874685747438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7378.85</v>
      </c>
      <c r="E116" s="1" t="n">
        <f aca="false">IFERROR(D116/IF(B116="Clientes",SUMIFS(PARÂMETROS!$B$8:$B$33,PARÂMETROS!$G$8:$G$33,F116),SUMIFS(PARÂMETROS!$C$8:$C$33,PARÂMETROS!$G$8:$G$33,F116)),0)</f>
        <v>0.0366212386657469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34477.88</v>
      </c>
      <c r="E117" s="1" t="n">
        <f aca="false">IFERROR(D117/IF(B117="Clientes",SUMIFS(PARÂMETROS!$B$8:$B$33,PARÂMETROS!$G$8:$G$33,F117),SUMIFS(PARÂMETROS!$C$8:$C$33,PARÂMETROS!$G$8:$G$33,F117)),0)</f>
        <v>32.8673784556721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17458.54</v>
      </c>
      <c r="E118" s="1" t="n">
        <f aca="false">IFERROR(D118/IF(B118="Clientes",SUMIFS(PARÂMETROS!$B$8:$B$33,PARÂMETROS!$G$8:$G$33,F118),SUMIFS(PARÂMETROS!$C$8:$C$33,PARÂMETROS!$G$8:$G$33,F118)),0)</f>
        <v>16.5798100664767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28984.41</v>
      </c>
      <c r="E119" s="1" t="n">
        <f aca="false">IFERROR(D119/IF(B119="Clientes",SUMIFS(PARÂMETROS!$B$8:$B$33,PARÂMETROS!$G$8:$G$33,F119),SUMIFS(PARÂMETROS!$C$8:$C$33,PARÂMETROS!$G$8:$G$33,F119)),0)</f>
        <v>26.5912018348624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2</v>
      </c>
      <c r="E5" s="36" t="n">
        <v>9.31</v>
      </c>
      <c r="F5" s="37" t="n">
        <f aca="false">IFERROR(D5*E5,0)</f>
        <v>18.62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1654.6</v>
      </c>
      <c r="F7" s="37" t="n">
        <f aca="false">IFERROR(D7*E7,0)</f>
        <v>1654.6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4.85</v>
      </c>
      <c r="F8" s="22" t="n">
        <f aca="false">IFERROR(D8*E8,0)</f>
        <v>4.85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 t="n">
        <v>1</v>
      </c>
      <c r="E9" s="36" t="n">
        <v>150</v>
      </c>
      <c r="F9" s="37" t="n">
        <f aca="false">IFERROR(D9*E9,0)</f>
        <v>150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1</v>
      </c>
      <c r="E32" s="39" t="n">
        <v>92</v>
      </c>
      <c r="F32" s="22" t="n">
        <f aca="false">IFERROR(D32*E32,0)</f>
        <v>92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1654.6</v>
      </c>
      <c r="F33" s="37" t="n">
        <f aca="false">IFERROR(D33*E33,0)</f>
        <v>1654.6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4.85</v>
      </c>
      <c r="F34" s="22" t="n">
        <f aca="false">IFERROR(D34*E34,0)</f>
        <v>4.85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 t="n">
        <v>1</v>
      </c>
      <c r="E35" s="36" t="n">
        <v>30</v>
      </c>
      <c r="F35" s="37" t="n">
        <f aca="false">IFERROR(D35*E35,0)</f>
        <v>30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2</v>
      </c>
      <c r="E43" s="36" t="n">
        <v>60.09</v>
      </c>
      <c r="F43" s="37" t="n">
        <f aca="false">IFERROR(D43*E43,0)</f>
        <v>120.18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18</v>
      </c>
      <c r="E44" s="39" t="n">
        <v>539.14</v>
      </c>
      <c r="F44" s="22" t="n">
        <f aca="false">IFERROR(D44*E44,0)</f>
        <v>9704.52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1654.6</v>
      </c>
      <c r="F45" s="37" t="n">
        <f aca="false">IFERROR(D45*E45,0)</f>
        <v>1654.6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4.85</v>
      </c>
      <c r="F46" s="22" t="n">
        <f aca="false">IFERROR(D46*E46,0)</f>
        <v>4.85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 t="n">
        <v>3.3333</v>
      </c>
      <c r="E47" s="36" t="n">
        <v>30</v>
      </c>
      <c r="F47" s="37" t="n">
        <f aca="false">IFERROR(D47*E47,0)</f>
        <v>99.999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 t="n">
        <v>1</v>
      </c>
      <c r="E75" s="36" t="n">
        <v>1787.09</v>
      </c>
      <c r="F75" s="37" t="n">
        <f aca="false">IFERROR(D75*E75,0)</f>
        <v>1787.09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 t="n">
        <v>1</v>
      </c>
      <c r="E81" s="36" t="n">
        <v>40.52</v>
      </c>
      <c r="F81" s="37" t="n">
        <f aca="false">IFERROR(D81*E81,0)</f>
        <v>40.52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1</v>
      </c>
      <c r="E83" s="36" t="n">
        <v>750</v>
      </c>
      <c r="F83" s="37" t="n">
        <f aca="false">IFERROR(D83*E83,0)</f>
        <v>750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2</v>
      </c>
      <c r="E84" s="39" t="n">
        <v>50</v>
      </c>
      <c r="F84" s="22" t="n">
        <f aca="false">IFERROR(D84*E84,0)</f>
        <v>100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3</v>
      </c>
      <c r="E89" s="36" t="n">
        <v>51.3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1654.6</v>
      </c>
      <c r="F90" s="22" t="n">
        <f aca="false">IFERROR(D90*E90,0)</f>
        <v>1654.6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4.85</v>
      </c>
      <c r="F91" s="37" t="n">
        <f aca="false">IFERROR(D91*E91,0)</f>
        <v>4.85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 t="n">
        <v>1</v>
      </c>
      <c r="E92" s="39" t="n">
        <v>60</v>
      </c>
      <c r="F92" s="22" t="n">
        <f aca="false">IFERROR(D92*E92,0)</f>
        <v>60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5</v>
      </c>
      <c r="E98" s="39" t="n">
        <v>50</v>
      </c>
      <c r="F98" s="22" t="n">
        <f aca="false">IFERROR(D98*E98,0)</f>
        <v>250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3</v>
      </c>
      <c r="E103" s="36" t="n">
        <v>37.43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1654.6</v>
      </c>
      <c r="F104" s="22" t="n">
        <f aca="false">IFERROR(D104*E104,0)</f>
        <v>1654.6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4.85</v>
      </c>
      <c r="F105" s="37" t="n">
        <f aca="false">IFERROR(D105*E105,0)</f>
        <v>4.85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150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3</v>
      </c>
      <c r="E111" s="36" t="n">
        <v>75.54</v>
      </c>
      <c r="F111" s="37" t="n">
        <f aca="false">IFERROR(D111*E111,0)</f>
        <v>226.62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1654.6</v>
      </c>
      <c r="F112" s="22" t="n">
        <f aca="false">IFERROR(D112*E112,0)</f>
        <v>1654.6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4.85</v>
      </c>
      <c r="F113" s="37" t="n">
        <f aca="false">IFERROR(D113*E113,0)</f>
        <v>4.85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 t="n">
        <v>1</v>
      </c>
      <c r="E114" s="39" t="n">
        <v>60</v>
      </c>
      <c r="F114" s="22" t="n">
        <f aca="false">IFERROR(D114*E114,0)</f>
        <v>60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196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1</v>
      </c>
      <c r="E126" s="39" t="n">
        <v>6.77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6</v>
      </c>
      <c r="E127" s="36" t="n">
        <v>78.93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1654.6</v>
      </c>
      <c r="F128" s="22" t="n">
        <f aca="false">IFERROR(D128*E128,0)</f>
        <v>1654.6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4.85</v>
      </c>
      <c r="F129" s="37" t="n">
        <f aca="false">IFERROR(D129*E129,0)</f>
        <v>4.85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 t="n">
        <v>2</v>
      </c>
      <c r="E130" s="39" t="n">
        <v>30</v>
      </c>
      <c r="F130" s="22" t="n">
        <f aca="false">IFERROR(D130*E130,0)</f>
        <v>60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4</v>
      </c>
      <c r="E131" s="36" t="n">
        <v>41433.6</v>
      </c>
      <c r="F131" s="37" t="n">
        <f aca="false">IFERROR(E131,0)</f>
        <v>41433.6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197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4</v>
      </c>
      <c r="E136" s="39" t="n">
        <v>9.92</v>
      </c>
      <c r="F136" s="22" t="n">
        <f aca="false">IFERROR(D136*E136,0)</f>
        <v>39.68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4</v>
      </c>
      <c r="E137" s="36" t="n">
        <v>2.05</v>
      </c>
      <c r="F137" s="37" t="n">
        <f aca="false">IFERROR(D137*E137,0)</f>
        <v>8.2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 t="n">
        <v>1</v>
      </c>
      <c r="E143" s="36" t="n">
        <v>1470</v>
      </c>
      <c r="F143" s="37" t="n">
        <f aca="false">IFERROR(D143*E143,0)</f>
        <v>1470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</v>
      </c>
      <c r="E147" s="36" t="n">
        <v>750</v>
      </c>
      <c r="F147" s="37" t="n">
        <f aca="false">IFERROR(D147*E147,0)</f>
        <v>750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11</v>
      </c>
      <c r="E149" s="36" t="n">
        <v>42.73</v>
      </c>
      <c r="F149" s="37" t="n">
        <f aca="false">IFERROR(D149*E149,0)</f>
        <v>470.03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198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 t="n">
        <v>1</v>
      </c>
      <c r="E158" s="39" t="n">
        <v>150</v>
      </c>
      <c r="F158" s="22" t="n">
        <f aca="false">IFERROR(D158*E158,0)</f>
        <v>150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</v>
      </c>
      <c r="E162" s="39" t="n">
        <v>750</v>
      </c>
      <c r="F162" s="22" t="n">
        <f aca="false">IFERROR(D162*E162,0)</f>
        <v>750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10</v>
      </c>
      <c r="E165" s="36" t="n">
        <v>18</v>
      </c>
      <c r="F165" s="37" t="n">
        <f aca="false">IFERROR(D165*E165,0)</f>
        <v>180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10</v>
      </c>
      <c r="E169" s="36" t="n">
        <v>71.42</v>
      </c>
      <c r="F169" s="37" t="n">
        <f aca="false">IFERROR(D169*E169,0)</f>
        <v>714.2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11</v>
      </c>
      <c r="E170" s="39" t="n">
        <v>150</v>
      </c>
      <c r="F170" s="22" t="n">
        <f aca="false">IFERROR(D170*E170,0)</f>
        <v>1650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1654.6</v>
      </c>
      <c r="F171" s="37" t="n">
        <f aca="false">IFERROR(D171*E171,0)</f>
        <v>1654.6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4.85</v>
      </c>
      <c r="F172" s="22" t="n">
        <f aca="false">IFERROR(D172*E172,0)</f>
        <v>4.85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 t="n">
        <v>1</v>
      </c>
      <c r="E173" s="36" t="n">
        <v>201.04</v>
      </c>
      <c r="F173" s="37" t="n">
        <f aca="false">IFERROR(D173*E173,0)</f>
        <v>201.04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8</v>
      </c>
      <c r="E174" s="39" t="n">
        <v>30137.1</v>
      </c>
      <c r="F174" s="22" t="n">
        <f aca="false">IFERROR(E174,0)</f>
        <v>30137.1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199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7</v>
      </c>
      <c r="E178" s="39" t="n">
        <v>50</v>
      </c>
      <c r="F178" s="22" t="n">
        <f aca="false">IFERROR(D178*E178,0)</f>
        <v>350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8</v>
      </c>
      <c r="E180" s="39" t="n">
        <v>9.92</v>
      </c>
      <c r="F180" s="22" t="n">
        <f aca="false">IFERROR(D180*E180,0)</f>
        <v>79.36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8</v>
      </c>
      <c r="E181" s="36" t="n">
        <v>2.05</v>
      </c>
      <c r="F181" s="37" t="n">
        <f aca="false">IFERROR(D181*E181,0)</f>
        <v>16.4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 t="n">
        <v>1</v>
      </c>
      <c r="E186" s="39" t="n">
        <v>130.52</v>
      </c>
      <c r="F186" s="22" t="n">
        <f aca="false">IFERROR(D186*E186,0)</f>
        <v>130.52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198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200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201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</v>
      </c>
      <c r="E193" s="36" t="n">
        <v>750</v>
      </c>
      <c r="F193" s="37" t="n">
        <f aca="false">IFERROR(D193*E193,0)</f>
        <v>750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2</v>
      </c>
      <c r="E194" s="39" t="n">
        <v>50</v>
      </c>
      <c r="F194" s="22" t="n">
        <f aca="false">IFERROR(D194*E194,0)</f>
        <v>100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 t="n">
        <v>9</v>
      </c>
      <c r="E200" s="39" t="n">
        <v>30</v>
      </c>
      <c r="F200" s="22" t="n">
        <f aca="false">IFERROR(D200*E200,0)</f>
        <v>270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202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201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198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 t="n">
        <v>3</v>
      </c>
      <c r="E212" s="39" t="n">
        <v>30</v>
      </c>
      <c r="F212" s="22" t="n">
        <f aca="false">IFERROR(D212*E212,0)</f>
        <v>90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5</v>
      </c>
      <c r="E214" s="39" t="n">
        <v>50</v>
      </c>
      <c r="F214" s="22" t="n">
        <f aca="false">IFERROR(D214*E214,0)</f>
        <v>250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198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2</v>
      </c>
      <c r="E218" s="39" t="n">
        <v>60.09</v>
      </c>
      <c r="F218" s="22" t="n">
        <f aca="false">IFERROR(D218*E218,0)</f>
        <v>120.18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18</v>
      </c>
      <c r="E219" s="36" t="n">
        <v>539.14</v>
      </c>
      <c r="F219" s="37" t="n">
        <f aca="false">IFERROR(D219*E219,0)</f>
        <v>9704.52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1654.6</v>
      </c>
      <c r="F220" s="22" t="n">
        <f aca="false">IFERROR(D220*E220,0)</f>
        <v>1654.6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4.85</v>
      </c>
      <c r="F221" s="37" t="n">
        <f aca="false">IFERROR(D221*E221,0)</f>
        <v>4.85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 t="n">
        <v>3.3333</v>
      </c>
      <c r="E222" s="39" t="n">
        <v>30</v>
      </c>
      <c r="F222" s="22" t="n">
        <f aca="false">IFERROR(D222*E222,0)</f>
        <v>99.999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203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 t="n">
        <v>5</v>
      </c>
      <c r="E233" s="36" t="n">
        <v>30</v>
      </c>
      <c r="F233" s="37" t="n">
        <f aca="false">IFERROR(D233*E233,0)</f>
        <v>150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202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201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198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204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198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200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1</v>
      </c>
      <c r="E251" s="36" t="n">
        <v>750</v>
      </c>
      <c r="F251" s="37" t="n">
        <f aca="false">IFERROR(D251*E251,0)</f>
        <v>750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3</v>
      </c>
      <c r="E255" s="36" t="n">
        <v>59.24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1654.6</v>
      </c>
      <c r="F256" s="22" t="n">
        <f aca="false">IFERROR(D256*E256,0)</f>
        <v>1654.6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4.85</v>
      </c>
      <c r="F257" s="37" t="n">
        <f aca="false">IFERROR(D257*E257,0)</f>
        <v>4.85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 t="n">
        <v>1</v>
      </c>
      <c r="E258" s="39" t="n">
        <v>70.52</v>
      </c>
      <c r="F258" s="22" t="n">
        <f aca="false">IFERROR(D258*E258,0)</f>
        <v>70.52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205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206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207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208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209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210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5</v>
      </c>
      <c r="E266" s="39" t="n">
        <v>50</v>
      </c>
      <c r="F266" s="22" t="n">
        <f aca="false">IFERROR(D266*E266,0)</f>
        <v>250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2</v>
      </c>
      <c r="E270" s="39" t="n">
        <v>60.09</v>
      </c>
      <c r="F270" s="22" t="n">
        <f aca="false">IFERROR(D270*E270,0)</f>
        <v>120.18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18</v>
      </c>
      <c r="E271" s="36" t="n">
        <v>539.14</v>
      </c>
      <c r="F271" s="37" t="n">
        <f aca="false">IFERROR(D271*E271,0)</f>
        <v>9704.52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1654.6</v>
      </c>
      <c r="F272" s="22" t="n">
        <f aca="false">IFERROR(D272*E272,0)</f>
        <v>1654.6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4.85</v>
      </c>
      <c r="F273" s="37" t="n">
        <f aca="false">IFERROR(D273*E273,0)</f>
        <v>4.85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 t="n">
        <v>3.3333</v>
      </c>
      <c r="E274" s="39" t="n">
        <v>30</v>
      </c>
      <c r="F274" s="22" t="n">
        <f aca="false">IFERROR(D274*E274,0)</f>
        <v>99.999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 t="n">
        <v>1</v>
      </c>
      <c r="E288" s="39" t="n">
        <v>160.52</v>
      </c>
      <c r="F288" s="22" t="n">
        <f aca="false">IFERROR(D288*E288,0)</f>
        <v>160.52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201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1</v>
      </c>
      <c r="E298" s="39" t="n">
        <v>750</v>
      </c>
      <c r="F298" s="22" t="n">
        <f aca="false">IFERROR(D298*E298,0)</f>
        <v>750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211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198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9</v>
      </c>
      <c r="E305" s="36" t="n">
        <v>117.59</v>
      </c>
      <c r="F305" s="37" t="n">
        <f aca="false">IFERROR(D305*E305,0)</f>
        <v>1058.31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18</v>
      </c>
      <c r="E306" s="39" t="n">
        <v>539.14</v>
      </c>
      <c r="F306" s="22" t="n">
        <f aca="false">IFERROR(D306*E306,0)</f>
        <v>9704.52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1654.6</v>
      </c>
      <c r="F307" s="37" t="n">
        <f aca="false">IFERROR(D307*E307,0)</f>
        <v>1654.6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4.85</v>
      </c>
      <c r="F308" s="22" t="n">
        <f aca="false">IFERROR(D308*E308,0)</f>
        <v>4.85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2</v>
      </c>
      <c r="E316" s="39" t="n">
        <v>60.09</v>
      </c>
      <c r="F316" s="22" t="n">
        <f aca="false">IFERROR(D316*E316,0)</f>
        <v>120.18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18</v>
      </c>
      <c r="E317" s="36" t="n">
        <v>539.14</v>
      </c>
      <c r="F317" s="37" t="n">
        <f aca="false">IFERROR(D317*E317,0)</f>
        <v>9704.52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1654.6</v>
      </c>
      <c r="F318" s="22" t="n">
        <f aca="false">IFERROR(D318*E318,0)</f>
        <v>1654.6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4.85</v>
      </c>
      <c r="F319" s="37" t="n">
        <f aca="false">IFERROR(D319*E319,0)</f>
        <v>4.85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 t="n">
        <v>1</v>
      </c>
      <c r="E320" s="39" t="n">
        <v>30</v>
      </c>
      <c r="F320" s="22" t="n">
        <f aca="false">IFERROR(D320*E320,0)</f>
        <v>30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2</v>
      </c>
      <c r="E327" s="36" t="n">
        <v>60.09</v>
      </c>
      <c r="F327" s="37" t="n">
        <f aca="false">IFERROR(D327*E327,0)</f>
        <v>120.18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18</v>
      </c>
      <c r="E328" s="39" t="n">
        <v>539.14</v>
      </c>
      <c r="F328" s="22" t="n">
        <f aca="false">IFERROR(D328*E328,0)</f>
        <v>9704.52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1654.6</v>
      </c>
      <c r="F329" s="37" t="n">
        <f aca="false">IFERROR(D329*E329,0)</f>
        <v>1654.6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4.85</v>
      </c>
      <c r="F330" s="22" t="n">
        <f aca="false">IFERROR(D330*E330,0)</f>
        <v>4.85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212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8</v>
      </c>
      <c r="E339" s="36" t="n">
        <v>47.66</v>
      </c>
      <c r="F339" s="37" t="n">
        <f aca="false">IFERROR(D339*E339,0)</f>
        <v>381.28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4</v>
      </c>
      <c r="E348" s="39" t="n">
        <v>47.66</v>
      </c>
      <c r="F348" s="22" t="n">
        <f aca="false">IFERROR(D348*E348,0)</f>
        <v>190.64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4</v>
      </c>
      <c r="E351" s="36" t="n">
        <v>47.66</v>
      </c>
      <c r="F351" s="37" t="n">
        <f aca="false">IFERROR(D351*E351,0)</f>
        <v>190.64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4</v>
      </c>
      <c r="E358" s="39" t="n">
        <v>29.74</v>
      </c>
      <c r="F358" s="22" t="n">
        <f aca="false">IFERROR(D358*E358,0)</f>
        <v>118.96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4</v>
      </c>
      <c r="E359" s="36" t="n">
        <v>43.54</v>
      </c>
      <c r="F359" s="37" t="n">
        <f aca="false">IFERROR(D359*E359,0)</f>
        <v>174.16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8</v>
      </c>
      <c r="E367" s="36" t="n">
        <v>29.74</v>
      </c>
      <c r="F367" s="37" t="n">
        <f aca="false">IFERROR(D367*E367,0)</f>
        <v>237.92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8</v>
      </c>
      <c r="E368" s="39" t="n">
        <v>43.54</v>
      </c>
      <c r="F368" s="22" t="n">
        <f aca="false">IFERROR(D368*E368,0)</f>
        <v>348.32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7</v>
      </c>
      <c r="E369" s="36" t="n">
        <v>47.66</v>
      </c>
      <c r="F369" s="37" t="n">
        <f aca="false">IFERROR(D369*E369,0)</f>
        <v>333.62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19</v>
      </c>
      <c r="E372" s="39" t="n">
        <v>47.66</v>
      </c>
      <c r="F372" s="22" t="n">
        <f aca="false">IFERROR(D372*E372,0)</f>
        <v>905.54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12</v>
      </c>
      <c r="E375" s="36" t="n">
        <v>47.66</v>
      </c>
      <c r="F375" s="37" t="n">
        <f aca="false">IFERROR(D375*E375,0)</f>
        <v>571.92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46</v>
      </c>
      <c r="E381" s="36" t="n">
        <v>47.66</v>
      </c>
      <c r="F381" s="37" t="n">
        <f aca="false">IFERROR(D381*E381,0)</f>
        <v>2192.36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4</v>
      </c>
      <c r="E390" s="39" t="n">
        <v>47.66</v>
      </c>
      <c r="F390" s="22" t="n">
        <f aca="false">IFERROR(D390*E390,0)</f>
        <v>190.64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11</v>
      </c>
      <c r="E393" s="36" t="n">
        <v>47.66</v>
      </c>
      <c r="F393" s="37" t="n">
        <f aca="false">IFERROR(D393*E393,0)</f>
        <v>524.26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34</v>
      </c>
      <c r="E402" s="39" t="n">
        <v>47.66</v>
      </c>
      <c r="F402" s="22" t="n">
        <f aca="false">IFERROR(D402*E402,0)</f>
        <v>1620.44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14</v>
      </c>
      <c r="E405" s="36" t="n">
        <v>47.66</v>
      </c>
      <c r="F405" s="37" t="n">
        <f aca="false">IFERROR(D405*E405,0)</f>
        <v>667.24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213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198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3517.58</v>
      </c>
      <c r="F410" s="22" t="n">
        <f aca="false">IFERROR(D410*E410,0)</f>
        <v>3517.58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/>
      <c r="E411" s="36"/>
      <c r="F411" s="37" t="n">
        <f aca="false">IFERROR(D411*E411,0)</f>
        <v>0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198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214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198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6</v>
      </c>
      <c r="E426" s="39" t="n">
        <v>198.78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198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4</v>
      </c>
      <c r="E430" s="39" t="n">
        <v>67.31</v>
      </c>
      <c r="F430" s="22" t="n">
        <f aca="false">IFERROR(D430*E430,0)</f>
        <v>269.24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198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201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198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201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1</v>
      </c>
      <c r="E440" s="39" t="n">
        <v>6.77</v>
      </c>
      <c r="F440" s="22" t="n">
        <f aca="false">IFERROR(D440*E440,0)</f>
        <v>6.77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3</v>
      </c>
      <c r="E442" s="39" t="n">
        <v>81.33</v>
      </c>
      <c r="F442" s="22" t="n">
        <f aca="false">IFERROR(D442*E442,0)</f>
        <v>243.99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8</v>
      </c>
      <c r="E449" s="36" t="n">
        <v>47.66</v>
      </c>
      <c r="F449" s="37" t="n">
        <f aca="false">IFERROR(D449*E449,0)</f>
        <v>381.28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13</v>
      </c>
      <c r="E458" s="39" t="n">
        <v>46.92</v>
      </c>
      <c r="F458" s="22" t="n">
        <f aca="false">IFERROR(D458*E458,0)</f>
        <v>609.96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11</v>
      </c>
      <c r="E464" s="39" t="n">
        <v>68.18</v>
      </c>
      <c r="F464" s="22" t="n">
        <f aca="false">IFERROR(D464*E464,0)</f>
        <v>749.98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2</v>
      </c>
      <c r="E497" s="36" t="n">
        <v>47.66</v>
      </c>
      <c r="F497" s="37" t="n">
        <f aca="false">IFERROR(D497*E497,0)</f>
        <v>95.32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215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</v>
      </c>
      <c r="E508" s="39" t="n">
        <v>750</v>
      </c>
      <c r="F508" s="22" t="n">
        <f aca="false">IFERROR(D508*E508,0)</f>
        <v>750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1</v>
      </c>
      <c r="E509" s="36" t="n">
        <v>750</v>
      </c>
      <c r="F509" s="37" t="n">
        <f aca="false">IFERROR(D509*E509,0)</f>
        <v>750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216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216</v>
      </c>
      <c r="D539" s="35" t="n">
        <v>3</v>
      </c>
      <c r="E539" s="36" t="n">
        <v>30</v>
      </c>
      <c r="F539" s="37" t="n">
        <f aca="false">IFERROR(D539*E539,0)</f>
        <v>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216</v>
      </c>
      <c r="D540" s="38" t="n">
        <v>3</v>
      </c>
      <c r="E540" s="39" t="n">
        <v>30</v>
      </c>
      <c r="F540" s="22" t="n">
        <f aca="false">IFERROR(D540*E540,0)</f>
        <v>90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216</v>
      </c>
      <c r="D541" s="35" t="n">
        <v>3</v>
      </c>
      <c r="E541" s="36" t="n">
        <v>30</v>
      </c>
      <c r="F541" s="37" t="n">
        <f aca="false">IFERROR(D541*E541,0)</f>
        <v>90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216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216</v>
      </c>
      <c r="D543" s="35" t="n">
        <v>7</v>
      </c>
      <c r="E543" s="36" t="n">
        <v>30</v>
      </c>
      <c r="F543" s="37" t="n">
        <f aca="false">IFERROR(D543*E543,0)</f>
        <v>210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216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216</v>
      </c>
      <c r="D545" s="35" t="n">
        <v>1</v>
      </c>
      <c r="E545" s="36" t="n">
        <v>30</v>
      </c>
      <c r="F545" s="37" t="n">
        <f aca="false">IFERROR(D545*E545,0)</f>
        <v>30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216</v>
      </c>
      <c r="D546" s="38" t="n">
        <v>4</v>
      </c>
      <c r="E546" s="39" t="n">
        <v>30</v>
      </c>
      <c r="F546" s="22" t="n">
        <f aca="false">IFERROR(D546*E546,0)</f>
        <v>120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216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216</v>
      </c>
      <c r="D548" s="38" t="n">
        <v>6</v>
      </c>
      <c r="E548" s="39" t="n">
        <v>30</v>
      </c>
      <c r="F548" s="22" t="n">
        <f aca="false">IFERROR(D548*E548,0)</f>
        <v>180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216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216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216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216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216</v>
      </c>
      <c r="D553" s="35" t="n">
        <v>3</v>
      </c>
      <c r="E553" s="36" t="n">
        <v>30</v>
      </c>
      <c r="F553" s="37" t="n">
        <f aca="false">IFERROR(D553*E553,0)</f>
        <v>90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216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216</v>
      </c>
      <c r="D555" s="35" t="n">
        <v>4</v>
      </c>
      <c r="E555" s="36" t="n">
        <v>30</v>
      </c>
      <c r="F555" s="37" t="n">
        <f aca="false">IFERROR(D555*E555,0)</f>
        <v>120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216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4</v>
      </c>
      <c r="E557" s="36" t="n">
        <v>35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1698.95</v>
      </c>
      <c r="F559" s="37" t="n">
        <f aca="false">IFERROR(D559*E559,0)</f>
        <v>1698.95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4.85</v>
      </c>
      <c r="F560" s="22" t="n">
        <f aca="false">IFERROR(D560*E560,0)</f>
        <v>4.85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 t="n">
        <v>1</v>
      </c>
      <c r="E561" s="36" t="n">
        <v>150</v>
      </c>
      <c r="F561" s="37" t="n">
        <f aca="false">IFERROR(D561*E561,0)</f>
        <v>150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1</v>
      </c>
      <c r="E583" s="36" t="n">
        <v>17.5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1</v>
      </c>
      <c r="E584" s="39" t="n">
        <v>74.8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1698.95</v>
      </c>
      <c r="F585" s="37" t="n">
        <f aca="false">IFERROR(D585*E585,0)</f>
        <v>1698.95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4.85</v>
      </c>
      <c r="F586" s="22" t="n">
        <f aca="false">IFERROR(D586*E586,0)</f>
        <v>4.85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 t="n">
        <v>1</v>
      </c>
      <c r="E587" s="36" t="n">
        <v>30</v>
      </c>
      <c r="F587" s="37" t="n">
        <f aca="false">IFERROR(D587*E587,0)</f>
        <v>30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3</v>
      </c>
      <c r="E595" s="36" t="n">
        <v>10.74</v>
      </c>
      <c r="F595" s="37" t="n">
        <f aca="false">IFERROR(D595*E595,0)</f>
        <v>32.22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44</v>
      </c>
      <c r="E596" s="39" t="n">
        <v>1241.1</v>
      </c>
      <c r="F596" s="22" t="n">
        <f aca="false">IFERROR(D596*E596,0)</f>
        <v>54608.4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1698.95</v>
      </c>
      <c r="F597" s="37" t="n">
        <f aca="false">IFERROR(D597*E597,0)</f>
        <v>1698.95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4.85</v>
      </c>
      <c r="F598" s="22" t="n">
        <f aca="false">IFERROR(D598*E598,0)</f>
        <v>4.85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 t="n">
        <v>3.3333</v>
      </c>
      <c r="E599" s="36" t="n">
        <v>30</v>
      </c>
      <c r="F599" s="37" t="n">
        <f aca="false">IFERROR(D599*E599,0)</f>
        <v>99.999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 t="n">
        <v>1</v>
      </c>
      <c r="E627" s="36" t="n">
        <v>1787.15</v>
      </c>
      <c r="F627" s="37" t="n">
        <f aca="false">IFERROR(D627*E627,0)</f>
        <v>1787.15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 t="n">
        <v>1</v>
      </c>
      <c r="E633" s="36" t="n">
        <v>40.52</v>
      </c>
      <c r="F633" s="37" t="n">
        <f aca="false">IFERROR(D633*E633,0)</f>
        <v>40.52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1</v>
      </c>
      <c r="E635" s="36" t="n">
        <v>750</v>
      </c>
      <c r="F635" s="37" t="n">
        <f aca="false">IFERROR(D635*E635,0)</f>
        <v>750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5</v>
      </c>
      <c r="E642" s="39" t="n">
        <v>63.95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1698.95</v>
      </c>
      <c r="F643" s="37" t="n">
        <f aca="false">IFERROR(D643*E643,0)</f>
        <v>1698.95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4.85</v>
      </c>
      <c r="F644" s="22" t="n">
        <f aca="false">IFERROR(D644*E644,0)</f>
        <v>4.85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 t="n">
        <v>1</v>
      </c>
      <c r="E645" s="36" t="n">
        <v>60</v>
      </c>
      <c r="F645" s="37" t="n">
        <f aca="false">IFERROR(D645*E645,0)</f>
        <v>60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1698.95</v>
      </c>
      <c r="F657" s="37" t="n">
        <f aca="false">IFERROR(D657*E657,0)</f>
        <v>1698.95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4.85</v>
      </c>
      <c r="F658" s="22" t="n">
        <f aca="false">IFERROR(D658*E658,0)</f>
        <v>4.85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150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1</v>
      </c>
      <c r="E663" s="36" t="n">
        <v>7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3</v>
      </c>
      <c r="E664" s="39" t="n">
        <v>53.8</v>
      </c>
      <c r="F664" s="22" t="n">
        <f aca="false">IFERROR(D664*E664,0)</f>
        <v>161.4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1698.95</v>
      </c>
      <c r="F665" s="37" t="n">
        <f aca="false">IFERROR(D665*E665,0)</f>
        <v>1698.95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4.85</v>
      </c>
      <c r="F666" s="22" t="n">
        <f aca="false">IFERROR(D666*E666,0)</f>
        <v>4.85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 t="n">
        <v>1</v>
      </c>
      <c r="E667" s="36" t="n">
        <v>60</v>
      </c>
      <c r="F667" s="37" t="n">
        <f aca="false">IFERROR(D667*E667,0)</f>
        <v>60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196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1</v>
      </c>
      <c r="E677" s="36" t="n">
        <v>10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6</v>
      </c>
      <c r="E678" s="39" t="n">
        <v>60.8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1698.95</v>
      </c>
      <c r="F679" s="37" t="n">
        <f aca="false">IFERROR(D679*E679,0)</f>
        <v>1698.95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4.85</v>
      </c>
      <c r="F680" s="22" t="n">
        <f aca="false">IFERROR(D680*E680,0)</f>
        <v>4.85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 t="n">
        <v>2</v>
      </c>
      <c r="E681" s="36" t="n">
        <v>30</v>
      </c>
      <c r="F681" s="37" t="n">
        <f aca="false">IFERROR(D681*E681,0)</f>
        <v>60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3</v>
      </c>
      <c r="E682" s="39" t="n">
        <v>40167.02</v>
      </c>
      <c r="F682" s="22" t="n">
        <f aca="false">IFERROR(E682,0)</f>
        <v>40167.02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197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3</v>
      </c>
      <c r="E687" s="36" t="n">
        <v>9.85</v>
      </c>
      <c r="F687" s="37" t="n">
        <f aca="false">IFERROR(D687*E687,0)</f>
        <v>29.55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3</v>
      </c>
      <c r="E688" s="39" t="n">
        <v>2.04</v>
      </c>
      <c r="F688" s="22" t="n">
        <f aca="false">IFERROR(D688*E688,0)</f>
        <v>6.12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 t="n">
        <v>1</v>
      </c>
      <c r="E694" s="39" t="n">
        <v>1470</v>
      </c>
      <c r="F694" s="22" t="n">
        <f aca="false">IFERROR(D694*E694,0)</f>
        <v>1470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1</v>
      </c>
      <c r="E698" s="39" t="n">
        <v>750</v>
      </c>
      <c r="F698" s="22" t="n">
        <f aca="false">IFERROR(D698*E698,0)</f>
        <v>750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198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 t="n">
        <v>1</v>
      </c>
      <c r="E710" s="39" t="n">
        <v>150</v>
      </c>
      <c r="F710" s="22" t="n">
        <f aca="false">IFERROR(D710*E710,0)</f>
        <v>150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202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</v>
      </c>
      <c r="E715" s="36" t="n">
        <v>750</v>
      </c>
      <c r="F715" s="37" t="n">
        <f aca="false">IFERROR(D715*E715,0)</f>
        <v>750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1</v>
      </c>
      <c r="E723" s="36" t="n">
        <v>22</v>
      </c>
      <c r="F723" s="37" t="n">
        <f aca="false">IFERROR(D723*E723,0)</f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f aca="false">IFERROR(D724*E724,0)</f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1698.95</v>
      </c>
      <c r="F725" s="37" t="n">
        <f aca="false">IFERROR(D725*E725,0)</f>
        <v>1698.95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4.85</v>
      </c>
      <c r="F726" s="22" t="n">
        <f aca="false">IFERROR(D726*E726,0)</f>
        <v>4.85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 t="n">
        <v>1</v>
      </c>
      <c r="E727" s="36" t="n">
        <v>201.04</v>
      </c>
      <c r="F727" s="37" t="n">
        <f aca="false">IFERROR(D727*E727,0)</f>
        <v>201.04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7</v>
      </c>
      <c r="E728" s="39" t="n">
        <v>27587.18</v>
      </c>
      <c r="F728" s="22" t="n">
        <f aca="false">IFERROR(E728,0)</f>
        <v>27587.18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199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7</v>
      </c>
      <c r="E732" s="39" t="n">
        <v>50</v>
      </c>
      <c r="F732" s="22" t="n">
        <f aca="false">IFERROR(D732*E732,0)</f>
        <v>350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7</v>
      </c>
      <c r="E734" s="39" t="n">
        <v>9.85</v>
      </c>
      <c r="F734" s="22" t="n">
        <f aca="false">IFERROR(D734*E734,0)</f>
        <v>68.95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7</v>
      </c>
      <c r="E735" s="36" t="n">
        <v>2.04</v>
      </c>
      <c r="F735" s="37" t="n">
        <f aca="false">IFERROR(D735*E735,0)</f>
        <v>14.28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 t="n">
        <v>1</v>
      </c>
      <c r="E739" s="36" t="n">
        <v>130.52</v>
      </c>
      <c r="F739" s="37" t="n">
        <f aca="false">IFERROR(D739*E739,0)</f>
        <v>130.52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198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200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201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</v>
      </c>
      <c r="E746" s="39" t="n">
        <v>750</v>
      </c>
      <c r="F746" s="22" t="n">
        <f aca="false">IFERROR(D746*E746,0)</f>
        <v>750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 t="n">
        <v>9</v>
      </c>
      <c r="E753" s="36" t="n">
        <v>30</v>
      </c>
      <c r="F753" s="37" t="n">
        <f aca="false">IFERROR(D753*E753,0)</f>
        <v>270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202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201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198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 t="n">
        <v>3</v>
      </c>
      <c r="E765" s="36" t="n">
        <v>30</v>
      </c>
      <c r="F765" s="37" t="n">
        <f aca="false">IFERROR(D765*E765,0)</f>
        <v>90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198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3</v>
      </c>
      <c r="E771" s="36" t="n">
        <v>10.74</v>
      </c>
      <c r="F771" s="37" t="n">
        <f aca="false">IFERROR(D771*E771,0)</f>
        <v>32.22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1241.1</v>
      </c>
      <c r="F772" s="22" t="n">
        <f aca="false">IFERROR(D772*E772,0)</f>
        <v>54608.4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1698.95</v>
      </c>
      <c r="F773" s="37" t="n">
        <f aca="false">IFERROR(D773*E773,0)</f>
        <v>1698.95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4.85</v>
      </c>
      <c r="F774" s="22" t="n">
        <f aca="false">IFERROR(D774*E774,0)</f>
        <v>4.85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 t="n">
        <v>3.3333</v>
      </c>
      <c r="E775" s="36" t="n">
        <v>30</v>
      </c>
      <c r="F775" s="37" t="n">
        <f aca="false">IFERROR(D775*E775,0)</f>
        <v>99.999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203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 t="n">
        <v>5</v>
      </c>
      <c r="E788" s="39" t="n">
        <v>30</v>
      </c>
      <c r="F788" s="22" t="n">
        <f aca="false">IFERROR(D788*E788,0)</f>
        <v>150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202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201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198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204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198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200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1</v>
      </c>
      <c r="E805" s="36" t="n">
        <v>750</v>
      </c>
      <c r="F805" s="37" t="n">
        <f aca="false">IFERROR(D805*E805,0)</f>
        <v>750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3</v>
      </c>
      <c r="E809" s="36" t="n">
        <v>52.2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1698.95</v>
      </c>
      <c r="F810" s="22" t="n">
        <f aca="false">IFERROR(D810*E810,0)</f>
        <v>1698.95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4.85</v>
      </c>
      <c r="F811" s="37" t="n">
        <f aca="false">IFERROR(D811*E811,0)</f>
        <v>4.85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 t="n">
        <v>1</v>
      </c>
      <c r="E812" s="39" t="n">
        <v>70.52</v>
      </c>
      <c r="F812" s="22" t="n">
        <f aca="false">IFERROR(D812*E812,0)</f>
        <v>70.52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205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206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207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208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209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210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3</v>
      </c>
      <c r="E824" s="39" t="n">
        <v>10.74</v>
      </c>
      <c r="F824" s="22" t="n">
        <f aca="false">IFERROR(D824*E824,0)</f>
        <v>32.22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44</v>
      </c>
      <c r="E825" s="36" t="n">
        <v>1241.1</v>
      </c>
      <c r="F825" s="37" t="n">
        <f aca="false">IFERROR(D825*E825,0)</f>
        <v>54608.4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1698.95</v>
      </c>
      <c r="F826" s="22" t="n">
        <f aca="false">IFERROR(D826*E826,0)</f>
        <v>1698.95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4.85</v>
      </c>
      <c r="F827" s="37" t="n">
        <f aca="false">IFERROR(D827*E827,0)</f>
        <v>4.85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 t="n">
        <v>3.3333</v>
      </c>
      <c r="E828" s="39" t="n">
        <v>30</v>
      </c>
      <c r="F828" s="22" t="n">
        <f aca="false">IFERROR(D828*E828,0)</f>
        <v>99.999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 t="n">
        <v>1</v>
      </c>
      <c r="E841" s="36" t="n">
        <v>160.52</v>
      </c>
      <c r="F841" s="37" t="n">
        <f aca="false">IFERROR(D841*E841,0)</f>
        <v>160.52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201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1</v>
      </c>
      <c r="E847" s="36" t="n">
        <v>750</v>
      </c>
      <c r="F847" s="37" t="n">
        <f aca="false">IFERROR(D847*E847,0)</f>
        <v>750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211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198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3</v>
      </c>
      <c r="E854" s="39" t="n">
        <v>10.74</v>
      </c>
      <c r="F854" s="22" t="n">
        <f aca="false">IFERROR(D854*E854,0)</f>
        <v>32.22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44</v>
      </c>
      <c r="E855" s="36" t="n">
        <v>1241.1</v>
      </c>
      <c r="F855" s="37" t="n">
        <f aca="false">IFERROR(D855*E855,0)</f>
        <v>54608.4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1698.95</v>
      </c>
      <c r="F856" s="22" t="n">
        <f aca="false">IFERROR(D856*E856,0)</f>
        <v>1698.95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4.85</v>
      </c>
      <c r="F857" s="37" t="n">
        <f aca="false">IFERROR(D857*E857,0)</f>
        <v>4.85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</v>
      </c>
      <c r="E865" s="36" t="n">
        <v>10.74</v>
      </c>
      <c r="F865" s="37" t="n">
        <f aca="false">IFERROR(D865*E865,0)</f>
        <v>32.22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44</v>
      </c>
      <c r="E866" s="39" t="n">
        <v>1241.1</v>
      </c>
      <c r="F866" s="22" t="n">
        <f aca="false">IFERROR(D866*E866,0)</f>
        <v>54608.4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1698.95</v>
      </c>
      <c r="F867" s="37" t="n">
        <f aca="false">IFERROR(D867*E867,0)</f>
        <v>1698.95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4.85</v>
      </c>
      <c r="F868" s="22" t="n">
        <f aca="false">IFERROR(D868*E868,0)</f>
        <v>4.85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 t="n">
        <v>1</v>
      </c>
      <c r="E869" s="36" t="n">
        <v>30</v>
      </c>
      <c r="F869" s="37" t="n">
        <f aca="false">IFERROR(D869*E869,0)</f>
        <v>30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3</v>
      </c>
      <c r="E876" s="39" t="n">
        <v>10.74</v>
      </c>
      <c r="F876" s="22" t="n">
        <f aca="false">IFERROR(D876*E876,0)</f>
        <v>32.22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44</v>
      </c>
      <c r="E877" s="36" t="n">
        <v>1241.1</v>
      </c>
      <c r="F877" s="37" t="n">
        <f aca="false">IFERROR(D877*E877,0)</f>
        <v>54608.4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1698.95</v>
      </c>
      <c r="F878" s="22" t="n">
        <f aca="false">IFERROR(D878*E878,0)</f>
        <v>1698.95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4.85</v>
      </c>
      <c r="F879" s="37" t="n">
        <f aca="false">IFERROR(D879*E879,0)</f>
        <v>4.85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198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198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198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 t="n">
        <v>1</v>
      </c>
      <c r="E889" s="36" t="n">
        <v>17870.04</v>
      </c>
      <c r="F889" s="37" t="n">
        <f aca="false">IFERROR(D889*E889,0)</f>
        <v>17870.04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41221.07</v>
      </c>
      <c r="F892" s="22" t="n">
        <f aca="false">IFERROR(D892*E892,0)</f>
        <v>41221.07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212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198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7</v>
      </c>
      <c r="E902" s="39" t="n">
        <v>114.5</v>
      </c>
      <c r="F902" s="22" t="n">
        <f aca="false">IFERROR(D902*E902,0)</f>
        <v>801.5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198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7</v>
      </c>
      <c r="E905" s="36" t="n">
        <v>79.53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198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201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198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201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4</v>
      </c>
      <c r="E916" s="39" t="n">
        <v>46.45</v>
      </c>
      <c r="F916" s="22" t="n">
        <f aca="false">IFERROR(D916*E916,0)</f>
        <v>185.8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4</v>
      </c>
      <c r="E917" s="36" t="n">
        <v>97.45</v>
      </c>
      <c r="F917" s="37" t="n">
        <f aca="false">IFERROR(D917*E917,0)</f>
        <v>389.8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9</v>
      </c>
      <c r="E924" s="39" t="n">
        <v>64.54</v>
      </c>
      <c r="F924" s="22" t="n">
        <f aca="false">IFERROR(D924*E924,0)</f>
        <v>580.86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10</v>
      </c>
      <c r="E966" s="39" t="n">
        <v>64.54</v>
      </c>
      <c r="F966" s="22" t="n">
        <f aca="false">IFERROR(D966*E966,0)</f>
        <v>645.4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215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</v>
      </c>
      <c r="E976" s="39" t="n">
        <v>750</v>
      </c>
      <c r="F976" s="22" t="n">
        <f aca="false">IFERROR(D976*E976,0)</f>
        <v>750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1</v>
      </c>
      <c r="E977" s="36" t="n">
        <v>750</v>
      </c>
      <c r="F977" s="37" t="n">
        <f aca="false">IFERROR(D977*E977,0)</f>
        <v>750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216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216</v>
      </c>
      <c r="D1008" s="38" t="n">
        <v>3</v>
      </c>
      <c r="E1008" s="39" t="n">
        <v>30</v>
      </c>
      <c r="F1008" s="22" t="n">
        <f aca="false">IFERROR(D1008*E1008,0)</f>
        <v>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216</v>
      </c>
      <c r="D1009" s="35" t="n">
        <v>3</v>
      </c>
      <c r="E1009" s="36" t="n">
        <v>30</v>
      </c>
      <c r="F1009" s="37" t="n">
        <f aca="false">IFERROR(D1009*E1009,0)</f>
        <v>90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216</v>
      </c>
      <c r="D1010" s="38" t="n">
        <v>3</v>
      </c>
      <c r="E1010" s="39" t="n">
        <v>30</v>
      </c>
      <c r="F1010" s="22" t="n">
        <f aca="false">IFERROR(D1010*E1010,0)</f>
        <v>90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216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216</v>
      </c>
      <c r="D1012" s="38" t="n">
        <v>7</v>
      </c>
      <c r="E1012" s="39" t="n">
        <v>30</v>
      </c>
      <c r="F1012" s="22" t="n">
        <f aca="false">IFERROR(D1012*E1012,0)</f>
        <v>210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216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216</v>
      </c>
      <c r="D1014" s="38" t="n">
        <v>1</v>
      </c>
      <c r="E1014" s="39" t="n">
        <v>30</v>
      </c>
      <c r="F1014" s="22" t="n">
        <f aca="false">IFERROR(D1014*E1014,0)</f>
        <v>30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216</v>
      </c>
      <c r="D1015" s="35" t="n">
        <v>4</v>
      </c>
      <c r="E1015" s="36" t="n">
        <v>30</v>
      </c>
      <c r="F1015" s="37" t="n">
        <f aca="false">IFERROR(D1015*E1015,0)</f>
        <v>120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216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216</v>
      </c>
      <c r="D1017" s="35" t="n">
        <v>6</v>
      </c>
      <c r="E1017" s="36" t="n">
        <v>30</v>
      </c>
      <c r="F1017" s="37" t="n">
        <f aca="false">IFERROR(D1017*E1017,0)</f>
        <v>180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216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216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216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216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216</v>
      </c>
      <c r="D1022" s="38" t="n">
        <v>3</v>
      </c>
      <c r="E1022" s="39" t="n">
        <v>30</v>
      </c>
      <c r="F1022" s="22" t="n">
        <f aca="false">IFERROR(D1022*E1022,0)</f>
        <v>90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216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216</v>
      </c>
      <c r="D1024" s="38" t="n">
        <v>4</v>
      </c>
      <c r="E1024" s="39" t="n">
        <v>30</v>
      </c>
      <c r="F1024" s="22" t="n">
        <f aca="false">IFERROR(D1024*E1024,0)</f>
        <v>120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216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1608.55</v>
      </c>
      <c r="F1028" s="22" t="n">
        <f aca="false">IFERROR(D1028*E1028,0)</f>
        <v>1608.55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 t="n">
        <v>1</v>
      </c>
      <c r="E1030" s="39" t="n">
        <v>150</v>
      </c>
      <c r="F1030" s="22" t="n">
        <f aca="false">IFERROR(D1030*E1030,0)</f>
        <v>150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f aca="false">D761</f>
        <v>1</v>
      </c>
      <c r="E1038" s="39" t="n">
        <v>64.57</v>
      </c>
      <c r="F1038" s="22" t="n">
        <f aca="false">IFERROR(D1038*E1038,0)</f>
        <v>64.57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1</v>
      </c>
      <c r="E1057" s="36" t="n">
        <v>65.2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1608.55</v>
      </c>
      <c r="F1058" s="22" t="n">
        <f aca="false">IFERROR(D1058*E1058,0)</f>
        <v>1608.55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 t="n">
        <v>1</v>
      </c>
      <c r="E1060" s="39" t="n">
        <v>30</v>
      </c>
      <c r="F1060" s="22" t="n">
        <f aca="false">IFERROR(D1060*E1060,0)</f>
        <v>30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f aca="false">D791</f>
        <v>1</v>
      </c>
      <c r="E1068" s="39" t="n">
        <v>64.57</v>
      </c>
      <c r="F1068" s="22" t="n">
        <f aca="false">IFERROR(D1068*E1068,0)</f>
        <v>64.57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4</v>
      </c>
      <c r="E1071" s="36" t="n">
        <v>10.58</v>
      </c>
      <c r="F1071" s="37" t="n">
        <f aca="false">IFERROR(D1071*E1071,0)</f>
        <v>42.32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18</v>
      </c>
      <c r="E1072" s="39" t="n">
        <v>536.49</v>
      </c>
      <c r="F1072" s="22" t="n">
        <f aca="false">IFERROR(D1072*E1072,0)</f>
        <v>9656.82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1608.55</v>
      </c>
      <c r="F1073" s="37" t="n">
        <f aca="false">IFERROR(D1073*E1073,0)</f>
        <v>1608.55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 t="n">
        <v>3.3333</v>
      </c>
      <c r="E1075" s="36" t="n">
        <v>30</v>
      </c>
      <c r="F1075" s="37" t="n">
        <f aca="false">IFERROR(D1075*E1075,0)</f>
        <v>99.999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f aca="false">D806</f>
        <v>4</v>
      </c>
      <c r="E1091" s="36" t="n">
        <v>64.57</v>
      </c>
      <c r="F1091" s="37" t="n">
        <f aca="false">IFERROR(D1091*E1091,0)</f>
        <v>258.28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 t="n">
        <v>1</v>
      </c>
      <c r="E1112" s="39" t="n">
        <v>1787.15</v>
      </c>
      <c r="F1112" s="22" t="n">
        <f aca="false">IFERROR(D1112*E1112,0)</f>
        <v>1787.15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 t="n">
        <v>1</v>
      </c>
      <c r="E1117" s="36" t="n">
        <v>40.52</v>
      </c>
      <c r="F1117" s="37" t="n">
        <f aca="false">IFERROR(D1117*E1117,0)</f>
        <v>40.52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1</v>
      </c>
      <c r="E1119" s="36" t="n">
        <v>750</v>
      </c>
      <c r="F1119" s="37" t="n">
        <f aca="false">IFERROR(D1119*E1119,0)</f>
        <v>750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f aca="false">D848</f>
        <v>1</v>
      </c>
      <c r="E1124" s="39" t="n">
        <v>64.57</v>
      </c>
      <c r="F1124" s="22" t="n">
        <f aca="false">IFERROR(D1124*E1124,0)</f>
        <v>64.57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1608.55</v>
      </c>
      <c r="F1129" s="37" t="n">
        <f aca="false">IFERROR(D1129*E1129,0)</f>
        <v>1608.55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 t="n">
        <v>1</v>
      </c>
      <c r="E1131" s="36" t="n">
        <v>60</v>
      </c>
      <c r="F1131" s="37" t="n">
        <f aca="false">IFERROR(D1131*E1131,0)</f>
        <v>60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f aca="false">D862</f>
        <v>1</v>
      </c>
      <c r="E1139" s="36" t="n">
        <v>64.57</v>
      </c>
      <c r="F1139" s="37" t="n">
        <f aca="false">IFERROR(D1139*E1139,0)</f>
        <v>64.57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1608.55</v>
      </c>
      <c r="F1145" s="37" t="n">
        <f aca="false">IFERROR(D1145*E1145,0)</f>
        <v>1608.55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150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2</v>
      </c>
      <c r="E1154" s="39" t="n">
        <v>28.5</v>
      </c>
      <c r="F1154" s="22" t="n">
        <f aca="false">IFERROR(D1154*E1154,0)</f>
        <v>57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1608.55</v>
      </c>
      <c r="F1156" s="22" t="n">
        <f aca="false">IFERROR(D1156*E1156,0)</f>
        <v>1608.55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 t="n">
        <v>1</v>
      </c>
      <c r="E1158" s="39" t="n">
        <v>60</v>
      </c>
      <c r="F1158" s="22" t="n">
        <f aca="false">IFERROR(D1158*E1158,0)</f>
        <v>60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196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f aca="false">D889</f>
        <v>1</v>
      </c>
      <c r="E1167" s="36" t="n">
        <v>64.57</v>
      </c>
      <c r="F1167" s="37" t="n">
        <f aca="false">IFERROR(D1167*E1167,0)</f>
        <v>64.57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1608.55</v>
      </c>
      <c r="F1172" s="22" t="n">
        <f aca="false">IFERROR(D1172*E1172,0)</f>
        <v>1608.55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 t="n">
        <v>2</v>
      </c>
      <c r="E1174" s="39" t="n">
        <v>30</v>
      </c>
      <c r="F1174" s="22" t="n">
        <f aca="false">IFERROR(D1174*E1174,0)</f>
        <v>60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3</v>
      </c>
      <c r="E1175" s="36" t="n">
        <v>36601.96</v>
      </c>
      <c r="F1175" s="37" t="n">
        <f aca="false">IFERROR(E1175,0)</f>
        <v>36601.96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197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3</v>
      </c>
      <c r="E1180" s="39" t="n">
        <v>10.05</v>
      </c>
      <c r="F1180" s="22" t="n">
        <f aca="false">IFERROR(D1180*E1180,0)</f>
        <v>30.15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3</v>
      </c>
      <c r="E1181" s="36" t="n">
        <v>2.07</v>
      </c>
      <c r="F1181" s="37" t="n">
        <f aca="false">IFERROR(D1181*E1181,0)</f>
        <v>6.21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f aca="false">D905</f>
        <v>7</v>
      </c>
      <c r="E1182" s="39" t="n">
        <v>64.57</v>
      </c>
      <c r="F1182" s="22" t="n">
        <f aca="false">IFERROR(D1182*E1182,0)</f>
        <v>451.99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3</v>
      </c>
      <c r="E1183" s="36" t="n">
        <v>28.31</v>
      </c>
      <c r="F1183" s="37" t="n">
        <f aca="false">IFERROR(D1183*E1183,0)</f>
        <v>84.93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3</v>
      </c>
      <c r="E1184" s="39" t="n">
        <v>47.79</v>
      </c>
      <c r="F1184" s="22" t="n">
        <f aca="false">IFERROR(D1184*E1184,0)</f>
        <v>143.37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 t="n">
        <v>1</v>
      </c>
      <c r="E1189" s="36" t="n">
        <v>1470</v>
      </c>
      <c r="F1189" s="37" t="n">
        <f aca="false">IFERROR(D1189*E1189,0)</f>
        <v>1470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1</v>
      </c>
      <c r="E1194" s="39" t="n">
        <v>750</v>
      </c>
      <c r="F1194" s="22" t="n">
        <f aca="false">IFERROR(D1194*E1194,0)</f>
        <v>750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198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f aca="false">D920</f>
        <v>8</v>
      </c>
      <c r="E1199" s="36" t="n">
        <v>64.57</v>
      </c>
      <c r="F1199" s="37" t="n">
        <f aca="false">IFERROR(D1199*E1199,0)</f>
        <v>516.56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 t="n">
        <v>1</v>
      </c>
      <c r="E1205" s="36" t="n">
        <v>150</v>
      </c>
      <c r="F1205" s="37" t="n">
        <f aca="false">IFERROR(D1205*E1205,0)</f>
        <v>150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202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</v>
      </c>
      <c r="E1210" s="39" t="n">
        <v>750</v>
      </c>
      <c r="F1210" s="22" t="n">
        <f aca="false">IFERROR(D1210*E1210,0)</f>
        <v>750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1608.55</v>
      </c>
      <c r="F1220" s="22" t="n">
        <f aca="false">IFERROR(D1220*E1220,0)</f>
        <v>1608.55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 t="n">
        <v>1</v>
      </c>
      <c r="E1222" s="39" t="n">
        <v>201.04</v>
      </c>
      <c r="F1222" s="22" t="n">
        <f aca="false">IFERROR(D1222*E1222,0)</f>
        <v>201.04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7</v>
      </c>
      <c r="E1223" s="36" t="n">
        <v>27270.03</v>
      </c>
      <c r="F1223" s="37" t="n">
        <f aca="false">IFERROR(E1223,0)</f>
        <v>27270.03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199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7</v>
      </c>
      <c r="E1227" s="36" t="n">
        <v>50</v>
      </c>
      <c r="F1227" s="37" t="n">
        <f aca="false">IFERROR(D1227*E1227,0)</f>
        <v>350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7</v>
      </c>
      <c r="E1228" s="39" t="n">
        <v>10.05</v>
      </c>
      <c r="F1228" s="22" t="n">
        <f aca="false">IFERROR(D1228*E1228,0)</f>
        <v>70.35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7</v>
      </c>
      <c r="E1229" s="36" t="n">
        <v>2.07</v>
      </c>
      <c r="F1229" s="37" t="n">
        <f aca="false">IFERROR(D1229*E1229,0)</f>
        <v>14.49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f aca="false">D953</f>
        <v>2</v>
      </c>
      <c r="E1230" s="39" t="n">
        <v>64.57</v>
      </c>
      <c r="F1230" s="22" t="n">
        <f aca="false">IFERROR(D1230*E1230,0)</f>
        <v>129.14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7</v>
      </c>
      <c r="E1231" s="36" t="n">
        <v>28.31</v>
      </c>
      <c r="F1231" s="37" t="n">
        <f aca="false">IFERROR(D1231*E1231,0)</f>
        <v>198.17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7</v>
      </c>
      <c r="E1232" s="39" t="n">
        <v>47.79</v>
      </c>
      <c r="F1232" s="22" t="n">
        <f aca="false">IFERROR(D1232*E1232,0)</f>
        <v>334.53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 t="n">
        <v>1</v>
      </c>
      <c r="E1238" s="39" t="n">
        <v>130.52</v>
      </c>
      <c r="F1238" s="22" t="n">
        <f aca="false">IFERROR(D1238*E1238,0)</f>
        <v>130.52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198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200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201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</v>
      </c>
      <c r="E1245" s="36" t="n">
        <v>750</v>
      </c>
      <c r="F1245" s="37" t="n">
        <f aca="false">IFERROR(D1245*E1245,0)</f>
        <v>750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f aca="false">D969</f>
        <v>3</v>
      </c>
      <c r="E1249" s="36" t="n">
        <v>64.57</v>
      </c>
      <c r="F1249" s="37" t="n">
        <f aca="false">IFERROR(D1249*E1249,0)</f>
        <v>193.71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 t="n">
        <v>9</v>
      </c>
      <c r="E1255" s="36" t="n">
        <v>30</v>
      </c>
      <c r="F1255" s="37" t="n">
        <f aca="false">IFERROR(D1255*E1255,0)</f>
        <v>270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202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201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198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f aca="false">D986</f>
        <v>0</v>
      </c>
      <c r="E1264" s="39" t="n">
        <v>64.57</v>
      </c>
      <c r="F1264" s="22" t="n">
        <f aca="false">IFERROR(D1264*E1264,0)</f>
        <v>0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 t="n">
        <v>3</v>
      </c>
      <c r="E1271" s="36" t="n">
        <v>30</v>
      </c>
      <c r="F1271" s="37" t="n">
        <f aca="false">IFERROR(D1271*E1271,0)</f>
        <v>90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198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f aca="false">D1002</f>
        <v>1</v>
      </c>
      <c r="E1277" s="36" t="n">
        <v>64.57</v>
      </c>
      <c r="F1277" s="37" t="n">
        <f aca="false">IFERROR(D1277*E1277,0)</f>
        <v>64.57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</v>
      </c>
      <c r="E1280" s="39" t="n">
        <v>10.58</v>
      </c>
      <c r="F1280" s="22" t="n">
        <f aca="false">IFERROR(D1280*E1280,0)</f>
        <v>42.32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18</v>
      </c>
      <c r="E1281" s="36" t="n">
        <v>536.49</v>
      </c>
      <c r="F1281" s="37" t="n">
        <f aca="false">IFERROR(D1281*E1281,0)</f>
        <v>9656.82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1608.55</v>
      </c>
      <c r="F1282" s="22" t="n">
        <f aca="false">IFERROR(D1282*E1282,0)</f>
        <v>1608.55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 t="n">
        <v>3.3333</v>
      </c>
      <c r="E1284" s="39" t="n">
        <v>30</v>
      </c>
      <c r="F1284" s="22" t="n">
        <f aca="false">IFERROR(D1284*E1284,0)</f>
        <v>99.999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203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f aca="false">D1015</f>
        <v>4</v>
      </c>
      <c r="E1301" s="36" t="n">
        <v>64.57</v>
      </c>
      <c r="F1301" s="37" t="n">
        <f aca="false">IFERROR(D1301*E1301,0)</f>
        <v>258.28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 t="n">
        <v>5</v>
      </c>
      <c r="E1307" s="36" t="n">
        <v>30</v>
      </c>
      <c r="F1307" s="37" t="n">
        <f aca="false">IFERROR(D1307*E1307,0)</f>
        <v>150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202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201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198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f aca="false">D1038</f>
        <v>1</v>
      </c>
      <c r="E1315" s="36" t="n">
        <v>64.57</v>
      </c>
      <c r="F1315" s="37" t="n">
        <f aca="false">IFERROR(D1315*E1315,0)</f>
        <v>64.57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204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198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200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1</v>
      </c>
      <c r="E1328" s="39" t="n">
        <v>750</v>
      </c>
      <c r="F1328" s="22" t="n">
        <f aca="false">IFERROR(D1328*E1328,0)</f>
        <v>750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f aca="false">D1054</f>
        <v>1</v>
      </c>
      <c r="E1332" s="39" t="n">
        <v>64.57</v>
      </c>
      <c r="F1332" s="22" t="n">
        <f aca="false">IFERROR(D1332*E1332,0)</f>
        <v>64.57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3</v>
      </c>
      <c r="E1336" s="39" t="n">
        <v>65.7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1608.55</v>
      </c>
      <c r="F1337" s="37" t="n">
        <f aca="false">IFERROR(D1337*E1337,0)</f>
        <v>1608.55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 t="n">
        <v>1</v>
      </c>
      <c r="E1339" s="36" t="n">
        <v>70.52</v>
      </c>
      <c r="F1339" s="37" t="n">
        <f aca="false">IFERROR(D1339*E1339,0)</f>
        <v>70.52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205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206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207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208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209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210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4</v>
      </c>
      <c r="E1353" s="36" t="n">
        <v>10.58</v>
      </c>
      <c r="F1353" s="37" t="n">
        <f aca="false">IFERROR(D1353*E1353,0)</f>
        <v>42.32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18</v>
      </c>
      <c r="E1354" s="39" t="n">
        <v>536.49</v>
      </c>
      <c r="F1354" s="22" t="n">
        <f aca="false">IFERROR(D1354*E1354,0)</f>
        <v>9656.82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1608.55</v>
      </c>
      <c r="F1355" s="37" t="n">
        <f aca="false">IFERROR(D1355*E1355,0)</f>
        <v>1608.55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 t="n">
        <v>3.3333</v>
      </c>
      <c r="E1357" s="36" t="n">
        <v>30</v>
      </c>
      <c r="F1357" s="37" t="n">
        <f aca="false">IFERROR(D1357*E1357,0)</f>
        <v>99.999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203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f aca="false">D1088</f>
        <v>1</v>
      </c>
      <c r="E1375" s="36" t="n">
        <v>64.57</v>
      </c>
      <c r="F1375" s="37" t="n">
        <f aca="false">IFERROR(D1375*E1375,0)</f>
        <v>64.57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 t="n">
        <v>1</v>
      </c>
      <c r="E1383" s="36" t="n">
        <v>160.52</v>
      </c>
      <c r="F1383" s="37" t="n">
        <f aca="false">IFERROR(D1383*E1383,0)</f>
        <v>160.52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201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1</v>
      </c>
      <c r="E1389" s="36" t="n">
        <v>750</v>
      </c>
      <c r="F1389" s="37" t="n">
        <f aca="false">IFERROR(D1389*E1389,0)</f>
        <v>750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211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198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f aca="false">D1114</f>
        <v>0</v>
      </c>
      <c r="E1395" s="36" t="n">
        <v>64.57</v>
      </c>
      <c r="F1395" s="37" t="n">
        <f aca="false">IFERROR(D1395*E1395,0)</f>
        <v>0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4</v>
      </c>
      <c r="E1398" s="39" t="n">
        <v>10.58</v>
      </c>
      <c r="F1398" s="22" t="n">
        <f aca="false">IFERROR(D1398*E1398,0)</f>
        <v>42.32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18</v>
      </c>
      <c r="E1399" s="36" t="n">
        <v>536.49</v>
      </c>
      <c r="F1399" s="37" t="n">
        <f aca="false">IFERROR(D1399*E1399,0)</f>
        <v>9656.82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1608.55</v>
      </c>
      <c r="F1400" s="22" t="n">
        <f aca="false">IFERROR(D1400*E1400,0)</f>
        <v>1608.55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f aca="false">D1133</f>
        <v>0</v>
      </c>
      <c r="E1416" s="39" t="n">
        <v>64.57</v>
      </c>
      <c r="F1416" s="22" t="n">
        <f aca="false">IFERROR(D1416*E1416,0)</f>
        <v>0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4</v>
      </c>
      <c r="E1419" s="36" t="n">
        <v>10.58</v>
      </c>
      <c r="F1419" s="37" t="n">
        <f aca="false">IFERROR(D1419*E1419,0)</f>
        <v>42.32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18</v>
      </c>
      <c r="E1420" s="39" t="n">
        <v>536.49</v>
      </c>
      <c r="F1420" s="22" t="n">
        <f aca="false">IFERROR(D1420*E1420,0)</f>
        <v>9656.82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1608.55</v>
      </c>
      <c r="F1421" s="37" t="n">
        <f aca="false">IFERROR(D1421*E1421,0)</f>
        <v>1608.55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f aca="false">D1154</f>
        <v>2</v>
      </c>
      <c r="E1436" s="39" t="n">
        <v>64.57</v>
      </c>
      <c r="F1436" s="22" t="n">
        <f aca="false">IFERROR(D1436*E1436,0)</f>
        <v>129.14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4</v>
      </c>
      <c r="E1439" s="36" t="n">
        <v>10.58</v>
      </c>
      <c r="F1439" s="37" t="n">
        <f aca="false">IFERROR(D1439*E1439,0)</f>
        <v>42.32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18</v>
      </c>
      <c r="E1440" s="39" t="n">
        <v>536.49</v>
      </c>
      <c r="F1440" s="22" t="n">
        <f aca="false">IFERROR(D1440*E1440,0)</f>
        <v>9656.82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1608.55</v>
      </c>
      <c r="F1441" s="37" t="n">
        <f aca="false">IFERROR(D1441*E1441,0)</f>
        <v>1608.55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f aca="false">D1174</f>
        <v>2</v>
      </c>
      <c r="E1457" s="36" t="n">
        <v>64.57</v>
      </c>
      <c r="F1457" s="37" t="n">
        <f aca="false">IFERROR(D1457*E1457,0)</f>
        <v>129.14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198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198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198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 t="n">
        <v>1</v>
      </c>
      <c r="E1464" s="39" t="n">
        <v>47324.76</v>
      </c>
      <c r="F1464" s="22" t="n">
        <f aca="false">IFERROR(D1464*E1464,0)</f>
        <v>47324.76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 t="n">
        <v>1</v>
      </c>
      <c r="E1465" s="36" t="n">
        <v>8366.53</v>
      </c>
      <c r="F1465" s="37" t="n">
        <f aca="false">IFERROR(D1465*E1465,0)</f>
        <v>8366.53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212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198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198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201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198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201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8</v>
      </c>
      <c r="E1488" s="39" t="n">
        <v>64.57</v>
      </c>
      <c r="F1488" s="22" t="n">
        <f aca="false">IFERROR(D1488*E1488,0)</f>
        <v>516.56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10</v>
      </c>
      <c r="E1530" s="39" t="n">
        <v>64.57</v>
      </c>
      <c r="F1530" s="22" t="n">
        <f aca="false">IFERROR(D1530*E1530,0)</f>
        <v>645.7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215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</v>
      </c>
      <c r="E1539" s="36" t="n">
        <v>750</v>
      </c>
      <c r="F1539" s="37" t="n">
        <f aca="false">IFERROR(D1539*E1539,0)</f>
        <v>750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1</v>
      </c>
      <c r="E1540" s="39" t="n">
        <v>750</v>
      </c>
      <c r="F1540" s="22" t="n">
        <f aca="false">IFERROR(D1540*E1540,0)</f>
        <v>750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216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216</v>
      </c>
      <c r="D1572" s="38" t="n">
        <v>3</v>
      </c>
      <c r="E1572" s="39" t="n">
        <v>30</v>
      </c>
      <c r="F1572" s="22" t="n">
        <f aca="false">IFERROR(D1572*E1572,0)</f>
        <v>90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216</v>
      </c>
      <c r="D1573" s="35" t="n">
        <v>3</v>
      </c>
      <c r="E1573" s="36" t="n">
        <v>30</v>
      </c>
      <c r="F1573" s="37" t="n">
        <f aca="false">IFERROR(D1573*E1573,0)</f>
        <v>90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216</v>
      </c>
      <c r="D1574" s="38" t="n">
        <v>3</v>
      </c>
      <c r="E1574" s="39" t="n">
        <v>30</v>
      </c>
      <c r="F1574" s="22" t="n">
        <f aca="false">IFERROR(D1574*E1574,0)</f>
        <v>90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216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216</v>
      </c>
      <c r="D1576" s="38" t="n">
        <v>7</v>
      </c>
      <c r="E1576" s="39" t="n">
        <v>30</v>
      </c>
      <c r="F1576" s="22" t="n">
        <f aca="false">IFERROR(D1576*E1576,0)</f>
        <v>210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216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216</v>
      </c>
      <c r="D1578" s="38" t="n">
        <v>1</v>
      </c>
      <c r="E1578" s="39" t="n">
        <v>30</v>
      </c>
      <c r="F1578" s="22" t="n">
        <f aca="false">IFERROR(D1578*E1578,0)</f>
        <v>30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216</v>
      </c>
      <c r="D1579" s="35" t="n">
        <v>4</v>
      </c>
      <c r="E1579" s="36" t="n">
        <v>30</v>
      </c>
      <c r="F1579" s="37" t="n">
        <f aca="false">IFERROR(D1579*E1579,0)</f>
        <v>120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216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216</v>
      </c>
      <c r="D1581" s="35" t="n">
        <v>6</v>
      </c>
      <c r="E1581" s="36" t="n">
        <v>30</v>
      </c>
      <c r="F1581" s="37" t="n">
        <f aca="false">IFERROR(D1581*E1581,0)</f>
        <v>180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216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216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216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216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216</v>
      </c>
      <c r="D1586" s="38" t="n">
        <v>3</v>
      </c>
      <c r="E1586" s="39" t="n">
        <v>30</v>
      </c>
      <c r="F1586" s="22" t="n">
        <f aca="false">IFERROR(D1586*E1586,0)</f>
        <v>90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216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216</v>
      </c>
      <c r="D1588" s="38" t="n">
        <v>4</v>
      </c>
      <c r="E1588" s="39" t="n">
        <v>30</v>
      </c>
      <c r="F1588" s="22" t="n">
        <f aca="false">IFERROR(D1588*E1588,0)</f>
        <v>120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216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92393.3663274268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21039.53</v>
      </c>
      <c r="E4" s="21" t="n">
        <f aca="false">B4+C4+D4</f>
        <v>113432.896327427</v>
      </c>
      <c r="F4" s="11" t="n">
        <f aca="false">IFERROR(B4/B$12,0)</f>
        <v>0.0330274750828599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184523.66597191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184523.66597191</v>
      </c>
      <c r="F5" s="16" t="n">
        <f aca="false">IFERROR(B5/B$12,0)</f>
        <v>0.0659609128050152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200118.630734623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4567.99</v>
      </c>
      <c r="E6" s="21" t="n">
        <f aca="false">B6+C6+D6</f>
        <v>204686.620734623</v>
      </c>
      <c r="F6" s="11" t="n">
        <f aca="false">IFERROR(B6/B$12,0)</f>
        <v>0.0715355804526175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51374.723000569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3703.62</v>
      </c>
      <c r="E7" s="22" t="n">
        <f aca="false">B7+C7+D7</f>
        <v>55078.343000569</v>
      </c>
      <c r="F7" s="16" t="n">
        <f aca="false">IFERROR(B7/B$12,0)</f>
        <v>0.0183647100569647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93862.9065615865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24386.42</v>
      </c>
      <c r="E8" s="21" t="n">
        <f aca="false">B8+C8+D8</f>
        <v>118249.326561586</v>
      </c>
      <c r="F8" s="11" t="n">
        <f aca="false">IFERROR(B8/B$12,0)</f>
        <v>0.0335527855612655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66655.8177525411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13934.06</v>
      </c>
      <c r="E9" s="22" t="n">
        <f aca="false">B9+C9+D9</f>
        <v>80589.8777525411</v>
      </c>
      <c r="F9" s="16" t="n">
        <f aca="false">IFERROR(B9/B$12,0)</f>
        <v>0.0238271798880889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67064.3147688215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3825.46</v>
      </c>
      <c r="E10" s="21" t="n">
        <f aca="false">B10+C10+D10</f>
        <v>70889.7747688215</v>
      </c>
      <c r="F10" s="11" t="n">
        <f aca="false">IFERROR(B10/B$12,0)</f>
        <v>0.0239732036294343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2041476.44188352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279080.86</v>
      </c>
      <c r="E11" s="22" t="n">
        <f aca="false">B11+C11+D11</f>
        <v>2320557.30188352</v>
      </c>
      <c r="F11" s="16" t="n">
        <f aca="false">IFERROR(B11/B$12,0)</f>
        <v>0.729758152523754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2797469.867001</v>
      </c>
      <c r="C12" s="30" t="n">
        <f aca="false">SUM(C4:C11)</f>
        <v>0</v>
      </c>
      <c r="D12" s="30" t="n">
        <f aca="false">SUM(D4:D11)</f>
        <v>350537.94</v>
      </c>
      <c r="E12" s="30" t="n">
        <f aca="false">SUM(E4:E11)</f>
        <v>3148007.807001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73096.384995562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17908.6</v>
      </c>
      <c r="E14" s="21" t="n">
        <f aca="false">B14+C14+D14</f>
        <v>91004.984995562</v>
      </c>
      <c r="F14" s="11" t="n">
        <f aca="false">IFERROR(B14/B$22,0)</f>
        <v>0.0328591727424706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148762.010116815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148762.010116815</v>
      </c>
      <c r="F15" s="16" t="n">
        <f aca="false">IFERROR(B15/B$22,0)</f>
        <v>0.0668733014394949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159907.170376999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5633.61</v>
      </c>
      <c r="E16" s="21" t="n">
        <f aca="false">B16+C16+D16</f>
        <v>165540.780376999</v>
      </c>
      <c r="F16" s="11" t="n">
        <f aca="false">IFERROR(B16/B$22,0)</f>
        <v>0.0718834089332394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40782.3613719511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3712.16</v>
      </c>
      <c r="E17" s="22" t="n">
        <f aca="false">B17+C17+D17</f>
        <v>44494.5213719511</v>
      </c>
      <c r="F17" s="16" t="n">
        <f aca="false">IFERROR(B17/B$22,0)</f>
        <v>0.0183329812718941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75604.0623543728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23774</v>
      </c>
      <c r="E18" s="21" t="n">
        <f aca="false">B18+C18+D18</f>
        <v>99378.0623543728</v>
      </c>
      <c r="F18" s="11" t="n">
        <f aca="false">IFERROR(B18/B$22,0)</f>
        <v>0.0339864542560578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53531.7773739643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14128.9</v>
      </c>
      <c r="E19" s="22" t="n">
        <f aca="false">B19+C19+D19</f>
        <v>67660.6773739643</v>
      </c>
      <c r="F19" s="16" t="n">
        <f aca="false">IFERROR(B19/B$22,0)</f>
        <v>0.0240642532465781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54448.598869028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28510.03</v>
      </c>
      <c r="E20" s="21" t="n">
        <f aca="false">B20+C20+D20</f>
        <v>82958.628869028</v>
      </c>
      <c r="F20" s="11" t="n">
        <f aca="false">IFERROR(B20/B$22,0)</f>
        <v>0.0244763939547969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1618402.79154131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279824.88</v>
      </c>
      <c r="E21" s="22" t="n">
        <f aca="false">B21+C21+D21</f>
        <v>1898227.67154131</v>
      </c>
      <c r="F21" s="16" t="n">
        <f aca="false">IFERROR(B21/B$22,0)</f>
        <v>0.727524034155468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2224535.157</v>
      </c>
      <c r="C22" s="30" t="n">
        <f aca="false">SUM(C14:C21)</f>
        <v>0</v>
      </c>
      <c r="D22" s="30" t="n">
        <f aca="false">SUM(D14:D21)</f>
        <v>373492.18</v>
      </c>
      <c r="E22" s="30" t="n">
        <f aca="false">SUM(E14:E21)</f>
        <v>2598027.337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98700.7719349716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42865.62</v>
      </c>
      <c r="E24" s="21" t="n">
        <f aca="false">B24+C24+D24</f>
        <v>141566.391934972</v>
      </c>
      <c r="F24" s="11" t="n">
        <f aca="false">IFERROR(B24/B$32,0)</f>
        <v>0.0325590681557564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184987.28719253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184987.28719253</v>
      </c>
      <c r="F25" s="16" t="n">
        <f aca="false">IFERROR(B25/B$32,0)</f>
        <v>0.0610229643960463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212759.325936781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212759.325936781</v>
      </c>
      <c r="F26" s="11" t="n">
        <f aca="false">IFERROR(B26/B$32,0)</f>
        <v>0.070184308168455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54267.6400859295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54267.6400859295</v>
      </c>
      <c r="F27" s="16" t="n">
        <f aca="false">IFERROR(B27/B$32,0)</f>
        <v>0.0179016208036747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102487.1546679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59397.2</v>
      </c>
      <c r="E28" s="21" t="n">
        <f aca="false">B28+C28+D28</f>
        <v>161884.3546679</v>
      </c>
      <c r="F28" s="11" t="n">
        <f aca="false">IFERROR(B28/B$32,0)</f>
        <v>0.0338081069530052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70263.0899553228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11224.62</v>
      </c>
      <c r="E29" s="22" t="n">
        <f aca="false">B29+C29+D29</f>
        <v>81487.7099553228</v>
      </c>
      <c r="F29" s="16" t="n">
        <f aca="false">IFERROR(B29/B$32,0)</f>
        <v>0.0231781443026265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71799.1987012452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6630.06</v>
      </c>
      <c r="E30" s="21" t="n">
        <f aca="false">B30+C30+D30</f>
        <v>78429.2587012452</v>
      </c>
      <c r="F30" s="11" t="n">
        <f aca="false">IFERROR(B30/B$32,0)</f>
        <v>0.0236848705254578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2236172.77852532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272121.88</v>
      </c>
      <c r="E31" s="22" t="n">
        <f aca="false">B31+C31+D31</f>
        <v>2508294.65852532</v>
      </c>
      <c r="F31" s="16" t="n">
        <f aca="false">IFERROR(B31/B$32,0)</f>
        <v>0.737660916694978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3031437.247</v>
      </c>
      <c r="C32" s="30" t="n">
        <f aca="false">SUM(C24:C31)</f>
        <v>0</v>
      </c>
      <c r="D32" s="30" t="n">
        <f aca="false">SUM(D24:D31)</f>
        <v>392239.38</v>
      </c>
      <c r="E32" s="30" t="n">
        <f aca="false">SUM(E24:E31)</f>
        <v>3423676.627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18</v>
      </c>
      <c r="C6" s="47" t="n">
        <v>42</v>
      </c>
      <c r="D6" s="47" t="n">
        <v>36</v>
      </c>
      <c r="E6" s="47" t="n">
        <v>2</v>
      </c>
      <c r="F6" s="47" t="s">
        <v>257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258</v>
      </c>
      <c r="B7" s="47" t="s">
        <v>18</v>
      </c>
      <c r="C7" s="47" t="n">
        <v>9</v>
      </c>
      <c r="D7" s="47" t="n">
        <v>9</v>
      </c>
      <c r="E7" s="47" t="n">
        <v>0</v>
      </c>
      <c r="F7" s="47" t="s">
        <v>259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260</v>
      </c>
      <c r="B8" s="47" t="s">
        <v>18</v>
      </c>
      <c r="C8" s="47" t="n">
        <v>7</v>
      </c>
      <c r="D8" s="47" t="n">
        <v>6</v>
      </c>
      <c r="E8" s="47" t="n">
        <v>1</v>
      </c>
      <c r="F8" s="47" t="s">
        <v>259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261</v>
      </c>
      <c r="B9" s="47" t="s">
        <v>18</v>
      </c>
      <c r="C9" s="47" t="n">
        <v>11</v>
      </c>
      <c r="D9" s="47" t="n">
        <v>8</v>
      </c>
      <c r="E9" s="47" t="n">
        <v>1</v>
      </c>
      <c r="F9" s="47" t="s">
        <v>262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261</v>
      </c>
      <c r="B10" s="47" t="s">
        <v>17</v>
      </c>
      <c r="C10" s="47" t="n">
        <v>2</v>
      </c>
      <c r="D10" s="47" t="n">
        <v>1</v>
      </c>
      <c r="E10" s="47" t="n">
        <v>1</v>
      </c>
      <c r="F10" s="47" t="s">
        <v>259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263</v>
      </c>
      <c r="B11" s="47" t="s">
        <v>18</v>
      </c>
      <c r="C11" s="47" t="n">
        <v>18</v>
      </c>
      <c r="D11" s="47" t="n">
        <v>14</v>
      </c>
      <c r="E11" s="47" t="n">
        <v>2</v>
      </c>
      <c r="F11" s="47" t="s">
        <v>262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263</v>
      </c>
      <c r="B12" s="47" t="s">
        <v>13</v>
      </c>
      <c r="C12" s="47" t="n">
        <v>2</v>
      </c>
      <c r="D12" s="47" t="n">
        <v>1</v>
      </c>
      <c r="E12" s="47" t="n">
        <v>1</v>
      </c>
      <c r="F12" s="47" t="s">
        <v>259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263</v>
      </c>
      <c r="B13" s="47" t="s">
        <v>16</v>
      </c>
      <c r="C13" s="47" t="n">
        <v>5</v>
      </c>
      <c r="D13" s="47" t="n">
        <v>5</v>
      </c>
      <c r="E13" s="47" t="n">
        <v>0</v>
      </c>
      <c r="F13" s="47" t="s">
        <v>259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264</v>
      </c>
      <c r="B14" s="47" t="s">
        <v>10</v>
      </c>
      <c r="C14" s="47" t="n">
        <v>8</v>
      </c>
      <c r="D14" s="47" t="n">
        <v>7</v>
      </c>
      <c r="E14" s="47" t="n">
        <v>0</v>
      </c>
      <c r="F14" s="47" t="s">
        <v>265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264</v>
      </c>
      <c r="B15" s="47" t="s">
        <v>12</v>
      </c>
      <c r="C15" s="47" t="n">
        <v>2</v>
      </c>
      <c r="D15" s="47" t="n">
        <v>1</v>
      </c>
      <c r="E15" s="47" t="n">
        <v>0</v>
      </c>
      <c r="F15" s="47" t="s">
        <v>265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264</v>
      </c>
      <c r="B16" s="47" t="s">
        <v>15</v>
      </c>
      <c r="C16" s="47" t="n">
        <v>11</v>
      </c>
      <c r="D16" s="47" t="n">
        <v>9</v>
      </c>
      <c r="E16" s="47" t="n">
        <v>1</v>
      </c>
      <c r="F16" s="47" t="s">
        <v>266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267</v>
      </c>
      <c r="B17" s="47" t="s">
        <v>14</v>
      </c>
      <c r="C17" s="47" t="n">
        <v>1</v>
      </c>
      <c r="D17" s="47" t="n">
        <v>0</v>
      </c>
      <c r="E17" s="47" t="n">
        <v>0</v>
      </c>
      <c r="F17" s="47" t="s">
        <v>265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268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269</v>
      </c>
      <c r="E20" s="46" t="s">
        <v>251</v>
      </c>
      <c r="F20" s="46" t="s">
        <v>142</v>
      </c>
      <c r="G20" s="46" t="s">
        <v>270</v>
      </c>
      <c r="H20" s="46" t="s">
        <v>271</v>
      </c>
      <c r="I20" s="46" t="s">
        <v>272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18</v>
      </c>
      <c r="C21" s="47" t="s">
        <v>273</v>
      </c>
      <c r="D21" s="47" t="s">
        <v>220</v>
      </c>
      <c r="E21" s="47" t="s">
        <v>256</v>
      </c>
      <c r="F21" s="47" t="n">
        <v>1</v>
      </c>
      <c r="G21" s="48" t="n">
        <v>105024.64</v>
      </c>
      <c r="H21" s="48" t="n">
        <f aca="false">F21*G21</f>
        <v>105024.64</v>
      </c>
      <c r="I21" s="47" t="s">
        <v>274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18</v>
      </c>
      <c r="C22" s="47" t="s">
        <v>273</v>
      </c>
      <c r="D22" s="47" t="s">
        <v>275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276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18</v>
      </c>
      <c r="C23" s="47" t="s">
        <v>273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277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18</v>
      </c>
      <c r="C24" s="47" t="s">
        <v>273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277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18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277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18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276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18</v>
      </c>
      <c r="C27" s="47" t="s">
        <v>278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277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18</v>
      </c>
      <c r="C28" s="47" t="s">
        <v>278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277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18</v>
      </c>
      <c r="C29" s="47" t="s">
        <v>279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276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18</v>
      </c>
      <c r="C30" s="47" t="s">
        <v>279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276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18</v>
      </c>
      <c r="C31" s="47" t="s">
        <v>280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277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18</v>
      </c>
      <c r="C32" s="47" t="s">
        <v>281</v>
      </c>
      <c r="D32" s="47" t="s">
        <v>186</v>
      </c>
      <c r="E32" s="47" t="s">
        <v>256</v>
      </c>
      <c r="F32" s="47" t="n">
        <v>1</v>
      </c>
      <c r="G32" s="48" t="n">
        <v>5370.9</v>
      </c>
      <c r="H32" s="48" t="n">
        <f aca="false">F32*G32</f>
        <v>5370.9</v>
      </c>
      <c r="I32" s="47" t="s">
        <v>282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18</v>
      </c>
      <c r="C33" s="47" t="s">
        <v>273</v>
      </c>
      <c r="D33" s="47" t="s">
        <v>220</v>
      </c>
      <c r="E33" s="47" t="s">
        <v>258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283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18</v>
      </c>
      <c r="C34" s="47" t="s">
        <v>273</v>
      </c>
      <c r="D34" s="47" t="s">
        <v>275</v>
      </c>
      <c r="E34" s="47" t="s">
        <v>258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276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18</v>
      </c>
      <c r="C35" s="47" t="s">
        <v>273</v>
      </c>
      <c r="D35" s="47" t="s">
        <v>180</v>
      </c>
      <c r="E35" s="47" t="s">
        <v>258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277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18</v>
      </c>
      <c r="C36" s="47" t="s">
        <v>273</v>
      </c>
      <c r="D36" s="47" t="s">
        <v>181</v>
      </c>
      <c r="E36" s="47" t="s">
        <v>258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277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18</v>
      </c>
      <c r="C37" s="47" t="s">
        <v>44</v>
      </c>
      <c r="D37" s="47" t="s">
        <v>182</v>
      </c>
      <c r="E37" s="47" t="s">
        <v>258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277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18</v>
      </c>
      <c r="C38" s="47" t="s">
        <v>44</v>
      </c>
      <c r="D38" s="47" t="s">
        <v>221</v>
      </c>
      <c r="E38" s="47" t="s">
        <v>258</v>
      </c>
      <c r="F38" s="47" t="n">
        <v>1</v>
      </c>
      <c r="G38" s="48" t="n">
        <v>31.66</v>
      </c>
      <c r="H38" s="48" t="n">
        <f aca="false">F38*G38</f>
        <v>31.66</v>
      </c>
      <c r="I38" s="47" t="s">
        <v>276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18</v>
      </c>
      <c r="C39" s="47" t="s">
        <v>278</v>
      </c>
      <c r="D39" s="47" t="s">
        <v>157</v>
      </c>
      <c r="E39" s="47" t="s">
        <v>258</v>
      </c>
      <c r="F39" s="47" t="n">
        <v>9</v>
      </c>
      <c r="G39" s="48" t="n">
        <v>10.05</v>
      </c>
      <c r="H39" s="48" t="n">
        <f aca="false">F39*G39</f>
        <v>90.45</v>
      </c>
      <c r="I39" s="47" t="s">
        <v>277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18</v>
      </c>
      <c r="C40" s="47" t="s">
        <v>278</v>
      </c>
      <c r="D40" s="47" t="s">
        <v>158</v>
      </c>
      <c r="E40" s="47" t="s">
        <v>258</v>
      </c>
      <c r="F40" s="47" t="n">
        <v>9</v>
      </c>
      <c r="G40" s="48" t="n">
        <v>2.07</v>
      </c>
      <c r="H40" s="48" t="n">
        <f aca="false">F40*G40</f>
        <v>18.63</v>
      </c>
      <c r="I40" s="47" t="s">
        <v>277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18</v>
      </c>
      <c r="C41" s="47" t="s">
        <v>279</v>
      </c>
      <c r="D41" s="47" t="s">
        <v>183</v>
      </c>
      <c r="E41" s="47" t="s">
        <v>258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276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18</v>
      </c>
      <c r="C42" s="47" t="s">
        <v>279</v>
      </c>
      <c r="D42" s="47" t="s">
        <v>185</v>
      </c>
      <c r="E42" s="47" t="s">
        <v>258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276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18</v>
      </c>
      <c r="C43" s="47" t="s">
        <v>280</v>
      </c>
      <c r="D43" s="47" t="s">
        <v>179</v>
      </c>
      <c r="E43" s="47" t="s">
        <v>258</v>
      </c>
      <c r="F43" s="47" t="n">
        <v>9</v>
      </c>
      <c r="G43" s="48" t="n">
        <v>30</v>
      </c>
      <c r="H43" s="48" t="n">
        <f aca="false">F43*G43</f>
        <v>270</v>
      </c>
      <c r="I43" s="47" t="s">
        <v>277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18</v>
      </c>
      <c r="C44" s="47" t="s">
        <v>273</v>
      </c>
      <c r="D44" s="47" t="s">
        <v>220</v>
      </c>
      <c r="E44" s="47" t="s">
        <v>260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284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18</v>
      </c>
      <c r="C45" s="47" t="s">
        <v>273</v>
      </c>
      <c r="D45" s="47" t="s">
        <v>275</v>
      </c>
      <c r="E45" s="47" t="s">
        <v>260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276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18</v>
      </c>
      <c r="C46" s="47" t="s">
        <v>273</v>
      </c>
      <c r="D46" s="47" t="s">
        <v>180</v>
      </c>
      <c r="E46" s="47" t="s">
        <v>260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277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18</v>
      </c>
      <c r="C47" s="47" t="s">
        <v>273</v>
      </c>
      <c r="D47" s="47" t="s">
        <v>181</v>
      </c>
      <c r="E47" s="47" t="s">
        <v>260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277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18</v>
      </c>
      <c r="C48" s="47" t="s">
        <v>44</v>
      </c>
      <c r="D48" s="47" t="s">
        <v>182</v>
      </c>
      <c r="E48" s="47" t="s">
        <v>260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277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18</v>
      </c>
      <c r="C49" s="47" t="s">
        <v>44</v>
      </c>
      <c r="D49" s="47" t="s">
        <v>221</v>
      </c>
      <c r="E49" s="47" t="s">
        <v>260</v>
      </c>
      <c r="F49" s="47" t="n">
        <v>1</v>
      </c>
      <c r="G49" s="48" t="n">
        <v>24.62</v>
      </c>
      <c r="H49" s="48" t="n">
        <f aca="false">F49*G49</f>
        <v>24.62</v>
      </c>
      <c r="I49" s="47" t="s">
        <v>276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18</v>
      </c>
      <c r="C50" s="47" t="s">
        <v>278</v>
      </c>
      <c r="D50" s="47" t="s">
        <v>157</v>
      </c>
      <c r="E50" s="47" t="s">
        <v>260</v>
      </c>
      <c r="F50" s="47" t="n">
        <v>7</v>
      </c>
      <c r="G50" s="48" t="n">
        <v>10.05</v>
      </c>
      <c r="H50" s="48" t="n">
        <f aca="false">F50*G50</f>
        <v>70.35</v>
      </c>
      <c r="I50" s="47" t="s">
        <v>277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18</v>
      </c>
      <c r="C51" s="47" t="s">
        <v>278</v>
      </c>
      <c r="D51" s="47" t="s">
        <v>158</v>
      </c>
      <c r="E51" s="47" t="s">
        <v>260</v>
      </c>
      <c r="F51" s="47" t="n">
        <v>7</v>
      </c>
      <c r="G51" s="48" t="n">
        <v>2.07</v>
      </c>
      <c r="H51" s="48" t="n">
        <f aca="false">F51*G51</f>
        <v>14.49</v>
      </c>
      <c r="I51" s="47" t="s">
        <v>277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18</v>
      </c>
      <c r="C52" s="47" t="s">
        <v>279</v>
      </c>
      <c r="D52" s="47" t="s">
        <v>183</v>
      </c>
      <c r="E52" s="47" t="s">
        <v>260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276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18</v>
      </c>
      <c r="C53" s="47" t="s">
        <v>279</v>
      </c>
      <c r="D53" s="47" t="s">
        <v>185</v>
      </c>
      <c r="E53" s="47" t="s">
        <v>260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276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18</v>
      </c>
      <c r="C54" s="47" t="s">
        <v>280</v>
      </c>
      <c r="D54" s="47" t="s">
        <v>179</v>
      </c>
      <c r="E54" s="47" t="s">
        <v>260</v>
      </c>
      <c r="F54" s="47" t="n">
        <v>7</v>
      </c>
      <c r="G54" s="48" t="n">
        <v>30</v>
      </c>
      <c r="H54" s="48" t="n">
        <f aca="false">F54*G54</f>
        <v>210</v>
      </c>
      <c r="I54" s="47" t="s">
        <v>277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18</v>
      </c>
      <c r="C55" s="47" t="s">
        <v>281</v>
      </c>
      <c r="D55" s="47" t="s">
        <v>186</v>
      </c>
      <c r="E55" s="47" t="s">
        <v>260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282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18</v>
      </c>
      <c r="C56" s="47" t="s">
        <v>273</v>
      </c>
      <c r="D56" s="47" t="s">
        <v>220</v>
      </c>
      <c r="E56" s="47" t="s">
        <v>261</v>
      </c>
      <c r="F56" s="47" t="n">
        <v>1</v>
      </c>
      <c r="G56" s="48" t="n">
        <v>34928.53</v>
      </c>
      <c r="H56" s="48" t="n">
        <f aca="false">F56*G56</f>
        <v>34928.53</v>
      </c>
      <c r="I56" s="47" t="s">
        <v>285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18</v>
      </c>
      <c r="C57" s="47" t="s">
        <v>273</v>
      </c>
      <c r="D57" s="47" t="s">
        <v>275</v>
      </c>
      <c r="E57" s="47" t="s">
        <v>261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276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18</v>
      </c>
      <c r="C58" s="47" t="s">
        <v>273</v>
      </c>
      <c r="D58" s="47" t="s">
        <v>180</v>
      </c>
      <c r="E58" s="47" t="s">
        <v>261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277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18</v>
      </c>
      <c r="C59" s="47" t="s">
        <v>273</v>
      </c>
      <c r="D59" s="47" t="s">
        <v>181</v>
      </c>
      <c r="E59" s="47" t="s">
        <v>261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277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18</v>
      </c>
      <c r="C60" s="47" t="s">
        <v>44</v>
      </c>
      <c r="D60" s="47" t="s">
        <v>182</v>
      </c>
      <c r="E60" s="47" t="s">
        <v>261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277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18</v>
      </c>
      <c r="C61" s="47" t="s">
        <v>44</v>
      </c>
      <c r="D61" s="47" t="s">
        <v>221</v>
      </c>
      <c r="E61" s="47" t="s">
        <v>261</v>
      </c>
      <c r="F61" s="47" t="n">
        <v>1</v>
      </c>
      <c r="G61" s="48" t="n">
        <v>38.69</v>
      </c>
      <c r="H61" s="48" t="n">
        <f aca="false">F61*G61</f>
        <v>38.69</v>
      </c>
      <c r="I61" s="47" t="s">
        <v>276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18</v>
      </c>
      <c r="C62" s="47" t="s">
        <v>278</v>
      </c>
      <c r="D62" s="47" t="s">
        <v>157</v>
      </c>
      <c r="E62" s="47" t="s">
        <v>261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277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18</v>
      </c>
      <c r="C63" s="47" t="s">
        <v>278</v>
      </c>
      <c r="D63" s="47" t="s">
        <v>158</v>
      </c>
      <c r="E63" s="47" t="s">
        <v>261</v>
      </c>
      <c r="F63" s="47" t="n">
        <v>11</v>
      </c>
      <c r="G63" s="48" t="n">
        <v>2.07</v>
      </c>
      <c r="H63" s="48" t="n">
        <f aca="false">F63*G63</f>
        <v>22.77</v>
      </c>
      <c r="I63" s="47" t="s">
        <v>277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18</v>
      </c>
      <c r="C64" s="47" t="s">
        <v>279</v>
      </c>
      <c r="D64" s="47" t="s">
        <v>183</v>
      </c>
      <c r="E64" s="47" t="s">
        <v>261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276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18</v>
      </c>
      <c r="C65" s="47" t="s">
        <v>279</v>
      </c>
      <c r="D65" s="47" t="s">
        <v>185</v>
      </c>
      <c r="E65" s="47" t="s">
        <v>261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276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18</v>
      </c>
      <c r="C66" s="47" t="s">
        <v>280</v>
      </c>
      <c r="D66" s="47" t="s">
        <v>179</v>
      </c>
      <c r="E66" s="47" t="s">
        <v>261</v>
      </c>
      <c r="F66" s="47" t="n">
        <v>11</v>
      </c>
      <c r="G66" s="48" t="n">
        <v>30</v>
      </c>
      <c r="H66" s="48" t="n">
        <f aca="false">F66*G66</f>
        <v>330</v>
      </c>
      <c r="I66" s="47" t="s">
        <v>277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18</v>
      </c>
      <c r="C67" s="47" t="s">
        <v>281</v>
      </c>
      <c r="D67" s="47" t="s">
        <v>186</v>
      </c>
      <c r="E67" s="47" t="s">
        <v>261</v>
      </c>
      <c r="F67" s="47" t="n">
        <v>1</v>
      </c>
      <c r="G67" s="48" t="n">
        <v>3878.58</v>
      </c>
      <c r="H67" s="48" t="n">
        <f aca="false">F67*G67</f>
        <v>3878.58</v>
      </c>
      <c r="I67" s="47" t="s">
        <v>282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17</v>
      </c>
      <c r="C68" s="47" t="s">
        <v>273</v>
      </c>
      <c r="D68" s="47" t="s">
        <v>220</v>
      </c>
      <c r="E68" s="47" t="s">
        <v>261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286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17</v>
      </c>
      <c r="C69" s="47" t="s">
        <v>273</v>
      </c>
      <c r="D69" s="47" t="s">
        <v>180</v>
      </c>
      <c r="E69" s="47" t="s">
        <v>261</v>
      </c>
      <c r="F69" s="47" t="n">
        <v>2</v>
      </c>
      <c r="G69" s="48" t="n">
        <v>28.31</v>
      </c>
      <c r="H69" s="48" t="n">
        <f aca="false">F69*G69</f>
        <v>56.62</v>
      </c>
      <c r="I69" s="47" t="s">
        <v>277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17</v>
      </c>
      <c r="C70" s="47" t="s">
        <v>273</v>
      </c>
      <c r="D70" s="47" t="s">
        <v>181</v>
      </c>
      <c r="E70" s="47" t="s">
        <v>261</v>
      </c>
      <c r="F70" s="47" t="n">
        <v>2</v>
      </c>
      <c r="G70" s="48" t="n">
        <v>47.79</v>
      </c>
      <c r="H70" s="48" t="n">
        <f aca="false">F70*G70</f>
        <v>95.58</v>
      </c>
      <c r="I70" s="47" t="s">
        <v>277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17</v>
      </c>
      <c r="C71" s="47" t="s">
        <v>44</v>
      </c>
      <c r="D71" s="47" t="s">
        <v>182</v>
      </c>
      <c r="E71" s="47" t="s">
        <v>261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277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17</v>
      </c>
      <c r="C72" s="47" t="s">
        <v>278</v>
      </c>
      <c r="D72" s="47" t="s">
        <v>157</v>
      </c>
      <c r="E72" s="47" t="s">
        <v>261</v>
      </c>
      <c r="F72" s="47" t="n">
        <v>2</v>
      </c>
      <c r="G72" s="48" t="n">
        <v>10.05</v>
      </c>
      <c r="H72" s="48" t="n">
        <f aca="false">F72*G72</f>
        <v>20.1</v>
      </c>
      <c r="I72" s="47" t="s">
        <v>277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17</v>
      </c>
      <c r="C73" s="47" t="s">
        <v>278</v>
      </c>
      <c r="D73" s="47" t="s">
        <v>158</v>
      </c>
      <c r="E73" s="47" t="s">
        <v>261</v>
      </c>
      <c r="F73" s="47" t="n">
        <v>2</v>
      </c>
      <c r="G73" s="48" t="n">
        <v>2.07</v>
      </c>
      <c r="H73" s="48" t="n">
        <f aca="false">F73*G73</f>
        <v>4.14</v>
      </c>
      <c r="I73" s="47" t="s">
        <v>277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17</v>
      </c>
      <c r="C74" s="47" t="s">
        <v>280</v>
      </c>
      <c r="D74" s="47" t="s">
        <v>179</v>
      </c>
      <c r="E74" s="47" t="s">
        <v>261</v>
      </c>
      <c r="F74" s="47" t="n">
        <v>2</v>
      </c>
      <c r="G74" s="48" t="n">
        <v>30</v>
      </c>
      <c r="H74" s="48" t="n">
        <f aca="false">F74*G74</f>
        <v>60</v>
      </c>
      <c r="I74" s="47" t="s">
        <v>277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17</v>
      </c>
      <c r="C75" s="47" t="s">
        <v>281</v>
      </c>
      <c r="D75" s="47" t="s">
        <v>186</v>
      </c>
      <c r="E75" s="47" t="s">
        <v>261</v>
      </c>
      <c r="F75" s="47" t="n">
        <v>1</v>
      </c>
      <c r="G75" s="48" t="n">
        <v>696.8</v>
      </c>
      <c r="H75" s="48" t="n">
        <f aca="false">F75*G75</f>
        <v>696.8</v>
      </c>
      <c r="I75" s="47" t="s">
        <v>282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18</v>
      </c>
      <c r="C76" s="47" t="s">
        <v>273</v>
      </c>
      <c r="D76" s="47" t="s">
        <v>220</v>
      </c>
      <c r="E76" s="47" t="s">
        <v>263</v>
      </c>
      <c r="F76" s="47" t="n">
        <v>1</v>
      </c>
      <c r="G76" s="48" t="n">
        <v>62582.01</v>
      </c>
      <c r="H76" s="48" t="n">
        <f aca="false">F76*G76</f>
        <v>62582.01</v>
      </c>
      <c r="I76" s="47" t="s">
        <v>287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18</v>
      </c>
      <c r="C77" s="47" t="s">
        <v>273</v>
      </c>
      <c r="D77" s="47" t="s">
        <v>275</v>
      </c>
      <c r="E77" s="47" t="s">
        <v>263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276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18</v>
      </c>
      <c r="C78" s="47" t="s">
        <v>273</v>
      </c>
      <c r="D78" s="47" t="s">
        <v>180</v>
      </c>
      <c r="E78" s="47" t="s">
        <v>263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277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18</v>
      </c>
      <c r="C79" s="47" t="s">
        <v>273</v>
      </c>
      <c r="D79" s="47" t="s">
        <v>181</v>
      </c>
      <c r="E79" s="47" t="s">
        <v>263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277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18</v>
      </c>
      <c r="C80" s="47" t="s">
        <v>44</v>
      </c>
      <c r="D80" s="47" t="s">
        <v>182</v>
      </c>
      <c r="E80" s="47" t="s">
        <v>263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277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18</v>
      </c>
      <c r="C81" s="47" t="s">
        <v>44</v>
      </c>
      <c r="D81" s="47" t="s">
        <v>221</v>
      </c>
      <c r="E81" s="47" t="s">
        <v>263</v>
      </c>
      <c r="F81" s="47" t="n">
        <v>1</v>
      </c>
      <c r="G81" s="48" t="n">
        <v>63.31</v>
      </c>
      <c r="H81" s="48" t="n">
        <f aca="false">F81*G81</f>
        <v>63.31</v>
      </c>
      <c r="I81" s="47" t="s">
        <v>276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18</v>
      </c>
      <c r="C82" s="47" t="s">
        <v>278</v>
      </c>
      <c r="D82" s="47" t="s">
        <v>157</v>
      </c>
      <c r="E82" s="47" t="s">
        <v>263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277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18</v>
      </c>
      <c r="C83" s="47" t="s">
        <v>278</v>
      </c>
      <c r="D83" s="47" t="s">
        <v>158</v>
      </c>
      <c r="E83" s="47" t="s">
        <v>263</v>
      </c>
      <c r="F83" s="47" t="n">
        <v>18</v>
      </c>
      <c r="G83" s="48" t="n">
        <v>2.07</v>
      </c>
      <c r="H83" s="48" t="n">
        <f aca="false">F83*G83</f>
        <v>37.26</v>
      </c>
      <c r="I83" s="47" t="s">
        <v>277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18</v>
      </c>
      <c r="C84" s="47" t="s">
        <v>279</v>
      </c>
      <c r="D84" s="47" t="s">
        <v>183</v>
      </c>
      <c r="E84" s="47" t="s">
        <v>263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276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18</v>
      </c>
      <c r="C85" s="47" t="s">
        <v>279</v>
      </c>
      <c r="D85" s="47" t="s">
        <v>185</v>
      </c>
      <c r="E85" s="47" t="s">
        <v>263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276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18</v>
      </c>
      <c r="C86" s="47" t="s">
        <v>280</v>
      </c>
      <c r="D86" s="47" t="s">
        <v>179</v>
      </c>
      <c r="E86" s="47" t="s">
        <v>263</v>
      </c>
      <c r="F86" s="47" t="n">
        <v>18</v>
      </c>
      <c r="G86" s="48" t="n">
        <v>30</v>
      </c>
      <c r="H86" s="48" t="n">
        <f aca="false">F86*G86</f>
        <v>540</v>
      </c>
      <c r="I86" s="47" t="s">
        <v>277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18</v>
      </c>
      <c r="C87" s="47" t="s">
        <v>281</v>
      </c>
      <c r="D87" s="47" t="s">
        <v>186</v>
      </c>
      <c r="E87" s="47" t="s">
        <v>263</v>
      </c>
      <c r="F87" s="47" t="n">
        <v>1</v>
      </c>
      <c r="G87" s="48" t="n">
        <v>5034.05</v>
      </c>
      <c r="H87" s="48" t="n">
        <f aca="false">F87*G87</f>
        <v>5034.05</v>
      </c>
      <c r="I87" s="47" t="s">
        <v>282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13</v>
      </c>
      <c r="C88" s="47" t="s">
        <v>273</v>
      </c>
      <c r="D88" s="47" t="s">
        <v>220</v>
      </c>
      <c r="E88" s="47" t="s">
        <v>263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286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13</v>
      </c>
      <c r="C89" s="47" t="s">
        <v>273</v>
      </c>
      <c r="D89" s="47" t="s">
        <v>180</v>
      </c>
      <c r="E89" s="47" t="s">
        <v>263</v>
      </c>
      <c r="F89" s="47" t="n">
        <v>2</v>
      </c>
      <c r="G89" s="48" t="n">
        <v>28.31</v>
      </c>
      <c r="H89" s="48" t="n">
        <f aca="false">F89*G89</f>
        <v>56.62</v>
      </c>
      <c r="I89" s="47" t="s">
        <v>277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13</v>
      </c>
      <c r="C90" s="47" t="s">
        <v>273</v>
      </c>
      <c r="D90" s="47" t="s">
        <v>181</v>
      </c>
      <c r="E90" s="47" t="s">
        <v>263</v>
      </c>
      <c r="F90" s="47" t="n">
        <v>2</v>
      </c>
      <c r="G90" s="48" t="n">
        <v>47.79</v>
      </c>
      <c r="H90" s="48" t="n">
        <f aca="false">F90*G90</f>
        <v>95.58</v>
      </c>
      <c r="I90" s="47" t="s">
        <v>277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13</v>
      </c>
      <c r="C91" s="47" t="s">
        <v>44</v>
      </c>
      <c r="D91" s="47" t="s">
        <v>182</v>
      </c>
      <c r="E91" s="47" t="s">
        <v>263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277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13</v>
      </c>
      <c r="C92" s="47" t="s">
        <v>278</v>
      </c>
      <c r="D92" s="47" t="s">
        <v>157</v>
      </c>
      <c r="E92" s="47" t="s">
        <v>263</v>
      </c>
      <c r="F92" s="47" t="n">
        <v>2</v>
      </c>
      <c r="G92" s="48" t="n">
        <v>10.05</v>
      </c>
      <c r="H92" s="48" t="n">
        <f aca="false">F92*G92</f>
        <v>20.1</v>
      </c>
      <c r="I92" s="47" t="s">
        <v>277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13</v>
      </c>
      <c r="C93" s="47" t="s">
        <v>278</v>
      </c>
      <c r="D93" s="47" t="s">
        <v>158</v>
      </c>
      <c r="E93" s="47" t="s">
        <v>263</v>
      </c>
      <c r="F93" s="47" t="n">
        <v>2</v>
      </c>
      <c r="G93" s="48" t="n">
        <v>2.07</v>
      </c>
      <c r="H93" s="48" t="n">
        <f aca="false">F93*G93</f>
        <v>4.14</v>
      </c>
      <c r="I93" s="47" t="s">
        <v>277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13</v>
      </c>
      <c r="C94" s="47" t="s">
        <v>280</v>
      </c>
      <c r="D94" s="47" t="s">
        <v>179</v>
      </c>
      <c r="E94" s="47" t="s">
        <v>263</v>
      </c>
      <c r="F94" s="47" t="n">
        <v>2</v>
      </c>
      <c r="G94" s="48" t="n">
        <v>30</v>
      </c>
      <c r="H94" s="48" t="n">
        <f aca="false">F94*G94</f>
        <v>60</v>
      </c>
      <c r="I94" s="47" t="s">
        <v>277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13</v>
      </c>
      <c r="C95" s="47" t="s">
        <v>281</v>
      </c>
      <c r="D95" s="47" t="s">
        <v>186</v>
      </c>
      <c r="E95" s="47" t="s">
        <v>263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282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16</v>
      </c>
      <c r="C96" s="47" t="s">
        <v>273</v>
      </c>
      <c r="D96" s="47" t="s">
        <v>220</v>
      </c>
      <c r="E96" s="47" t="s">
        <v>263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288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16</v>
      </c>
      <c r="C97" s="47" t="s">
        <v>273</v>
      </c>
      <c r="D97" s="47" t="s">
        <v>180</v>
      </c>
      <c r="E97" s="47" t="s">
        <v>263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277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16</v>
      </c>
      <c r="C98" s="47" t="s">
        <v>273</v>
      </c>
      <c r="D98" s="47" t="s">
        <v>181</v>
      </c>
      <c r="E98" s="47" t="s">
        <v>263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277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16</v>
      </c>
      <c r="C99" s="47" t="s">
        <v>44</v>
      </c>
      <c r="D99" s="47" t="s">
        <v>182</v>
      </c>
      <c r="E99" s="47" t="s">
        <v>263</v>
      </c>
      <c r="F99" s="47" t="n">
        <v>5</v>
      </c>
      <c r="G99" s="48" t="n">
        <v>64.54</v>
      </c>
      <c r="H99" s="48" t="n">
        <f aca="false">F99*G99</f>
        <v>322.7</v>
      </c>
      <c r="I99" s="47" t="s">
        <v>277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16</v>
      </c>
      <c r="C100" s="47" t="s">
        <v>278</v>
      </c>
      <c r="D100" s="47" t="s">
        <v>157</v>
      </c>
      <c r="E100" s="47" t="s">
        <v>263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277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16</v>
      </c>
      <c r="C101" s="47" t="s">
        <v>278</v>
      </c>
      <c r="D101" s="47" t="s">
        <v>158</v>
      </c>
      <c r="E101" s="47" t="s">
        <v>263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277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16</v>
      </c>
      <c r="C102" s="47" t="s">
        <v>279</v>
      </c>
      <c r="D102" s="47" t="s">
        <v>185</v>
      </c>
      <c r="E102" s="47" t="s">
        <v>263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276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16</v>
      </c>
      <c r="C103" s="47" t="s">
        <v>280</v>
      </c>
      <c r="D103" s="47" t="s">
        <v>179</v>
      </c>
      <c r="E103" s="47" t="s">
        <v>263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277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16</v>
      </c>
      <c r="C104" s="47" t="s">
        <v>281</v>
      </c>
      <c r="D104" s="47" t="s">
        <v>186</v>
      </c>
      <c r="E104" s="47" t="s">
        <v>263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282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10</v>
      </c>
      <c r="C105" s="47" t="s">
        <v>273</v>
      </c>
      <c r="D105" s="47" t="s">
        <v>220</v>
      </c>
      <c r="E105" s="47" t="s">
        <v>264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289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10</v>
      </c>
      <c r="C106" s="47" t="s">
        <v>273</v>
      </c>
      <c r="D106" s="47" t="s">
        <v>180</v>
      </c>
      <c r="E106" s="47" t="s">
        <v>264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277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10</v>
      </c>
      <c r="C107" s="47" t="s">
        <v>273</v>
      </c>
      <c r="D107" s="47" t="s">
        <v>181</v>
      </c>
      <c r="E107" s="47" t="s">
        <v>264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277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10</v>
      </c>
      <c r="C108" s="47" t="s">
        <v>44</v>
      </c>
      <c r="D108" s="47" t="s">
        <v>182</v>
      </c>
      <c r="E108" s="47" t="s">
        <v>264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277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10</v>
      </c>
      <c r="C109" s="47" t="s">
        <v>44</v>
      </c>
      <c r="D109" s="47" t="s">
        <v>221</v>
      </c>
      <c r="E109" s="47" t="s">
        <v>264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276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10</v>
      </c>
      <c r="C110" s="47" t="s">
        <v>278</v>
      </c>
      <c r="D110" s="47" t="s">
        <v>157</v>
      </c>
      <c r="E110" s="47" t="s">
        <v>264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277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10</v>
      </c>
      <c r="C111" s="47" t="s">
        <v>278</v>
      </c>
      <c r="D111" s="47" t="s">
        <v>158</v>
      </c>
      <c r="E111" s="47" t="s">
        <v>264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277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10</v>
      </c>
      <c r="C112" s="47" t="s">
        <v>279</v>
      </c>
      <c r="D112" s="47" t="s">
        <v>183</v>
      </c>
      <c r="E112" s="47" t="s">
        <v>264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276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10</v>
      </c>
      <c r="C113" s="47" t="s">
        <v>279</v>
      </c>
      <c r="D113" s="47" t="s">
        <v>185</v>
      </c>
      <c r="E113" s="47" t="s">
        <v>264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276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10</v>
      </c>
      <c r="C114" s="47" t="s">
        <v>280</v>
      </c>
      <c r="D114" s="47" t="s">
        <v>179</v>
      </c>
      <c r="E114" s="47" t="s">
        <v>264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277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15</v>
      </c>
      <c r="C115" s="47" t="s">
        <v>273</v>
      </c>
      <c r="D115" s="47" t="s">
        <v>220</v>
      </c>
      <c r="E115" s="47" t="s">
        <v>264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290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15</v>
      </c>
      <c r="C116" s="47" t="s">
        <v>273</v>
      </c>
      <c r="D116" s="47" t="s">
        <v>275</v>
      </c>
      <c r="E116" s="47" t="s">
        <v>264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276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15</v>
      </c>
      <c r="C117" s="47" t="s">
        <v>273</v>
      </c>
      <c r="D117" s="47" t="s">
        <v>180</v>
      </c>
      <c r="E117" s="47" t="s">
        <v>264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277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15</v>
      </c>
      <c r="C118" s="47" t="s">
        <v>273</v>
      </c>
      <c r="D118" s="47" t="s">
        <v>181</v>
      </c>
      <c r="E118" s="47" t="s">
        <v>264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277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15</v>
      </c>
      <c r="C119" s="47" t="s">
        <v>44</v>
      </c>
      <c r="D119" s="47" t="s">
        <v>182</v>
      </c>
      <c r="E119" s="47" t="s">
        <v>264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277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15</v>
      </c>
      <c r="C120" s="47" t="s">
        <v>44</v>
      </c>
      <c r="D120" s="47" t="s">
        <v>221</v>
      </c>
      <c r="E120" s="47" t="s">
        <v>264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276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15</v>
      </c>
      <c r="C121" s="47" t="s">
        <v>278</v>
      </c>
      <c r="D121" s="47" t="s">
        <v>157</v>
      </c>
      <c r="E121" s="47" t="s">
        <v>264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277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15</v>
      </c>
      <c r="C122" s="47" t="s">
        <v>278</v>
      </c>
      <c r="D122" s="47" t="s">
        <v>158</v>
      </c>
      <c r="E122" s="47" t="s">
        <v>264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277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15</v>
      </c>
      <c r="C123" s="47" t="s">
        <v>280</v>
      </c>
      <c r="D123" s="47" t="s">
        <v>179</v>
      </c>
      <c r="E123" s="47" t="s">
        <v>264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277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15</v>
      </c>
      <c r="C124" s="47" t="s">
        <v>281</v>
      </c>
      <c r="D124" s="47" t="s">
        <v>186</v>
      </c>
      <c r="E124" s="47" t="s">
        <v>264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282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14</v>
      </c>
      <c r="C125" s="47" t="s">
        <v>273</v>
      </c>
      <c r="D125" s="47" t="s">
        <v>220</v>
      </c>
      <c r="E125" s="47" t="s">
        <v>267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291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14</v>
      </c>
      <c r="C126" s="47" t="s">
        <v>273</v>
      </c>
      <c r="D126" s="47" t="s">
        <v>180</v>
      </c>
      <c r="E126" s="47" t="s">
        <v>267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277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14</v>
      </c>
      <c r="C127" s="47" t="s">
        <v>273</v>
      </c>
      <c r="D127" s="47" t="s">
        <v>181</v>
      </c>
      <c r="E127" s="47" t="s">
        <v>267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277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14</v>
      </c>
      <c r="C128" s="47" t="s">
        <v>44</v>
      </c>
      <c r="D128" s="47" t="s">
        <v>182</v>
      </c>
      <c r="E128" s="47" t="s">
        <v>267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277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14</v>
      </c>
      <c r="C129" s="47" t="s">
        <v>278</v>
      </c>
      <c r="D129" s="47" t="s">
        <v>157</v>
      </c>
      <c r="E129" s="47" t="s">
        <v>267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277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14</v>
      </c>
      <c r="C130" s="47" t="s">
        <v>278</v>
      </c>
      <c r="D130" s="47" t="s">
        <v>158</v>
      </c>
      <c r="E130" s="47" t="s">
        <v>267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277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14</v>
      </c>
      <c r="C131" s="47" t="s">
        <v>280</v>
      </c>
      <c r="D131" s="47" t="s">
        <v>179</v>
      </c>
      <c r="E131" s="47" t="s">
        <v>267</v>
      </c>
      <c r="F131" s="47" t="n">
        <v>1</v>
      </c>
      <c r="G131" s="48" t="n">
        <v>30</v>
      </c>
      <c r="H131" s="48" t="n">
        <f aca="false">F131*G131</f>
        <v>30</v>
      </c>
      <c r="I131" s="47" t="s">
        <v>277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18</v>
      </c>
      <c r="C132" s="47" t="s">
        <v>273</v>
      </c>
      <c r="D132" s="47" t="s">
        <v>220</v>
      </c>
      <c r="E132" s="47" t="s">
        <v>256</v>
      </c>
      <c r="F132" s="47" t="n">
        <v>1</v>
      </c>
      <c r="G132" s="48" t="n">
        <v>99229.84</v>
      </c>
      <c r="H132" s="48" t="n">
        <f aca="false">F132*G132</f>
        <v>99229.84</v>
      </c>
      <c r="I132" s="47" t="s">
        <v>292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18</v>
      </c>
      <c r="C133" s="47" t="s">
        <v>273</v>
      </c>
      <c r="D133" s="47" t="s">
        <v>275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276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18</v>
      </c>
      <c r="C134" s="47" t="s">
        <v>273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277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18</v>
      </c>
      <c r="C135" s="47" t="s">
        <v>273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277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18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276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18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277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18</v>
      </c>
      <c r="C138" s="47" t="s">
        <v>278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277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18</v>
      </c>
      <c r="C139" s="47" t="s">
        <v>278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277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18</v>
      </c>
      <c r="C140" s="47" t="s">
        <v>279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276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18</v>
      </c>
      <c r="C141" s="47" t="s">
        <v>279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276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18</v>
      </c>
      <c r="C142" s="47" t="s">
        <v>279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276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18</v>
      </c>
      <c r="C143" s="47" t="s">
        <v>280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277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18</v>
      </c>
      <c r="C144" s="47" t="s">
        <v>293</v>
      </c>
      <c r="D144" s="47" t="s">
        <v>294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295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18</v>
      </c>
      <c r="C145" s="47" t="s">
        <v>281</v>
      </c>
      <c r="D145" s="47" t="s">
        <v>186</v>
      </c>
      <c r="E145" s="47" t="s">
        <v>256</v>
      </c>
      <c r="F145" s="47" t="n">
        <v>1</v>
      </c>
      <c r="G145" s="48" t="n">
        <v>8741.21</v>
      </c>
      <c r="H145" s="48" t="n">
        <f aca="false">F145*G145</f>
        <v>8741.21</v>
      </c>
      <c r="I145" s="47" t="s">
        <v>282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18</v>
      </c>
      <c r="C146" s="47" t="s">
        <v>273</v>
      </c>
      <c r="D146" s="47" t="s">
        <v>220</v>
      </c>
      <c r="E146" s="47" t="s">
        <v>258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283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18</v>
      </c>
      <c r="C147" s="47" t="s">
        <v>273</v>
      </c>
      <c r="D147" s="47" t="s">
        <v>275</v>
      </c>
      <c r="E147" s="47" t="s">
        <v>258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276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18</v>
      </c>
      <c r="C148" s="47" t="s">
        <v>273</v>
      </c>
      <c r="D148" s="47" t="s">
        <v>180</v>
      </c>
      <c r="E148" s="47" t="s">
        <v>258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277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18</v>
      </c>
      <c r="C149" s="47" t="s">
        <v>273</v>
      </c>
      <c r="D149" s="47" t="s">
        <v>181</v>
      </c>
      <c r="E149" s="47" t="s">
        <v>258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277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18</v>
      </c>
      <c r="C150" s="47" t="s">
        <v>44</v>
      </c>
      <c r="D150" s="47" t="s">
        <v>221</v>
      </c>
      <c r="E150" s="47" t="s">
        <v>258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276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18</v>
      </c>
      <c r="C151" s="47" t="s">
        <v>44</v>
      </c>
      <c r="D151" s="47" t="s">
        <v>182</v>
      </c>
      <c r="E151" s="47" t="s">
        <v>258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277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18</v>
      </c>
      <c r="C152" s="47" t="s">
        <v>278</v>
      </c>
      <c r="D152" s="47" t="s">
        <v>157</v>
      </c>
      <c r="E152" s="47" t="s">
        <v>258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277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18</v>
      </c>
      <c r="C153" s="47" t="s">
        <v>278</v>
      </c>
      <c r="D153" s="47" t="s">
        <v>158</v>
      </c>
      <c r="E153" s="47" t="s">
        <v>258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277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18</v>
      </c>
      <c r="C154" s="47" t="s">
        <v>279</v>
      </c>
      <c r="D154" s="47" t="s">
        <v>183</v>
      </c>
      <c r="E154" s="47" t="s">
        <v>258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276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18</v>
      </c>
      <c r="C155" s="47" t="s">
        <v>279</v>
      </c>
      <c r="D155" s="47" t="s">
        <v>184</v>
      </c>
      <c r="E155" s="47" t="s">
        <v>258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276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18</v>
      </c>
      <c r="C156" s="47" t="s">
        <v>279</v>
      </c>
      <c r="D156" s="47" t="s">
        <v>185</v>
      </c>
      <c r="E156" s="47" t="s">
        <v>258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276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18</v>
      </c>
      <c r="C157" s="47" t="s">
        <v>280</v>
      </c>
      <c r="D157" s="47" t="s">
        <v>179</v>
      </c>
      <c r="E157" s="47" t="s">
        <v>258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277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18</v>
      </c>
      <c r="C158" s="47" t="s">
        <v>273</v>
      </c>
      <c r="D158" s="47" t="s">
        <v>220</v>
      </c>
      <c r="E158" s="47" t="s">
        <v>260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284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18</v>
      </c>
      <c r="C159" s="47" t="s">
        <v>273</v>
      </c>
      <c r="D159" s="47" t="s">
        <v>296</v>
      </c>
      <c r="E159" s="47" t="s">
        <v>260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297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18</v>
      </c>
      <c r="C160" s="47" t="s">
        <v>273</v>
      </c>
      <c r="D160" s="47" t="s">
        <v>275</v>
      </c>
      <c r="E160" s="47" t="s">
        <v>260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276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18</v>
      </c>
      <c r="C161" s="47" t="s">
        <v>273</v>
      </c>
      <c r="D161" s="47" t="s">
        <v>180</v>
      </c>
      <c r="E161" s="47" t="s">
        <v>260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277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18</v>
      </c>
      <c r="C162" s="47" t="s">
        <v>273</v>
      </c>
      <c r="D162" s="47" t="s">
        <v>181</v>
      </c>
      <c r="E162" s="47" t="s">
        <v>260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277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18</v>
      </c>
      <c r="C163" s="47" t="s">
        <v>44</v>
      </c>
      <c r="D163" s="47" t="s">
        <v>221</v>
      </c>
      <c r="E163" s="47" t="s">
        <v>260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276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18</v>
      </c>
      <c r="C164" s="47" t="s">
        <v>44</v>
      </c>
      <c r="D164" s="47" t="s">
        <v>182</v>
      </c>
      <c r="E164" s="47" t="s">
        <v>260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277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18</v>
      </c>
      <c r="C165" s="47" t="s">
        <v>278</v>
      </c>
      <c r="D165" s="47" t="s">
        <v>157</v>
      </c>
      <c r="E165" s="47" t="s">
        <v>260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277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18</v>
      </c>
      <c r="C166" s="47" t="s">
        <v>278</v>
      </c>
      <c r="D166" s="47" t="s">
        <v>158</v>
      </c>
      <c r="E166" s="47" t="s">
        <v>260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277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18</v>
      </c>
      <c r="C167" s="47" t="s">
        <v>279</v>
      </c>
      <c r="D167" s="47" t="s">
        <v>183</v>
      </c>
      <c r="E167" s="47" t="s">
        <v>260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276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18</v>
      </c>
      <c r="C168" s="47" t="s">
        <v>279</v>
      </c>
      <c r="D168" s="47" t="s">
        <v>184</v>
      </c>
      <c r="E168" s="47" t="s">
        <v>260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276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18</v>
      </c>
      <c r="C169" s="47" t="s">
        <v>279</v>
      </c>
      <c r="D169" s="47" t="s">
        <v>185</v>
      </c>
      <c r="E169" s="47" t="s">
        <v>260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276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18</v>
      </c>
      <c r="C170" s="47" t="s">
        <v>280</v>
      </c>
      <c r="D170" s="47" t="s">
        <v>179</v>
      </c>
      <c r="E170" s="47" t="s">
        <v>260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277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18</v>
      </c>
      <c r="C171" s="47" t="s">
        <v>293</v>
      </c>
      <c r="D171" s="47" t="s">
        <v>294</v>
      </c>
      <c r="E171" s="47" t="s">
        <v>260</v>
      </c>
      <c r="F171" s="47" t="n">
        <v>1</v>
      </c>
      <c r="G171" s="48" t="n">
        <v>50</v>
      </c>
      <c r="H171" s="48" t="n">
        <f aca="false">F171*G171</f>
        <v>50</v>
      </c>
      <c r="I171" s="47" t="s">
        <v>295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18</v>
      </c>
      <c r="C172" s="47" t="s">
        <v>281</v>
      </c>
      <c r="D172" s="47" t="s">
        <v>186</v>
      </c>
      <c r="E172" s="47" t="s">
        <v>260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282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18</v>
      </c>
      <c r="C173" s="47" t="s">
        <v>273</v>
      </c>
      <c r="D173" s="47" t="s">
        <v>220</v>
      </c>
      <c r="E173" s="47" t="s">
        <v>261</v>
      </c>
      <c r="F173" s="47" t="n">
        <v>1</v>
      </c>
      <c r="G173" s="48" t="n">
        <v>27289.57</v>
      </c>
      <c r="H173" s="48" t="n">
        <f aca="false">F173*G173</f>
        <v>27289.57</v>
      </c>
      <c r="I173" s="47" t="s">
        <v>298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18</v>
      </c>
      <c r="C174" s="47" t="s">
        <v>273</v>
      </c>
      <c r="D174" s="47" t="s">
        <v>275</v>
      </c>
      <c r="E174" s="47" t="s">
        <v>261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276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18</v>
      </c>
      <c r="C175" s="47" t="s">
        <v>273</v>
      </c>
      <c r="D175" s="47" t="s">
        <v>180</v>
      </c>
      <c r="E175" s="47" t="s">
        <v>261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277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18</v>
      </c>
      <c r="C176" s="47" t="s">
        <v>273</v>
      </c>
      <c r="D176" s="47" t="s">
        <v>181</v>
      </c>
      <c r="E176" s="47" t="s">
        <v>261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277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18</v>
      </c>
      <c r="C177" s="47" t="s">
        <v>44</v>
      </c>
      <c r="D177" s="47" t="s">
        <v>221</v>
      </c>
      <c r="E177" s="47" t="s">
        <v>261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276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18</v>
      </c>
      <c r="C178" s="47" t="s">
        <v>44</v>
      </c>
      <c r="D178" s="47" t="s">
        <v>182</v>
      </c>
      <c r="E178" s="47" t="s">
        <v>261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277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18</v>
      </c>
      <c r="C179" s="47" t="s">
        <v>278</v>
      </c>
      <c r="D179" s="47" t="s">
        <v>157</v>
      </c>
      <c r="E179" s="47" t="s">
        <v>261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277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18</v>
      </c>
      <c r="C180" s="47" t="s">
        <v>278</v>
      </c>
      <c r="D180" s="47" t="s">
        <v>158</v>
      </c>
      <c r="E180" s="47" t="s">
        <v>261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277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18</v>
      </c>
      <c r="C181" s="47" t="s">
        <v>279</v>
      </c>
      <c r="D181" s="47" t="s">
        <v>183</v>
      </c>
      <c r="E181" s="47" t="s">
        <v>261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276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18</v>
      </c>
      <c r="C182" s="47" t="s">
        <v>279</v>
      </c>
      <c r="D182" s="47" t="s">
        <v>184</v>
      </c>
      <c r="E182" s="47" t="s">
        <v>261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276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18</v>
      </c>
      <c r="C183" s="47" t="s">
        <v>279</v>
      </c>
      <c r="D183" s="47" t="s">
        <v>185</v>
      </c>
      <c r="E183" s="47" t="s">
        <v>261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276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18</v>
      </c>
      <c r="C184" s="47" t="s">
        <v>280</v>
      </c>
      <c r="D184" s="47" t="s">
        <v>179</v>
      </c>
      <c r="E184" s="47" t="s">
        <v>261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277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18</v>
      </c>
      <c r="C185" s="47" t="s">
        <v>293</v>
      </c>
      <c r="D185" s="47" t="s">
        <v>294</v>
      </c>
      <c r="E185" s="47" t="s">
        <v>261</v>
      </c>
      <c r="F185" s="47" t="n">
        <v>2</v>
      </c>
      <c r="G185" s="48" t="n">
        <v>50</v>
      </c>
      <c r="H185" s="48" t="n">
        <f aca="false">F185*G185</f>
        <v>100</v>
      </c>
      <c r="I185" s="47" t="s">
        <v>295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18</v>
      </c>
      <c r="C186" s="47" t="s">
        <v>281</v>
      </c>
      <c r="D186" s="47" t="s">
        <v>186</v>
      </c>
      <c r="E186" s="47" t="s">
        <v>261</v>
      </c>
      <c r="F186" s="47" t="n">
        <v>1</v>
      </c>
      <c r="G186" s="48" t="n">
        <v>5768.81</v>
      </c>
      <c r="H186" s="48" t="n">
        <f aca="false">F186*G186</f>
        <v>5768.81</v>
      </c>
      <c r="I186" s="47" t="s">
        <v>282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17</v>
      </c>
      <c r="C187" s="47" t="s">
        <v>273</v>
      </c>
      <c r="D187" s="47" t="s">
        <v>220</v>
      </c>
      <c r="E187" s="47" t="s">
        <v>261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286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17</v>
      </c>
      <c r="C188" s="47" t="s">
        <v>273</v>
      </c>
      <c r="D188" s="47" t="s">
        <v>296</v>
      </c>
      <c r="E188" s="47" t="s">
        <v>261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297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17</v>
      </c>
      <c r="C189" s="47" t="s">
        <v>273</v>
      </c>
      <c r="D189" s="47" t="s">
        <v>180</v>
      </c>
      <c r="E189" s="47" t="s">
        <v>261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277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17</v>
      </c>
      <c r="C190" s="47" t="s">
        <v>273</v>
      </c>
      <c r="D190" s="47" t="s">
        <v>181</v>
      </c>
      <c r="E190" s="47" t="s">
        <v>261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277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17</v>
      </c>
      <c r="C191" s="47" t="s">
        <v>44</v>
      </c>
      <c r="D191" s="47" t="s">
        <v>182</v>
      </c>
      <c r="E191" s="47" t="s">
        <v>261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277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17</v>
      </c>
      <c r="C192" s="47" t="s">
        <v>278</v>
      </c>
      <c r="D192" s="47" t="s">
        <v>157</v>
      </c>
      <c r="E192" s="47" t="s">
        <v>261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277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17</v>
      </c>
      <c r="C193" s="47" t="s">
        <v>278</v>
      </c>
      <c r="D193" s="47" t="s">
        <v>158</v>
      </c>
      <c r="E193" s="47" t="s">
        <v>261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277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17</v>
      </c>
      <c r="C194" s="47" t="s">
        <v>279</v>
      </c>
      <c r="D194" s="47" t="s">
        <v>299</v>
      </c>
      <c r="E194" s="47" t="s">
        <v>261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276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17</v>
      </c>
      <c r="C195" s="47" t="s">
        <v>280</v>
      </c>
      <c r="D195" s="47" t="s">
        <v>179</v>
      </c>
      <c r="E195" s="47" t="s">
        <v>261</v>
      </c>
      <c r="F195" s="47" t="n">
        <v>2</v>
      </c>
      <c r="G195" s="48" t="n">
        <v>30</v>
      </c>
      <c r="H195" s="48" t="n">
        <f aca="false">F195*G195</f>
        <v>60</v>
      </c>
      <c r="I195" s="47" t="s">
        <v>277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17</v>
      </c>
      <c r="C196" s="47" t="s">
        <v>293</v>
      </c>
      <c r="D196" s="47" t="s">
        <v>300</v>
      </c>
      <c r="E196" s="47" t="s">
        <v>261</v>
      </c>
      <c r="F196" s="47" t="n">
        <v>1</v>
      </c>
      <c r="G196" s="48" t="n">
        <v>50</v>
      </c>
      <c r="H196" s="48" t="n">
        <f aca="false">F196*G196</f>
        <v>50</v>
      </c>
      <c r="I196" s="47" t="s">
        <v>295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17</v>
      </c>
      <c r="C197" s="47" t="s">
        <v>281</v>
      </c>
      <c r="D197" s="47" t="s">
        <v>186</v>
      </c>
      <c r="E197" s="47" t="s">
        <v>261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282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18</v>
      </c>
      <c r="C198" s="47" t="s">
        <v>273</v>
      </c>
      <c r="D198" s="47" t="s">
        <v>220</v>
      </c>
      <c r="E198" s="47" t="s">
        <v>263</v>
      </c>
      <c r="F198" s="47" t="n">
        <v>1</v>
      </c>
      <c r="G198" s="48" t="n">
        <v>70670.18</v>
      </c>
      <c r="H198" s="48" t="n">
        <f aca="false">F198*G198</f>
        <v>70670.18</v>
      </c>
      <c r="I198" s="47" t="s">
        <v>287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18</v>
      </c>
      <c r="C199" s="47" t="s">
        <v>273</v>
      </c>
      <c r="D199" s="47" t="s">
        <v>296</v>
      </c>
      <c r="E199" s="47" t="s">
        <v>263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297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18</v>
      </c>
      <c r="C200" s="47" t="s">
        <v>273</v>
      </c>
      <c r="D200" s="47" t="s">
        <v>275</v>
      </c>
      <c r="E200" s="47" t="s">
        <v>263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276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18</v>
      </c>
      <c r="C201" s="47" t="s">
        <v>273</v>
      </c>
      <c r="D201" s="47" t="s">
        <v>180</v>
      </c>
      <c r="E201" s="47" t="s">
        <v>263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277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18</v>
      </c>
      <c r="C202" s="47" t="s">
        <v>273</v>
      </c>
      <c r="D202" s="47" t="s">
        <v>181</v>
      </c>
      <c r="E202" s="47" t="s">
        <v>263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277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18</v>
      </c>
      <c r="C203" s="47" t="s">
        <v>44</v>
      </c>
      <c r="D203" s="47" t="s">
        <v>221</v>
      </c>
      <c r="E203" s="47" t="s">
        <v>263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276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18</v>
      </c>
      <c r="C204" s="47" t="s">
        <v>44</v>
      </c>
      <c r="D204" s="47" t="s">
        <v>182</v>
      </c>
      <c r="E204" s="47" t="s">
        <v>263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277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18</v>
      </c>
      <c r="C205" s="47" t="s">
        <v>278</v>
      </c>
      <c r="D205" s="47" t="s">
        <v>157</v>
      </c>
      <c r="E205" s="47" t="s">
        <v>263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277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18</v>
      </c>
      <c r="C206" s="47" t="s">
        <v>278</v>
      </c>
      <c r="D206" s="47" t="s">
        <v>158</v>
      </c>
      <c r="E206" s="47" t="s">
        <v>263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277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18</v>
      </c>
      <c r="C207" s="47" t="s">
        <v>279</v>
      </c>
      <c r="D207" s="47" t="s">
        <v>183</v>
      </c>
      <c r="E207" s="47" t="s">
        <v>263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276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18</v>
      </c>
      <c r="C208" s="47" t="s">
        <v>279</v>
      </c>
      <c r="D208" s="47" t="s">
        <v>184</v>
      </c>
      <c r="E208" s="47" t="s">
        <v>263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276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18</v>
      </c>
      <c r="C209" s="47" t="s">
        <v>279</v>
      </c>
      <c r="D209" s="47" t="s">
        <v>185</v>
      </c>
      <c r="E209" s="47" t="s">
        <v>263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276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18</v>
      </c>
      <c r="C210" s="47" t="s">
        <v>280</v>
      </c>
      <c r="D210" s="47" t="s">
        <v>179</v>
      </c>
      <c r="E210" s="47" t="s">
        <v>263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277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18</v>
      </c>
      <c r="C211" s="47" t="s">
        <v>293</v>
      </c>
      <c r="D211" s="47" t="s">
        <v>294</v>
      </c>
      <c r="E211" s="47" t="s">
        <v>263</v>
      </c>
      <c r="F211" s="47" t="n">
        <v>3</v>
      </c>
      <c r="G211" s="48" t="n">
        <v>50</v>
      </c>
      <c r="H211" s="48" t="n">
        <f aca="false">F211*G211</f>
        <v>150</v>
      </c>
      <c r="I211" s="47" t="s">
        <v>295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18</v>
      </c>
      <c r="C212" s="47" t="s">
        <v>281</v>
      </c>
      <c r="D212" s="47" t="s">
        <v>186</v>
      </c>
      <c r="E212" s="47" t="s">
        <v>263</v>
      </c>
      <c r="F212" s="47" t="n">
        <v>1</v>
      </c>
      <c r="G212" s="48" t="n">
        <v>5735.34</v>
      </c>
      <c r="H212" s="48" t="n">
        <f aca="false">F212*G212</f>
        <v>5735.34</v>
      </c>
      <c r="I212" s="47" t="s">
        <v>282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13</v>
      </c>
      <c r="C213" s="47" t="s">
        <v>273</v>
      </c>
      <c r="D213" s="47" t="s">
        <v>220</v>
      </c>
      <c r="E213" s="47" t="s">
        <v>263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286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13</v>
      </c>
      <c r="C214" s="47" t="s">
        <v>273</v>
      </c>
      <c r="D214" s="47" t="s">
        <v>296</v>
      </c>
      <c r="E214" s="47" t="s">
        <v>263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297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13</v>
      </c>
      <c r="C215" s="47" t="s">
        <v>273</v>
      </c>
      <c r="D215" s="47" t="s">
        <v>180</v>
      </c>
      <c r="E215" s="47" t="s">
        <v>263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277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13</v>
      </c>
      <c r="C216" s="47" t="s">
        <v>273</v>
      </c>
      <c r="D216" s="47" t="s">
        <v>181</v>
      </c>
      <c r="E216" s="47" t="s">
        <v>263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277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13</v>
      </c>
      <c r="C217" s="47" t="s">
        <v>44</v>
      </c>
      <c r="D217" s="47" t="s">
        <v>182</v>
      </c>
      <c r="E217" s="47" t="s">
        <v>263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277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13</v>
      </c>
      <c r="C218" s="47" t="s">
        <v>278</v>
      </c>
      <c r="D218" s="47" t="s">
        <v>157</v>
      </c>
      <c r="E218" s="47" t="s">
        <v>263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277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13</v>
      </c>
      <c r="C219" s="47" t="s">
        <v>278</v>
      </c>
      <c r="D219" s="47" t="s">
        <v>158</v>
      </c>
      <c r="E219" s="47" t="s">
        <v>263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277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13</v>
      </c>
      <c r="C220" s="47" t="s">
        <v>280</v>
      </c>
      <c r="D220" s="47" t="s">
        <v>179</v>
      </c>
      <c r="E220" s="47" t="s">
        <v>263</v>
      </c>
      <c r="F220" s="47" t="n">
        <v>2</v>
      </c>
      <c r="G220" s="48" t="n">
        <v>30</v>
      </c>
      <c r="H220" s="48" t="n">
        <f aca="false">F220*G220</f>
        <v>60</v>
      </c>
      <c r="I220" s="47" t="s">
        <v>277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13</v>
      </c>
      <c r="C221" s="47" t="s">
        <v>281</v>
      </c>
      <c r="D221" s="47" t="s">
        <v>186</v>
      </c>
      <c r="E221" s="47" t="s">
        <v>263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282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16</v>
      </c>
      <c r="C222" s="47" t="s">
        <v>273</v>
      </c>
      <c r="D222" s="47" t="s">
        <v>220</v>
      </c>
      <c r="E222" s="47" t="s">
        <v>263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288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16</v>
      </c>
      <c r="C223" s="47" t="s">
        <v>273</v>
      </c>
      <c r="D223" s="47" t="s">
        <v>180</v>
      </c>
      <c r="E223" s="47" t="s">
        <v>263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277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16</v>
      </c>
      <c r="C224" s="47" t="s">
        <v>273</v>
      </c>
      <c r="D224" s="47" t="s">
        <v>181</v>
      </c>
      <c r="E224" s="47" t="s">
        <v>263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277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16</v>
      </c>
      <c r="C225" s="47" t="s">
        <v>44</v>
      </c>
      <c r="D225" s="47" t="s">
        <v>182</v>
      </c>
      <c r="E225" s="47" t="s">
        <v>263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277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16</v>
      </c>
      <c r="C226" s="47" t="s">
        <v>278</v>
      </c>
      <c r="D226" s="47" t="s">
        <v>157</v>
      </c>
      <c r="E226" s="47" t="s">
        <v>263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277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16</v>
      </c>
      <c r="C227" s="47" t="s">
        <v>278</v>
      </c>
      <c r="D227" s="47" t="s">
        <v>158</v>
      </c>
      <c r="E227" s="47" t="s">
        <v>263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277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16</v>
      </c>
      <c r="C228" s="47" t="s">
        <v>280</v>
      </c>
      <c r="D228" s="47" t="s">
        <v>179</v>
      </c>
      <c r="E228" s="47" t="s">
        <v>263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277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16</v>
      </c>
      <c r="C229" s="47" t="s">
        <v>281</v>
      </c>
      <c r="D229" s="47" t="s">
        <v>186</v>
      </c>
      <c r="E229" s="47" t="s">
        <v>263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282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10</v>
      </c>
      <c r="C230" s="47" t="s">
        <v>273</v>
      </c>
      <c r="D230" s="47" t="s">
        <v>220</v>
      </c>
      <c r="E230" s="47" t="s">
        <v>264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289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10</v>
      </c>
      <c r="C231" s="47" t="s">
        <v>273</v>
      </c>
      <c r="D231" s="47" t="s">
        <v>180</v>
      </c>
      <c r="E231" s="47" t="s">
        <v>264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277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10</v>
      </c>
      <c r="C232" s="47" t="s">
        <v>273</v>
      </c>
      <c r="D232" s="47" t="s">
        <v>181</v>
      </c>
      <c r="E232" s="47" t="s">
        <v>264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277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10</v>
      </c>
      <c r="C233" s="47" t="s">
        <v>44</v>
      </c>
      <c r="D233" s="47" t="s">
        <v>182</v>
      </c>
      <c r="E233" s="47" t="s">
        <v>264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277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10</v>
      </c>
      <c r="C234" s="47" t="s">
        <v>278</v>
      </c>
      <c r="D234" s="47" t="s">
        <v>157</v>
      </c>
      <c r="E234" s="47" t="s">
        <v>264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277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10</v>
      </c>
      <c r="C235" s="47" t="s">
        <v>278</v>
      </c>
      <c r="D235" s="47" t="s">
        <v>158</v>
      </c>
      <c r="E235" s="47" t="s">
        <v>264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277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10</v>
      </c>
      <c r="C236" s="47" t="s">
        <v>279</v>
      </c>
      <c r="D236" s="47" t="s">
        <v>183</v>
      </c>
      <c r="E236" s="47" t="s">
        <v>264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276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10</v>
      </c>
      <c r="C237" s="47" t="s">
        <v>279</v>
      </c>
      <c r="D237" s="47" t="s">
        <v>185</v>
      </c>
      <c r="E237" s="47" t="s">
        <v>264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276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10</v>
      </c>
      <c r="C238" s="47" t="s">
        <v>280</v>
      </c>
      <c r="D238" s="47" t="s">
        <v>179</v>
      </c>
      <c r="E238" s="47" t="s">
        <v>264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277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15</v>
      </c>
      <c r="C239" s="47" t="s">
        <v>273</v>
      </c>
      <c r="D239" s="47" t="s">
        <v>220</v>
      </c>
      <c r="E239" s="47" t="s">
        <v>264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290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15</v>
      </c>
      <c r="C240" s="47" t="s">
        <v>273</v>
      </c>
      <c r="D240" s="47" t="s">
        <v>296</v>
      </c>
      <c r="E240" s="47" t="s">
        <v>264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297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15</v>
      </c>
      <c r="C241" s="47" t="s">
        <v>273</v>
      </c>
      <c r="D241" s="47" t="s">
        <v>275</v>
      </c>
      <c r="E241" s="47" t="s">
        <v>264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276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15</v>
      </c>
      <c r="C242" s="47" t="s">
        <v>273</v>
      </c>
      <c r="D242" s="47" t="s">
        <v>180</v>
      </c>
      <c r="E242" s="47" t="s">
        <v>264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277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15</v>
      </c>
      <c r="C243" s="47" t="s">
        <v>273</v>
      </c>
      <c r="D243" s="47" t="s">
        <v>181</v>
      </c>
      <c r="E243" s="47" t="s">
        <v>264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277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15</v>
      </c>
      <c r="C244" s="47" t="s">
        <v>44</v>
      </c>
      <c r="D244" s="47" t="s">
        <v>182</v>
      </c>
      <c r="E244" s="47" t="s">
        <v>264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277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15</v>
      </c>
      <c r="C245" s="47" t="s">
        <v>278</v>
      </c>
      <c r="D245" s="47" t="s">
        <v>157</v>
      </c>
      <c r="E245" s="47" t="s">
        <v>264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277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15</v>
      </c>
      <c r="C246" s="47" t="s">
        <v>278</v>
      </c>
      <c r="D246" s="47" t="s">
        <v>158</v>
      </c>
      <c r="E246" s="47" t="s">
        <v>264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277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15</v>
      </c>
      <c r="C247" s="47" t="s">
        <v>279</v>
      </c>
      <c r="D247" s="47" t="s">
        <v>299</v>
      </c>
      <c r="E247" s="47" t="s">
        <v>264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276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15</v>
      </c>
      <c r="C248" s="47" t="s">
        <v>280</v>
      </c>
      <c r="D248" s="47" t="s">
        <v>179</v>
      </c>
      <c r="E248" s="47" t="s">
        <v>264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277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15</v>
      </c>
      <c r="C249" s="47" t="s">
        <v>293</v>
      </c>
      <c r="D249" s="47" t="s">
        <v>301</v>
      </c>
      <c r="E249" s="47" t="s">
        <v>264</v>
      </c>
      <c r="F249" s="47" t="n">
        <v>2</v>
      </c>
      <c r="G249" s="48" t="n">
        <v>50</v>
      </c>
      <c r="H249" s="48" t="n">
        <f aca="false">F249*G249</f>
        <v>100</v>
      </c>
      <c r="I249" s="47" t="s">
        <v>295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15</v>
      </c>
      <c r="C250" s="47" t="s">
        <v>281</v>
      </c>
      <c r="D250" s="47" t="s">
        <v>186</v>
      </c>
      <c r="E250" s="47" t="s">
        <v>264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282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14</v>
      </c>
      <c r="C251" s="47" t="s">
        <v>273</v>
      </c>
      <c r="D251" s="47" t="s">
        <v>220</v>
      </c>
      <c r="E251" s="47" t="s">
        <v>267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291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14</v>
      </c>
      <c r="C252" s="47" t="s">
        <v>273</v>
      </c>
      <c r="D252" s="47" t="s">
        <v>180</v>
      </c>
      <c r="E252" s="47" t="s">
        <v>267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277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14</v>
      </c>
      <c r="C253" s="47" t="s">
        <v>273</v>
      </c>
      <c r="D253" s="47" t="s">
        <v>181</v>
      </c>
      <c r="E253" s="47" t="s">
        <v>267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277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14</v>
      </c>
      <c r="C254" s="47" t="s">
        <v>44</v>
      </c>
      <c r="D254" s="47" t="s">
        <v>182</v>
      </c>
      <c r="E254" s="47" t="s">
        <v>267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277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14</v>
      </c>
      <c r="C255" s="47" t="s">
        <v>278</v>
      </c>
      <c r="D255" s="47" t="s">
        <v>157</v>
      </c>
      <c r="E255" s="47" t="s">
        <v>267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277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14</v>
      </c>
      <c r="C256" s="47" t="s">
        <v>278</v>
      </c>
      <c r="D256" s="47" t="s">
        <v>158</v>
      </c>
      <c r="E256" s="47" t="s">
        <v>267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277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14</v>
      </c>
      <c r="C257" s="47" t="s">
        <v>280</v>
      </c>
      <c r="D257" s="47" t="s">
        <v>179</v>
      </c>
      <c r="E257" s="47" t="s">
        <v>267</v>
      </c>
      <c r="F257" s="47" t="n">
        <v>1</v>
      </c>
      <c r="G257" s="48" t="n">
        <v>30</v>
      </c>
      <c r="H257" s="48" t="n">
        <f aca="false">F257*G257</f>
        <v>30</v>
      </c>
      <c r="I257" s="47" t="s">
        <v>277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18</v>
      </c>
      <c r="C258" s="47" t="s">
        <v>273</v>
      </c>
      <c r="D258" s="47" t="s">
        <v>220</v>
      </c>
      <c r="E258" s="47" t="s">
        <v>256</v>
      </c>
      <c r="F258" s="47" t="n">
        <v>1</v>
      </c>
      <c r="G258" s="48" t="n">
        <v>122698.02</v>
      </c>
      <c r="H258" s="48" t="n">
        <f aca="false">G258*F258</f>
        <v>122698.02</v>
      </c>
      <c r="I258" s="47" t="s">
        <v>302</v>
      </c>
    </row>
    <row r="259" customFormat="false" ht="14.25" hidden="false" customHeight="true" outlineLevel="0" collapsed="false">
      <c r="A259" s="47" t="s">
        <v>21</v>
      </c>
      <c r="B259" s="47" t="s">
        <v>18</v>
      </c>
      <c r="C259" s="47" t="s">
        <v>273</v>
      </c>
      <c r="D259" s="47" t="s">
        <v>275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303</v>
      </c>
    </row>
    <row r="260" customFormat="false" ht="14.25" hidden="false" customHeight="true" outlineLevel="0" collapsed="false">
      <c r="A260" s="47" t="s">
        <v>21</v>
      </c>
      <c r="B260" s="47" t="s">
        <v>18</v>
      </c>
      <c r="C260" s="47" t="s">
        <v>273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304</v>
      </c>
    </row>
    <row r="261" customFormat="false" ht="14.25" hidden="false" customHeight="true" outlineLevel="0" collapsed="false">
      <c r="A261" s="47" t="s">
        <v>21</v>
      </c>
      <c r="B261" s="47" t="s">
        <v>18</v>
      </c>
      <c r="C261" s="47" t="s">
        <v>273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304</v>
      </c>
    </row>
    <row r="262" customFormat="false" ht="14.25" hidden="false" customHeight="true" outlineLevel="0" collapsed="false">
      <c r="A262" s="47" t="s">
        <v>21</v>
      </c>
      <c r="B262" s="47" t="s">
        <v>18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304</v>
      </c>
    </row>
    <row r="263" customFormat="false" ht="14.25" hidden="false" customHeight="true" outlineLevel="0" collapsed="false">
      <c r="A263" s="47" t="s">
        <v>21</v>
      </c>
      <c r="B263" s="47" t="s">
        <v>18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303</v>
      </c>
    </row>
    <row r="264" customFormat="false" ht="14.25" hidden="false" customHeight="true" outlineLevel="0" collapsed="false">
      <c r="A264" s="47" t="s">
        <v>21</v>
      </c>
      <c r="B264" s="47" t="s">
        <v>18</v>
      </c>
      <c r="C264" s="47" t="s">
        <v>279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303</v>
      </c>
    </row>
    <row r="265" customFormat="false" ht="14.25" hidden="false" customHeight="true" outlineLevel="0" collapsed="false">
      <c r="A265" s="47" t="s">
        <v>21</v>
      </c>
      <c r="B265" s="47" t="s">
        <v>18</v>
      </c>
      <c r="C265" s="47" t="s">
        <v>279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303</v>
      </c>
    </row>
    <row r="266" customFormat="false" ht="14.25" hidden="false" customHeight="true" outlineLevel="0" collapsed="false">
      <c r="A266" s="47" t="s">
        <v>21</v>
      </c>
      <c r="B266" s="47" t="s">
        <v>18</v>
      </c>
      <c r="C266" s="47" t="s">
        <v>280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304</v>
      </c>
    </row>
    <row r="267" customFormat="false" ht="15" hidden="false" customHeight="true" outlineLevel="0" collapsed="false">
      <c r="A267" s="47" t="s">
        <v>21</v>
      </c>
      <c r="B267" s="47" t="s">
        <v>18</v>
      </c>
      <c r="C267" s="47" t="s">
        <v>278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304</v>
      </c>
    </row>
    <row r="268" customFormat="false" ht="14.25" hidden="false" customHeight="true" outlineLevel="0" collapsed="false">
      <c r="A268" s="47" t="s">
        <v>21</v>
      </c>
      <c r="B268" s="47" t="s">
        <v>18</v>
      </c>
      <c r="C268" s="47" t="s">
        <v>278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304</v>
      </c>
    </row>
    <row r="269" customFormat="false" ht="14.25" hidden="false" customHeight="true" outlineLevel="0" collapsed="false">
      <c r="A269" s="47" t="s">
        <v>21</v>
      </c>
      <c r="B269" s="47" t="s">
        <v>18</v>
      </c>
      <c r="C269" s="47" t="s">
        <v>281</v>
      </c>
      <c r="D269" s="47" t="s">
        <v>186</v>
      </c>
      <c r="E269" s="47" t="s">
        <v>256</v>
      </c>
      <c r="F269" s="47" t="n">
        <v>1</v>
      </c>
      <c r="G269" s="48" t="n">
        <v>8372.7</v>
      </c>
      <c r="H269" s="48" t="n">
        <f aca="false">G269*F269</f>
        <v>8372.7</v>
      </c>
      <c r="I269" s="47" t="s">
        <v>282</v>
      </c>
    </row>
    <row r="270" customFormat="false" ht="14.25" hidden="false" customHeight="true" outlineLevel="0" collapsed="false">
      <c r="A270" s="47" t="s">
        <v>21</v>
      </c>
      <c r="B270" s="47" t="s">
        <v>18</v>
      </c>
      <c r="C270" s="47" t="s">
        <v>273</v>
      </c>
      <c r="D270" s="47" t="s">
        <v>296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305</v>
      </c>
    </row>
    <row r="271" customFormat="false" ht="14.25" hidden="false" customHeight="true" outlineLevel="0" collapsed="false">
      <c r="A271" s="47" t="s">
        <v>21</v>
      </c>
      <c r="B271" s="47" t="s">
        <v>18</v>
      </c>
      <c r="C271" s="47" t="s">
        <v>273</v>
      </c>
      <c r="D271" s="47" t="s">
        <v>220</v>
      </c>
      <c r="E271" s="47" t="s">
        <v>258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306</v>
      </c>
    </row>
    <row r="272" customFormat="false" ht="14.25" hidden="false" customHeight="true" outlineLevel="0" collapsed="false">
      <c r="A272" s="47" t="s">
        <v>21</v>
      </c>
      <c r="B272" s="47" t="s">
        <v>18</v>
      </c>
      <c r="C272" s="47" t="s">
        <v>273</v>
      </c>
      <c r="D272" s="47" t="s">
        <v>275</v>
      </c>
      <c r="E272" s="47" t="s">
        <v>258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303</v>
      </c>
    </row>
    <row r="273" customFormat="false" ht="14.25" hidden="false" customHeight="true" outlineLevel="0" collapsed="false">
      <c r="A273" s="47" t="s">
        <v>21</v>
      </c>
      <c r="B273" s="47" t="s">
        <v>18</v>
      </c>
      <c r="C273" s="47" t="s">
        <v>273</v>
      </c>
      <c r="D273" s="47" t="s">
        <v>180</v>
      </c>
      <c r="E273" s="47" t="s">
        <v>258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304</v>
      </c>
    </row>
    <row r="274" customFormat="false" ht="14.25" hidden="false" customHeight="true" outlineLevel="0" collapsed="false">
      <c r="A274" s="47" t="s">
        <v>21</v>
      </c>
      <c r="B274" s="47" t="s">
        <v>18</v>
      </c>
      <c r="C274" s="47" t="s">
        <v>273</v>
      </c>
      <c r="D274" s="47" t="s">
        <v>181</v>
      </c>
      <c r="E274" s="47" t="s">
        <v>258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304</v>
      </c>
    </row>
    <row r="275" customFormat="false" ht="14.25" hidden="false" customHeight="true" outlineLevel="0" collapsed="false">
      <c r="A275" s="47" t="s">
        <v>21</v>
      </c>
      <c r="B275" s="47" t="s">
        <v>18</v>
      </c>
      <c r="C275" s="47" t="s">
        <v>44</v>
      </c>
      <c r="D275" s="47" t="s">
        <v>182</v>
      </c>
      <c r="E275" s="47" t="s">
        <v>258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304</v>
      </c>
    </row>
    <row r="276" customFormat="false" ht="14.25" hidden="false" customHeight="true" outlineLevel="0" collapsed="false">
      <c r="A276" s="47" t="s">
        <v>21</v>
      </c>
      <c r="B276" s="47" t="s">
        <v>18</v>
      </c>
      <c r="C276" s="47" t="s">
        <v>44</v>
      </c>
      <c r="D276" s="47" t="s">
        <v>221</v>
      </c>
      <c r="E276" s="47" t="s">
        <v>258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303</v>
      </c>
    </row>
    <row r="277" customFormat="false" ht="14.25" hidden="false" customHeight="true" outlineLevel="0" collapsed="false">
      <c r="A277" s="47" t="s">
        <v>21</v>
      </c>
      <c r="B277" s="47" t="s">
        <v>18</v>
      </c>
      <c r="C277" s="47" t="s">
        <v>279</v>
      </c>
      <c r="D277" s="47" t="s">
        <v>183</v>
      </c>
      <c r="E277" s="47" t="s">
        <v>258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303</v>
      </c>
    </row>
    <row r="278" customFormat="false" ht="15" hidden="false" customHeight="true" outlineLevel="0" collapsed="false">
      <c r="A278" s="47" t="s">
        <v>21</v>
      </c>
      <c r="B278" s="47" t="s">
        <v>18</v>
      </c>
      <c r="C278" s="47" t="s">
        <v>279</v>
      </c>
      <c r="D278" s="47" t="s">
        <v>185</v>
      </c>
      <c r="E278" s="47" t="s">
        <v>258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303</v>
      </c>
    </row>
    <row r="279" customFormat="false" ht="14.25" hidden="false" customHeight="true" outlineLevel="0" collapsed="false">
      <c r="A279" s="47" t="s">
        <v>21</v>
      </c>
      <c r="B279" s="47" t="s">
        <v>18</v>
      </c>
      <c r="C279" s="47" t="s">
        <v>280</v>
      </c>
      <c r="D279" s="47" t="s">
        <v>179</v>
      </c>
      <c r="E279" s="47" t="s">
        <v>258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304</v>
      </c>
    </row>
    <row r="280" customFormat="false" ht="14.25" hidden="false" customHeight="true" outlineLevel="0" collapsed="false">
      <c r="A280" s="47" t="s">
        <v>21</v>
      </c>
      <c r="B280" s="47" t="s">
        <v>18</v>
      </c>
      <c r="C280" s="47" t="s">
        <v>278</v>
      </c>
      <c r="D280" s="47" t="s">
        <v>157</v>
      </c>
      <c r="E280" s="47" t="s">
        <v>258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304</v>
      </c>
    </row>
    <row r="281" customFormat="false" ht="14.25" hidden="false" customHeight="true" outlineLevel="0" collapsed="false">
      <c r="A281" s="47" t="s">
        <v>21</v>
      </c>
      <c r="B281" s="47" t="s">
        <v>18</v>
      </c>
      <c r="C281" s="47" t="s">
        <v>278</v>
      </c>
      <c r="D281" s="47" t="s">
        <v>158</v>
      </c>
      <c r="E281" s="47" t="s">
        <v>258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304</v>
      </c>
    </row>
    <row r="282" customFormat="false" ht="14.25" hidden="false" customHeight="true" outlineLevel="0" collapsed="false">
      <c r="A282" s="47" t="s">
        <v>21</v>
      </c>
      <c r="B282" s="47" t="s">
        <v>18</v>
      </c>
      <c r="C282" s="47" t="s">
        <v>273</v>
      </c>
      <c r="D282" s="47" t="s">
        <v>220</v>
      </c>
      <c r="E282" s="47" t="s">
        <v>260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307</v>
      </c>
    </row>
    <row r="283" customFormat="false" ht="14.25" hidden="false" customHeight="true" outlineLevel="0" collapsed="false">
      <c r="A283" s="47" t="s">
        <v>21</v>
      </c>
      <c r="B283" s="47" t="s">
        <v>18</v>
      </c>
      <c r="C283" s="47" t="s">
        <v>273</v>
      </c>
      <c r="D283" s="47" t="s">
        <v>275</v>
      </c>
      <c r="E283" s="47" t="s">
        <v>260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303</v>
      </c>
    </row>
    <row r="284" customFormat="false" ht="14.25" hidden="false" customHeight="true" outlineLevel="0" collapsed="false">
      <c r="A284" s="47" t="s">
        <v>21</v>
      </c>
      <c r="B284" s="47" t="s">
        <v>18</v>
      </c>
      <c r="C284" s="47" t="s">
        <v>273</v>
      </c>
      <c r="D284" s="47" t="s">
        <v>180</v>
      </c>
      <c r="E284" s="47" t="s">
        <v>260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304</v>
      </c>
    </row>
    <row r="285" customFormat="false" ht="14.25" hidden="false" customHeight="true" outlineLevel="0" collapsed="false">
      <c r="A285" s="47" t="s">
        <v>21</v>
      </c>
      <c r="B285" s="47" t="s">
        <v>18</v>
      </c>
      <c r="C285" s="47" t="s">
        <v>273</v>
      </c>
      <c r="D285" s="47" t="s">
        <v>181</v>
      </c>
      <c r="E285" s="47" t="s">
        <v>260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304</v>
      </c>
    </row>
    <row r="286" customFormat="false" ht="14.25" hidden="false" customHeight="true" outlineLevel="0" collapsed="false">
      <c r="A286" s="47" t="s">
        <v>21</v>
      </c>
      <c r="B286" s="47" t="s">
        <v>18</v>
      </c>
      <c r="C286" s="47" t="s">
        <v>44</v>
      </c>
      <c r="D286" s="47" t="s">
        <v>182</v>
      </c>
      <c r="E286" s="47" t="s">
        <v>260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304</v>
      </c>
    </row>
    <row r="287" customFormat="false" ht="14.25" hidden="false" customHeight="true" outlineLevel="0" collapsed="false">
      <c r="A287" s="47" t="s">
        <v>21</v>
      </c>
      <c r="B287" s="47" t="s">
        <v>18</v>
      </c>
      <c r="C287" s="47" t="s">
        <v>44</v>
      </c>
      <c r="D287" s="47" t="s">
        <v>221</v>
      </c>
      <c r="E287" s="47" t="s">
        <v>260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303</v>
      </c>
    </row>
    <row r="288" customFormat="false" ht="14.25" hidden="false" customHeight="true" outlineLevel="0" collapsed="false">
      <c r="A288" s="47" t="s">
        <v>21</v>
      </c>
      <c r="B288" s="47" t="s">
        <v>18</v>
      </c>
      <c r="C288" s="47" t="s">
        <v>279</v>
      </c>
      <c r="D288" s="47" t="s">
        <v>183</v>
      </c>
      <c r="E288" s="47" t="s">
        <v>260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303</v>
      </c>
    </row>
    <row r="289" customFormat="false" ht="14.25" hidden="false" customHeight="true" outlineLevel="0" collapsed="false">
      <c r="A289" s="47" t="s">
        <v>21</v>
      </c>
      <c r="B289" s="47" t="s">
        <v>18</v>
      </c>
      <c r="C289" s="47" t="s">
        <v>279</v>
      </c>
      <c r="D289" s="47" t="s">
        <v>185</v>
      </c>
      <c r="E289" s="47" t="s">
        <v>260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303</v>
      </c>
    </row>
    <row r="290" customFormat="false" ht="14.25" hidden="false" customHeight="true" outlineLevel="0" collapsed="false">
      <c r="A290" s="47" t="s">
        <v>21</v>
      </c>
      <c r="B290" s="47" t="s">
        <v>18</v>
      </c>
      <c r="C290" s="47" t="s">
        <v>280</v>
      </c>
      <c r="D290" s="47" t="s">
        <v>179</v>
      </c>
      <c r="E290" s="47" t="s">
        <v>260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304</v>
      </c>
    </row>
    <row r="291" customFormat="false" ht="14.25" hidden="false" customHeight="true" outlineLevel="0" collapsed="false">
      <c r="A291" s="47" t="s">
        <v>21</v>
      </c>
      <c r="B291" s="47" t="s">
        <v>18</v>
      </c>
      <c r="C291" s="47" t="s">
        <v>278</v>
      </c>
      <c r="D291" s="47" t="s">
        <v>157</v>
      </c>
      <c r="E291" s="47" t="s">
        <v>260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304</v>
      </c>
    </row>
    <row r="292" customFormat="false" ht="14.25" hidden="false" customHeight="true" outlineLevel="0" collapsed="false">
      <c r="A292" s="47" t="s">
        <v>21</v>
      </c>
      <c r="B292" s="47" t="s">
        <v>18</v>
      </c>
      <c r="C292" s="47" t="s">
        <v>278</v>
      </c>
      <c r="D292" s="47" t="s">
        <v>158</v>
      </c>
      <c r="E292" s="47" t="s">
        <v>260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304</v>
      </c>
    </row>
    <row r="293" customFormat="false" ht="14.25" hidden="false" customHeight="true" outlineLevel="0" collapsed="false">
      <c r="A293" s="47" t="s">
        <v>21</v>
      </c>
      <c r="B293" s="47" t="s">
        <v>18</v>
      </c>
      <c r="C293" s="47" t="s">
        <v>281</v>
      </c>
      <c r="D293" s="47" t="s">
        <v>186</v>
      </c>
      <c r="E293" s="47" t="s">
        <v>260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282</v>
      </c>
    </row>
    <row r="294" customFormat="false" ht="14.25" hidden="false" customHeight="true" outlineLevel="0" collapsed="false">
      <c r="A294" s="47" t="s">
        <v>21</v>
      </c>
      <c r="B294" s="47" t="s">
        <v>18</v>
      </c>
      <c r="C294" s="47" t="s">
        <v>273</v>
      </c>
      <c r="D294" s="47" t="s">
        <v>220</v>
      </c>
      <c r="E294" s="47" t="s">
        <v>261</v>
      </c>
      <c r="F294" s="47" t="n">
        <v>1</v>
      </c>
      <c r="G294" s="48" t="n">
        <v>23808.76</v>
      </c>
      <c r="H294" s="48" t="n">
        <f aca="false">G294*F294</f>
        <v>23808.76</v>
      </c>
      <c r="I294" s="47" t="s">
        <v>308</v>
      </c>
    </row>
    <row r="295" customFormat="false" ht="15" hidden="false" customHeight="true" outlineLevel="0" collapsed="false">
      <c r="A295" s="47" t="s">
        <v>21</v>
      </c>
      <c r="B295" s="47" t="s">
        <v>18</v>
      </c>
      <c r="C295" s="47" t="s">
        <v>273</v>
      </c>
      <c r="D295" s="47" t="s">
        <v>275</v>
      </c>
      <c r="E295" s="47" t="s">
        <v>261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303</v>
      </c>
    </row>
    <row r="296" customFormat="false" ht="14.25" hidden="false" customHeight="true" outlineLevel="0" collapsed="false">
      <c r="A296" s="47" t="s">
        <v>21</v>
      </c>
      <c r="B296" s="47" t="s">
        <v>18</v>
      </c>
      <c r="C296" s="47" t="s">
        <v>273</v>
      </c>
      <c r="D296" s="47" t="s">
        <v>180</v>
      </c>
      <c r="E296" s="47" t="s">
        <v>261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304</v>
      </c>
    </row>
    <row r="297" customFormat="false" ht="14.25" hidden="false" customHeight="true" outlineLevel="0" collapsed="false">
      <c r="A297" s="47" t="s">
        <v>21</v>
      </c>
      <c r="B297" s="47" t="s">
        <v>18</v>
      </c>
      <c r="C297" s="47" t="s">
        <v>273</v>
      </c>
      <c r="D297" s="47" t="s">
        <v>181</v>
      </c>
      <c r="E297" s="47" t="s">
        <v>261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304</v>
      </c>
    </row>
    <row r="298" customFormat="false" ht="14.25" hidden="false" customHeight="true" outlineLevel="0" collapsed="false">
      <c r="A298" s="47" t="s">
        <v>21</v>
      </c>
      <c r="B298" s="47" t="s">
        <v>18</v>
      </c>
      <c r="C298" s="47" t="s">
        <v>44</v>
      </c>
      <c r="D298" s="47" t="s">
        <v>182</v>
      </c>
      <c r="E298" s="47" t="s">
        <v>261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304</v>
      </c>
    </row>
    <row r="299" customFormat="false" ht="14.25" hidden="false" customHeight="true" outlineLevel="0" collapsed="false">
      <c r="A299" s="47" t="s">
        <v>21</v>
      </c>
      <c r="B299" s="47" t="s">
        <v>18</v>
      </c>
      <c r="C299" s="47" t="s">
        <v>44</v>
      </c>
      <c r="D299" s="47" t="s">
        <v>221</v>
      </c>
      <c r="E299" s="47" t="s">
        <v>261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303</v>
      </c>
    </row>
    <row r="300" customFormat="false" ht="14.25" hidden="false" customHeight="true" outlineLevel="0" collapsed="false">
      <c r="A300" s="47" t="s">
        <v>21</v>
      </c>
      <c r="B300" s="47" t="s">
        <v>18</v>
      </c>
      <c r="C300" s="47" t="s">
        <v>279</v>
      </c>
      <c r="D300" s="47" t="s">
        <v>183</v>
      </c>
      <c r="E300" s="47" t="s">
        <v>261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303</v>
      </c>
    </row>
    <row r="301" customFormat="false" ht="14.25" hidden="false" customHeight="true" outlineLevel="0" collapsed="false">
      <c r="A301" s="47" t="s">
        <v>21</v>
      </c>
      <c r="B301" s="47" t="s">
        <v>18</v>
      </c>
      <c r="C301" s="47" t="s">
        <v>279</v>
      </c>
      <c r="D301" s="47" t="s">
        <v>185</v>
      </c>
      <c r="E301" s="47" t="s">
        <v>261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303</v>
      </c>
    </row>
    <row r="302" customFormat="false" ht="14.25" hidden="false" customHeight="true" outlineLevel="0" collapsed="false">
      <c r="A302" s="47" t="s">
        <v>21</v>
      </c>
      <c r="B302" s="47" t="s">
        <v>18</v>
      </c>
      <c r="C302" s="47" t="s">
        <v>280</v>
      </c>
      <c r="D302" s="47" t="s">
        <v>179</v>
      </c>
      <c r="E302" s="47" t="s">
        <v>261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304</v>
      </c>
    </row>
    <row r="303" customFormat="false" ht="14.25" hidden="false" customHeight="true" outlineLevel="0" collapsed="false">
      <c r="A303" s="47" t="s">
        <v>21</v>
      </c>
      <c r="B303" s="47" t="s">
        <v>18</v>
      </c>
      <c r="C303" s="47" t="s">
        <v>278</v>
      </c>
      <c r="D303" s="47" t="s">
        <v>157</v>
      </c>
      <c r="E303" s="47" t="s">
        <v>261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304</v>
      </c>
    </row>
    <row r="304" customFormat="false" ht="14.25" hidden="false" customHeight="true" outlineLevel="0" collapsed="false">
      <c r="A304" s="47" t="s">
        <v>21</v>
      </c>
      <c r="B304" s="47" t="s">
        <v>18</v>
      </c>
      <c r="C304" s="47" t="s">
        <v>278</v>
      </c>
      <c r="D304" s="47" t="s">
        <v>158</v>
      </c>
      <c r="E304" s="47" t="s">
        <v>261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304</v>
      </c>
    </row>
    <row r="305" customFormat="false" ht="14.25" hidden="false" customHeight="true" outlineLevel="0" collapsed="false">
      <c r="A305" s="47" t="s">
        <v>21</v>
      </c>
      <c r="B305" s="47" t="s">
        <v>18</v>
      </c>
      <c r="C305" s="47" t="s">
        <v>273</v>
      </c>
      <c r="D305" s="47" t="s">
        <v>296</v>
      </c>
      <c r="E305" s="47" t="s">
        <v>261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305</v>
      </c>
    </row>
    <row r="306" customFormat="false" ht="14.25" hidden="false" customHeight="true" outlineLevel="0" collapsed="false">
      <c r="A306" s="47" t="s">
        <v>21</v>
      </c>
      <c r="B306" s="47" t="s">
        <v>18</v>
      </c>
      <c r="C306" s="47" t="s">
        <v>273</v>
      </c>
      <c r="D306" s="47" t="s">
        <v>220</v>
      </c>
      <c r="E306" s="47" t="s">
        <v>263</v>
      </c>
      <c r="F306" s="47" t="n">
        <v>1</v>
      </c>
      <c r="G306" s="48" t="n">
        <v>39547.86</v>
      </c>
      <c r="H306" s="48" t="n">
        <f aca="false">G306*F306</f>
        <v>39547.86</v>
      </c>
      <c r="I306" s="47" t="s">
        <v>309</v>
      </c>
    </row>
    <row r="307" customFormat="false" ht="14.25" hidden="false" customHeight="true" outlineLevel="0" collapsed="false">
      <c r="A307" s="47" t="s">
        <v>21</v>
      </c>
      <c r="B307" s="1" t="s">
        <v>18</v>
      </c>
      <c r="C307" s="1" t="s">
        <v>273</v>
      </c>
      <c r="D307" s="1" t="s">
        <v>275</v>
      </c>
      <c r="E307" s="1" t="s">
        <v>263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303</v>
      </c>
    </row>
    <row r="308" customFormat="false" ht="14.25" hidden="false" customHeight="true" outlineLevel="0" collapsed="false">
      <c r="A308" s="47" t="s">
        <v>21</v>
      </c>
      <c r="B308" s="47" t="s">
        <v>18</v>
      </c>
      <c r="C308" s="47" t="s">
        <v>273</v>
      </c>
      <c r="D308" s="47" t="s">
        <v>180</v>
      </c>
      <c r="E308" s="47" t="s">
        <v>263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304</v>
      </c>
    </row>
    <row r="309" customFormat="false" ht="14.25" hidden="false" customHeight="true" outlineLevel="0" collapsed="false">
      <c r="A309" s="47" t="s">
        <v>21</v>
      </c>
      <c r="B309" s="1" t="s">
        <v>18</v>
      </c>
      <c r="C309" s="1" t="s">
        <v>273</v>
      </c>
      <c r="D309" s="1" t="s">
        <v>181</v>
      </c>
      <c r="E309" s="1" t="s">
        <v>263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304</v>
      </c>
    </row>
    <row r="310" customFormat="false" ht="14.25" hidden="false" customHeight="true" outlineLevel="0" collapsed="false">
      <c r="A310" s="47" t="s">
        <v>21</v>
      </c>
      <c r="B310" s="47" t="s">
        <v>18</v>
      </c>
      <c r="C310" s="47" t="s">
        <v>44</v>
      </c>
      <c r="D310" s="47" t="s">
        <v>182</v>
      </c>
      <c r="E310" s="47" t="s">
        <v>263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304</v>
      </c>
    </row>
    <row r="311" customFormat="false" ht="14.25" hidden="false" customHeight="true" outlineLevel="0" collapsed="false">
      <c r="A311" s="47" t="s">
        <v>21</v>
      </c>
      <c r="B311" s="47" t="s">
        <v>18</v>
      </c>
      <c r="C311" s="47" t="s">
        <v>44</v>
      </c>
      <c r="D311" s="47" t="s">
        <v>221</v>
      </c>
      <c r="E311" s="47" t="s">
        <v>263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303</v>
      </c>
    </row>
    <row r="312" customFormat="false" ht="14.25" hidden="false" customHeight="true" outlineLevel="0" collapsed="false">
      <c r="A312" s="47" t="s">
        <v>21</v>
      </c>
      <c r="B312" s="47" t="s">
        <v>18</v>
      </c>
      <c r="C312" s="47" t="s">
        <v>279</v>
      </c>
      <c r="D312" s="47" t="s">
        <v>183</v>
      </c>
      <c r="E312" s="47" t="s">
        <v>263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303</v>
      </c>
    </row>
    <row r="313" customFormat="false" ht="14.25" hidden="false" customHeight="true" outlineLevel="0" collapsed="false">
      <c r="A313" s="47" t="s">
        <v>21</v>
      </c>
      <c r="B313" s="47" t="s">
        <v>18</v>
      </c>
      <c r="C313" s="47" t="s">
        <v>279</v>
      </c>
      <c r="D313" s="47" t="s">
        <v>185</v>
      </c>
      <c r="E313" s="47" t="s">
        <v>263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303</v>
      </c>
    </row>
    <row r="314" customFormat="false" ht="14.25" hidden="false" customHeight="true" outlineLevel="0" collapsed="false">
      <c r="A314" s="47" t="s">
        <v>21</v>
      </c>
      <c r="B314" s="47" t="s">
        <v>18</v>
      </c>
      <c r="C314" s="47" t="s">
        <v>280</v>
      </c>
      <c r="D314" s="47" t="s">
        <v>179</v>
      </c>
      <c r="E314" s="47" t="s">
        <v>263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304</v>
      </c>
    </row>
    <row r="315" customFormat="false" ht="14.25" hidden="false" customHeight="true" outlineLevel="0" collapsed="false">
      <c r="A315" s="47" t="s">
        <v>21</v>
      </c>
      <c r="B315" s="47" t="s">
        <v>18</v>
      </c>
      <c r="C315" s="47" t="s">
        <v>278</v>
      </c>
      <c r="D315" s="47" t="s">
        <v>157</v>
      </c>
      <c r="E315" s="47" t="s">
        <v>263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304</v>
      </c>
    </row>
    <row r="316" customFormat="false" ht="14.25" hidden="false" customHeight="true" outlineLevel="0" collapsed="false">
      <c r="A316" s="47" t="s">
        <v>21</v>
      </c>
      <c r="B316" s="47" t="s">
        <v>18</v>
      </c>
      <c r="C316" s="47" t="s">
        <v>278</v>
      </c>
      <c r="D316" s="47" t="s">
        <v>158</v>
      </c>
      <c r="E316" s="47" t="s">
        <v>263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304</v>
      </c>
    </row>
    <row r="317" customFormat="false" ht="14.25" hidden="false" customHeight="true" outlineLevel="0" collapsed="false">
      <c r="A317" s="47" t="s">
        <v>21</v>
      </c>
      <c r="B317" s="47" t="s">
        <v>18</v>
      </c>
      <c r="C317" s="47" t="s">
        <v>281</v>
      </c>
      <c r="D317" s="47" t="s">
        <v>186</v>
      </c>
      <c r="E317" s="47" t="s">
        <v>263</v>
      </c>
      <c r="F317" s="47" t="n">
        <v>1</v>
      </c>
      <c r="G317" s="48" t="n">
        <v>8088.93</v>
      </c>
      <c r="H317" s="48" t="n">
        <f aca="false">G317*F317</f>
        <v>8088.93</v>
      </c>
      <c r="I317" s="47" t="s">
        <v>282</v>
      </c>
    </row>
    <row r="318" customFormat="false" ht="14.25" hidden="false" customHeight="true" outlineLevel="0" collapsed="false">
      <c r="A318" s="47" t="s">
        <v>21</v>
      </c>
      <c r="B318" s="47" t="s">
        <v>10</v>
      </c>
      <c r="C318" s="47" t="s">
        <v>273</v>
      </c>
      <c r="D318" s="47" t="s">
        <v>220</v>
      </c>
      <c r="E318" s="47" t="s">
        <v>264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310</v>
      </c>
    </row>
    <row r="319" customFormat="false" ht="14.25" hidden="false" customHeight="true" outlineLevel="0" collapsed="false">
      <c r="A319" s="47" t="s">
        <v>21</v>
      </c>
      <c r="B319" s="47" t="s">
        <v>10</v>
      </c>
      <c r="C319" s="47" t="s">
        <v>273</v>
      </c>
      <c r="D319" s="47" t="s">
        <v>180</v>
      </c>
      <c r="E319" s="47" t="s">
        <v>264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304</v>
      </c>
    </row>
    <row r="320" customFormat="false" ht="14.25" hidden="false" customHeight="true" outlineLevel="0" collapsed="false">
      <c r="A320" s="47" t="s">
        <v>21</v>
      </c>
      <c r="B320" s="47" t="s">
        <v>10</v>
      </c>
      <c r="C320" s="47" t="s">
        <v>273</v>
      </c>
      <c r="D320" s="47" t="s">
        <v>181</v>
      </c>
      <c r="E320" s="47" t="s">
        <v>264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304</v>
      </c>
    </row>
    <row r="321" customFormat="false" ht="14.25" hidden="false" customHeight="true" outlineLevel="0" collapsed="false">
      <c r="A321" s="47" t="s">
        <v>21</v>
      </c>
      <c r="B321" s="47" t="s">
        <v>10</v>
      </c>
      <c r="C321" s="47" t="s">
        <v>44</v>
      </c>
      <c r="D321" s="47" t="s">
        <v>182</v>
      </c>
      <c r="E321" s="47" t="s">
        <v>264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304</v>
      </c>
    </row>
    <row r="322" customFormat="false" ht="14.25" hidden="false" customHeight="true" outlineLevel="0" collapsed="false">
      <c r="A322" s="47" t="s">
        <v>21</v>
      </c>
      <c r="B322" s="47" t="s">
        <v>10</v>
      </c>
      <c r="C322" s="47" t="s">
        <v>44</v>
      </c>
      <c r="D322" s="47" t="s">
        <v>221</v>
      </c>
      <c r="E322" s="47" t="s">
        <v>264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311</v>
      </c>
    </row>
    <row r="323" customFormat="false" ht="14.25" hidden="false" customHeight="true" outlineLevel="0" collapsed="false">
      <c r="A323" s="47" t="s">
        <v>21</v>
      </c>
      <c r="B323" s="47" t="s">
        <v>10</v>
      </c>
      <c r="C323" s="47" t="s">
        <v>280</v>
      </c>
      <c r="D323" s="47" t="s">
        <v>179</v>
      </c>
      <c r="E323" s="47" t="s">
        <v>264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304</v>
      </c>
    </row>
    <row r="324" customFormat="false" ht="15" hidden="false" customHeight="true" outlineLevel="0" collapsed="false">
      <c r="A324" s="47" t="s">
        <v>21</v>
      </c>
      <c r="B324" s="47" t="s">
        <v>10</v>
      </c>
      <c r="C324" s="47" t="s">
        <v>278</v>
      </c>
      <c r="D324" s="47" t="s">
        <v>157</v>
      </c>
      <c r="E324" s="47" t="s">
        <v>264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304</v>
      </c>
    </row>
    <row r="325" customFormat="false" ht="14.25" hidden="false" customHeight="true" outlineLevel="0" collapsed="false">
      <c r="A325" s="47" t="s">
        <v>21</v>
      </c>
      <c r="B325" s="47" t="s">
        <v>10</v>
      </c>
      <c r="C325" s="47" t="s">
        <v>278</v>
      </c>
      <c r="D325" s="47" t="s">
        <v>158</v>
      </c>
      <c r="E325" s="47" t="s">
        <v>264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304</v>
      </c>
    </row>
    <row r="326" customFormat="false" ht="14.25" hidden="false" customHeight="true" outlineLevel="0" collapsed="false">
      <c r="A326" s="47" t="s">
        <v>21</v>
      </c>
      <c r="B326" s="47" t="s">
        <v>10</v>
      </c>
      <c r="C326" s="47" t="s">
        <v>281</v>
      </c>
      <c r="D326" s="47" t="s">
        <v>186</v>
      </c>
      <c r="E326" s="47" t="s">
        <v>264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282</v>
      </c>
    </row>
    <row r="327" customFormat="false" ht="14.25" hidden="false" customHeight="true" outlineLevel="0" collapsed="false">
      <c r="A327" s="47" t="s">
        <v>21</v>
      </c>
      <c r="B327" s="47" t="s">
        <v>10</v>
      </c>
      <c r="C327" s="47" t="s">
        <v>273</v>
      </c>
      <c r="D327" s="47" t="s">
        <v>296</v>
      </c>
      <c r="E327" s="47" t="s">
        <v>264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305</v>
      </c>
    </row>
    <row r="328" customFormat="false" ht="14.25" hidden="false" customHeight="true" outlineLevel="0" collapsed="false">
      <c r="A328" s="47" t="s">
        <v>21</v>
      </c>
      <c r="B328" s="47" t="s">
        <v>17</v>
      </c>
      <c r="C328" s="47" t="s">
        <v>273</v>
      </c>
      <c r="D328" s="47" t="s">
        <v>220</v>
      </c>
      <c r="E328" s="47" t="s">
        <v>261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312</v>
      </c>
    </row>
    <row r="329" customFormat="false" ht="14.25" hidden="false" customHeight="true" outlineLevel="0" collapsed="false">
      <c r="A329" s="47" t="s">
        <v>21</v>
      </c>
      <c r="B329" s="47" t="s">
        <v>17</v>
      </c>
      <c r="C329" s="47" t="s">
        <v>273</v>
      </c>
      <c r="D329" s="47" t="s">
        <v>180</v>
      </c>
      <c r="E329" s="47" t="s">
        <v>261</v>
      </c>
      <c r="F329" s="47" t="n">
        <v>2</v>
      </c>
      <c r="G329" s="48" t="n">
        <v>26</v>
      </c>
      <c r="H329" s="48" t="n">
        <f aca="false">G329*F329</f>
        <v>52</v>
      </c>
      <c r="I329" s="47" t="s">
        <v>304</v>
      </c>
    </row>
    <row r="330" customFormat="false" ht="14.25" hidden="false" customHeight="true" outlineLevel="0" collapsed="false">
      <c r="A330" s="47" t="s">
        <v>21</v>
      </c>
      <c r="B330" s="47" t="s">
        <v>17</v>
      </c>
      <c r="C330" s="47" t="s">
        <v>273</v>
      </c>
      <c r="D330" s="47" t="s">
        <v>181</v>
      </c>
      <c r="E330" s="47" t="s">
        <v>261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304</v>
      </c>
    </row>
    <row r="331" customFormat="false" ht="14.25" hidden="false" customHeight="true" outlineLevel="0" collapsed="false">
      <c r="A331" s="47" t="s">
        <v>21</v>
      </c>
      <c r="B331" s="47" t="s">
        <v>17</v>
      </c>
      <c r="C331" s="47" t="s">
        <v>44</v>
      </c>
      <c r="D331" s="47" t="s">
        <v>182</v>
      </c>
      <c r="E331" s="47" t="s">
        <v>261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304</v>
      </c>
    </row>
    <row r="332" customFormat="false" ht="14.25" hidden="false" customHeight="true" outlineLevel="0" collapsed="false">
      <c r="A332" s="47" t="s">
        <v>21</v>
      </c>
      <c r="B332" s="47" t="s">
        <v>17</v>
      </c>
      <c r="C332" s="47" t="s">
        <v>280</v>
      </c>
      <c r="D332" s="47" t="s">
        <v>179</v>
      </c>
      <c r="E332" s="47" t="s">
        <v>261</v>
      </c>
      <c r="F332" s="47" t="n">
        <v>2</v>
      </c>
      <c r="G332" s="48" t="n">
        <v>30</v>
      </c>
      <c r="H332" s="48" t="n">
        <f aca="false">G332*F332</f>
        <v>60</v>
      </c>
      <c r="I332" s="47" t="s">
        <v>304</v>
      </c>
    </row>
    <row r="333" customFormat="false" ht="14.25" hidden="false" customHeight="true" outlineLevel="0" collapsed="false">
      <c r="A333" s="47" t="s">
        <v>21</v>
      </c>
      <c r="B333" s="47" t="s">
        <v>17</v>
      </c>
      <c r="C333" s="47" t="s">
        <v>278</v>
      </c>
      <c r="D333" s="47" t="s">
        <v>157</v>
      </c>
      <c r="E333" s="47" t="s">
        <v>261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304</v>
      </c>
    </row>
    <row r="334" customFormat="false" ht="14.25" hidden="false" customHeight="true" outlineLevel="0" collapsed="false">
      <c r="A334" s="47" t="s">
        <v>21</v>
      </c>
      <c r="B334" s="47" t="s">
        <v>17</v>
      </c>
      <c r="C334" s="47" t="s">
        <v>278</v>
      </c>
      <c r="D334" s="47" t="s">
        <v>158</v>
      </c>
      <c r="E334" s="47" t="s">
        <v>261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304</v>
      </c>
    </row>
    <row r="335" customFormat="false" ht="14.25" hidden="false" customHeight="true" outlineLevel="0" collapsed="false">
      <c r="A335" s="47" t="s">
        <v>21</v>
      </c>
      <c r="B335" s="47" t="s">
        <v>17</v>
      </c>
      <c r="C335" s="47" t="s">
        <v>281</v>
      </c>
      <c r="D335" s="47" t="s">
        <v>186</v>
      </c>
      <c r="E335" s="47" t="s">
        <v>261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282</v>
      </c>
    </row>
    <row r="336" customFormat="false" ht="14.25" hidden="false" customHeight="true" outlineLevel="0" collapsed="false">
      <c r="A336" s="47" t="s">
        <v>21</v>
      </c>
      <c r="B336" s="47" t="s">
        <v>15</v>
      </c>
      <c r="C336" s="47" t="s">
        <v>273</v>
      </c>
      <c r="D336" s="47" t="s">
        <v>220</v>
      </c>
      <c r="E336" s="47" t="s">
        <v>264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313</v>
      </c>
    </row>
    <row r="337" customFormat="false" ht="14.25" hidden="false" customHeight="true" outlineLevel="0" collapsed="false">
      <c r="A337" s="47" t="s">
        <v>21</v>
      </c>
      <c r="B337" s="47" t="s">
        <v>15</v>
      </c>
      <c r="C337" s="47" t="s">
        <v>273</v>
      </c>
      <c r="D337" s="47" t="s">
        <v>275</v>
      </c>
      <c r="E337" s="47" t="s">
        <v>264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311</v>
      </c>
    </row>
    <row r="338" customFormat="false" ht="14.25" hidden="false" customHeight="true" outlineLevel="0" collapsed="false">
      <c r="A338" s="47" t="s">
        <v>21</v>
      </c>
      <c r="B338" s="47" t="s">
        <v>15</v>
      </c>
      <c r="C338" s="47" t="s">
        <v>273</v>
      </c>
      <c r="D338" s="47" t="s">
        <v>180</v>
      </c>
      <c r="E338" s="47" t="s">
        <v>264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304</v>
      </c>
    </row>
    <row r="339" customFormat="false" ht="14.25" hidden="false" customHeight="true" outlineLevel="0" collapsed="false">
      <c r="A339" s="47" t="s">
        <v>21</v>
      </c>
      <c r="B339" s="47" t="s">
        <v>15</v>
      </c>
      <c r="C339" s="47" t="s">
        <v>273</v>
      </c>
      <c r="D339" s="47" t="s">
        <v>181</v>
      </c>
      <c r="E339" s="47" t="s">
        <v>264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304</v>
      </c>
    </row>
    <row r="340" customFormat="false" ht="14.25" hidden="false" customHeight="true" outlineLevel="0" collapsed="false">
      <c r="A340" s="47" t="s">
        <v>21</v>
      </c>
      <c r="B340" s="47" t="s">
        <v>15</v>
      </c>
      <c r="C340" s="47" t="s">
        <v>44</v>
      </c>
      <c r="D340" s="47" t="s">
        <v>182</v>
      </c>
      <c r="E340" s="47" t="s">
        <v>264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304</v>
      </c>
    </row>
    <row r="341" customFormat="false" ht="14.25" hidden="false" customHeight="true" outlineLevel="0" collapsed="false">
      <c r="A341" s="47" t="s">
        <v>21</v>
      </c>
      <c r="B341" s="47" t="s">
        <v>15</v>
      </c>
      <c r="C341" s="47" t="s">
        <v>280</v>
      </c>
      <c r="D341" s="47" t="s">
        <v>179</v>
      </c>
      <c r="E341" s="47" t="s">
        <v>264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304</v>
      </c>
    </row>
    <row r="342" customFormat="false" ht="14.25" hidden="false" customHeight="true" outlineLevel="0" collapsed="false">
      <c r="A342" s="47" t="s">
        <v>21</v>
      </c>
      <c r="B342" s="47" t="s">
        <v>15</v>
      </c>
      <c r="C342" s="47" t="s">
        <v>278</v>
      </c>
      <c r="D342" s="47" t="s">
        <v>157</v>
      </c>
      <c r="E342" s="47" t="s">
        <v>264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304</v>
      </c>
    </row>
    <row r="343" customFormat="false" ht="14.25" hidden="false" customHeight="true" outlineLevel="0" collapsed="false">
      <c r="A343" s="47" t="s">
        <v>21</v>
      </c>
      <c r="B343" s="47" t="s">
        <v>15</v>
      </c>
      <c r="C343" s="47" t="s">
        <v>278</v>
      </c>
      <c r="D343" s="47" t="s">
        <v>158</v>
      </c>
      <c r="E343" s="47" t="s">
        <v>264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304</v>
      </c>
    </row>
    <row r="344" customFormat="false" ht="14.25" hidden="false" customHeight="true" outlineLevel="0" collapsed="false">
      <c r="A344" s="47" t="s">
        <v>21</v>
      </c>
      <c r="B344" s="47" t="s">
        <v>15</v>
      </c>
      <c r="C344" s="47" t="s">
        <v>281</v>
      </c>
      <c r="D344" s="47" t="s">
        <v>186</v>
      </c>
      <c r="E344" s="47" t="s">
        <v>264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282</v>
      </c>
    </row>
    <row r="345" customFormat="false" ht="14.25" hidden="false" customHeight="true" outlineLevel="0" collapsed="false">
      <c r="A345" s="47" t="s">
        <v>21</v>
      </c>
      <c r="B345" s="47" t="s">
        <v>15</v>
      </c>
      <c r="C345" s="47" t="s">
        <v>273</v>
      </c>
      <c r="D345" s="47" t="s">
        <v>296</v>
      </c>
      <c r="E345" s="47" t="s">
        <v>264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305</v>
      </c>
    </row>
    <row r="346" customFormat="false" ht="14.25" hidden="false" customHeight="true" outlineLevel="0" collapsed="false">
      <c r="A346" s="47" t="s">
        <v>21</v>
      </c>
      <c r="B346" s="47" t="s">
        <v>16</v>
      </c>
      <c r="C346" s="47" t="s">
        <v>273</v>
      </c>
      <c r="D346" s="47" t="s">
        <v>220</v>
      </c>
      <c r="E346" s="47" t="s">
        <v>263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314</v>
      </c>
    </row>
    <row r="347" customFormat="false" ht="14.25" hidden="false" customHeight="true" outlineLevel="0" collapsed="false">
      <c r="A347" s="47" t="s">
        <v>21</v>
      </c>
      <c r="B347" s="47" t="s">
        <v>16</v>
      </c>
      <c r="C347" s="47" t="s">
        <v>273</v>
      </c>
      <c r="D347" s="47" t="s">
        <v>180</v>
      </c>
      <c r="E347" s="47" t="s">
        <v>263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304</v>
      </c>
    </row>
    <row r="348" customFormat="false" ht="14.25" hidden="false" customHeight="true" outlineLevel="0" collapsed="false">
      <c r="A348" s="47" t="s">
        <v>21</v>
      </c>
      <c r="B348" s="47" t="s">
        <v>16</v>
      </c>
      <c r="C348" s="47" t="s">
        <v>273</v>
      </c>
      <c r="D348" s="47" t="s">
        <v>181</v>
      </c>
      <c r="E348" s="47" t="s">
        <v>263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304</v>
      </c>
    </row>
    <row r="349" customFormat="false" ht="15" hidden="false" customHeight="true" outlineLevel="0" collapsed="false">
      <c r="A349" s="47" t="s">
        <v>21</v>
      </c>
      <c r="B349" s="47" t="s">
        <v>16</v>
      </c>
      <c r="C349" s="47" t="s">
        <v>44</v>
      </c>
      <c r="D349" s="47" t="s">
        <v>182</v>
      </c>
      <c r="E349" s="47" t="s">
        <v>263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304</v>
      </c>
    </row>
    <row r="350" customFormat="false" ht="14.25" hidden="false" customHeight="true" outlineLevel="0" collapsed="false">
      <c r="A350" s="47" t="s">
        <v>21</v>
      </c>
      <c r="B350" s="47" t="s">
        <v>16</v>
      </c>
      <c r="C350" s="47" t="s">
        <v>280</v>
      </c>
      <c r="D350" s="47" t="s">
        <v>179</v>
      </c>
      <c r="E350" s="47" t="s">
        <v>263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304</v>
      </c>
    </row>
    <row r="351" customFormat="false" ht="14.25" hidden="false" customHeight="true" outlineLevel="0" collapsed="false">
      <c r="A351" s="47" t="s">
        <v>21</v>
      </c>
      <c r="B351" s="47" t="s">
        <v>16</v>
      </c>
      <c r="C351" s="47" t="s">
        <v>278</v>
      </c>
      <c r="D351" s="47" t="s">
        <v>157</v>
      </c>
      <c r="E351" s="47" t="s">
        <v>263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304</v>
      </c>
    </row>
    <row r="352" customFormat="false" ht="14.25" hidden="false" customHeight="true" outlineLevel="0" collapsed="false">
      <c r="A352" s="47" t="s">
        <v>21</v>
      </c>
      <c r="B352" s="47" t="s">
        <v>16</v>
      </c>
      <c r="C352" s="47" t="s">
        <v>278</v>
      </c>
      <c r="D352" s="47" t="s">
        <v>158</v>
      </c>
      <c r="E352" s="47" t="s">
        <v>263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304</v>
      </c>
    </row>
    <row r="353" customFormat="false" ht="14.25" hidden="false" customHeight="true" outlineLevel="0" collapsed="false">
      <c r="A353" s="47" t="s">
        <v>21</v>
      </c>
      <c r="B353" s="47" t="s">
        <v>16</v>
      </c>
      <c r="C353" s="47" t="s">
        <v>281</v>
      </c>
      <c r="D353" s="47" t="s">
        <v>186</v>
      </c>
      <c r="E353" s="47" t="s">
        <v>263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282</v>
      </c>
    </row>
    <row r="354" customFormat="false" ht="14.25" hidden="false" customHeight="true" outlineLevel="0" collapsed="false">
      <c r="A354" s="49" t="s">
        <v>315</v>
      </c>
      <c r="B354" s="50"/>
      <c r="C354" s="50"/>
      <c r="D354" s="50"/>
      <c r="E354" s="50"/>
      <c r="F354" s="50"/>
      <c r="G354" s="51"/>
      <c r="H354" s="52" t="n">
        <f aca="false">SUM(H21:H353)</f>
        <v>1116269.5</v>
      </c>
      <c r="I354" s="43"/>
      <c r="J354" s="43"/>
      <c r="K354" s="43"/>
      <c r="L354" s="43"/>
      <c r="M354" s="43"/>
      <c r="N354" s="43"/>
      <c r="O354" s="43"/>
    </row>
    <row r="355" customFormat="false" ht="15" hidden="false" customHeight="true" outlineLevel="0" collapsed="false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</row>
    <row r="356" customFormat="false" ht="14.25" hidden="false" customHeight="true" outlineLevel="0" collapsed="false">
      <c r="A356" s="53" t="s">
        <v>316</v>
      </c>
      <c r="K356" s="43"/>
      <c r="L356" s="43"/>
      <c r="M356" s="43"/>
      <c r="N356" s="43"/>
      <c r="O356" s="43"/>
    </row>
    <row r="357" customFormat="false" ht="14.25" hidden="false" customHeight="true" outlineLevel="0" collapsed="false">
      <c r="A357" s="46" t="s">
        <v>9</v>
      </c>
      <c r="B357" s="46" t="s">
        <v>251</v>
      </c>
      <c r="C357" s="46" t="s">
        <v>3</v>
      </c>
      <c r="D357" s="46" t="s">
        <v>317</v>
      </c>
      <c r="E357" s="46" t="s">
        <v>318</v>
      </c>
      <c r="F357" s="46" t="s">
        <v>319</v>
      </c>
      <c r="G357" s="46" t="s">
        <v>320</v>
      </c>
      <c r="H357" s="46" t="s">
        <v>321</v>
      </c>
      <c r="I357" s="46" t="s">
        <v>322</v>
      </c>
      <c r="J357" s="46" t="s">
        <v>323</v>
      </c>
      <c r="K357" s="43"/>
      <c r="L357" s="43"/>
      <c r="M357" s="43"/>
      <c r="N357" s="43"/>
      <c r="O357" s="43"/>
    </row>
    <row r="358" customFormat="false" ht="14.25" hidden="false" customHeight="true" outlineLevel="0" collapsed="false">
      <c r="A358" s="47" t="s">
        <v>11</v>
      </c>
      <c r="B358" s="47" t="s">
        <v>256</v>
      </c>
      <c r="C358" s="47" t="s">
        <v>18</v>
      </c>
      <c r="D358" s="48" t="n">
        <v>121496.64</v>
      </c>
      <c r="E358" s="47" t="n">
        <v>537</v>
      </c>
      <c r="F358" s="47" t="n">
        <v>11</v>
      </c>
      <c r="G358" s="48" t="n">
        <v>41961.99</v>
      </c>
      <c r="H358" s="48" t="n">
        <v>1017.98</v>
      </c>
      <c r="I358" s="48" t="n">
        <v>42979.97</v>
      </c>
      <c r="J358" s="48" t="n">
        <v>221.71</v>
      </c>
      <c r="K358" s="43"/>
      <c r="L358" s="43"/>
      <c r="M358" s="43"/>
      <c r="N358" s="43"/>
      <c r="O358" s="43"/>
    </row>
    <row r="359" customFormat="false" ht="14.25" hidden="false" customHeight="true" outlineLevel="0" collapsed="false">
      <c r="A359" s="47" t="s">
        <v>11</v>
      </c>
      <c r="B359" s="47" t="s">
        <v>258</v>
      </c>
      <c r="C359" s="47" t="s">
        <v>18</v>
      </c>
      <c r="D359" s="48" t="n">
        <v>9414.77</v>
      </c>
      <c r="E359" s="47" t="n">
        <v>26</v>
      </c>
      <c r="F359" s="47" t="n">
        <v>1</v>
      </c>
      <c r="G359" s="48" t="n">
        <v>2047.79</v>
      </c>
      <c r="H359" s="48" t="n">
        <v>99.9</v>
      </c>
      <c r="I359" s="48" t="n">
        <v>2147.69</v>
      </c>
      <c r="J359" s="48" t="n">
        <v>348.7</v>
      </c>
      <c r="K359" s="43"/>
      <c r="L359" s="43"/>
      <c r="M359" s="43"/>
      <c r="N359" s="43"/>
      <c r="O359" s="43"/>
    </row>
    <row r="360" customFormat="false" ht="14.25" hidden="false" customHeight="true" outlineLevel="0" collapsed="false">
      <c r="A360" s="47" t="s">
        <v>11</v>
      </c>
      <c r="B360" s="47" t="s">
        <v>260</v>
      </c>
      <c r="C360" s="47" t="s">
        <v>18</v>
      </c>
      <c r="D360" s="48" t="n">
        <v>34081.23</v>
      </c>
      <c r="E360" s="47" t="n">
        <v>143</v>
      </c>
      <c r="F360" s="47" t="n">
        <v>2</v>
      </c>
      <c r="G360" s="48" t="n">
        <v>13522.34</v>
      </c>
      <c r="H360" s="48" t="n">
        <v>154.79</v>
      </c>
      <c r="I360" s="48" t="n">
        <v>13677.13</v>
      </c>
      <c r="J360" s="48" t="n">
        <v>235.04</v>
      </c>
      <c r="K360" s="43"/>
      <c r="L360" s="43"/>
      <c r="M360" s="43"/>
      <c r="N360" s="43"/>
      <c r="O360" s="43"/>
    </row>
    <row r="361" customFormat="false" ht="14.25" hidden="false" customHeight="true" outlineLevel="0" collapsed="false">
      <c r="A361" s="47" t="s">
        <v>11</v>
      </c>
      <c r="B361" s="47" t="s">
        <v>261</v>
      </c>
      <c r="C361" s="47" t="s">
        <v>18</v>
      </c>
      <c r="D361" s="48" t="n">
        <v>41714.55</v>
      </c>
      <c r="E361" s="47" t="n">
        <v>199</v>
      </c>
      <c r="F361" s="47" t="n">
        <v>1</v>
      </c>
      <c r="G361" s="48" t="n">
        <v>17552.26</v>
      </c>
      <c r="H361" s="48" t="n">
        <v>109.89</v>
      </c>
      <c r="I361" s="48" t="n">
        <v>17662.15</v>
      </c>
      <c r="J361" s="48" t="n">
        <v>208.57</v>
      </c>
      <c r="K361" s="43"/>
      <c r="L361" s="43"/>
      <c r="M361" s="43"/>
      <c r="N361" s="43"/>
      <c r="O361" s="43"/>
    </row>
    <row r="362" customFormat="false" ht="14.25" hidden="false" customHeight="true" outlineLevel="0" collapsed="false">
      <c r="A362" s="47" t="s">
        <v>11</v>
      </c>
      <c r="B362" s="47" t="s">
        <v>261</v>
      </c>
      <c r="C362" s="47" t="s">
        <v>17</v>
      </c>
      <c r="D362" s="48" t="n">
        <v>3825.46</v>
      </c>
      <c r="E362" s="47" t="n">
        <v>40</v>
      </c>
      <c r="F362" s="47" t="n">
        <v>0</v>
      </c>
      <c r="G362" s="48" t="n">
        <v>4285.58</v>
      </c>
      <c r="H362" s="48" t="n">
        <v>0</v>
      </c>
      <c r="I362" s="48" t="n">
        <v>4285.58</v>
      </c>
      <c r="J362" s="48" t="n">
        <v>95.64</v>
      </c>
      <c r="K362" s="43"/>
      <c r="L362" s="43"/>
      <c r="M362" s="43"/>
      <c r="N362" s="43"/>
      <c r="O362" s="43"/>
    </row>
    <row r="363" customFormat="false" ht="14.25" hidden="false" customHeight="true" outlineLevel="0" collapsed="false">
      <c r="A363" s="47" t="s">
        <v>11</v>
      </c>
      <c r="B363" s="47" t="s">
        <v>263</v>
      </c>
      <c r="C363" s="47" t="s">
        <v>18</v>
      </c>
      <c r="D363" s="48" t="n">
        <v>72373.67</v>
      </c>
      <c r="E363" s="47" t="n">
        <v>225</v>
      </c>
      <c r="F363" s="47" t="n">
        <v>3</v>
      </c>
      <c r="G363" s="48" t="n">
        <v>18783.87</v>
      </c>
      <c r="H363" s="48" t="n">
        <v>329.8</v>
      </c>
      <c r="I363" s="48" t="n">
        <v>19113.67</v>
      </c>
      <c r="J363" s="48" t="n">
        <v>317.43</v>
      </c>
      <c r="K363" s="43"/>
      <c r="L363" s="43"/>
      <c r="M363" s="43"/>
      <c r="N363" s="43"/>
      <c r="O363" s="43"/>
    </row>
    <row r="364" customFormat="false" ht="14.25" hidden="false" customHeight="true" outlineLevel="0" collapsed="false">
      <c r="A364" s="47" t="s">
        <v>11</v>
      </c>
      <c r="B364" s="47" t="s">
        <v>263</v>
      </c>
      <c r="C364" s="47" t="s">
        <v>13</v>
      </c>
      <c r="D364" s="48" t="n">
        <v>4567.99</v>
      </c>
      <c r="E364" s="47" t="n">
        <v>25</v>
      </c>
      <c r="F364" s="47" t="n">
        <v>0</v>
      </c>
      <c r="G364" s="48" t="n">
        <v>2382.58</v>
      </c>
      <c r="H364" s="48" t="n">
        <v>0</v>
      </c>
      <c r="I364" s="48" t="n">
        <v>2382.58</v>
      </c>
      <c r="J364" s="48" t="n">
        <v>182.72</v>
      </c>
      <c r="K364" s="43"/>
      <c r="L364" s="43"/>
      <c r="M364" s="43"/>
      <c r="N364" s="43"/>
      <c r="O364" s="43"/>
    </row>
    <row r="365" customFormat="false" ht="14.25" hidden="false" customHeight="true" outlineLevel="0" collapsed="false">
      <c r="A365" s="47" t="s">
        <v>11</v>
      </c>
      <c r="B365" s="47" t="s">
        <v>263</v>
      </c>
      <c r="C365" s="47" t="s">
        <v>16</v>
      </c>
      <c r="D365" s="48" t="n">
        <v>13934.06</v>
      </c>
      <c r="E365" s="47" t="n">
        <v>42</v>
      </c>
      <c r="F365" s="47" t="n">
        <v>0</v>
      </c>
      <c r="G365" s="48" t="n">
        <v>2931.3</v>
      </c>
      <c r="H365" s="48" t="n">
        <v>0</v>
      </c>
      <c r="I365" s="48" t="n">
        <v>2931.3</v>
      </c>
      <c r="J365" s="48" t="n">
        <v>331.76</v>
      </c>
      <c r="K365" s="43"/>
      <c r="L365" s="43"/>
      <c r="M365" s="43"/>
      <c r="N365" s="43"/>
      <c r="O365" s="43"/>
    </row>
    <row r="366" customFormat="false" ht="14.25" hidden="false" customHeight="true" outlineLevel="0" collapsed="false">
      <c r="A366" s="47" t="s">
        <v>11</v>
      </c>
      <c r="B366" s="47" t="s">
        <v>264</v>
      </c>
      <c r="C366" s="47" t="s">
        <v>10</v>
      </c>
      <c r="D366" s="48" t="n">
        <v>21039.53</v>
      </c>
      <c r="E366" s="47" t="n">
        <v>137</v>
      </c>
      <c r="F366" s="47" t="n">
        <v>4</v>
      </c>
      <c r="G366" s="48" t="n">
        <v>11142.14</v>
      </c>
      <c r="H366" s="48" t="n">
        <v>249.69</v>
      </c>
      <c r="I366" s="48" t="n">
        <v>11391.83</v>
      </c>
      <c r="J366" s="48" t="n">
        <v>149.22</v>
      </c>
      <c r="K366" s="43"/>
      <c r="L366" s="43"/>
      <c r="M366" s="43"/>
      <c r="N366" s="43"/>
      <c r="O366" s="43"/>
    </row>
    <row r="367" customFormat="false" ht="14.25" hidden="false" customHeight="true" outlineLevel="0" collapsed="false">
      <c r="A367" s="47" t="s">
        <v>11</v>
      </c>
      <c r="B367" s="47" t="s">
        <v>264</v>
      </c>
      <c r="C367" s="47" t="s">
        <v>12</v>
      </c>
      <c r="D367" s="47" t="s">
        <v>324</v>
      </c>
      <c r="E367" s="47" t="n">
        <v>49</v>
      </c>
      <c r="F367" s="47" t="n">
        <v>2</v>
      </c>
      <c r="G367" s="48" t="n">
        <v>4205.1</v>
      </c>
      <c r="H367" s="48" t="n">
        <v>249.8</v>
      </c>
      <c r="I367" s="48" t="n">
        <v>4454.9</v>
      </c>
      <c r="J367" s="47" t="s">
        <v>325</v>
      </c>
      <c r="K367" s="43"/>
      <c r="L367" s="43"/>
      <c r="M367" s="43"/>
      <c r="N367" s="43"/>
      <c r="O367" s="43"/>
    </row>
    <row r="368" customFormat="false" ht="14.25" hidden="false" customHeight="true" outlineLevel="0" collapsed="false">
      <c r="A368" s="47" t="s">
        <v>11</v>
      </c>
      <c r="B368" s="47" t="s">
        <v>264</v>
      </c>
      <c r="C368" s="47" t="s">
        <v>15</v>
      </c>
      <c r="D368" s="48" t="n">
        <v>24386.42</v>
      </c>
      <c r="E368" s="47" t="n">
        <v>78</v>
      </c>
      <c r="F368" s="47" t="n">
        <v>2</v>
      </c>
      <c r="G368" s="48" t="n">
        <v>7338.18</v>
      </c>
      <c r="H368" s="48" t="n">
        <v>234.77</v>
      </c>
      <c r="I368" s="48" t="n">
        <v>7572.95</v>
      </c>
      <c r="J368" s="48" t="n">
        <v>304.83</v>
      </c>
      <c r="K368" s="43"/>
      <c r="L368" s="43"/>
      <c r="M368" s="43"/>
      <c r="N368" s="43"/>
      <c r="O368" s="43"/>
    </row>
    <row r="369" customFormat="false" ht="14.25" hidden="false" customHeight="true" outlineLevel="0" collapsed="false">
      <c r="A369" s="47" t="s">
        <v>11</v>
      </c>
      <c r="B369" s="47" t="s">
        <v>267</v>
      </c>
      <c r="C369" s="47" t="s">
        <v>14</v>
      </c>
      <c r="D369" s="48" t="n">
        <v>3703.62</v>
      </c>
      <c r="E369" s="47" t="n">
        <v>26</v>
      </c>
      <c r="F369" s="47" t="n">
        <v>0</v>
      </c>
      <c r="G369" s="48" t="n">
        <v>2307.4</v>
      </c>
      <c r="H369" s="48" t="n">
        <v>0</v>
      </c>
      <c r="I369" s="48" t="n">
        <v>2307.4</v>
      </c>
      <c r="J369" s="48" t="n">
        <v>142.45</v>
      </c>
      <c r="K369" s="43"/>
      <c r="L369" s="43"/>
      <c r="M369" s="43"/>
      <c r="N369" s="43"/>
      <c r="O369" s="43"/>
    </row>
    <row r="370" customFormat="false" ht="14.25" hidden="false" customHeight="true" outlineLevel="0" collapsed="false">
      <c r="A370" s="47" t="s">
        <v>20</v>
      </c>
      <c r="B370" s="47" t="s">
        <v>256</v>
      </c>
      <c r="C370" s="47" t="s">
        <v>18</v>
      </c>
      <c r="D370" s="48" t="n">
        <v>119150.38</v>
      </c>
      <c r="E370" s="47" t="n">
        <v>658</v>
      </c>
      <c r="F370" s="47" t="n">
        <v>10</v>
      </c>
      <c r="G370" s="48" t="n">
        <v>56085.27</v>
      </c>
      <c r="H370" s="48" t="n">
        <v>963.98</v>
      </c>
      <c r="I370" s="48" t="n">
        <v>57049.25</v>
      </c>
      <c r="J370" s="48" t="n">
        <v>178.37</v>
      </c>
      <c r="K370" s="43"/>
      <c r="L370" s="43"/>
      <c r="M370" s="43"/>
      <c r="N370" s="43"/>
      <c r="O370" s="43"/>
    </row>
    <row r="371" customFormat="false" ht="14.25" hidden="false" customHeight="true" outlineLevel="0" collapsed="false">
      <c r="A371" s="47" t="s">
        <v>20</v>
      </c>
      <c r="B371" s="47" t="s">
        <v>258</v>
      </c>
      <c r="C371" s="47" t="s">
        <v>18</v>
      </c>
      <c r="D371" s="48" t="n">
        <v>7367.92</v>
      </c>
      <c r="E371" s="47" t="n">
        <v>0</v>
      </c>
      <c r="F371" s="47" t="n">
        <v>0</v>
      </c>
      <c r="G371" s="48" t="n">
        <v>0</v>
      </c>
      <c r="H371" s="48" t="n">
        <v>0</v>
      </c>
      <c r="I371" s="48" t="n">
        <v>0</v>
      </c>
      <c r="J371" s="47" t="s">
        <v>325</v>
      </c>
      <c r="K371" s="43"/>
      <c r="L371" s="43"/>
      <c r="M371" s="43"/>
      <c r="N371" s="43"/>
      <c r="O371" s="43"/>
    </row>
    <row r="372" customFormat="false" ht="14.25" hidden="false" customHeight="true" outlineLevel="0" collapsed="false">
      <c r="A372" s="47" t="s">
        <v>20</v>
      </c>
      <c r="B372" s="47" t="s">
        <v>260</v>
      </c>
      <c r="C372" s="47" t="s">
        <v>18</v>
      </c>
      <c r="D372" s="48" t="n">
        <v>34042.65</v>
      </c>
      <c r="E372" s="47" t="n">
        <v>115</v>
      </c>
      <c r="F372" s="47" t="n">
        <v>5</v>
      </c>
      <c r="G372" s="48" t="n">
        <v>10449.44</v>
      </c>
      <c r="H372" s="48" t="n">
        <v>519.48</v>
      </c>
      <c r="I372" s="48" t="n">
        <v>10968.92</v>
      </c>
      <c r="J372" s="48" t="n">
        <v>283.69</v>
      </c>
      <c r="K372" s="43"/>
      <c r="L372" s="43"/>
      <c r="M372" s="43"/>
      <c r="N372" s="43"/>
      <c r="O372" s="43"/>
    </row>
    <row r="373" customFormat="false" ht="14.25" hidden="false" customHeight="true" outlineLevel="0" collapsed="false">
      <c r="A373" s="47" t="s">
        <v>20</v>
      </c>
      <c r="B373" s="47" t="s">
        <v>261</v>
      </c>
      <c r="C373" s="47" t="s">
        <v>18</v>
      </c>
      <c r="D373" s="48" t="n">
        <v>36033.93</v>
      </c>
      <c r="E373" s="47" t="n">
        <v>170</v>
      </c>
      <c r="F373" s="47" t="n">
        <v>0</v>
      </c>
      <c r="G373" s="48" t="n">
        <v>15679.02</v>
      </c>
      <c r="H373" s="48" t="n">
        <v>0</v>
      </c>
      <c r="I373" s="48" t="n">
        <v>15679.02</v>
      </c>
      <c r="J373" s="48" t="n">
        <v>211.96</v>
      </c>
      <c r="K373" s="43"/>
      <c r="L373" s="43"/>
      <c r="M373" s="43"/>
      <c r="N373" s="43"/>
      <c r="O373" s="43"/>
    </row>
    <row r="374" customFormat="false" ht="14.25" hidden="false" customHeight="true" outlineLevel="0" collapsed="false">
      <c r="A374" s="47" t="s">
        <v>20</v>
      </c>
      <c r="B374" s="47" t="s">
        <v>261</v>
      </c>
      <c r="C374" s="47" t="s">
        <v>17</v>
      </c>
      <c r="D374" s="48" t="n">
        <v>28510.03</v>
      </c>
      <c r="E374" s="47" t="n">
        <v>20</v>
      </c>
      <c r="F374" s="47" t="n">
        <v>0</v>
      </c>
      <c r="G374" s="48" t="n">
        <v>1988.05</v>
      </c>
      <c r="H374" s="48" t="n">
        <v>0</v>
      </c>
      <c r="I374" s="48" t="n">
        <v>1988.05</v>
      </c>
      <c r="J374" s="48" t="n">
        <v>1425.5</v>
      </c>
      <c r="K374" s="43"/>
      <c r="L374" s="43"/>
      <c r="M374" s="43"/>
      <c r="N374" s="43"/>
      <c r="O374" s="43"/>
    </row>
    <row r="375" customFormat="false" ht="14.25" hidden="false" customHeight="true" outlineLevel="0" collapsed="false">
      <c r="A375" s="47" t="s">
        <v>20</v>
      </c>
      <c r="B375" s="47" t="s">
        <v>263</v>
      </c>
      <c r="C375" s="47" t="s">
        <v>18</v>
      </c>
      <c r="D375" s="48" t="n">
        <v>83230</v>
      </c>
      <c r="E375" s="47" t="n">
        <v>514</v>
      </c>
      <c r="F375" s="47" t="n">
        <v>4</v>
      </c>
      <c r="G375" s="48" t="n">
        <v>44226.53</v>
      </c>
      <c r="H375" s="48" t="n">
        <v>389.59</v>
      </c>
      <c r="I375" s="48" t="n">
        <v>44616.12</v>
      </c>
      <c r="J375" s="48" t="n">
        <v>160.68</v>
      </c>
      <c r="K375" s="43"/>
      <c r="L375" s="43"/>
      <c r="M375" s="43"/>
      <c r="N375" s="43"/>
      <c r="O375" s="43"/>
    </row>
    <row r="376" customFormat="false" ht="14.25" hidden="false" customHeight="true" outlineLevel="0" collapsed="false">
      <c r="A376" s="47" t="s">
        <v>20</v>
      </c>
      <c r="B376" s="47" t="s">
        <v>263</v>
      </c>
      <c r="C376" s="47" t="s">
        <v>13</v>
      </c>
      <c r="D376" s="48" t="n">
        <v>5633.61</v>
      </c>
      <c r="E376" s="47" t="n">
        <v>3</v>
      </c>
      <c r="F376" s="47" t="n">
        <v>0</v>
      </c>
      <c r="G376" s="48" t="n">
        <v>329.8</v>
      </c>
      <c r="H376" s="48" t="n">
        <v>0</v>
      </c>
      <c r="I376" s="48" t="n">
        <v>329.8</v>
      </c>
      <c r="J376" s="48" t="n">
        <v>1877.87</v>
      </c>
      <c r="K376" s="43"/>
      <c r="L376" s="43"/>
      <c r="M376" s="43"/>
      <c r="N376" s="43"/>
      <c r="O376" s="43"/>
    </row>
    <row r="377" customFormat="false" ht="14.25" hidden="false" customHeight="true" outlineLevel="0" collapsed="false">
      <c r="A377" s="47" t="s">
        <v>20</v>
      </c>
      <c r="B377" s="47" t="s">
        <v>263</v>
      </c>
      <c r="C377" s="47" t="s">
        <v>16</v>
      </c>
      <c r="D377" s="48" t="n">
        <v>14128.9</v>
      </c>
      <c r="E377" s="47" t="n">
        <v>59</v>
      </c>
      <c r="F377" s="47" t="n">
        <v>2</v>
      </c>
      <c r="G377" s="48" t="n">
        <v>3804.88</v>
      </c>
      <c r="H377" s="48" t="n">
        <v>199.8</v>
      </c>
      <c r="I377" s="48" t="n">
        <v>4004.68</v>
      </c>
      <c r="J377" s="48" t="n">
        <v>231.62</v>
      </c>
      <c r="K377" s="43"/>
      <c r="L377" s="43"/>
      <c r="M377" s="43"/>
      <c r="N377" s="43"/>
      <c r="O377" s="43"/>
    </row>
    <row r="378" customFormat="false" ht="14.25" hidden="false" customHeight="true" outlineLevel="0" collapsed="false">
      <c r="A378" s="47" t="s">
        <v>20</v>
      </c>
      <c r="B378" s="47" t="s">
        <v>264</v>
      </c>
      <c r="C378" s="47" t="s">
        <v>10</v>
      </c>
      <c r="D378" s="48" t="n">
        <v>17908.6</v>
      </c>
      <c r="E378" s="47" t="n">
        <v>89</v>
      </c>
      <c r="F378" s="47" t="n">
        <v>8</v>
      </c>
      <c r="G378" s="48" t="n">
        <v>7236.53</v>
      </c>
      <c r="H378" s="48" t="n">
        <v>799.2</v>
      </c>
      <c r="I378" s="48" t="n">
        <v>8035.73</v>
      </c>
      <c r="J378" s="48" t="n">
        <v>184.62</v>
      </c>
      <c r="K378" s="43"/>
      <c r="L378" s="43"/>
      <c r="M378" s="43"/>
      <c r="N378" s="43"/>
      <c r="O378" s="43"/>
    </row>
    <row r="379" customFormat="false" ht="14.25" hidden="false" customHeight="true" outlineLevel="0" collapsed="false">
      <c r="A379" s="47" t="s">
        <v>20</v>
      </c>
      <c r="B379" s="47" t="s">
        <v>264</v>
      </c>
      <c r="C379" s="47" t="s">
        <v>12</v>
      </c>
      <c r="D379" s="47" t="s">
        <v>324</v>
      </c>
      <c r="E379" s="47" t="n">
        <v>18</v>
      </c>
      <c r="F379" s="47" t="n">
        <v>2</v>
      </c>
      <c r="G379" s="48" t="n">
        <v>1818.3</v>
      </c>
      <c r="H379" s="48" t="n">
        <v>219.7</v>
      </c>
      <c r="I379" s="48" t="n">
        <v>2038</v>
      </c>
      <c r="J379" s="47" t="s">
        <v>325</v>
      </c>
      <c r="K379" s="43"/>
      <c r="L379" s="43"/>
      <c r="M379" s="43"/>
      <c r="N379" s="43"/>
      <c r="O379" s="43"/>
    </row>
    <row r="380" customFormat="false" ht="14.25" hidden="false" customHeight="true" outlineLevel="0" collapsed="false">
      <c r="A380" s="47" t="s">
        <v>20</v>
      </c>
      <c r="B380" s="47" t="s">
        <v>264</v>
      </c>
      <c r="C380" s="47" t="s">
        <v>15</v>
      </c>
      <c r="D380" s="48" t="n">
        <v>23774</v>
      </c>
      <c r="E380" s="47" t="n">
        <v>89</v>
      </c>
      <c r="F380" s="47" t="n">
        <v>1</v>
      </c>
      <c r="G380" s="48" t="n">
        <v>8720.26</v>
      </c>
      <c r="H380" s="48" t="n">
        <v>89.89</v>
      </c>
      <c r="I380" s="48" t="n">
        <v>8810.15</v>
      </c>
      <c r="J380" s="48" t="n">
        <v>264.16</v>
      </c>
      <c r="K380" s="43"/>
      <c r="L380" s="43"/>
      <c r="M380" s="43"/>
      <c r="N380" s="43"/>
      <c r="O380" s="43"/>
    </row>
    <row r="381" customFormat="false" ht="14.25" hidden="false" customHeight="true" outlineLevel="0" collapsed="false">
      <c r="A381" s="47" t="s">
        <v>20</v>
      </c>
      <c r="B381" s="47" t="s">
        <v>267</v>
      </c>
      <c r="C381" s="47" t="s">
        <v>14</v>
      </c>
      <c r="D381" s="48" t="n">
        <v>3712.16</v>
      </c>
      <c r="E381" s="47" t="n">
        <v>23</v>
      </c>
      <c r="F381" s="47" t="n">
        <v>0</v>
      </c>
      <c r="G381" s="48" t="n">
        <v>1988.18</v>
      </c>
      <c r="H381" s="48" t="n">
        <v>0</v>
      </c>
      <c r="I381" s="48" t="n">
        <v>1988.18</v>
      </c>
      <c r="J381" s="48" t="n">
        <v>161.4</v>
      </c>
      <c r="K381" s="43"/>
      <c r="L381" s="43"/>
      <c r="M381" s="43"/>
      <c r="N381" s="43"/>
      <c r="O381" s="43"/>
    </row>
    <row r="382" customFormat="false" ht="14.25" hidden="false" customHeight="true" outlineLevel="0" collapsed="false">
      <c r="A382" s="47" t="s">
        <v>21</v>
      </c>
      <c r="B382" s="47" t="s">
        <v>256</v>
      </c>
      <c r="C382" s="47" t="s">
        <v>18</v>
      </c>
      <c r="D382" s="48" t="n">
        <v>161849.96</v>
      </c>
      <c r="E382" s="47" t="n">
        <v>808</v>
      </c>
      <c r="F382" s="47" t="n">
        <v>3</v>
      </c>
      <c r="G382" s="48" t="n">
        <v>67103</v>
      </c>
      <c r="H382" s="48" t="n">
        <v>74.9</v>
      </c>
      <c r="I382" s="48" t="n">
        <v>67177.9</v>
      </c>
    </row>
    <row r="383" customFormat="false" ht="15" hidden="false" customHeight="true" outlineLevel="0" collapsed="false">
      <c r="A383" s="47" t="s">
        <v>21</v>
      </c>
      <c r="B383" s="47" t="s">
        <v>258</v>
      </c>
      <c r="C383" s="47" t="s">
        <v>18</v>
      </c>
      <c r="D383" s="48" t="n">
        <v>7410.09</v>
      </c>
      <c r="E383" s="47" t="n">
        <v>138</v>
      </c>
      <c r="F383" s="47" t="n">
        <v>0</v>
      </c>
      <c r="G383" s="48" t="n">
        <v>11731.77</v>
      </c>
      <c r="H383" s="48" t="n">
        <v>0</v>
      </c>
      <c r="I383" s="48" t="n">
        <v>11731.77</v>
      </c>
    </row>
    <row r="384" customFormat="false" ht="14.25" hidden="false" customHeight="true" outlineLevel="0" collapsed="false">
      <c r="A384" s="47" t="s">
        <v>21</v>
      </c>
      <c r="B384" s="47" t="s">
        <v>260</v>
      </c>
      <c r="C384" s="47" t="s">
        <v>18</v>
      </c>
      <c r="D384" s="48" t="n">
        <v>17008.44</v>
      </c>
      <c r="E384" s="47" t="n">
        <v>128</v>
      </c>
      <c r="F384" s="47" t="n">
        <v>0</v>
      </c>
      <c r="G384" s="48" t="n">
        <v>11678.14</v>
      </c>
      <c r="H384" s="48" t="n">
        <v>0</v>
      </c>
      <c r="I384" s="48" t="n">
        <v>11678.14</v>
      </c>
    </row>
    <row r="385" customFormat="false" ht="14.25" hidden="false" customHeight="true" outlineLevel="0" collapsed="false">
      <c r="A385" s="47" t="s">
        <v>21</v>
      </c>
      <c r="B385" s="47" t="s">
        <v>261</v>
      </c>
      <c r="C385" s="47" t="s">
        <v>18</v>
      </c>
      <c r="D385" s="48" t="n">
        <v>33561.65</v>
      </c>
      <c r="E385" s="47" t="n">
        <v>301</v>
      </c>
      <c r="F385" s="47" t="n">
        <v>0</v>
      </c>
      <c r="G385" s="48" t="n">
        <v>26440.99</v>
      </c>
      <c r="H385" s="48" t="n">
        <v>0</v>
      </c>
      <c r="I385" s="48" t="n">
        <v>26440.99</v>
      </c>
    </row>
    <row r="386" customFormat="false" ht="14.25" hidden="false" customHeight="true" outlineLevel="0" collapsed="false">
      <c r="A386" s="47" t="s">
        <v>21</v>
      </c>
      <c r="B386" s="47" t="s">
        <v>263</v>
      </c>
      <c r="C386" s="47" t="s">
        <v>18</v>
      </c>
      <c r="D386" s="48" t="n">
        <v>52291.74</v>
      </c>
      <c r="E386" s="47" t="n">
        <v>316</v>
      </c>
      <c r="F386" s="47" t="n">
        <v>2</v>
      </c>
      <c r="G386" s="48" t="n">
        <v>26217.75</v>
      </c>
      <c r="H386" s="48" t="n">
        <v>25</v>
      </c>
      <c r="I386" s="48" t="n">
        <v>26242.75</v>
      </c>
    </row>
    <row r="387" customFormat="false" ht="14.25" hidden="false" customHeight="true" outlineLevel="0" collapsed="false">
      <c r="A387" s="47" t="s">
        <v>21</v>
      </c>
      <c r="B387" s="47" t="s">
        <v>326</v>
      </c>
      <c r="C387" s="47" t="s">
        <v>18</v>
      </c>
      <c r="D387" s="48"/>
      <c r="E387" s="47" t="n">
        <v>17</v>
      </c>
      <c r="F387" s="47" t="n">
        <v>0</v>
      </c>
      <c r="G387" s="48" t="n">
        <v>1698.7</v>
      </c>
      <c r="H387" s="48" t="n">
        <v>0</v>
      </c>
      <c r="I387" s="48" t="n">
        <v>1698.7</v>
      </c>
      <c r="J387" s="43"/>
      <c r="K387" s="43"/>
      <c r="L387" s="43"/>
      <c r="M387" s="43"/>
      <c r="N387" s="43"/>
      <c r="O387" s="43"/>
    </row>
    <row r="388" customFormat="false" ht="14.25" hidden="false" customHeight="true" outlineLevel="0" collapsed="false">
      <c r="A388" s="47" t="s">
        <v>21</v>
      </c>
      <c r="B388" s="47" t="s">
        <v>264</v>
      </c>
      <c r="C388" s="47" t="s">
        <v>10</v>
      </c>
      <c r="D388" s="48" t="n">
        <v>42137.5</v>
      </c>
      <c r="E388" s="47" t="n">
        <v>158</v>
      </c>
      <c r="F388" s="47" t="n">
        <v>4</v>
      </c>
      <c r="G388" s="48" t="n">
        <v>12889.57</v>
      </c>
      <c r="H388" s="48" t="n">
        <v>90.1</v>
      </c>
      <c r="I388" s="48" t="n">
        <v>12979.67</v>
      </c>
      <c r="J388" s="43"/>
      <c r="K388" s="43"/>
      <c r="L388" s="43"/>
      <c r="M388" s="43"/>
      <c r="N388" s="43"/>
      <c r="O388" s="43"/>
    </row>
    <row r="389" customFormat="false" ht="14.25" hidden="false" customHeight="true" outlineLevel="0" collapsed="false">
      <c r="A389" s="47" t="s">
        <v>21</v>
      </c>
      <c r="B389" s="47" t="s">
        <v>261</v>
      </c>
      <c r="C389" s="47" t="s">
        <v>17</v>
      </c>
      <c r="D389" s="48" t="n">
        <v>7521.05</v>
      </c>
      <c r="E389" s="47" t="n">
        <v>26</v>
      </c>
      <c r="F389" s="47"/>
      <c r="G389" s="48" t="n">
        <v>2647.59</v>
      </c>
      <c r="H389" s="48"/>
      <c r="I389" s="48" t="n">
        <v>2647.59</v>
      </c>
      <c r="J389" s="43"/>
      <c r="K389" s="43"/>
      <c r="L389" s="43"/>
      <c r="M389" s="43"/>
      <c r="N389" s="43"/>
      <c r="O389" s="43"/>
    </row>
    <row r="390" customFormat="false" ht="14.25" hidden="false" customHeight="true" outlineLevel="0" collapsed="false">
      <c r="A390" s="47" t="s">
        <v>21</v>
      </c>
      <c r="B390" s="47" t="s">
        <v>264</v>
      </c>
      <c r="C390" s="47" t="s">
        <v>15</v>
      </c>
      <c r="D390" s="48" t="n">
        <v>50240.35</v>
      </c>
      <c r="E390" s="47" t="n">
        <v>66</v>
      </c>
      <c r="F390" s="47" t="n">
        <v>1</v>
      </c>
      <c r="G390" s="48" t="n">
        <v>6359.19</v>
      </c>
      <c r="H390" s="48" t="n">
        <v>14.99</v>
      </c>
      <c r="I390" s="48" t="n">
        <v>6374.18</v>
      </c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7" t="s">
        <v>21</v>
      </c>
      <c r="B391" s="47" t="s">
        <v>267</v>
      </c>
      <c r="C391" s="47" t="s">
        <v>14</v>
      </c>
      <c r="D391" s="48" t="n">
        <v>0</v>
      </c>
      <c r="E391" s="47" t="n">
        <v>25</v>
      </c>
      <c r="F391" s="47" t="n">
        <v>1</v>
      </c>
      <c r="G391" s="48" t="n">
        <v>2177.7</v>
      </c>
      <c r="H391" s="48" t="n">
        <v>39.97</v>
      </c>
      <c r="I391" s="48" t="n">
        <v>2217.67</v>
      </c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47" t="s">
        <v>21</v>
      </c>
      <c r="B392" s="47" t="s">
        <v>263</v>
      </c>
      <c r="C392" s="47" t="s">
        <v>16</v>
      </c>
      <c r="D392" s="48" t="n">
        <v>13514.98</v>
      </c>
      <c r="E392" s="47" t="n">
        <v>26</v>
      </c>
      <c r="F392" s="47"/>
      <c r="G392" s="48" t="n">
        <v>2706.64</v>
      </c>
      <c r="H392" s="48"/>
      <c r="I392" s="48" t="n">
        <v>2706.64</v>
      </c>
      <c r="J392" s="43"/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7"/>
      <c r="B393" s="47"/>
      <c r="C393" s="47"/>
      <c r="D393" s="48"/>
      <c r="E393" s="47"/>
      <c r="F393" s="47"/>
      <c r="G393" s="48"/>
      <c r="H393" s="48"/>
      <c r="I393" s="48"/>
      <c r="J393" s="43"/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/>
      <c r="B394" s="47"/>
      <c r="C394" s="47"/>
      <c r="D394" s="48"/>
      <c r="E394" s="47"/>
      <c r="F394" s="47"/>
      <c r="G394" s="48"/>
      <c r="H394" s="48"/>
      <c r="I394" s="48"/>
      <c r="J394" s="43"/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/>
      <c r="B395" s="47"/>
      <c r="C395" s="47"/>
      <c r="D395" s="48"/>
      <c r="E395" s="47"/>
      <c r="F395" s="47"/>
      <c r="G395" s="48"/>
      <c r="H395" s="48"/>
      <c r="I395" s="48"/>
      <c r="J395" s="43"/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/>
      <c r="B396" s="47"/>
      <c r="C396" s="47"/>
      <c r="D396" s="48"/>
      <c r="E396" s="47"/>
      <c r="F396" s="47"/>
      <c r="G396" s="48"/>
      <c r="H396" s="48"/>
      <c r="I396" s="48"/>
      <c r="J396" s="43"/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/>
      <c r="B397" s="47"/>
      <c r="C397" s="47"/>
      <c r="D397" s="48"/>
      <c r="E397" s="47"/>
      <c r="F397" s="47"/>
      <c r="G397" s="48"/>
      <c r="H397" s="48"/>
      <c r="I397" s="48"/>
      <c r="J397" s="43"/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/>
      <c r="B398" s="47"/>
      <c r="C398" s="47"/>
      <c r="D398" s="48"/>
      <c r="E398" s="47"/>
      <c r="F398" s="47"/>
      <c r="G398" s="48"/>
      <c r="H398" s="48"/>
      <c r="I398" s="48"/>
      <c r="J398" s="43"/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/>
      <c r="B399" s="47"/>
      <c r="C399" s="47"/>
      <c r="D399" s="48"/>
      <c r="E399" s="47"/>
      <c r="F399" s="47"/>
      <c r="G399" s="48"/>
      <c r="H399" s="48"/>
      <c r="I399" s="48"/>
      <c r="J399" s="43"/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/>
      <c r="B400" s="47"/>
      <c r="C400" s="47"/>
      <c r="D400" s="48"/>
      <c r="E400" s="47"/>
      <c r="F400" s="47"/>
      <c r="G400" s="48"/>
      <c r="H400" s="48"/>
      <c r="I400" s="48"/>
      <c r="J400" s="43"/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/>
      <c r="B401" s="47"/>
      <c r="C401" s="47"/>
      <c r="D401" s="48"/>
      <c r="E401" s="47"/>
      <c r="F401" s="47"/>
      <c r="G401" s="48"/>
      <c r="H401" s="48"/>
      <c r="I401" s="48"/>
      <c r="J401" s="43"/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/>
      <c r="B402" s="47"/>
      <c r="C402" s="47"/>
      <c r="D402" s="48"/>
      <c r="E402" s="47"/>
      <c r="F402" s="47"/>
      <c r="G402" s="48"/>
      <c r="H402" s="48"/>
      <c r="I402" s="48"/>
      <c r="J402" s="43"/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/>
      <c r="B403" s="47"/>
      <c r="C403" s="47"/>
      <c r="D403" s="48"/>
      <c r="E403" s="47"/>
      <c r="F403" s="47"/>
      <c r="G403" s="48"/>
      <c r="H403" s="48"/>
      <c r="I403" s="48"/>
      <c r="J403" s="43"/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/>
      <c r="B404" s="47"/>
      <c r="C404" s="47"/>
      <c r="D404" s="48"/>
      <c r="E404" s="47"/>
      <c r="F404" s="47"/>
      <c r="G404" s="48"/>
      <c r="H404" s="48"/>
      <c r="I404" s="48"/>
      <c r="J404" s="43"/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/>
      <c r="B405" s="47"/>
      <c r="C405" s="47"/>
      <c r="D405" s="48"/>
      <c r="E405" s="47"/>
      <c r="F405" s="47"/>
      <c r="G405" s="48"/>
      <c r="H405" s="48"/>
      <c r="I405" s="48"/>
      <c r="J405" s="43"/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/>
      <c r="B406" s="47"/>
      <c r="C406" s="47"/>
      <c r="D406" s="48"/>
      <c r="E406" s="47"/>
      <c r="F406" s="47"/>
      <c r="G406" s="48"/>
      <c r="H406" s="48"/>
      <c r="I406" s="48"/>
      <c r="J406" s="43"/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/>
      <c r="B407" s="47"/>
      <c r="C407" s="47"/>
      <c r="D407" s="48"/>
      <c r="E407" s="47"/>
      <c r="F407" s="47"/>
      <c r="G407" s="48"/>
      <c r="H407" s="48"/>
      <c r="I407" s="48"/>
      <c r="J407" s="43"/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/>
      <c r="B408" s="47"/>
      <c r="C408" s="47"/>
      <c r="D408" s="48"/>
      <c r="E408" s="47"/>
      <c r="F408" s="47"/>
      <c r="G408" s="48"/>
      <c r="H408" s="48"/>
      <c r="I408" s="48"/>
      <c r="J408" s="43"/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/>
      <c r="B409" s="47"/>
      <c r="C409" s="47"/>
      <c r="D409" s="48"/>
      <c r="E409" s="47"/>
      <c r="F409" s="47"/>
      <c r="G409" s="48"/>
      <c r="H409" s="48"/>
      <c r="I409" s="48"/>
      <c r="J409" s="43"/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/>
      <c r="B410" s="47"/>
      <c r="C410" s="47"/>
      <c r="D410" s="48"/>
      <c r="E410" s="47"/>
      <c r="F410" s="47"/>
      <c r="G410" s="48"/>
      <c r="H410" s="48"/>
      <c r="I410" s="48"/>
      <c r="J410" s="43"/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/>
      <c r="B411" s="47"/>
      <c r="C411" s="47"/>
      <c r="D411" s="48"/>
      <c r="E411" s="47"/>
      <c r="F411" s="47"/>
      <c r="G411" s="48"/>
      <c r="H411" s="48"/>
      <c r="I411" s="48"/>
      <c r="J411" s="43"/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/>
      <c r="B412" s="47"/>
      <c r="C412" s="47"/>
      <c r="D412" s="48"/>
      <c r="E412" s="47"/>
      <c r="F412" s="47"/>
      <c r="G412" s="48"/>
      <c r="H412" s="48"/>
      <c r="I412" s="48"/>
      <c r="J412" s="43"/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/>
      <c r="B413" s="47"/>
      <c r="C413" s="47"/>
      <c r="D413" s="48"/>
      <c r="E413" s="47"/>
      <c r="F413" s="47"/>
      <c r="G413" s="48"/>
      <c r="H413" s="48"/>
      <c r="I413" s="48"/>
      <c r="J413" s="43"/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/>
      <c r="B414" s="47"/>
      <c r="C414" s="47"/>
      <c r="D414" s="48"/>
      <c r="E414" s="47"/>
      <c r="F414" s="47"/>
      <c r="G414" s="48"/>
      <c r="H414" s="48"/>
      <c r="I414" s="48"/>
      <c r="J414" s="43"/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/>
      <c r="B415" s="47"/>
      <c r="C415" s="47"/>
      <c r="D415" s="48"/>
      <c r="E415" s="47"/>
      <c r="F415" s="47"/>
      <c r="G415" s="48"/>
      <c r="H415" s="48"/>
      <c r="I415" s="48"/>
      <c r="J415" s="43"/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/>
      <c r="B416" s="47"/>
      <c r="C416" s="47"/>
      <c r="D416" s="48"/>
      <c r="E416" s="47"/>
      <c r="F416" s="47"/>
      <c r="G416" s="48"/>
      <c r="H416" s="48"/>
      <c r="I416" s="48"/>
      <c r="J416" s="43"/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/>
      <c r="B417" s="47"/>
      <c r="C417" s="47"/>
      <c r="D417" s="48"/>
      <c r="E417" s="47"/>
      <c r="F417" s="47"/>
      <c r="G417" s="48"/>
      <c r="H417" s="48"/>
      <c r="I417" s="48"/>
      <c r="J417" s="43"/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/>
      <c r="B418" s="47"/>
      <c r="C418" s="47"/>
      <c r="D418" s="48"/>
      <c r="E418" s="47"/>
      <c r="F418" s="47"/>
      <c r="G418" s="48"/>
      <c r="H418" s="48"/>
      <c r="I418" s="48"/>
      <c r="J418" s="43"/>
      <c r="K418" s="43"/>
      <c r="L418" s="43"/>
      <c r="M418" s="43"/>
      <c r="N418" s="43"/>
      <c r="O418" s="43"/>
    </row>
    <row r="419" customFormat="false" ht="14.25" hidden="false" customHeight="true" outlineLevel="0" collapsed="false">
      <c r="A419" s="47"/>
      <c r="B419" s="47"/>
      <c r="C419" s="47"/>
      <c r="D419" s="48"/>
      <c r="E419" s="47"/>
      <c r="F419" s="47"/>
      <c r="G419" s="48"/>
      <c r="H419" s="48"/>
      <c r="I419" s="48"/>
      <c r="J419" s="43"/>
      <c r="K419" s="43"/>
      <c r="L419" s="43"/>
      <c r="M419" s="43"/>
      <c r="N419" s="43"/>
      <c r="O419" s="43"/>
    </row>
    <row r="420" customFormat="false" ht="14.25" hidden="false" customHeight="true" outlineLevel="0" collapsed="false">
      <c r="A420" s="47"/>
      <c r="B420" s="47"/>
      <c r="C420" s="47"/>
      <c r="D420" s="48"/>
      <c r="E420" s="47"/>
      <c r="F420" s="47"/>
      <c r="G420" s="48"/>
      <c r="H420" s="48"/>
      <c r="I420" s="48"/>
      <c r="J420" s="43"/>
      <c r="K420" s="43"/>
      <c r="L420" s="43"/>
      <c r="M420" s="43"/>
      <c r="N420" s="43"/>
      <c r="O420" s="43"/>
    </row>
    <row r="421" customFormat="false" ht="14.25" hidden="false" customHeight="true" outlineLevel="0" collapsed="false">
      <c r="A421" s="47"/>
      <c r="B421" s="47"/>
      <c r="C421" s="47"/>
      <c r="D421" s="48"/>
      <c r="E421" s="47"/>
      <c r="F421" s="47"/>
      <c r="G421" s="48"/>
      <c r="H421" s="48"/>
      <c r="I421" s="48"/>
      <c r="J421" s="43"/>
      <c r="K421" s="43"/>
      <c r="L421" s="43"/>
      <c r="M421" s="43"/>
      <c r="N421" s="43"/>
      <c r="O421" s="43"/>
    </row>
    <row r="422" customFormat="false" ht="14.25" hidden="false" customHeight="true" outlineLevel="0" collapsed="false">
      <c r="A422" s="47"/>
      <c r="B422" s="47"/>
      <c r="C422" s="47"/>
      <c r="D422" s="48"/>
      <c r="E422" s="47"/>
      <c r="F422" s="47"/>
      <c r="G422" s="48"/>
      <c r="H422" s="48"/>
      <c r="I422" s="48"/>
      <c r="J422" s="43"/>
      <c r="K422" s="43"/>
      <c r="L422" s="43"/>
      <c r="M422" s="43"/>
      <c r="N422" s="43"/>
      <c r="O422" s="43"/>
    </row>
    <row r="423" customFormat="false" ht="14.25" hidden="false" customHeight="true" outlineLevel="0" collapsed="false">
      <c r="A423" s="47"/>
      <c r="B423" s="47"/>
      <c r="C423" s="47"/>
      <c r="D423" s="48"/>
      <c r="E423" s="47"/>
      <c r="F423" s="47"/>
      <c r="G423" s="48"/>
      <c r="H423" s="48"/>
      <c r="I423" s="48"/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/>
      <c r="B424" s="47"/>
      <c r="C424" s="47"/>
      <c r="D424" s="48"/>
      <c r="E424" s="47"/>
      <c r="F424" s="47"/>
      <c r="G424" s="48"/>
      <c r="H424" s="48"/>
      <c r="I424" s="48"/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/>
      <c r="B425" s="47"/>
      <c r="C425" s="47"/>
      <c r="D425" s="48"/>
      <c r="E425" s="47"/>
      <c r="F425" s="47"/>
      <c r="G425" s="48"/>
      <c r="H425" s="48"/>
      <c r="I425" s="48"/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/>
      <c r="B426" s="47"/>
      <c r="C426" s="47"/>
      <c r="D426" s="48"/>
      <c r="E426" s="47"/>
      <c r="F426" s="47"/>
      <c r="G426" s="48"/>
      <c r="H426" s="48"/>
      <c r="I426" s="48"/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/>
      <c r="B427" s="47"/>
      <c r="C427" s="47"/>
      <c r="D427" s="48"/>
      <c r="E427" s="47"/>
      <c r="F427" s="47"/>
      <c r="G427" s="48"/>
      <c r="H427" s="48"/>
      <c r="I427" s="48"/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/>
      <c r="B428" s="47"/>
      <c r="C428" s="47"/>
      <c r="D428" s="48"/>
      <c r="E428" s="47"/>
      <c r="F428" s="47"/>
      <c r="G428" s="48"/>
      <c r="H428" s="48"/>
      <c r="I428" s="48"/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327</v>
      </c>
      <c r="B1" s="54"/>
      <c r="C1" s="54"/>
      <c r="D1" s="54"/>
    </row>
    <row r="2" customFormat="false" ht="15" hidden="false" customHeight="true" outlineLevel="0" collapsed="false">
      <c r="A2" s="55" t="s">
        <v>328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269</v>
      </c>
      <c r="D4" s="56" t="s">
        <v>271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9704.52</v>
      </c>
    </row>
    <row r="6" customFormat="false" ht="15" hidden="false" customHeight="true" outlineLevel="0" collapsed="false">
      <c r="A6" s="41" t="s">
        <v>11</v>
      </c>
      <c r="B6" s="41" t="s">
        <v>293</v>
      </c>
      <c r="C6" s="41" t="s">
        <v>178</v>
      </c>
      <c r="D6" s="58" t="n">
        <f aca="false">'CUSTOS MENSAIS'!F273</f>
        <v>4.85</v>
      </c>
    </row>
    <row r="7" customFormat="false" ht="15" hidden="false" customHeight="true" outlineLevel="0" collapsed="false">
      <c r="A7" s="40" t="s">
        <v>11</v>
      </c>
      <c r="B7" s="40" t="s">
        <v>273</v>
      </c>
      <c r="C7" s="40" t="s">
        <v>220</v>
      </c>
      <c r="D7" s="57" t="n">
        <f aca="false">'CUSTOS MENSAIS'!F274</f>
        <v>99.999</v>
      </c>
    </row>
    <row r="8" customFormat="false" ht="15" hidden="false" customHeight="true" outlineLevel="0" collapsed="false">
      <c r="A8" s="41" t="s">
        <v>11</v>
      </c>
      <c r="B8" s="41" t="s">
        <v>280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273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273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279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279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279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281</v>
      </c>
      <c r="C16" s="41" t="s">
        <v>186</v>
      </c>
      <c r="D16" s="58" t="n">
        <f aca="false">'CUSTOS MENSAIS'!F298</f>
        <v>750</v>
      </c>
    </row>
    <row r="17" customFormat="false" ht="15" hidden="false" customHeight="true" outlineLevel="0" collapsed="false">
      <c r="A17" s="40" t="s">
        <v>11</v>
      </c>
      <c r="B17" s="40" t="s">
        <v>278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278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273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293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293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293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293</v>
      </c>
      <c r="C23" s="40" t="s">
        <v>191</v>
      </c>
      <c r="D23" s="57" t="n">
        <f aca="false">'CUSTOS MENSAIS'!F305</f>
        <v>1058.31</v>
      </c>
    </row>
    <row r="24" customFormat="false" ht="15" hidden="false" customHeight="true" outlineLevel="0" collapsed="false">
      <c r="A24" s="59" t="s">
        <v>11</v>
      </c>
      <c r="B24" s="59"/>
      <c r="C24" s="59" t="s">
        <v>329</v>
      </c>
      <c r="D24" s="60" t="n">
        <f aca="false">SUM(D5:D23)</f>
        <v>74272.579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9704.52</v>
      </c>
    </row>
    <row r="27" customFormat="false" ht="15" hidden="false" customHeight="true" outlineLevel="0" collapsed="false">
      <c r="A27" s="41" t="s">
        <v>20</v>
      </c>
      <c r="B27" s="41" t="s">
        <v>293</v>
      </c>
      <c r="C27" s="41" t="s">
        <v>178</v>
      </c>
      <c r="D27" s="58" t="n">
        <f aca="false">'CUSTOS MENSAIS'!F308</f>
        <v>4.85</v>
      </c>
    </row>
    <row r="28" customFormat="false" ht="15" hidden="false" customHeight="true" outlineLevel="0" collapsed="false">
      <c r="A28" s="40" t="s">
        <v>20</v>
      </c>
      <c r="B28" s="40" t="s">
        <v>273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280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273</v>
      </c>
      <c r="C30" s="40" t="s">
        <v>180</v>
      </c>
      <c r="D30" s="57" t="n">
        <f aca="false">'CUSTOS MENSAIS'!F329</f>
        <v>1654.6</v>
      </c>
    </row>
    <row r="31" customFormat="false" ht="15" hidden="false" customHeight="true" outlineLevel="0" collapsed="false">
      <c r="A31" s="41" t="s">
        <v>20</v>
      </c>
      <c r="B31" s="41" t="s">
        <v>273</v>
      </c>
      <c r="C31" s="41" t="s">
        <v>181</v>
      </c>
      <c r="D31" s="58" t="n">
        <f aca="false">'CUSTOS MENSAIS'!F330</f>
        <v>4.85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279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279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279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281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278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278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273</v>
      </c>
      <c r="C40" s="40" t="s">
        <v>187</v>
      </c>
      <c r="D40" s="57" t="n">
        <f aca="false">'CUSTOS MENSAIS'!F339</f>
        <v>381.28</v>
      </c>
    </row>
    <row r="41" customFormat="false" ht="15" hidden="false" customHeight="true" outlineLevel="0" collapsed="false">
      <c r="A41" s="41" t="s">
        <v>20</v>
      </c>
      <c r="B41" s="41" t="s">
        <v>293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293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293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293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330</v>
      </c>
      <c r="D45" s="60" t="n">
        <f aca="false">SUM(D26:D44)</f>
        <v>165242.03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331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332</v>
      </c>
      <c r="C49" s="62" t="s">
        <v>333</v>
      </c>
      <c r="D49" s="62" t="s">
        <v>334</v>
      </c>
      <c r="E49" s="62" t="s">
        <v>335</v>
      </c>
      <c r="F49" s="62" t="s">
        <v>336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145636.49</v>
      </c>
      <c r="F50" s="57" t="n">
        <f aca="false">IFERROR(E50/C50,0)</f>
        <v>791.502663043478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55087.64</v>
      </c>
      <c r="F51" s="58" t="n">
        <f aca="false">IFERROR(E51/C51,0)</f>
        <v>382.553055555556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337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338</v>
      </c>
      <c r="C54" s="62" t="s">
        <v>339</v>
      </c>
      <c r="D54" s="62" t="s">
        <v>340</v>
      </c>
      <c r="E54" s="62" t="s">
        <v>341</v>
      </c>
      <c r="F54" s="62" t="s">
        <v>342</v>
      </c>
      <c r="G54" s="63" t="s">
        <v>343</v>
      </c>
      <c r="H54" s="63" t="s">
        <v>344</v>
      </c>
      <c r="I54" s="62" t="s">
        <v>345</v>
      </c>
      <c r="J54" s="62" t="s">
        <v>346</v>
      </c>
      <c r="K54" s="62" t="s">
        <v>347</v>
      </c>
      <c r="L54" s="62" t="s">
        <v>348</v>
      </c>
      <c r="M54" s="62" t="s">
        <v>323</v>
      </c>
      <c r="O54" s="1" t="s">
        <v>349</v>
      </c>
    </row>
    <row r="55" customFormat="false" ht="14.25" hidden="false" customHeight="true" outlineLevel="0" collapsed="false">
      <c r="A55" s="40" t="s">
        <v>11</v>
      </c>
      <c r="B55" s="40" t="s">
        <v>350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351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352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350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351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352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2026-08-21T19:57:27Z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