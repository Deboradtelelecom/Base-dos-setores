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<sst xmlns="http://schemas.openxmlformats.org/spreadsheetml/2006/main" count="12494" uniqueCount="385">
  <si>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</si>
  <si>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</si>
  <si>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</si>
  <si>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</si>
  <si>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</si>
  <si>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</si>
  <si>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</si>
  <si>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</si>
  <si>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</si>
  <si>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</si>
  <si>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</si>
  <si>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</si>
  <si>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</si>
  <si>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</si>
  <si>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</si>
  <si>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</si>
  <si>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</si>
  <si>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</si>
  <si>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</si>
  <si>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</si>
  <si>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</si>
  <si>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</si>
  <si>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</si>
  <si>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</si>
  <si>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</si>
  <si>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</si>
  <si>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</si>
  <si>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</si>
  <si>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</si>
  <si>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</si>
  <si>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</si>
  <si>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</si>
  <si>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</si>
  <si>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</si>
  <si>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</si>
  <si>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</si>
  <si>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</si>
  <si>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</si>
  <si>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</si>
  <si>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</si>
  <si>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</si>
  <si>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</si>
  <si>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</si>
  <si>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</si>
  <si>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</si>
  <si>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</si>
  <si>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</si>
  <si>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</si>
  <si>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</si>
  <si>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</si>
  <si>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</si>
  <si>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</si>
  <si>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</si>
  <si>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</si>
  <si>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</si>
  <si>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</si>
  <si>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</si>
  <si>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</si>
  <si>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</si>
  <si>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</si>
  <si>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</si>
  <si>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</si>
  <si>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</si>
  <si>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</si>
  <si>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</si>
  <si>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</si>
  <si>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</si>
  <si>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</si>
  <si>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</si>
  <si>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</si>
  <si>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</si>
  <si>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</si>
  <si>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</si>
  <si>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</si>
  <si>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</si>
  <si>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</si>
  <si>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</si>
  <si>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</si>
  <si>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</si>
  <si>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</si>
  <si>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</si>
  <si>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</si>
  <si>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</si>
  <si>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</si>
  <si>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</si>
  <si>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</si>
  <si>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</si>
  <si>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</si>
  <si>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</si>
  <si>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</si>
  <si>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</si>
  <si>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</si>
  <si>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</si>
  <si>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</si>
  <si>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</si>
  <si>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</si>
  <si>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</si>
  <si>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</si>
  <si>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</si>
  <si>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</si>
  <si>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</si>
  <si>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</si>
  <si>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</si>
  <si>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</si>
  <si>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</si>
  <si>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</si>
  <si>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</si>
  <si>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</si>
  <si>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</si>
  <si>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</si>
  <si>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</si>
  <si>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</si>
  <si>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</si>
  <si>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</si>
  <si>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</si>
  <si>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</si>
  <si>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</si>
  <si>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</si>
  <si>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</si>
  <si>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</si>
  <si>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</si>
  <si>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</si>
  <si>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</si>
  <si>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</si>
  <si>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</si>
  <si>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</si>
  <si>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</si>
  <si>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</si>
  <si>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</si>
  <si>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</si>
  <si>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</si>
  <si>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</si>
  <si>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</si>
  <si>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</si>
  <si>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</si>
  <si>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</si>
  <si>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</si>
  <si>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</si>
  <si>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</si>
  <si>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</si>
  <si>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</si>
  <si>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</si>
  <si>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</si>
  <si>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</si>
  <si>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</si>
  <si>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</si>
  <si>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</si>
  <si>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</si>
  <si>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</si>
  <si>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</si>
  <si>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</si>
  <si>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</si>
  <si>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</si>
  <si>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</si>
  <si>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</si>
  <si>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</si>
  <si>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</si>
  <si>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</si>
  <si>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</si>
  <si>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</si>
  <si>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</si>
  <si>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</si>
  <si>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</si>
  <si>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</si>
  <si>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</si>
  <si>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</si>
  <si>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</si>
  <si>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</si>
  <si>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</si>
  <si>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</si>
  <si>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</si>
  <si>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</si>
  <si>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</si>
  <si>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</si>
  <si>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</si>
  <si>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</si>
  <si>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</si>
  <si>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</si>
  <si>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</si>
  <si>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</si>
  <si>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</si>
  <si>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</si>
  <si>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</si>
  <si>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</si>
  <si>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</si>
  <si>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</si>
  <si>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</si>
  <si>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</si>
  <si>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</si>
  <si>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</si>
  <si>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</si>
  <si>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</si>
  <si>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</si>
  <si>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</si>
  <si>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</si>
  <si>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</si>
  <si>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</si>
  <si>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</si>
  <si>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</si>
  <si>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</si>
  <si>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</si>
  <si>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</si>
  <si>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</si>
  <si>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</si>
  <si>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</si>
  <si>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</si>
  <si>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</si>
  <si>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</si>
  <si>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</si>
  <si>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</si>
  <si>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</si>
  <si>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</si>
  <si>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</si>
  <si>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</si>
  <si>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</si>
  <si>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</si>
  <si>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</si>
  <si>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</si>
  <si>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</si>
  <si>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</si>
  <si>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</si>
  <si>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</si>
  <si>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</si>
  <si>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</si>
  <si>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</si>
  <si>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</si>
  <si>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</si>
  <si>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</si>
  <si>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</si>
  <si>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</si>
  <si>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</si>
  <si>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</si>
  <si>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</si>
  <si>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</si>
  <si>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</si>
  <si>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</si>
  <si>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</si>
  <si>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</si>
  <si>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</si>
  <si>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</si>
  <si>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</si>
  <si>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</si>
  <si>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</si>
  <si>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</si>
  <si>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</si>
  <si>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</si>
  <si>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</si>
  <si>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</si>
  <si>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</si>
  <si>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</si>
  <si>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</si>
  <si>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</si>
  <si>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</si>
  <si>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</si>
  <si>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</si>
  <si>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</si>
  <si>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</si>
  <si>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</si>
  <si>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</si>
  <si>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</si>
  <si>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</si>
  <si>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</si>
  <si>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</si>
  <si>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</si>
  <si>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</si>
  <si>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</si>
  <si>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</si>
  <si>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</si>
  <si>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</si>
  <si>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</si>
  <si>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</si>
  <si>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</si>
  <si>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</si>
  <si>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</si>
  <si>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</si>
  <si>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</si>
  <si>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</si>
  <si>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</si>
  <si>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</si>
  <si>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</si>
  <si>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</si>
  <si>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</si>
  <si>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</si>
  <si>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</si>
  <si>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</si>
  <si>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</si>
  <si>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</si>
  <si>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</si>
  <si>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</si>
  <si>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</si>
  <si>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</si>
  <si>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</si>
  <si>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</si>
  <si>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</si>
  <si>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</si>
  <si>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</si>
  <si>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</si>
  <si>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</si>
  <si>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</si>
  <si>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</si>
  <si>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</si>
  <si>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</si>
  <si>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</si>
  <si>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</si>
  <si>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</si>
  <si>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</si>
  <si>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</si>
  <si>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</si>
  <si>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</si>
  <si>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</si>
  <si>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</si>
  <si>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</si>
  <si>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</si>
  <si>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</si>
  <si>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</si>
  <si>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</si>
  <si>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</si>
  <si>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</si>
  <si>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</si>
  <si>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</si>
  <si>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</si>
  <si>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</si>
  <si>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</si>
  <si>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</si>
  <si>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</si>
  <si>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</si>
  <si>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</si>
  <si>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</si>
  <si>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</si>
  <si>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</si>
  <si>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</si>
  <si>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</si>
  <si>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</si>
  <si>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</si>
  <si>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</si>
  <si>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</si>
  <si>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</si>
  <si>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</si>
  <si>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</si>
  <si>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</si>
  <si>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</si>
  <si>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</si>
  <si>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</si>
  <si>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</si>
  <si>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</si>
  <si>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</si>
  <si>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</si>
  <si>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</si>
  <si>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</si>
  <si>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</si>
  <si>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</si>
  <si>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</si>
  <si>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</si>
  <si>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</si>
  <si>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</si>
  <si>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</si>
  <si>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</si>
  <si>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</si>
  <si>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(não identificado — José Arthur da Silva Pereira [Relacionamento] e Caio Vinícius da Rocha Santos [Instalação], não são da equipe PAP)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</si>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</sst>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29085.76</v>
      </c>
      <c r="F47" s="21" t="n">
        <f aca="false">IFERROR(D47*E47,0)</f>
        <v>942.722440419447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942.722440419447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29085.76</v>
      </c>
      <c r="F48" s="22" t="n">
        <f aca="false">IFERROR(D48*E48,0)</f>
        <v>887.268179218303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887.268179218303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29085.76</v>
      </c>
      <c r="F49" s="21" t="n">
        <f aca="false">IFERROR(D49*E49,0)</f>
        <v>1164.53948522402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1164.53948522402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29085.76</v>
      </c>
      <c r="F50" s="22" t="n">
        <f aca="false">IFERROR(D50*E50,0)</f>
        <v>304.998436606292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304.998436606292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29085.76</v>
      </c>
      <c r="F51" s="21" t="n">
        <f aca="false">IFERROR(D51*E51,0)</f>
        <v>1164.53948522402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1164.53948522402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29085.76</v>
      </c>
      <c r="F52" s="22" t="n">
        <f aca="false">IFERROR(D52*E52,0)</f>
        <v>499.088350810296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499.088350810296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29085.76</v>
      </c>
      <c r="F53" s="21" t="n">
        <f aca="false">IFERROR(D53*E53,0)</f>
        <v>471.361220209724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471.361220209724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29085.76</v>
      </c>
      <c r="F54" s="22" t="n">
        <f aca="false">IFERROR(D54*E54,0)</f>
        <v>23651.2424022879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23651.2424022879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43117.9197</v>
      </c>
      <c r="F55" s="21" t="n">
        <f aca="false">IFERROR(D55*E55,0)</f>
        <v>1397.530285796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1397.530285796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43117.9197</v>
      </c>
      <c r="F56" s="22" t="n">
        <f aca="false">IFERROR(D56*E56,0)</f>
        <v>1315.32262192564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1315.32262192564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43117.9197</v>
      </c>
      <c r="F57" s="21" t="n">
        <f aca="false">IFERROR(D57*E57,0)</f>
        <v>1726.36094127741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1726.36094127741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43117.9197</v>
      </c>
      <c r="F58" s="22" t="n">
        <f aca="false">IFERROR(D58*E58,0)</f>
        <v>452.14215128694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452.14215128694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43117.9197</v>
      </c>
      <c r="F59" s="21" t="n">
        <f aca="false">IFERROR(D59*E59,0)</f>
        <v>1726.36094127741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1726.36094127741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43117.9197</v>
      </c>
      <c r="F60" s="22" t="n">
        <f aca="false">IFERROR(D60*E60,0)</f>
        <v>739.868974833174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739.868974833174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43117.9197</v>
      </c>
      <c r="F61" s="21" t="n">
        <f aca="false">IFERROR(D61*E61,0)</f>
        <v>698.765142897998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698.765142897998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43117.9197</v>
      </c>
      <c r="F62" s="22" t="n">
        <f aca="false">IFERROR(D62*E62,0)</f>
        <v>35061.5686407054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35061.5686407054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24337.88</v>
      </c>
      <c r="F63" s="21" t="n">
        <f aca="false">IFERROR(D63*E63,0)</f>
        <v>805.046301894346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805.046301894346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24337.88</v>
      </c>
      <c r="F64" s="22" t="n">
        <f aca="false">IFERROR(D64*E64,0)</f>
        <v>1676.04519454125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1676.04519454125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24337.88</v>
      </c>
      <c r="F65" s="21" t="n">
        <f aca="false">IFERROR(D65*E65,0)</f>
        <v>1803.82833912432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1803.82833912432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24337.88</v>
      </c>
      <c r="F66" s="22" t="n">
        <f aca="false">IFERROR(D66*E66,0)</f>
        <v>462.667416945951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462.667416945951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24337.88</v>
      </c>
      <c r="F67" s="21" t="n">
        <f aca="false">IFERROR(D67*E67,0)</f>
        <v>803.672289587001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803.672289587001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24337.88</v>
      </c>
      <c r="F68" s="22" t="n">
        <f aca="false">IFERROR(D68*E68,0)</f>
        <v>593.198586143716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593.198586143716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24337.88</v>
      </c>
      <c r="F69" s="21" t="n">
        <f aca="false">IFERROR(D69*E69,0)</f>
        <v>598.944455792612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598.944455792612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24337.88</v>
      </c>
      <c r="F70" s="22" t="n">
        <f aca="false">IFERROR(D70*E70,0)</f>
        <v>17594.4774159708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17594.4774159708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16781.8</v>
      </c>
      <c r="F71" s="21" t="n">
        <f aca="false">IFERROR(D71*E71,0)</f>
        <v>555.106937380352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555.106937380352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16781.8</v>
      </c>
      <c r="F72" s="22" t="n">
        <f aca="false">IFERROR(D72*E72,0)</f>
        <v>1155.69043999528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1155.69043999528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16781.8</v>
      </c>
      <c r="F73" s="21" t="n">
        <f aca="false">IFERROR(D73*E73,0)</f>
        <v>1243.80128513726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1243.80128513726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16781.8</v>
      </c>
      <c r="F74" s="22" t="n">
        <f aca="false">IFERROR(D74*E74,0)</f>
        <v>319.024995509205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319.024995509205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16781.8</v>
      </c>
      <c r="F75" s="21" t="n">
        <f aca="false">IFERROR(D75*E75,0)</f>
        <v>554.159508937965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554.159508937965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16781.8</v>
      </c>
      <c r="F76" s="22" t="n">
        <f aca="false">IFERROR(D76*E76,0)</f>
        <v>409.030697535965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409.030697535965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16781.8</v>
      </c>
      <c r="F77" s="21" t="n">
        <f aca="false">IFERROR(D77*E77,0)</f>
        <v>412.99267102231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412.99267102231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16781.8</v>
      </c>
      <c r="F78" s="22" t="n">
        <f aca="false">IFERROR(D78*E78,0)</f>
        <v>12131.9934644817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12131.9934644817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69776.19</v>
      </c>
      <c r="F79" s="21" t="n">
        <f aca="false">IFERROR(D79*E79,0)</f>
        <v>2308.05081296223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2308.05081296223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69776.19</v>
      </c>
      <c r="F80" s="22" t="n">
        <f aca="false">IFERROR(D80*E80,0)</f>
        <v>4805.18631626489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4805.18631626489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69776.19</v>
      </c>
      <c r="F81" s="21" t="n">
        <f aca="false">IFERROR(D81*E81,0)</f>
        <v>5171.53790379947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5171.53790379947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69776.19</v>
      </c>
      <c r="F82" s="22" t="n">
        <f aca="false">IFERROR(D82*E82,0)</f>
        <v>1326.45775193361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1326.45775193361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69776.19</v>
      </c>
      <c r="F83" s="21" t="n">
        <f aca="false">IFERROR(D83*E83,0)</f>
        <v>2304.11154858014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2304.11154858014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69776.19</v>
      </c>
      <c r="F84" s="22" t="n">
        <f aca="false">IFERROR(D84*E84,0)</f>
        <v>1700.68786823237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1700.68786823237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69776.19</v>
      </c>
      <c r="F85" s="21" t="n">
        <f aca="false">IFERROR(D85*E85,0)</f>
        <v>1717.16115564839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1717.16115564839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69776.19</v>
      </c>
      <c r="F86" s="22" t="n">
        <f aca="false">IFERROR(D86*E86,0)</f>
        <v>50442.9966425789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50442.9966425789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171451.3932</v>
      </c>
      <c r="F87" s="21" t="n">
        <f aca="false">IFERROR(D87*E87,0)</f>
        <v>5671.25444164789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5671.25444164789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171451.3932</v>
      </c>
      <c r="F88" s="22" t="n">
        <f aca="false">IFERROR(D88*E88,0)</f>
        <v>11807.120573783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11807.120573783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171451.3932</v>
      </c>
      <c r="F89" s="21" t="n">
        <f aca="false">IFERROR(D89*E89,0)</f>
        <v>12707.305724102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12707.305724102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171451.3932</v>
      </c>
      <c r="F90" s="22" t="n">
        <f aca="false">IFERROR(D90*E90,0)</f>
        <v>3259.32140447848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3259.32140447848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171451.3932</v>
      </c>
      <c r="F91" s="21" t="n">
        <f aca="false">IFERROR(D91*E91,0)</f>
        <v>5661.57503142941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5661.57503142941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171451.3932</v>
      </c>
      <c r="F92" s="22" t="n">
        <f aca="false">IFERROR(D92*E92,0)</f>
        <v>4178.86537523442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4178.86537523442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171451.3932</v>
      </c>
      <c r="F93" s="21" t="n">
        <f aca="false">IFERROR(D93*E93,0)</f>
        <v>4219.34290887535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4219.34290887535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171451.3932</v>
      </c>
      <c r="F94" s="22" t="n">
        <f aca="false">IFERROR(D94*E94,0)</f>
        <v>123946.607740449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123946.607740449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47304.0883</v>
      </c>
      <c r="F95" s="21" t="n">
        <f aca="false">IFERROR(D95*E95,0)</f>
        <v>1564.72056524227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1564.72056524227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47304.0883</v>
      </c>
      <c r="F96" s="22" t="n">
        <f aca="false">IFERROR(D96*E96,0)</f>
        <v>3257.62925437096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3257.62925437096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47304.0883</v>
      </c>
      <c r="F97" s="21" t="n">
        <f aca="false">IFERROR(D97*E97,0)</f>
        <v>3505.99374440088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3505.99374440088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47304.0883</v>
      </c>
      <c r="F98" s="22" t="n">
        <f aca="false">IFERROR(D98*E98,0)</f>
        <v>899.259111506187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899.259111506187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47304.0883</v>
      </c>
      <c r="F99" s="21" t="n">
        <f aca="false">IFERROR(D99*E99,0)</f>
        <v>1562.04997932797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1562.04997932797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47304.0883</v>
      </c>
      <c r="F100" s="22" t="n">
        <f aca="false">IFERROR(D100*E100,0)</f>
        <v>1152.96477336471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1152.96477336471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47304.0883</v>
      </c>
      <c r="F101" s="21" t="n">
        <f aca="false">IFERROR(D101*E101,0)</f>
        <v>1164.13267809724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1164.13267809724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47304.0883</v>
      </c>
      <c r="F102" s="22" t="n">
        <f aca="false">IFERROR(D102*E102,0)</f>
        <v>34197.3381936898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34197.3381936898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55061.8342</v>
      </c>
      <c r="F103" s="21" t="n">
        <f aca="false">IFERROR(D103*E103,0)</f>
        <v>1821.33061705578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1821.33061705578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55061.8342</v>
      </c>
      <c r="F104" s="22" t="n">
        <f aca="false">IFERROR(D104*E104,0)</f>
        <v>3791.87187271598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3791.87187271598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55061.8342</v>
      </c>
      <c r="F105" s="21" t="n">
        <f aca="false">IFERROR(D105*E105,0)</f>
        <v>4080.96748501204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4080.96748501204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55061.8342</v>
      </c>
      <c r="F106" s="22" t="n">
        <f aca="false">IFERROR(D106*E106,0)</f>
        <v>1046.73523748249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1046.73523748249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55061.8342</v>
      </c>
      <c r="F107" s="21" t="n">
        <f aca="false">IFERROR(D107*E107,0)</f>
        <v>1818.22206208486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1818.22206208486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55061.8342</v>
      </c>
      <c r="F108" s="22" t="n">
        <f aca="false">IFERROR(D108*E108,0)</f>
        <v>1342.04795972039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1342.04795972039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55061.8342</v>
      </c>
      <c r="F109" s="21" t="n">
        <f aca="false">IFERROR(D109*E109,0)</f>
        <v>1355.04737141699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1355.04737141699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55061.8342</v>
      </c>
      <c r="F110" s="22" t="n">
        <f aca="false">IFERROR(D110*E110,0)</f>
        <v>39805.6115945115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39805.6115945115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35472.48</v>
      </c>
      <c r="F111" s="21" t="n">
        <f aca="false">IFERROR(D111*E111,0)</f>
        <v>1173.3556432615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1173.3556432615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35472.48</v>
      </c>
      <c r="F112" s="22" t="n">
        <f aca="false">IFERROR(D112*E112,0)</f>
        <v>2442.83724147134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2442.83724147134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35472.48</v>
      </c>
      <c r="F113" s="21" t="n">
        <f aca="false">IFERROR(D113*E113,0)</f>
        <v>2629.08127918375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2629.08127918375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35472.48</v>
      </c>
      <c r="F114" s="22" t="n">
        <f aca="false">IFERROR(D114*E114,0)</f>
        <v>674.338138501255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674.338138501255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35472.48</v>
      </c>
      <c r="F115" s="21" t="n">
        <f aca="false">IFERROR(D115*E115,0)</f>
        <v>1171.35301920007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1171.35301920007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35472.48</v>
      </c>
      <c r="F116" s="22" t="n">
        <f aca="false">IFERROR(D116*E116,0)</f>
        <v>864.587424336517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864.587424336517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35472.48</v>
      </c>
      <c r="F117" s="21" t="n">
        <f aca="false">IFERROR(D117*E117,0)</f>
        <v>872.962034047926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872.962034047926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35472.48</v>
      </c>
      <c r="F118" s="22" t="n">
        <f aca="false">IFERROR(D118*E118,0)</f>
        <v>25643.9652199976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25643.9652199976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18100.91</v>
      </c>
      <c r="F119" s="21" t="n">
        <f aca="false">IFERROR(D119*E119,0)</f>
        <v>598.740344533804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598.740344533804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18100.91</v>
      </c>
      <c r="F120" s="22" t="n">
        <f aca="false">IFERROR(D120*E120,0)</f>
        <v>1246.5318763312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1246.5318763312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18100.91</v>
      </c>
      <c r="F121" s="21" t="n">
        <f aca="false">IFERROR(D121*E121,0)</f>
        <v>1341.56855165441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1341.56855165441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18100.91</v>
      </c>
      <c r="F122" s="22" t="n">
        <f aca="false">IFERROR(D122*E122,0)</f>
        <v>344.101510652166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344.101510652166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18100.91</v>
      </c>
      <c r="F123" s="21" t="n">
        <f aca="false">IFERROR(D123*E123,0)</f>
        <v>597.718444799146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597.718444799146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18100.91</v>
      </c>
      <c r="F124" s="22" t="n">
        <f aca="false">IFERROR(D124*E124,0)</f>
        <v>441.181985444691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441.181985444691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18100.91</v>
      </c>
      <c r="F125" s="21" t="n">
        <f aca="false">IFERROR(D125*E125,0)</f>
        <v>445.45538433508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445.45538433508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18100.91</v>
      </c>
      <c r="F126" s="22" t="n">
        <f aca="false">IFERROR(D126*E126,0)</f>
        <v>13085.6119022495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13085.6119022495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28941.7206607408</v>
      </c>
      <c r="F127" s="21" t="n">
        <f aca="false">IFERROR(D127*E127,0)</f>
        <v>957.331747399057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957.331747399057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28941.7206607408</v>
      </c>
      <c r="F128" s="22" t="n">
        <f aca="false">IFERROR(D128*E128,0)</f>
        <v>1993.09191413507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1993.09191413507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28941.7206607408</v>
      </c>
      <c r="F129" s="21" t="n">
        <f aca="false">IFERROR(D129*E129,0)</f>
        <v>2145.04697660043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2145.04697660043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28941.7206607408</v>
      </c>
      <c r="F130" s="22" t="n">
        <f aca="false">IFERROR(D130*E130,0)</f>
        <v>550.187244742608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550.187244742608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28941.7206607408</v>
      </c>
      <c r="F131" s="21" t="n">
        <f aca="false">IFERROR(D131*E131,0)</f>
        <v>955.697821996204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955.697821996204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28941.7206607408</v>
      </c>
      <c r="F132" s="22" t="n">
        <f aca="false">IFERROR(D132*E132,0)</f>
        <v>705.410158013673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705.410158013673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28941.7206607408</v>
      </c>
      <c r="F133" s="21" t="n">
        <f aca="false">IFERROR(D133*E133,0)</f>
        <v>712.242936971059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712.242936971059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28941.7206607408</v>
      </c>
      <c r="F134" s="22" t="n">
        <f aca="false">IFERROR(D134*E134,0)</f>
        <v>20922.7118608827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20922.7118608827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152869.042630445</v>
      </c>
      <c r="F199" s="21" t="n">
        <f aca="false">IFERROR(D199*E199,0)</f>
        <v>5056.58904735206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5056.58904735206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152869.042630445</v>
      </c>
      <c r="F200" s="22" t="n">
        <f aca="false">IFERROR(D200*E200,0)</f>
        <v>10527.4339545958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10527.4339545958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152869.042630445</v>
      </c>
      <c r="F201" s="21" t="n">
        <f aca="false">IFERROR(D201*E201,0)</f>
        <v>11330.0546831359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11330.0546831359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152869.042630445</v>
      </c>
      <c r="F202" s="22" t="n">
        <f aca="false">IFERROR(D202*E202,0)</f>
        <v>2906.06762317953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2906.06762317953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152869.042630445</v>
      </c>
      <c r="F203" s="21" t="n">
        <f aca="false">IFERROR(D203*E203,0)</f>
        <v>5047.95871693765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5047.95871693765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152869.042630445</v>
      </c>
      <c r="F204" s="22" t="n">
        <f aca="false">IFERROR(D204*E204,0)</f>
        <v>3725.94901254848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3725.94901254848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152869.042630445</v>
      </c>
      <c r="F205" s="21" t="n">
        <f aca="false">IFERROR(D205*E205,0)</f>
        <v>3762.03948519056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3762.03948519056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152869.042630445</v>
      </c>
      <c r="F206" s="22" t="n">
        <f aca="false">IFERROR(D206*E206,0)</f>
        <v>110512.950107505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110512.950107505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40401.7324</v>
      </c>
      <c r="F207" s="21" t="n">
        <f aca="false">IFERROR(D207*E207,0)</f>
        <v>1336.40503029619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1336.40503029619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40401.7324</v>
      </c>
      <c r="F208" s="22" t="n">
        <f aca="false">IFERROR(D208*E208,0)</f>
        <v>2782.2936689704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2782.2936689704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40401.7324</v>
      </c>
      <c r="F209" s="21" t="n">
        <f aca="false">IFERROR(D209*E209,0)</f>
        <v>2994.41816020283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2994.41816020283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40401.7324</v>
      </c>
      <c r="F210" s="22" t="n">
        <f aca="false">IFERROR(D210*E210,0)</f>
        <v>768.044101197374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768.044101197374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40401.7324</v>
      </c>
      <c r="F211" s="21" t="n">
        <f aca="false">IFERROR(D211*E211,0)</f>
        <v>1334.12412178831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1334.12412178831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40401.7324</v>
      </c>
      <c r="F212" s="22" t="n">
        <f aca="false">IFERROR(D212*E212,0)</f>
        <v>984.730409445554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984.730409445554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40401.7324</v>
      </c>
      <c r="F213" s="21" t="n">
        <f aca="false">IFERROR(D213*E213,0)</f>
        <v>994.268754114851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994.268754114851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40401.7324</v>
      </c>
      <c r="F214" s="22" t="n">
        <f aca="false">IFERROR(D214*E214,0)</f>
        <v>29207.4481539845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29207.4481539845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127471.1296</v>
      </c>
      <c r="F215" s="21" t="n">
        <f aca="false">IFERROR(D215*E215,0)</f>
        <v>4216.47906402591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4216.47906402591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127471.1296</v>
      </c>
      <c r="F216" s="22" t="n">
        <f aca="false">IFERROR(D216*E216,0)</f>
        <v>8778.3888411326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8778.3888411326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127471.1296</v>
      </c>
      <c r="F217" s="21" t="n">
        <f aca="false">IFERROR(D217*E217,0)</f>
        <v>9447.66084772663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9447.66084772663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127471.1296</v>
      </c>
      <c r="F218" s="22" t="n">
        <f aca="false">IFERROR(D218*E218,0)</f>
        <v>2423.24879024856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2423.24879024856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127471.1296</v>
      </c>
      <c r="F219" s="21" t="n">
        <f aca="false">IFERROR(D219*E219,0)</f>
        <v>4209.28259083673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4209.28259083673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127471.1296</v>
      </c>
      <c r="F220" s="22" t="n">
        <f aca="false">IFERROR(D220*E220,0)</f>
        <v>3106.91374322095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3106.91374322095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127471.1296</v>
      </c>
      <c r="F221" s="21" t="n">
        <f aca="false">IFERROR(D221*E221,0)</f>
        <v>3137.00808564845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3137.00808564845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127471.1296</v>
      </c>
      <c r="F222" s="22" t="n">
        <f aca="false">IFERROR(D222*E222,0)</f>
        <v>92152.1476371602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92152.1476371602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143948.5004</v>
      </c>
      <c r="F223" s="21" t="n">
        <f aca="false">IFERROR(D223*E223,0)</f>
        <v>4761.51611850567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4761.51611850567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143948.5004</v>
      </c>
      <c r="F224" s="22" t="n">
        <f aca="false">IFERROR(D224*E224,0)</f>
        <v>9913.11455052119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9913.11455052119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143948.5004</v>
      </c>
      <c r="F225" s="21" t="n">
        <f aca="false">IFERROR(D225*E225,0)</f>
        <v>10668.8990329465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10668.8990329465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143948.5004</v>
      </c>
      <c r="F226" s="22" t="n">
        <f aca="false">IFERROR(D226*E226,0)</f>
        <v>2736.48653265244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2736.48653265244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143948.5004</v>
      </c>
      <c r="F227" s="21" t="n">
        <f aca="false">IFERROR(D227*E227,0)</f>
        <v>4753.38940364088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4753.38940364088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143948.5004</v>
      </c>
      <c r="F228" s="22" t="n">
        <f aca="false">IFERROR(D228*E228,0)</f>
        <v>3508.52444480736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3508.52444480736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143948.5004</v>
      </c>
      <c r="F229" s="21" t="n">
        <f aca="false">IFERROR(D229*E229,0)</f>
        <v>3542.50888878738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3542.50888878738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143948.5004</v>
      </c>
      <c r="F230" s="22" t="n">
        <f aca="false">IFERROR(D230*E230,0)</f>
        <v>104064.061428139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104064.061428139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22894.48</v>
      </c>
      <c r="F247" s="21" t="n">
        <f aca="false">IFERROR(D247*E247,0)</f>
        <v>760.975118708452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760.975118708452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22894.48</v>
      </c>
      <c r="F248" s="22" t="n">
        <f aca="false">IFERROR(D248*E248,0)</f>
        <v>760.975118708452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760.975118708452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22894.48</v>
      </c>
      <c r="F249" s="21" t="n">
        <f aca="false">IFERROR(D249*E249,0)</f>
        <v>913.170142450142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913.170142450142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22894.48</v>
      </c>
      <c r="F250" s="22" t="n">
        <f aca="false">IFERROR(D250*E250,0)</f>
        <v>239.163608736942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239.163608736942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22894.48</v>
      </c>
      <c r="F251" s="21" t="n">
        <f aca="false">IFERROR(D251*E251,0)</f>
        <v>913.170142450142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913.170142450142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22894.48</v>
      </c>
      <c r="F252" s="22" t="n">
        <f aca="false">IFERROR(D252*E252,0)</f>
        <v>391.358632478633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391.358632478633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22894.48</v>
      </c>
      <c r="F253" s="21" t="n">
        <f aca="false">IFERROR(D253*E253,0)</f>
        <v>434.842924976258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434.842924976258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22894.48</v>
      </c>
      <c r="F254" s="22" t="n">
        <f aca="false">IFERROR(D254*E254,0)</f>
        <v>18480.824311491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18480.824311491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38461.9203</v>
      </c>
      <c r="F255" s="21" t="n">
        <f aca="false">IFERROR(D255*E255,0)</f>
        <v>1278.41140598291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1278.41140598291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38461.9203</v>
      </c>
      <c r="F256" s="22" t="n">
        <f aca="false">IFERROR(D256*E256,0)</f>
        <v>1278.41140598291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1278.41140598291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38461.9203</v>
      </c>
      <c r="F257" s="21" t="n">
        <f aca="false">IFERROR(D257*E257,0)</f>
        <v>1534.09368717949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1534.09368717949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38461.9203</v>
      </c>
      <c r="F258" s="22" t="n">
        <f aca="false">IFERROR(D258*E258,0)</f>
        <v>401.786441880342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401.786441880342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38461.9203</v>
      </c>
      <c r="F259" s="21" t="n">
        <f aca="false">IFERROR(D259*E259,0)</f>
        <v>1534.09368717949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1534.09368717949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38461.9203</v>
      </c>
      <c r="F260" s="22" t="n">
        <f aca="false">IFERROR(D260*E260,0)</f>
        <v>657.468723076923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657.468723076923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38461.9203</v>
      </c>
      <c r="F261" s="21" t="n">
        <f aca="false">IFERROR(D261*E261,0)</f>
        <v>730.520803418803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730.520803418803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38461.9203</v>
      </c>
      <c r="F262" s="22" t="n">
        <f aca="false">IFERROR(D262*E262,0)</f>
        <v>31047.1341452991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31047.1341452991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20765.11</v>
      </c>
      <c r="F263" s="21" t="n">
        <f aca="false">IFERROR(D263*E263,0)</f>
        <v>681.581223768731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681.581223768731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20765.11</v>
      </c>
      <c r="F264" s="22" t="n">
        <f aca="false">IFERROR(D264*E264,0)</f>
        <v>1454.54642690263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1454.54642690263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20765.11</v>
      </c>
      <c r="F265" s="21" t="n">
        <f aca="false">IFERROR(D265*E265,0)</f>
        <v>1555.37269392192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1555.37269392192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20765.11</v>
      </c>
      <c r="F266" s="22" t="n">
        <f aca="false">IFERROR(D266*E266,0)</f>
        <v>396.141953305075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396.141953305075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20765.11</v>
      </c>
      <c r="F267" s="21" t="n">
        <f aca="false">IFERROR(D267*E267,0)</f>
        <v>694.170940640892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694.170940640892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20765.11</v>
      </c>
      <c r="F268" s="22" t="n">
        <f aca="false">IFERROR(D268*E268,0)</f>
        <v>513.356558666576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513.356558666576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20765.11</v>
      </c>
      <c r="F269" s="21" t="n">
        <f aca="false">IFERROR(D269*E269,0)</f>
        <v>519.000224850648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519.000224850648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20765.11</v>
      </c>
      <c r="F270" s="22" t="n">
        <f aca="false">IFERROR(D270*E270,0)</f>
        <v>14950.9399779435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14950.9399779435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16367.63</v>
      </c>
      <c r="F271" s="21" t="n">
        <f aca="false">IFERROR(D271*E271,0)</f>
        <v>537.241039685983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537.241039685983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16367.63</v>
      </c>
      <c r="F272" s="22" t="n">
        <f aca="false">IFERROR(D272*E272,0)</f>
        <v>1146.51344169929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1146.51344169929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16367.63</v>
      </c>
      <c r="F273" s="21" t="n">
        <f aca="false">IFERROR(D273*E273,0)</f>
        <v>1225.98747448086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1225.98747448086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16367.63</v>
      </c>
      <c r="F274" s="22" t="n">
        <f aca="false">IFERROR(D274*E274,0)</f>
        <v>312.249967333413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312.249967333413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16367.63</v>
      </c>
      <c r="F275" s="21" t="n">
        <f aca="false">IFERROR(D275*E275,0)</f>
        <v>547.164600291647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547.164600291647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16367.63</v>
      </c>
      <c r="F276" s="22" t="n">
        <f aca="false">IFERROR(D276*E276,0)</f>
        <v>404.641738489602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404.641738489602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16367.63</v>
      </c>
      <c r="F277" s="21" t="n">
        <f aca="false">IFERROR(D277*E277,0)</f>
        <v>409.0902311749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409.0902311749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16367.63</v>
      </c>
      <c r="F278" s="22" t="n">
        <f aca="false">IFERROR(D278*E278,0)</f>
        <v>11784.7415068443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11784.7415068443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69853.89</v>
      </c>
      <c r="F279" s="21" t="n">
        <f aca="false">IFERROR(D279*E279,0)</f>
        <v>2292.84120484824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2292.84120484824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69853.89</v>
      </c>
      <c r="F280" s="22" t="n">
        <f aca="false">IFERROR(D280*E280,0)</f>
        <v>4893.09838015544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4893.09838015544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69853.89</v>
      </c>
      <c r="F281" s="21" t="n">
        <f aca="false">IFERROR(D281*E281,0)</f>
        <v>5232.2782335478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5232.2782335478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69853.89</v>
      </c>
      <c r="F282" s="22" t="n">
        <f aca="false">IFERROR(D282*E282,0)</f>
        <v>1332.62267479237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1332.62267479237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69853.89</v>
      </c>
      <c r="F283" s="21" t="n">
        <f aca="false">IFERROR(D283*E283,0)</f>
        <v>2335.19304875945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2335.19304875945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69853.89</v>
      </c>
      <c r="F284" s="22" t="n">
        <f aca="false">IFERROR(D284*E284,0)</f>
        <v>1726.93294568984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1726.93294568984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69853.89</v>
      </c>
      <c r="F285" s="21" t="n">
        <f aca="false">IFERROR(D285*E285,0)</f>
        <v>1745.91825502935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1745.91825502935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69853.89</v>
      </c>
      <c r="F286" s="22" t="n">
        <f aca="false">IFERROR(D286*E286,0)</f>
        <v>50295.0052571775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50295.0052571775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161508.6453</v>
      </c>
      <c r="F287" s="21" t="n">
        <f aca="false">IFERROR(D287*E287,0)</f>
        <v>5301.26062962363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5301.26062962363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161508.6453</v>
      </c>
      <c r="F288" s="22" t="n">
        <f aca="false">IFERROR(D288*E288,0)</f>
        <v>11313.2953755121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11313.2953755121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161508.6453</v>
      </c>
      <c r="F289" s="21" t="n">
        <f aca="false">IFERROR(D289*E289,0)</f>
        <v>12097.5105227924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12097.5105227924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161508.6453</v>
      </c>
      <c r="F290" s="22" t="n">
        <f aca="false">IFERROR(D290*E290,0)</f>
        <v>3081.14670352329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3081.14670352329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161508.6453</v>
      </c>
      <c r="F291" s="21" t="n">
        <f aca="false">IFERROR(D291*E291,0)</f>
        <v>5399.18200431094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5399.18200431094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161508.6453</v>
      </c>
      <c r="F292" s="22" t="n">
        <f aca="false">IFERROR(D292*E292,0)</f>
        <v>3992.82846785347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3992.82846785347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161508.6453</v>
      </c>
      <c r="F293" s="21" t="n">
        <f aca="false">IFERROR(D293*E293,0)</f>
        <v>4036.7242565064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4036.7242565064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161508.6453</v>
      </c>
      <c r="F294" s="22" t="n">
        <f aca="false">IFERROR(D294*E294,0)</f>
        <v>116286.697339878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116286.697339878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52182.9196</v>
      </c>
      <c r="F295" s="21" t="n">
        <f aca="false">IFERROR(D295*E295,0)</f>
        <v>1712.82011994125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1712.82011994125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52182.9196</v>
      </c>
      <c r="F296" s="22" t="n">
        <f aca="false">IFERROR(D296*E296,0)</f>
        <v>3655.28905214214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3655.28905214214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52182.9196</v>
      </c>
      <c r="F297" s="21" t="n">
        <f aca="false">IFERROR(D297*E297,0)</f>
        <v>3908.66642338823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3908.66642338823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52182.9196</v>
      </c>
      <c r="F298" s="22" t="n">
        <f aca="false">IFERROR(D298*E298,0)</f>
        <v>995.508509201524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995.508509201524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52182.9196</v>
      </c>
      <c r="F299" s="21" t="n">
        <f aca="false">IFERROR(D299*E299,0)</f>
        <v>1744.45819858985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1744.45819858985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52182.9196</v>
      </c>
      <c r="F300" s="22" t="n">
        <f aca="false">IFERROR(D300*E300,0)</f>
        <v>1290.06993110225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1290.06993110225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52182.9196</v>
      </c>
      <c r="F301" s="21" t="n">
        <f aca="false">IFERROR(D301*E301,0)</f>
        <v>1304.25251808265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1304.25251808265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52182.9196</v>
      </c>
      <c r="F302" s="22" t="n">
        <f aca="false">IFERROR(D302*E302,0)</f>
        <v>37571.8548475521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37571.8548475521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46803.673</v>
      </c>
      <c r="F303" s="21" t="n">
        <f aca="false">IFERROR(D303*E303,0)</f>
        <v>1536.25503164739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1536.25503164739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46803.673</v>
      </c>
      <c r="F304" s="22" t="n">
        <f aca="false">IFERROR(D304*E304,0)</f>
        <v>3278.48565830228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3278.48565830228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46803.673</v>
      </c>
      <c r="F305" s="21" t="n">
        <f aca="false">IFERROR(D305*E305,0)</f>
        <v>3505.74376728324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3505.74376728324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46803.673</v>
      </c>
      <c r="F306" s="22" t="n">
        <f aca="false">IFERROR(D306*E306,0)</f>
        <v>892.887080495696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892.887080495696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46803.673</v>
      </c>
      <c r="F307" s="21" t="n">
        <f aca="false">IFERROR(D307*E307,0)</f>
        <v>1564.63171694533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1564.63171694533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46803.673</v>
      </c>
      <c r="F308" s="22" t="n">
        <f aca="false">IFERROR(D308*E308,0)</f>
        <v>1157.08380568346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1157.08380568346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46803.673</v>
      </c>
      <c r="F309" s="21" t="n">
        <f aca="false">IFERROR(D309*E309,0)</f>
        <v>1169.80438874806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1169.80438874806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46803.673</v>
      </c>
      <c r="F310" s="22" t="n">
        <f aca="false">IFERROR(D310*E310,0)</f>
        <v>33698.7815508945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33698.7815508945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24839.19</v>
      </c>
      <c r="F311" s="21" t="n">
        <f aca="false">IFERROR(D311*E311,0)</f>
        <v>815.306324773817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815.306324773817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24839.19</v>
      </c>
      <c r="F312" s="22" t="n">
        <f aca="false">IFERROR(D312*E312,0)</f>
        <v>1739.92601347431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1739.92601347431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24839.19</v>
      </c>
      <c r="F313" s="21" t="n">
        <f aca="false">IFERROR(D313*E313,0)</f>
        <v>1860.53422616777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1860.53422616777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24839.19</v>
      </c>
      <c r="F314" s="22" t="n">
        <f aca="false">IFERROR(D314*E314,0)</f>
        <v>473.864344812807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473.864344812807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24839.19</v>
      </c>
      <c r="F315" s="21" t="n">
        <f aca="false">IFERROR(D315*E315,0)</f>
        <v>830.366123129511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830.366123129511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24839.19</v>
      </c>
      <c r="F316" s="22" t="n">
        <f aca="false">IFERROR(D316*E316,0)</f>
        <v>614.076260538241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614.076260538241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24839.19</v>
      </c>
      <c r="F317" s="21" t="n">
        <f aca="false">IFERROR(D317*E317,0)</f>
        <v>620.827204628725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620.827204628725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24839.19</v>
      </c>
      <c r="F318" s="22" t="n">
        <f aca="false">IFERROR(D318*E318,0)</f>
        <v>17884.2895024748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17884.2895024748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18241.48</v>
      </c>
      <c r="F319" s="21" t="n">
        <f aca="false">IFERROR(D319*E319,0)</f>
        <v>598.747141804346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598.747141804346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18241.48</v>
      </c>
      <c r="F320" s="22" t="n">
        <f aca="false">IFERROR(D320*E320,0)</f>
        <v>1277.77216472322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1277.77216472322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18241.48</v>
      </c>
      <c r="F321" s="21" t="n">
        <f aca="false">IFERROR(D321*E321,0)</f>
        <v>1366.34479127358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1366.34479127358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18241.48</v>
      </c>
      <c r="F322" s="22" t="n">
        <f aca="false">IFERROR(D322*E322,0)</f>
        <v>347.997940698386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347.997940698386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18241.48</v>
      </c>
      <c r="F323" s="21" t="n">
        <f aca="false">IFERROR(D323*E323,0)</f>
        <v>609.806802385445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609.806802385445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18241.48</v>
      </c>
      <c r="F324" s="22" t="n">
        <f aca="false">IFERROR(D324*E324,0)</f>
        <v>450.967194384483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450.967194384483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18241.48</v>
      </c>
      <c r="F325" s="21" t="n">
        <f aca="false">IFERROR(D325*E325,0)</f>
        <v>455.924973265666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455.924973265666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18241.48</v>
      </c>
      <c r="F326" s="22" t="n">
        <f aca="false">IFERROR(D326*E326,0)</f>
        <v>13133.9189914649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13133.9189914649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27846.7733777778</v>
      </c>
      <c r="F327" s="21" t="n">
        <f aca="false">IFERROR(D327*E327,0)</f>
        <v>914.025395330741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914.025395330741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27846.7733777778</v>
      </c>
      <c r="F328" s="22" t="n">
        <f aca="false">IFERROR(D328*E328,0)</f>
        <v>1950.60005544946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1950.60005544946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27846.7733777778</v>
      </c>
      <c r="F329" s="21" t="n">
        <f aca="false">IFERROR(D329*E329,0)</f>
        <v>2085.81177396255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2085.81177396255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27846.7733777778</v>
      </c>
      <c r="F330" s="22" t="n">
        <f aca="false">IFERROR(D330*E330,0)</f>
        <v>531.240874674714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531.240874674714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27846.7733777778</v>
      </c>
      <c r="F331" s="21" t="n">
        <f aca="false">IFERROR(D331*E331,0)</f>
        <v>930.908666964238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930.908666964238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27846.7733777778</v>
      </c>
      <c r="F332" s="22" t="n">
        <f aca="false">IFERROR(D332*E332,0)</f>
        <v>688.429955400383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688.429955400383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27846.7733777778</v>
      </c>
      <c r="F333" s="21" t="n">
        <f aca="false">IFERROR(D333*E333,0)</f>
        <v>695.998318546433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695.998318546433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27846.7733777778</v>
      </c>
      <c r="F334" s="22" t="n">
        <f aca="false">IFERROR(D334*E334,0)</f>
        <v>20049.7583374493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20049.7583374493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72535.2528555556</v>
      </c>
      <c r="F399" s="21" t="n">
        <f aca="false">IFERROR(D399*E399,0)</f>
        <v>2380.85261323749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2380.85261323749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72535.2528555556</v>
      </c>
      <c r="F400" s="22" t="n">
        <f aca="false">IFERROR(D400*E400,0)</f>
        <v>5080.92145264472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5080.92145264472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72535.2528555556</v>
      </c>
      <c r="F401" s="21" t="n">
        <f aca="false">IFERROR(D401*E401,0)</f>
        <v>5433.12082807428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5433.12082807428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72535.2528555556</v>
      </c>
      <c r="F402" s="22" t="n">
        <f aca="false">IFERROR(D402*E402,0)</f>
        <v>1383.77580227975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1383.77580227975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72535.2528555556</v>
      </c>
      <c r="F403" s="21" t="n">
        <f aca="false">IFERROR(D403*E403,0)</f>
        <v>2424.83014558391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2424.83014558391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72535.2528555556</v>
      </c>
      <c r="F404" s="22" t="n">
        <f aca="false">IFERROR(D404*E404,0)</f>
        <v>1793.22179309129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1793.22179309129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72535.2528555556</v>
      </c>
      <c r="F405" s="21" t="n">
        <f aca="false">IFERROR(D405*E405,0)</f>
        <v>1812.93585931555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1812.93585931555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72535.2528555556</v>
      </c>
      <c r="F406" s="22" t="n">
        <f aca="false">IFERROR(D406*E406,0)</f>
        <v>52225.5943613286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52225.5943613286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44655.5397</v>
      </c>
      <c r="F407" s="21" t="n">
        <f aca="false">IFERROR(D407*E407,0)</f>
        <v>1465.74602286138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1465.74602286138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44655.5397</v>
      </c>
      <c r="F408" s="22" t="n">
        <f aca="false">IFERROR(D408*E408,0)</f>
        <v>3128.01404432934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3128.01404432934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44655.5397</v>
      </c>
      <c r="F409" s="21" t="n">
        <f aca="false">IFERROR(D409*E409,0)</f>
        <v>3344.84176013161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3344.84176013161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44655.5397</v>
      </c>
      <c r="F410" s="22" t="n">
        <f aca="false">IFERROR(D410*E410,0)</f>
        <v>851.906526026123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851.906526026123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44655.5397</v>
      </c>
      <c r="F411" s="21" t="n">
        <f aca="false">IFERROR(D411*E411,0)</f>
        <v>1492.82031245564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1492.82031245564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44655.5397</v>
      </c>
      <c r="F412" s="22" t="n">
        <f aca="false">IFERROR(D412*E412,0)</f>
        <v>1103.97749811056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1103.97749811056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44655.5397</v>
      </c>
      <c r="F413" s="21" t="n">
        <f aca="false">IFERROR(D413*E413,0)</f>
        <v>1116.11424861833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1116.11424861833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44655.5397</v>
      </c>
      <c r="F414" s="22" t="n">
        <f aca="false">IFERROR(D414*E414,0)</f>
        <v>32152.119287467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32152.119287467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124798.6823</v>
      </c>
      <c r="F415" s="21" t="n">
        <f aca="false">IFERROR(D415*E415,0)</f>
        <v>4096.31533889101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4096.31533889101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124798.6823</v>
      </c>
      <c r="F416" s="22" t="n">
        <f aca="false">IFERROR(D416*E416,0)</f>
        <v>8741.85002735944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8741.85002735944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124798.6823</v>
      </c>
      <c r="F417" s="21" t="n">
        <f aca="false">IFERROR(D417*E417,0)</f>
        <v>9347.81769452978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9347.81769452978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124798.6823</v>
      </c>
      <c r="F418" s="22" t="n">
        <f aca="false">IFERROR(D418*E418,0)</f>
        <v>2380.82022085226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2380.82022085226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124798.6823</v>
      </c>
      <c r="F419" s="21" t="n">
        <f aca="false">IFERROR(D419*E419,0)</f>
        <v>4171.97976234823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4171.97976234823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124798.6823</v>
      </c>
      <c r="F420" s="22" t="n">
        <f aca="false">IFERROR(D420*E420,0)</f>
        <v>3085.2820944195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3085.2820944195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124798.6823</v>
      </c>
      <c r="F421" s="21" t="n">
        <f aca="false">IFERROR(D421*E421,0)</f>
        <v>3119.20062907274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3119.20062907274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124798.6823</v>
      </c>
      <c r="F422" s="22" t="n">
        <f aca="false">IFERROR(D422*E422,0)</f>
        <v>89855.416532527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89855.416532527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115145.55</v>
      </c>
      <c r="F423" s="21" t="n">
        <f aca="false">IFERROR(D423*E423,0)</f>
        <v>3779.466849948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3779.466849948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115145.55</v>
      </c>
      <c r="F424" s="22" t="n">
        <f aca="false">IFERROR(D424*E424,0)</f>
        <v>8065.67113423615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8065.67113423615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115145.55</v>
      </c>
      <c r="F425" s="21" t="n">
        <f aca="false">IFERROR(D425*E425,0)</f>
        <v>8624.76742461859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8624.76742461859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115145.55</v>
      </c>
      <c r="F426" s="22" t="n">
        <f aca="false">IFERROR(D426*E426,0)</f>
        <v>2196.66465004939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2196.66465004939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115145.55</v>
      </c>
      <c r="F427" s="21" t="n">
        <f aca="false">IFERROR(D427*E427,0)</f>
        <v>3849.27865800436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3849.27865800436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115145.55</v>
      </c>
      <c r="F428" s="22" t="n">
        <f aca="false">IFERROR(D428*E428,0)</f>
        <v>2846.6366560914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2846.6366560914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115145.55</v>
      </c>
      <c r="F429" s="21" t="n">
        <f aca="false">IFERROR(D429*E429,0)</f>
        <v>2877.93160453046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2877.93160453046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115145.55</v>
      </c>
      <c r="F430" s="22" t="n">
        <f aca="false">IFERROR(D430*E430,0)</f>
        <v>82905.1330225217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82905.1330225217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31895.8</v>
      </c>
      <c r="F447" s="21" t="n">
        <f aca="false">IFERROR(D447*E447,0)</f>
        <v>994.914862385321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994.914862385321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31895.8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31895.8</v>
      </c>
      <c r="F449" s="21" t="n">
        <f aca="false">IFERROR(D449*E449,0)</f>
        <v>1375.32348623853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1375.32348623853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31895.8</v>
      </c>
      <c r="F450" s="22" t="n">
        <f aca="false">IFERROR(D450*E450,0)</f>
        <v>321.884220183486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321.884220183486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31895.8</v>
      </c>
      <c r="F451" s="21" t="n">
        <f aca="false">IFERROR(D451*E451,0)</f>
        <v>1463.11009174312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1463.11009174312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31895.8</v>
      </c>
      <c r="F452" s="22" t="n">
        <f aca="false">IFERROR(D452*E452,0)</f>
        <v>526.719633027523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526.719633027523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31895.8</v>
      </c>
      <c r="F453" s="21" t="n">
        <f aca="false">IFERROR(D453*E453,0)</f>
        <v>702.292844036697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702.292844036697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31895.8</v>
      </c>
      <c r="F454" s="22" t="n">
        <f aca="false">IFERROR(D454*E454,0)</f>
        <v>26511.5548623853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26511.5548623853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45620.2501</v>
      </c>
      <c r="F455" s="21" t="n">
        <f aca="false">IFERROR(D455*E455,0)</f>
        <v>1423.01697559633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1423.01697559633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45620.2501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45620.2501</v>
      </c>
      <c r="F457" s="21" t="n">
        <f aca="false">IFERROR(D457*E457,0)</f>
        <v>1967.11170155963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1967.11170155963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45620.2501</v>
      </c>
      <c r="F458" s="22" t="n">
        <f aca="false">IFERROR(D458*E458,0)</f>
        <v>460.387845045872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460.387845045872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45620.2501</v>
      </c>
      <c r="F459" s="21" t="n">
        <f aca="false">IFERROR(D459*E459,0)</f>
        <v>2092.67202293578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2092.67202293578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45620.2501</v>
      </c>
      <c r="F460" s="22" t="n">
        <f aca="false">IFERROR(D460*E460,0)</f>
        <v>753.361928256881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753.361928256881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45620.2501</v>
      </c>
      <c r="F461" s="21" t="n">
        <f aca="false">IFERROR(D461*E461,0)</f>
        <v>1004.48257100917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1004.48257100917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45620.2501</v>
      </c>
      <c r="F462" s="22" t="n">
        <f aca="false">IFERROR(D462*E462,0)</f>
        <v>37919.2170555963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37919.2170555963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28236.6898</v>
      </c>
      <c r="F463" s="21" t="n">
        <f aca="false">IFERROR(D463*E463,0)</f>
        <v>923.233853633165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923.233853633165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28236.6898</v>
      </c>
      <c r="F464" s="22" t="n">
        <f aca="false">IFERROR(D464*E464,0)</f>
        <v>1896.07681233405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1896.07681233405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28236.6898</v>
      </c>
      <c r="F465" s="21" t="n">
        <f aca="false">IFERROR(D465*E465,0)</f>
        <v>2058.49758288063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2058.49758288063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28236.6898</v>
      </c>
      <c r="F466" s="22" t="n">
        <f aca="false">IFERROR(D466*E466,0)</f>
        <v>527.622261525329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527.622261525329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28236.6898</v>
      </c>
      <c r="F467" s="21" t="n">
        <f aca="false">IFERROR(D467*E467,0)</f>
        <v>920.431079335554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920.431079335554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28236.6898</v>
      </c>
      <c r="F468" s="22" t="n">
        <f aca="false">IFERROR(D468*E468,0)</f>
        <v>673.366525001117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673.366525001117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28236.6898</v>
      </c>
      <c r="F469" s="21" t="n">
        <f aca="false">IFERROR(D469*E469,0)</f>
        <v>673.506663715997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673.506663715997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28236.6898</v>
      </c>
      <c r="F470" s="22" t="n">
        <f aca="false">IFERROR(D470*E470,0)</f>
        <v>20563.9550215742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20563.9550215742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11205.5601</v>
      </c>
      <c r="F471" s="21" t="n">
        <f aca="false">IFERROR(D471*E471,0)</f>
        <v>366.379788371689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366.379788371689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11205.5601</v>
      </c>
      <c r="F472" s="22" t="n">
        <f aca="false">IFERROR(D472*E472,0)</f>
        <v>752.44665098193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752.44665098193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11205.5601</v>
      </c>
      <c r="F473" s="21" t="n">
        <f aca="false">IFERROR(D473*E473,0)</f>
        <v>816.902354491764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816.902354491764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11205.5601</v>
      </c>
      <c r="F474" s="22" t="n">
        <f aca="false">IFERROR(D474*E474,0)</f>
        <v>209.38371329985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209.38371329985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11205.5601</v>
      </c>
      <c r="F475" s="21" t="n">
        <f aca="false">IFERROR(D475*E475,0)</f>
        <v>365.267524290415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365.267524290415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11205.5601</v>
      </c>
      <c r="F476" s="22" t="n">
        <f aca="false">IFERROR(D476*E476,0)</f>
        <v>267.221445526103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267.221445526103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11205.5601</v>
      </c>
      <c r="F477" s="21" t="n">
        <f aca="false">IFERROR(D477*E477,0)</f>
        <v>267.277058730167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267.277058730167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11205.5601</v>
      </c>
      <c r="F478" s="22" t="n">
        <f aca="false">IFERROR(D478*E478,0)</f>
        <v>8160.68156430808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8160.68156430808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74932.1201</v>
      </c>
      <c r="F479" s="21" t="n">
        <f aca="false">IFERROR(D479*E479,0)</f>
        <v>2449.99929137679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2449.99929137679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74932.1201</v>
      </c>
      <c r="F480" s="22" t="n">
        <f aca="false">IFERROR(D480*E480,0)</f>
        <v>5031.64699640679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5031.64699640679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74932.1201</v>
      </c>
      <c r="F481" s="21" t="n">
        <f aca="false">IFERROR(D481*E481,0)</f>
        <v>5462.66539026011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5462.66539026011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74932.1201</v>
      </c>
      <c r="F482" s="22" t="n">
        <f aca="false">IFERROR(D482*E482,0)</f>
        <v>1400.15897571852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1400.15897571852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74932.1201</v>
      </c>
      <c r="F483" s="21" t="n">
        <f aca="false">IFERROR(D483*E483,0)</f>
        <v>2442.56152789355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2442.56152789355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74932.1201</v>
      </c>
      <c r="F484" s="22" t="n">
        <f aca="false">IFERROR(D484*E484,0)</f>
        <v>1786.92267684661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1786.92267684661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74932.1201</v>
      </c>
      <c r="F485" s="21" t="n">
        <f aca="false">IFERROR(D485*E485,0)</f>
        <v>1787.29456502077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1787.29456502077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74932.1201</v>
      </c>
      <c r="F486" s="22" t="n">
        <f aca="false">IFERROR(D486*E486,0)</f>
        <v>54570.8706764769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54570.8706764769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169025.6772</v>
      </c>
      <c r="F487" s="21" t="n">
        <f aca="false">IFERROR(D487*E487,0)</f>
        <v>5526.50570692289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5526.50570692289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169025.6772</v>
      </c>
      <c r="F488" s="22" t="n">
        <f aca="false">IFERROR(D488*E488,0)</f>
        <v>11349.9730137624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11349.9730137624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169025.6772</v>
      </c>
      <c r="F489" s="21" t="n">
        <f aca="false">IFERROR(D489*E489,0)</f>
        <v>12322.2286473877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12322.2286473877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169025.6772</v>
      </c>
      <c r="F490" s="22" t="n">
        <f aca="false">IFERROR(D490*E490,0)</f>
        <v>3158.36277877424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3158.36277877424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169025.6772</v>
      </c>
      <c r="F491" s="21" t="n">
        <f aca="false">IFERROR(D491*E491,0)</f>
        <v>5509.72821540218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5509.72821540218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169025.6772</v>
      </c>
      <c r="F492" s="22" t="n">
        <f aca="false">IFERROR(D492*E492,0)</f>
        <v>4030.79233785132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4030.79233785132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169025.6772</v>
      </c>
      <c r="F493" s="21" t="n">
        <f aca="false">IFERROR(D493*E493,0)</f>
        <v>4031.63121242735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4031.63121242735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169025.6772</v>
      </c>
      <c r="F494" s="22" t="n">
        <f aca="false">IFERROR(D494*E494,0)</f>
        <v>123096.455287472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123096.455287472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49826.7552</v>
      </c>
      <c r="F495" s="21" t="n">
        <f aca="false">IFERROR(D495*E495,0)</f>
        <v>1629.14801781519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1629.14801781519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49826.7552</v>
      </c>
      <c r="F496" s="22" t="n">
        <f aca="false">IFERROR(D496*E496,0)</f>
        <v>3345.83677611407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3345.83677611407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49826.7552</v>
      </c>
      <c r="F497" s="21" t="n">
        <f aca="false">IFERROR(D497*E497,0)</f>
        <v>3632.44614961859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3632.44614961859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49826.7552</v>
      </c>
      <c r="F498" s="22" t="n">
        <f aca="false">IFERROR(D498*E498,0)</f>
        <v>931.047705991831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931.047705991831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49826.7552</v>
      </c>
      <c r="F499" s="21" t="n">
        <f aca="false">IFERROR(D499*E499,0)</f>
        <v>1624.20221326809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1624.20221326809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49826.7552</v>
      </c>
      <c r="F500" s="22" t="n">
        <f aca="false">IFERROR(D500*E500,0)</f>
        <v>1188.2295424411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1188.2295424411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49826.7552</v>
      </c>
      <c r="F501" s="21" t="n">
        <f aca="false">IFERROR(D501*E501,0)</f>
        <v>1188.47683266846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1188.47683266846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49826.7552</v>
      </c>
      <c r="F502" s="22" t="n">
        <f aca="false">IFERROR(D502*E502,0)</f>
        <v>36287.3679620827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36287.3679620827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59202.0848</v>
      </c>
      <c r="F503" s="21" t="n">
        <f aca="false">IFERROR(D503*E503,0)</f>
        <v>1935.68613318908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1935.68613318908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59202.0848</v>
      </c>
      <c r="F504" s="22" t="n">
        <f aca="false">IFERROR(D504*E504,0)</f>
        <v>3975.38454493749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3975.38454493749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59202.0848</v>
      </c>
      <c r="F505" s="21" t="n">
        <f aca="false">IFERROR(D505*E505,0)</f>
        <v>4315.92192022075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4315.92192022075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59202.0848</v>
      </c>
      <c r="F506" s="22" t="n">
        <f aca="false">IFERROR(D506*E506,0)</f>
        <v>1106.23228467773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1106.23228467773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59202.0848</v>
      </c>
      <c r="F507" s="21" t="n">
        <f aca="false">IFERROR(D507*E507,0)</f>
        <v>1929.80973327047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1929.80973327047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59202.0848</v>
      </c>
      <c r="F508" s="22" t="n">
        <f aca="false">IFERROR(D508*E508,0)</f>
        <v>1411.80508044528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1411.80508044528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59202.0848</v>
      </c>
      <c r="F509" s="21" t="n">
        <f aca="false">IFERROR(D509*E509,0)</f>
        <v>1412.09890044121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1412.09890044121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59202.0848</v>
      </c>
      <c r="F510" s="22" t="n">
        <f aca="false">IFERROR(D510*E510,0)</f>
        <v>43115.146202818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43115.146202818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34332.9</v>
      </c>
      <c r="F511" s="21" t="n">
        <f aca="false">IFERROR(D511*E511,0)</f>
        <v>1122.55706309463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1122.55706309463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34332.9</v>
      </c>
      <c r="F512" s="22" t="n">
        <f aca="false">IFERROR(D512*E512,0)</f>
        <v>2305.43367693842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2305.43367693842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34332.9</v>
      </c>
      <c r="F513" s="21" t="n">
        <f aca="false">IFERROR(D513*E513,0)</f>
        <v>2502.92056766804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2502.92056766804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34332.9</v>
      </c>
      <c r="F514" s="22" t="n">
        <f aca="false">IFERROR(D514*E514,0)</f>
        <v>641.534205001712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641.534205001712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34332.9</v>
      </c>
      <c r="F515" s="21" t="n">
        <f aca="false">IFERROR(D515*E515,0)</f>
        <v>1119.14917887151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1119.14917887151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34332.9</v>
      </c>
      <c r="F516" s="22" t="n">
        <f aca="false">IFERROR(D516*E516,0)</f>
        <v>818.744184603779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818.744184603779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34332.9</v>
      </c>
      <c r="F517" s="21" t="n">
        <f aca="false">IFERROR(D517*E517,0)</f>
        <v>818.914578814935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818.914578814935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34332.9</v>
      </c>
      <c r="F518" s="22" t="n">
        <f aca="false">IFERROR(D518*E518,0)</f>
        <v>25003.646545007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25003.646545007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20220.95</v>
      </c>
      <c r="F519" s="21" t="n">
        <f aca="false">IFERROR(D519*E519,0)</f>
        <v>661.149225523721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661.149225523721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20220.95</v>
      </c>
      <c r="F520" s="22" t="n">
        <f aca="false">IFERROR(D520*E520,0)</f>
        <v>1357.82468447722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1357.82468447722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20220.95</v>
      </c>
      <c r="F521" s="21" t="n">
        <f aca="false">IFERROR(D521*E521,0)</f>
        <v>1474.13797415269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1474.13797415269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20220.95</v>
      </c>
      <c r="F522" s="22" t="n">
        <f aca="false">IFERROR(D522*E522,0)</f>
        <v>377.842567409959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377.842567409959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20220.95</v>
      </c>
      <c r="F523" s="21" t="n">
        <f aca="false">IFERROR(D523*E523,0)</f>
        <v>659.14209369153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659.14209369153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20220.95</v>
      </c>
      <c r="F524" s="22" t="n">
        <f aca="false">IFERROR(D524*E524,0)</f>
        <v>482.213422683892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482.213422683892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20220.95</v>
      </c>
      <c r="F525" s="21" t="n">
        <f aca="false">IFERROR(D525*E525,0)</f>
        <v>482.313779275501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482.313779275501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20220.95</v>
      </c>
      <c r="F526" s="22" t="n">
        <f aca="false">IFERROR(D526*E526,0)</f>
        <v>14726.3262527855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14726.3262527855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28042.9933777778</v>
      </c>
      <c r="F527" s="21" t="n">
        <f aca="false">IFERROR(D527*E527,0)</f>
        <v>916.900707092625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916.900707092625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28042.9933777778</v>
      </c>
      <c r="F528" s="22" t="n">
        <f aca="false">IFERROR(D528*E528,0)</f>
        <v>1883.07021356454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1883.07021356454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28042.9933777778</v>
      </c>
      <c r="F529" s="21" t="n">
        <f aca="false">IFERROR(D529*E529,0)</f>
        <v>2044.37681944195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2044.37681944195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28042.9933777778</v>
      </c>
      <c r="F530" s="22" t="n">
        <f aca="false">IFERROR(D530*E530,0)</f>
        <v>524.002908652662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524.002908652662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28042.9933777778</v>
      </c>
      <c r="F531" s="21" t="n">
        <f aca="false">IFERROR(D531*E531,0)</f>
        <v>914.117159105095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914.117159105095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28042.9933777778</v>
      </c>
      <c r="F532" s="22" t="n">
        <f aca="false">IFERROR(D532*E532,0)</f>
        <v>668.74740400426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668.74740400426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28042.9933777778</v>
      </c>
      <c r="F533" s="21" t="n">
        <f aca="false">IFERROR(D533*E533,0)</f>
        <v>668.886581403637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668.886581403637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28042.9933777778</v>
      </c>
      <c r="F534" s="22" t="n">
        <f aca="false">IFERROR(D534*E534,0)</f>
        <v>20422.891584513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20422.891584513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29728.05</v>
      </c>
      <c r="F535" s="21" t="n">
        <f aca="false">IFERROR(D535*E535,0)</f>
        <v>971.995738767489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971.995738767489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29728.05</v>
      </c>
      <c r="F536" s="22" t="n">
        <f aca="false">IFERROR(D536*E536,0)</f>
        <v>1996.22075675837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1996.22075675837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29728.05</v>
      </c>
      <c r="F537" s="21" t="n">
        <f aca="false">IFERROR(D537*E537,0)</f>
        <v>2167.22000709709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2167.22000709709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29728.05</v>
      </c>
      <c r="F538" s="22" t="n">
        <f aca="false">IFERROR(D538*E538,0)</f>
        <v>555.489368011475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555.489368011475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29728.05</v>
      </c>
      <c r="F539" s="21" t="n">
        <f aca="false">IFERROR(D539*E539,0)</f>
        <v>969.044932031704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969.044932031704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29728.05</v>
      </c>
      <c r="F540" s="22" t="n">
        <f aca="false">IFERROR(D540*E540,0)</f>
        <v>708.93131827228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708.93131827228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29728.05</v>
      </c>
      <c r="F541" s="21" t="n">
        <f aca="false">IFERROR(D541*E541,0)</f>
        <v>709.07885860907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709.07885860907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29728.05</v>
      </c>
      <c r="F542" s="22" t="n">
        <f aca="false">IFERROR(D542*E542,0)</f>
        <v>21650.0690204525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21650.0690204525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69434.39</v>
      </c>
      <c r="F543" s="21" t="n">
        <f aca="false">IFERROR(D543*E543,0)</f>
        <v>2165.84335779817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2165.84335779817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69434.39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69434.39</v>
      </c>
      <c r="F545" s="21" t="n">
        <f aca="false">IFERROR(D545*E545,0)</f>
        <v>2993.95993577982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2993.95993577982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69434.39</v>
      </c>
      <c r="F546" s="22" t="n">
        <f aca="false">IFERROR(D546*E546,0)</f>
        <v>700.714027522936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700.714027522936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69434.39</v>
      </c>
      <c r="F547" s="21" t="n">
        <f aca="false">IFERROR(D547*E547,0)</f>
        <v>3185.06376146789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3185.06376146789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69434.39</v>
      </c>
      <c r="F548" s="22" t="n">
        <f aca="false">IFERROR(D548*E548,0)</f>
        <v>1146.62295412844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1146.62295412844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69434.39</v>
      </c>
      <c r="F549" s="21" t="n">
        <f aca="false">IFERROR(D549*E549,0)</f>
        <v>1528.83060550459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1528.83060550459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69434.39</v>
      </c>
      <c r="F550" s="22" t="n">
        <f aca="false">IFERROR(D550*E550,0)</f>
        <v>57713.3553577982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57713.3553577982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87428.4</v>
      </c>
      <c r="F551" s="21" t="n">
        <f aca="false">IFERROR(D551*E551,0)</f>
        <v>2858.58077631259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2858.58077631259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87428.4</v>
      </c>
      <c r="F552" s="22" t="n">
        <f aca="false">IFERROR(D552*E552,0)</f>
        <v>5870.76470909371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5870.76470909371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87428.4</v>
      </c>
      <c r="F553" s="21" t="n">
        <f aca="false">IFERROR(D553*E553,0)</f>
        <v>6373.66317900055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6373.66317900055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87428.4</v>
      </c>
      <c r="F554" s="22" t="n">
        <f aca="false">IFERROR(D554*E554,0)</f>
        <v>1633.66068955934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1633.66068955934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87428.4</v>
      </c>
      <c r="F555" s="21" t="n">
        <f aca="false">IFERROR(D555*E555,0)</f>
        <v>2849.90263187934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2849.90263187934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87428.4</v>
      </c>
      <c r="F556" s="22" t="n">
        <f aca="false">IFERROR(D556*E556,0)</f>
        <v>2084.92420008834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2084.92420008834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87428.4</v>
      </c>
      <c r="F557" s="21" t="n">
        <f aca="false">IFERROR(D557*E557,0)</f>
        <v>2085.35810731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2085.35810731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87428.4</v>
      </c>
      <c r="F558" s="22" t="n">
        <f aca="false">IFERROR(D558*E558,0)</f>
        <v>63671.5457067561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63671.5457067561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124365.39</v>
      </c>
      <c r="F575" s="21" t="n">
        <f aca="false">IFERROR(D575*E575,0)</f>
        <v>4066.28181566422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4066.28181566422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124365.39</v>
      </c>
      <c r="F576" s="22" t="n">
        <f aca="false">IFERROR(D576*E576,0)</f>
        <v>8351.06147023937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8351.06147023937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124365.39</v>
      </c>
      <c r="F577" s="21" t="n">
        <f aca="false">IFERROR(D577*E577,0)</f>
        <v>9066.42586373585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9066.42586373585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124365.39</v>
      </c>
      <c r="F578" s="22" t="n">
        <f aca="false">IFERROR(D578*E578,0)</f>
        <v>2323.85413417969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2323.85413417969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124365.39</v>
      </c>
      <c r="F579" s="21" t="n">
        <f aca="false">IFERROR(D579*E579,0)</f>
        <v>4053.93730499129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4053.93730499129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124365.39</v>
      </c>
      <c r="F580" s="22" t="n">
        <f aca="false">IFERROR(D580*E580,0)</f>
        <v>2965.76868917222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2965.76868917222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124365.39</v>
      </c>
      <c r="F581" s="21" t="n">
        <f aca="false">IFERROR(D581*E581,0)</f>
        <v>2966.38591470587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2966.38591470587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124365.39</v>
      </c>
      <c r="F582" s="22" t="n">
        <f aca="false">IFERROR(D582*E582,0)</f>
        <v>90571.6748073115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90571.6748073115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628609.68</v>
      </c>
      <c r="F591" s="21" t="n">
        <f aca="false">IFERROR(D591*E591,0)</f>
        <v>20553.1789104228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20553.1789104228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628609.68</v>
      </c>
      <c r="F592" s="22" t="n">
        <f aca="false">IFERROR(D592*E592,0)</f>
        <v>42210.7636092927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42210.7636092927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628609.68</v>
      </c>
      <c r="F593" s="21" t="n">
        <f aca="false">IFERROR(D593*E593,0)</f>
        <v>45826.6006398301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45826.6006398301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628609.68</v>
      </c>
      <c r="F594" s="22" t="n">
        <f aca="false">IFERROR(D594*E594,0)</f>
        <v>11746.0107161114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11746.0107161114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628609.68</v>
      </c>
      <c r="F595" s="21" t="n">
        <f aca="false">IFERROR(D595*E595,0)</f>
        <v>20490.7831031659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20490.7831031659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628609.68</v>
      </c>
      <c r="F596" s="22" t="n">
        <f aca="false">IFERROR(D596*E596,0)</f>
        <v>14990.5926934702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14990.5926934702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628609.68</v>
      </c>
      <c r="F597" s="21" t="n">
        <f aca="false">IFERROR(D597*E597,0)</f>
        <v>14993.712483833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14993.712483833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628609.68</v>
      </c>
      <c r="F598" s="22" t="n">
        <f aca="false">IFERROR(D598*E598,0)</f>
        <v>457798.037843874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457798.037843874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140820.044986667</v>
      </c>
      <c r="F599" s="21" t="n">
        <f aca="false">IFERROR(D599*E599,0)</f>
        <v>4604.28731989102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4604.28731989102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140820.044986667</v>
      </c>
      <c r="F600" s="22" t="n">
        <f aca="false">IFERROR(D600*E600,0)</f>
        <v>9455.98169977619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9455.98169977619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140820.044986667</v>
      </c>
      <c r="F601" s="21" t="n">
        <f aca="false">IFERROR(D601*E601,0)</f>
        <v>10265.995209757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10265.995209757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140820.044986667</v>
      </c>
      <c r="F602" s="22" t="n">
        <f aca="false">IFERROR(D602*E602,0)</f>
        <v>2631.32084993772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2631.32084993772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140820.044986667</v>
      </c>
      <c r="F603" s="21" t="n">
        <f aca="false">IFERROR(D603*E603,0)</f>
        <v>4590.30951989135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4590.30951989135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140820.044986667</v>
      </c>
      <c r="F604" s="22" t="n">
        <f aca="false">IFERROR(D604*E604,0)</f>
        <v>3358.16644992052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3358.16644992052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140820.044986667</v>
      </c>
      <c r="F605" s="21" t="n">
        <f aca="false">IFERROR(D605*E605,0)</f>
        <v>3358.8653399205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3358.8653399205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140820.044986667</v>
      </c>
      <c r="F606" s="22" t="n">
        <f aca="false">IFERROR(D606*E606,0)</f>
        <v>102555.118597573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102555.118597573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35622.9732</v>
      </c>
      <c r="F607" s="21" t="n">
        <f aca="false">IFERROR(D607*E607,0)</f>
        <v>1164.73761826384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1164.73761826384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35622.9732</v>
      </c>
      <c r="F608" s="22" t="n">
        <f aca="false">IFERROR(D608*E608,0)</f>
        <v>2392.06131984059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2392.06131984059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35622.9732</v>
      </c>
      <c r="F609" s="21" t="n">
        <f aca="false">IFERROR(D609*E609,0)</f>
        <v>2596.96886379441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2596.96886379441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35622.9732</v>
      </c>
      <c r="F610" s="22" t="n">
        <f aca="false">IFERROR(D610*E610,0)</f>
        <v>665.640123370275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665.640123370275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35622.9732</v>
      </c>
      <c r="F611" s="21" t="n">
        <f aca="false">IFERROR(D611*E611,0)</f>
        <v>1161.20168135351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1161.20168135351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35622.9732</v>
      </c>
      <c r="F612" s="22" t="n">
        <f aca="false">IFERROR(D612*E612,0)</f>
        <v>849.508842707615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849.508842707615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35622.9732</v>
      </c>
      <c r="F613" s="21" t="n">
        <f aca="false">IFERROR(D613*E613,0)</f>
        <v>849.685639553131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849.685639553131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35622.9732</v>
      </c>
      <c r="F614" s="22" t="n">
        <f aca="false">IFERROR(D614*E614,0)</f>
        <v>25943.1691111166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25943.1691111166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219966.6432</v>
      </c>
      <c r="F615" s="21" t="n">
        <f aca="false">IFERROR(D615*E615,0)</f>
        <v>7192.08423900621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7192.08423900621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219966.6432</v>
      </c>
      <c r="F616" s="22" t="n">
        <f aca="false">IFERROR(D616*E616,0)</f>
        <v>14770.6283779226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14770.6283779226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219966.6432</v>
      </c>
      <c r="F617" s="21" t="n">
        <f aca="false">IFERROR(D617*E617,0)</f>
        <v>16035.902457007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16035.902457007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219966.6432</v>
      </c>
      <c r="F618" s="22" t="n">
        <f aca="false">IFERROR(D618*E618,0)</f>
        <v>4110.23029141748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4110.23029141748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219966.6432</v>
      </c>
      <c r="F619" s="21" t="n">
        <f aca="false">IFERROR(D619*E619,0)</f>
        <v>7170.25034635592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7170.25034635592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219966.6432</v>
      </c>
      <c r="F620" s="22" t="n">
        <f aca="false">IFERROR(D620*E620,0)</f>
        <v>5245.59270923267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5245.59270923267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219966.6432</v>
      </c>
      <c r="F621" s="21" t="n">
        <f aca="false">IFERROR(D621*E621,0)</f>
        <v>5246.68440386519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5246.68440386519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219966.6432</v>
      </c>
      <c r="F622" s="22" t="n">
        <f aca="false">IFERROR(D622*E622,0)</f>
        <v>160195.270375193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160195.270375193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125852.1099</v>
      </c>
      <c r="F623" s="21" t="n">
        <f aca="false">IFERROR(D623*E623,0)</f>
        <v>4114.89198039218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4114.89198039218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125852.1099</v>
      </c>
      <c r="F624" s="22" t="n">
        <f aca="false">IFERROR(D624*E624,0)</f>
        <v>8450.89382129723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8450.89382129723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125852.1099</v>
      </c>
      <c r="F625" s="21" t="n">
        <f aca="false">IFERROR(D625*E625,0)</f>
        <v>9174.81000303289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9174.81000303289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125852.1099</v>
      </c>
      <c r="F626" s="22" t="n">
        <f aca="false">IFERROR(D626*E626,0)</f>
        <v>2351.63453342085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2351.63453342085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125852.1099</v>
      </c>
      <c r="F627" s="21" t="n">
        <f aca="false">IFERROR(D627*E627,0)</f>
        <v>4102.39989787732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4102.39989787732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125852.1099</v>
      </c>
      <c r="F628" s="22" t="n">
        <f aca="false">IFERROR(D628*E628,0)</f>
        <v>3001.22282419314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3001.22282419314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125852.1099</v>
      </c>
      <c r="F629" s="21" t="n">
        <f aca="false">IFERROR(D629*E629,0)</f>
        <v>3001.84742831888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3001.84742831888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125852.1099</v>
      </c>
      <c r="F630" s="22" t="n">
        <f aca="false">IFERROR(D630*E630,0)</f>
        <v>91654.4094114675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91654.4094114675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29615.58</v>
      </c>
      <c r="F708" s="1" t="n">
        <f aca="false">IFERROR(D708*E708,0)</f>
        <v>972.083618098857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972.083618098857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29615.58</v>
      </c>
      <c r="F709" s="1" t="n">
        <f aca="false">IFERROR(D709*E709,0)</f>
        <v>2074.50074040778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2074.50074040778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29615.58</v>
      </c>
      <c r="F710" s="1" t="n">
        <f aca="false">IFERROR(D710*E710,0)</f>
        <v>2218.30100811699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2218.30100811699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29615.58</v>
      </c>
      <c r="F711" s="1" t="n">
        <f aca="false">IFERROR(D711*E711,0)</f>
        <v>564.984905423699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564.984905423699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29615.58</v>
      </c>
      <c r="F712" s="1" t="n">
        <f aca="false">IFERROR(D712*E712,0)</f>
        <v>990.039302764377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990.039302764377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29615.58</v>
      </c>
      <c r="F713" s="1" t="n">
        <f aca="false">IFERROR(D713*E713,0)</f>
        <v>732.158521275095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732.158521275095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29615.58</v>
      </c>
      <c r="F714" s="1" t="n">
        <f aca="false">IFERROR(D714*E714,0)</f>
        <v>740.207621297569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740.207621297569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29615.58</v>
      </c>
      <c r="F715" s="1" t="n">
        <f aca="false">IFERROR(D715*E715,0)</f>
        <v>21323.3042826156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21323.3042826156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29544.9299</v>
      </c>
      <c r="F716" s="1" t="n">
        <f aca="false">IFERROR(D716*E716,0)</f>
        <v>977.284650747012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977.284650747012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29544.9299</v>
      </c>
      <c r="F717" s="1" t="n">
        <f aca="false">IFERROR(D717*E717,0)</f>
        <v>2034.6323419276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2034.6323419276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29544.9299</v>
      </c>
      <c r="F718" s="1" t="n">
        <f aca="false">IFERROR(D718*E718,0)</f>
        <v>2189.75448276766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2189.75448276766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29544.9299</v>
      </c>
      <c r="F719" s="1" t="n">
        <f aca="false">IFERROR(D719*E719,0)</f>
        <v>561.654359405265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561.654359405265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29544.9299</v>
      </c>
      <c r="F720" s="1" t="n">
        <f aca="false">IFERROR(D720*E720,0)</f>
        <v>975.616670737979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975.616670737979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29544.9299</v>
      </c>
      <c r="F721" s="1" t="n">
        <f aca="false">IFERROR(D721*E721,0)</f>
        <v>720.112460263392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720.112460263392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29544.9299</v>
      </c>
      <c r="F722" s="1" t="n">
        <f aca="false">IFERROR(D722*E722,0)</f>
        <v>727.087649392075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727.087649392075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29544.9299</v>
      </c>
      <c r="F723" s="1" t="n">
        <f aca="false">IFERROR(D723*E723,0)</f>
        <v>21358.787284759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21358.787284759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29435.4901</v>
      </c>
      <c r="F724" s="1" t="n">
        <f aca="false">IFERROR(D724*E724,0)</f>
        <v>962.430127295016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962.430127295016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29435.4901</v>
      </c>
      <c r="F725" s="1" t="n">
        <f aca="false">IFERROR(D725*E725,0)</f>
        <v>1976.57553465415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1976.57553465415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29435.4901</v>
      </c>
      <c r="F726" s="1" t="n">
        <f aca="false">IFERROR(D726*E726,0)</f>
        <v>2145.89194593754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2145.89194593754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29435.4901</v>
      </c>
      <c r="F727" s="1" t="n">
        <f aca="false">IFERROR(D727*E727,0)</f>
        <v>550.022682037908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550.022682037908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29435.4901</v>
      </c>
      <c r="F728" s="1" t="n">
        <f aca="false">IFERROR(D728*E728,0)</f>
        <v>959.508360059755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959.508360059755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29435.4901</v>
      </c>
      <c r="F729" s="1" t="n">
        <f aca="false">IFERROR(D729*E729,0)</f>
        <v>701.954578271486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701.954578271486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29435.4901</v>
      </c>
      <c r="F730" s="1" t="n">
        <f aca="false">IFERROR(D730*E730,0)</f>
        <v>702.100666633249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702.100666633249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29435.4901</v>
      </c>
      <c r="F731" s="1" t="n">
        <f aca="false">IFERROR(D731*E731,0)</f>
        <v>21437.0062051109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21437.0062051109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61124.3</v>
      </c>
      <c r="F828" s="1" t="n">
        <f aca="false">IFERROR(D828*E828,0)</f>
        <v>2006.30650143472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2006.30650143472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61124.3</v>
      </c>
      <c r="F829" s="1" t="n">
        <f aca="false">IFERROR(D829*E829,0)</f>
        <v>4281.61142232931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4281.61142232931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61124.3</v>
      </c>
      <c r="F830" s="1" t="n">
        <f aca="false">IFERROR(D830*E830,0)</f>
        <v>4578.40421529633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4578.40421529633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61124.3</v>
      </c>
      <c r="F831" s="1" t="n">
        <f aca="false">IFERROR(D831*E831,0)</f>
        <v>1166.08578506954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1166.08578506954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61124.3</v>
      </c>
      <c r="F832" s="1" t="n">
        <f aca="false">IFERROR(D832*E832,0)</f>
        <v>2043.3656661109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2043.3656661109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61124.3</v>
      </c>
      <c r="F833" s="1" t="n">
        <f aca="false">IFERROR(D833*E833,0)</f>
        <v>1511.1193872271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1511.1193872271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61124.3</v>
      </c>
      <c r="F834" s="1" t="n">
        <f aca="false">IFERROR(D834*E834,0)</f>
        <v>1527.73211621987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1527.73211621987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61124.3</v>
      </c>
      <c r="F835" s="1" t="n">
        <f aca="false">IFERROR(D835*E835,0)</f>
        <v>44009.6749063122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44009.6749063122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57776.2204</v>
      </c>
      <c r="F836" s="1" t="n">
        <f aca="false">IFERROR(D836*E836,0)</f>
        <v>1911.11685037697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1911.11685037697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57776.2204</v>
      </c>
      <c r="F837" s="1" t="n">
        <f aca="false">IFERROR(D837*E837,0)</f>
        <v>3978.79998422935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3978.79998422935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57776.2204</v>
      </c>
      <c r="F838" s="1" t="n">
        <f aca="false">IFERROR(D838*E838,0)</f>
        <v>4282.14715846297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4282.14715846297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57776.2204</v>
      </c>
      <c r="F839" s="1" t="n">
        <f aca="false">IFERROR(D839*E839,0)</f>
        <v>1098.33620074419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1098.33620074419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57776.2204</v>
      </c>
      <c r="F840" s="1" t="n">
        <f aca="false">IFERROR(D840*E840,0)</f>
        <v>1907.85505280457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1907.85505280457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57776.2204</v>
      </c>
      <c r="F841" s="1" t="n">
        <f aca="false">IFERROR(D841*E841,0)</f>
        <v>1408.20697012261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1408.20697012261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57776.2204</v>
      </c>
      <c r="F842" s="1" t="n">
        <f aca="false">IFERROR(D842*E842,0)</f>
        <v>1421.8472145163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1421.8472145163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57776.2204</v>
      </c>
      <c r="F843" s="1" t="n">
        <f aca="false">IFERROR(D843*E843,0)</f>
        <v>41767.910968743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41767.910968743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61319.32</v>
      </c>
      <c r="F844" s="1" t="n">
        <f aca="false">IFERROR(D844*E844,0)</f>
        <v>2004.91178345435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2004.91178345435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61319.32</v>
      </c>
      <c r="F845" s="1" t="n">
        <f aca="false">IFERROR(D845*E845,0)</f>
        <v>4117.55562084659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4117.55562084659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61319.32</v>
      </c>
      <c r="F846" s="1" t="n">
        <f aca="false">IFERROR(D846*E846,0)</f>
        <v>4470.27158275059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4470.27158275059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61319.32</v>
      </c>
      <c r="F847" s="1" t="n">
        <f aca="false">IFERROR(D847*E847,0)</f>
        <v>1145.79430247505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1145.79430247505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61319.32</v>
      </c>
      <c r="F848" s="1" t="n">
        <f aca="false">IFERROR(D848*E848,0)</f>
        <v>1998.82522673469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1998.82522673469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61319.32</v>
      </c>
      <c r="F849" s="1" t="n">
        <f aca="false">IFERROR(D849*E849,0)</f>
        <v>1462.29525189711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1462.29525189711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61319.32</v>
      </c>
      <c r="F850" s="1" t="n">
        <f aca="false">IFERROR(D850*E850,0)</f>
        <v>1462.59957973309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1462.59957973309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61319.32</v>
      </c>
      <c r="F851" s="1" t="n">
        <f aca="false">IFERROR(D851*E851,0)</f>
        <v>44657.0666521085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44657.0666521085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28519.67</v>
      </c>
      <c r="F876" s="1" t="n">
        <f aca="false">IFERROR(D876*E876,0)</f>
        <v>936.112140994214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936.112140994214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28519.67</v>
      </c>
      <c r="F877" s="1" t="n">
        <f aca="false">IFERROR(D877*E877,0)</f>
        <v>1997.73485885421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1997.73485885421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28519.67</v>
      </c>
      <c r="F878" s="1" t="n">
        <f aca="false">IFERROR(D878*E878,0)</f>
        <v>2136.21386824651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2136.21386824651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28519.67</v>
      </c>
      <c r="F879" s="1" t="n">
        <f aca="false">IFERROR(D879*E879,0)</f>
        <v>544.077916342179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544.077916342179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28519.67</v>
      </c>
      <c r="F880" s="1" t="n">
        <f aca="false">IFERROR(D880*E880,0)</f>
        <v>953.403384362897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953.403384362897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28519.67</v>
      </c>
      <c r="F881" s="1" t="n">
        <f aca="false">IFERROR(D881*E881,0)</f>
        <v>705.06535460233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705.06535460233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28519.67</v>
      </c>
      <c r="F882" s="1" t="n">
        <f aca="false">IFERROR(D882*E882,0)</f>
        <v>712.816601629671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712.816601629671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28519.67</v>
      </c>
      <c r="F883" s="1" t="n">
        <f aca="false">IFERROR(D883*E883,0)</f>
        <v>20534.245874968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20534.245874968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32743.180001</v>
      </c>
      <c r="F884" s="1" t="n">
        <f aca="false">IFERROR(D884*E884,0)</f>
        <v>1083.07609257938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1083.07609257938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32743.180001</v>
      </c>
      <c r="F885" s="1" t="n">
        <f aca="false">IFERROR(D885*E885,0)</f>
        <v>2254.88208071841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2254.88208071841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32743.180001</v>
      </c>
      <c r="F886" s="1" t="n">
        <f aca="false">IFERROR(D886*E886,0)</f>
        <v>2426.79625336523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2426.79625336523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32743.180001</v>
      </c>
      <c r="F887" s="1" t="n">
        <f aca="false">IFERROR(D887*E887,0)</f>
        <v>622.453661274483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622.453661274483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32743.180001</v>
      </c>
      <c r="F888" s="1" t="n">
        <f aca="false">IFERROR(D888*E888,0)</f>
        <v>1081.22755308856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1081.22755308856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32743.180001</v>
      </c>
      <c r="F889" s="1" t="n">
        <f aca="false">IFERROR(D889*E889,0)</f>
        <v>798.064912902948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798.064912902948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32743.180001</v>
      </c>
      <c r="F890" s="1" t="n">
        <f aca="false">IFERROR(D890*E890,0)</f>
        <v>805.795168955492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805.795168955492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32743.180001</v>
      </c>
      <c r="F891" s="1" t="n">
        <f aca="false">IFERROR(D891*E891,0)</f>
        <v>23670.8842781155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23670.8842781155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34689.6503</v>
      </c>
      <c r="F892" s="1" t="n">
        <f aca="false">IFERROR(D892*E892,0)</f>
        <v>1134.22145989846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1134.22145989846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34689.6503</v>
      </c>
      <c r="F893" s="1" t="n">
        <f aca="false">IFERROR(D893*E893,0)</f>
        <v>2329.38924596632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2329.38924596632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34689.6503</v>
      </c>
      <c r="F894" s="1" t="n">
        <f aca="false">IFERROR(D894*E894,0)</f>
        <v>2528.92820650401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2528.92820650401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34689.6503</v>
      </c>
      <c r="F895" s="1" t="n">
        <f aca="false">IFERROR(D895*E895,0)</f>
        <v>648.200333411914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648.200333411914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34689.6503</v>
      </c>
      <c r="F896" s="1" t="n">
        <f aca="false">IFERROR(D896*E896,0)</f>
        <v>1130.77816463465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1130.77816463465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34689.6503</v>
      </c>
      <c r="F897" s="1" t="n">
        <f aca="false">IFERROR(D897*E897,0)</f>
        <v>827.251687129946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827.251687129946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34689.6503</v>
      </c>
      <c r="F898" s="1" t="n">
        <f aca="false">IFERROR(D898*E898,0)</f>
        <v>827.423851893137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827.423851893137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34689.6503</v>
      </c>
      <c r="F899" s="1" t="n">
        <f aca="false">IFERROR(D899*E899,0)</f>
        <v>25263.4573505616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25263.4573505616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29085.76</v>
      </c>
      <c r="E6" s="21" t="n">
        <f aca="false">IFERROR(D6/IF(B6="Clientes",SUMIFS(PARÂMETROS!$B$8:$B$33,PARÂMETROS!$G$8:$G$33,F6),SUMIFS(PARÂMETROS!$C$8:$C$33,PARÂMETROS!$G$8:$G$33,F6)),0)</f>
        <v>27.727130600572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43117.9197</v>
      </c>
      <c r="E7" s="21" t="n">
        <f aca="false">IFERROR(D7/IF(B7="Clientes",SUMIFS(PARÂMETROS!$B$8:$B$33,PARÂMETROS!$G$8:$G$33,F7),SUMIFS(PARÂMETROS!$C$8:$C$33,PARÂMETROS!$G$8:$G$33,F7)),0)</f>
        <v>41.1038319351764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24337.88</v>
      </c>
      <c r="E8" s="21" t="n">
        <f aca="false">IFERROR(D8/IF(B8="Clientes",SUMIFS(PARÂMETROS!$B$8:$B$33,PARÂMETROS!$G$8:$G$33,F8),SUMIFS(PARÂMETROS!$C$8:$C$33,PARÂMETROS!$G$8:$G$33,F8)),0)</f>
        <v>0.124910209758626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16781.8</v>
      </c>
      <c r="E9" s="21" t="n">
        <f aca="false">IFERROR(D9/IF(B9="Clientes",SUMIFS(PARÂMETROS!$B$8:$B$33,PARÂMETROS!$G$8:$G$33,F9),SUMIFS(PARÂMETROS!$C$8:$C$33,PARÂMETROS!$G$8:$G$33,F9)),0)</f>
        <v>0.0861298583988134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69776.19</v>
      </c>
      <c r="E10" s="21" t="n">
        <f aca="false">IFERROR(D10/IF(B10="Clientes",SUMIFS(PARÂMETROS!$B$8:$B$33,PARÂMETROS!$G$8:$G$33,F10),SUMIFS(PARÂMETROS!$C$8:$C$33,PARÂMETROS!$G$8:$G$33,F10)),0)</f>
        <v>0.358114943826568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171451.3932</v>
      </c>
      <c r="E11" s="21" t="n">
        <f aca="false">IFERROR(D11/IF(B11="Clientes",SUMIFS(PARÂMETROS!$B$8:$B$33,PARÂMETROS!$G$8:$G$33,F11),SUMIFS(PARÂMETROS!$C$8:$C$33,PARÂMETROS!$G$8:$G$33,F11)),0)</f>
        <v>0.879946383498509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47304.0883</v>
      </c>
      <c r="E12" s="21" t="n">
        <f aca="false">IFERROR(D12/IF(B12="Clientes",SUMIFS(PARÂMETROS!$B$8:$B$33,PARÂMETROS!$G$8:$G$33,F12),SUMIFS(PARÂMETROS!$C$8:$C$33,PARÂMETROS!$G$8:$G$33,F12)),0)</f>
        <v>0.242780537663657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55061.8342</v>
      </c>
      <c r="E13" s="21" t="n">
        <f aca="false">IFERROR(D13/IF(B13="Clientes",SUMIFS(PARÂMETROS!$B$8:$B$33,PARÂMETROS!$G$8:$G$33,F13),SUMIFS(PARÂMETROS!$C$8:$C$33,PARÂMETROS!$G$8:$G$33,F13)),0)</f>
        <v>0.282595906447755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35472.48</v>
      </c>
      <c r="E14" s="21" t="n">
        <f aca="false">IFERROR(D14/IF(B14="Clientes",SUMIFS(PARÂMETROS!$B$8:$B$33,PARÂMETROS!$G$8:$G$33,F14),SUMIFS(PARÂMETROS!$C$8:$C$33,PARÂMETROS!$G$8:$G$33,F14)),0)</f>
        <v>0.18205673285671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18100.91</v>
      </c>
      <c r="E15" s="21" t="n">
        <f aca="false">IFERROR(D15/IF(B15="Clientes",SUMIFS(PARÂMETROS!$B$8:$B$33,PARÂMETROS!$G$8:$G$33,F15),SUMIFS(PARÂMETROS!$C$8:$C$33,PARÂMETROS!$G$8:$G$33,F15)),0)</f>
        <v>0.0928999758780146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28941.7206607408</v>
      </c>
      <c r="E16" s="21" t="n">
        <f aca="false">IFERROR(D16/IF(B16="Clientes",SUMIFS(PARÂMETROS!$B$8:$B$33,PARÂMETROS!$G$8:$G$33,F16),SUMIFS(PARÂMETROS!$C$8:$C$33,PARÂMETROS!$G$8:$G$33,F16)),0)</f>
        <v>0.148538672986665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152869.042630445</v>
      </c>
      <c r="E25" s="21" t="n">
        <f aca="false">IFERROR(D25/IF(B25="Clientes",SUMIFS(PARÂMETROS!$B$8:$B$33,PARÂMETROS!$G$8:$G$33,F25),SUMIFS(PARÂMETROS!$C$8:$C$33,PARÂMETROS!$G$8:$G$33,F25)),0)</f>
        <v>0.784575492219094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40401.7324</v>
      </c>
      <c r="E26" s="21" t="n">
        <f aca="false">IFERROR(D26/IF(B26="Clientes",SUMIFS(PARÂMETROS!$B$8:$B$33,PARÂMETROS!$G$8:$G$33,F26),SUMIFS(PARÂMETROS!$C$8:$C$33,PARÂMETROS!$G$8:$G$33,F26)),0)</f>
        <v>0.207355318897779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127471.1296</v>
      </c>
      <c r="E27" s="21" t="n">
        <f aca="false">IFERROR(D27/IF(B27="Clientes",SUMIFS(PARÂMETROS!$B$8:$B$33,PARÂMETROS!$G$8:$G$33,F27),SUMIFS(PARÂMETROS!$C$8:$C$33,PARÂMETROS!$G$8:$G$33,F27)),0)</f>
        <v>0.654224835380281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143948.5004</v>
      </c>
      <c r="E28" s="21" t="n">
        <f aca="false">IFERROR(D28/IF(B28="Clientes",SUMIFS(PARÂMETROS!$B$8:$B$33,PARÂMETROS!$G$8:$G$33,F28),SUMIFS(PARÂMETROS!$C$8:$C$33,PARÂMETROS!$G$8:$G$33,F28)),0)</f>
        <v>0.738792260435325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57776.2204</v>
      </c>
      <c r="E32" s="21" t="n">
        <f aca="false">IFERROR(D32/IF(B32="Clientes",SUMIFS(PARÂMETROS!$B$8:$B$33,PARÂMETROS!$G$8:$G$33,F32),SUMIFS(PARÂMETROS!$C$8:$C$33,PARÂMETROS!$G$8:$G$33,F32)),0)</f>
        <v>0.296527052036768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32743.180001</v>
      </c>
      <c r="E33" s="21" t="n">
        <f aca="false">IFERROR(D33/IF(B33="Clientes",SUMIFS(PARÂMETROS!$B$8:$B$33,PARÂMETROS!$G$8:$G$33,F33),SUMIFS(PARÂMETROS!$C$8:$C$33,PARÂMETROS!$G$8:$G$33,F33)),0)</f>
        <v>0.168049044620541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29544.9299</v>
      </c>
      <c r="E38" s="21" t="n">
        <f aca="false">IFERROR(D38/IF(B38="Clientes",SUMIFS(PARÂMETROS!$B$8:$B$33,PARÂMETROS!$G$8:$G$33,F38),SUMIFS(PARÂMETROS!$C$8:$C$33,PARÂMETROS!$G$8:$G$33,F38)),0)</f>
        <v>0.151634546275719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2473363.12139219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22894.48</v>
      </c>
      <c r="E43" s="21" t="n">
        <f aca="false">IFERROR(D43/IF(B43="Clientes",SUMIFS(PARÂMETROS!$B$8:$B$33,PARÂMETROS!$G$8:$G$33,F43),SUMIFS(PARÂMETROS!$C$8:$C$33,PARÂMETROS!$G$8:$G$33,F43)),0)</f>
        <v>21.7421462488129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38461.9203</v>
      </c>
      <c r="E44" s="21" t="n">
        <f aca="false">IFERROR(D44/IF(B44="Clientes",SUMIFS(PARÂMETROS!$B$8:$B$33,PARÂMETROS!$G$8:$G$33,F44),SUMIFS(PARÂMETROS!$C$8:$C$33,PARÂMETROS!$G$8:$G$33,F44)),0)</f>
        <v>36.5260401709402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20765.11</v>
      </c>
      <c r="E45" s="21" t="n">
        <f aca="false">IFERROR(D45/IF(B45="Clientes",SUMIFS(PARÂMETROS!$B$8:$B$33,PARÂMETROS!$G$8:$G$33,F45),SUMIFS(PARÂMETROS!$C$8:$C$33,PARÂMETROS!$G$8:$G$33,F45)),0)</f>
        <v>0.10853204200139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16367.63</v>
      </c>
      <c r="E46" s="21" t="n">
        <f aca="false">IFERROR(D46/IF(B46="Clientes",SUMIFS(PARÂMETROS!$B$8:$B$33,PARÂMETROS!$G$8:$G$33,F46),SUMIFS(PARÂMETROS!$C$8:$C$33,PARÂMETROS!$G$8:$G$33,F46)),0)</f>
        <v>0.0855479362557297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69853.89</v>
      </c>
      <c r="E47" s="21" t="n">
        <f aca="false">IFERROR(D47/IF(B47="Clientes",SUMIFS(PARÂMETROS!$B$8:$B$33,PARÂMETROS!$G$8:$G$33,F47),SUMIFS(PARÂMETROS!$C$8:$C$33,PARÂMETROS!$G$8:$G$33,F47)),0)</f>
        <v>0.365102102682841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161508.6453</v>
      </c>
      <c r="E48" s="21" t="n">
        <f aca="false">IFERROR(D48/IF(B48="Clientes",SUMIFS(PARÂMETROS!$B$8:$B$33,PARÂMETROS!$G$8:$G$33,F48),SUMIFS(PARÂMETROS!$C$8:$C$33,PARÂMETROS!$G$8:$G$33,F48)),0)</f>
        <v>0.844149781787202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52182.9196</v>
      </c>
      <c r="E49" s="21" t="n">
        <f aca="false">IFERROR(D49/IF(B49="Clientes",SUMIFS(PARÂMETROS!$B$8:$B$33,PARÂMETROS!$G$8:$G$33,F49),SUMIFS(PARÂMETROS!$C$8:$C$33,PARÂMETROS!$G$8:$G$33,F49)),0)</f>
        <v>0.272742057315486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46803.673</v>
      </c>
      <c r="E50" s="21" t="n">
        <f aca="false">IFERROR(D50/IF(B50="Clientes",SUMIFS(PARÂMETROS!$B$8:$B$33,PARÂMETROS!$G$8:$G$33,F50),SUMIFS(PARÂMETROS!$C$8:$C$33,PARÂMETROS!$G$8:$G$33,F50)),0)</f>
        <v>0.244626597396081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24839.19</v>
      </c>
      <c r="E51" s="21" t="n">
        <f aca="false">IFERROR(D51/IF(B51="Clientes",SUMIFS(PARÂMETROS!$B$8:$B$33,PARÂMETROS!$G$8:$G$33,F51),SUMIFS(PARÂMETROS!$C$8:$C$33,PARÂMETROS!$G$8:$G$33,F51)),0)</f>
        <v>0.12982584789392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18241.48</v>
      </c>
      <c r="E52" s="21" t="n">
        <f aca="false">IFERROR(D52/IF(B52="Clientes",SUMIFS(PARÂMETROS!$B$8:$B$33,PARÂMETROS!$G$8:$G$33,F52),SUMIFS(PARÂMETROS!$C$8:$C$33,PARÂMETROS!$G$8:$G$33,F52)),0)</f>
        <v>0.0953419015612015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27846.7733777778</v>
      </c>
      <c r="E53" s="21" t="n">
        <f aca="false">IFERROR(D53/IF(B53="Clientes",SUMIFS(PARÂMETROS!$B$8:$B$33,PARÂMETROS!$G$8:$G$33,F53),SUMIFS(PARÂMETROS!$C$8:$C$33,PARÂMETROS!$G$8:$G$33,F53)),0)</f>
        <v>0.14554544511636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72535.2528555556</v>
      </c>
      <c r="E62" s="21" t="n">
        <f aca="false">IFERROR(D62/IF(B62="Clientes",SUMIFS(PARÂMETROS!$B$8:$B$33,PARÂMETROS!$G$8:$G$33,F62),SUMIFS(PARÂMETROS!$C$8:$C$33,PARÂMETROS!$G$8:$G$33,F62)),0)</f>
        <v>0.379116658158836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44655.5397</v>
      </c>
      <c r="E63" s="21" t="n">
        <f aca="false">IFERROR(D63/IF(B63="Clientes",SUMIFS(PARÂMETROS!$B$8:$B$33,PARÂMETROS!$G$8:$G$33,F63),SUMIFS(PARÂMETROS!$C$8:$C$33,PARÂMETROS!$G$8:$G$33,F63)),0)</f>
        <v>0.233399048226335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124798.6823</v>
      </c>
      <c r="E64" s="21" t="n">
        <f aca="false">IFERROR(D64/IF(B64="Clientes",SUMIFS(PARÂMETROS!$B$8:$B$33,PARÂMETROS!$G$8:$G$33,F64),SUMIFS(PARÂMETROS!$C$8:$C$33,PARÂMETROS!$G$8:$G$33,F64)),0)</f>
        <v>0.652279512562263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115145.55</v>
      </c>
      <c r="E65" s="21" t="n">
        <f aca="false">IFERROR(D65/IF(B65="Clientes",SUMIFS(PARÂMETROS!$B$8:$B$33,PARÂMETROS!$G$8:$G$33,F65),SUMIFS(PARÂMETROS!$C$8:$C$33,PARÂMETROS!$G$8:$G$33,F65)),0)</f>
        <v>0.601825931520381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61124.3</v>
      </c>
      <c r="E69" s="21" t="n">
        <f aca="false">IFERROR(D69/IF(B69="Clientes",SUMIFS(PARÂMETROS!$B$8:$B$33,PARÂMETROS!$G$8:$G$33,F69),SUMIFS(PARÂMETROS!$C$8:$C$33,PARÂMETROS!$G$8:$G$33,F69)),0)</f>
        <v>0.319475557553299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28519.67</v>
      </c>
      <c r="E70" s="21" t="n">
        <f aca="false">IFERROR(D70/IF(B70="Clientes",SUMIFS(PARÂMETROS!$B$8:$B$33,PARÂMETROS!$G$8:$G$33,F70),SUMIFS(PARÂMETROS!$C$8:$C$33,PARÂMETROS!$G$8:$G$33,F70)),0)</f>
        <v>0.149062442833474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29615.58</v>
      </c>
      <c r="E75" s="21" t="n">
        <f aca="false">IFERROR(D75/IF(B75="Clientes",SUMIFS(PARÂMETROS!$B$8:$B$33,PARÂMETROS!$G$8:$G$33,F75),SUMIFS(PARÂMETROS!$C$8:$C$33,PARÂMETROS!$G$8:$G$33,F75)),0)</f>
        <v>0.154790385047589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2150803.20643333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31895.8</v>
      </c>
      <c r="E79" s="21" t="n">
        <f aca="false">IFERROR(D79/IF(B79="Clientes",SUMIFS(PARÂMETROS!$B$8:$B$33,PARÂMETROS!$G$8:$G$33,F79),SUMIFS(PARÂMETROS!$C$8:$C$33,PARÂMETROS!$G$8:$G$33,F79)),0)</f>
        <v>29.2622018348624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45620.2501</v>
      </c>
      <c r="E80" s="21" t="n">
        <f aca="false">IFERROR(D80/IF(B80="Clientes",SUMIFS(PARÂMETROS!$B$8:$B$33,PARÂMETROS!$G$8:$G$33,F80),SUMIFS(PARÂMETROS!$C$8:$C$33,PARÂMETROS!$G$8:$G$33,F80)),0)</f>
        <v>41.8534404587156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28236.6898</v>
      </c>
      <c r="E81" s="21" t="n">
        <f aca="false">IFERROR(D81/IF(B81="Clientes",SUMIFS(PARÂMETROS!$B$8:$B$33,PARÂMETROS!$G$8:$G$33,F81),SUMIFS(PARÂMETROS!$C$8:$C$33,PARÂMETROS!$G$8:$G$33,F81)),0)</f>
        <v>0.140138714880565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11205.5601</v>
      </c>
      <c r="E82" s="21" t="n">
        <f aca="false">IFERROR(D82/IF(B82="Clientes",SUMIFS(PARÂMETROS!$B$8:$B$33,PARÂMETROS!$G$8:$G$33,F82),SUMIFS(PARÂMETROS!$C$8:$C$33,PARÂMETROS!$G$8:$G$33,F82)),0)</f>
        <v>0.0556132040637051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74932.1201</v>
      </c>
      <c r="E83" s="21" t="n">
        <f aca="false">IFERROR(D83/IF(B83="Clientes",SUMIFS(PARÂMETROS!$B$8:$B$33,PARÂMETROS!$G$8:$G$33,F83),SUMIFS(PARÂMETROS!$C$8:$C$33,PARÂMETROS!$G$8:$G$33,F83)),0)</f>
        <v>0.371888174161625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169025.6772</v>
      </c>
      <c r="E84" s="21" t="n">
        <f aca="false">IFERROR(D84/IF(B84="Clientes",SUMIFS(PARÂMETROS!$B$8:$B$33,PARÂMETROS!$G$8:$G$33,F84),SUMIFS(PARÂMETROS!$C$8:$C$33,PARÂMETROS!$G$8:$G$33,F84)),0)</f>
        <v>0.838874576035654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49826.7552</v>
      </c>
      <c r="E85" s="21" t="n">
        <f aca="false">IFERROR(D85/IF(B85="Clientes",SUMIFS(PARÂMETROS!$B$8:$B$33,PARÂMETROS!$G$8:$G$33,F85),SUMIFS(PARÂMETROS!$C$8:$C$33,PARÂMETROS!$G$8:$G$33,F85)),0)</f>
        <v>0.247290227355068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59202.0848</v>
      </c>
      <c r="E86" s="21" t="n">
        <f aca="false">IFERROR(D86/IF(B86="Clientes",SUMIFS(PARÂMETROS!$B$8:$B$33,PARÂMETROS!$G$8:$G$33,F86),SUMIFS(PARÂMETROS!$C$8:$C$33,PARÂMETROS!$G$8:$G$33,F86)),0)</f>
        <v>0.293819995930339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34332.9</v>
      </c>
      <c r="E87" s="21" t="n">
        <f aca="false">IFERROR(D87/IF(B87="Clientes",SUMIFS(PARÂMETROS!$B$8:$B$33,PARÂMETROS!$G$8:$G$33,F87),SUMIFS(PARÂMETROS!$C$8:$C$33,PARÂMETROS!$G$8:$G$33,F87)),0)</f>
        <v>0.170394211155833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20220.95</v>
      </c>
      <c r="E88" s="21" t="n">
        <f aca="false">IFERROR(D88/IF(B88="Clientes",SUMIFS(PARÂMETROS!$B$8:$B$33,PARÂMETROS!$G$8:$G$33,F88),SUMIFS(PARÂMETROS!$C$8:$C$33,PARÂMETROS!$G$8:$G$33,F88)),0)</f>
        <v>0.100356591609551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28042.9933777778</v>
      </c>
      <c r="E89" s="21" t="n">
        <f aca="false">IFERROR(D89/IF(B89="Clientes",SUMIFS(PARÂMETROS!$B$8:$B$33,PARÂMETROS!$G$8:$G$33,F89),SUMIFS(PARÂMETROS!$C$8:$C$33,PARÂMETROS!$G$8:$G$33,F89)),0)</f>
        <v>0.139177399376537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29728.05</v>
      </c>
      <c r="E90" s="21" t="n">
        <f aca="false">IFERROR(D90/IF(B90="Clientes",SUMIFS(PARÂMETROS!$B$8:$B$33,PARÂMETROS!$G$8:$G$33,F90),SUMIFS(PARÂMETROS!$C$8:$C$33,PARÂMETROS!$G$8:$G$33,F90)),0)</f>
        <v>0.147540336789236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69434.39</v>
      </c>
      <c r="E91" s="21" t="n">
        <f aca="false">IFERROR(D91/IF(B91="Clientes",SUMIFS(PARÂMETROS!$B$8:$B$33,PARÂMETROS!$G$8:$G$33,F91),SUMIFS(PARÂMETROS!$C$8:$C$33,PARÂMETROS!$G$8:$G$33,F91)),0)</f>
        <v>63.7012752293578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87428.4</v>
      </c>
      <c r="E92" s="21" t="n">
        <f aca="false">IFERROR(D92/IF(B92="Clientes",SUMIFS(PARÂMETROS!$B$8:$B$33,PARÂMETROS!$G$8:$G$33,F92),SUMIFS(PARÂMETROS!$C$8:$C$33,PARÂMETROS!$G$8:$G$33,F92)),0)</f>
        <v>0.433907221662506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124365.39</v>
      </c>
      <c r="E95" s="21" t="n">
        <f aca="false">IFERROR(D95/IF(B95="Clientes",SUMIFS(PARÂMETROS!$B$8:$B$33,PARÂMETROS!$G$8:$G$33,F95),SUMIFS(PARÂMETROS!$C$8:$C$33,PARÂMETROS!$G$8:$G$33,F95)),0)</f>
        <v>0.617225533646664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628609.68</v>
      </c>
      <c r="E97" s="21" t="n">
        <f aca="false">IFERROR(D97/IF(B97="Clientes",SUMIFS(PARÂMETROS!$B$8:$B$33,PARÂMETROS!$G$8:$G$33,F97),SUMIFS(PARÂMETROS!$C$8:$C$33,PARÂMETROS!$G$8:$G$33,F97)),0)</f>
        <v>3.11979036284499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140820.044986667</v>
      </c>
      <c r="E98" s="21" t="n">
        <f aca="false">IFERROR(D98/IF(B98="Clientes",SUMIFS(PARÂMETROS!$B$8:$B$33,PARÂMETROS!$G$8:$G$33,F98),SUMIFS(PARÂMETROS!$C$8:$C$33,PARÂMETROS!$G$8:$G$33,F98)),0)</f>
        <v>0.698889999983458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35622.9732</v>
      </c>
      <c r="E99" s="21" t="n">
        <f aca="false">IFERROR(D99/IF(B99="Clientes",SUMIFS(PARÂMETROS!$B$8:$B$33,PARÂMETROS!$G$8:$G$33,F99),SUMIFS(PARÂMETROS!$C$8:$C$33,PARÂMETROS!$G$8:$G$33,F99)),0)</f>
        <v>0.176796845516673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219966.6432</v>
      </c>
      <c r="E100" s="21" t="n">
        <f aca="false">IFERROR(D100/IF(B100="Clientes",SUMIFS(PARÂMETROS!$B$8:$B$33,PARÂMETROS!$G$8:$G$33,F100),SUMIFS(PARÂMETROS!$C$8:$C$33,PARÂMETROS!$G$8:$G$33,F100)),0)</f>
        <v>1.0916946325146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125852.1099</v>
      </c>
      <c r="E101" s="21" t="n">
        <f aca="false">IFERROR(D101/IF(B101="Clientes",SUMIFS(PARÂMETROS!$B$8:$B$33,PARÂMETROS!$G$8:$G$33,F101),SUMIFS(PARÂMETROS!$C$8:$C$33,PARÂMETROS!$G$8:$G$33,F101)),0)</f>
        <v>0.624604125742589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61319.32</v>
      </c>
      <c r="E105" s="21" t="n">
        <f aca="false">IFERROR(D105/IF(B105="Clientes",SUMIFS(PARÂMETROS!$B$8:$B$33,PARÂMETROS!$G$8:$G$33,F105),SUMIFS(PARÂMETROS!$C$8:$C$33,PARÂMETROS!$G$8:$G$33,F105)),0)</f>
        <v>0.304327835982749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34689.6503</v>
      </c>
      <c r="E106" s="21" t="n">
        <f aca="false">IFERROR(D106/IF(B106="Clientes",SUMIFS(PARÂMETROS!$B$8:$B$33,PARÂMETROS!$G$8:$G$33,F106),SUMIFS(PARÂMETROS!$C$8:$C$33,PARÂMETROS!$G$8:$G$33,F106)),0)</f>
        <v>0.172164763190415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29435.4901</v>
      </c>
      <c r="E111" s="21" t="n">
        <f aca="false">IFERROR(D111/IF(B111="Clientes",SUMIFS(PARÂMETROS!$B$8:$B$33,PARÂMETROS!$G$8:$G$33,F111),SUMIFS(PARÂMETROS!$C$8:$C$33,PARÂMETROS!$G$8:$G$33,F111)),0)</f>
        <v>0.146088361763056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3111175.81236445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8502.14</v>
      </c>
      <c r="E114" s="1" t="n">
        <f aca="false">IFERROR(D114/IF(B114="Clientes",SUMIFS(PARÂMETROS!$B$8:$B$33,PARÂMETROS!$G$8:$G$33,F114),SUMIFS(PARÂMETROS!$C$8:$C$33,PARÂMETROS!$G$8:$G$33,F114)),0)</f>
        <v>0.0436358504026319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7774.06</v>
      </c>
      <c r="E115" s="1" t="n">
        <f aca="false">IFERROR(D115/IF(B115="Clientes",SUMIFS(PARÂMETROS!$B$8:$B$33,PARÂMETROS!$G$8:$G$33,F115),SUMIFS(PARÂMETROS!$C$8:$C$33,PARÂMETROS!$G$8:$G$33,F115)),0)</f>
        <v>0.0406323205820402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7791.69</v>
      </c>
      <c r="E116" s="1" t="n">
        <f aca="false">IFERROR(D116/IF(B116="Clientes",SUMIFS(PARÂMETROS!$B$8:$B$33,PARÂMETROS!$G$8:$G$33,F116),SUMIFS(PARÂMETROS!$C$8:$C$33,PARÂMETROS!$G$8:$G$33,F116)),0)</f>
        <v>0.0386701639279174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50.91</v>
      </c>
      <c r="F7" s="37" t="n">
        <v>50.91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25.46</v>
      </c>
      <c r="F33" s="37" t="n">
        <v>25.46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</v>
      </c>
      <c r="F34" s="22" t="n">
        <v>0.07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110.31</v>
      </c>
      <c r="F45" s="37" t="n">
        <v>110.31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0.32</v>
      </c>
      <c r="F46" s="22" t="n">
        <v>0.32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42.43</v>
      </c>
      <c r="F90" s="22" t="n">
        <v>42.43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</v>
      </c>
      <c r="F91" s="37" t="n">
        <v>0.12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8.49</v>
      </c>
      <c r="F104" s="22" t="n">
        <v>8.49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</v>
      </c>
      <c r="F105" s="37" t="n">
        <v>0.02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59.4</v>
      </c>
      <c r="F112" s="22" t="n">
        <v>59.4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0.17</v>
      </c>
      <c r="F113" s="37" t="n">
        <v>0.17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16.97</v>
      </c>
      <c r="F128" s="22" t="n">
        <v>16.97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f aca="false">IFERROR(D169*E169,0)</f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f aca="false">IFERROR(D170*E170,0)</f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67.88</v>
      </c>
      <c r="F171" s="37" t="n">
        <v>67.88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9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364.86</v>
      </c>
      <c r="F220" s="22" t="n">
        <v>364.86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1.07</v>
      </c>
      <c r="F221" s="37" t="n">
        <v>1.07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50.91</v>
      </c>
      <c r="F256" s="22" t="n">
        <v>50.91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101.82</v>
      </c>
      <c r="F272" s="22" t="n">
        <v>101.82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67.88</v>
      </c>
      <c r="F307" s="37" t="n">
        <v>67.88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280.01</v>
      </c>
      <c r="F318" s="22" t="n">
        <v>280.01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0.82</v>
      </c>
      <c r="F319" s="37" t="n">
        <v>0.82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110.31</v>
      </c>
      <c r="F329" s="37" t="n">
        <v>110.31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0.32</v>
      </c>
      <c r="F330" s="22" t="n">
        <v>0.32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13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44.95</v>
      </c>
      <c r="F559" s="37" t="n">
        <v>44.95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35.96</v>
      </c>
      <c r="F585" s="37" t="n">
        <v>35.96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98.88</v>
      </c>
      <c r="F597" s="37" t="n">
        <v>98.88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0.28</v>
      </c>
      <c r="F598" s="22" t="n">
        <v>0.28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35.96</v>
      </c>
      <c r="F643" s="37" t="n">
        <v>35.96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8.99</v>
      </c>
      <c r="F657" s="37" t="n">
        <v>8.99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62.92</v>
      </c>
      <c r="F665" s="37" t="n">
        <v>62.92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17.98</v>
      </c>
      <c r="F679" s="37" t="n">
        <v>17.98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62.92</v>
      </c>
      <c r="F725" s="37" t="n">
        <v>62.92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8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395.53</v>
      </c>
      <c r="F773" s="37" t="n">
        <v>395.53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1.13</v>
      </c>
      <c r="F774" s="22" t="n">
        <v>1.13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35.96</v>
      </c>
      <c r="F810" s="22" t="n">
        <v>35.96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125.85</v>
      </c>
      <c r="F826" s="22" t="n">
        <v>125.85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0.36</v>
      </c>
      <c r="F827" s="37" t="n">
        <v>0.36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71.91</v>
      </c>
      <c r="F856" s="22" t="n">
        <v>71.91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287.65</v>
      </c>
      <c r="F867" s="37" t="n">
        <v>287.65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0.82</v>
      </c>
      <c r="F868" s="22" t="n">
        <v>0.82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116.86</v>
      </c>
      <c r="F878" s="22" t="n">
        <v>116.86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0.33</v>
      </c>
      <c r="F879" s="37" t="n">
        <v>0.33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13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43.47</v>
      </c>
      <c r="F1028" s="22" t="n">
        <v>43.47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34.78</v>
      </c>
      <c r="F1058" s="22" t="n">
        <v>34.78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104.34</v>
      </c>
      <c r="F1073" s="37" t="n">
        <v>104.34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43.47</v>
      </c>
      <c r="F1129" s="37" t="n">
        <v>43.47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8.69</v>
      </c>
      <c r="F1145" s="37" t="n">
        <v>8.69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60.86</v>
      </c>
      <c r="F1156" s="22" t="n">
        <v>60.86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17.39</v>
      </c>
      <c r="F1172" s="22" t="n">
        <v>17.39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60.86</v>
      </c>
      <c r="F1220" s="22" t="n">
        <v>60.86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8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356.49</v>
      </c>
      <c r="F1282" s="22" t="n">
        <v>356.49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34.78</v>
      </c>
      <c r="F1337" s="37" t="n">
        <v>34.78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86.95</v>
      </c>
      <c r="F1355" s="37" t="n">
        <v>86.95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78.25</v>
      </c>
      <c r="F1400" s="22" t="n">
        <v>78.25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269.54</v>
      </c>
      <c r="F1421" s="37" t="n">
        <v>269.54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113.03</v>
      </c>
      <c r="F1441" s="37" t="n">
        <v>113.03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13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17.39</v>
      </c>
      <c r="F1645" s="1" t="n">
        <v>17.39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104.34</v>
      </c>
      <c r="F1646" s="1" t="n">
        <v>104.34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95.64</v>
      </c>
      <c r="F1647" s="1" t="n">
        <v>95.64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52.17</v>
      </c>
      <c r="F1648" s="1" t="n">
        <v>52.17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26.08</v>
      </c>
      <c r="F1649" s="1" t="n">
        <v>26.08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17.98</v>
      </c>
      <c r="F1650" s="1" t="n">
        <v>17.98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107.87</v>
      </c>
      <c r="F1652" s="1" t="n">
        <v>107.87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98.88</v>
      </c>
      <c r="F1654" s="1" t="n">
        <v>98.88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0.28</v>
      </c>
      <c r="F1655" s="1" t="n">
        <v>0.28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44.95</v>
      </c>
      <c r="F1656" s="1" t="n">
        <v>44.95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26.97</v>
      </c>
      <c r="F1658" s="1" t="n">
        <v>26.97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16.97</v>
      </c>
      <c r="F1660" s="1" t="n">
        <v>16.97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101.82</v>
      </c>
      <c r="F1662" s="1" t="n">
        <v>101.82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93.34</v>
      </c>
      <c r="F1664" s="1" t="n">
        <v>93.34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0.27</v>
      </c>
      <c r="F1665" s="1" t="n">
        <v>0.27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59.4</v>
      </c>
      <c r="F1666" s="1" t="n">
        <v>59.4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0.17</v>
      </c>
      <c r="F1667" s="1" t="n">
        <v>0.17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25.46</v>
      </c>
      <c r="F1668" s="1" t="n">
        <v>25.46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</v>
      </c>
      <c r="F1669" s="1" t="n">
        <v>0.07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80249.9862379226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80249.9862379226</v>
      </c>
      <c r="F4" s="11" t="n">
        <f aca="false">IFERROR(B4/B$12,0)</f>
        <v>0.0330204492743565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159322.234559411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159322.234559411</v>
      </c>
      <c r="F5" s="16" t="n">
        <f aca="false">IFERROR(B5/B$12,0)</f>
        <v>0.0655562949126101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172980.194446963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172980.194446963</v>
      </c>
      <c r="F6" s="11" t="n">
        <f aca="false">IFERROR(B6/B$12,0)</f>
        <v>0.0711761335294172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44413.4631571574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44413.4631571574</v>
      </c>
      <c r="F7" s="16" t="n">
        <f aca="false">IFERROR(B7/B$12,0)</f>
        <v>0.0182748007324441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81723.5976354825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81723.5976354825</v>
      </c>
      <c r="F8" s="11" t="n">
        <f aca="false">IFERROR(B8/B$12,0)</f>
        <v>0.0336267959254198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57722.5419713247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57722.5419713247</v>
      </c>
      <c r="F9" s="16" t="n">
        <f aca="false">IFERROR(B9/B$12,0)</f>
        <v>0.0237510853086021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58046.9362294962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58046.9362294962</v>
      </c>
      <c r="F10" s="11" t="n">
        <f aca="false">IFERROR(B10/B$12,0)</f>
        <v>0.0238845637632287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1775852.80715443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1775852.80715443</v>
      </c>
      <c r="F11" s="16" t="n">
        <f aca="false">IFERROR(B11/B$12,0)</f>
        <v>0.730709876553922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2430311.76139219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2430311.76139219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69822.4780456556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69822.4780456556</v>
      </c>
      <c r="F14" s="11" t="n">
        <f aca="false">IFERROR(B14/B$22,0)</f>
        <v>0.0328606265583046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141818.83125415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141818.83125415</v>
      </c>
      <c r="F15" s="16" t="n">
        <f aca="false">IFERROR(B15/B$22,0)</f>
        <v>0.0667443462795833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152477.681328435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152477.681328435</v>
      </c>
      <c r="F16" s="11" t="n">
        <f aca="false">IFERROR(B16/B$22,0)</f>
        <v>0.0717607321432158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38889.7926657645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38889.7926657645</v>
      </c>
      <c r="F17" s="16" t="n">
        <f aca="false">IFERROR(B17/B$22,0)</f>
        <v>0.0183027441805196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72262.7048177068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72262.7048177068</v>
      </c>
      <c r="F18" s="11" t="n">
        <f aca="false">IFERROR(B18/B$22,0)</f>
        <v>0.0340090730603253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51075.1029105745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51075.1029105745</v>
      </c>
      <c r="F19" s="16" t="n">
        <f aca="false">IFERROR(B19/B$22,0)</f>
        <v>0.0240375296057799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51962.9375630521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51962.9375630521</v>
      </c>
      <c r="F20" s="11" t="n">
        <f aca="false">IFERROR(B20/B$22,0)</f>
        <v>0.0244553721656145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1546497.127848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1546497.127848</v>
      </c>
      <c r="F21" s="16" t="n">
        <f aca="false">IFERROR(B21/B$22,0)</f>
        <v>0.727829576006657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2124806.65643333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2124806.65643333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100068.644608755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100068.644608755</v>
      </c>
      <c r="F24" s="11" t="n">
        <f aca="false">IFERROR(B24/B$32,0)</f>
        <v>0.0325625859318458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188013.516996977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188013.516996977</v>
      </c>
      <c r="F25" s="16" t="n">
        <f aca="false">IFERROR(B25/B$32,0)</f>
        <v>0.0611800662185344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215898.737411438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215898.737411438</v>
      </c>
      <c r="F26" s="11" t="n">
        <f aca="false">IFERROR(B26/B$32,0)</f>
        <v>0.0702539863213245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55075.5687538957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55075.5687538957</v>
      </c>
      <c r="F27" s="16" t="n">
        <f aca="false">IFERROR(B27/B$32,0)</f>
        <v>0.0179217271034878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103800.834934671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103800.834934671</v>
      </c>
      <c r="F28" s="11" t="n">
        <f aca="false">IFERROR(B28/B$32,0)</f>
        <v>0.0337770499497887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71281.8813969888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71281.8813969888</v>
      </c>
      <c r="F29" s="16" t="n">
        <f aca="false">IFERROR(B29/B$32,0)</f>
        <v>0.0231953015597257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72799.5691693903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72799.5691693903</v>
      </c>
      <c r="F30" s="11" t="n">
        <f aca="false">IFERROR(B30/B$32,0)</f>
        <v>0.0236891609369537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2266178.49909233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2266178.49909233</v>
      </c>
      <c r="F31" s="16" t="n">
        <f aca="false">IFERROR(B31/B$32,0)</f>
        <v>0.73742012197834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3073117.25236445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3073117.25236445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284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284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284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284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292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284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284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284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284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293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294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284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284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284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284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295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296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293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297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284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284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284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284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298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296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293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299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284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293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300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284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284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284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301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284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284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293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302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303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304</v>
      </c>
      <c r="D144" s="49" t="s">
        <v>305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306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307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284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284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284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284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284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292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308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309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284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284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284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284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284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304</v>
      </c>
      <c r="D171" s="49" t="s">
        <v>305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306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293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310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284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284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284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284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284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304</v>
      </c>
      <c r="D185" s="49" t="s">
        <v>305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306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311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296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308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309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312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284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304</v>
      </c>
      <c r="D196" s="49" t="s">
        <v>313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306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293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314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308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309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284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284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284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284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284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304</v>
      </c>
      <c r="D211" s="49" t="s">
        <v>305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306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315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296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308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309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293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299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293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300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284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284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301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308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309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284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312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284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304</v>
      </c>
      <c r="D249" s="49" t="s">
        <v>316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306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293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302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317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318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319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319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319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318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318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318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319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319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319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320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308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321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322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318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319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319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319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318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318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318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319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319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319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323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318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319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319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319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318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318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318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319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319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319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293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324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318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319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319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319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318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318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318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319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319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319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308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321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325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318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319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319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318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318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318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319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319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319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326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327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319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319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319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328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319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319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319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293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308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321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329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319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319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319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319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319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319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293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330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328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319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319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319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319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319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319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293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308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321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331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319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319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319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319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319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319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51" t="s">
        <v>348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349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350</v>
      </c>
      <c r="E393" s="48" t="s">
        <v>351</v>
      </c>
      <c r="F393" s="48" t="s">
        <v>352</v>
      </c>
      <c r="G393" s="48" t="s">
        <v>353</v>
      </c>
      <c r="H393" s="48" t="s">
        <v>354</v>
      </c>
      <c r="I393" s="48" t="s">
        <v>355</v>
      </c>
      <c r="J393" s="48" t="s">
        <v>356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357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357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357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357</v>
      </c>
      <c r="D397" s="50" t="n">
        <v>45540.01</v>
      </c>
      <c r="E397" s="49" t="n">
        <v>239</v>
      </c>
      <c r="F397" s="49" t="n">
        <v>1</v>
      </c>
      <c r="G397" s="50" t="n">
        <v>21837.84</v>
      </c>
      <c r="H397" s="50" t="n">
        <v>109.89</v>
      </c>
      <c r="I397" s="50" t="n">
        <v>21947.73</v>
      </c>
      <c r="J397" s="50" t="n">
        <v>189.75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265</v>
      </c>
      <c r="C398" s="49" t="s">
        <v>357</v>
      </c>
      <c r="D398" s="50" t="n">
        <v>90875.72</v>
      </c>
      <c r="E398" s="49" t="n">
        <v>292</v>
      </c>
      <c r="F398" s="49" t="n">
        <v>3</v>
      </c>
      <c r="G398" s="50" t="n">
        <v>24097.75</v>
      </c>
      <c r="H398" s="50" t="n">
        <v>329.8</v>
      </c>
      <c r="I398" s="50" t="n">
        <v>24427.55</v>
      </c>
      <c r="J398" s="50" t="n">
        <v>308.05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268</v>
      </c>
      <c r="C399" s="49" t="s">
        <v>357</v>
      </c>
      <c r="D399" s="50" t="n">
        <v>45425.95</v>
      </c>
      <c r="E399" s="49" t="n">
        <v>264</v>
      </c>
      <c r="F399" s="49" t="n">
        <v>8</v>
      </c>
      <c r="G399" s="50" t="n">
        <v>22685.42</v>
      </c>
      <c r="H399" s="50" t="n">
        <v>734.26</v>
      </c>
      <c r="I399" s="50" t="n">
        <v>23419.68</v>
      </c>
      <c r="J399" s="50" t="n">
        <v>167.01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274</v>
      </c>
      <c r="C400" s="49" t="s">
        <v>357</v>
      </c>
      <c r="D400" s="50" t="n">
        <v>3703.62</v>
      </c>
      <c r="E400" s="49" t="n">
        <v>26</v>
      </c>
      <c r="F400" s="49" t="n">
        <v>0</v>
      </c>
      <c r="G400" s="50" t="n">
        <v>2307.4</v>
      </c>
      <c r="H400" s="50" t="n">
        <v>0</v>
      </c>
      <c r="I400" s="50" t="n">
        <v>2307.4</v>
      </c>
      <c r="J400" s="50" t="n">
        <v>142.45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20</v>
      </c>
      <c r="B401" s="49" t="s">
        <v>256</v>
      </c>
      <c r="C401" s="49" t="s">
        <v>357</v>
      </c>
      <c r="D401" s="50" t="n">
        <v>119150.38</v>
      </c>
      <c r="E401" s="49" t="n">
        <v>658</v>
      </c>
      <c r="F401" s="49" t="n">
        <v>10</v>
      </c>
      <c r="G401" s="50" t="n">
        <v>56085.27</v>
      </c>
      <c r="H401" s="50" t="n">
        <v>963.98</v>
      </c>
      <c r="I401" s="50" t="n">
        <v>57049.25</v>
      </c>
      <c r="J401" s="50" t="n">
        <v>178.37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20</v>
      </c>
      <c r="B402" s="49" t="s">
        <v>259</v>
      </c>
      <c r="C402" s="49" t="s">
        <v>357</v>
      </c>
      <c r="D402" s="50" t="n">
        <v>7367.92</v>
      </c>
      <c r="E402" s="49" t="n">
        <v>0</v>
      </c>
      <c r="F402" s="49" t="n">
        <v>0</v>
      </c>
      <c r="G402" s="50" t="n">
        <v>0</v>
      </c>
      <c r="H402" s="50" t="n">
        <v>0</v>
      </c>
      <c r="I402" s="50" t="n">
        <v>0</v>
      </c>
      <c r="J402" s="50"/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20</v>
      </c>
      <c r="B403" s="49" t="s">
        <v>261</v>
      </c>
      <c r="C403" s="49" t="s">
        <v>357</v>
      </c>
      <c r="D403" s="50" t="n">
        <v>34042.65</v>
      </c>
      <c r="E403" s="49" t="n">
        <v>115</v>
      </c>
      <c r="F403" s="49" t="n">
        <v>5</v>
      </c>
      <c r="G403" s="50" t="n">
        <v>10449.44</v>
      </c>
      <c r="H403" s="50" t="n">
        <v>519.48</v>
      </c>
      <c r="I403" s="50" t="n">
        <v>10968.92</v>
      </c>
      <c r="J403" s="50" t="n">
        <v>283.69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20</v>
      </c>
      <c r="B404" s="49" t="s">
        <v>262</v>
      </c>
      <c r="C404" s="49" t="s">
        <v>357</v>
      </c>
      <c r="D404" s="50" t="n">
        <v>64543.96</v>
      </c>
      <c r="E404" s="49" t="n">
        <v>190</v>
      </c>
      <c r="F404" s="49" t="n">
        <v>0</v>
      </c>
      <c r="G404" s="50" t="n">
        <v>17667.07</v>
      </c>
      <c r="H404" s="50" t="n">
        <v>0</v>
      </c>
      <c r="I404" s="50" t="n">
        <v>17667.07</v>
      </c>
      <c r="J404" s="50" t="n">
        <v>339.71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20</v>
      </c>
      <c r="B405" s="49" t="s">
        <v>265</v>
      </c>
      <c r="C405" s="49" t="s">
        <v>357</v>
      </c>
      <c r="D405" s="50" t="n">
        <v>102992.51</v>
      </c>
      <c r="E405" s="49" t="n">
        <v>576</v>
      </c>
      <c r="F405" s="49" t="n">
        <v>6</v>
      </c>
      <c r="G405" s="50" t="n">
        <v>48361.21</v>
      </c>
      <c r="H405" s="50" t="n">
        <v>589.39</v>
      </c>
      <c r="I405" s="50" t="n">
        <v>48950.6</v>
      </c>
      <c r="J405" s="50" t="n">
        <v>176.96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268</v>
      </c>
      <c r="C406" s="49" t="s">
        <v>357</v>
      </c>
      <c r="D406" s="50" t="n">
        <v>41682.6</v>
      </c>
      <c r="E406" s="49" t="n">
        <v>196</v>
      </c>
      <c r="F406" s="49" t="n">
        <v>11</v>
      </c>
      <c r="G406" s="50" t="n">
        <v>17775.09</v>
      </c>
      <c r="H406" s="50" t="n">
        <v>1108.79</v>
      </c>
      <c r="I406" s="50" t="n">
        <v>18883.88</v>
      </c>
      <c r="J406" s="50" t="n">
        <v>201.37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274</v>
      </c>
      <c r="C407" s="49" t="s">
        <v>357</v>
      </c>
      <c r="D407" s="50" t="n">
        <v>3712.16</v>
      </c>
      <c r="E407" s="49" t="n">
        <v>23</v>
      </c>
      <c r="F407" s="49" t="n">
        <v>0</v>
      </c>
      <c r="G407" s="50" t="n">
        <v>1988.18</v>
      </c>
      <c r="H407" s="50" t="n">
        <v>0</v>
      </c>
      <c r="I407" s="50" t="n">
        <v>1988.18</v>
      </c>
      <c r="J407" s="50" t="n">
        <v>161.4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21</v>
      </c>
      <c r="B408" s="49" t="s">
        <v>256</v>
      </c>
      <c r="C408" s="49" t="s">
        <v>357</v>
      </c>
      <c r="D408" s="50" t="n">
        <v>161849.96</v>
      </c>
      <c r="E408" s="49" t="n">
        <v>808</v>
      </c>
      <c r="F408" s="49" t="n">
        <v>3</v>
      </c>
      <c r="G408" s="50" t="n">
        <v>67103</v>
      </c>
      <c r="H408" s="50" t="n">
        <v>74.9</v>
      </c>
      <c r="I408" s="50" t="n">
        <v>67177.9</v>
      </c>
      <c r="J408" s="50" t="n">
        <v>199.57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21</v>
      </c>
      <c r="B409" s="49" t="s">
        <v>259</v>
      </c>
      <c r="C409" s="49" t="s">
        <v>357</v>
      </c>
      <c r="D409" s="50" t="n">
        <v>7410.09</v>
      </c>
      <c r="E409" s="49" t="n">
        <v>138</v>
      </c>
      <c r="F409" s="49" t="n">
        <v>0</v>
      </c>
      <c r="G409" s="50" t="n">
        <v>11731.77</v>
      </c>
      <c r="H409" s="50" t="n">
        <v>0</v>
      </c>
      <c r="I409" s="50" t="n">
        <v>11731.77</v>
      </c>
      <c r="J409" s="50" t="n">
        <v>53.7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21</v>
      </c>
      <c r="B410" s="49" t="s">
        <v>261</v>
      </c>
      <c r="C410" s="49" t="s">
        <v>357</v>
      </c>
      <c r="D410" s="50" t="n">
        <v>17008.44</v>
      </c>
      <c r="E410" s="49" t="n">
        <v>128</v>
      </c>
      <c r="F410" s="49" t="n">
        <v>0</v>
      </c>
      <c r="G410" s="50" t="n">
        <v>11678.14</v>
      </c>
      <c r="H410" s="50" t="n">
        <v>0</v>
      </c>
      <c r="I410" s="50" t="n">
        <v>11678.14</v>
      </c>
      <c r="J410" s="50" t="n">
        <v>132.88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21</v>
      </c>
      <c r="B411" s="49" t="s">
        <v>262</v>
      </c>
      <c r="C411" s="49" t="s">
        <v>357</v>
      </c>
      <c r="D411" s="50" t="n">
        <v>41082.7</v>
      </c>
      <c r="E411" s="49" t="n">
        <v>327</v>
      </c>
      <c r="F411" s="49" t="n">
        <v>0</v>
      </c>
      <c r="G411" s="50" t="n">
        <v>29088.58</v>
      </c>
      <c r="H411" s="50" t="n">
        <v>0</v>
      </c>
      <c r="I411" s="50" t="n">
        <v>29088.58</v>
      </c>
      <c r="J411" s="50" t="n">
        <v>125.64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21</v>
      </c>
      <c r="B412" s="49" t="s">
        <v>265</v>
      </c>
      <c r="C412" s="49" t="s">
        <v>357</v>
      </c>
      <c r="D412" s="50" t="n">
        <v>65806.72</v>
      </c>
      <c r="E412" s="49" t="n">
        <v>342</v>
      </c>
      <c r="F412" s="49" t="n">
        <v>2</v>
      </c>
      <c r="G412" s="50" t="n">
        <v>28924.39</v>
      </c>
      <c r="H412" s="50" t="n">
        <v>25</v>
      </c>
      <c r="I412" s="50" t="n">
        <v>28949.39</v>
      </c>
      <c r="J412" s="50" t="n">
        <v>191.3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21</v>
      </c>
      <c r="B413" s="49" t="s">
        <v>268</v>
      </c>
      <c r="C413" s="49" t="s">
        <v>357</v>
      </c>
      <c r="D413" s="50" t="n">
        <v>92377.85</v>
      </c>
      <c r="E413" s="49" t="n">
        <v>266</v>
      </c>
      <c r="F413" s="49" t="n">
        <v>5</v>
      </c>
      <c r="G413" s="50" t="n">
        <v>23159.66</v>
      </c>
      <c r="H413" s="50" t="n">
        <v>105.09</v>
      </c>
      <c r="I413" s="50" t="n">
        <v>23264.75</v>
      </c>
      <c r="J413" s="50" t="n">
        <v>340.88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21</v>
      </c>
      <c r="B414" s="49" t="s">
        <v>274</v>
      </c>
      <c r="C414" s="49" t="s">
        <v>357</v>
      </c>
      <c r="D414" s="50" t="n">
        <v>0</v>
      </c>
      <c r="E414" s="49" t="n">
        <v>25</v>
      </c>
      <c r="F414" s="49" t="n">
        <v>1</v>
      </c>
      <c r="G414" s="50" t="n">
        <v>2177.7</v>
      </c>
      <c r="H414" s="50" t="n">
        <v>39.97</v>
      </c>
      <c r="I414" s="50" t="n">
        <v>2217.67</v>
      </c>
      <c r="J414" s="50" t="n">
        <v>0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 t="s">
        <v>21</v>
      </c>
      <c r="B415" s="49" t="s">
        <v>358</v>
      </c>
      <c r="C415" s="49" t="s">
        <v>257</v>
      </c>
      <c r="D415" s="50"/>
      <c r="E415" s="49" t="n">
        <v>2</v>
      </c>
      <c r="F415" s="49" t="n">
        <v>0</v>
      </c>
      <c r="G415" s="50" t="n">
        <v>219.89</v>
      </c>
      <c r="H415" s="50" t="n">
        <v>0</v>
      </c>
      <c r="I415" s="50" t="n">
        <v>219.89</v>
      </c>
      <c r="J415" s="49"/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/>
      <c r="B416" s="49"/>
      <c r="C416" s="49"/>
      <c r="D416" s="50"/>
      <c r="E416" s="49"/>
      <c r="F416" s="49"/>
      <c r="G416" s="50"/>
      <c r="H416" s="50"/>
      <c r="I416" s="50"/>
      <c r="J416" s="45"/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/>
      <c r="B417" s="49"/>
      <c r="C417" s="49"/>
      <c r="D417" s="50"/>
      <c r="E417" s="49"/>
      <c r="F417" s="49"/>
      <c r="G417" s="50"/>
      <c r="H417" s="50"/>
      <c r="I417" s="50"/>
      <c r="J417" s="45"/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/>
      <c r="B418" s="49"/>
      <c r="C418" s="49"/>
      <c r="D418" s="50"/>
      <c r="E418" s="49"/>
      <c r="F418" s="49"/>
      <c r="G418" s="50"/>
      <c r="H418" s="50"/>
      <c r="I418" s="50"/>
      <c r="J418" s="45"/>
      <c r="K418" s="45"/>
      <c r="L418" s="45"/>
      <c r="M418" s="45"/>
      <c r="N418" s="45"/>
      <c r="O418" s="45"/>
    </row>
    <row r="419" customFormat="false" ht="14.25" hidden="false" customHeight="true" outlineLevel="0" collapsed="false">
      <c r="A419" s="49"/>
      <c r="B419" s="49"/>
      <c r="C419" s="49"/>
      <c r="D419" s="50"/>
      <c r="E419" s="49"/>
      <c r="F419" s="49"/>
      <c r="G419" s="50"/>
      <c r="H419" s="50"/>
      <c r="I419" s="50"/>
      <c r="J419" s="45"/>
      <c r="K419" s="45"/>
      <c r="L419" s="45"/>
      <c r="M419" s="45"/>
      <c r="N419" s="45"/>
      <c r="O419" s="45"/>
    </row>
    <row r="420" customFormat="false" ht="14.25" hidden="false" customHeight="true" outlineLevel="0" collapsed="false">
      <c r="A420" s="49"/>
      <c r="B420" s="49"/>
      <c r="C420" s="49"/>
      <c r="D420" s="50"/>
      <c r="E420" s="49"/>
      <c r="F420" s="49"/>
      <c r="G420" s="50"/>
      <c r="H420" s="50"/>
      <c r="I420" s="50"/>
      <c r="J420" s="45"/>
      <c r="K420" s="45"/>
      <c r="L420" s="45"/>
      <c r="M420" s="45"/>
      <c r="N420" s="45"/>
      <c r="O420" s="45"/>
    </row>
    <row r="421" customFormat="false" ht="14.25" hidden="false" customHeight="true" outlineLevel="0" collapsed="false">
      <c r="A421" s="49"/>
      <c r="B421" s="49"/>
      <c r="C421" s="49"/>
      <c r="D421" s="50"/>
      <c r="E421" s="49"/>
      <c r="F421" s="49"/>
      <c r="G421" s="50"/>
      <c r="H421" s="50"/>
      <c r="I421" s="50"/>
      <c r="J421" s="45"/>
      <c r="K421" s="45"/>
      <c r="L421" s="45"/>
      <c r="M421" s="45"/>
      <c r="N421" s="45"/>
      <c r="O421" s="45"/>
    </row>
    <row r="422" customFormat="false" ht="14.25" hidden="false" customHeight="true" outlineLevel="0" collapsed="false">
      <c r="A422" s="49"/>
      <c r="B422" s="49"/>
      <c r="C422" s="49"/>
      <c r="D422" s="50"/>
      <c r="E422" s="49"/>
      <c r="F422" s="49"/>
      <c r="G422" s="50"/>
      <c r="H422" s="50"/>
      <c r="I422" s="50"/>
      <c r="J422" s="45"/>
      <c r="K422" s="45"/>
      <c r="L422" s="45"/>
      <c r="M422" s="45"/>
      <c r="N422" s="45"/>
      <c r="O422" s="45"/>
    </row>
    <row r="423" customFormat="false" ht="14.25" hidden="false" customHeight="true" outlineLevel="0" collapsed="false">
      <c r="A423" s="49"/>
      <c r="B423" s="49"/>
      <c r="C423" s="49"/>
      <c r="D423" s="50"/>
      <c r="E423" s="49"/>
      <c r="F423" s="49"/>
      <c r="G423" s="50"/>
      <c r="H423" s="50"/>
      <c r="I423" s="50"/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/>
      <c r="B424" s="49"/>
      <c r="C424" s="49"/>
      <c r="D424" s="50"/>
      <c r="E424" s="49"/>
      <c r="F424" s="49"/>
      <c r="G424" s="50"/>
      <c r="H424" s="50"/>
      <c r="I424" s="50"/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/>
      <c r="B425" s="49"/>
      <c r="C425" s="49"/>
      <c r="D425" s="50"/>
      <c r="E425" s="49"/>
      <c r="F425" s="49"/>
      <c r="G425" s="50"/>
      <c r="H425" s="50"/>
      <c r="I425" s="50"/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/>
      <c r="B426" s="49"/>
      <c r="C426" s="49"/>
      <c r="D426" s="50"/>
      <c r="E426" s="49"/>
      <c r="F426" s="49"/>
      <c r="G426" s="50"/>
      <c r="H426" s="50"/>
      <c r="I426" s="50"/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/>
      <c r="B427" s="49"/>
      <c r="C427" s="49"/>
      <c r="D427" s="50"/>
      <c r="E427" s="49"/>
      <c r="F427" s="49"/>
      <c r="G427" s="50"/>
      <c r="H427" s="50"/>
      <c r="I427" s="50"/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/>
      <c r="B428" s="49"/>
      <c r="C428" s="49"/>
      <c r="D428" s="50"/>
      <c r="E428" s="49"/>
      <c r="F428" s="49"/>
      <c r="G428" s="50"/>
      <c r="H428" s="50"/>
      <c r="I428" s="50"/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359</v>
      </c>
      <c r="B1" s="56"/>
      <c r="C1" s="56"/>
      <c r="D1" s="56"/>
    </row>
    <row r="2" customFormat="false" ht="15" hidden="false" customHeight="true" outlineLevel="0" collapsed="false">
      <c r="A2" s="57" t="s">
        <v>360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304</v>
      </c>
      <c r="C6" s="43" t="s">
        <v>178</v>
      </c>
      <c r="D6" s="60" t="n">
        <f aca="false">'CUSTOS MENSAIS'!F273</f>
        <v>0.3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304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304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304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304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361</v>
      </c>
      <c r="D24" s="62" t="n">
        <f aca="false">SUM(D5:D23)</f>
        <v>64489.9044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304</v>
      </c>
      <c r="C27" s="43" t="s">
        <v>178</v>
      </c>
      <c r="D27" s="60" t="n">
        <f aca="false">'CUSTOS MENSAIS'!F308</f>
        <v>0.2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110.31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304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304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304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304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362</v>
      </c>
      <c r="D45" s="62" t="n">
        <f aca="false">SUM(D26:D44)</f>
        <v>181426.272186667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363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364</v>
      </c>
      <c r="C49" s="64" t="s">
        <v>365</v>
      </c>
      <c r="D49" s="64" t="s">
        <v>366</v>
      </c>
      <c r="E49" s="64" t="s">
        <v>367</v>
      </c>
      <c r="F49" s="64" t="s">
        <v>368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143948.5004</v>
      </c>
      <c r="F50" s="59" t="n">
        <f aca="false">IFERROR(E50/C50,0)</f>
        <v>782.328806521739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55131.84</v>
      </c>
      <c r="F51" s="60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369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370</v>
      </c>
      <c r="C54" s="64" t="s">
        <v>371</v>
      </c>
      <c r="D54" s="64" t="s">
        <v>372</v>
      </c>
      <c r="E54" s="64" t="s">
        <v>373</v>
      </c>
      <c r="F54" s="64" t="s">
        <v>374</v>
      </c>
      <c r="G54" s="65" t="s">
        <v>375</v>
      </c>
      <c r="H54" s="65" t="s">
        <v>376</v>
      </c>
      <c r="I54" s="64" t="s">
        <v>377</v>
      </c>
      <c r="J54" s="64" t="s">
        <v>378</v>
      </c>
      <c r="K54" s="64" t="s">
        <v>379</v>
      </c>
      <c r="L54" s="64" t="s">
        <v>380</v>
      </c>
      <c r="M54" s="64" t="s">
        <v>356</v>
      </c>
      <c r="O54" s="1" t="s">
        <v>381</v>
      </c>
    </row>
    <row r="55" customFormat="false" ht="14.25" hidden="false" customHeight="true" outlineLevel="0" collapsed="false">
      <c r="A55" s="42" t="s">
        <v>11</v>
      </c>
      <c r="B55" s="42" t="s">
        <v>382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383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384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382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383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384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2026-08-27T13:53:42Z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