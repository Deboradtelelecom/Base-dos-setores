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<sst xmlns="http://schemas.openxmlformats.org/spreadsheetml/2006/main" count="12538" uniqueCount="386">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</sst>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00;[RED]&quot;-R$ &quot;#,##0.0000"/>
    <numFmt numFmtId="168" formatCode="#,##0.0000;\(#,##0.0000\);\-"/>
    <numFmt numFmtId="169" formatCode="_-&quot;R$ &quot;* #,##0.0000_-;&quot;-R$ &quot;* #,##0.00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5056.58904735205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5056.58904735205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2906.06762317952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2906.06762317952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3725.94901254847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3725.94901254847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3762.03948519055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4604.28731989101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4604.28731989101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9455.98169977617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9455.98169977617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3358.16644992051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3358.16644992051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3358.86533992049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3358.86533992049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13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13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13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80249.9862379226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80249.9862379226</v>
      </c>
      <c r="F4" s="11" t="n">
        <f aca="false">IFERROR(B4/B$12,0)</f>
        <v>0.0330204492743565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159322.234559411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159322.234559411</v>
      </c>
      <c r="F5" s="16" t="n">
        <f aca="false">IFERROR(B5/B$12,0)</f>
        <v>0.0655562949126101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172980.194446963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172980.194446963</v>
      </c>
      <c r="F6" s="11" t="n">
        <f aca="false">IFERROR(B6/B$12,0)</f>
        <v>0.0711761335294172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44413.4631571574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44413.4631571574</v>
      </c>
      <c r="F7" s="16" t="n">
        <f aca="false">IFERROR(B7/B$12,0)</f>
        <v>0.0182748007324441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81723.5976354825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81723.5976354825</v>
      </c>
      <c r="F8" s="11" t="n">
        <f aca="false">IFERROR(B8/B$12,0)</f>
        <v>0.0336267959254198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57722.5419713247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57722.5419713247</v>
      </c>
      <c r="F9" s="16" t="n">
        <f aca="false">IFERROR(B9/B$12,0)</f>
        <v>0.023751085308602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58046.9362294962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58046.9362294962</v>
      </c>
      <c r="F10" s="11" t="n">
        <f aca="false">IFERROR(B10/B$12,0)</f>
        <v>0.0238845637632287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0.730709876553922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2430311.76139219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2430311.76139219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69822.4780456556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69822.4780456556</v>
      </c>
      <c r="F14" s="11" t="n">
        <f aca="false">IFERROR(B14/B$22,0)</f>
        <v>0.0328606265583046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141818.83125415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141818.83125415</v>
      </c>
      <c r="F15" s="16" t="n">
        <f aca="false">IFERROR(B15/B$22,0)</f>
        <v>0.0667443462795833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152477.681328435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152477.681328435</v>
      </c>
      <c r="F16" s="11" t="n">
        <f aca="false">IFERROR(B16/B$22,0)</f>
        <v>0.0717607321432158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38889.7926657645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38889.7926657645</v>
      </c>
      <c r="F17" s="16" t="n">
        <f aca="false">IFERROR(B17/B$22,0)</f>
        <v>0.0183027441805196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72262.7048177068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72262.7048177068</v>
      </c>
      <c r="F18" s="11" t="n">
        <f aca="false">IFERROR(B18/B$22,0)</f>
        <v>0.0340090730603253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51075.1029105745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51075.1029105745</v>
      </c>
      <c r="F19" s="16" t="n">
        <f aca="false">IFERROR(B19/B$22,0)</f>
        <v>0.0240375296057799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51962.9375630521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51962.9375630521</v>
      </c>
      <c r="F20" s="11" t="n">
        <f aca="false">IFERROR(B20/B$22,0)</f>
        <v>0.0244553721656145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0.727829576006657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2124806.65643333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2124806.65643333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100068.644608755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100068.644608755</v>
      </c>
      <c r="F24" s="11" t="n">
        <f aca="false">IFERROR(B24/B$32,0)</f>
        <v>0.0325625859318458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188013.516996977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188013.516996977</v>
      </c>
      <c r="F25" s="16" t="n">
        <f aca="false">IFERROR(B25/B$32,0)</f>
        <v>0.0611800662185344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215898.737411438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215898.737411438</v>
      </c>
      <c r="F26" s="11" t="n">
        <f aca="false">IFERROR(B26/B$32,0)</f>
        <v>0.0702539863213245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55075.5687538957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55075.5687538957</v>
      </c>
      <c r="F27" s="16" t="n">
        <f aca="false">IFERROR(B27/B$32,0)</f>
        <v>0.0179217271034878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103800.834934671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103800.834934671</v>
      </c>
      <c r="F28" s="11" t="n">
        <f aca="false">IFERROR(B28/B$32,0)</f>
        <v>0.0337770499497887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71281.8813969888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71281.8813969888</v>
      </c>
      <c r="F29" s="16" t="n">
        <f aca="false">IFERROR(B29/B$32,0)</f>
        <v>0.0231953015597257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72799.5691693903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72799.5691693903</v>
      </c>
      <c r="F30" s="11" t="n">
        <f aca="false">IFERROR(B30/B$32,0)</f>
        <v>0.0236891609369537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0.73742012197834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3073117.25236444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3073117.25236444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257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257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257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257</v>
      </c>
      <c r="D397" s="50" t="n">
        <v>41714.55</v>
      </c>
      <c r="E397" s="49" t="n">
        <v>199</v>
      </c>
      <c r="F397" s="49" t="n">
        <v>1</v>
      </c>
      <c r="G397" s="50" t="n">
        <v>17552.26</v>
      </c>
      <c r="H397" s="50" t="n">
        <v>109.89</v>
      </c>
      <c r="I397" s="50" t="n">
        <v>17662.15</v>
      </c>
      <c r="J397" s="50" t="n">
        <v>208.57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262</v>
      </c>
      <c r="C398" s="49" t="s">
        <v>264</v>
      </c>
      <c r="D398" s="50" t="n">
        <v>3825.46</v>
      </c>
      <c r="E398" s="49" t="n">
        <v>40</v>
      </c>
      <c r="F398" s="49" t="n">
        <v>0</v>
      </c>
      <c r="G398" s="50" t="n">
        <v>4285.58</v>
      </c>
      <c r="H398" s="50" t="n">
        <v>0</v>
      </c>
      <c r="I398" s="50" t="n">
        <v>4285.58</v>
      </c>
      <c r="J398" s="50" t="n">
        <v>95.64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265</v>
      </c>
      <c r="C399" s="49" t="s">
        <v>257</v>
      </c>
      <c r="D399" s="50" t="n">
        <v>72373.67</v>
      </c>
      <c r="E399" s="49" t="n">
        <v>225</v>
      </c>
      <c r="F399" s="49" t="n">
        <v>3</v>
      </c>
      <c r="G399" s="50" t="n">
        <v>18783.87</v>
      </c>
      <c r="H399" s="50" t="n">
        <v>329.8</v>
      </c>
      <c r="I399" s="50" t="n">
        <v>19113.67</v>
      </c>
      <c r="J399" s="50" t="n">
        <v>317.43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265</v>
      </c>
      <c r="C400" s="49" t="s">
        <v>266</v>
      </c>
      <c r="D400" s="50" t="n">
        <v>4567.99</v>
      </c>
      <c r="E400" s="49" t="n">
        <v>25</v>
      </c>
      <c r="F400" s="49" t="n">
        <v>0</v>
      </c>
      <c r="G400" s="50" t="n">
        <v>2382.58</v>
      </c>
      <c r="H400" s="50" t="n">
        <v>0</v>
      </c>
      <c r="I400" s="50" t="n">
        <v>2382.58</v>
      </c>
      <c r="J400" s="50" t="n">
        <v>182.72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11</v>
      </c>
      <c r="B401" s="49" t="s">
        <v>265</v>
      </c>
      <c r="C401" s="49" t="s">
        <v>267</v>
      </c>
      <c r="D401" s="50" t="n">
        <v>13934.06</v>
      </c>
      <c r="E401" s="49" t="n">
        <v>42</v>
      </c>
      <c r="F401" s="49" t="n">
        <v>0</v>
      </c>
      <c r="G401" s="50" t="n">
        <v>2931.3</v>
      </c>
      <c r="H401" s="50" t="n">
        <v>0</v>
      </c>
      <c r="I401" s="50" t="n">
        <v>2931.3</v>
      </c>
      <c r="J401" s="50" t="n">
        <v>331.76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11</v>
      </c>
      <c r="B402" s="49" t="s">
        <v>268</v>
      </c>
      <c r="C402" s="49" t="s">
        <v>269</v>
      </c>
      <c r="D402" s="50" t="n">
        <v>21039.53</v>
      </c>
      <c r="E402" s="49" t="n">
        <v>137</v>
      </c>
      <c r="F402" s="49" t="n">
        <v>4</v>
      </c>
      <c r="G402" s="50" t="n">
        <v>11142.14</v>
      </c>
      <c r="H402" s="50" t="n">
        <v>249.69</v>
      </c>
      <c r="I402" s="50" t="n">
        <v>11391.83</v>
      </c>
      <c r="J402" s="50" t="n">
        <v>149.22</v>
      </c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11</v>
      </c>
      <c r="B403" s="49" t="s">
        <v>268</v>
      </c>
      <c r="C403" s="49" t="s">
        <v>271</v>
      </c>
      <c r="D403" s="49" t="s">
        <v>357</v>
      </c>
      <c r="E403" s="49" t="n">
        <v>49</v>
      </c>
      <c r="F403" s="49" t="n">
        <v>2</v>
      </c>
      <c r="G403" s="50" t="n">
        <v>4205.1</v>
      </c>
      <c r="H403" s="50" t="n">
        <v>249.8</v>
      </c>
      <c r="I403" s="50" t="n">
        <v>4454.9</v>
      </c>
      <c r="J403" s="49" t="s">
        <v>358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11</v>
      </c>
      <c r="B404" s="49" t="s">
        <v>268</v>
      </c>
      <c r="C404" s="49" t="s">
        <v>272</v>
      </c>
      <c r="D404" s="50" t="n">
        <v>24386.42</v>
      </c>
      <c r="E404" s="49" t="n">
        <v>78</v>
      </c>
      <c r="F404" s="49" t="n">
        <v>2</v>
      </c>
      <c r="G404" s="50" t="n">
        <v>7338.18</v>
      </c>
      <c r="H404" s="50" t="n">
        <v>234.77</v>
      </c>
      <c r="I404" s="50" t="n">
        <v>7572.95</v>
      </c>
      <c r="J404" s="50" t="n">
        <v>304.83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11</v>
      </c>
      <c r="B405" s="49" t="s">
        <v>274</v>
      </c>
      <c r="C405" s="49" t="s">
        <v>275</v>
      </c>
      <c r="D405" s="50" t="n">
        <v>3703.62</v>
      </c>
      <c r="E405" s="49" t="n">
        <v>26</v>
      </c>
      <c r="F405" s="49" t="n">
        <v>0</v>
      </c>
      <c r="G405" s="50" t="n">
        <v>2307.4</v>
      </c>
      <c r="H405" s="50" t="n">
        <v>0</v>
      </c>
      <c r="I405" s="50" t="n">
        <v>2307.4</v>
      </c>
      <c r="J405" s="50" t="n">
        <v>142.45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256</v>
      </c>
      <c r="C406" s="49" t="s">
        <v>257</v>
      </c>
      <c r="D406" s="50" t="n">
        <v>119150.38</v>
      </c>
      <c r="E406" s="49" t="n">
        <v>658</v>
      </c>
      <c r="F406" s="49" t="n">
        <v>10</v>
      </c>
      <c r="G406" s="50" t="n">
        <v>56085.27</v>
      </c>
      <c r="H406" s="50" t="n">
        <v>963.98</v>
      </c>
      <c r="I406" s="50" t="n">
        <v>57049.25</v>
      </c>
      <c r="J406" s="50" t="n">
        <v>178.37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259</v>
      </c>
      <c r="C407" s="49" t="s">
        <v>257</v>
      </c>
      <c r="D407" s="50" t="n">
        <v>7367.92</v>
      </c>
      <c r="E407" s="49" t="n">
        <v>0</v>
      </c>
      <c r="F407" s="49" t="n">
        <v>0</v>
      </c>
      <c r="G407" s="50" t="n">
        <v>0</v>
      </c>
      <c r="H407" s="50" t="n">
        <v>0</v>
      </c>
      <c r="I407" s="50" t="n">
        <v>0</v>
      </c>
      <c r="J407" s="49" t="s">
        <v>358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20</v>
      </c>
      <c r="B408" s="49" t="s">
        <v>261</v>
      </c>
      <c r="C408" s="49" t="s">
        <v>257</v>
      </c>
      <c r="D408" s="50" t="n">
        <v>34042.65</v>
      </c>
      <c r="E408" s="49" t="n">
        <v>115</v>
      </c>
      <c r="F408" s="49" t="n">
        <v>5</v>
      </c>
      <c r="G408" s="50" t="n">
        <v>10449.44</v>
      </c>
      <c r="H408" s="50" t="n">
        <v>519.48</v>
      </c>
      <c r="I408" s="50" t="n">
        <v>10968.92</v>
      </c>
      <c r="J408" s="50" t="n">
        <v>283.69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20</v>
      </c>
      <c r="B409" s="49" t="s">
        <v>262</v>
      </c>
      <c r="C409" s="49" t="s">
        <v>257</v>
      </c>
      <c r="D409" s="50" t="n">
        <v>36033.93</v>
      </c>
      <c r="E409" s="49" t="n">
        <v>170</v>
      </c>
      <c r="F409" s="49" t="n">
        <v>0</v>
      </c>
      <c r="G409" s="50" t="n">
        <v>15679.02</v>
      </c>
      <c r="H409" s="50" t="n">
        <v>0</v>
      </c>
      <c r="I409" s="50" t="n">
        <v>15679.02</v>
      </c>
      <c r="J409" s="50" t="n">
        <v>211.96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20</v>
      </c>
      <c r="B410" s="49" t="s">
        <v>262</v>
      </c>
      <c r="C410" s="49" t="s">
        <v>264</v>
      </c>
      <c r="D410" s="50" t="n">
        <v>28510.03</v>
      </c>
      <c r="E410" s="49" t="n">
        <v>20</v>
      </c>
      <c r="F410" s="49" t="n">
        <v>0</v>
      </c>
      <c r="G410" s="50" t="n">
        <v>1988.05</v>
      </c>
      <c r="H410" s="50" t="n">
        <v>0</v>
      </c>
      <c r="I410" s="50" t="n">
        <v>1988.05</v>
      </c>
      <c r="J410" s="50" t="n">
        <v>1425.5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20</v>
      </c>
      <c r="B411" s="49" t="s">
        <v>265</v>
      </c>
      <c r="C411" s="49" t="s">
        <v>257</v>
      </c>
      <c r="D411" s="50" t="n">
        <v>83230</v>
      </c>
      <c r="E411" s="49" t="n">
        <v>514</v>
      </c>
      <c r="F411" s="49" t="n">
        <v>4</v>
      </c>
      <c r="G411" s="50" t="n">
        <v>44226.53</v>
      </c>
      <c r="H411" s="50" t="n">
        <v>389.59</v>
      </c>
      <c r="I411" s="50" t="n">
        <v>44616.12</v>
      </c>
      <c r="J411" s="50" t="n">
        <v>160.68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20</v>
      </c>
      <c r="B412" s="49" t="s">
        <v>265</v>
      </c>
      <c r="C412" s="49" t="s">
        <v>266</v>
      </c>
      <c r="D412" s="50" t="n">
        <v>5633.61</v>
      </c>
      <c r="E412" s="49" t="n">
        <v>3</v>
      </c>
      <c r="F412" s="49" t="n">
        <v>0</v>
      </c>
      <c r="G412" s="50" t="n">
        <v>329.8</v>
      </c>
      <c r="H412" s="50" t="n">
        <v>0</v>
      </c>
      <c r="I412" s="50" t="n">
        <v>329.8</v>
      </c>
      <c r="J412" s="50" t="n">
        <v>1877.87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20</v>
      </c>
      <c r="B413" s="49" t="s">
        <v>265</v>
      </c>
      <c r="C413" s="49" t="s">
        <v>267</v>
      </c>
      <c r="D413" s="50" t="n">
        <v>14128.9</v>
      </c>
      <c r="E413" s="49" t="n">
        <v>59</v>
      </c>
      <c r="F413" s="49" t="n">
        <v>2</v>
      </c>
      <c r="G413" s="50" t="n">
        <v>3804.88</v>
      </c>
      <c r="H413" s="50" t="n">
        <v>199.8</v>
      </c>
      <c r="I413" s="50" t="n">
        <v>4004.68</v>
      </c>
      <c r="J413" s="50" t="n">
        <v>231.62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20</v>
      </c>
      <c r="B414" s="49" t="s">
        <v>268</v>
      </c>
      <c r="C414" s="49" t="s">
        <v>269</v>
      </c>
      <c r="D414" s="50" t="n">
        <v>17908.6</v>
      </c>
      <c r="E414" s="49" t="n">
        <v>89</v>
      </c>
      <c r="F414" s="49" t="n">
        <v>8</v>
      </c>
      <c r="G414" s="50" t="n">
        <v>7236.53</v>
      </c>
      <c r="H414" s="50" t="n">
        <v>799.2</v>
      </c>
      <c r="I414" s="50" t="n">
        <v>8035.73</v>
      </c>
      <c r="J414" s="50" t="n">
        <v>184.62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 t="s">
        <v>20</v>
      </c>
      <c r="B415" s="49" t="s">
        <v>268</v>
      </c>
      <c r="C415" s="49" t="s">
        <v>271</v>
      </c>
      <c r="D415" s="49" t="s">
        <v>357</v>
      </c>
      <c r="E415" s="49" t="n">
        <v>18</v>
      </c>
      <c r="F415" s="49" t="n">
        <v>2</v>
      </c>
      <c r="G415" s="50" t="n">
        <v>1818.3</v>
      </c>
      <c r="H415" s="50" t="n">
        <v>219.7</v>
      </c>
      <c r="I415" s="50" t="n">
        <v>2038</v>
      </c>
      <c r="J415" s="49" t="s">
        <v>358</v>
      </c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 t="s">
        <v>20</v>
      </c>
      <c r="B416" s="49" t="s">
        <v>268</v>
      </c>
      <c r="C416" s="49" t="s">
        <v>272</v>
      </c>
      <c r="D416" s="50" t="n">
        <v>23774</v>
      </c>
      <c r="E416" s="49" t="n">
        <v>89</v>
      </c>
      <c r="F416" s="49" t="n">
        <v>1</v>
      </c>
      <c r="G416" s="50" t="n">
        <v>8720.26</v>
      </c>
      <c r="H416" s="50" t="n">
        <v>89.89</v>
      </c>
      <c r="I416" s="50" t="n">
        <v>8810.15</v>
      </c>
      <c r="J416" s="50" t="n">
        <v>264.16</v>
      </c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 t="s">
        <v>20</v>
      </c>
      <c r="B417" s="49" t="s">
        <v>274</v>
      </c>
      <c r="C417" s="49" t="s">
        <v>275</v>
      </c>
      <c r="D417" s="50" t="n">
        <v>3712.16</v>
      </c>
      <c r="E417" s="49" t="n">
        <v>23</v>
      </c>
      <c r="F417" s="49" t="n">
        <v>0</v>
      </c>
      <c r="G417" s="50" t="n">
        <v>1988.18</v>
      </c>
      <c r="H417" s="50" t="n">
        <v>0</v>
      </c>
      <c r="I417" s="50" t="n">
        <v>1988.18</v>
      </c>
      <c r="J417" s="50" t="n">
        <v>161.4</v>
      </c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 t="s">
        <v>21</v>
      </c>
      <c r="B418" s="49" t="s">
        <v>256</v>
      </c>
      <c r="C418" s="49" t="s">
        <v>257</v>
      </c>
      <c r="D418" s="50" t="n">
        <v>161849.96</v>
      </c>
      <c r="E418" s="49" t="n">
        <v>808</v>
      </c>
      <c r="F418" s="49" t="n">
        <v>3</v>
      </c>
      <c r="G418" s="50" t="n">
        <v>67103</v>
      </c>
      <c r="H418" s="50" t="n">
        <v>74.9</v>
      </c>
      <c r="I418" s="50" t="n">
        <v>67177.9</v>
      </c>
    </row>
    <row r="419" customFormat="false" ht="14.25" hidden="false" customHeight="true" outlineLevel="0" collapsed="false">
      <c r="A419" s="49" t="s">
        <v>21</v>
      </c>
      <c r="B419" s="49" t="s">
        <v>259</v>
      </c>
      <c r="C419" s="49" t="s">
        <v>257</v>
      </c>
      <c r="D419" s="50" t="n">
        <v>7410.09</v>
      </c>
      <c r="E419" s="49" t="n">
        <v>138</v>
      </c>
      <c r="F419" s="49" t="n">
        <v>0</v>
      </c>
      <c r="G419" s="50" t="n">
        <v>11731.77</v>
      </c>
      <c r="H419" s="50" t="n">
        <v>0</v>
      </c>
      <c r="I419" s="50" t="n">
        <v>11731.77</v>
      </c>
    </row>
    <row r="420" customFormat="false" ht="14.25" hidden="false" customHeight="true" outlineLevel="0" collapsed="false">
      <c r="A420" s="49" t="s">
        <v>21</v>
      </c>
      <c r="B420" s="49" t="s">
        <v>261</v>
      </c>
      <c r="C420" s="49" t="s">
        <v>257</v>
      </c>
      <c r="D420" s="50" t="n">
        <v>17008.44</v>
      </c>
      <c r="E420" s="49" t="n">
        <v>128</v>
      </c>
      <c r="F420" s="49" t="n">
        <v>0</v>
      </c>
      <c r="G420" s="50" t="n">
        <v>11678.14</v>
      </c>
      <c r="H420" s="50" t="n">
        <v>0</v>
      </c>
      <c r="I420" s="50" t="n">
        <v>11678.14</v>
      </c>
    </row>
    <row r="421" customFormat="false" ht="14.25" hidden="false" customHeight="true" outlineLevel="0" collapsed="false">
      <c r="A421" s="49" t="s">
        <v>21</v>
      </c>
      <c r="B421" s="49" t="s">
        <v>262</v>
      </c>
      <c r="C421" s="49" t="s">
        <v>257</v>
      </c>
      <c r="D421" s="50" t="n">
        <v>33561.65</v>
      </c>
      <c r="E421" s="49" t="n">
        <v>301</v>
      </c>
      <c r="F421" s="49" t="n">
        <v>0</v>
      </c>
      <c r="G421" s="50" t="n">
        <v>26440.99</v>
      </c>
      <c r="H421" s="50" t="n">
        <v>0</v>
      </c>
      <c r="I421" s="50" t="n">
        <v>26440.99</v>
      </c>
    </row>
    <row r="422" customFormat="false" ht="14.25" hidden="false" customHeight="true" outlineLevel="0" collapsed="false">
      <c r="A422" s="49" t="s">
        <v>21</v>
      </c>
      <c r="B422" s="49" t="s">
        <v>265</v>
      </c>
      <c r="C422" s="49" t="s">
        <v>257</v>
      </c>
      <c r="D422" s="50" t="n">
        <v>52291.74</v>
      </c>
      <c r="E422" s="49" t="n">
        <v>316</v>
      </c>
      <c r="F422" s="49" t="n">
        <v>2</v>
      </c>
      <c r="G422" s="50" t="n">
        <v>26217.75</v>
      </c>
      <c r="H422" s="50" t="n">
        <v>25</v>
      </c>
      <c r="I422" s="50" t="n">
        <v>26242.75</v>
      </c>
    </row>
    <row r="423" customFormat="false" ht="14.25" hidden="false" customHeight="true" outlineLevel="0" collapsed="false">
      <c r="A423" s="49" t="s">
        <v>21</v>
      </c>
      <c r="B423" s="49" t="s">
        <v>359</v>
      </c>
      <c r="C423" s="49" t="s">
        <v>257</v>
      </c>
      <c r="D423" s="50"/>
      <c r="E423" s="49" t="n">
        <v>17</v>
      </c>
      <c r="F423" s="49" t="n">
        <v>0</v>
      </c>
      <c r="G423" s="50" t="n">
        <v>1698.7</v>
      </c>
      <c r="H423" s="50" t="n">
        <v>0</v>
      </c>
      <c r="I423" s="50" t="n">
        <v>1698.7</v>
      </c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 t="s">
        <v>21</v>
      </c>
      <c r="B424" s="49" t="s">
        <v>268</v>
      </c>
      <c r="C424" s="49" t="s">
        <v>269</v>
      </c>
      <c r="D424" s="50" t="n">
        <v>42137.5</v>
      </c>
      <c r="E424" s="49" t="n">
        <v>158</v>
      </c>
      <c r="F424" s="49" t="n">
        <v>4</v>
      </c>
      <c r="G424" s="50" t="n">
        <v>12889.57</v>
      </c>
      <c r="H424" s="50" t="n">
        <v>90.1</v>
      </c>
      <c r="I424" s="50" t="n">
        <v>12979.67</v>
      </c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 t="s">
        <v>21</v>
      </c>
      <c r="B425" s="49" t="s">
        <v>262</v>
      </c>
      <c r="C425" s="49" t="s">
        <v>264</v>
      </c>
      <c r="D425" s="50" t="n">
        <v>7521.05</v>
      </c>
      <c r="E425" s="49" t="n">
        <v>26</v>
      </c>
      <c r="F425" s="49"/>
      <c r="G425" s="50" t="n">
        <v>2647.59</v>
      </c>
      <c r="H425" s="50"/>
      <c r="I425" s="50" t="n">
        <v>2647.59</v>
      </c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 t="s">
        <v>21</v>
      </c>
      <c r="B426" s="49" t="s">
        <v>268</v>
      </c>
      <c r="C426" s="49" t="s">
        <v>272</v>
      </c>
      <c r="D426" s="50" t="n">
        <v>50240.35</v>
      </c>
      <c r="E426" s="49" t="n">
        <v>66</v>
      </c>
      <c r="F426" s="49" t="n">
        <v>1</v>
      </c>
      <c r="G426" s="50" t="n">
        <v>6359.19</v>
      </c>
      <c r="H426" s="50" t="n">
        <v>14.99</v>
      </c>
      <c r="I426" s="50" t="n">
        <v>6374.18</v>
      </c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 t="s">
        <v>21</v>
      </c>
      <c r="B427" s="49" t="s">
        <v>274</v>
      </c>
      <c r="C427" s="49" t="s">
        <v>275</v>
      </c>
      <c r="D427" s="50" t="n">
        <v>0</v>
      </c>
      <c r="E427" s="49" t="n">
        <v>25</v>
      </c>
      <c r="F427" s="49" t="n">
        <v>1</v>
      </c>
      <c r="G427" s="50" t="n">
        <v>2177.7</v>
      </c>
      <c r="H427" s="50" t="n">
        <v>39.97</v>
      </c>
      <c r="I427" s="50" t="n">
        <v>2217.67</v>
      </c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 t="s">
        <v>21</v>
      </c>
      <c r="B428" s="49" t="s">
        <v>265</v>
      </c>
      <c r="C428" s="49" t="s">
        <v>267</v>
      </c>
      <c r="D428" s="50" t="n">
        <v>13514.98</v>
      </c>
      <c r="E428" s="49" t="n">
        <v>26</v>
      </c>
      <c r="F428" s="49"/>
      <c r="G428" s="50" t="n">
        <v>2706.64</v>
      </c>
      <c r="H428" s="50"/>
      <c r="I428" s="50" t="n">
        <v>2706.64</v>
      </c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49"/>
      <c r="B429" s="49"/>
      <c r="C429" s="49"/>
      <c r="D429" s="50"/>
      <c r="E429" s="49"/>
      <c r="F429" s="49"/>
      <c r="G429" s="50"/>
      <c r="H429" s="50"/>
      <c r="I429" s="50"/>
      <c r="J429" s="45"/>
      <c r="K429" s="45"/>
      <c r="L429" s="45"/>
      <c r="M429" s="45"/>
      <c r="N429" s="45"/>
      <c r="O429" s="45"/>
    </row>
    <row r="430" customFormat="false" ht="14.25" hidden="false" customHeight="true" outlineLevel="0" collapsed="false">
      <c r="A430" s="49"/>
      <c r="B430" s="49"/>
      <c r="C430" s="49"/>
      <c r="D430" s="50"/>
      <c r="E430" s="49"/>
      <c r="F430" s="49"/>
      <c r="G430" s="50"/>
      <c r="H430" s="50"/>
      <c r="I430" s="50"/>
      <c r="J430" s="45"/>
      <c r="K430" s="45"/>
      <c r="L430" s="45"/>
      <c r="M430" s="45"/>
      <c r="N430" s="45"/>
      <c r="O430" s="45"/>
    </row>
    <row r="431" customFormat="false" ht="14.25" hidden="false" customHeight="true" outlineLevel="0" collapsed="false">
      <c r="A431" s="49"/>
      <c r="B431" s="49"/>
      <c r="C431" s="49"/>
      <c r="D431" s="50"/>
      <c r="E431" s="49"/>
      <c r="F431" s="49"/>
      <c r="G431" s="50"/>
      <c r="H431" s="50"/>
      <c r="I431" s="50"/>
      <c r="J431" s="45"/>
      <c r="K431" s="45"/>
      <c r="L431" s="45"/>
      <c r="M431" s="45"/>
      <c r="N431" s="45"/>
      <c r="O431" s="45"/>
    </row>
    <row r="432" customFormat="false" ht="14.25" hidden="false" customHeight="true" outlineLevel="0" collapsed="false">
      <c r="A432" s="49"/>
      <c r="B432" s="49"/>
      <c r="C432" s="49"/>
      <c r="D432" s="50"/>
      <c r="E432" s="49"/>
      <c r="F432" s="49"/>
      <c r="G432" s="50"/>
      <c r="H432" s="50"/>
      <c r="I432" s="50"/>
      <c r="J432" s="45"/>
      <c r="K432" s="45"/>
      <c r="L432" s="45"/>
      <c r="M432" s="45"/>
      <c r="N432" s="45"/>
      <c r="O432" s="45"/>
    </row>
    <row r="433" customFormat="false" ht="14.25" hidden="false" customHeight="true" outlineLevel="0" collapsed="false">
      <c r="A433" s="49"/>
      <c r="B433" s="49"/>
      <c r="C433" s="49"/>
      <c r="D433" s="50"/>
      <c r="E433" s="49"/>
      <c r="F433" s="49"/>
      <c r="G433" s="50"/>
      <c r="H433" s="50"/>
      <c r="I433" s="50"/>
      <c r="J433" s="45"/>
      <c r="K433" s="45"/>
      <c r="L433" s="45"/>
      <c r="M433" s="45"/>
      <c r="N433" s="45"/>
      <c r="O433" s="45"/>
    </row>
    <row r="434" customFormat="false" ht="14.25" hidden="false" customHeight="true" outlineLevel="0" collapsed="false">
      <c r="A434" s="49"/>
      <c r="B434" s="49"/>
      <c r="C434" s="49"/>
      <c r="D434" s="50"/>
      <c r="E434" s="49"/>
      <c r="F434" s="49"/>
      <c r="G434" s="50"/>
      <c r="H434" s="50"/>
      <c r="I434" s="50"/>
      <c r="J434" s="45"/>
      <c r="K434" s="45"/>
      <c r="L434" s="45"/>
      <c r="M434" s="45"/>
      <c r="N434" s="45"/>
      <c r="O434" s="45"/>
    </row>
    <row r="435" customFormat="false" ht="14.25" hidden="false" customHeight="true" outlineLevel="0" collapsed="false">
      <c r="A435" s="49"/>
      <c r="B435" s="49"/>
      <c r="C435" s="49"/>
      <c r="D435" s="50"/>
      <c r="E435" s="49"/>
      <c r="F435" s="49"/>
      <c r="G435" s="50"/>
      <c r="H435" s="50"/>
      <c r="I435" s="50"/>
      <c r="J435" s="45"/>
      <c r="K435" s="45"/>
      <c r="L435" s="45"/>
      <c r="M435" s="45"/>
      <c r="N435" s="45"/>
      <c r="O435" s="45"/>
    </row>
    <row r="436" customFormat="false" ht="14.25" hidden="false" customHeight="true" outlineLevel="0" collapsed="false">
      <c r="A436" s="49"/>
      <c r="B436" s="49"/>
      <c r="C436" s="49"/>
      <c r="D436" s="50"/>
      <c r="E436" s="49"/>
      <c r="F436" s="49"/>
      <c r="G436" s="50"/>
      <c r="H436" s="50"/>
      <c r="I436" s="50"/>
      <c r="J436" s="45"/>
      <c r="K436" s="45"/>
      <c r="L436" s="45"/>
      <c r="M436" s="45"/>
      <c r="N436" s="45"/>
      <c r="O436" s="45"/>
    </row>
    <row r="437" customFormat="false" ht="14.25" hidden="false" customHeight="true" outlineLevel="0" collapsed="false">
      <c r="A437" s="49"/>
      <c r="B437" s="49"/>
      <c r="C437" s="49"/>
      <c r="D437" s="50"/>
      <c r="E437" s="49"/>
      <c r="F437" s="49"/>
      <c r="G437" s="50"/>
      <c r="H437" s="50"/>
      <c r="I437" s="50"/>
      <c r="J437" s="45"/>
      <c r="K437" s="45"/>
      <c r="L437" s="45"/>
      <c r="M437" s="45"/>
      <c r="N437" s="45"/>
      <c r="O437" s="45"/>
    </row>
    <row r="438" customFormat="false" ht="14.25" hidden="false" customHeight="true" outlineLevel="0" collapsed="false">
      <c r="A438" s="49"/>
      <c r="B438" s="49"/>
      <c r="C438" s="49"/>
      <c r="D438" s="50"/>
      <c r="E438" s="49"/>
      <c r="F438" s="49"/>
      <c r="G438" s="50"/>
      <c r="H438" s="50"/>
      <c r="I438" s="50"/>
      <c r="J438" s="45"/>
      <c r="K438" s="45"/>
      <c r="L438" s="45"/>
      <c r="M438" s="45"/>
      <c r="N438" s="45"/>
      <c r="O438" s="45"/>
    </row>
    <row r="439" customFormat="false" ht="14.25" hidden="false" customHeight="true" outlineLevel="0" collapsed="false">
      <c r="A439" s="49"/>
      <c r="B439" s="49"/>
      <c r="C439" s="49"/>
      <c r="D439" s="50"/>
      <c r="E439" s="49"/>
      <c r="F439" s="49"/>
      <c r="G439" s="50"/>
      <c r="H439" s="50"/>
      <c r="I439" s="50"/>
      <c r="J439" s="45"/>
      <c r="K439" s="45"/>
      <c r="L439" s="45"/>
      <c r="M439" s="45"/>
      <c r="N439" s="45"/>
      <c r="O439" s="45"/>
    </row>
    <row r="440" customFormat="false" ht="14.25" hidden="false" customHeight="true" outlineLevel="0" collapsed="false">
      <c r="A440" s="49"/>
      <c r="B440" s="49"/>
      <c r="C440" s="49"/>
      <c r="D440" s="50"/>
      <c r="E440" s="49"/>
      <c r="F440" s="49"/>
      <c r="G440" s="50"/>
      <c r="H440" s="50"/>
      <c r="I440" s="50"/>
      <c r="J440" s="45"/>
      <c r="K440" s="45"/>
      <c r="L440" s="45"/>
      <c r="M440" s="45"/>
      <c r="N440" s="45"/>
      <c r="O440" s="45"/>
    </row>
    <row r="441" customFormat="false" ht="14.25" hidden="false" customHeight="true" outlineLevel="0" collapsed="false">
      <c r="A441" s="49"/>
      <c r="B441" s="49"/>
      <c r="C441" s="49"/>
      <c r="D441" s="50"/>
      <c r="E441" s="49"/>
      <c r="F441" s="49"/>
      <c r="G441" s="50"/>
      <c r="H441" s="50"/>
      <c r="I441" s="50"/>
      <c r="J441" s="45"/>
      <c r="K441" s="45"/>
      <c r="L441" s="45"/>
      <c r="M441" s="45"/>
      <c r="N441" s="45"/>
      <c r="O441" s="45"/>
    </row>
    <row r="442" customFormat="false" ht="14.25" hidden="false" customHeight="true" outlineLevel="0" collapsed="false">
      <c r="A442" s="49"/>
      <c r="B442" s="49"/>
      <c r="C442" s="49"/>
      <c r="D442" s="50"/>
      <c r="E442" s="49"/>
      <c r="F442" s="49"/>
      <c r="G442" s="50"/>
      <c r="H442" s="50"/>
      <c r="I442" s="50"/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>
      <c r="A785" s="49"/>
      <c r="B785" s="49"/>
      <c r="C785" s="49"/>
      <c r="D785" s="50"/>
      <c r="E785" s="49"/>
      <c r="F785" s="49"/>
      <c r="G785" s="50"/>
      <c r="H785" s="50"/>
      <c r="I785" s="50"/>
      <c r="J785" s="45"/>
      <c r="K785" s="45"/>
      <c r="L785" s="45"/>
      <c r="M785" s="45"/>
      <c r="N785" s="45"/>
      <c r="O785" s="45"/>
    </row>
    <row r="786" customFormat="false" ht="14.25" hidden="false" customHeight="true" outlineLevel="0" collapsed="false">
      <c r="A786" s="49"/>
      <c r="B786" s="49"/>
      <c r="C786" s="49"/>
      <c r="D786" s="50"/>
      <c r="E786" s="49"/>
      <c r="F786" s="49"/>
      <c r="G786" s="50"/>
      <c r="H786" s="50"/>
      <c r="I786" s="50"/>
      <c r="J786" s="45"/>
      <c r="K786" s="45"/>
      <c r="L786" s="45"/>
      <c r="M786" s="45"/>
      <c r="N786" s="45"/>
      <c r="O786" s="45"/>
    </row>
    <row r="787" customFormat="false" ht="14.25" hidden="false" customHeight="true" outlineLevel="0" collapsed="false">
      <c r="A787" s="49"/>
      <c r="B787" s="49"/>
      <c r="C787" s="49"/>
      <c r="D787" s="50"/>
      <c r="E787" s="49"/>
      <c r="F787" s="49"/>
      <c r="G787" s="50"/>
      <c r="H787" s="50"/>
      <c r="I787" s="50"/>
      <c r="J787" s="45"/>
      <c r="K787" s="45"/>
      <c r="L787" s="45"/>
      <c r="M787" s="45"/>
      <c r="N787" s="45"/>
      <c r="O787" s="45"/>
    </row>
    <row r="788" customFormat="false" ht="14.25" hidden="false" customHeight="true" outlineLevel="0" collapsed="false">
      <c r="A788" s="49"/>
      <c r="B788" s="49"/>
      <c r="C788" s="49"/>
      <c r="D788" s="50"/>
      <c r="E788" s="49"/>
      <c r="F788" s="49"/>
      <c r="G788" s="50"/>
      <c r="H788" s="50"/>
      <c r="I788" s="50"/>
      <c r="J788" s="45"/>
      <c r="K788" s="45"/>
      <c r="L788" s="45"/>
      <c r="M788" s="45"/>
      <c r="N788" s="45"/>
      <c r="O788" s="45"/>
    </row>
    <row r="789" customFormat="false" ht="14.25" hidden="false" customHeight="true" outlineLevel="0" collapsed="false">
      <c r="A789" s="49"/>
      <c r="B789" s="49"/>
      <c r="C789" s="49"/>
      <c r="D789" s="50"/>
      <c r="E789" s="49"/>
      <c r="F789" s="49"/>
      <c r="G789" s="50"/>
      <c r="H789" s="50"/>
      <c r="I789" s="50"/>
      <c r="J789" s="45"/>
      <c r="K789" s="45"/>
      <c r="L789" s="45"/>
      <c r="M789" s="45"/>
      <c r="N789" s="45"/>
      <c r="O789" s="45"/>
    </row>
    <row r="790" customFormat="false" ht="14.25" hidden="false" customHeight="true" outlineLevel="0" collapsed="false">
      <c r="A790" s="49"/>
      <c r="B790" s="49"/>
      <c r="C790" s="49"/>
      <c r="D790" s="50"/>
      <c r="E790" s="49"/>
      <c r="F790" s="49"/>
      <c r="G790" s="50"/>
      <c r="H790" s="50"/>
      <c r="I790" s="50"/>
      <c r="J790" s="45"/>
      <c r="K790" s="45"/>
      <c r="L790" s="45"/>
      <c r="M790" s="45"/>
      <c r="N790" s="45"/>
      <c r="O790" s="45"/>
    </row>
    <row r="791" customFormat="false" ht="14.25" hidden="false" customHeight="true" outlineLevel="0" collapsed="false">
      <c r="A791" s="49"/>
      <c r="B791" s="49"/>
      <c r="C791" s="49"/>
      <c r="D791" s="50"/>
      <c r="E791" s="49"/>
      <c r="F791" s="49"/>
      <c r="G791" s="50"/>
      <c r="H791" s="50"/>
      <c r="I791" s="50"/>
      <c r="J791" s="45"/>
      <c r="K791" s="45"/>
      <c r="L791" s="45"/>
      <c r="M791" s="45"/>
      <c r="N791" s="45"/>
      <c r="O791" s="45"/>
    </row>
    <row r="792" customFormat="false" ht="14.25" hidden="false" customHeight="true" outlineLevel="0" collapsed="false">
      <c r="A792" s="49"/>
      <c r="B792" s="49"/>
      <c r="C792" s="49"/>
      <c r="D792" s="50"/>
      <c r="E792" s="49"/>
      <c r="F792" s="49"/>
      <c r="G792" s="50"/>
      <c r="H792" s="50"/>
      <c r="I792" s="50"/>
      <c r="J792" s="45"/>
      <c r="K792" s="45"/>
      <c r="L792" s="45"/>
      <c r="M792" s="45"/>
      <c r="N792" s="45"/>
      <c r="O792" s="45"/>
    </row>
    <row r="793" customFormat="false" ht="14.25" hidden="false" customHeight="true" outlineLevel="0" collapsed="false">
      <c r="A793" s="49"/>
      <c r="B793" s="49"/>
      <c r="C793" s="49"/>
      <c r="D793" s="50"/>
      <c r="E793" s="49"/>
      <c r="F793" s="49"/>
      <c r="G793" s="50"/>
      <c r="H793" s="50"/>
      <c r="I793" s="50"/>
      <c r="J793" s="45"/>
      <c r="K793" s="45"/>
      <c r="L793" s="45"/>
      <c r="M793" s="45"/>
      <c r="N793" s="45"/>
      <c r="O793" s="45"/>
    </row>
    <row r="794" customFormat="false" ht="14.25" hidden="false" customHeight="true" outlineLevel="0" collapsed="false">
      <c r="A794" s="49"/>
      <c r="B794" s="49"/>
      <c r="C794" s="49"/>
      <c r="D794" s="50"/>
      <c r="E794" s="49"/>
      <c r="F794" s="49"/>
      <c r="G794" s="50"/>
      <c r="H794" s="50"/>
      <c r="I794" s="50"/>
      <c r="J794" s="45"/>
      <c r="K794" s="45"/>
      <c r="L794" s="45"/>
      <c r="M794" s="45"/>
      <c r="N794" s="45"/>
      <c r="O794" s="45"/>
    </row>
    <row r="795" customFormat="false" ht="14.25" hidden="false" customHeight="true" outlineLevel="0" collapsed="false">
      <c r="A795" s="49"/>
      <c r="B795" s="49"/>
      <c r="C795" s="49"/>
      <c r="D795" s="50"/>
      <c r="E795" s="49"/>
      <c r="F795" s="49"/>
      <c r="G795" s="50"/>
      <c r="H795" s="50"/>
      <c r="I795" s="50"/>
      <c r="J795" s="45"/>
      <c r="K795" s="45"/>
      <c r="L795" s="45"/>
      <c r="M795" s="45"/>
      <c r="N795" s="45"/>
      <c r="O795" s="45"/>
    </row>
    <row r="796" customFormat="false" ht="14.25" hidden="false" customHeight="true" outlineLevel="0" collapsed="false">
      <c r="A796" s="49"/>
      <c r="B796" s="49"/>
      <c r="C796" s="49"/>
      <c r="D796" s="50"/>
      <c r="E796" s="49"/>
      <c r="F796" s="49"/>
      <c r="G796" s="50"/>
      <c r="H796" s="50"/>
      <c r="I796" s="50"/>
      <c r="J796" s="45"/>
      <c r="K796" s="45"/>
      <c r="L796" s="45"/>
      <c r="M796" s="45"/>
      <c r="N796" s="45"/>
      <c r="O796" s="45"/>
    </row>
    <row r="797" customFormat="false" ht="14.25" hidden="false" customHeight="true" outlineLevel="0" collapsed="false">
      <c r="A797" s="49"/>
      <c r="B797" s="49"/>
      <c r="C797" s="49"/>
      <c r="D797" s="50"/>
      <c r="E797" s="49"/>
      <c r="F797" s="49"/>
      <c r="G797" s="50"/>
      <c r="H797" s="50"/>
      <c r="I797" s="50"/>
      <c r="J797" s="45"/>
      <c r="K797" s="45"/>
      <c r="L797" s="45"/>
      <c r="M797" s="45"/>
      <c r="N797" s="45"/>
      <c r="O797" s="45"/>
    </row>
    <row r="798" customFormat="false" ht="14.25" hidden="false" customHeight="true" outlineLevel="0" collapsed="false">
      <c r="A798" s="49"/>
      <c r="B798" s="49"/>
      <c r="C798" s="49"/>
      <c r="D798" s="50"/>
      <c r="E798" s="49"/>
      <c r="F798" s="49"/>
      <c r="G798" s="50"/>
      <c r="H798" s="50"/>
      <c r="I798" s="50"/>
      <c r="J798" s="45"/>
      <c r="K798" s="45"/>
      <c r="L798" s="45"/>
      <c r="M798" s="45"/>
      <c r="N798" s="45"/>
      <c r="O798" s="45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360</v>
      </c>
      <c r="B1" s="56"/>
      <c r="C1" s="56"/>
      <c r="D1" s="56"/>
    </row>
    <row r="2" customFormat="false" ht="15" hidden="false" customHeight="true" outlineLevel="0" collapsed="false">
      <c r="A2" s="57" t="s">
        <v>361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362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363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364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365</v>
      </c>
      <c r="C49" s="64" t="s">
        <v>366</v>
      </c>
      <c r="D49" s="64" t="s">
        <v>367</v>
      </c>
      <c r="E49" s="64" t="s">
        <v>368</v>
      </c>
      <c r="F49" s="64" t="s">
        <v>369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370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371</v>
      </c>
      <c r="C54" s="64" t="s">
        <v>372</v>
      </c>
      <c r="D54" s="64" t="s">
        <v>373</v>
      </c>
      <c r="E54" s="64" t="s">
        <v>374</v>
      </c>
      <c r="F54" s="64" t="s">
        <v>375</v>
      </c>
      <c r="G54" s="65" t="s">
        <v>376</v>
      </c>
      <c r="H54" s="65" t="s">
        <v>377</v>
      </c>
      <c r="I54" s="64" t="s">
        <v>378</v>
      </c>
      <c r="J54" s="64" t="s">
        <v>379</v>
      </c>
      <c r="K54" s="64" t="s">
        <v>380</v>
      </c>
      <c r="L54" s="64" t="s">
        <v>381</v>
      </c>
      <c r="M54" s="64" t="s">
        <v>356</v>
      </c>
      <c r="O54" s="1" t="s">
        <v>382</v>
      </c>
    </row>
    <row r="55" customFormat="false" ht="14.25" hidden="false" customHeight="true" outlineLevel="0" collapsed="false">
      <c r="A55" s="42" t="s">
        <v>11</v>
      </c>
      <c r="B55" s="42" t="s">
        <v>383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384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385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383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384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385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2026-08-25T20:15:01Z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