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<sst xmlns="http://schemas.openxmlformats.org/spreadsheetml/2006/main" count="12442" uniqueCount="378">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</sst>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2533035.56116174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2170757.71097778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2981997.55017778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82226.9347623517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26588.75</v>
      </c>
      <c r="E4" s="21" t="n">
        <f aca="false">B4+C4+D4</f>
        <v>108815.684762352</v>
      </c>
      <c r="F4" s="11" t="n">
        <f aca="false">IFERROR(B4/B$12,0)</f>
        <v>0.0330221326309882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163480.19451918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163480.19451918</v>
      </c>
      <c r="F5" s="16" t="n">
        <f aca="false">IFERROR(B5/B$12,0)</f>
        <v>0.0656532397997628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177446.953832371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182014.943832371</v>
      </c>
      <c r="F6" s="11" t="n">
        <f aca="false">IFERROR(B6/B$12,0)</f>
        <v>0.0712622556264899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45558.9041175483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49262.5241175483</v>
      </c>
      <c r="F7" s="16" t="n">
        <f aca="false">IFERROR(B7/B$12,0)</f>
        <v>0.0182963426599842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83688.4246252449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108074.844625245</v>
      </c>
      <c r="F8" s="11" t="n">
        <f aca="false">IFERROR(B8/B$12,0)</f>
        <v>0.0336090633274904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59186.9133008539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73120.9733008539</v>
      </c>
      <c r="F9" s="16" t="n">
        <f aca="false">IFERROR(B9/B$12,0)</f>
        <v>0.0237693172764902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59526.7666415988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63352.2266415988</v>
      </c>
      <c r="F10" s="11" t="n">
        <f aca="false">IFERROR(B10/B$12,0)</f>
        <v>0.0239058015334505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1818940.15936259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280340.04676443</v>
      </c>
      <c r="E11" s="22" t="n">
        <f aca="false">B11+C11+D11</f>
        <v>2099280.20612702</v>
      </c>
      <c r="F11" s="16" t="n">
        <f aca="false">IFERROR(B11/B$12,0)</f>
        <v>0.730481847145344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2490055.25116174</v>
      </c>
      <c r="C12" s="30" t="n">
        <f aca="false">SUM(C4:C11)</f>
        <v>0</v>
      </c>
      <c r="D12" s="30" t="n">
        <f aca="false">SUM(D4:D11)</f>
        <v>357346.34676443</v>
      </c>
      <c r="E12" s="30" t="n">
        <f aca="false">SUM(E4:E11)</f>
        <v>2847401.59792617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70501.7035382318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23333.44</v>
      </c>
      <c r="E14" s="21" t="n">
        <f aca="false">B14+C14+D14</f>
        <v>93835.1435382318</v>
      </c>
      <c r="F14" s="11" t="n">
        <f aca="false">IFERROR(B14/B$22,0)</f>
        <v>0.0328598871702179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143342.364958978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143342.364958978</v>
      </c>
      <c r="F15" s="16" t="n">
        <f aca="false">IFERROR(B15/B$22,0)</f>
        <v>0.0668099308651451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154098.294506194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159731.904506194</v>
      </c>
      <c r="F16" s="11" t="n">
        <f aca="false">IFERROR(B16/B$22,0)</f>
        <v>0.0718231236476524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39301.9860558725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43014.1460558725</v>
      </c>
      <c r="F17" s="16" t="n">
        <f aca="false">IFERROR(B17/B$22,0)</f>
        <v>0.0183181222941814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72942.6291911673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96716.6291911673</v>
      </c>
      <c r="F18" s="11" t="n">
        <f aca="false">IFERROR(B18/B$22,0)</f>
        <v>0.033997569488814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51602.2767199846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65731.1767199846</v>
      </c>
      <c r="F19" s="16" t="n">
        <f aca="false">IFERROR(B19/B$22,0)</f>
        <v>0.0240511208332085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52492.5465540591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81002.5765540591</v>
      </c>
      <c r="F20" s="11" t="n">
        <f aca="false">IFERROR(B20/B$22,0)</f>
        <v>0.0244660635201306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1561243.01945329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283831.469066667</v>
      </c>
      <c r="E21" s="22" t="n">
        <f aca="false">B21+C21+D21</f>
        <v>1845074.48851996</v>
      </c>
      <c r="F21" s="16" t="n">
        <f aca="false">IFERROR(B21/B$22,0)</f>
        <v>0.72767418218065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2145524.82097778</v>
      </c>
      <c r="C22" s="30" t="n">
        <f aca="false">SUM(C14:C21)</f>
        <v>0</v>
      </c>
      <c r="D22" s="30" t="n">
        <f aca="false">SUM(D14:D21)</f>
        <v>382923.609066667</v>
      </c>
      <c r="E22" s="30" t="n">
        <f aca="false">SUM(E14:E21)</f>
        <v>2528448.43004444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95886.6512245011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49220.12</v>
      </c>
      <c r="E24" s="21" t="n">
        <f aca="false">B24+C24+D24</f>
        <v>145106.771224501</v>
      </c>
      <c r="F24" s="11" t="n">
        <f aca="false">IFERROR(B24/B$32,0)</f>
        <v>0.0325566894160096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179413.247164649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179413.247164649</v>
      </c>
      <c r="F25" s="16" t="n">
        <f aca="false">IFERROR(B25/B$32,0)</f>
        <v>0.0609167312703556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206569.541671126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206569.541671126</v>
      </c>
      <c r="F26" s="11" t="n">
        <f aca="false">IFERROR(B26/B$32,0)</f>
        <v>0.070137191414146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52684.1895477619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52684.1895477619</v>
      </c>
      <c r="F27" s="16" t="n">
        <f aca="false">IFERROR(B27/B$32,0)</f>
        <v>0.0178880248119708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99634.2050088511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159031.405008851</v>
      </c>
      <c r="F28" s="11" t="n">
        <f aca="false">IFERROR(B28/B$32,0)</f>
        <v>0.0338291078712252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68230.5915541302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79455.2115541302</v>
      </c>
      <c r="F29" s="16" t="n">
        <f aca="false">IFERROR(B29/B$32,0)</f>
        <v>0.0231665424699994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69748.6376453531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76378.6976453531</v>
      </c>
      <c r="F30" s="11" t="n">
        <f aca="false">IFERROR(B30/B$32,0)</f>
        <v>0.023681969325354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2173054.11636141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279512.512924444</v>
      </c>
      <c r="E31" s="22" t="n">
        <f aca="false">B31+C31+D31</f>
        <v>2452566.62928585</v>
      </c>
      <c r="F31" s="16" t="n">
        <f aca="false">IFERROR(B31/B$32,0)</f>
        <v>0.73782374342094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2945221.18017778</v>
      </c>
      <c r="C32" s="30" t="n">
        <f aca="false">SUM(C24:C31)</f>
        <v>0</v>
      </c>
      <c r="D32" s="30" t="n">
        <f aca="false">SUM(D24:D31)</f>
        <v>405984.512924444</v>
      </c>
      <c r="E32" s="30" t="n">
        <f aca="false">SUM(E24:E31)</f>
        <v>3351205.69310222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285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286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0</v>
      </c>
      <c r="H67" s="48" t="n">
        <f aca="false">F67*G67</f>
        <v>0</v>
      </c>
      <c r="I67" s="47" t="s">
        <v>287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288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285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289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290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288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285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291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285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292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293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285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294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295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296</v>
      </c>
      <c r="D144" s="47" t="s">
        <v>297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298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299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300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301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296</v>
      </c>
      <c r="D171" s="47" t="s">
        <v>297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298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285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302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296</v>
      </c>
      <c r="D185" s="47" t="s">
        <v>297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298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0</v>
      </c>
      <c r="H186" s="48" t="n">
        <f aca="false">F186*G186</f>
        <v>0</v>
      </c>
      <c r="I186" s="47" t="s">
        <v>303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288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300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301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304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296</v>
      </c>
      <c r="D196" s="47" t="s">
        <v>305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298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285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306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300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301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296</v>
      </c>
      <c r="D211" s="47" t="s">
        <v>297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298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307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288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300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301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285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291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285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292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293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300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301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304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296</v>
      </c>
      <c r="D249" s="47" t="s">
        <v>308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298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285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294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309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310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311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311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311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310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310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310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311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311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311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312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300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313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314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310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311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311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311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310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310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310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311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311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311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315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310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311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311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311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310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310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310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311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311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311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285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316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310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311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311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311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310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310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310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311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311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311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300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313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317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310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311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311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311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310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310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310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311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311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311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318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319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311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311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311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320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311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311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311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285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300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313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321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311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311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311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311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311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311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285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322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320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311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311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311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311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311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311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285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300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313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323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311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311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311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311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311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311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285</v>
      </c>
    </row>
    <row r="354" customFormat="false" ht="14.25" hidden="false" customHeight="true" outlineLevel="0" collapsed="false">
      <c r="A354" s="1" t="s">
        <v>20</v>
      </c>
      <c r="B354" s="1" t="s">
        <v>18</v>
      </c>
      <c r="C354" s="1" t="s">
        <v>273</v>
      </c>
      <c r="D354" s="1" t="s">
        <v>324</v>
      </c>
      <c r="E354" s="1" t="s">
        <v>263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325</v>
      </c>
    </row>
    <row r="355" customFormat="false" ht="15" hidden="false" customHeight="true" outlineLevel="0" collapsed="false">
      <c r="A355" s="1" t="s">
        <v>20</v>
      </c>
      <c r="B355" s="1" t="s">
        <v>18</v>
      </c>
      <c r="C355" s="1" t="s">
        <v>281</v>
      </c>
      <c r="D355" s="1" t="s">
        <v>326</v>
      </c>
      <c r="E355" s="1" t="s">
        <v>263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327</v>
      </c>
    </row>
    <row r="356" customFormat="false" ht="14.25" hidden="false" customHeight="true" outlineLevel="0" collapsed="false">
      <c r="A356" s="1" t="s">
        <v>11</v>
      </c>
      <c r="B356" s="1" t="s">
        <v>18</v>
      </c>
      <c r="C356" s="1" t="s">
        <v>273</v>
      </c>
      <c r="D356" s="1" t="s">
        <v>324</v>
      </c>
      <c r="E356" s="1" t="s">
        <v>263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325</v>
      </c>
    </row>
    <row r="357" customFormat="false" ht="14.25" hidden="false" customHeight="true" outlineLevel="0" collapsed="false">
      <c r="A357" s="1" t="s">
        <v>11</v>
      </c>
      <c r="B357" s="1" t="s">
        <v>18</v>
      </c>
      <c r="C357" s="1" t="s">
        <v>281</v>
      </c>
      <c r="D357" s="1" t="s">
        <v>326</v>
      </c>
      <c r="E357" s="1" t="s">
        <v>263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327</v>
      </c>
    </row>
    <row r="358" customFormat="false" ht="14.25" hidden="false" customHeight="true" outlineLevel="0" collapsed="false">
      <c r="A358" s="1" t="s">
        <v>21</v>
      </c>
      <c r="B358" s="1" t="s">
        <v>18</v>
      </c>
      <c r="C358" s="1" t="s">
        <v>273</v>
      </c>
      <c r="D358" s="1" t="s">
        <v>324</v>
      </c>
      <c r="E358" s="1" t="s">
        <v>263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325</v>
      </c>
    </row>
    <row r="359" customFormat="false" ht="14.25" hidden="false" customHeight="true" outlineLevel="0" collapsed="false">
      <c r="A359" s="1" t="s">
        <v>21</v>
      </c>
      <c r="B359" s="1" t="s">
        <v>18</v>
      </c>
      <c r="C359" s="1" t="s">
        <v>281</v>
      </c>
      <c r="D359" s="1" t="s">
        <v>326</v>
      </c>
      <c r="E359" s="1" t="s">
        <v>263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327</v>
      </c>
    </row>
    <row r="360" customFormat="false" ht="14.25" hidden="false" customHeight="true" outlineLevel="0" collapsed="false">
      <c r="A360" s="1" t="s">
        <v>20</v>
      </c>
      <c r="B360" s="1" t="s">
        <v>18</v>
      </c>
      <c r="C360" s="1" t="s">
        <v>273</v>
      </c>
      <c r="D360" s="1" t="s">
        <v>328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325</v>
      </c>
    </row>
    <row r="361" customFormat="false" ht="14.25" hidden="false" customHeight="true" outlineLevel="0" collapsed="false">
      <c r="A361" s="1" t="s">
        <v>20</v>
      </c>
      <c r="B361" s="1" t="s">
        <v>18</v>
      </c>
      <c r="C361" s="1" t="s">
        <v>281</v>
      </c>
      <c r="D361" s="1" t="s">
        <v>329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327</v>
      </c>
    </row>
    <row r="362" customFormat="false" ht="14.25" hidden="false" customHeight="true" outlineLevel="0" collapsed="false">
      <c r="A362" s="1" t="s">
        <v>11</v>
      </c>
      <c r="B362" s="1" t="s">
        <v>18</v>
      </c>
      <c r="C362" s="1" t="s">
        <v>273</v>
      </c>
      <c r="D362" s="1" t="s">
        <v>328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325</v>
      </c>
    </row>
    <row r="363" customFormat="false" ht="14.25" hidden="false" customHeight="true" outlineLevel="0" collapsed="false">
      <c r="A363" s="1" t="s">
        <v>11</v>
      </c>
      <c r="B363" s="1" t="s">
        <v>18</v>
      </c>
      <c r="C363" s="1" t="s">
        <v>281</v>
      </c>
      <c r="D363" s="1" t="s">
        <v>329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327</v>
      </c>
    </row>
    <row r="364" customFormat="false" ht="14.25" hidden="false" customHeight="true" outlineLevel="0" collapsed="false">
      <c r="A364" s="1" t="s">
        <v>21</v>
      </c>
      <c r="B364" s="1" t="s">
        <v>18</v>
      </c>
      <c r="C364" s="1" t="s">
        <v>273</v>
      </c>
      <c r="D364" s="1" t="s">
        <v>328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325</v>
      </c>
    </row>
    <row r="365" customFormat="false" ht="14.25" hidden="false" customHeight="true" outlineLevel="0" collapsed="false">
      <c r="A365" s="1" t="s">
        <v>21</v>
      </c>
      <c r="B365" s="1" t="s">
        <v>18</v>
      </c>
      <c r="C365" s="1" t="s">
        <v>281</v>
      </c>
      <c r="D365" s="1" t="s">
        <v>329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327</v>
      </c>
    </row>
    <row r="366" customFormat="false" ht="14.25" hidden="false" customHeight="true" outlineLevel="0" collapsed="false">
      <c r="A366" s="1" t="s">
        <v>20</v>
      </c>
      <c r="B366" s="1" t="s">
        <v>18</v>
      </c>
      <c r="C366" s="1" t="s">
        <v>273</v>
      </c>
      <c r="D366" s="1" t="s">
        <v>330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325</v>
      </c>
    </row>
    <row r="367" customFormat="false" ht="14.25" hidden="false" customHeight="true" outlineLevel="0" collapsed="false">
      <c r="A367" s="1" t="s">
        <v>20</v>
      </c>
      <c r="B367" s="1" t="s">
        <v>18</v>
      </c>
      <c r="C367" s="1" t="s">
        <v>281</v>
      </c>
      <c r="D367" s="1" t="s">
        <v>331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327</v>
      </c>
    </row>
    <row r="368" customFormat="false" ht="14.25" hidden="false" customHeight="true" outlineLevel="0" collapsed="false">
      <c r="A368" s="1" t="s">
        <v>11</v>
      </c>
      <c r="B368" s="1" t="s">
        <v>18</v>
      </c>
      <c r="C368" s="1" t="s">
        <v>273</v>
      </c>
      <c r="D368" s="1" t="s">
        <v>330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325</v>
      </c>
    </row>
    <row r="369" customFormat="false" ht="14.25" hidden="false" customHeight="true" outlineLevel="0" collapsed="false">
      <c r="A369" s="1" t="s">
        <v>11</v>
      </c>
      <c r="B369" s="1" t="s">
        <v>18</v>
      </c>
      <c r="C369" s="1" t="s">
        <v>281</v>
      </c>
      <c r="D369" s="1" t="s">
        <v>331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327</v>
      </c>
    </row>
    <row r="370" customFormat="false" ht="14.25" hidden="false" customHeight="true" outlineLevel="0" collapsed="false">
      <c r="A370" s="1" t="s">
        <v>21</v>
      </c>
      <c r="B370" s="1" t="s">
        <v>18</v>
      </c>
      <c r="C370" s="1" t="s">
        <v>273</v>
      </c>
      <c r="D370" s="1" t="s">
        <v>330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325</v>
      </c>
    </row>
    <row r="371" customFormat="false" ht="14.25" hidden="false" customHeight="true" outlineLevel="0" collapsed="false">
      <c r="A371" s="1" t="s">
        <v>21</v>
      </c>
      <c r="B371" s="1" t="s">
        <v>18</v>
      </c>
      <c r="C371" s="1" t="s">
        <v>281</v>
      </c>
      <c r="D371" s="1" t="s">
        <v>331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327</v>
      </c>
    </row>
    <row r="372" customFormat="false" ht="14.25" hidden="false" customHeight="true" outlineLevel="0" collapsed="false">
      <c r="A372" s="1" t="s">
        <v>20</v>
      </c>
      <c r="B372" s="1" t="s">
        <v>18</v>
      </c>
      <c r="C372" s="1" t="s">
        <v>273</v>
      </c>
      <c r="D372" s="1" t="s">
        <v>332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325</v>
      </c>
    </row>
    <row r="373" customFormat="false" ht="14.25" hidden="false" customHeight="true" outlineLevel="0" collapsed="false">
      <c r="A373" s="1" t="s">
        <v>20</v>
      </c>
      <c r="B373" s="1" t="s">
        <v>18</v>
      </c>
      <c r="C373" s="1" t="s">
        <v>281</v>
      </c>
      <c r="D373" s="1" t="s">
        <v>333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334</v>
      </c>
    </row>
    <row r="374" customFormat="false" ht="14.25" hidden="false" customHeight="true" outlineLevel="0" collapsed="false">
      <c r="A374" s="1" t="s">
        <v>11</v>
      </c>
      <c r="B374" s="1" t="s">
        <v>18</v>
      </c>
      <c r="C374" s="1" t="s">
        <v>273</v>
      </c>
      <c r="D374" s="1" t="s">
        <v>332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325</v>
      </c>
    </row>
    <row r="375" customFormat="false" ht="14.25" hidden="false" customHeight="true" outlineLevel="0" collapsed="false">
      <c r="A375" s="1" t="s">
        <v>11</v>
      </c>
      <c r="B375" s="1" t="s">
        <v>18</v>
      </c>
      <c r="C375" s="1" t="s">
        <v>281</v>
      </c>
      <c r="D375" s="1" t="s">
        <v>333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334</v>
      </c>
    </row>
    <row r="376" customFormat="false" ht="14.25" hidden="false" customHeight="true" outlineLevel="0" collapsed="false">
      <c r="A376" s="1" t="s">
        <v>21</v>
      </c>
      <c r="B376" s="1" t="s">
        <v>18</v>
      </c>
      <c r="C376" s="1" t="s">
        <v>273</v>
      </c>
      <c r="D376" s="1" t="s">
        <v>332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325</v>
      </c>
    </row>
    <row r="377" customFormat="false" ht="14.25" hidden="false" customHeight="true" outlineLevel="0" collapsed="false">
      <c r="A377" s="1" t="s">
        <v>21</v>
      </c>
      <c r="B377" s="1" t="s">
        <v>18</v>
      </c>
      <c r="C377" s="1" t="s">
        <v>281</v>
      </c>
      <c r="D377" s="1" t="s">
        <v>333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334</v>
      </c>
    </row>
    <row r="378" customFormat="false" ht="14.25" hidden="false" customHeight="true" outlineLevel="0" collapsed="false">
      <c r="A378" s="1" t="s">
        <v>20</v>
      </c>
      <c r="B378" s="1" t="s">
        <v>18</v>
      </c>
      <c r="C378" s="1" t="s">
        <v>273</v>
      </c>
      <c r="D378" s="1" t="s">
        <v>335</v>
      </c>
      <c r="E378" s="1" t="s">
        <v>261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325</v>
      </c>
    </row>
    <row r="379" customFormat="false" ht="14.25" hidden="false" customHeight="true" outlineLevel="0" collapsed="false">
      <c r="A379" s="1" t="s">
        <v>20</v>
      </c>
      <c r="B379" s="1" t="s">
        <v>18</v>
      </c>
      <c r="C379" s="1" t="s">
        <v>281</v>
      </c>
      <c r="D379" s="1" t="s">
        <v>336</v>
      </c>
      <c r="E379" s="1" t="s">
        <v>261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327</v>
      </c>
    </row>
    <row r="380" customFormat="false" ht="14.25" hidden="false" customHeight="true" outlineLevel="0" collapsed="false">
      <c r="A380" s="1" t="s">
        <v>11</v>
      </c>
      <c r="B380" s="1" t="s">
        <v>18</v>
      </c>
      <c r="C380" s="1" t="s">
        <v>273</v>
      </c>
      <c r="D380" s="1" t="s">
        <v>335</v>
      </c>
      <c r="E380" s="1" t="s">
        <v>261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325</v>
      </c>
    </row>
    <row r="381" customFormat="false" ht="14.25" hidden="false" customHeight="true" outlineLevel="0" collapsed="false">
      <c r="A381" s="1" t="s">
        <v>11</v>
      </c>
      <c r="B381" s="1" t="s">
        <v>18</v>
      </c>
      <c r="C381" s="1" t="s">
        <v>281</v>
      </c>
      <c r="D381" s="1" t="s">
        <v>336</v>
      </c>
      <c r="E381" s="1" t="s">
        <v>261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327</v>
      </c>
    </row>
    <row r="382" customFormat="false" ht="14.25" hidden="false" customHeight="true" outlineLevel="0" collapsed="false">
      <c r="A382" s="1" t="s">
        <v>21</v>
      </c>
      <c r="B382" s="1" t="s">
        <v>18</v>
      </c>
      <c r="C382" s="1" t="s">
        <v>273</v>
      </c>
      <c r="D382" s="1" t="s">
        <v>335</v>
      </c>
      <c r="E382" s="1" t="s">
        <v>261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325</v>
      </c>
    </row>
    <row r="383" customFormat="false" ht="15" hidden="false" customHeight="true" outlineLevel="0" collapsed="false">
      <c r="A383" s="1" t="s">
        <v>21</v>
      </c>
      <c r="B383" s="1" t="s">
        <v>18</v>
      </c>
      <c r="C383" s="1" t="s">
        <v>281</v>
      </c>
      <c r="D383" s="1" t="s">
        <v>336</v>
      </c>
      <c r="E383" s="1" t="s">
        <v>261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327</v>
      </c>
    </row>
    <row r="384" customFormat="false" ht="14.25" hidden="false" customHeight="true" outlineLevel="0" collapsed="false">
      <c r="A384" s="1" t="s">
        <v>20</v>
      </c>
      <c r="B384" s="1" t="s">
        <v>10</v>
      </c>
      <c r="C384" s="1" t="s">
        <v>273</v>
      </c>
      <c r="D384" s="1" t="s">
        <v>337</v>
      </c>
      <c r="E384" s="1" t="s">
        <v>264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338</v>
      </c>
    </row>
    <row r="385" customFormat="false" ht="14.25" hidden="false" customHeight="true" outlineLevel="0" collapsed="false">
      <c r="A385" s="1" t="s">
        <v>20</v>
      </c>
      <c r="B385" s="1" t="s">
        <v>10</v>
      </c>
      <c r="C385" s="1" t="s">
        <v>281</v>
      </c>
      <c r="D385" s="1" t="s">
        <v>339</v>
      </c>
      <c r="E385" s="1" t="s">
        <v>264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334</v>
      </c>
    </row>
    <row r="386" customFormat="false" ht="14.25" hidden="false" customHeight="true" outlineLevel="0" collapsed="false">
      <c r="A386" s="1" t="s">
        <v>11</v>
      </c>
      <c r="B386" s="1" t="s">
        <v>10</v>
      </c>
      <c r="C386" s="1" t="s">
        <v>273</v>
      </c>
      <c r="D386" s="1" t="s">
        <v>337</v>
      </c>
      <c r="E386" s="1" t="s">
        <v>264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338</v>
      </c>
    </row>
    <row r="387" customFormat="false" ht="14.25" hidden="false" customHeight="true" outlineLevel="0" collapsed="false">
      <c r="A387" s="1" t="s">
        <v>11</v>
      </c>
      <c r="B387" s="1" t="s">
        <v>10</v>
      </c>
      <c r="C387" s="1" t="s">
        <v>281</v>
      </c>
      <c r="D387" s="1" t="s">
        <v>339</v>
      </c>
      <c r="E387" s="1" t="s">
        <v>264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334</v>
      </c>
    </row>
    <row r="388" customFormat="false" ht="14.25" hidden="false" customHeight="true" outlineLevel="0" collapsed="false">
      <c r="A388" s="1" t="s">
        <v>21</v>
      </c>
      <c r="B388" s="1" t="s">
        <v>10</v>
      </c>
      <c r="C388" s="1" t="s">
        <v>273</v>
      </c>
      <c r="D388" s="1" t="s">
        <v>337</v>
      </c>
      <c r="E388" s="1" t="s">
        <v>264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338</v>
      </c>
    </row>
    <row r="389" customFormat="false" ht="14.25" hidden="false" customHeight="true" outlineLevel="0" collapsed="false">
      <c r="A389" s="1" t="s">
        <v>21</v>
      </c>
      <c r="B389" s="1" t="s">
        <v>10</v>
      </c>
      <c r="C389" s="1" t="s">
        <v>281</v>
      </c>
      <c r="D389" s="1" t="s">
        <v>339</v>
      </c>
      <c r="E389" s="1" t="s">
        <v>264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334</v>
      </c>
    </row>
    <row r="390" customFormat="false" ht="14.25" hidden="false" customHeight="true" outlineLevel="0" collapsed="false">
      <c r="A390" s="49" t="s">
        <v>340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341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342</v>
      </c>
      <c r="E393" s="46" t="s">
        <v>343</v>
      </c>
      <c r="F393" s="46" t="s">
        <v>344</v>
      </c>
      <c r="G393" s="46" t="s">
        <v>345</v>
      </c>
      <c r="H393" s="46" t="s">
        <v>346</v>
      </c>
      <c r="I393" s="46" t="s">
        <v>347</v>
      </c>
      <c r="J393" s="46" t="s">
        <v>348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18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258</v>
      </c>
      <c r="C395" s="47" t="s">
        <v>18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260</v>
      </c>
      <c r="C396" s="47" t="s">
        <v>18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261</v>
      </c>
      <c r="C397" s="47" t="s">
        <v>18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261</v>
      </c>
      <c r="C398" s="47" t="s">
        <v>17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263</v>
      </c>
      <c r="C399" s="47" t="s">
        <v>18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263</v>
      </c>
      <c r="C400" s="47" t="s">
        <v>13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263</v>
      </c>
      <c r="C401" s="47" t="s">
        <v>16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264</v>
      </c>
      <c r="C402" s="47" t="s">
        <v>10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264</v>
      </c>
      <c r="C403" s="47" t="s">
        <v>12</v>
      </c>
      <c r="D403" s="47" t="s">
        <v>349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350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264</v>
      </c>
      <c r="C404" s="47" t="s">
        <v>15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267</v>
      </c>
      <c r="C405" s="47" t="s">
        <v>14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18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258</v>
      </c>
      <c r="C407" s="47" t="s">
        <v>18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350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260</v>
      </c>
      <c r="C408" s="47" t="s">
        <v>18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261</v>
      </c>
      <c r="C409" s="47" t="s">
        <v>18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261</v>
      </c>
      <c r="C410" s="47" t="s">
        <v>17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263</v>
      </c>
      <c r="C411" s="47" t="s">
        <v>18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263</v>
      </c>
      <c r="C412" s="47" t="s">
        <v>13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263</v>
      </c>
      <c r="C413" s="47" t="s">
        <v>16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264</v>
      </c>
      <c r="C414" s="47" t="s">
        <v>10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264</v>
      </c>
      <c r="C415" s="47" t="s">
        <v>12</v>
      </c>
      <c r="D415" s="47" t="s">
        <v>349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350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264</v>
      </c>
      <c r="C416" s="47" t="s">
        <v>15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267</v>
      </c>
      <c r="C417" s="47" t="s">
        <v>14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18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258</v>
      </c>
      <c r="C419" s="47" t="s">
        <v>18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260</v>
      </c>
      <c r="C420" s="47" t="s">
        <v>18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261</v>
      </c>
      <c r="C421" s="47" t="s">
        <v>18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263</v>
      </c>
      <c r="C422" s="47" t="s">
        <v>18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351</v>
      </c>
      <c r="C423" s="47" t="s">
        <v>18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264</v>
      </c>
      <c r="C424" s="47" t="s">
        <v>10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261</v>
      </c>
      <c r="C425" s="47" t="s">
        <v>17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264</v>
      </c>
      <c r="C426" s="47" t="s">
        <v>15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267</v>
      </c>
      <c r="C427" s="47" t="s">
        <v>14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263</v>
      </c>
      <c r="C428" s="47" t="s">
        <v>16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fals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fals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fals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fals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fals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fals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fals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fals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fals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fals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fals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fals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fals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fals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fals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fals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fals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fals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fals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fals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fals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fals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fals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fals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fals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fals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fals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fals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fals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fals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fals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fals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fals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fals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fals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fals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352</v>
      </c>
      <c r="B1" s="54"/>
      <c r="C1" s="54"/>
      <c r="D1" s="54"/>
    </row>
    <row r="2" customFormat="false" ht="15" hidden="false" customHeight="true" outlineLevel="0" collapsed="false">
      <c r="A2" s="55" t="s">
        <v>353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296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296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296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296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296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354</v>
      </c>
      <c r="D24" s="60" t="n">
        <f aca="false">SUM(D5:D23)</f>
        <v>64491.8854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296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296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296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296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296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355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356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357</v>
      </c>
      <c r="C49" s="62" t="s">
        <v>358</v>
      </c>
      <c r="D49" s="62" t="s">
        <v>359</v>
      </c>
      <c r="E49" s="62" t="s">
        <v>360</v>
      </c>
      <c r="F49" s="62" t="s">
        <v>361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362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363</v>
      </c>
      <c r="C54" s="62" t="s">
        <v>364</v>
      </c>
      <c r="D54" s="62" t="s">
        <v>365</v>
      </c>
      <c r="E54" s="62" t="s">
        <v>366</v>
      </c>
      <c r="F54" s="62" t="s">
        <v>367</v>
      </c>
      <c r="G54" s="63" t="s">
        <v>368</v>
      </c>
      <c r="H54" s="63" t="s">
        <v>369</v>
      </c>
      <c r="I54" s="62" t="s">
        <v>370</v>
      </c>
      <c r="J54" s="62" t="s">
        <v>371</v>
      </c>
      <c r="K54" s="62" t="s">
        <v>372</v>
      </c>
      <c r="L54" s="62" t="s">
        <v>373</v>
      </c>
      <c r="M54" s="62" t="s">
        <v>348</v>
      </c>
      <c r="O54" s="1" t="s">
        <v>374</v>
      </c>
    </row>
    <row r="55" customFormat="false" ht="14.25" hidden="false" customHeight="true" outlineLevel="0" collapsed="false">
      <c r="A55" s="40" t="s">
        <v>11</v>
      </c>
      <c r="B55" s="40" t="s">
        <v>375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376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377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375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376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377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2026-08-24T14:14:16Z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